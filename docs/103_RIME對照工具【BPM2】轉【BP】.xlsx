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2428D0A2-E6C2-4C92-B924-0F9D4BBFF7B9}" xr6:coauthVersionLast="47" xr6:coauthVersionMax="47" xr10:uidLastSave="{00000000-0000-0000-0000-000000000000}"/>
  <bookViews>
    <workbookView xWindow="-28920" yWindow="-120" windowWidth="29040" windowHeight="15720" activeTab="1" xr2:uid="{F166AE1D-5222-4224-AB89-050FBDC6F50C}"/>
  </bookViews>
  <sheets>
    <sheet name="工作表1" sheetId="1" r:id="rId1"/>
    <sheet name="工作表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K4" i="2" l="1"/>
  <c r="J4" i="2"/>
  <c r="I4" i="2"/>
  <c r="K61" i="2"/>
  <c r="J61" i="2"/>
  <c r="I61" i="2"/>
  <c r="K101" i="2"/>
  <c r="J101" i="2"/>
  <c r="I101" i="2"/>
  <c r="K100" i="2"/>
  <c r="J100" i="2"/>
  <c r="I100" i="2"/>
  <c r="K3" i="2"/>
  <c r="J3" i="2"/>
  <c r="I3" i="2"/>
  <c r="K21" i="2"/>
  <c r="J21" i="2"/>
  <c r="I21" i="2"/>
  <c r="K73" i="2"/>
  <c r="J73" i="2"/>
  <c r="I73" i="2"/>
  <c r="K70" i="2"/>
  <c r="J70" i="2"/>
  <c r="I70" i="2"/>
  <c r="K44" i="2"/>
  <c r="J44" i="2"/>
  <c r="I44" i="2"/>
  <c r="K43" i="2"/>
  <c r="J43" i="2"/>
  <c r="I43" i="2"/>
  <c r="K2" i="2"/>
  <c r="J2" i="2"/>
  <c r="I2" i="2"/>
  <c r="K91" i="2"/>
  <c r="J91" i="2"/>
  <c r="I91" i="2"/>
  <c r="K82" i="2"/>
  <c r="J82" i="2"/>
  <c r="I82" i="2"/>
  <c r="K81" i="2"/>
  <c r="J81" i="2"/>
  <c r="I81" i="2"/>
  <c r="K83" i="2"/>
  <c r="J83" i="2"/>
  <c r="I83" i="2"/>
  <c r="K86" i="2"/>
  <c r="J86" i="2"/>
  <c r="I86" i="2"/>
  <c r="K63" i="2"/>
  <c r="J63" i="2"/>
  <c r="I63" i="2"/>
  <c r="K62" i="2"/>
  <c r="J62" i="2"/>
  <c r="I62" i="2"/>
  <c r="K72" i="2"/>
  <c r="J72" i="2"/>
  <c r="I72" i="2"/>
  <c r="K71" i="2"/>
  <c r="J71" i="2"/>
  <c r="I71" i="2"/>
  <c r="K10" i="2"/>
  <c r="J10" i="2"/>
  <c r="I10" i="2"/>
  <c r="K9" i="2"/>
  <c r="J9" i="2"/>
  <c r="I9" i="2"/>
  <c r="K27" i="2"/>
  <c r="J27" i="2"/>
  <c r="I27" i="2"/>
  <c r="K24" i="2"/>
  <c r="J24" i="2"/>
  <c r="I24" i="2"/>
  <c r="K65" i="2"/>
  <c r="J65" i="2"/>
  <c r="I65" i="2"/>
  <c r="K64" i="2"/>
  <c r="J64" i="2"/>
  <c r="I64" i="2"/>
  <c r="K88" i="2"/>
  <c r="J88" i="2"/>
  <c r="I88" i="2"/>
  <c r="K87" i="2"/>
  <c r="J87" i="2"/>
  <c r="I87" i="2"/>
  <c r="K38" i="2"/>
  <c r="J38" i="2"/>
  <c r="I38" i="2"/>
  <c r="K37" i="2"/>
  <c r="J37" i="2"/>
  <c r="I37" i="2"/>
  <c r="K99" i="2"/>
  <c r="J99" i="2"/>
  <c r="I99" i="2"/>
  <c r="K54" i="2"/>
  <c r="J54" i="2"/>
  <c r="I54" i="2"/>
  <c r="K51" i="2"/>
  <c r="J51" i="2"/>
  <c r="I51" i="2"/>
  <c r="K50" i="2"/>
  <c r="J50" i="2"/>
  <c r="I50" i="2"/>
  <c r="K56" i="2"/>
  <c r="J56" i="2"/>
  <c r="I56" i="2"/>
  <c r="K55" i="2"/>
  <c r="J55" i="2"/>
  <c r="I55" i="2"/>
  <c r="K96" i="2"/>
  <c r="J96" i="2"/>
  <c r="I96" i="2"/>
  <c r="K95" i="2"/>
  <c r="J95" i="2"/>
  <c r="I95" i="2"/>
  <c r="K29" i="2"/>
  <c r="J29" i="2"/>
  <c r="I29" i="2"/>
  <c r="K28" i="2"/>
  <c r="J28" i="2"/>
  <c r="I28" i="2"/>
  <c r="K60" i="2"/>
  <c r="J60" i="2"/>
  <c r="I60" i="2"/>
  <c r="K59" i="2"/>
  <c r="J59" i="2"/>
  <c r="I59" i="2"/>
  <c r="K46" i="2"/>
  <c r="J46" i="2"/>
  <c r="I46" i="2"/>
  <c r="K30" i="2"/>
  <c r="J30" i="2"/>
  <c r="I30" i="2"/>
  <c r="K6" i="2"/>
  <c r="J6" i="2"/>
  <c r="I6" i="2"/>
  <c r="K5" i="2"/>
  <c r="J5" i="2"/>
  <c r="I5" i="2"/>
  <c r="K92" i="2"/>
  <c r="J92" i="2"/>
  <c r="I92" i="2"/>
  <c r="K76" i="2"/>
  <c r="J76" i="2"/>
  <c r="I76" i="2"/>
  <c r="K16" i="2"/>
  <c r="J16" i="2"/>
  <c r="I16" i="2"/>
  <c r="K15" i="2"/>
  <c r="J15" i="2"/>
  <c r="I15" i="2"/>
  <c r="K90" i="2"/>
  <c r="J90" i="2"/>
  <c r="I90" i="2"/>
  <c r="K89" i="2"/>
  <c r="J89" i="2"/>
  <c r="I89" i="2"/>
  <c r="K32" i="2"/>
  <c r="J32" i="2"/>
  <c r="I32" i="2"/>
  <c r="K31" i="2"/>
  <c r="J31" i="2"/>
  <c r="I31" i="2"/>
  <c r="K20" i="2"/>
  <c r="J20" i="2"/>
  <c r="I20" i="2"/>
  <c r="K19" i="2"/>
  <c r="J19" i="2"/>
  <c r="I19" i="2"/>
  <c r="K39" i="2"/>
  <c r="J39" i="2"/>
  <c r="I39" i="2"/>
  <c r="K34" i="2"/>
  <c r="J34" i="2"/>
  <c r="I34" i="2"/>
  <c r="K11" i="2"/>
  <c r="J11" i="2"/>
  <c r="I11" i="2"/>
  <c r="K14" i="2"/>
  <c r="J14" i="2"/>
  <c r="I14" i="2"/>
  <c r="K78" i="2"/>
  <c r="J78" i="2"/>
  <c r="I78" i="2"/>
  <c r="K77" i="2"/>
  <c r="J77" i="2"/>
  <c r="I77" i="2"/>
  <c r="K17" i="2"/>
  <c r="J17" i="2"/>
  <c r="I17" i="2"/>
  <c r="K12" i="2"/>
  <c r="J12" i="2"/>
  <c r="I12" i="2"/>
  <c r="K33" i="2"/>
  <c r="J33" i="2"/>
  <c r="I33" i="2"/>
  <c r="K36" i="2"/>
  <c r="J36" i="2"/>
  <c r="I36" i="2"/>
  <c r="K58" i="2"/>
  <c r="J58" i="2"/>
  <c r="I58" i="2"/>
  <c r="K48" i="2"/>
  <c r="J48" i="2"/>
  <c r="I48" i="2"/>
  <c r="K8" i="2"/>
  <c r="J8" i="2"/>
  <c r="I8" i="2"/>
  <c r="K7" i="2"/>
  <c r="J7" i="2"/>
  <c r="I7" i="2"/>
  <c r="K75" i="2"/>
  <c r="J75" i="2"/>
  <c r="I75" i="2"/>
  <c r="K74" i="2"/>
  <c r="J74" i="2"/>
  <c r="I74" i="2"/>
  <c r="K53" i="2"/>
  <c r="J53" i="2"/>
  <c r="I53" i="2"/>
  <c r="K52" i="2"/>
  <c r="J52" i="2"/>
  <c r="I52" i="2"/>
  <c r="K23" i="2"/>
  <c r="J23" i="2"/>
  <c r="I23" i="2"/>
  <c r="K22" i="2"/>
  <c r="J22" i="2"/>
  <c r="I22" i="2"/>
  <c r="K42" i="2"/>
  <c r="J42" i="2"/>
  <c r="I42" i="2"/>
  <c r="K41" i="2"/>
  <c r="J41" i="2"/>
  <c r="I41" i="2"/>
  <c r="K69" i="2"/>
  <c r="J69" i="2"/>
  <c r="I69" i="2"/>
  <c r="K68" i="2"/>
  <c r="J68" i="2"/>
  <c r="I68" i="2"/>
  <c r="K85" i="2"/>
  <c r="J85" i="2"/>
  <c r="I85" i="2"/>
  <c r="K84" i="2"/>
  <c r="J84" i="2"/>
  <c r="I84" i="2"/>
  <c r="K45" i="2"/>
  <c r="J45" i="2"/>
  <c r="I45" i="2"/>
  <c r="K49" i="2"/>
  <c r="J49" i="2"/>
  <c r="I49" i="2"/>
  <c r="K80" i="2"/>
  <c r="J80" i="2"/>
  <c r="I80" i="2"/>
  <c r="K79" i="2"/>
  <c r="J79" i="2"/>
  <c r="I79" i="2"/>
  <c r="K66" i="2"/>
  <c r="J66" i="2"/>
  <c r="I66" i="2"/>
  <c r="K67" i="2"/>
  <c r="J67" i="2"/>
  <c r="I67" i="2"/>
  <c r="K18" i="2"/>
  <c r="J18" i="2"/>
  <c r="I18" i="2"/>
  <c r="K13" i="2"/>
  <c r="J13" i="2"/>
  <c r="I13" i="2"/>
  <c r="K26" i="2"/>
  <c r="J26" i="2"/>
  <c r="I26" i="2"/>
  <c r="K25" i="2"/>
  <c r="J25" i="2"/>
  <c r="I25" i="2"/>
  <c r="K94" i="2"/>
  <c r="J94" i="2"/>
  <c r="I94" i="2"/>
  <c r="K93" i="2"/>
  <c r="J93" i="2"/>
  <c r="I93" i="2"/>
  <c r="K57" i="2"/>
  <c r="J57" i="2"/>
  <c r="I57" i="2"/>
  <c r="K47" i="2"/>
  <c r="J47" i="2"/>
  <c r="I47" i="2"/>
  <c r="K40" i="2"/>
  <c r="J40" i="2"/>
  <c r="I40" i="2"/>
  <c r="K35" i="2"/>
  <c r="J35" i="2"/>
  <c r="I35" i="2"/>
  <c r="K98" i="2"/>
  <c r="J98" i="2"/>
  <c r="I98" i="2"/>
  <c r="K97" i="2"/>
  <c r="J97" i="2"/>
  <c r="I97" i="2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K2" i="1"/>
  <c r="J2" i="1"/>
  <c r="I87" i="1"/>
  <c r="I67" i="1" l="1"/>
  <c r="I95" i="1"/>
  <c r="I29" i="1"/>
  <c r="I17" i="1"/>
  <c r="I33" i="1"/>
  <c r="I63" i="1"/>
  <c r="I91" i="1"/>
  <c r="I25" i="1"/>
  <c r="I76" i="1"/>
  <c r="I62" i="1"/>
  <c r="I21" i="1"/>
  <c r="I16" i="1"/>
  <c r="I26" i="1"/>
  <c r="I36" i="1"/>
  <c r="I52" i="1"/>
  <c r="I90" i="1"/>
  <c r="I27" i="1"/>
  <c r="I37" i="1"/>
  <c r="I53" i="1"/>
  <c r="I2" i="1"/>
  <c r="I28" i="1"/>
  <c r="I38" i="1"/>
  <c r="I54" i="1"/>
  <c r="I64" i="1"/>
  <c r="I72" i="1"/>
  <c r="I3" i="1"/>
  <c r="I39" i="1"/>
  <c r="I55" i="1"/>
  <c r="I73" i="1"/>
  <c r="I92" i="1"/>
  <c r="I4" i="1"/>
  <c r="I18" i="1"/>
  <c r="I40" i="1"/>
  <c r="I56" i="1"/>
  <c r="I93" i="1"/>
  <c r="I80" i="1"/>
  <c r="I5" i="1"/>
  <c r="I19" i="1"/>
  <c r="I41" i="1"/>
  <c r="I57" i="1"/>
  <c r="I74" i="1"/>
  <c r="I82" i="1"/>
  <c r="I94" i="1"/>
  <c r="I6" i="1"/>
  <c r="I20" i="1"/>
  <c r="I30" i="1"/>
  <c r="I42" i="1"/>
  <c r="I58" i="1"/>
  <c r="I75" i="1"/>
  <c r="I83" i="1"/>
  <c r="I15" i="1"/>
  <c r="I96" i="1"/>
  <c r="I10" i="1"/>
  <c r="I22" i="1"/>
  <c r="I46" i="1"/>
  <c r="I97" i="1"/>
  <c r="I11" i="1"/>
  <c r="I23" i="1"/>
  <c r="I47" i="1"/>
  <c r="I98" i="1"/>
  <c r="I84" i="1"/>
  <c r="I8" i="1"/>
  <c r="I60" i="1"/>
  <c r="I85" i="1"/>
  <c r="I86" i="1"/>
  <c r="I12" i="1"/>
  <c r="I24" i="1"/>
  <c r="I48" i="1"/>
  <c r="I69" i="1"/>
  <c r="I99" i="1"/>
  <c r="I35" i="1"/>
  <c r="I44" i="1"/>
  <c r="I45" i="1"/>
  <c r="I61" i="1"/>
  <c r="I13" i="1"/>
  <c r="I49" i="1"/>
  <c r="I88" i="1"/>
  <c r="I100" i="1"/>
  <c r="I51" i="1"/>
  <c r="I7" i="1"/>
  <c r="I31" i="1"/>
  <c r="I43" i="1"/>
  <c r="I59" i="1"/>
  <c r="I32" i="1"/>
  <c r="I14" i="1"/>
  <c r="I34" i="1"/>
  <c r="I50" i="1"/>
  <c r="I89" i="1"/>
  <c r="I101" i="1"/>
  <c r="I78" i="1"/>
  <c r="I71" i="1"/>
  <c r="I68" i="1"/>
  <c r="I79" i="1"/>
  <c r="I65" i="1"/>
  <c r="I66" i="1"/>
  <c r="I70" i="1"/>
  <c r="I77" i="1"/>
  <c r="I81" i="1"/>
  <c r="I9" i="1" l="1"/>
</calcChain>
</file>

<file path=xl/sharedStrings.xml><?xml version="1.0" encoding="utf-8"?>
<sst xmlns="http://schemas.openxmlformats.org/spreadsheetml/2006/main" count="1352" uniqueCount="463">
  <si>
    <t>十五音</t>
  </si>
  <si>
    <t>1</t>
  </si>
  <si>
    <t>君</t>
  </si>
  <si>
    <t>un</t>
  </si>
  <si>
    <t>ut</t>
  </si>
  <si>
    <t>不</t>
  </si>
  <si>
    <t>2</t>
  </si>
  <si>
    <t>堅</t>
  </si>
  <si>
    <t>ian</t>
  </si>
  <si>
    <t>掀</t>
  </si>
  <si>
    <t>iat</t>
  </si>
  <si>
    <t>別</t>
  </si>
  <si>
    <t>3</t>
  </si>
  <si>
    <t>金</t>
  </si>
  <si>
    <t>im</t>
  </si>
  <si>
    <t>深</t>
  </si>
  <si>
    <t>ip</t>
  </si>
  <si>
    <t>蟄</t>
  </si>
  <si>
    <t>4</t>
  </si>
  <si>
    <t>規</t>
  </si>
  <si>
    <t>ui</t>
  </si>
  <si>
    <t>歸</t>
  </si>
  <si>
    <t>uih</t>
  </si>
  <si>
    <t>uh</t>
  </si>
  <si>
    <t>ㄨㄧㆷ</t>
  </si>
  <si>
    <t>5</t>
  </si>
  <si>
    <t>嘉</t>
  </si>
  <si>
    <t>e</t>
  </si>
  <si>
    <t>家</t>
  </si>
  <si>
    <t>eh</t>
  </si>
  <si>
    <t>八</t>
  </si>
  <si>
    <t>6</t>
  </si>
  <si>
    <t>干</t>
  </si>
  <si>
    <t>an</t>
  </si>
  <si>
    <t>蘭</t>
  </si>
  <si>
    <t>at</t>
  </si>
  <si>
    <t>識</t>
  </si>
  <si>
    <t>7</t>
  </si>
  <si>
    <t>公</t>
  </si>
  <si>
    <t>ong</t>
  </si>
  <si>
    <t>ㆲ</t>
  </si>
  <si>
    <t>風</t>
  </si>
  <si>
    <t>ok</t>
  </si>
  <si>
    <t>ㆦㆻ</t>
  </si>
  <si>
    <t>福</t>
  </si>
  <si>
    <t>8</t>
  </si>
  <si>
    <t>乖</t>
  </si>
  <si>
    <t>uai</t>
  </si>
  <si>
    <t>怪</t>
  </si>
  <si>
    <t>uaih</t>
  </si>
  <si>
    <t>uah</t>
  </si>
  <si>
    <t>9</t>
  </si>
  <si>
    <t>經</t>
  </si>
  <si>
    <t>ing</t>
  </si>
  <si>
    <t>情</t>
  </si>
  <si>
    <t>ik</t>
  </si>
  <si>
    <t>益</t>
  </si>
  <si>
    <t>10</t>
  </si>
  <si>
    <t>觀</t>
  </si>
  <si>
    <t>uan</t>
  </si>
  <si>
    <t>猿</t>
  </si>
  <si>
    <t>uat</t>
  </si>
  <si>
    <t>說</t>
  </si>
  <si>
    <t>11</t>
  </si>
  <si>
    <t>沽</t>
  </si>
  <si>
    <t>oo</t>
  </si>
  <si>
    <t>ㆦ</t>
  </si>
  <si>
    <t>捕</t>
  </si>
  <si>
    <t>12</t>
  </si>
  <si>
    <t>嬌</t>
  </si>
  <si>
    <t>iau</t>
  </si>
  <si>
    <t>iao</t>
  </si>
  <si>
    <t>遙</t>
  </si>
  <si>
    <t>iaoh</t>
  </si>
  <si>
    <t>噭</t>
  </si>
  <si>
    <t>13</t>
  </si>
  <si>
    <t>稽</t>
  </si>
  <si>
    <t>ㆤ</t>
  </si>
  <si>
    <t>遞</t>
  </si>
  <si>
    <t>ㆤㆷ</t>
  </si>
  <si>
    <t>14</t>
  </si>
  <si>
    <t>恭</t>
  </si>
  <si>
    <t>iong</t>
  </si>
  <si>
    <t>中</t>
  </si>
  <si>
    <t>iook</t>
  </si>
  <si>
    <t>iok</t>
  </si>
  <si>
    <t>俗</t>
  </si>
  <si>
    <t>15</t>
  </si>
  <si>
    <t>高</t>
  </si>
  <si>
    <t>or</t>
  </si>
  <si>
    <t>o</t>
  </si>
  <si>
    <t>果</t>
  </si>
  <si>
    <t>oh</t>
  </si>
  <si>
    <t>卜</t>
  </si>
  <si>
    <t>16</t>
  </si>
  <si>
    <t>皆</t>
  </si>
  <si>
    <t>ai</t>
  </si>
  <si>
    <t>埃</t>
  </si>
  <si>
    <t>ㄞㆷ</t>
  </si>
  <si>
    <t>17</t>
  </si>
  <si>
    <t>巾</t>
  </si>
  <si>
    <t>in</t>
  </si>
  <si>
    <t>恩</t>
  </si>
  <si>
    <t>it</t>
  </si>
  <si>
    <t>一</t>
  </si>
  <si>
    <t>18</t>
  </si>
  <si>
    <t>姜</t>
  </si>
  <si>
    <t>iang</t>
  </si>
  <si>
    <t>將</t>
  </si>
  <si>
    <t>iak</t>
  </si>
  <si>
    <t>爆</t>
  </si>
  <si>
    <t>19</t>
  </si>
  <si>
    <t>甘</t>
  </si>
  <si>
    <t>am</t>
  </si>
  <si>
    <t>ㆰ</t>
  </si>
  <si>
    <t>堪</t>
  </si>
  <si>
    <t>ap</t>
  </si>
  <si>
    <t>答</t>
  </si>
  <si>
    <t>20</t>
  </si>
  <si>
    <t>瓜</t>
  </si>
  <si>
    <t>ua</t>
  </si>
  <si>
    <t>花</t>
  </si>
  <si>
    <t>缽</t>
  </si>
  <si>
    <t>21</t>
  </si>
  <si>
    <t>江</t>
  </si>
  <si>
    <t>ang</t>
  </si>
  <si>
    <t>邦</t>
  </si>
  <si>
    <t>ak</t>
  </si>
  <si>
    <t>角</t>
  </si>
  <si>
    <t>22</t>
  </si>
  <si>
    <t>兼</t>
  </si>
  <si>
    <t>iam</t>
  </si>
  <si>
    <t>尖</t>
  </si>
  <si>
    <t>iap</t>
  </si>
  <si>
    <t>接</t>
  </si>
  <si>
    <t>23</t>
  </si>
  <si>
    <t>交</t>
  </si>
  <si>
    <t>au</t>
  </si>
  <si>
    <t>ao</t>
  </si>
  <si>
    <t>鬧</t>
  </si>
  <si>
    <t>auh</t>
  </si>
  <si>
    <t>aoh</t>
  </si>
  <si>
    <t>暴</t>
  </si>
  <si>
    <t>24</t>
  </si>
  <si>
    <t>迦</t>
  </si>
  <si>
    <t>ia</t>
  </si>
  <si>
    <t>名</t>
  </si>
  <si>
    <t>iah</t>
  </si>
  <si>
    <t>壁</t>
  </si>
  <si>
    <t>25</t>
  </si>
  <si>
    <t>檜</t>
  </si>
  <si>
    <t>ue</t>
  </si>
  <si>
    <t>話</t>
  </si>
  <si>
    <t>ueh</t>
  </si>
  <si>
    <t>拔</t>
  </si>
  <si>
    <t>26</t>
  </si>
  <si>
    <t>監</t>
  </si>
  <si>
    <t>ann</t>
  </si>
  <si>
    <t>na</t>
  </si>
  <si>
    <t>ㆩ</t>
  </si>
  <si>
    <t>聽</t>
  </si>
  <si>
    <t>annh</t>
  </si>
  <si>
    <t>nah</t>
  </si>
  <si>
    <t>ㆩㆷ</t>
  </si>
  <si>
    <t>含</t>
  </si>
  <si>
    <t>27</t>
  </si>
  <si>
    <t>艍</t>
  </si>
  <si>
    <t>u</t>
  </si>
  <si>
    <t>夫</t>
  </si>
  <si>
    <t>勃</t>
  </si>
  <si>
    <t>28</t>
  </si>
  <si>
    <t>膠</t>
  </si>
  <si>
    <t>a</t>
  </si>
  <si>
    <t>些</t>
  </si>
  <si>
    <t>ah</t>
  </si>
  <si>
    <t>百</t>
  </si>
  <si>
    <t>29</t>
  </si>
  <si>
    <t>居</t>
  </si>
  <si>
    <t>i</t>
  </si>
  <si>
    <t>爾</t>
  </si>
  <si>
    <t>ih</t>
  </si>
  <si>
    <t>逼</t>
  </si>
  <si>
    <t>30</t>
  </si>
  <si>
    <t>丩</t>
  </si>
  <si>
    <t>iu</t>
  </si>
  <si>
    <t>油</t>
  </si>
  <si>
    <t>ㄧㄨㆷ</t>
  </si>
  <si>
    <t>31</t>
  </si>
  <si>
    <t>更</t>
  </si>
  <si>
    <t>enn</t>
  </si>
  <si>
    <t>ne</t>
  </si>
  <si>
    <t>ㆥ</t>
  </si>
  <si>
    <t>爭</t>
  </si>
  <si>
    <t>ㆥㆷ</t>
  </si>
  <si>
    <t>挾</t>
  </si>
  <si>
    <t>32</t>
  </si>
  <si>
    <t>褌</t>
  </si>
  <si>
    <t>uinn</t>
  </si>
  <si>
    <t>nui</t>
  </si>
  <si>
    <t>荒</t>
  </si>
  <si>
    <t>ㄨㆪㆷ</t>
  </si>
  <si>
    <t>33</t>
  </si>
  <si>
    <t>茄</t>
  </si>
  <si>
    <t>ior</t>
  </si>
  <si>
    <t>io</t>
  </si>
  <si>
    <t>少</t>
  </si>
  <si>
    <t>iorh</t>
  </si>
  <si>
    <t>ioh</t>
  </si>
  <si>
    <t>著</t>
  </si>
  <si>
    <t>34</t>
  </si>
  <si>
    <t>梔</t>
  </si>
  <si>
    <t>inn</t>
  </si>
  <si>
    <t>ni</t>
  </si>
  <si>
    <t>ㆪ</t>
  </si>
  <si>
    <t>庚</t>
  </si>
  <si>
    <t>nih</t>
  </si>
  <si>
    <t>ㆪㆷ</t>
  </si>
  <si>
    <t>欷</t>
  </si>
  <si>
    <t>35</t>
  </si>
  <si>
    <t>薑</t>
  </si>
  <si>
    <t>ioonn</t>
  </si>
  <si>
    <t>腔</t>
  </si>
  <si>
    <t>ㄧㆧㆷ</t>
  </si>
  <si>
    <t>36</t>
  </si>
  <si>
    <t>驚</t>
  </si>
  <si>
    <t>iann</t>
  </si>
  <si>
    <t>nia</t>
  </si>
  <si>
    <t>且</t>
  </si>
  <si>
    <t>ㄧㆩㆷ</t>
  </si>
  <si>
    <t>37</t>
  </si>
  <si>
    <t>官</t>
  </si>
  <si>
    <t>uann</t>
  </si>
  <si>
    <t>nua</t>
  </si>
  <si>
    <t>肝</t>
  </si>
  <si>
    <t>ㄨㆩㆷ</t>
  </si>
  <si>
    <t>38</t>
  </si>
  <si>
    <t>鋼</t>
  </si>
  <si>
    <t>ng</t>
  </si>
  <si>
    <t>ㆭ</t>
  </si>
  <si>
    <t>床</t>
  </si>
  <si>
    <t>ㆭㆷ</t>
  </si>
  <si>
    <t>39</t>
  </si>
  <si>
    <t>伽</t>
  </si>
  <si>
    <t>會</t>
  </si>
  <si>
    <t>伯</t>
  </si>
  <si>
    <t>40</t>
  </si>
  <si>
    <t>閒</t>
  </si>
  <si>
    <t>ainn</t>
  </si>
  <si>
    <t>nai</t>
  </si>
  <si>
    <t>ㆮ</t>
  </si>
  <si>
    <t>挨</t>
  </si>
  <si>
    <t>ㆮㆷ</t>
  </si>
  <si>
    <t>41</t>
  </si>
  <si>
    <t>姑</t>
  </si>
  <si>
    <t>oonn</t>
  </si>
  <si>
    <t>noo</t>
  </si>
  <si>
    <t>ㆧ</t>
  </si>
  <si>
    <t>張</t>
  </si>
  <si>
    <t>42</t>
  </si>
  <si>
    <t>姆</t>
  </si>
  <si>
    <t>m</t>
  </si>
  <si>
    <t>ㆬ</t>
  </si>
  <si>
    <t>43</t>
  </si>
  <si>
    <t>光</t>
  </si>
  <si>
    <t>uang</t>
  </si>
  <si>
    <t>闖</t>
  </si>
  <si>
    <t>uak</t>
  </si>
  <si>
    <t>伏</t>
  </si>
  <si>
    <t>44</t>
  </si>
  <si>
    <t>閂</t>
  </si>
  <si>
    <t>uainn</t>
  </si>
  <si>
    <t>nuai</t>
  </si>
  <si>
    <t>檨</t>
  </si>
  <si>
    <t>uainnh</t>
  </si>
  <si>
    <t>nuaih</t>
  </si>
  <si>
    <t>蹶</t>
  </si>
  <si>
    <t>45</t>
  </si>
  <si>
    <t>糜</t>
  </si>
  <si>
    <t>uenn</t>
  </si>
  <si>
    <t>nue</t>
  </si>
  <si>
    <t/>
  </si>
  <si>
    <t>46</t>
  </si>
  <si>
    <t>嘄</t>
  </si>
  <si>
    <t>iaunn</t>
  </si>
  <si>
    <t>niao</t>
  </si>
  <si>
    <t>鳥</t>
  </si>
  <si>
    <t>iaunnh</t>
  </si>
  <si>
    <t>niaoh</t>
  </si>
  <si>
    <t>47</t>
  </si>
  <si>
    <t>箴</t>
  </si>
  <si>
    <t>oom</t>
  </si>
  <si>
    <t>ㆱ</t>
  </si>
  <si>
    <t>丼</t>
  </si>
  <si>
    <t>oop</t>
  </si>
  <si>
    <t>ㆦㆴ</t>
  </si>
  <si>
    <t>吷</t>
  </si>
  <si>
    <t>48</t>
  </si>
  <si>
    <t>爻</t>
  </si>
  <si>
    <t>aunn</t>
  </si>
  <si>
    <t>nao</t>
  </si>
  <si>
    <t>ㆯ</t>
  </si>
  <si>
    <t>懸</t>
  </si>
  <si>
    <t>49</t>
  </si>
  <si>
    <t>扛</t>
  </si>
  <si>
    <t>ornn</t>
  </si>
  <si>
    <t>呼</t>
  </si>
  <si>
    <t>onnh</t>
  </si>
  <si>
    <t>ㆧㆷ</t>
  </si>
  <si>
    <t>50</t>
  </si>
  <si>
    <t>牛</t>
  </si>
  <si>
    <t>iunn</t>
  </si>
  <si>
    <t>niu</t>
  </si>
  <si>
    <t>香</t>
  </si>
  <si>
    <t>LEN()</t>
    <phoneticPr fontId="2" type="noConversion"/>
  </si>
  <si>
    <t>uh</t>
    <phoneticPr fontId="2" type="noConversion"/>
  </si>
  <si>
    <t>ee</t>
    <phoneticPr fontId="2" type="noConversion"/>
  </si>
  <si>
    <t>eeh</t>
    <phoneticPr fontId="2" type="noConversion"/>
  </si>
  <si>
    <t>uah</t>
    <phoneticPr fontId="2" type="noConversion"/>
  </si>
  <si>
    <t>ing</t>
    <phoneticPr fontId="2" type="noConversion"/>
  </si>
  <si>
    <t>ooh</t>
    <phoneticPr fontId="2" type="noConversion"/>
  </si>
  <si>
    <t>ㆦㆷ</t>
    <phoneticPr fontId="2" type="noConversion"/>
  </si>
  <si>
    <t>eh</t>
    <phoneticPr fontId="2" type="noConversion"/>
  </si>
  <si>
    <t>ㆤㆷ</t>
    <phoneticPr fontId="2" type="noConversion"/>
  </si>
  <si>
    <t>aih</t>
    <phoneticPr fontId="2" type="noConversion"/>
  </si>
  <si>
    <t>iuh</t>
    <phoneticPr fontId="2" type="noConversion"/>
  </si>
  <si>
    <t>neh</t>
    <phoneticPr fontId="2" type="noConversion"/>
  </si>
  <si>
    <t>nuih</t>
    <phoneticPr fontId="2" type="noConversion"/>
  </si>
  <si>
    <t>nio</t>
    <phoneticPr fontId="2" type="noConversion"/>
  </si>
  <si>
    <t>nioh</t>
    <phoneticPr fontId="2" type="noConversion"/>
  </si>
  <si>
    <t>niah</t>
    <phoneticPr fontId="2" type="noConversion"/>
  </si>
  <si>
    <t>nuah</t>
    <phoneticPr fontId="2" type="noConversion"/>
  </si>
  <si>
    <t>ngh</t>
    <phoneticPr fontId="2" type="noConversion"/>
  </si>
  <si>
    <t>naih</t>
    <phoneticPr fontId="2" type="noConversion"/>
  </si>
  <si>
    <t>oom</t>
    <phoneticPr fontId="2" type="noConversion"/>
  </si>
  <si>
    <t>oop</t>
    <phoneticPr fontId="2" type="noConversion"/>
  </si>
  <si>
    <t>no</t>
    <phoneticPr fontId="2" type="noConversion"/>
  </si>
  <si>
    <t>noh</t>
    <phoneticPr fontId="2" type="noConversion"/>
  </si>
  <si>
    <r>
      <rPr>
        <sz val="24"/>
        <color theme="1"/>
        <rFont val="吳守禮細明台語注音"/>
        <family val="1"/>
        <charset val="136"/>
      </rPr>
      <t>◯</t>
    </r>
  </si>
  <si>
    <r>
      <rPr>
        <sz val="18"/>
        <color theme="3" tint="0.499984740745262"/>
        <rFont val="Noto Sans TC Medium"/>
        <family val="2"/>
        <charset val="136"/>
      </rPr>
      <t>識別號</t>
    </r>
  </si>
  <si>
    <r>
      <rPr>
        <sz val="18"/>
        <color theme="3" tint="0.499984740745262"/>
        <rFont val="Noto Sans TC Medium"/>
        <family val="2"/>
        <charset val="136"/>
      </rPr>
      <t>十五音序</t>
    </r>
    <phoneticPr fontId="2" type="noConversion"/>
  </si>
  <si>
    <r>
      <rPr>
        <sz val="18"/>
        <color theme="3" tint="0.499984740745262"/>
        <rFont val="Noto Sans TC Medium"/>
        <family val="2"/>
        <charset val="136"/>
      </rPr>
      <t>舒促聲</t>
    </r>
  </si>
  <si>
    <r>
      <rPr>
        <sz val="18"/>
        <color theme="3" tint="0.499984740745262"/>
        <rFont val="Noto Sans TC Medium"/>
        <family val="2"/>
        <charset val="136"/>
      </rPr>
      <t>注音二式</t>
    </r>
  </si>
  <si>
    <r>
      <rPr>
        <sz val="18"/>
        <color theme="3" tint="0.499984740745262"/>
        <rFont val="Noto Sans TC Medium"/>
        <family val="2"/>
        <charset val="136"/>
      </rPr>
      <t>閩拼方案</t>
    </r>
  </si>
  <si>
    <r>
      <rPr>
        <sz val="18"/>
        <color theme="3" tint="0.499984740745262"/>
        <rFont val="Noto Sans TC Medium"/>
        <family val="2"/>
        <charset val="136"/>
      </rPr>
      <t>方音符號</t>
    </r>
  </si>
  <si>
    <r>
      <rPr>
        <sz val="18"/>
        <color theme="3" tint="0.499984740745262"/>
        <rFont val="Noto Sans TC Medium"/>
        <family val="2"/>
        <charset val="136"/>
      </rPr>
      <t>漢字例</t>
    </r>
  </si>
  <si>
    <r>
      <rPr>
        <sz val="18"/>
        <color theme="1"/>
        <rFont val="新細明體"/>
        <family val="2"/>
        <charset val="136"/>
      </rPr>
      <t>舒聲</t>
    </r>
  </si>
  <si>
    <r>
      <rPr>
        <sz val="18"/>
        <color theme="1"/>
        <rFont val="新細明體"/>
        <family val="2"/>
        <charset val="136"/>
      </rPr>
      <t>ㄨㄣ</t>
    </r>
  </si>
  <si>
    <r>
      <rPr>
        <sz val="18"/>
        <color theme="1"/>
        <rFont val="新細明體"/>
        <family val="2"/>
        <charset val="136"/>
      </rPr>
      <t>促聲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</si>
  <si>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ㆵ</t>
    </r>
  </si>
  <si>
    <r>
      <rPr>
        <sz val="18"/>
        <color theme="1"/>
        <rFont val="新細明體"/>
        <family val="2"/>
        <charset val="136"/>
      </rPr>
      <t>ㄧㄢ</t>
    </r>
  </si>
  <si>
    <r>
      <rPr>
        <sz val="18"/>
        <color theme="1"/>
        <rFont val="新細明體"/>
        <family val="2"/>
        <charset val="136"/>
      </rPr>
      <t>ㄧㄚ</t>
    </r>
    <r>
      <rPr>
        <sz val="18"/>
        <color theme="1"/>
        <rFont val="Cascadia Mono SemiBold"/>
        <family val="3"/>
      </rPr>
      <t>ㆵ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</si>
  <si>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ㆬ</t>
    </r>
  </si>
  <si>
    <r>
      <rPr>
        <sz val="18"/>
        <color theme="1"/>
        <rFont val="新細明體"/>
        <family val="2"/>
        <charset val="136"/>
      </rPr>
      <t>一</t>
    </r>
    <r>
      <rPr>
        <sz val="18"/>
        <color theme="1"/>
        <rFont val="Cascadia Mono SemiBold"/>
        <family val="3"/>
      </rPr>
      <t>ㆴ</t>
    </r>
  </si>
  <si>
    <r>
      <rPr>
        <sz val="18"/>
        <color theme="1"/>
        <rFont val="新細明體"/>
        <family val="2"/>
        <charset val="136"/>
      </rPr>
      <t>ㄨㄧ</t>
    </r>
  </si>
  <si>
    <r>
      <rPr>
        <sz val="18"/>
        <color theme="1"/>
        <rFont val="新細明體"/>
        <family val="2"/>
        <charset val="136"/>
      </rPr>
      <t>ㄝ</t>
    </r>
  </si>
  <si>
    <r>
      <rPr>
        <sz val="18"/>
        <color theme="1"/>
        <rFont val="新細明體"/>
        <family val="2"/>
        <charset val="136"/>
      </rPr>
      <t>ㄝ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</si>
  <si>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ㄢ</t>
    </r>
  </si>
  <si>
    <r>
      <rPr>
        <sz val="18"/>
        <color theme="1"/>
        <rFont val="新細明體"/>
        <family val="2"/>
        <charset val="136"/>
      </rPr>
      <t>ㄚ</t>
    </r>
    <r>
      <rPr>
        <sz val="18"/>
        <color theme="1"/>
        <rFont val="Cascadia Mono SemiBold"/>
        <family val="3"/>
      </rPr>
      <t>ㆵ</t>
    </r>
  </si>
  <si>
    <r>
      <rPr>
        <sz val="18"/>
        <color theme="1"/>
        <rFont val="新細明體"/>
        <family val="2"/>
        <charset val="136"/>
      </rPr>
      <t>ㄨㄞ</t>
    </r>
  </si>
  <si>
    <r>
      <rPr>
        <sz val="18"/>
        <color theme="1"/>
        <rFont val="新細明體"/>
        <family val="2"/>
        <charset val="136"/>
      </rPr>
      <t>ㄨㄞ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</si>
  <si>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ㄧㄥ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</si>
  <si>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ㆻ</t>
    </r>
  </si>
  <si>
    <r>
      <rPr>
        <sz val="18"/>
        <color theme="1"/>
        <rFont val="新細明體"/>
        <family val="2"/>
        <charset val="136"/>
      </rPr>
      <t>ㄨㄢ</t>
    </r>
  </si>
  <si>
    <r>
      <rPr>
        <sz val="18"/>
        <color theme="1"/>
        <rFont val="新細明體"/>
        <family val="2"/>
        <charset val="136"/>
      </rPr>
      <t>ㄨㄚ</t>
    </r>
    <r>
      <rPr>
        <sz val="18"/>
        <color theme="1"/>
        <rFont val="Cascadia Mono SemiBold"/>
        <family val="3"/>
      </rPr>
      <t>ㆵ</t>
    </r>
  </si>
  <si>
    <r>
      <rPr>
        <sz val="18"/>
        <color theme="1"/>
        <rFont val="新細明體"/>
        <family val="2"/>
        <charset val="136"/>
      </rPr>
      <t>ㄧㄠ</t>
    </r>
  </si>
  <si>
    <r>
      <rPr>
        <sz val="18"/>
        <color theme="1"/>
        <rFont val="新細明體"/>
        <family val="2"/>
        <charset val="136"/>
      </rPr>
      <t>ㄧㄠ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</si>
  <si>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ㆲ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</si>
  <si>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ㆦㆻ</t>
    </r>
  </si>
  <si>
    <r>
      <rPr>
        <sz val="18"/>
        <color theme="1"/>
        <rFont val="新細明體"/>
        <family val="2"/>
        <charset val="136"/>
      </rPr>
      <t>ㄜ</t>
    </r>
  </si>
  <si>
    <r>
      <rPr>
        <sz val="18"/>
        <color theme="1"/>
        <rFont val="新細明體"/>
        <family val="2"/>
        <charset val="136"/>
      </rPr>
      <t>ㄜ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</si>
  <si>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ㄞ</t>
    </r>
  </si>
  <si>
    <r>
      <rPr>
        <sz val="18"/>
        <color theme="1"/>
        <rFont val="新細明體"/>
        <family val="2"/>
        <charset val="136"/>
      </rPr>
      <t>ㄧㄣ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</si>
  <si>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ㆵ</t>
    </r>
  </si>
  <si>
    <r>
      <rPr>
        <sz val="18"/>
        <color theme="1"/>
        <rFont val="新細明體"/>
        <family val="2"/>
        <charset val="136"/>
      </rPr>
      <t>ㄧㄤ</t>
    </r>
  </si>
  <si>
    <r>
      <rPr>
        <sz val="18"/>
        <color theme="1"/>
        <rFont val="新細明體"/>
        <family val="2"/>
        <charset val="136"/>
      </rPr>
      <t>ㄧㄚ</t>
    </r>
    <r>
      <rPr>
        <sz val="18"/>
        <color theme="1"/>
        <rFont val="Cascadia Mono SemiBold"/>
        <family val="3"/>
      </rPr>
      <t>ㆻ</t>
    </r>
  </si>
  <si>
    <r>
      <rPr>
        <sz val="18"/>
        <color theme="1"/>
        <rFont val="新細明體"/>
        <family val="2"/>
        <charset val="136"/>
      </rPr>
      <t>ㄚ</t>
    </r>
    <r>
      <rPr>
        <sz val="18"/>
        <color theme="1"/>
        <rFont val="Cascadia Mono SemiBold"/>
        <family val="3"/>
      </rPr>
      <t>ㆴ</t>
    </r>
  </si>
  <si>
    <r>
      <rPr>
        <sz val="18"/>
        <color theme="1"/>
        <rFont val="新細明體"/>
        <family val="2"/>
        <charset val="136"/>
      </rPr>
      <t>ㄨㄚ</t>
    </r>
  </si>
  <si>
    <r>
      <rPr>
        <sz val="18"/>
        <color theme="1"/>
        <rFont val="新細明體"/>
        <family val="2"/>
        <charset val="136"/>
      </rPr>
      <t>ㄨㄚ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</si>
  <si>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ㄤ</t>
    </r>
  </si>
  <si>
    <r>
      <rPr>
        <sz val="18"/>
        <color theme="1"/>
        <rFont val="新細明體"/>
        <family val="2"/>
        <charset val="136"/>
      </rPr>
      <t>ㄚ</t>
    </r>
    <r>
      <rPr>
        <sz val="18"/>
        <color theme="1"/>
        <rFont val="Cascadia Mono SemiBold"/>
        <family val="3"/>
      </rPr>
      <t>ㆻ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</si>
  <si>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ㆰ</t>
    </r>
  </si>
  <si>
    <r>
      <rPr>
        <sz val="18"/>
        <color theme="1"/>
        <rFont val="新細明體"/>
        <family val="2"/>
        <charset val="136"/>
      </rPr>
      <t>ㄧㄚ</t>
    </r>
    <r>
      <rPr>
        <sz val="18"/>
        <color theme="1"/>
        <rFont val="Cascadia Mono SemiBold"/>
        <family val="3"/>
      </rPr>
      <t>ㆴ</t>
    </r>
  </si>
  <si>
    <r>
      <rPr>
        <sz val="18"/>
        <color theme="1"/>
        <rFont val="新細明體"/>
        <family val="2"/>
        <charset val="136"/>
      </rPr>
      <t>ㄠ</t>
    </r>
  </si>
  <si>
    <r>
      <rPr>
        <sz val="18"/>
        <color theme="1"/>
        <rFont val="新細明體"/>
        <family val="2"/>
        <charset val="136"/>
      </rPr>
      <t>ㄠ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</si>
  <si>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ㄧㄚ</t>
    </r>
  </si>
  <si>
    <r>
      <rPr>
        <sz val="18"/>
        <color theme="1"/>
        <rFont val="新細明體"/>
        <family val="2"/>
        <charset val="136"/>
      </rPr>
      <t>ㄧㄚ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</si>
  <si>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ㆤ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</si>
  <si>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ㆤㆷ</t>
    </r>
  </si>
  <si>
    <r>
      <rPr>
        <sz val="18"/>
        <color theme="1"/>
        <rFont val="新細明體"/>
        <family val="2"/>
        <charset val="136"/>
      </rPr>
      <t>ㄨ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</si>
  <si>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</si>
  <si>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ㄚ</t>
    </r>
  </si>
  <si>
    <r>
      <rPr>
        <sz val="18"/>
        <color theme="1"/>
        <rFont val="新細明體"/>
        <family val="2"/>
        <charset val="136"/>
      </rPr>
      <t>ㄚ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</si>
  <si>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</si>
  <si>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</si>
  <si>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ㄧㄨ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</si>
  <si>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ㆪ</t>
    </r>
  </si>
  <si>
    <r>
      <rPr>
        <sz val="18"/>
        <color theme="1"/>
        <rFont val="新細明體"/>
        <family val="2"/>
        <charset val="136"/>
      </rPr>
      <t>ㄧㄜ</t>
    </r>
  </si>
  <si>
    <r>
      <rPr>
        <sz val="18"/>
        <color theme="1"/>
        <rFont val="新細明體"/>
        <family val="2"/>
        <charset val="136"/>
      </rPr>
      <t>ㄧㄜ</t>
    </r>
    <r>
      <rPr>
        <sz val="18"/>
        <color theme="1"/>
        <rFont val="Cascadia Mono SemiBold"/>
        <family val="3"/>
      </rPr>
      <t>ㆷ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</si>
  <si>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ㆧ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</si>
  <si>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ㆩ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</si>
  <si>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ㆩ</t>
    </r>
  </si>
  <si>
    <r>
      <rPr>
        <sz val="18"/>
        <color theme="1"/>
        <rFont val="新細明體"/>
        <family val="2"/>
        <charset val="136"/>
      </rPr>
      <t>ㄨㄤ</t>
    </r>
  </si>
  <si>
    <r>
      <rPr>
        <sz val="18"/>
        <color theme="1"/>
        <rFont val="新細明體"/>
        <family val="2"/>
        <charset val="136"/>
      </rPr>
      <t>ㄨㄚ</t>
    </r>
    <r>
      <rPr>
        <sz val="18"/>
        <color theme="1"/>
        <rFont val="Cascadia Mono SemiBold"/>
        <family val="3"/>
      </rPr>
      <t>ㆻ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</si>
  <si>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ㆮ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</si>
  <si>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ㆮㆷ</t>
    </r>
  </si>
  <si>
    <r>
      <rPr>
        <sz val="18"/>
        <color theme="1"/>
        <rFont val="新細明體"/>
        <family val="2"/>
        <charset val="136"/>
      </rPr>
      <t>ㄨ</t>
    </r>
    <r>
      <rPr>
        <sz val="18"/>
        <color theme="1"/>
        <rFont val="Cascadia Mono SemiBold"/>
        <family val="3"/>
      </rPr>
      <t>ㆥ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</si>
  <si>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ㆯ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</si>
  <si>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ㆯㆷ</t>
    </r>
  </si>
  <si>
    <r>
      <rPr>
        <sz val="18"/>
        <color theme="1"/>
        <rFont val="新細明體"/>
        <family val="2"/>
        <charset val="136"/>
      </rPr>
      <t>ㄧ</t>
    </r>
    <r>
      <rPr>
        <sz val="18"/>
        <color theme="1"/>
        <rFont val="Cascadia Mono SemiBold"/>
        <family val="3"/>
      </rPr>
      <t>ㆫ</t>
    </r>
  </si>
  <si>
    <t>xform1</t>
    <phoneticPr fontId="2" type="noConversion"/>
  </si>
  <si>
    <t>xform2</t>
  </si>
  <si>
    <r>
      <rPr>
        <sz val="24"/>
        <color theme="1"/>
        <rFont val="吳守禮細明台語注音"/>
        <family val="1"/>
      </rPr>
      <t>汾</t>
    </r>
  </si>
  <si>
    <t>uih</t>
    <phoneticPr fontId="2" type="noConversion"/>
  </si>
  <si>
    <t>ee</t>
    <phoneticPr fontId="1" type="noConversion"/>
  </si>
  <si>
    <t>eeh</t>
    <phoneticPr fontId="1" type="noConversion"/>
  </si>
  <si>
    <t>iao</t>
    <phoneticPr fontId="2" type="noConversion"/>
  </si>
  <si>
    <t>ik</t>
    <phoneticPr fontId="2" type="noConversion"/>
  </si>
  <si>
    <t>iek</t>
    <phoneticPr fontId="1" type="noConversion"/>
  </si>
  <si>
    <t>iauh</t>
    <phoneticPr fontId="1" type="noConversion"/>
  </si>
  <si>
    <t>iau</t>
    <phoneticPr fontId="1" type="noConversion"/>
  </si>
  <si>
    <t>iaoh</t>
    <phoneticPr fontId="2" type="noConversion"/>
  </si>
  <si>
    <t>iook</t>
    <phoneticPr fontId="1" type="noConversion"/>
  </si>
  <si>
    <t>iok</t>
    <phoneticPr fontId="2" type="noConversion"/>
  </si>
  <si>
    <t>or</t>
    <phoneticPr fontId="1" type="noConversion"/>
  </si>
  <si>
    <t>o</t>
    <phoneticPr fontId="2" type="noConversion"/>
  </si>
  <si>
    <t>oh</t>
    <phoneticPr fontId="2" type="noConversion"/>
  </si>
  <si>
    <t>orh</t>
    <phoneticPr fontId="1" type="noConversion"/>
  </si>
  <si>
    <t>aih</t>
    <phoneticPr fontId="1" type="noConversion"/>
  </si>
  <si>
    <t>au</t>
    <phoneticPr fontId="1" type="noConversion"/>
  </si>
  <si>
    <t>ao</t>
    <phoneticPr fontId="2" type="noConversion"/>
  </si>
  <si>
    <t>ih</t>
    <phoneticPr fontId="1" type="noConversion"/>
  </si>
  <si>
    <t>iuh</t>
    <phoneticPr fontId="1" type="noConversion"/>
  </si>
  <si>
    <t>ennh</t>
    <phoneticPr fontId="1" type="noConversion"/>
  </si>
  <si>
    <t>uinnh</t>
    <phoneticPr fontId="1" type="noConversion"/>
  </si>
  <si>
    <t>ior</t>
    <phoneticPr fontId="1" type="noConversion"/>
  </si>
  <si>
    <t>io</t>
    <phoneticPr fontId="2" type="noConversion"/>
  </si>
  <si>
    <t>iorh</t>
    <phoneticPr fontId="1" type="noConversion"/>
  </si>
  <si>
    <t>ioh</t>
    <phoneticPr fontId="2" type="noConversion"/>
  </si>
  <si>
    <t>innh</t>
    <phoneticPr fontId="1" type="noConversion"/>
  </si>
  <si>
    <t>ioonn</t>
    <phoneticPr fontId="1" type="noConversion"/>
  </si>
  <si>
    <t>ngh</t>
    <phoneticPr fontId="1" type="noConversion"/>
  </si>
  <si>
    <t>eh</t>
    <phoneticPr fontId="1" type="noConversion"/>
  </si>
  <si>
    <t>ainnh</t>
    <phoneticPr fontId="1" type="noConversion"/>
  </si>
  <si>
    <t>oonn</t>
    <phoneticPr fontId="1" type="noConversion"/>
  </si>
  <si>
    <t>noo</t>
    <phoneticPr fontId="2" type="noConversion"/>
  </si>
  <si>
    <t>oonnh</t>
    <phoneticPr fontId="1" type="noConversion"/>
  </si>
  <si>
    <t>nooh</t>
    <phoneticPr fontId="2" type="noConversion"/>
  </si>
  <si>
    <t>mh</t>
    <phoneticPr fontId="1" type="noConversion"/>
  </si>
  <si>
    <t>iaunn</t>
    <phoneticPr fontId="1" type="noConversion"/>
  </si>
  <si>
    <t>niao</t>
    <phoneticPr fontId="2" type="noConversion"/>
  </si>
  <si>
    <t>iaunnh</t>
    <phoneticPr fontId="1" type="noConversion"/>
  </si>
  <si>
    <t>niaoh</t>
    <phoneticPr fontId="2" type="noConversion"/>
  </si>
  <si>
    <t>oom</t>
    <phoneticPr fontId="1" type="noConversion"/>
  </si>
  <si>
    <t>oop</t>
    <phoneticPr fontId="1" type="noConversion"/>
  </si>
  <si>
    <t>om</t>
    <phoneticPr fontId="2" type="noConversion"/>
  </si>
  <si>
    <t>op</t>
    <phoneticPr fontId="2" type="noConversion"/>
  </si>
  <si>
    <t>aunn</t>
    <phoneticPr fontId="1" type="noConversion"/>
  </si>
  <si>
    <t>nao</t>
    <phoneticPr fontId="2" type="noConversion"/>
  </si>
  <si>
    <t>uannh</t>
    <phoneticPr fontId="1" type="noConversion"/>
  </si>
  <si>
    <t>iannh</t>
    <phoneticPr fontId="1" type="noConversion"/>
  </si>
  <si>
    <t>nih</t>
    <phoneticPr fontId="2" type="noConversion"/>
  </si>
  <si>
    <t>annh</t>
    <phoneticPr fontId="1" type="noConversion"/>
  </si>
  <si>
    <t>nah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</si>
</sst>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Noto Sans TC Medium"/>
      <family val="2"/>
      <charset val="136"/>
    </font>
    <font>
      <sz val="24"/>
      <color theme="1"/>
      <name val="吳守禮細明台語注音"/>
      <family val="1"/>
      <charset val="136"/>
    </font>
    <font>
      <sz val="18"/>
      <color theme="3" tint="0.499984740745262"/>
      <name val="Cascadia Mono SemiBold"/>
      <family val="3"/>
    </font>
    <font>
      <sz val="18"/>
      <color theme="3" tint="0.499984740745262"/>
      <name val="Noto Sans TC Medium"/>
      <family val="2"/>
      <charset val="136"/>
    </font>
    <font>
      <sz val="18"/>
      <color theme="1"/>
      <name val="Cascadia Mono SemiBold"/>
      <family val="3"/>
    </font>
    <font>
      <sz val="18"/>
      <color theme="1"/>
      <name val="新細明體"/>
      <family val="2"/>
      <charset val="136"/>
    </font>
    <font>
      <sz val="18"/>
      <color rgb="FFFF0000"/>
      <name val="Cascadia Mono SemiBold"/>
      <family val="3"/>
    </font>
    <font>
      <sz val="24"/>
      <color theme="1"/>
      <name val="吳守禮細明台語注音"/>
      <family val="1"/>
    </font>
    <font>
      <sz val="24"/>
      <color rgb="FFFF0000"/>
      <name val="吳守禮細明台語注音"/>
      <family val="1"/>
    </font>
    <font>
      <sz val="18"/>
      <color theme="1"/>
      <name val="Noto Serif TC Medium"/>
      <family val="1"/>
      <charset val="136"/>
    </font>
    <font>
      <sz val="14"/>
      <color theme="1"/>
      <name val="Cascadia Mono SemiBold"/>
      <family val="3"/>
    </font>
    <font>
      <sz val="18"/>
      <color theme="2" tint="-9.9978637043366805E-2"/>
      <name val="Cascadia Mono SemiBold"/>
      <family val="3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>
      <alignment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>
      <alignment vertical="center"/>
    </xf>
    <xf numFmtId="0" fontId="12" fillId="0" borderId="3" xfId="0" applyFont="1" applyBorder="1" applyAlignment="1">
      <alignment horizontal="center" vertical="center"/>
    </xf>
    <xf numFmtId="0" fontId="8" fillId="2" borderId="3" xfId="0" applyFont="1" applyFill="1" applyBorder="1">
      <alignment vertical="center"/>
    </xf>
    <xf numFmtId="0" fontId="13" fillId="2" borderId="3" xfId="0" applyFont="1" applyFill="1" applyBorder="1">
      <alignment vertical="center"/>
    </xf>
    <xf numFmtId="0" fontId="4" fillId="3" borderId="3" xfId="0" applyFont="1" applyFill="1" applyBorder="1">
      <alignment vertical="center"/>
    </xf>
  </cellXfs>
  <cellStyles count="1">
    <cellStyle name="一般" xfId="0" builtinId="0"/>
  </cellStyles>
  <dxfs count="19">
    <dxf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ill>
        <patternFill>
          <bgColor rgb="FFFFFF00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3CBB-EAF0-4C8F-AED1-DC2EB717088A}">
  <dimension ref="A1:K101"/>
  <sheetViews>
    <sheetView workbookViewId="0">
      <pane ySplit="1" topLeftCell="A2" activePane="bottomLeft" state="frozen"/>
      <selection pane="bottomLeft" activeCell="C1" sqref="C1:D1"/>
    </sheetView>
  </sheetViews>
  <sheetFormatPr defaultRowHeight="30" x14ac:dyDescent="0.25"/>
  <cols>
    <col min="1" max="1" width="11" style="3" bestFit="1" customWidth="1"/>
    <col min="2" max="2" width="14.375" style="3" bestFit="1" customWidth="1"/>
    <col min="3" max="4" width="11" style="13" bestFit="1" customWidth="1"/>
    <col min="5" max="7" width="14.375" style="3" bestFit="1" customWidth="1"/>
    <col min="8" max="8" width="11" style="3" bestFit="1" customWidth="1"/>
    <col min="9" max="9" width="10.75" style="3" bestFit="1" customWidth="1"/>
    <col min="10" max="10" width="53.5" style="3" bestFit="1" customWidth="1"/>
    <col min="11" max="11" width="52.375" style="3" bestFit="1" customWidth="1"/>
    <col min="12" max="16384" width="9" style="3"/>
  </cols>
  <sheetData>
    <row r="1" spans="1:11" x14ac:dyDescent="0.25">
      <c r="A1" s="1" t="s">
        <v>338</v>
      </c>
      <c r="B1" s="1" t="s">
        <v>339</v>
      </c>
      <c r="C1" s="1" t="s">
        <v>0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2" t="s">
        <v>313</v>
      </c>
      <c r="J1" s="2" t="s">
        <v>409</v>
      </c>
      <c r="K1" s="2" t="s">
        <v>410</v>
      </c>
    </row>
    <row r="2" spans="1:11" x14ac:dyDescent="0.25">
      <c r="A2" s="4">
        <v>1</v>
      </c>
      <c r="B2" s="5" t="s">
        <v>1</v>
      </c>
      <c r="C2" s="11" t="s">
        <v>2</v>
      </c>
      <c r="D2" s="11" t="s">
        <v>345</v>
      </c>
      <c r="E2" s="4" t="s">
        <v>3</v>
      </c>
      <c r="F2" s="4" t="s">
        <v>3</v>
      </c>
      <c r="G2" s="4" t="s">
        <v>346</v>
      </c>
      <c r="H2" s="9" t="s">
        <v>411</v>
      </c>
      <c r="I2" s="5">
        <f>LEN(E2)</f>
        <v>2</v>
      </c>
      <c r="J2" s="3" t="str">
        <f xml:space="preserve"> IF(OR($E2="", $F2=""), "",  _xlfn.CONCAT("    - xform/",$E2,"/",F2,"/"))</f>
        <v xml:space="preserve">    - xform/un/un/</v>
      </c>
      <c r="K2" s="3" t="str">
        <f xml:space="preserve"> IF(OR($E2="", $G2=""), "",  _xlfn.CONCAT("    - xform/",$E2,"/",G2,"/"))</f>
        <v xml:space="preserve">    - xform/un/ㄨㄣ/</v>
      </c>
    </row>
    <row r="3" spans="1:11" x14ac:dyDescent="0.25">
      <c r="A3" s="6">
        <v>2</v>
      </c>
      <c r="B3" s="7" t="s">
        <v>1</v>
      </c>
      <c r="C3" s="12" t="s">
        <v>2</v>
      </c>
      <c r="D3" s="12" t="s">
        <v>347</v>
      </c>
      <c r="E3" s="6" t="s">
        <v>4</v>
      </c>
      <c r="F3" s="6" t="s">
        <v>4</v>
      </c>
      <c r="G3" s="6" t="s">
        <v>348</v>
      </c>
      <c r="H3" s="9" t="s">
        <v>5</v>
      </c>
      <c r="I3" s="5">
        <f>LEN(E3)</f>
        <v>2</v>
      </c>
      <c r="J3" s="3" t="str">
        <f t="shared" ref="J3:J66" si="0" xml:space="preserve"> IF(OR($E3="", $F3=""), "",  _xlfn.CONCAT("    - xform/",$E3,"/",F3,"/"))</f>
        <v xml:space="preserve">    - xform/ut/ut/</v>
      </c>
      <c r="K3" s="3" t="str">
        <f t="shared" ref="K3:K66" si="1" xml:space="preserve"> IF(OR($E3="", $G3=""), "",  _xlfn.CONCAT("    - xform/",$E3,"/",G3,"/"))</f>
        <v xml:space="preserve">    - xform/ut/ㄨㆵ/</v>
      </c>
    </row>
    <row r="4" spans="1:11" x14ac:dyDescent="0.25">
      <c r="A4" s="4">
        <v>3</v>
      </c>
      <c r="B4" s="7" t="s">
        <v>6</v>
      </c>
      <c r="C4" s="12" t="s">
        <v>7</v>
      </c>
      <c r="D4" s="12" t="s">
        <v>345</v>
      </c>
      <c r="E4" s="6" t="s">
        <v>8</v>
      </c>
      <c r="F4" s="6" t="s">
        <v>8</v>
      </c>
      <c r="G4" s="6" t="s">
        <v>349</v>
      </c>
      <c r="H4" s="9" t="s">
        <v>9</v>
      </c>
      <c r="I4" s="5">
        <f>LEN(E4)</f>
        <v>3</v>
      </c>
      <c r="J4" s="3" t="str">
        <f t="shared" si="0"/>
        <v xml:space="preserve">    - xform/ian/ian/</v>
      </c>
      <c r="K4" s="3" t="str">
        <f t="shared" si="1"/>
        <v xml:space="preserve">    - xform/ian/ㄧㄢ/</v>
      </c>
    </row>
    <row r="5" spans="1:11" x14ac:dyDescent="0.25">
      <c r="A5" s="6">
        <v>4</v>
      </c>
      <c r="B5" s="7" t="s">
        <v>6</v>
      </c>
      <c r="C5" s="12" t="s">
        <v>7</v>
      </c>
      <c r="D5" s="12" t="s">
        <v>347</v>
      </c>
      <c r="E5" s="6" t="s">
        <v>10</v>
      </c>
      <c r="F5" s="6" t="s">
        <v>10</v>
      </c>
      <c r="G5" s="6" t="s">
        <v>350</v>
      </c>
      <c r="H5" s="9" t="s">
        <v>11</v>
      </c>
      <c r="I5" s="5">
        <f>LEN(E5)</f>
        <v>3</v>
      </c>
      <c r="J5" s="3" t="str">
        <f t="shared" si="0"/>
        <v xml:space="preserve">    - xform/iat/iat/</v>
      </c>
      <c r="K5" s="3" t="str">
        <f t="shared" si="1"/>
        <v xml:space="preserve">    - xform/iat/ㄧㄚㆵ/</v>
      </c>
    </row>
    <row r="6" spans="1:11" x14ac:dyDescent="0.25">
      <c r="A6" s="4">
        <v>5</v>
      </c>
      <c r="B6" s="7" t="s">
        <v>12</v>
      </c>
      <c r="C6" s="12" t="s">
        <v>13</v>
      </c>
      <c r="D6" s="12" t="s">
        <v>345</v>
      </c>
      <c r="E6" s="6" t="s">
        <v>14</v>
      </c>
      <c r="F6" s="6" t="s">
        <v>14</v>
      </c>
      <c r="G6" s="6" t="s">
        <v>351</v>
      </c>
      <c r="H6" s="9" t="s">
        <v>15</v>
      </c>
      <c r="I6" s="5">
        <f>LEN(E6)</f>
        <v>2</v>
      </c>
      <c r="J6" s="3" t="str">
        <f t="shared" si="0"/>
        <v xml:space="preserve">    - xform/im/im/</v>
      </c>
      <c r="K6" s="3" t="str">
        <f t="shared" si="1"/>
        <v xml:space="preserve">    - xform/im/ㄧㆬ/</v>
      </c>
    </row>
    <row r="7" spans="1:11" x14ac:dyDescent="0.25">
      <c r="A7" s="6">
        <v>6</v>
      </c>
      <c r="B7" s="7" t="s">
        <v>12</v>
      </c>
      <c r="C7" s="12" t="s">
        <v>13</v>
      </c>
      <c r="D7" s="12" t="s">
        <v>347</v>
      </c>
      <c r="E7" s="6" t="s">
        <v>16</v>
      </c>
      <c r="F7" s="6" t="s">
        <v>16</v>
      </c>
      <c r="G7" s="6" t="s">
        <v>352</v>
      </c>
      <c r="H7" s="9" t="s">
        <v>17</v>
      </c>
      <c r="I7" s="5">
        <f>LEN(E7)</f>
        <v>2</v>
      </c>
      <c r="J7" s="3" t="str">
        <f t="shared" si="0"/>
        <v xml:space="preserve">    - xform/ip/ip/</v>
      </c>
      <c r="K7" s="3" t="str">
        <f t="shared" si="1"/>
        <v xml:space="preserve">    - xform/ip/一ㆴ/</v>
      </c>
    </row>
    <row r="8" spans="1:11" x14ac:dyDescent="0.25">
      <c r="A8" s="4">
        <v>7</v>
      </c>
      <c r="B8" s="7" t="s">
        <v>18</v>
      </c>
      <c r="C8" s="12" t="s">
        <v>19</v>
      </c>
      <c r="D8" s="12" t="s">
        <v>345</v>
      </c>
      <c r="E8" s="6" t="s">
        <v>20</v>
      </c>
      <c r="F8" s="6" t="s">
        <v>20</v>
      </c>
      <c r="G8" s="6" t="s">
        <v>353</v>
      </c>
      <c r="H8" s="9" t="s">
        <v>21</v>
      </c>
      <c r="I8" s="5">
        <f>LEN(E8)</f>
        <v>2</v>
      </c>
      <c r="J8" s="3" t="str">
        <f t="shared" si="0"/>
        <v xml:space="preserve">    - xform/ui/ui/</v>
      </c>
      <c r="K8" s="3" t="str">
        <f t="shared" si="1"/>
        <v xml:space="preserve">    - xform/ui/ㄨㄧ/</v>
      </c>
    </row>
    <row r="9" spans="1:11" x14ac:dyDescent="0.25">
      <c r="A9" s="6">
        <v>8</v>
      </c>
      <c r="B9" s="7">
        <v>4</v>
      </c>
      <c r="C9" s="12" t="s">
        <v>19</v>
      </c>
      <c r="D9" s="12" t="s">
        <v>347</v>
      </c>
      <c r="E9" s="8" t="s">
        <v>22</v>
      </c>
      <c r="F9" s="8" t="s">
        <v>314</v>
      </c>
      <c r="G9" s="6" t="s">
        <v>24</v>
      </c>
      <c r="H9" s="9"/>
      <c r="I9" s="5">
        <f>LEN(E9)</f>
        <v>3</v>
      </c>
      <c r="J9" s="3" t="str">
        <f t="shared" si="0"/>
        <v xml:space="preserve">    - xform/uih/uh/</v>
      </c>
      <c r="K9" s="3" t="str">
        <f t="shared" si="1"/>
        <v xml:space="preserve">    - xform/uih/ㄨㄧㆷ/</v>
      </c>
    </row>
    <row r="10" spans="1:11" x14ac:dyDescent="0.25">
      <c r="A10" s="4">
        <v>9</v>
      </c>
      <c r="B10" s="7" t="s">
        <v>25</v>
      </c>
      <c r="C10" s="12" t="s">
        <v>26</v>
      </c>
      <c r="D10" s="12" t="s">
        <v>345</v>
      </c>
      <c r="E10" s="6" t="s">
        <v>27</v>
      </c>
      <c r="F10" s="6" t="s">
        <v>315</v>
      </c>
      <c r="G10" s="6" t="s">
        <v>354</v>
      </c>
      <c r="H10" s="9" t="s">
        <v>28</v>
      </c>
      <c r="I10" s="5">
        <f>LEN(E10)</f>
        <v>1</v>
      </c>
      <c r="J10" s="3" t="str">
        <f t="shared" si="0"/>
        <v xml:space="preserve">    - xform/e/ee/</v>
      </c>
      <c r="K10" s="3" t="str">
        <f t="shared" si="1"/>
        <v xml:space="preserve">    - xform/e/ㄝ/</v>
      </c>
    </row>
    <row r="11" spans="1:11" x14ac:dyDescent="0.25">
      <c r="A11" s="6">
        <v>10</v>
      </c>
      <c r="B11" s="7" t="s">
        <v>25</v>
      </c>
      <c r="C11" s="12" t="s">
        <v>26</v>
      </c>
      <c r="D11" s="12" t="s">
        <v>347</v>
      </c>
      <c r="E11" s="8" t="s">
        <v>29</v>
      </c>
      <c r="F11" s="8" t="s">
        <v>316</v>
      </c>
      <c r="G11" s="6" t="s">
        <v>355</v>
      </c>
      <c r="H11" s="9" t="s">
        <v>30</v>
      </c>
      <c r="I11" s="5">
        <f>LEN(E11)</f>
        <v>2</v>
      </c>
      <c r="J11" s="3" t="str">
        <f t="shared" si="0"/>
        <v xml:space="preserve">    - xform/eh/eeh/</v>
      </c>
      <c r="K11" s="3" t="str">
        <f t="shared" si="1"/>
        <v xml:space="preserve">    - xform/eh/ㄝㆷ/</v>
      </c>
    </row>
    <row r="12" spans="1:11" x14ac:dyDescent="0.25">
      <c r="A12" s="4">
        <v>11</v>
      </c>
      <c r="B12" s="7" t="s">
        <v>31</v>
      </c>
      <c r="C12" s="12" t="s">
        <v>32</v>
      </c>
      <c r="D12" s="12" t="s">
        <v>345</v>
      </c>
      <c r="E12" s="6" t="s">
        <v>33</v>
      </c>
      <c r="F12" s="6" t="s">
        <v>33</v>
      </c>
      <c r="G12" s="6" t="s">
        <v>356</v>
      </c>
      <c r="H12" s="9" t="s">
        <v>34</v>
      </c>
      <c r="I12" s="5">
        <f>LEN(E12)</f>
        <v>2</v>
      </c>
      <c r="J12" s="3" t="str">
        <f t="shared" si="0"/>
        <v xml:space="preserve">    - xform/an/an/</v>
      </c>
      <c r="K12" s="3" t="str">
        <f t="shared" si="1"/>
        <v xml:space="preserve">    - xform/an/ㄢ/</v>
      </c>
    </row>
    <row r="13" spans="1:11" x14ac:dyDescent="0.25">
      <c r="A13" s="6">
        <v>12</v>
      </c>
      <c r="B13" s="7" t="s">
        <v>31</v>
      </c>
      <c r="C13" s="12" t="s">
        <v>32</v>
      </c>
      <c r="D13" s="12" t="s">
        <v>347</v>
      </c>
      <c r="E13" s="6" t="s">
        <v>35</v>
      </c>
      <c r="F13" s="6" t="s">
        <v>35</v>
      </c>
      <c r="G13" s="6" t="s">
        <v>357</v>
      </c>
      <c r="H13" s="9" t="s">
        <v>36</v>
      </c>
      <c r="I13" s="5">
        <f>LEN(E13)</f>
        <v>2</v>
      </c>
      <c r="J13" s="3" t="str">
        <f t="shared" si="0"/>
        <v xml:space="preserve">    - xform/at/at/</v>
      </c>
      <c r="K13" s="3" t="str">
        <f t="shared" si="1"/>
        <v xml:space="preserve">    - xform/at/ㄚㆵ/</v>
      </c>
    </row>
    <row r="14" spans="1:11" x14ac:dyDescent="0.25">
      <c r="A14" s="4">
        <v>13</v>
      </c>
      <c r="B14" s="7" t="s">
        <v>37</v>
      </c>
      <c r="C14" s="12" t="s">
        <v>38</v>
      </c>
      <c r="D14" s="12" t="s">
        <v>345</v>
      </c>
      <c r="E14" s="6" t="s">
        <v>39</v>
      </c>
      <c r="F14" s="6" t="s">
        <v>39</v>
      </c>
      <c r="G14" s="6" t="s">
        <v>40</v>
      </c>
      <c r="H14" s="9" t="s">
        <v>41</v>
      </c>
      <c r="I14" s="5">
        <f>LEN(E14)</f>
        <v>3</v>
      </c>
      <c r="J14" s="3" t="str">
        <f t="shared" si="0"/>
        <v xml:space="preserve">    - xform/ong/ong/</v>
      </c>
      <c r="K14" s="3" t="str">
        <f t="shared" si="1"/>
        <v xml:space="preserve">    - xform/ong/ㆲ/</v>
      </c>
    </row>
    <row r="15" spans="1:11" x14ac:dyDescent="0.25">
      <c r="A15" s="6">
        <v>14</v>
      </c>
      <c r="B15" s="7" t="s">
        <v>37</v>
      </c>
      <c r="C15" s="12" t="s">
        <v>38</v>
      </c>
      <c r="D15" s="12" t="s">
        <v>347</v>
      </c>
      <c r="E15" s="6" t="s">
        <v>42</v>
      </c>
      <c r="F15" s="6" t="s">
        <v>42</v>
      </c>
      <c r="G15" s="6" t="s">
        <v>43</v>
      </c>
      <c r="H15" s="9" t="s">
        <v>44</v>
      </c>
      <c r="I15" s="5">
        <f>LEN(E15)</f>
        <v>2</v>
      </c>
      <c r="J15" s="3" t="str">
        <f t="shared" si="0"/>
        <v xml:space="preserve">    - xform/ok/ok/</v>
      </c>
      <c r="K15" s="3" t="str">
        <f t="shared" si="1"/>
        <v xml:space="preserve">    - xform/ok/ㆦㆻ/</v>
      </c>
    </row>
    <row r="16" spans="1:11" x14ac:dyDescent="0.25">
      <c r="A16" s="4">
        <v>15</v>
      </c>
      <c r="B16" s="7" t="s">
        <v>45</v>
      </c>
      <c r="C16" s="12" t="s">
        <v>46</v>
      </c>
      <c r="D16" s="12" t="s">
        <v>345</v>
      </c>
      <c r="E16" s="6" t="s">
        <v>47</v>
      </c>
      <c r="F16" s="6" t="s">
        <v>47</v>
      </c>
      <c r="G16" s="6" t="s">
        <v>358</v>
      </c>
      <c r="H16" s="9" t="s">
        <v>48</v>
      </c>
      <c r="I16" s="5">
        <f>LEN(E16)</f>
        <v>3</v>
      </c>
      <c r="J16" s="3" t="str">
        <f t="shared" si="0"/>
        <v xml:space="preserve">    - xform/uai/uai/</v>
      </c>
      <c r="K16" s="3" t="str">
        <f t="shared" si="1"/>
        <v xml:space="preserve">    - xform/uai/ㄨㄞ/</v>
      </c>
    </row>
    <row r="17" spans="1:11" x14ac:dyDescent="0.25">
      <c r="A17" s="6">
        <v>16</v>
      </c>
      <c r="B17" s="7" t="s">
        <v>45</v>
      </c>
      <c r="C17" s="12" t="s">
        <v>46</v>
      </c>
      <c r="D17" s="12" t="s">
        <v>347</v>
      </c>
      <c r="E17" s="6" t="s">
        <v>49</v>
      </c>
      <c r="F17" s="6" t="s">
        <v>317</v>
      </c>
      <c r="G17" s="6" t="s">
        <v>359</v>
      </c>
      <c r="H17" s="9" t="s">
        <v>337</v>
      </c>
      <c r="I17" s="5">
        <f>LEN(E17)</f>
        <v>4</v>
      </c>
      <c r="J17" s="3" t="str">
        <f t="shared" si="0"/>
        <v xml:space="preserve">    - xform/uaih/uah/</v>
      </c>
      <c r="K17" s="3" t="str">
        <f t="shared" si="1"/>
        <v xml:space="preserve">    - xform/uaih/ㄨㄞㆷ/</v>
      </c>
    </row>
    <row r="18" spans="1:11" x14ac:dyDescent="0.25">
      <c r="A18" s="4">
        <v>17</v>
      </c>
      <c r="B18" s="7" t="s">
        <v>51</v>
      </c>
      <c r="C18" s="12" t="s">
        <v>52</v>
      </c>
      <c r="D18" s="12" t="s">
        <v>345</v>
      </c>
      <c r="E18" s="6" t="s">
        <v>53</v>
      </c>
      <c r="F18" s="6" t="s">
        <v>318</v>
      </c>
      <c r="G18" s="6" t="s">
        <v>360</v>
      </c>
      <c r="H18" s="9" t="s">
        <v>54</v>
      </c>
      <c r="I18" s="5">
        <f>LEN(E18)</f>
        <v>3</v>
      </c>
      <c r="J18" s="3" t="str">
        <f t="shared" si="0"/>
        <v xml:space="preserve">    - xform/ing/ing/</v>
      </c>
      <c r="K18" s="3" t="str">
        <f t="shared" si="1"/>
        <v xml:space="preserve">    - xform/ing/ㄧㄥ/</v>
      </c>
    </row>
    <row r="19" spans="1:11" x14ac:dyDescent="0.25">
      <c r="A19" s="6">
        <v>18</v>
      </c>
      <c r="B19" s="7" t="s">
        <v>51</v>
      </c>
      <c r="C19" s="12" t="s">
        <v>52</v>
      </c>
      <c r="D19" s="12" t="s">
        <v>347</v>
      </c>
      <c r="E19" s="6" t="s">
        <v>55</v>
      </c>
      <c r="F19" s="6" t="s">
        <v>55</v>
      </c>
      <c r="G19" s="6" t="s">
        <v>361</v>
      </c>
      <c r="H19" s="9" t="s">
        <v>56</v>
      </c>
      <c r="I19" s="5">
        <f>LEN(E19)</f>
        <v>2</v>
      </c>
      <c r="J19" s="3" t="str">
        <f t="shared" si="0"/>
        <v xml:space="preserve">    - xform/ik/ik/</v>
      </c>
      <c r="K19" s="3" t="str">
        <f t="shared" si="1"/>
        <v xml:space="preserve">    - xform/ik/ㄧㆻ/</v>
      </c>
    </row>
    <row r="20" spans="1:11" x14ac:dyDescent="0.25">
      <c r="A20" s="4">
        <v>19</v>
      </c>
      <c r="B20" s="7" t="s">
        <v>57</v>
      </c>
      <c r="C20" s="12" t="s">
        <v>58</v>
      </c>
      <c r="D20" s="12" t="s">
        <v>345</v>
      </c>
      <c r="E20" s="6" t="s">
        <v>59</v>
      </c>
      <c r="F20" s="6" t="s">
        <v>59</v>
      </c>
      <c r="G20" s="6" t="s">
        <v>362</v>
      </c>
      <c r="H20" s="9" t="s">
        <v>60</v>
      </c>
      <c r="I20" s="5">
        <f>LEN(E20)</f>
        <v>3</v>
      </c>
      <c r="J20" s="3" t="str">
        <f t="shared" si="0"/>
        <v xml:space="preserve">    - xform/uan/uan/</v>
      </c>
      <c r="K20" s="3" t="str">
        <f t="shared" si="1"/>
        <v xml:space="preserve">    - xform/uan/ㄨㄢ/</v>
      </c>
    </row>
    <row r="21" spans="1:11" x14ac:dyDescent="0.25">
      <c r="A21" s="6">
        <v>20</v>
      </c>
      <c r="B21" s="7" t="s">
        <v>57</v>
      </c>
      <c r="C21" s="12" t="s">
        <v>58</v>
      </c>
      <c r="D21" s="12" t="s">
        <v>345</v>
      </c>
      <c r="E21" s="6" t="s">
        <v>59</v>
      </c>
      <c r="F21" s="6" t="s">
        <v>61</v>
      </c>
      <c r="G21" s="6" t="s">
        <v>363</v>
      </c>
      <c r="H21" s="9" t="s">
        <v>62</v>
      </c>
      <c r="I21" s="5">
        <f>LEN(E21)</f>
        <v>3</v>
      </c>
      <c r="J21" s="3" t="str">
        <f t="shared" si="0"/>
        <v xml:space="preserve">    - xform/uan/uat/</v>
      </c>
      <c r="K21" s="3" t="str">
        <f t="shared" si="1"/>
        <v xml:space="preserve">    - xform/uan/ㄨㄚㆵ/</v>
      </c>
    </row>
    <row r="22" spans="1:11" x14ac:dyDescent="0.25">
      <c r="A22" s="4">
        <v>21</v>
      </c>
      <c r="B22" s="7" t="s">
        <v>63</v>
      </c>
      <c r="C22" s="12" t="s">
        <v>64</v>
      </c>
      <c r="D22" s="12" t="s">
        <v>345</v>
      </c>
      <c r="E22" s="6" t="s">
        <v>65</v>
      </c>
      <c r="F22" s="6" t="s">
        <v>65</v>
      </c>
      <c r="G22" s="6" t="s">
        <v>66</v>
      </c>
      <c r="H22" s="9" t="s">
        <v>67</v>
      </c>
      <c r="I22" s="5">
        <f>LEN(E22)</f>
        <v>2</v>
      </c>
      <c r="J22" s="3" t="str">
        <f t="shared" si="0"/>
        <v xml:space="preserve">    - xform/oo/oo/</v>
      </c>
      <c r="K22" s="3" t="str">
        <f t="shared" si="1"/>
        <v xml:space="preserve">    - xform/oo/ㆦ/</v>
      </c>
    </row>
    <row r="23" spans="1:11" x14ac:dyDescent="0.25">
      <c r="A23" s="6">
        <v>22</v>
      </c>
      <c r="B23" s="7" t="s">
        <v>63</v>
      </c>
      <c r="C23" s="12" t="s">
        <v>64</v>
      </c>
      <c r="D23" s="12" t="s">
        <v>345</v>
      </c>
      <c r="E23" s="6" t="s">
        <v>65</v>
      </c>
      <c r="F23" s="6" t="s">
        <v>319</v>
      </c>
      <c r="G23" s="6" t="s">
        <v>320</v>
      </c>
      <c r="H23" s="9"/>
      <c r="I23" s="5">
        <f>LEN(E23)</f>
        <v>2</v>
      </c>
      <c r="J23" s="3" t="str">
        <f t="shared" si="0"/>
        <v xml:space="preserve">    - xform/oo/ooh/</v>
      </c>
      <c r="K23" s="3" t="str">
        <f t="shared" si="1"/>
        <v xml:space="preserve">    - xform/oo/ㆦㆷ/</v>
      </c>
    </row>
    <row r="24" spans="1:11" x14ac:dyDescent="0.25">
      <c r="A24" s="4">
        <v>23</v>
      </c>
      <c r="B24" s="7" t="s">
        <v>68</v>
      </c>
      <c r="C24" s="12" t="s">
        <v>69</v>
      </c>
      <c r="D24" s="12" t="s">
        <v>345</v>
      </c>
      <c r="E24" s="6" t="s">
        <v>70</v>
      </c>
      <c r="F24" s="6" t="s">
        <v>71</v>
      </c>
      <c r="G24" s="6" t="s">
        <v>364</v>
      </c>
      <c r="H24" s="9" t="s">
        <v>72</v>
      </c>
      <c r="I24" s="5">
        <f>LEN(E24)</f>
        <v>3</v>
      </c>
      <c r="J24" s="3" t="str">
        <f t="shared" si="0"/>
        <v xml:space="preserve">    - xform/iau/iao/</v>
      </c>
      <c r="K24" s="3" t="str">
        <f t="shared" si="1"/>
        <v xml:space="preserve">    - xform/iau/ㄧㄠ/</v>
      </c>
    </row>
    <row r="25" spans="1:11" x14ac:dyDescent="0.25">
      <c r="A25" s="6">
        <v>24</v>
      </c>
      <c r="B25" s="7" t="s">
        <v>68</v>
      </c>
      <c r="C25" s="12" t="s">
        <v>69</v>
      </c>
      <c r="D25" s="12" t="s">
        <v>345</v>
      </c>
      <c r="E25" s="6" t="s">
        <v>70</v>
      </c>
      <c r="F25" s="6" t="s">
        <v>73</v>
      </c>
      <c r="G25" s="6" t="s">
        <v>365</v>
      </c>
      <c r="H25" s="9" t="s">
        <v>74</v>
      </c>
      <c r="I25" s="5">
        <f>LEN(E25)</f>
        <v>3</v>
      </c>
      <c r="J25" s="3" t="str">
        <f t="shared" si="0"/>
        <v xml:space="preserve">    - xform/iau/iaoh/</v>
      </c>
      <c r="K25" s="3" t="str">
        <f t="shared" si="1"/>
        <v xml:space="preserve">    - xform/iau/ㄧㄠㆷ/</v>
      </c>
    </row>
    <row r="26" spans="1:11" x14ac:dyDescent="0.25">
      <c r="A26" s="4">
        <v>25</v>
      </c>
      <c r="B26" s="7" t="s">
        <v>75</v>
      </c>
      <c r="C26" s="12" t="s">
        <v>76</v>
      </c>
      <c r="D26" s="12" t="s">
        <v>345</v>
      </c>
      <c r="E26" s="6" t="s">
        <v>27</v>
      </c>
      <c r="F26" s="6" t="s">
        <v>27</v>
      </c>
      <c r="G26" s="6" t="s">
        <v>77</v>
      </c>
      <c r="H26" s="9" t="s">
        <v>78</v>
      </c>
      <c r="I26" s="5">
        <f>LEN(E26)</f>
        <v>1</v>
      </c>
      <c r="J26" s="3" t="str">
        <f t="shared" si="0"/>
        <v xml:space="preserve">    - xform/e/e/</v>
      </c>
      <c r="K26" s="3" t="str">
        <f t="shared" si="1"/>
        <v xml:space="preserve">    - xform/e/ㆤ/</v>
      </c>
    </row>
    <row r="27" spans="1:11" x14ac:dyDescent="0.25">
      <c r="A27" s="6">
        <v>26</v>
      </c>
      <c r="B27" s="7" t="s">
        <v>75</v>
      </c>
      <c r="C27" s="12" t="s">
        <v>76</v>
      </c>
      <c r="D27" s="12" t="s">
        <v>345</v>
      </c>
      <c r="E27" s="6" t="s">
        <v>27</v>
      </c>
      <c r="F27" s="6" t="s">
        <v>321</v>
      </c>
      <c r="G27" s="6" t="s">
        <v>322</v>
      </c>
      <c r="H27" s="9"/>
      <c r="I27" s="5">
        <f>LEN(E27)</f>
        <v>1</v>
      </c>
      <c r="J27" s="3" t="str">
        <f t="shared" si="0"/>
        <v xml:space="preserve">    - xform/e/eh/</v>
      </c>
      <c r="K27" s="3" t="str">
        <f t="shared" si="1"/>
        <v xml:space="preserve">    - xform/e/ㆤㆷ/</v>
      </c>
    </row>
    <row r="28" spans="1:11" x14ac:dyDescent="0.25">
      <c r="A28" s="4">
        <v>27</v>
      </c>
      <c r="B28" s="7" t="s">
        <v>80</v>
      </c>
      <c r="C28" s="12" t="s">
        <v>81</v>
      </c>
      <c r="D28" s="12" t="s">
        <v>345</v>
      </c>
      <c r="E28" s="6" t="s">
        <v>82</v>
      </c>
      <c r="F28" s="6" t="s">
        <v>82</v>
      </c>
      <c r="G28" s="6" t="s">
        <v>366</v>
      </c>
      <c r="H28" s="9" t="s">
        <v>83</v>
      </c>
      <c r="I28" s="5">
        <f>LEN(E28)</f>
        <v>4</v>
      </c>
      <c r="J28" s="3" t="str">
        <f t="shared" si="0"/>
        <v xml:space="preserve">    - xform/iong/iong/</v>
      </c>
      <c r="K28" s="3" t="str">
        <f t="shared" si="1"/>
        <v xml:space="preserve">    - xform/iong/ㄧㆲ/</v>
      </c>
    </row>
    <row r="29" spans="1:11" x14ac:dyDescent="0.25">
      <c r="A29" s="6">
        <v>28</v>
      </c>
      <c r="B29" s="7" t="s">
        <v>80</v>
      </c>
      <c r="C29" s="12" t="s">
        <v>81</v>
      </c>
      <c r="D29" s="12" t="s">
        <v>347</v>
      </c>
      <c r="E29" s="6" t="s">
        <v>84</v>
      </c>
      <c r="F29" s="6" t="s">
        <v>85</v>
      </c>
      <c r="G29" s="6" t="s">
        <v>367</v>
      </c>
      <c r="H29" s="9" t="s">
        <v>86</v>
      </c>
      <c r="I29" s="5">
        <f>LEN(E29)</f>
        <v>4</v>
      </c>
      <c r="J29" s="3" t="str">
        <f t="shared" si="0"/>
        <v xml:space="preserve">    - xform/iook/iok/</v>
      </c>
      <c r="K29" s="3" t="str">
        <f t="shared" si="1"/>
        <v xml:space="preserve">    - xform/iook/ㄧㆦㆻ/</v>
      </c>
    </row>
    <row r="30" spans="1:11" x14ac:dyDescent="0.25">
      <c r="A30" s="4">
        <v>29</v>
      </c>
      <c r="B30" s="7" t="s">
        <v>87</v>
      </c>
      <c r="C30" s="12" t="s">
        <v>88</v>
      </c>
      <c r="D30" s="12" t="s">
        <v>345</v>
      </c>
      <c r="E30" s="6" t="s">
        <v>89</v>
      </c>
      <c r="F30" s="6" t="s">
        <v>90</v>
      </c>
      <c r="G30" s="6" t="s">
        <v>368</v>
      </c>
      <c r="H30" s="9" t="s">
        <v>91</v>
      </c>
      <c r="I30" s="5">
        <f>LEN(E30)</f>
        <v>2</v>
      </c>
      <c r="J30" s="3" t="str">
        <f t="shared" si="0"/>
        <v xml:space="preserve">    - xform/or/o/</v>
      </c>
      <c r="K30" s="3" t="str">
        <f t="shared" si="1"/>
        <v xml:space="preserve">    - xform/or/ㄜ/</v>
      </c>
    </row>
    <row r="31" spans="1:11" x14ac:dyDescent="0.25">
      <c r="A31" s="6">
        <v>30</v>
      </c>
      <c r="B31" s="7" t="s">
        <v>87</v>
      </c>
      <c r="C31" s="12" t="s">
        <v>88</v>
      </c>
      <c r="D31" s="12" t="s">
        <v>345</v>
      </c>
      <c r="E31" s="6" t="s">
        <v>89</v>
      </c>
      <c r="F31" s="6" t="s">
        <v>92</v>
      </c>
      <c r="G31" s="6" t="s">
        <v>369</v>
      </c>
      <c r="H31" s="9" t="s">
        <v>93</v>
      </c>
      <c r="I31" s="5">
        <f>LEN(E31)</f>
        <v>2</v>
      </c>
      <c r="J31" s="3" t="str">
        <f t="shared" si="0"/>
        <v xml:space="preserve">    - xform/or/oh/</v>
      </c>
      <c r="K31" s="3" t="str">
        <f t="shared" si="1"/>
        <v xml:space="preserve">    - xform/or/ㄜㆷ/</v>
      </c>
    </row>
    <row r="32" spans="1:11" x14ac:dyDescent="0.25">
      <c r="A32" s="4">
        <v>31</v>
      </c>
      <c r="B32" s="7" t="s">
        <v>94</v>
      </c>
      <c r="C32" s="12" t="s">
        <v>95</v>
      </c>
      <c r="D32" s="12" t="s">
        <v>345</v>
      </c>
      <c r="E32" s="6" t="s">
        <v>96</v>
      </c>
      <c r="F32" s="6" t="s">
        <v>96</v>
      </c>
      <c r="G32" s="6" t="s">
        <v>370</v>
      </c>
      <c r="H32" s="9" t="s">
        <v>97</v>
      </c>
      <c r="I32" s="5">
        <f>LEN(E32)</f>
        <v>2</v>
      </c>
      <c r="J32" s="3" t="str">
        <f t="shared" si="0"/>
        <v xml:space="preserve">    - xform/ai/ai/</v>
      </c>
      <c r="K32" s="3" t="str">
        <f t="shared" si="1"/>
        <v xml:space="preserve">    - xform/ai/ㄞ/</v>
      </c>
    </row>
    <row r="33" spans="1:11" x14ac:dyDescent="0.25">
      <c r="A33" s="6">
        <v>32</v>
      </c>
      <c r="B33" s="7" t="s">
        <v>94</v>
      </c>
      <c r="C33" s="12" t="s">
        <v>95</v>
      </c>
      <c r="D33" s="12" t="s">
        <v>345</v>
      </c>
      <c r="E33" s="6" t="s">
        <v>96</v>
      </c>
      <c r="F33" s="6" t="s">
        <v>323</v>
      </c>
      <c r="G33" s="6" t="s">
        <v>98</v>
      </c>
      <c r="H33" s="9"/>
      <c r="I33" s="5">
        <f>LEN(E33)</f>
        <v>2</v>
      </c>
      <c r="J33" s="3" t="str">
        <f t="shared" si="0"/>
        <v xml:space="preserve">    - xform/ai/aih/</v>
      </c>
      <c r="K33" s="3" t="str">
        <f t="shared" si="1"/>
        <v xml:space="preserve">    - xform/ai/ㄞㆷ/</v>
      </c>
    </row>
    <row r="34" spans="1:11" x14ac:dyDescent="0.25">
      <c r="A34" s="4">
        <v>33</v>
      </c>
      <c r="B34" s="7" t="s">
        <v>99</v>
      </c>
      <c r="C34" s="12" t="s">
        <v>100</v>
      </c>
      <c r="D34" s="12" t="s">
        <v>345</v>
      </c>
      <c r="E34" s="6" t="s">
        <v>101</v>
      </c>
      <c r="F34" s="6" t="s">
        <v>101</v>
      </c>
      <c r="G34" s="6" t="s">
        <v>371</v>
      </c>
      <c r="H34" s="9" t="s">
        <v>102</v>
      </c>
      <c r="I34" s="5">
        <f>LEN(E34)</f>
        <v>2</v>
      </c>
      <c r="J34" s="3" t="str">
        <f t="shared" si="0"/>
        <v xml:space="preserve">    - xform/in/in/</v>
      </c>
      <c r="K34" s="3" t="str">
        <f t="shared" si="1"/>
        <v xml:space="preserve">    - xform/in/ㄧㄣ/</v>
      </c>
    </row>
    <row r="35" spans="1:11" x14ac:dyDescent="0.25">
      <c r="A35" s="6">
        <v>34</v>
      </c>
      <c r="B35" s="7" t="s">
        <v>99</v>
      </c>
      <c r="C35" s="12" t="s">
        <v>100</v>
      </c>
      <c r="D35" s="12" t="s">
        <v>347</v>
      </c>
      <c r="E35" s="6" t="s">
        <v>103</v>
      </c>
      <c r="F35" s="6" t="s">
        <v>103</v>
      </c>
      <c r="G35" s="6" t="s">
        <v>372</v>
      </c>
      <c r="H35" s="9" t="s">
        <v>104</v>
      </c>
      <c r="I35" s="5">
        <f>LEN(E35)</f>
        <v>2</v>
      </c>
      <c r="J35" s="3" t="str">
        <f t="shared" si="0"/>
        <v xml:space="preserve">    - xform/it/it/</v>
      </c>
      <c r="K35" s="3" t="str">
        <f t="shared" si="1"/>
        <v xml:space="preserve">    - xform/it/ㄧㆵ/</v>
      </c>
    </row>
    <row r="36" spans="1:11" x14ac:dyDescent="0.25">
      <c r="A36" s="4">
        <v>35</v>
      </c>
      <c r="B36" s="7" t="s">
        <v>105</v>
      </c>
      <c r="C36" s="12" t="s">
        <v>106</v>
      </c>
      <c r="D36" s="12" t="s">
        <v>345</v>
      </c>
      <c r="E36" s="6" t="s">
        <v>107</v>
      </c>
      <c r="F36" s="6" t="s">
        <v>107</v>
      </c>
      <c r="G36" s="6" t="s">
        <v>373</v>
      </c>
      <c r="H36" s="9" t="s">
        <v>108</v>
      </c>
      <c r="I36" s="5">
        <f>LEN(E36)</f>
        <v>4</v>
      </c>
      <c r="J36" s="3" t="str">
        <f t="shared" si="0"/>
        <v xml:space="preserve">    - xform/iang/iang/</v>
      </c>
      <c r="K36" s="3" t="str">
        <f t="shared" si="1"/>
        <v xml:space="preserve">    - xform/iang/ㄧㄤ/</v>
      </c>
    </row>
    <row r="37" spans="1:11" x14ac:dyDescent="0.25">
      <c r="A37" s="6">
        <v>36</v>
      </c>
      <c r="B37" s="7" t="s">
        <v>105</v>
      </c>
      <c r="C37" s="12" t="s">
        <v>106</v>
      </c>
      <c r="D37" s="12" t="s">
        <v>347</v>
      </c>
      <c r="E37" s="6" t="s">
        <v>109</v>
      </c>
      <c r="F37" s="6" t="s">
        <v>109</v>
      </c>
      <c r="G37" s="6" t="s">
        <v>374</v>
      </c>
      <c r="H37" s="9" t="s">
        <v>110</v>
      </c>
      <c r="I37" s="5">
        <f>LEN(E37)</f>
        <v>3</v>
      </c>
      <c r="J37" s="3" t="str">
        <f t="shared" si="0"/>
        <v xml:space="preserve">    - xform/iak/iak/</v>
      </c>
      <c r="K37" s="3" t="str">
        <f t="shared" si="1"/>
        <v xml:space="preserve">    - xform/iak/ㄧㄚㆻ/</v>
      </c>
    </row>
    <row r="38" spans="1:11" x14ac:dyDescent="0.25">
      <c r="A38" s="4">
        <v>37</v>
      </c>
      <c r="B38" s="7" t="s">
        <v>111</v>
      </c>
      <c r="C38" s="12" t="s">
        <v>112</v>
      </c>
      <c r="D38" s="12" t="s">
        <v>345</v>
      </c>
      <c r="E38" s="6" t="s">
        <v>113</v>
      </c>
      <c r="F38" s="6" t="s">
        <v>113</v>
      </c>
      <c r="G38" s="6" t="s">
        <v>114</v>
      </c>
      <c r="H38" s="9" t="s">
        <v>115</v>
      </c>
      <c r="I38" s="5">
        <f>LEN(E38)</f>
        <v>2</v>
      </c>
      <c r="J38" s="3" t="str">
        <f t="shared" si="0"/>
        <v xml:space="preserve">    - xform/am/am/</v>
      </c>
      <c r="K38" s="3" t="str">
        <f t="shared" si="1"/>
        <v xml:space="preserve">    - xform/am/ㆰ/</v>
      </c>
    </row>
    <row r="39" spans="1:11" x14ac:dyDescent="0.25">
      <c r="A39" s="6">
        <v>38</v>
      </c>
      <c r="B39" s="7" t="s">
        <v>111</v>
      </c>
      <c r="C39" s="12" t="s">
        <v>112</v>
      </c>
      <c r="D39" s="12" t="s">
        <v>347</v>
      </c>
      <c r="E39" s="6" t="s">
        <v>116</v>
      </c>
      <c r="F39" s="6" t="s">
        <v>116</v>
      </c>
      <c r="G39" s="6" t="s">
        <v>375</v>
      </c>
      <c r="H39" s="9" t="s">
        <v>117</v>
      </c>
      <c r="I39" s="5">
        <f>LEN(E39)</f>
        <v>2</v>
      </c>
      <c r="J39" s="3" t="str">
        <f t="shared" si="0"/>
        <v xml:space="preserve">    - xform/ap/ap/</v>
      </c>
      <c r="K39" s="3" t="str">
        <f t="shared" si="1"/>
        <v xml:space="preserve">    - xform/ap/ㄚㆴ/</v>
      </c>
    </row>
    <row r="40" spans="1:11" x14ac:dyDescent="0.25">
      <c r="A40" s="4">
        <v>39</v>
      </c>
      <c r="B40" s="7" t="s">
        <v>118</v>
      </c>
      <c r="C40" s="12" t="s">
        <v>119</v>
      </c>
      <c r="D40" s="12" t="s">
        <v>345</v>
      </c>
      <c r="E40" s="6" t="s">
        <v>120</v>
      </c>
      <c r="F40" s="6" t="s">
        <v>120</v>
      </c>
      <c r="G40" s="6" t="s">
        <v>376</v>
      </c>
      <c r="H40" s="9" t="s">
        <v>121</v>
      </c>
      <c r="I40" s="5">
        <f>LEN(E40)</f>
        <v>2</v>
      </c>
      <c r="J40" s="3" t="str">
        <f t="shared" si="0"/>
        <v xml:space="preserve">    - xform/ua/ua/</v>
      </c>
      <c r="K40" s="3" t="str">
        <f t="shared" si="1"/>
        <v xml:space="preserve">    - xform/ua/ㄨㄚ/</v>
      </c>
    </row>
    <row r="41" spans="1:11" x14ac:dyDescent="0.25">
      <c r="A41" s="6">
        <v>40</v>
      </c>
      <c r="B41" s="7" t="s">
        <v>118</v>
      </c>
      <c r="C41" s="12" t="s">
        <v>119</v>
      </c>
      <c r="D41" s="12" t="s">
        <v>347</v>
      </c>
      <c r="E41" s="6" t="s">
        <v>50</v>
      </c>
      <c r="F41" s="6" t="s">
        <v>50</v>
      </c>
      <c r="G41" s="6" t="s">
        <v>377</v>
      </c>
      <c r="H41" s="9" t="s">
        <v>122</v>
      </c>
      <c r="I41" s="5">
        <f>LEN(E41)</f>
        <v>3</v>
      </c>
      <c r="J41" s="3" t="str">
        <f t="shared" si="0"/>
        <v xml:space="preserve">    - xform/uah/uah/</v>
      </c>
      <c r="K41" s="3" t="str">
        <f t="shared" si="1"/>
        <v xml:space="preserve">    - xform/uah/ㄨㄚㆷ/</v>
      </c>
    </row>
    <row r="42" spans="1:11" x14ac:dyDescent="0.25">
      <c r="A42" s="4">
        <v>41</v>
      </c>
      <c r="B42" s="7" t="s">
        <v>123</v>
      </c>
      <c r="C42" s="12" t="s">
        <v>124</v>
      </c>
      <c r="D42" s="12" t="s">
        <v>345</v>
      </c>
      <c r="E42" s="6" t="s">
        <v>125</v>
      </c>
      <c r="F42" s="6" t="s">
        <v>125</v>
      </c>
      <c r="G42" s="6" t="s">
        <v>378</v>
      </c>
      <c r="H42" s="9" t="s">
        <v>126</v>
      </c>
      <c r="I42" s="5">
        <f>LEN(E42)</f>
        <v>3</v>
      </c>
      <c r="J42" s="3" t="str">
        <f t="shared" si="0"/>
        <v xml:space="preserve">    - xform/ang/ang/</v>
      </c>
      <c r="K42" s="3" t="str">
        <f t="shared" si="1"/>
        <v xml:space="preserve">    - xform/ang/ㄤ/</v>
      </c>
    </row>
    <row r="43" spans="1:11" x14ac:dyDescent="0.25">
      <c r="A43" s="6">
        <v>42</v>
      </c>
      <c r="B43" s="7" t="s">
        <v>123</v>
      </c>
      <c r="C43" s="12" t="s">
        <v>124</v>
      </c>
      <c r="D43" s="12" t="s">
        <v>347</v>
      </c>
      <c r="E43" s="6" t="s">
        <v>127</v>
      </c>
      <c r="F43" s="6" t="s">
        <v>127</v>
      </c>
      <c r="G43" s="6" t="s">
        <v>379</v>
      </c>
      <c r="H43" s="9" t="s">
        <v>128</v>
      </c>
      <c r="I43" s="5">
        <f>LEN(E43)</f>
        <v>2</v>
      </c>
      <c r="J43" s="3" t="str">
        <f t="shared" si="0"/>
        <v xml:space="preserve">    - xform/ak/ak/</v>
      </c>
      <c r="K43" s="3" t="str">
        <f t="shared" si="1"/>
        <v xml:space="preserve">    - xform/ak/ㄚㆻ/</v>
      </c>
    </row>
    <row r="44" spans="1:11" x14ac:dyDescent="0.25">
      <c r="A44" s="4">
        <v>43</v>
      </c>
      <c r="B44" s="7" t="s">
        <v>129</v>
      </c>
      <c r="C44" s="12" t="s">
        <v>130</v>
      </c>
      <c r="D44" s="12" t="s">
        <v>345</v>
      </c>
      <c r="E44" s="6" t="s">
        <v>131</v>
      </c>
      <c r="F44" s="6" t="s">
        <v>131</v>
      </c>
      <c r="G44" s="6" t="s">
        <v>380</v>
      </c>
      <c r="H44" s="9" t="s">
        <v>132</v>
      </c>
      <c r="I44" s="5">
        <f>LEN(E44)</f>
        <v>3</v>
      </c>
      <c r="J44" s="3" t="str">
        <f t="shared" si="0"/>
        <v xml:space="preserve">    - xform/iam/iam/</v>
      </c>
      <c r="K44" s="3" t="str">
        <f t="shared" si="1"/>
        <v xml:space="preserve">    - xform/iam/ㄧㆰ/</v>
      </c>
    </row>
    <row r="45" spans="1:11" x14ac:dyDescent="0.25">
      <c r="A45" s="6">
        <v>44</v>
      </c>
      <c r="B45" s="7" t="s">
        <v>129</v>
      </c>
      <c r="C45" s="12" t="s">
        <v>130</v>
      </c>
      <c r="D45" s="12" t="s">
        <v>347</v>
      </c>
      <c r="E45" s="6" t="s">
        <v>133</v>
      </c>
      <c r="F45" s="6" t="s">
        <v>133</v>
      </c>
      <c r="G45" s="6" t="s">
        <v>381</v>
      </c>
      <c r="H45" s="9" t="s">
        <v>134</v>
      </c>
      <c r="I45" s="5">
        <f>LEN(E45)</f>
        <v>3</v>
      </c>
      <c r="J45" s="3" t="str">
        <f t="shared" si="0"/>
        <v xml:space="preserve">    - xform/iap/iap/</v>
      </c>
      <c r="K45" s="3" t="str">
        <f t="shared" si="1"/>
        <v xml:space="preserve">    - xform/iap/ㄧㄚㆴ/</v>
      </c>
    </row>
    <row r="46" spans="1:11" x14ac:dyDescent="0.25">
      <c r="A46" s="4">
        <v>45</v>
      </c>
      <c r="B46" s="7" t="s">
        <v>135</v>
      </c>
      <c r="C46" s="12" t="s">
        <v>136</v>
      </c>
      <c r="D46" s="12" t="s">
        <v>345</v>
      </c>
      <c r="E46" s="6" t="s">
        <v>137</v>
      </c>
      <c r="F46" s="6" t="s">
        <v>138</v>
      </c>
      <c r="G46" s="6" t="s">
        <v>382</v>
      </c>
      <c r="H46" s="9" t="s">
        <v>139</v>
      </c>
      <c r="I46" s="5">
        <f>LEN(E46)</f>
        <v>2</v>
      </c>
      <c r="J46" s="3" t="str">
        <f t="shared" si="0"/>
        <v xml:space="preserve">    - xform/au/ao/</v>
      </c>
      <c r="K46" s="3" t="str">
        <f t="shared" si="1"/>
        <v xml:space="preserve">    - xform/au/ㄠ/</v>
      </c>
    </row>
    <row r="47" spans="1:11" x14ac:dyDescent="0.25">
      <c r="A47" s="6">
        <v>46</v>
      </c>
      <c r="B47" s="7" t="s">
        <v>135</v>
      </c>
      <c r="C47" s="12" t="s">
        <v>136</v>
      </c>
      <c r="D47" s="12" t="s">
        <v>347</v>
      </c>
      <c r="E47" s="6" t="s">
        <v>140</v>
      </c>
      <c r="F47" s="6" t="s">
        <v>141</v>
      </c>
      <c r="G47" s="6" t="s">
        <v>383</v>
      </c>
      <c r="H47" s="9" t="s">
        <v>142</v>
      </c>
      <c r="I47" s="5">
        <f>LEN(E47)</f>
        <v>3</v>
      </c>
      <c r="J47" s="3" t="str">
        <f t="shared" si="0"/>
        <v xml:space="preserve">    - xform/auh/aoh/</v>
      </c>
      <c r="K47" s="3" t="str">
        <f t="shared" si="1"/>
        <v xml:space="preserve">    - xform/auh/ㄠㆷ/</v>
      </c>
    </row>
    <row r="48" spans="1:11" x14ac:dyDescent="0.25">
      <c r="A48" s="4">
        <v>47</v>
      </c>
      <c r="B48" s="7" t="s">
        <v>143</v>
      </c>
      <c r="C48" s="12" t="s">
        <v>144</v>
      </c>
      <c r="D48" s="12" t="s">
        <v>345</v>
      </c>
      <c r="E48" s="6" t="s">
        <v>145</v>
      </c>
      <c r="F48" s="6" t="s">
        <v>145</v>
      </c>
      <c r="G48" s="6" t="s">
        <v>384</v>
      </c>
      <c r="H48" s="9" t="s">
        <v>146</v>
      </c>
      <c r="I48" s="5">
        <f>LEN(E48)</f>
        <v>2</v>
      </c>
      <c r="J48" s="3" t="str">
        <f t="shared" si="0"/>
        <v xml:space="preserve">    - xform/ia/ia/</v>
      </c>
      <c r="K48" s="3" t="str">
        <f t="shared" si="1"/>
        <v xml:space="preserve">    - xform/ia/ㄧㄚ/</v>
      </c>
    </row>
    <row r="49" spans="1:11" x14ac:dyDescent="0.25">
      <c r="A49" s="6">
        <v>48</v>
      </c>
      <c r="B49" s="7" t="s">
        <v>143</v>
      </c>
      <c r="C49" s="12" t="s">
        <v>144</v>
      </c>
      <c r="D49" s="12" t="s">
        <v>347</v>
      </c>
      <c r="E49" s="6" t="s">
        <v>147</v>
      </c>
      <c r="F49" s="6" t="s">
        <v>147</v>
      </c>
      <c r="G49" s="6" t="s">
        <v>385</v>
      </c>
      <c r="H49" s="9" t="s">
        <v>148</v>
      </c>
      <c r="I49" s="5">
        <f>LEN(E49)</f>
        <v>3</v>
      </c>
      <c r="J49" s="3" t="str">
        <f t="shared" si="0"/>
        <v xml:space="preserve">    - xform/iah/iah/</v>
      </c>
      <c r="K49" s="3" t="str">
        <f t="shared" si="1"/>
        <v xml:space="preserve">    - xform/iah/ㄧㄚㆷ/</v>
      </c>
    </row>
    <row r="50" spans="1:11" x14ac:dyDescent="0.25">
      <c r="A50" s="4">
        <v>49</v>
      </c>
      <c r="B50" s="7" t="s">
        <v>149</v>
      </c>
      <c r="C50" s="12" t="s">
        <v>150</v>
      </c>
      <c r="D50" s="12" t="s">
        <v>345</v>
      </c>
      <c r="E50" s="6" t="s">
        <v>151</v>
      </c>
      <c r="F50" s="6" t="s">
        <v>151</v>
      </c>
      <c r="G50" s="6" t="s">
        <v>386</v>
      </c>
      <c r="H50" s="9" t="s">
        <v>152</v>
      </c>
      <c r="I50" s="5">
        <f>LEN(E50)</f>
        <v>2</v>
      </c>
      <c r="J50" s="3" t="str">
        <f t="shared" si="0"/>
        <v xml:space="preserve">    - xform/ue/ue/</v>
      </c>
      <c r="K50" s="3" t="str">
        <f t="shared" si="1"/>
        <v xml:space="preserve">    - xform/ue/ㄨㆤ/</v>
      </c>
    </row>
    <row r="51" spans="1:11" x14ac:dyDescent="0.25">
      <c r="A51" s="6">
        <v>50</v>
      </c>
      <c r="B51" s="7" t="s">
        <v>149</v>
      </c>
      <c r="C51" s="12" t="s">
        <v>150</v>
      </c>
      <c r="D51" s="12" t="s">
        <v>347</v>
      </c>
      <c r="E51" s="6" t="s">
        <v>153</v>
      </c>
      <c r="F51" s="6" t="s">
        <v>153</v>
      </c>
      <c r="G51" s="6" t="s">
        <v>387</v>
      </c>
      <c r="H51" s="9" t="s">
        <v>154</v>
      </c>
      <c r="I51" s="5">
        <f>LEN(E51)</f>
        <v>3</v>
      </c>
      <c r="J51" s="3" t="str">
        <f t="shared" si="0"/>
        <v xml:space="preserve">    - xform/ueh/ueh/</v>
      </c>
      <c r="K51" s="3" t="str">
        <f t="shared" si="1"/>
        <v xml:space="preserve">    - xform/ueh/ㄨㆤㆷ/</v>
      </c>
    </row>
    <row r="52" spans="1:11" x14ac:dyDescent="0.25">
      <c r="A52" s="4">
        <v>51</v>
      </c>
      <c r="B52" s="7" t="s">
        <v>155</v>
      </c>
      <c r="C52" s="12" t="s">
        <v>156</v>
      </c>
      <c r="D52" s="12" t="s">
        <v>345</v>
      </c>
      <c r="E52" s="6" t="s">
        <v>157</v>
      </c>
      <c r="F52" s="6" t="s">
        <v>158</v>
      </c>
      <c r="G52" s="6" t="s">
        <v>159</v>
      </c>
      <c r="H52" s="9" t="s">
        <v>160</v>
      </c>
      <c r="I52" s="5">
        <f>LEN(E52)</f>
        <v>3</v>
      </c>
      <c r="J52" s="3" t="str">
        <f t="shared" si="0"/>
        <v xml:space="preserve">    - xform/ann/na/</v>
      </c>
      <c r="K52" s="3" t="str">
        <f t="shared" si="1"/>
        <v xml:space="preserve">    - xform/ann/ㆩ/</v>
      </c>
    </row>
    <row r="53" spans="1:11" x14ac:dyDescent="0.25">
      <c r="A53" s="6">
        <v>52</v>
      </c>
      <c r="B53" s="7" t="s">
        <v>155</v>
      </c>
      <c r="C53" s="12" t="s">
        <v>156</v>
      </c>
      <c r="D53" s="12" t="s">
        <v>347</v>
      </c>
      <c r="E53" s="6" t="s">
        <v>161</v>
      </c>
      <c r="F53" s="6" t="s">
        <v>162</v>
      </c>
      <c r="G53" s="6" t="s">
        <v>163</v>
      </c>
      <c r="H53" s="9" t="s">
        <v>164</v>
      </c>
      <c r="I53" s="5">
        <f>LEN(E53)</f>
        <v>4</v>
      </c>
      <c r="J53" s="3" t="str">
        <f t="shared" si="0"/>
        <v xml:space="preserve">    - xform/annh/nah/</v>
      </c>
      <c r="K53" s="3" t="str">
        <f t="shared" si="1"/>
        <v xml:space="preserve">    - xform/annh/ㆩㆷ/</v>
      </c>
    </row>
    <row r="54" spans="1:11" x14ac:dyDescent="0.25">
      <c r="A54" s="4">
        <v>53</v>
      </c>
      <c r="B54" s="7" t="s">
        <v>165</v>
      </c>
      <c r="C54" s="12" t="s">
        <v>166</v>
      </c>
      <c r="D54" s="12" t="s">
        <v>345</v>
      </c>
      <c r="E54" s="6" t="s">
        <v>167</v>
      </c>
      <c r="F54" s="6" t="s">
        <v>167</v>
      </c>
      <c r="G54" s="6" t="s">
        <v>388</v>
      </c>
      <c r="H54" s="9" t="s">
        <v>168</v>
      </c>
      <c r="I54" s="5">
        <f>LEN(E54)</f>
        <v>1</v>
      </c>
      <c r="J54" s="3" t="str">
        <f t="shared" si="0"/>
        <v xml:space="preserve">    - xform/u/u/</v>
      </c>
      <c r="K54" s="3" t="str">
        <f t="shared" si="1"/>
        <v xml:space="preserve">    - xform/u/ㄨ/</v>
      </c>
    </row>
    <row r="55" spans="1:11" x14ac:dyDescent="0.25">
      <c r="A55" s="6">
        <v>54</v>
      </c>
      <c r="B55" s="7" t="s">
        <v>165</v>
      </c>
      <c r="C55" s="12" t="s">
        <v>166</v>
      </c>
      <c r="D55" s="12" t="s">
        <v>347</v>
      </c>
      <c r="E55" s="6" t="s">
        <v>23</v>
      </c>
      <c r="F55" s="6" t="s">
        <v>23</v>
      </c>
      <c r="G55" s="6" t="s">
        <v>389</v>
      </c>
      <c r="H55" s="9" t="s">
        <v>169</v>
      </c>
      <c r="I55" s="5">
        <f>LEN(E55)</f>
        <v>2</v>
      </c>
      <c r="J55" s="3" t="str">
        <f t="shared" si="0"/>
        <v xml:space="preserve">    - xform/uh/uh/</v>
      </c>
      <c r="K55" s="3" t="str">
        <f t="shared" si="1"/>
        <v xml:space="preserve">    - xform/uh/ㄨㆷ/</v>
      </c>
    </row>
    <row r="56" spans="1:11" x14ac:dyDescent="0.25">
      <c r="A56" s="4">
        <v>55</v>
      </c>
      <c r="B56" s="7" t="s">
        <v>170</v>
      </c>
      <c r="C56" s="12" t="s">
        <v>171</v>
      </c>
      <c r="D56" s="12" t="s">
        <v>345</v>
      </c>
      <c r="E56" s="6" t="s">
        <v>172</v>
      </c>
      <c r="F56" s="6" t="s">
        <v>172</v>
      </c>
      <c r="G56" s="6" t="s">
        <v>390</v>
      </c>
      <c r="H56" s="9" t="s">
        <v>173</v>
      </c>
      <c r="I56" s="5">
        <f>LEN(E56)</f>
        <v>1</v>
      </c>
      <c r="J56" s="3" t="str">
        <f t="shared" si="0"/>
        <v xml:space="preserve">    - xform/a/a/</v>
      </c>
      <c r="K56" s="3" t="str">
        <f t="shared" si="1"/>
        <v xml:space="preserve">    - xform/a/ㄚ/</v>
      </c>
    </row>
    <row r="57" spans="1:11" x14ac:dyDescent="0.25">
      <c r="A57" s="6">
        <v>56</v>
      </c>
      <c r="B57" s="7" t="s">
        <v>170</v>
      </c>
      <c r="C57" s="12" t="s">
        <v>171</v>
      </c>
      <c r="D57" s="12" t="s">
        <v>347</v>
      </c>
      <c r="E57" s="6" t="s">
        <v>174</v>
      </c>
      <c r="F57" s="6" t="s">
        <v>174</v>
      </c>
      <c r="G57" s="6" t="s">
        <v>391</v>
      </c>
      <c r="H57" s="9" t="s">
        <v>175</v>
      </c>
      <c r="I57" s="5">
        <f>LEN(E57)</f>
        <v>2</v>
      </c>
      <c r="J57" s="3" t="str">
        <f t="shared" si="0"/>
        <v xml:space="preserve">    - xform/ah/ah/</v>
      </c>
      <c r="K57" s="3" t="str">
        <f t="shared" si="1"/>
        <v xml:space="preserve">    - xform/ah/ㄚㆷ/</v>
      </c>
    </row>
    <row r="58" spans="1:11" x14ac:dyDescent="0.25">
      <c r="A58" s="4">
        <v>57</v>
      </c>
      <c r="B58" s="7" t="s">
        <v>176</v>
      </c>
      <c r="C58" s="12" t="s">
        <v>177</v>
      </c>
      <c r="D58" s="12" t="s">
        <v>345</v>
      </c>
      <c r="E58" s="6" t="s">
        <v>178</v>
      </c>
      <c r="F58" s="6" t="s">
        <v>178</v>
      </c>
      <c r="G58" s="6" t="s">
        <v>392</v>
      </c>
      <c r="H58" s="9" t="s">
        <v>179</v>
      </c>
      <c r="I58" s="5">
        <f>LEN(E58)</f>
        <v>1</v>
      </c>
      <c r="J58" s="3" t="str">
        <f t="shared" si="0"/>
        <v xml:space="preserve">    - xform/i/i/</v>
      </c>
      <c r="K58" s="3" t="str">
        <f t="shared" si="1"/>
        <v xml:space="preserve">    - xform/i/ㄧ/</v>
      </c>
    </row>
    <row r="59" spans="1:11" x14ac:dyDescent="0.25">
      <c r="A59" s="6">
        <v>58</v>
      </c>
      <c r="B59" s="7" t="s">
        <v>176</v>
      </c>
      <c r="C59" s="12" t="s">
        <v>177</v>
      </c>
      <c r="D59" s="12" t="s">
        <v>345</v>
      </c>
      <c r="E59" s="6" t="s">
        <v>178</v>
      </c>
      <c r="F59" s="6" t="s">
        <v>180</v>
      </c>
      <c r="G59" s="6" t="s">
        <v>393</v>
      </c>
      <c r="H59" s="9" t="s">
        <v>181</v>
      </c>
      <c r="I59" s="5">
        <f>LEN(E59)</f>
        <v>1</v>
      </c>
      <c r="J59" s="3" t="str">
        <f t="shared" si="0"/>
        <v xml:space="preserve">    - xform/i/ih/</v>
      </c>
      <c r="K59" s="3" t="str">
        <f t="shared" si="1"/>
        <v xml:space="preserve">    - xform/i/ㄧㆷ/</v>
      </c>
    </row>
    <row r="60" spans="1:11" x14ac:dyDescent="0.25">
      <c r="A60" s="4">
        <v>59</v>
      </c>
      <c r="B60" s="7" t="s">
        <v>182</v>
      </c>
      <c r="C60" s="12" t="s">
        <v>183</v>
      </c>
      <c r="D60" s="12" t="s">
        <v>345</v>
      </c>
      <c r="E60" s="6" t="s">
        <v>184</v>
      </c>
      <c r="F60" s="6" t="s">
        <v>184</v>
      </c>
      <c r="G60" s="6" t="s">
        <v>394</v>
      </c>
      <c r="H60" s="9" t="s">
        <v>185</v>
      </c>
      <c r="I60" s="5">
        <f>LEN(E60)</f>
        <v>2</v>
      </c>
      <c r="J60" s="3" t="str">
        <f t="shared" si="0"/>
        <v xml:space="preserve">    - xform/iu/iu/</v>
      </c>
      <c r="K60" s="3" t="str">
        <f t="shared" si="1"/>
        <v xml:space="preserve">    - xform/iu/ㄧㄨ/</v>
      </c>
    </row>
    <row r="61" spans="1:11" x14ac:dyDescent="0.25">
      <c r="A61" s="6">
        <v>60</v>
      </c>
      <c r="B61" s="7" t="s">
        <v>182</v>
      </c>
      <c r="C61" s="12" t="s">
        <v>183</v>
      </c>
      <c r="D61" s="12" t="s">
        <v>345</v>
      </c>
      <c r="E61" s="6" t="s">
        <v>184</v>
      </c>
      <c r="F61" s="6" t="s">
        <v>324</v>
      </c>
      <c r="G61" s="6" t="s">
        <v>186</v>
      </c>
      <c r="H61" s="9"/>
      <c r="I61" s="5">
        <f>LEN(E61)</f>
        <v>2</v>
      </c>
      <c r="J61" s="3" t="str">
        <f t="shared" si="0"/>
        <v xml:space="preserve">    - xform/iu/iuh/</v>
      </c>
      <c r="K61" s="3" t="str">
        <f t="shared" si="1"/>
        <v xml:space="preserve">    - xform/iu/ㄧㄨㆷ/</v>
      </c>
    </row>
    <row r="62" spans="1:11" x14ac:dyDescent="0.25">
      <c r="A62" s="4">
        <v>61</v>
      </c>
      <c r="B62" s="7" t="s">
        <v>187</v>
      </c>
      <c r="C62" s="12" t="s">
        <v>188</v>
      </c>
      <c r="D62" s="12" t="s">
        <v>345</v>
      </c>
      <c r="E62" s="6" t="s">
        <v>189</v>
      </c>
      <c r="F62" s="6" t="s">
        <v>190</v>
      </c>
      <c r="G62" s="6" t="s">
        <v>191</v>
      </c>
      <c r="H62" s="9" t="s">
        <v>192</v>
      </c>
      <c r="I62" s="5">
        <f>LEN(E62)</f>
        <v>3</v>
      </c>
      <c r="J62" s="3" t="str">
        <f t="shared" si="0"/>
        <v xml:space="preserve">    - xform/enn/ne/</v>
      </c>
      <c r="K62" s="3" t="str">
        <f t="shared" si="1"/>
        <v xml:space="preserve">    - xform/enn/ㆥ/</v>
      </c>
    </row>
    <row r="63" spans="1:11" x14ac:dyDescent="0.25">
      <c r="A63" s="6">
        <v>62</v>
      </c>
      <c r="B63" s="7" t="s">
        <v>187</v>
      </c>
      <c r="C63" s="12" t="s">
        <v>188</v>
      </c>
      <c r="D63" s="12" t="s">
        <v>345</v>
      </c>
      <c r="E63" s="6" t="s">
        <v>189</v>
      </c>
      <c r="F63" s="6" t="s">
        <v>325</v>
      </c>
      <c r="G63" s="6" t="s">
        <v>193</v>
      </c>
      <c r="H63" s="10" t="s">
        <v>194</v>
      </c>
      <c r="I63" s="5">
        <f>LEN(E63)</f>
        <v>3</v>
      </c>
      <c r="J63" s="3" t="str">
        <f t="shared" si="0"/>
        <v xml:space="preserve">    - xform/enn/neh/</v>
      </c>
      <c r="K63" s="3" t="str">
        <f t="shared" si="1"/>
        <v xml:space="preserve">    - xform/enn/ㆥㆷ/</v>
      </c>
    </row>
    <row r="64" spans="1:11" x14ac:dyDescent="0.25">
      <c r="A64" s="4">
        <v>63</v>
      </c>
      <c r="B64" s="7" t="s">
        <v>195</v>
      </c>
      <c r="C64" s="12" t="s">
        <v>196</v>
      </c>
      <c r="D64" s="12" t="s">
        <v>345</v>
      </c>
      <c r="E64" s="6" t="s">
        <v>197</v>
      </c>
      <c r="F64" s="6" t="s">
        <v>198</v>
      </c>
      <c r="G64" s="6" t="s">
        <v>395</v>
      </c>
      <c r="H64" s="9" t="s">
        <v>199</v>
      </c>
      <c r="I64" s="5">
        <f>LEN(E64)</f>
        <v>4</v>
      </c>
      <c r="J64" s="3" t="str">
        <f t="shared" si="0"/>
        <v xml:space="preserve">    - xform/uinn/nui/</v>
      </c>
      <c r="K64" s="3" t="str">
        <f t="shared" si="1"/>
        <v xml:space="preserve">    - xform/uinn/ㄨㆪ/</v>
      </c>
    </row>
    <row r="65" spans="1:11" x14ac:dyDescent="0.25">
      <c r="A65" s="6">
        <v>64</v>
      </c>
      <c r="B65" s="7" t="s">
        <v>195</v>
      </c>
      <c r="C65" s="12" t="s">
        <v>196</v>
      </c>
      <c r="D65" s="12" t="s">
        <v>345</v>
      </c>
      <c r="E65" s="6" t="s">
        <v>197</v>
      </c>
      <c r="F65" s="6" t="s">
        <v>326</v>
      </c>
      <c r="G65" s="6" t="s">
        <v>200</v>
      </c>
      <c r="H65" s="9"/>
      <c r="I65" s="5">
        <f>LEN(E65)</f>
        <v>4</v>
      </c>
      <c r="J65" s="3" t="str">
        <f t="shared" si="0"/>
        <v xml:space="preserve">    - xform/uinn/nuih/</v>
      </c>
      <c r="K65" s="3" t="str">
        <f t="shared" si="1"/>
        <v xml:space="preserve">    - xform/uinn/ㄨㆪㆷ/</v>
      </c>
    </row>
    <row r="66" spans="1:11" x14ac:dyDescent="0.25">
      <c r="A66" s="4">
        <v>65</v>
      </c>
      <c r="B66" s="7" t="s">
        <v>201</v>
      </c>
      <c r="C66" s="12" t="s">
        <v>202</v>
      </c>
      <c r="D66" s="12" t="s">
        <v>345</v>
      </c>
      <c r="E66" s="6" t="s">
        <v>203</v>
      </c>
      <c r="F66" s="6" t="s">
        <v>204</v>
      </c>
      <c r="G66" s="6" t="s">
        <v>396</v>
      </c>
      <c r="H66" s="9" t="s">
        <v>205</v>
      </c>
      <c r="I66" s="5">
        <f>LEN(E66)</f>
        <v>3</v>
      </c>
      <c r="J66" s="3" t="str">
        <f t="shared" si="0"/>
        <v xml:space="preserve">    - xform/ior/io/</v>
      </c>
      <c r="K66" s="3" t="str">
        <f t="shared" si="1"/>
        <v xml:space="preserve">    - xform/ior/ㄧㄜ/</v>
      </c>
    </row>
    <row r="67" spans="1:11" x14ac:dyDescent="0.25">
      <c r="A67" s="6">
        <v>66</v>
      </c>
      <c r="B67" s="7" t="s">
        <v>201</v>
      </c>
      <c r="C67" s="12" t="s">
        <v>202</v>
      </c>
      <c r="D67" s="12" t="s">
        <v>347</v>
      </c>
      <c r="E67" s="6" t="s">
        <v>206</v>
      </c>
      <c r="F67" s="6" t="s">
        <v>207</v>
      </c>
      <c r="G67" s="6" t="s">
        <v>397</v>
      </c>
      <c r="H67" s="9" t="s">
        <v>208</v>
      </c>
      <c r="I67" s="5">
        <f>LEN(E67)</f>
        <v>4</v>
      </c>
      <c r="J67" s="3" t="str">
        <f t="shared" ref="J67:J101" si="2" xml:space="preserve"> IF(OR($E67="", $F67=""), "",  _xlfn.CONCAT("    - xform/",$E67,"/",F67,"/"))</f>
        <v xml:space="preserve">    - xform/iorh/ioh/</v>
      </c>
      <c r="K67" s="3" t="str">
        <f t="shared" ref="K67:K101" si="3" xml:space="preserve"> IF(OR($E67="", $G67=""), "",  _xlfn.CONCAT("    - xform/",$E67,"/",G67,"/"))</f>
        <v xml:space="preserve">    - xform/iorh/ㄧㄜㆷ/</v>
      </c>
    </row>
    <row r="68" spans="1:11" x14ac:dyDescent="0.25">
      <c r="A68" s="4">
        <v>67</v>
      </c>
      <c r="B68" s="7" t="s">
        <v>209</v>
      </c>
      <c r="C68" s="12" t="s">
        <v>210</v>
      </c>
      <c r="D68" s="12" t="s">
        <v>345</v>
      </c>
      <c r="E68" s="6" t="s">
        <v>211</v>
      </c>
      <c r="F68" s="6" t="s">
        <v>212</v>
      </c>
      <c r="G68" s="6" t="s">
        <v>213</v>
      </c>
      <c r="H68" s="9" t="s">
        <v>214</v>
      </c>
      <c r="I68" s="5">
        <f>LEN(E68)</f>
        <v>3</v>
      </c>
      <c r="J68" s="3" t="str">
        <f t="shared" si="2"/>
        <v xml:space="preserve">    - xform/inn/ni/</v>
      </c>
      <c r="K68" s="3" t="str">
        <f t="shared" si="3"/>
        <v xml:space="preserve">    - xform/inn/ㆪ/</v>
      </c>
    </row>
    <row r="69" spans="1:11" x14ac:dyDescent="0.25">
      <c r="A69" s="6">
        <v>68</v>
      </c>
      <c r="B69" s="7" t="s">
        <v>209</v>
      </c>
      <c r="C69" s="12" t="s">
        <v>210</v>
      </c>
      <c r="D69" s="12" t="s">
        <v>345</v>
      </c>
      <c r="E69" s="6" t="s">
        <v>211</v>
      </c>
      <c r="F69" s="6" t="s">
        <v>215</v>
      </c>
      <c r="G69" s="6" t="s">
        <v>216</v>
      </c>
      <c r="H69" s="9" t="s">
        <v>217</v>
      </c>
      <c r="I69" s="5">
        <f>LEN(E69)</f>
        <v>3</v>
      </c>
      <c r="J69" s="3" t="str">
        <f t="shared" si="2"/>
        <v xml:space="preserve">    - xform/inn/nih/</v>
      </c>
      <c r="K69" s="3" t="str">
        <f t="shared" si="3"/>
        <v xml:space="preserve">    - xform/inn/ㆪㆷ/</v>
      </c>
    </row>
    <row r="70" spans="1:11" x14ac:dyDescent="0.25">
      <c r="A70" s="4">
        <v>69</v>
      </c>
      <c r="B70" s="7" t="s">
        <v>218</v>
      </c>
      <c r="C70" s="12" t="s">
        <v>219</v>
      </c>
      <c r="D70" s="12" t="s">
        <v>345</v>
      </c>
      <c r="E70" s="6" t="s">
        <v>220</v>
      </c>
      <c r="F70" s="6" t="s">
        <v>327</v>
      </c>
      <c r="G70" s="6" t="s">
        <v>398</v>
      </c>
      <c r="H70" s="9" t="s">
        <v>221</v>
      </c>
      <c r="I70" s="5">
        <f>LEN(E70)</f>
        <v>5</v>
      </c>
      <c r="J70" s="3" t="str">
        <f t="shared" si="2"/>
        <v xml:space="preserve">    - xform/ioonn/nio/</v>
      </c>
      <c r="K70" s="3" t="str">
        <f t="shared" si="3"/>
        <v xml:space="preserve">    - xform/ioonn/ㄧㆧ/</v>
      </c>
    </row>
    <row r="71" spans="1:11" x14ac:dyDescent="0.25">
      <c r="A71" s="6">
        <v>70</v>
      </c>
      <c r="B71" s="7" t="s">
        <v>218</v>
      </c>
      <c r="C71" s="12" t="s">
        <v>219</v>
      </c>
      <c r="D71" s="12" t="s">
        <v>345</v>
      </c>
      <c r="E71" s="6" t="s">
        <v>220</v>
      </c>
      <c r="F71" s="6" t="s">
        <v>328</v>
      </c>
      <c r="G71" s="6" t="s">
        <v>222</v>
      </c>
      <c r="H71" s="9"/>
      <c r="I71" s="5">
        <f>LEN(E71)</f>
        <v>5</v>
      </c>
      <c r="J71" s="3" t="str">
        <f t="shared" si="2"/>
        <v xml:space="preserve">    - xform/ioonn/nioh/</v>
      </c>
      <c r="K71" s="3" t="str">
        <f t="shared" si="3"/>
        <v xml:space="preserve">    - xform/ioonn/ㄧㆧㆷ/</v>
      </c>
    </row>
    <row r="72" spans="1:11" x14ac:dyDescent="0.25">
      <c r="A72" s="4">
        <v>71</v>
      </c>
      <c r="B72" s="7" t="s">
        <v>223</v>
      </c>
      <c r="C72" s="12" t="s">
        <v>224</v>
      </c>
      <c r="D72" s="12" t="s">
        <v>345</v>
      </c>
      <c r="E72" s="6" t="s">
        <v>225</v>
      </c>
      <c r="F72" s="6" t="s">
        <v>226</v>
      </c>
      <c r="G72" s="6" t="s">
        <v>399</v>
      </c>
      <c r="H72" s="9" t="s">
        <v>227</v>
      </c>
      <c r="I72" s="5">
        <f>LEN(E72)</f>
        <v>4</v>
      </c>
      <c r="J72" s="3" t="str">
        <f t="shared" si="2"/>
        <v xml:space="preserve">    - xform/iann/nia/</v>
      </c>
      <c r="K72" s="3" t="str">
        <f t="shared" si="3"/>
        <v xml:space="preserve">    - xform/iann/ㄧㆩ/</v>
      </c>
    </row>
    <row r="73" spans="1:11" x14ac:dyDescent="0.25">
      <c r="A73" s="6">
        <v>72</v>
      </c>
      <c r="B73" s="7" t="s">
        <v>223</v>
      </c>
      <c r="C73" s="12" t="s">
        <v>224</v>
      </c>
      <c r="D73" s="12" t="s">
        <v>345</v>
      </c>
      <c r="E73" s="6" t="s">
        <v>225</v>
      </c>
      <c r="F73" s="6" t="s">
        <v>329</v>
      </c>
      <c r="G73" s="6" t="s">
        <v>228</v>
      </c>
      <c r="H73" s="9"/>
      <c r="I73" s="5">
        <f>LEN(E73)</f>
        <v>4</v>
      </c>
      <c r="J73" s="3" t="str">
        <f t="shared" si="2"/>
        <v xml:space="preserve">    - xform/iann/niah/</v>
      </c>
      <c r="K73" s="3" t="str">
        <f t="shared" si="3"/>
        <v xml:space="preserve">    - xform/iann/ㄧㆩㆷ/</v>
      </c>
    </row>
    <row r="74" spans="1:11" x14ac:dyDescent="0.25">
      <c r="A74" s="4">
        <v>73</v>
      </c>
      <c r="B74" s="7" t="s">
        <v>229</v>
      </c>
      <c r="C74" s="12" t="s">
        <v>230</v>
      </c>
      <c r="D74" s="12" t="s">
        <v>345</v>
      </c>
      <c r="E74" s="6" t="s">
        <v>231</v>
      </c>
      <c r="F74" s="6" t="s">
        <v>232</v>
      </c>
      <c r="G74" s="6" t="s">
        <v>400</v>
      </c>
      <c r="H74" s="9" t="s">
        <v>233</v>
      </c>
      <c r="I74" s="5">
        <f>LEN(E74)</f>
        <v>4</v>
      </c>
      <c r="J74" s="3" t="str">
        <f t="shared" si="2"/>
        <v xml:space="preserve">    - xform/uann/nua/</v>
      </c>
      <c r="K74" s="3" t="str">
        <f t="shared" si="3"/>
        <v xml:space="preserve">    - xform/uann/ㄨㆩ/</v>
      </c>
    </row>
    <row r="75" spans="1:11" x14ac:dyDescent="0.25">
      <c r="A75" s="6">
        <v>74</v>
      </c>
      <c r="B75" s="7" t="s">
        <v>229</v>
      </c>
      <c r="C75" s="12" t="s">
        <v>230</v>
      </c>
      <c r="D75" s="12" t="s">
        <v>345</v>
      </c>
      <c r="E75" s="6" t="s">
        <v>231</v>
      </c>
      <c r="F75" s="6" t="s">
        <v>330</v>
      </c>
      <c r="G75" s="6" t="s">
        <v>234</v>
      </c>
      <c r="H75" s="9"/>
      <c r="I75" s="5">
        <f>LEN(E75)</f>
        <v>4</v>
      </c>
      <c r="J75" s="3" t="str">
        <f t="shared" si="2"/>
        <v xml:space="preserve">    - xform/uann/nuah/</v>
      </c>
      <c r="K75" s="3" t="str">
        <f t="shared" si="3"/>
        <v xml:space="preserve">    - xform/uann/ㄨㆩㆷ/</v>
      </c>
    </row>
    <row r="76" spans="1:11" x14ac:dyDescent="0.25">
      <c r="A76" s="4">
        <v>75</v>
      </c>
      <c r="B76" s="7" t="s">
        <v>235</v>
      </c>
      <c r="C76" s="12" t="s">
        <v>236</v>
      </c>
      <c r="D76" s="12" t="s">
        <v>345</v>
      </c>
      <c r="E76" s="6" t="s">
        <v>237</v>
      </c>
      <c r="F76" s="6" t="s">
        <v>237</v>
      </c>
      <c r="G76" s="6" t="s">
        <v>238</v>
      </c>
      <c r="H76" s="9" t="s">
        <v>239</v>
      </c>
      <c r="I76" s="5">
        <f>LEN(E76)</f>
        <v>2</v>
      </c>
      <c r="J76" s="3" t="str">
        <f t="shared" si="2"/>
        <v xml:space="preserve">    - xform/ng/ng/</v>
      </c>
      <c r="K76" s="3" t="str">
        <f t="shared" si="3"/>
        <v xml:space="preserve">    - xform/ng/ㆭ/</v>
      </c>
    </row>
    <row r="77" spans="1:11" x14ac:dyDescent="0.25">
      <c r="A77" s="6">
        <v>76</v>
      </c>
      <c r="B77" s="7" t="s">
        <v>235</v>
      </c>
      <c r="C77" s="12" t="s">
        <v>236</v>
      </c>
      <c r="D77" s="12" t="s">
        <v>345</v>
      </c>
      <c r="E77" s="6" t="s">
        <v>237</v>
      </c>
      <c r="F77" s="6" t="s">
        <v>331</v>
      </c>
      <c r="G77" s="6" t="s">
        <v>240</v>
      </c>
      <c r="H77" s="9"/>
      <c r="I77" s="5">
        <f>LEN(E77)</f>
        <v>2</v>
      </c>
      <c r="J77" s="3" t="str">
        <f t="shared" si="2"/>
        <v xml:space="preserve">    - xform/ng/ngh/</v>
      </c>
      <c r="K77" s="3" t="str">
        <f t="shared" si="3"/>
        <v xml:space="preserve">    - xform/ng/ㆭㆷ/</v>
      </c>
    </row>
    <row r="78" spans="1:11" x14ac:dyDescent="0.25">
      <c r="A78" s="4">
        <v>77</v>
      </c>
      <c r="B78" s="7" t="s">
        <v>241</v>
      </c>
      <c r="C78" s="12" t="s">
        <v>242</v>
      </c>
      <c r="D78" s="12" t="s">
        <v>345</v>
      </c>
      <c r="E78" s="6" t="s">
        <v>27</v>
      </c>
      <c r="F78" s="6" t="s">
        <v>27</v>
      </c>
      <c r="G78" s="6" t="s">
        <v>77</v>
      </c>
      <c r="H78" s="9" t="s">
        <v>243</v>
      </c>
      <c r="I78" s="5">
        <f>LEN(E78)</f>
        <v>1</v>
      </c>
      <c r="J78" s="3" t="str">
        <f t="shared" si="2"/>
        <v xml:space="preserve">    - xform/e/e/</v>
      </c>
      <c r="K78" s="3" t="str">
        <f t="shared" si="3"/>
        <v xml:space="preserve">    - xform/e/ㆤ/</v>
      </c>
    </row>
    <row r="79" spans="1:11" x14ac:dyDescent="0.25">
      <c r="A79" s="6">
        <v>78</v>
      </c>
      <c r="B79" s="7" t="s">
        <v>241</v>
      </c>
      <c r="C79" s="12" t="s">
        <v>242</v>
      </c>
      <c r="D79" s="12" t="s">
        <v>345</v>
      </c>
      <c r="E79" s="6" t="s">
        <v>27</v>
      </c>
      <c r="F79" s="6" t="s">
        <v>29</v>
      </c>
      <c r="G79" s="6" t="s">
        <v>79</v>
      </c>
      <c r="H79" s="9" t="s">
        <v>244</v>
      </c>
      <c r="I79" s="5">
        <f>LEN(E79)</f>
        <v>1</v>
      </c>
      <c r="J79" s="3" t="str">
        <f t="shared" si="2"/>
        <v xml:space="preserve">    - xform/e/eh/</v>
      </c>
      <c r="K79" s="3" t="str">
        <f t="shared" si="3"/>
        <v xml:space="preserve">    - xform/e/ㆤㆷ/</v>
      </c>
    </row>
    <row r="80" spans="1:11" x14ac:dyDescent="0.25">
      <c r="A80" s="4">
        <v>79</v>
      </c>
      <c r="B80" s="7" t="s">
        <v>245</v>
      </c>
      <c r="C80" s="12" t="s">
        <v>246</v>
      </c>
      <c r="D80" s="12" t="s">
        <v>345</v>
      </c>
      <c r="E80" s="6" t="s">
        <v>247</v>
      </c>
      <c r="F80" s="6" t="s">
        <v>248</v>
      </c>
      <c r="G80" s="6" t="s">
        <v>249</v>
      </c>
      <c r="H80" s="9" t="s">
        <v>250</v>
      </c>
      <c r="I80" s="5">
        <f>LEN(E80)</f>
        <v>4</v>
      </c>
      <c r="J80" s="3" t="str">
        <f t="shared" si="2"/>
        <v xml:space="preserve">    - xform/ainn/nai/</v>
      </c>
      <c r="K80" s="3" t="str">
        <f t="shared" si="3"/>
        <v xml:space="preserve">    - xform/ainn/ㆮ/</v>
      </c>
    </row>
    <row r="81" spans="1:11" x14ac:dyDescent="0.25">
      <c r="A81" s="6">
        <v>80</v>
      </c>
      <c r="B81" s="7" t="s">
        <v>245</v>
      </c>
      <c r="C81" s="12" t="s">
        <v>246</v>
      </c>
      <c r="D81" s="12" t="s">
        <v>345</v>
      </c>
      <c r="E81" s="6" t="s">
        <v>247</v>
      </c>
      <c r="F81" s="6" t="s">
        <v>332</v>
      </c>
      <c r="G81" s="6" t="s">
        <v>251</v>
      </c>
      <c r="H81" s="9"/>
      <c r="I81" s="5">
        <f>LEN(E81)</f>
        <v>4</v>
      </c>
      <c r="J81" s="3" t="str">
        <f t="shared" si="2"/>
        <v xml:space="preserve">    - xform/ainn/naih/</v>
      </c>
      <c r="K81" s="3" t="str">
        <f t="shared" si="3"/>
        <v xml:space="preserve">    - xform/ainn/ㆮㆷ/</v>
      </c>
    </row>
    <row r="82" spans="1:11" x14ac:dyDescent="0.25">
      <c r="A82" s="4">
        <v>81</v>
      </c>
      <c r="B82" s="7" t="s">
        <v>252</v>
      </c>
      <c r="C82" s="12" t="s">
        <v>253</v>
      </c>
      <c r="D82" s="12" t="s">
        <v>345</v>
      </c>
      <c r="E82" s="6" t="s">
        <v>254</v>
      </c>
      <c r="F82" s="6" t="s">
        <v>255</v>
      </c>
      <c r="G82" s="6" t="s">
        <v>256</v>
      </c>
      <c r="H82" s="9" t="s">
        <v>257</v>
      </c>
      <c r="I82" s="5">
        <f>LEN(E82)</f>
        <v>4</v>
      </c>
      <c r="J82" s="3" t="str">
        <f t="shared" si="2"/>
        <v xml:space="preserve">    - xform/oonn/noo/</v>
      </c>
      <c r="K82" s="3" t="str">
        <f t="shared" si="3"/>
        <v xml:space="preserve">    - xform/oonn/ㆧ/</v>
      </c>
    </row>
    <row r="83" spans="1:11" x14ac:dyDescent="0.25">
      <c r="A83" s="6">
        <v>82</v>
      </c>
      <c r="B83" s="7" t="s">
        <v>252</v>
      </c>
      <c r="C83" s="12" t="s">
        <v>253</v>
      </c>
      <c r="D83" s="12" t="s">
        <v>345</v>
      </c>
      <c r="E83" s="6" t="s">
        <v>254</v>
      </c>
      <c r="F83" s="6"/>
      <c r="G83" s="6"/>
      <c r="H83" s="9"/>
      <c r="I83" s="5">
        <f>LEN(E83)</f>
        <v>4</v>
      </c>
      <c r="J83" s="3" t="str">
        <f t="shared" si="2"/>
        <v/>
      </c>
      <c r="K83" s="3" t="str">
        <f t="shared" si="3"/>
        <v/>
      </c>
    </row>
    <row r="84" spans="1:11" x14ac:dyDescent="0.25">
      <c r="A84" s="4">
        <v>83</v>
      </c>
      <c r="B84" s="7" t="s">
        <v>258</v>
      </c>
      <c r="C84" s="12" t="s">
        <v>259</v>
      </c>
      <c r="D84" s="12" t="s">
        <v>345</v>
      </c>
      <c r="E84" s="6" t="s">
        <v>260</v>
      </c>
      <c r="F84" s="6" t="s">
        <v>260</v>
      </c>
      <c r="G84" s="6" t="s">
        <v>261</v>
      </c>
      <c r="H84" s="9" t="s">
        <v>259</v>
      </c>
      <c r="I84" s="5">
        <f>LEN(E84)</f>
        <v>1</v>
      </c>
      <c r="J84" s="3" t="str">
        <f t="shared" si="2"/>
        <v xml:space="preserve">    - xform/m/m/</v>
      </c>
      <c r="K84" s="3" t="str">
        <f t="shared" si="3"/>
        <v xml:space="preserve">    - xform/m/ㆬ/</v>
      </c>
    </row>
    <row r="85" spans="1:11" x14ac:dyDescent="0.25">
      <c r="A85" s="6">
        <v>84</v>
      </c>
      <c r="B85" s="7" t="s">
        <v>258</v>
      </c>
      <c r="C85" s="12" t="s">
        <v>259</v>
      </c>
      <c r="D85" s="12" t="s">
        <v>345</v>
      </c>
      <c r="E85" s="6" t="s">
        <v>260</v>
      </c>
      <c r="F85" s="6"/>
      <c r="G85" s="6"/>
      <c r="H85" s="9"/>
      <c r="I85" s="5">
        <f>LEN(E85)</f>
        <v>1</v>
      </c>
      <c r="J85" s="3" t="str">
        <f t="shared" si="2"/>
        <v/>
      </c>
      <c r="K85" s="3" t="str">
        <f t="shared" si="3"/>
        <v/>
      </c>
    </row>
    <row r="86" spans="1:11" x14ac:dyDescent="0.25">
      <c r="A86" s="4">
        <v>85</v>
      </c>
      <c r="B86" s="7" t="s">
        <v>262</v>
      </c>
      <c r="C86" s="12" t="s">
        <v>263</v>
      </c>
      <c r="D86" s="12" t="s">
        <v>345</v>
      </c>
      <c r="E86" s="6" t="s">
        <v>264</v>
      </c>
      <c r="F86" s="6" t="s">
        <v>264</v>
      </c>
      <c r="G86" s="6" t="s">
        <v>401</v>
      </c>
      <c r="H86" s="9" t="s">
        <v>265</v>
      </c>
      <c r="I86" s="5">
        <f>LEN(E86)</f>
        <v>4</v>
      </c>
      <c r="J86" s="3" t="str">
        <f t="shared" si="2"/>
        <v xml:space="preserve">    - xform/uang/uang/</v>
      </c>
      <c r="K86" s="3" t="str">
        <f t="shared" si="3"/>
        <v xml:space="preserve">    - xform/uang/ㄨㄤ/</v>
      </c>
    </row>
    <row r="87" spans="1:11" x14ac:dyDescent="0.25">
      <c r="A87" s="6">
        <v>86</v>
      </c>
      <c r="B87" s="7" t="s">
        <v>262</v>
      </c>
      <c r="C87" s="12" t="s">
        <v>263</v>
      </c>
      <c r="D87" s="12" t="s">
        <v>347</v>
      </c>
      <c r="E87" s="6" t="s">
        <v>266</v>
      </c>
      <c r="F87" s="6" t="s">
        <v>266</v>
      </c>
      <c r="G87" s="6" t="s">
        <v>402</v>
      </c>
      <c r="H87" s="9" t="s">
        <v>267</v>
      </c>
      <c r="I87" s="5">
        <f>LEN(E87)</f>
        <v>3</v>
      </c>
      <c r="J87" s="3" t="str">
        <f t="shared" si="2"/>
        <v xml:space="preserve">    - xform/uak/uak/</v>
      </c>
      <c r="K87" s="3" t="str">
        <f t="shared" si="3"/>
        <v xml:space="preserve">    - xform/uak/ㄨㄚㆻ/</v>
      </c>
    </row>
    <row r="88" spans="1:11" x14ac:dyDescent="0.25">
      <c r="A88" s="4">
        <v>87</v>
      </c>
      <c r="B88" s="7" t="s">
        <v>268</v>
      </c>
      <c r="C88" s="12" t="s">
        <v>269</v>
      </c>
      <c r="D88" s="12" t="s">
        <v>345</v>
      </c>
      <c r="E88" s="6" t="s">
        <v>270</v>
      </c>
      <c r="F88" s="6" t="s">
        <v>271</v>
      </c>
      <c r="G88" s="6" t="s">
        <v>403</v>
      </c>
      <c r="H88" s="9" t="s">
        <v>272</v>
      </c>
      <c r="I88" s="5">
        <f>LEN(E88)</f>
        <v>5</v>
      </c>
      <c r="J88" s="3" t="str">
        <f t="shared" si="2"/>
        <v xml:space="preserve">    - xform/uainn/nuai/</v>
      </c>
      <c r="K88" s="3" t="str">
        <f t="shared" si="3"/>
        <v xml:space="preserve">    - xform/uainn/ㄨㆮ/</v>
      </c>
    </row>
    <row r="89" spans="1:11" x14ac:dyDescent="0.25">
      <c r="A89" s="6">
        <v>88</v>
      </c>
      <c r="B89" s="7" t="s">
        <v>268</v>
      </c>
      <c r="C89" s="12" t="s">
        <v>269</v>
      </c>
      <c r="D89" s="12" t="s">
        <v>347</v>
      </c>
      <c r="E89" s="6" t="s">
        <v>273</v>
      </c>
      <c r="F89" s="6" t="s">
        <v>274</v>
      </c>
      <c r="G89" s="6" t="s">
        <v>404</v>
      </c>
      <c r="H89" s="9" t="s">
        <v>275</v>
      </c>
      <c r="I89" s="5">
        <f>LEN(E89)</f>
        <v>6</v>
      </c>
      <c r="J89" s="3" t="str">
        <f t="shared" si="2"/>
        <v xml:space="preserve">    - xform/uainnh/nuaih/</v>
      </c>
      <c r="K89" s="3" t="str">
        <f t="shared" si="3"/>
        <v xml:space="preserve">    - xform/uainnh/ㄨㆮㆷ/</v>
      </c>
    </row>
    <row r="90" spans="1:11" x14ac:dyDescent="0.25">
      <c r="A90" s="4">
        <v>89</v>
      </c>
      <c r="B90" s="7" t="s">
        <v>276</v>
      </c>
      <c r="C90" s="12" t="s">
        <v>277</v>
      </c>
      <c r="D90" s="12" t="s">
        <v>345</v>
      </c>
      <c r="E90" s="6" t="s">
        <v>278</v>
      </c>
      <c r="F90" s="6" t="s">
        <v>279</v>
      </c>
      <c r="G90" s="6" t="s">
        <v>405</v>
      </c>
      <c r="H90" s="9" t="s">
        <v>337</v>
      </c>
      <c r="I90" s="5">
        <f>LEN(E90)</f>
        <v>4</v>
      </c>
      <c r="J90" s="3" t="str">
        <f t="shared" si="2"/>
        <v xml:space="preserve">    - xform/uenn/nue/</v>
      </c>
      <c r="K90" s="3" t="str">
        <f t="shared" si="3"/>
        <v xml:space="preserve">    - xform/uenn/ㄨㆥ/</v>
      </c>
    </row>
    <row r="91" spans="1:11" x14ac:dyDescent="0.25">
      <c r="A91" s="6">
        <v>90</v>
      </c>
      <c r="B91" s="7" t="s">
        <v>276</v>
      </c>
      <c r="C91" s="12"/>
      <c r="D91" s="12"/>
      <c r="E91" s="6" t="s">
        <v>280</v>
      </c>
      <c r="F91" s="6"/>
      <c r="G91" s="6"/>
      <c r="H91" s="9"/>
      <c r="I91" s="5">
        <f>LEN(E91)</f>
        <v>0</v>
      </c>
      <c r="J91" s="3" t="str">
        <f t="shared" si="2"/>
        <v/>
      </c>
      <c r="K91" s="3" t="str">
        <f t="shared" si="3"/>
        <v/>
      </c>
    </row>
    <row r="92" spans="1:11" x14ac:dyDescent="0.25">
      <c r="A92" s="4">
        <v>91</v>
      </c>
      <c r="B92" s="7" t="s">
        <v>281</v>
      </c>
      <c r="C92" s="12" t="s">
        <v>282</v>
      </c>
      <c r="D92" s="12" t="s">
        <v>345</v>
      </c>
      <c r="E92" s="6" t="s">
        <v>283</v>
      </c>
      <c r="F92" s="6" t="s">
        <v>284</v>
      </c>
      <c r="G92" s="6" t="s">
        <v>406</v>
      </c>
      <c r="H92" s="9" t="s">
        <v>285</v>
      </c>
      <c r="I92" s="5">
        <f>LEN(E92)</f>
        <v>5</v>
      </c>
      <c r="J92" s="3" t="str">
        <f t="shared" si="2"/>
        <v xml:space="preserve">    - xform/iaunn/niao/</v>
      </c>
      <c r="K92" s="3" t="str">
        <f t="shared" si="3"/>
        <v xml:space="preserve">    - xform/iaunn/ㄧㆯ/</v>
      </c>
    </row>
    <row r="93" spans="1:11" x14ac:dyDescent="0.25">
      <c r="A93" s="6">
        <v>92</v>
      </c>
      <c r="B93" s="7" t="s">
        <v>281</v>
      </c>
      <c r="C93" s="12" t="s">
        <v>282</v>
      </c>
      <c r="D93" s="12" t="s">
        <v>347</v>
      </c>
      <c r="E93" s="6" t="s">
        <v>286</v>
      </c>
      <c r="F93" s="6" t="s">
        <v>287</v>
      </c>
      <c r="G93" s="6" t="s">
        <v>407</v>
      </c>
      <c r="H93" s="9" t="s">
        <v>337</v>
      </c>
      <c r="I93" s="5">
        <f>LEN(E93)</f>
        <v>6</v>
      </c>
      <c r="J93" s="3" t="str">
        <f t="shared" si="2"/>
        <v xml:space="preserve">    - xform/iaunnh/niaoh/</v>
      </c>
      <c r="K93" s="3" t="str">
        <f t="shared" si="3"/>
        <v xml:space="preserve">    - xform/iaunnh/ㄧㆯㆷ/</v>
      </c>
    </row>
    <row r="94" spans="1:11" x14ac:dyDescent="0.25">
      <c r="A94" s="4">
        <v>93</v>
      </c>
      <c r="B94" s="7" t="s">
        <v>288</v>
      </c>
      <c r="C94" s="12" t="s">
        <v>289</v>
      </c>
      <c r="D94" s="12" t="s">
        <v>345</v>
      </c>
      <c r="E94" s="6" t="s">
        <v>290</v>
      </c>
      <c r="F94" s="6" t="s">
        <v>333</v>
      </c>
      <c r="G94" s="6" t="s">
        <v>291</v>
      </c>
      <c r="H94" s="9" t="s">
        <v>292</v>
      </c>
      <c r="I94" s="5">
        <f>LEN(E94)</f>
        <v>3</v>
      </c>
      <c r="J94" s="3" t="str">
        <f t="shared" si="2"/>
        <v xml:space="preserve">    - xform/oom/oom/</v>
      </c>
      <c r="K94" s="3" t="str">
        <f t="shared" si="3"/>
        <v xml:space="preserve">    - xform/oom/ㆱ/</v>
      </c>
    </row>
    <row r="95" spans="1:11" x14ac:dyDescent="0.25">
      <c r="A95" s="6">
        <v>94</v>
      </c>
      <c r="B95" s="7" t="s">
        <v>288</v>
      </c>
      <c r="C95" s="12" t="s">
        <v>289</v>
      </c>
      <c r="D95" s="12" t="s">
        <v>347</v>
      </c>
      <c r="E95" s="6" t="s">
        <v>293</v>
      </c>
      <c r="F95" s="6" t="s">
        <v>334</v>
      </c>
      <c r="G95" s="6" t="s">
        <v>294</v>
      </c>
      <c r="H95" s="9" t="s">
        <v>295</v>
      </c>
      <c r="I95" s="5">
        <f>LEN(E95)</f>
        <v>3</v>
      </c>
      <c r="J95" s="3" t="str">
        <f t="shared" si="2"/>
        <v xml:space="preserve">    - xform/oop/oop/</v>
      </c>
      <c r="K95" s="3" t="str">
        <f t="shared" si="3"/>
        <v xml:space="preserve">    - xform/oop/ㆦㆴ/</v>
      </c>
    </row>
    <row r="96" spans="1:11" x14ac:dyDescent="0.25">
      <c r="A96" s="4">
        <v>95</v>
      </c>
      <c r="B96" s="7" t="s">
        <v>296</v>
      </c>
      <c r="C96" s="12" t="s">
        <v>297</v>
      </c>
      <c r="D96" s="12" t="s">
        <v>345</v>
      </c>
      <c r="E96" s="6" t="s">
        <v>298</v>
      </c>
      <c r="F96" s="6" t="s">
        <v>299</v>
      </c>
      <c r="G96" s="6" t="s">
        <v>300</v>
      </c>
      <c r="H96" s="9" t="s">
        <v>301</v>
      </c>
      <c r="I96" s="5">
        <f>LEN(E96)</f>
        <v>4</v>
      </c>
      <c r="J96" s="3" t="str">
        <f t="shared" si="2"/>
        <v xml:space="preserve">    - xform/aunn/nao/</v>
      </c>
      <c r="K96" s="3" t="str">
        <f t="shared" si="3"/>
        <v xml:space="preserve">    - xform/aunn/ㆯ/</v>
      </c>
    </row>
    <row r="97" spans="1:11" x14ac:dyDescent="0.25">
      <c r="A97" s="6">
        <v>96</v>
      </c>
      <c r="B97" s="7" t="s">
        <v>296</v>
      </c>
      <c r="C97" s="12"/>
      <c r="D97" s="12"/>
      <c r="E97" s="6" t="s">
        <v>280</v>
      </c>
      <c r="F97" s="6"/>
      <c r="G97" s="6"/>
      <c r="H97" s="9"/>
      <c r="I97" s="5">
        <f>LEN(E97)</f>
        <v>0</v>
      </c>
      <c r="J97" s="3" t="str">
        <f t="shared" si="2"/>
        <v/>
      </c>
      <c r="K97" s="3" t="str">
        <f t="shared" si="3"/>
        <v/>
      </c>
    </row>
    <row r="98" spans="1:11" x14ac:dyDescent="0.25">
      <c r="A98" s="4">
        <v>97</v>
      </c>
      <c r="B98" s="7" t="s">
        <v>302</v>
      </c>
      <c r="C98" s="12" t="s">
        <v>303</v>
      </c>
      <c r="D98" s="12" t="s">
        <v>345</v>
      </c>
      <c r="E98" s="6" t="s">
        <v>304</v>
      </c>
      <c r="F98" s="6" t="s">
        <v>335</v>
      </c>
      <c r="G98" s="6" t="s">
        <v>256</v>
      </c>
      <c r="H98" s="9" t="s">
        <v>305</v>
      </c>
      <c r="I98" s="5">
        <f>LEN(E98)</f>
        <v>4</v>
      </c>
      <c r="J98" s="3" t="str">
        <f t="shared" si="2"/>
        <v xml:space="preserve">    - xform/ornn/no/</v>
      </c>
      <c r="K98" s="3" t="str">
        <f t="shared" si="3"/>
        <v xml:space="preserve">    - xform/ornn/ㆧ/</v>
      </c>
    </row>
    <row r="99" spans="1:11" x14ac:dyDescent="0.25">
      <c r="A99" s="6">
        <v>98</v>
      </c>
      <c r="B99" s="7" t="s">
        <v>302</v>
      </c>
      <c r="C99" s="12" t="s">
        <v>303</v>
      </c>
      <c r="D99" s="12" t="s">
        <v>347</v>
      </c>
      <c r="E99" s="6" t="s">
        <v>306</v>
      </c>
      <c r="F99" s="6" t="s">
        <v>336</v>
      </c>
      <c r="G99" s="6" t="s">
        <v>307</v>
      </c>
      <c r="H99" s="9" t="s">
        <v>337</v>
      </c>
      <c r="I99" s="5">
        <f>LEN(E99)</f>
        <v>4</v>
      </c>
      <c r="J99" s="3" t="str">
        <f t="shared" si="2"/>
        <v xml:space="preserve">    - xform/onnh/noh/</v>
      </c>
      <c r="K99" s="3" t="str">
        <f t="shared" si="3"/>
        <v xml:space="preserve">    - xform/onnh/ㆧㆷ/</v>
      </c>
    </row>
    <row r="100" spans="1:11" x14ac:dyDescent="0.25">
      <c r="A100" s="4">
        <v>99</v>
      </c>
      <c r="B100" s="7" t="s">
        <v>308</v>
      </c>
      <c r="C100" s="12" t="s">
        <v>309</v>
      </c>
      <c r="D100" s="12" t="s">
        <v>345</v>
      </c>
      <c r="E100" s="6" t="s">
        <v>310</v>
      </c>
      <c r="F100" s="6" t="s">
        <v>311</v>
      </c>
      <c r="G100" s="6" t="s">
        <v>408</v>
      </c>
      <c r="H100" s="9" t="s">
        <v>312</v>
      </c>
      <c r="I100" s="5">
        <f>LEN(E100)</f>
        <v>4</v>
      </c>
      <c r="J100" s="3" t="str">
        <f t="shared" si="2"/>
        <v xml:space="preserve">    - xform/iunn/niu/</v>
      </c>
      <c r="K100" s="3" t="str">
        <f t="shared" si="3"/>
        <v xml:space="preserve">    - xform/iunn/ㄧㆫ/</v>
      </c>
    </row>
    <row r="101" spans="1:11" x14ac:dyDescent="0.25">
      <c r="A101" s="4">
        <v>100</v>
      </c>
      <c r="B101" s="7" t="s">
        <v>308</v>
      </c>
      <c r="C101" s="12"/>
      <c r="D101" s="12"/>
      <c r="E101" s="6" t="s">
        <v>280</v>
      </c>
      <c r="F101" s="6"/>
      <c r="G101" s="6"/>
      <c r="H101" s="9"/>
      <c r="I101" s="5">
        <f>LEN(E101)</f>
        <v>0</v>
      </c>
      <c r="J101" s="3" t="str">
        <f t="shared" si="2"/>
        <v/>
      </c>
      <c r="K101" s="3" t="str">
        <f t="shared" si="3"/>
        <v/>
      </c>
    </row>
  </sheetData>
  <sortState xmlns:xlrd2="http://schemas.microsoft.com/office/spreadsheetml/2017/richdata2" ref="A2:K101">
    <sortCondition ref="A2:A101"/>
  </sortState>
  <phoneticPr fontId="1" type="noConversion"/>
  <conditionalFormatting sqref="A2:H101">
    <cfRule type="expression" dxfId="18" priority="5">
      <formula xml:space="preserve"> MOD($P2,2)=0</formula>
    </cfRule>
    <cfRule type="expression" dxfId="17" priority="6">
      <formula xml:space="preserve"> MOD($P2,2)=1</formula>
    </cfRule>
  </conditionalFormatting>
  <conditionalFormatting sqref="I2:I101">
    <cfRule type="expression" dxfId="16" priority="3">
      <formula xml:space="preserve"> MOD($P2,2)=0</formula>
    </cfRule>
    <cfRule type="expression" dxfId="15" priority="4">
      <formula xml:space="preserve"> MOD($P2,2)=1</formula>
    </cfRule>
  </conditionalFormatting>
  <conditionalFormatting sqref="E2:F101">
    <cfRule type="expression" dxfId="14" priority="1">
      <formula>$E2&lt;&gt;$F2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8CA2-D6C5-41F3-9AB1-FA8119CD0D3C}">
  <dimension ref="A1:K101"/>
  <sheetViews>
    <sheetView tabSelected="1" workbookViewId="0">
      <pane ySplit="1" topLeftCell="A89" activePane="bottomLeft" state="frozen"/>
      <selection pane="bottomLeft" activeCell="C5" sqref="C5"/>
    </sheetView>
  </sheetViews>
  <sheetFormatPr defaultRowHeight="30" x14ac:dyDescent="0.25"/>
  <cols>
    <col min="1" max="1" width="11" style="3" bestFit="1" customWidth="1"/>
    <col min="2" max="2" width="14.375" style="3" bestFit="1" customWidth="1"/>
    <col min="3" max="4" width="11" style="13" bestFit="1" customWidth="1"/>
    <col min="5" max="7" width="14.375" style="3" bestFit="1" customWidth="1"/>
    <col min="8" max="8" width="11" style="3" bestFit="1" customWidth="1"/>
    <col min="9" max="9" width="10.75" style="3" bestFit="1" customWidth="1"/>
    <col min="10" max="10" width="53.5" style="3" bestFit="1" customWidth="1"/>
    <col min="11" max="11" width="52.375" style="3" bestFit="1" customWidth="1"/>
    <col min="12" max="16384" width="9" style="3"/>
  </cols>
  <sheetData>
    <row r="1" spans="1:11" x14ac:dyDescent="0.25">
      <c r="A1" s="1" t="s">
        <v>338</v>
      </c>
      <c r="B1" s="1" t="s">
        <v>339</v>
      </c>
      <c r="C1" s="1" t="s">
        <v>0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2" t="s">
        <v>313</v>
      </c>
      <c r="J1" s="2" t="s">
        <v>409</v>
      </c>
      <c r="K1" s="2" t="s">
        <v>410</v>
      </c>
    </row>
    <row r="2" spans="1:11" x14ac:dyDescent="0.25">
      <c r="A2" s="14">
        <v>90</v>
      </c>
      <c r="B2" s="15" t="s">
        <v>276</v>
      </c>
      <c r="C2" s="11"/>
      <c r="D2" s="11"/>
      <c r="E2" s="4" t="s">
        <v>280</v>
      </c>
      <c r="F2" s="4"/>
      <c r="G2" s="4"/>
      <c r="H2" s="9"/>
      <c r="I2" s="5">
        <f>LEN(E2)</f>
        <v>0</v>
      </c>
      <c r="J2" s="3" t="str">
        <f xml:space="preserve"> IF(OR($E2="", $F2=""), "",  _xlfn.CONCAT("    - xform/",$E2,"/",F2,"/"))</f>
        <v/>
      </c>
      <c r="K2" s="3" t="str">
        <f xml:space="preserve"> IF(OR($E2="", $G2=""), "",  _xlfn.CONCAT("    - xform/",$E2,"/",G2,"/"))</f>
        <v/>
      </c>
    </row>
    <row r="3" spans="1:11" x14ac:dyDescent="0.25">
      <c r="A3" s="16">
        <v>96</v>
      </c>
      <c r="B3" s="17" t="s">
        <v>296</v>
      </c>
      <c r="C3" s="12"/>
      <c r="D3" s="12"/>
      <c r="E3" s="6" t="s">
        <v>280</v>
      </c>
      <c r="F3" s="6"/>
      <c r="G3" s="6"/>
      <c r="H3" s="9"/>
      <c r="I3" s="5">
        <f>LEN(E3)</f>
        <v>0</v>
      </c>
      <c r="J3" s="3" t="str">
        <f xml:space="preserve"> IF(OR($E3="", $F3=""), "",  _xlfn.CONCAT("    - xform/",$E3,"/",F3,"/"))</f>
        <v/>
      </c>
      <c r="K3" s="3" t="str">
        <f xml:space="preserve"> IF(OR($E3="", $G3=""), "",  _xlfn.CONCAT("    - xform/",$E3,"/",G3,"/"))</f>
        <v/>
      </c>
    </row>
    <row r="4" spans="1:11" x14ac:dyDescent="0.25">
      <c r="A4" s="14">
        <v>100</v>
      </c>
      <c r="B4" s="17" t="s">
        <v>308</v>
      </c>
      <c r="C4" s="12"/>
      <c r="D4" s="12"/>
      <c r="E4" s="6" t="s">
        <v>280</v>
      </c>
      <c r="F4" s="6"/>
      <c r="G4" s="6"/>
      <c r="H4" s="9"/>
      <c r="I4" s="5">
        <f>LEN(E4)</f>
        <v>0</v>
      </c>
      <c r="J4" s="3" t="str">
        <f xml:space="preserve"> IF(OR($E4="", $F4=""), "",  _xlfn.CONCAT("    - xform/",$E4,"/",F4,"/"))</f>
        <v/>
      </c>
      <c r="K4" s="3" t="str">
        <f xml:space="preserve"> IF(OR($E4="", $G4=""), "",  _xlfn.CONCAT("    - xform/",$E4,"/",G4,"/"))</f>
        <v/>
      </c>
    </row>
    <row r="5" spans="1:11" x14ac:dyDescent="0.25">
      <c r="A5" s="16">
        <v>55</v>
      </c>
      <c r="B5" s="17" t="s">
        <v>170</v>
      </c>
      <c r="C5" s="12" t="s">
        <v>171</v>
      </c>
      <c r="D5" s="12" t="s">
        <v>345</v>
      </c>
      <c r="E5" s="6" t="s">
        <v>172</v>
      </c>
      <c r="F5" s="6" t="s">
        <v>172</v>
      </c>
      <c r="G5" s="6" t="s">
        <v>390</v>
      </c>
      <c r="H5" s="9" t="s">
        <v>173</v>
      </c>
      <c r="I5" s="5">
        <f>LEN(E5)</f>
        <v>1</v>
      </c>
      <c r="J5" s="3" t="str">
        <f xml:space="preserve"> IF(OR($E5="", $F5=""), "",  _xlfn.CONCAT("    - xform/",$E5,"/",F5,"/"))</f>
        <v xml:space="preserve">    - xform/a/a/</v>
      </c>
      <c r="K5" s="3" t="str">
        <f xml:space="preserve"> IF(OR($E5="", $G5=""), "",  _xlfn.CONCAT("    - xform/",$E5,"/",G5,"/"))</f>
        <v xml:space="preserve">    - xform/a/ㄚ/</v>
      </c>
    </row>
    <row r="6" spans="1:11" x14ac:dyDescent="0.25">
      <c r="A6" s="14">
        <v>56</v>
      </c>
      <c r="B6" s="17" t="s">
        <v>170</v>
      </c>
      <c r="C6" s="12" t="s">
        <v>171</v>
      </c>
      <c r="D6" s="12" t="s">
        <v>347</v>
      </c>
      <c r="E6" s="6" t="s">
        <v>174</v>
      </c>
      <c r="F6" s="6" t="s">
        <v>174</v>
      </c>
      <c r="G6" s="6" t="s">
        <v>391</v>
      </c>
      <c r="H6" s="9" t="s">
        <v>175</v>
      </c>
      <c r="I6" s="5">
        <f>LEN(E6)</f>
        <v>2</v>
      </c>
      <c r="J6" s="3" t="str">
        <f xml:space="preserve"> IF(OR($E6="", $F6=""), "",  _xlfn.CONCAT("    - xform/",$E6,"/",F6,"/"))</f>
        <v xml:space="preserve">    - xform/ah/ah/</v>
      </c>
      <c r="K6" s="3" t="str">
        <f xml:space="preserve"> IF(OR($E6="", $G6=""), "",  _xlfn.CONCAT("    - xform/",$E6,"/",G6,"/"))</f>
        <v xml:space="preserve">    - xform/ah/ㄚㆷ/</v>
      </c>
    </row>
    <row r="7" spans="1:11" x14ac:dyDescent="0.25">
      <c r="A7" s="16">
        <v>31</v>
      </c>
      <c r="B7" s="17" t="s">
        <v>94</v>
      </c>
      <c r="C7" s="12" t="s">
        <v>95</v>
      </c>
      <c r="D7" s="12" t="s">
        <v>345</v>
      </c>
      <c r="E7" s="6" t="s">
        <v>96</v>
      </c>
      <c r="F7" s="6" t="s">
        <v>96</v>
      </c>
      <c r="G7" s="6" t="s">
        <v>370</v>
      </c>
      <c r="H7" s="9" t="s">
        <v>97</v>
      </c>
      <c r="I7" s="5">
        <f>LEN(E7)</f>
        <v>2</v>
      </c>
      <c r="J7" s="3" t="str">
        <f xml:space="preserve"> IF(OR($E7="", $F7=""), "",  _xlfn.CONCAT("    - xform/",$E7,"/",F7,"/"))</f>
        <v xml:space="preserve">    - xform/ai/ai/</v>
      </c>
      <c r="K7" s="3" t="str">
        <f xml:space="preserve"> IF(OR($E7="", $G7=""), "",  _xlfn.CONCAT("    - xform/",$E7,"/",G7,"/"))</f>
        <v xml:space="preserve">    - xform/ai/ㄞ/</v>
      </c>
    </row>
    <row r="8" spans="1:11" x14ac:dyDescent="0.25">
      <c r="A8" s="14">
        <v>32</v>
      </c>
      <c r="B8" s="17" t="s">
        <v>94</v>
      </c>
      <c r="C8" s="12" t="s">
        <v>95</v>
      </c>
      <c r="D8" s="12" t="s">
        <v>345</v>
      </c>
      <c r="E8" s="6" t="s">
        <v>427</v>
      </c>
      <c r="F8" s="6" t="s">
        <v>323</v>
      </c>
      <c r="G8" s="6" t="s">
        <v>98</v>
      </c>
      <c r="H8" s="9"/>
      <c r="I8" s="5">
        <f>LEN(E8)</f>
        <v>3</v>
      </c>
      <c r="J8" s="3" t="str">
        <f xml:space="preserve"> IF(OR($E8="", $F8=""), "",  _xlfn.CONCAT("    - xform/",$E8,"/",F8,"/"))</f>
        <v xml:space="preserve">    - xform/aih/aih/</v>
      </c>
      <c r="K8" s="3" t="str">
        <f xml:space="preserve"> IF(OR($E8="", $G8=""), "",  _xlfn.CONCAT("    - xform/",$E8,"/",G8,"/"))</f>
        <v xml:space="preserve">    - xform/aih/ㄞㆷ/</v>
      </c>
    </row>
    <row r="9" spans="1:11" x14ac:dyDescent="0.25">
      <c r="A9" s="16">
        <v>79</v>
      </c>
      <c r="B9" s="17" t="s">
        <v>245</v>
      </c>
      <c r="C9" s="12" t="s">
        <v>246</v>
      </c>
      <c r="D9" s="12" t="s">
        <v>345</v>
      </c>
      <c r="E9" s="20" t="s">
        <v>247</v>
      </c>
      <c r="F9" s="20" t="s">
        <v>248</v>
      </c>
      <c r="G9" s="6" t="s">
        <v>249</v>
      </c>
      <c r="H9" s="9" t="s">
        <v>250</v>
      </c>
      <c r="I9" s="5">
        <f>LEN(E9)</f>
        <v>4</v>
      </c>
      <c r="J9" s="3" t="str">
        <f xml:space="preserve"> IF(OR($E9="", $F9=""), "",  _xlfn.CONCAT("    - xform/",$E9,"/",F9,"/"))</f>
        <v xml:space="preserve">    - xform/ainn/nai/</v>
      </c>
      <c r="K9" s="3" t="str">
        <f xml:space="preserve"> IF(OR($E9="", $G9=""), "",  _xlfn.CONCAT("    - xform/",$E9,"/",G9,"/"))</f>
        <v xml:space="preserve">    - xform/ainn/ㆮ/</v>
      </c>
    </row>
    <row r="10" spans="1:11" x14ac:dyDescent="0.25">
      <c r="A10" s="14">
        <v>80</v>
      </c>
      <c r="B10" s="17" t="s">
        <v>245</v>
      </c>
      <c r="C10" s="12" t="s">
        <v>246</v>
      </c>
      <c r="D10" s="12" t="s">
        <v>345</v>
      </c>
      <c r="E10" s="20" t="s">
        <v>442</v>
      </c>
      <c r="F10" s="20" t="s">
        <v>332</v>
      </c>
      <c r="G10" s="6" t="s">
        <v>251</v>
      </c>
      <c r="H10" s="9"/>
      <c r="I10" s="5">
        <f>LEN(E10)</f>
        <v>5</v>
      </c>
      <c r="J10" s="3" t="str">
        <f xml:space="preserve"> IF(OR($E10="", $F10=""), "",  _xlfn.CONCAT("    - xform/",$E10,"/",F10,"/"))</f>
        <v xml:space="preserve">    - xform/ainnh/naih/</v>
      </c>
      <c r="K10" s="3" t="str">
        <f xml:space="preserve"> IF(OR($E10="", $G10=""), "",  _xlfn.CONCAT("    - xform/",$E10,"/",G10,"/"))</f>
        <v xml:space="preserve">    - xform/ainnh/ㆮㆷ/</v>
      </c>
    </row>
    <row r="11" spans="1:11" x14ac:dyDescent="0.25">
      <c r="A11" s="16">
        <v>42</v>
      </c>
      <c r="B11" s="17" t="s">
        <v>123</v>
      </c>
      <c r="C11" s="12" t="s">
        <v>124</v>
      </c>
      <c r="D11" s="12" t="s">
        <v>347</v>
      </c>
      <c r="E11" s="6" t="s">
        <v>127</v>
      </c>
      <c r="F11" s="6" t="s">
        <v>127</v>
      </c>
      <c r="G11" s="6" t="s">
        <v>379</v>
      </c>
      <c r="H11" s="9" t="s">
        <v>128</v>
      </c>
      <c r="I11" s="5">
        <f>LEN(E11)</f>
        <v>2</v>
      </c>
      <c r="J11" s="3" t="str">
        <f xml:space="preserve"> IF(OR($E11="", $F11=""), "",  _xlfn.CONCAT("    - xform/",$E11,"/",F11,"/"))</f>
        <v xml:space="preserve">    - xform/ak/ak/</v>
      </c>
      <c r="K11" s="3" t="str">
        <f xml:space="preserve"> IF(OR($E11="", $G11=""), "",  _xlfn.CONCAT("    - xform/",$E11,"/",G11,"/"))</f>
        <v xml:space="preserve">    - xform/ak/ㄚㆻ/</v>
      </c>
    </row>
    <row r="12" spans="1:11" x14ac:dyDescent="0.25">
      <c r="A12" s="14">
        <v>37</v>
      </c>
      <c r="B12" s="17" t="s">
        <v>111</v>
      </c>
      <c r="C12" s="12" t="s">
        <v>112</v>
      </c>
      <c r="D12" s="12" t="s">
        <v>345</v>
      </c>
      <c r="E12" s="6" t="s">
        <v>113</v>
      </c>
      <c r="F12" s="6" t="s">
        <v>113</v>
      </c>
      <c r="G12" s="6" t="s">
        <v>114</v>
      </c>
      <c r="H12" s="9" t="s">
        <v>115</v>
      </c>
      <c r="I12" s="5">
        <f>LEN(E12)</f>
        <v>2</v>
      </c>
      <c r="J12" s="3" t="str">
        <f xml:space="preserve"> IF(OR($E12="", $F12=""), "",  _xlfn.CONCAT("    - xform/",$E12,"/",F12,"/"))</f>
        <v xml:space="preserve">    - xform/am/am/</v>
      </c>
      <c r="K12" s="3" t="str">
        <f xml:space="preserve"> IF(OR($E12="", $G12=""), "",  _xlfn.CONCAT("    - xform/",$E12,"/",G12,"/"))</f>
        <v xml:space="preserve">    - xform/am/ㆰ/</v>
      </c>
    </row>
    <row r="13" spans="1:11" x14ac:dyDescent="0.25">
      <c r="A13" s="16">
        <v>11</v>
      </c>
      <c r="B13" s="17" t="s">
        <v>31</v>
      </c>
      <c r="C13" s="12" t="s">
        <v>32</v>
      </c>
      <c r="D13" s="12" t="s">
        <v>345</v>
      </c>
      <c r="E13" s="6" t="s">
        <v>33</v>
      </c>
      <c r="F13" s="6" t="s">
        <v>33</v>
      </c>
      <c r="G13" s="6" t="s">
        <v>356</v>
      </c>
      <c r="H13" s="9" t="s">
        <v>34</v>
      </c>
      <c r="I13" s="5">
        <f>LEN(E13)</f>
        <v>2</v>
      </c>
      <c r="J13" s="3" t="str">
        <f xml:space="preserve"> IF(OR($E13="", $F13=""), "",  _xlfn.CONCAT("    - xform/",$E13,"/",F13,"/"))</f>
        <v xml:space="preserve">    - xform/an/an/</v>
      </c>
      <c r="K13" s="3" t="str">
        <f xml:space="preserve"> IF(OR($E13="", $G13=""), "",  _xlfn.CONCAT("    - xform/",$E13,"/",G13,"/"))</f>
        <v xml:space="preserve">    - xform/an/ㄢ/</v>
      </c>
    </row>
    <row r="14" spans="1:11" x14ac:dyDescent="0.25">
      <c r="A14" s="14">
        <v>41</v>
      </c>
      <c r="B14" s="17" t="s">
        <v>123</v>
      </c>
      <c r="C14" s="12" t="s">
        <v>124</v>
      </c>
      <c r="D14" s="12" t="s">
        <v>345</v>
      </c>
      <c r="E14" s="6" t="s">
        <v>125</v>
      </c>
      <c r="F14" s="6" t="s">
        <v>125</v>
      </c>
      <c r="G14" s="6" t="s">
        <v>378</v>
      </c>
      <c r="H14" s="9" t="s">
        <v>126</v>
      </c>
      <c r="I14" s="5">
        <f>LEN(E14)</f>
        <v>3</v>
      </c>
      <c r="J14" s="3" t="str">
        <f xml:space="preserve"> IF(OR($E14="", $F14=""), "",  _xlfn.CONCAT("    - xform/",$E14,"/",F14,"/"))</f>
        <v xml:space="preserve">    - xform/ang/ang/</v>
      </c>
      <c r="K14" s="3" t="str">
        <f xml:space="preserve"> IF(OR($E14="", $G14=""), "",  _xlfn.CONCAT("    - xform/",$E14,"/",G14,"/"))</f>
        <v xml:space="preserve">    - xform/ang/ㄤ/</v>
      </c>
    </row>
    <row r="15" spans="1:11" x14ac:dyDescent="0.25">
      <c r="A15" s="16">
        <v>51</v>
      </c>
      <c r="B15" s="17" t="s">
        <v>155</v>
      </c>
      <c r="C15" s="12" t="s">
        <v>156</v>
      </c>
      <c r="D15" s="12" t="s">
        <v>345</v>
      </c>
      <c r="E15" s="20" t="s">
        <v>157</v>
      </c>
      <c r="F15" s="20" t="s">
        <v>158</v>
      </c>
      <c r="G15" s="6" t="s">
        <v>159</v>
      </c>
      <c r="H15" s="9" t="s">
        <v>160</v>
      </c>
      <c r="I15" s="5">
        <f>LEN(E15)</f>
        <v>3</v>
      </c>
      <c r="J15" s="3" t="str">
        <f xml:space="preserve"> IF(OR($E15="", $F15=""), "",  _xlfn.CONCAT("    - xform/",$E15,"/",F15,"/"))</f>
        <v xml:space="preserve">    - xform/ann/na/</v>
      </c>
      <c r="K15" s="3" t="str">
        <f xml:space="preserve"> IF(OR($E15="", $G15=""), "",  _xlfn.CONCAT("    - xform/",$E15,"/",G15,"/"))</f>
        <v xml:space="preserve">    - xform/ann/ㆩ/</v>
      </c>
    </row>
    <row r="16" spans="1:11" x14ac:dyDescent="0.25">
      <c r="A16" s="14">
        <v>52</v>
      </c>
      <c r="B16" s="17" t="s">
        <v>155</v>
      </c>
      <c r="C16" s="12" t="s">
        <v>156</v>
      </c>
      <c r="D16" s="12" t="s">
        <v>347</v>
      </c>
      <c r="E16" s="20" t="s">
        <v>461</v>
      </c>
      <c r="F16" s="20" t="s">
        <v>462</v>
      </c>
      <c r="G16" s="6" t="s">
        <v>163</v>
      </c>
      <c r="H16" s="9" t="s">
        <v>164</v>
      </c>
      <c r="I16" s="5">
        <f>LEN(E16)</f>
        <v>4</v>
      </c>
      <c r="J16" s="3" t="str">
        <f xml:space="preserve"> IF(OR($E16="", $F16=""), "",  _xlfn.CONCAT("    - xform/",$E16,"/",F16,"/"))</f>
        <v xml:space="preserve">    - xform/annh/nah/</v>
      </c>
      <c r="K16" s="3" t="str">
        <f xml:space="preserve"> IF(OR($E16="", $G16=""), "",  _xlfn.CONCAT("    - xform/",$E16,"/",G16,"/"))</f>
        <v xml:space="preserve">    - xform/annh/ㆩㆷ/</v>
      </c>
    </row>
    <row r="17" spans="1:11" x14ac:dyDescent="0.25">
      <c r="A17" s="16">
        <v>38</v>
      </c>
      <c r="B17" s="17" t="s">
        <v>111</v>
      </c>
      <c r="C17" s="12" t="s">
        <v>112</v>
      </c>
      <c r="D17" s="12" t="s">
        <v>347</v>
      </c>
      <c r="E17" s="6" t="s">
        <v>116</v>
      </c>
      <c r="F17" s="6" t="s">
        <v>116</v>
      </c>
      <c r="G17" s="6" t="s">
        <v>375</v>
      </c>
      <c r="H17" s="9" t="s">
        <v>117</v>
      </c>
      <c r="I17" s="5">
        <f>LEN(E17)</f>
        <v>2</v>
      </c>
      <c r="J17" s="3" t="str">
        <f xml:space="preserve"> IF(OR($E17="", $F17=""), "",  _xlfn.CONCAT("    - xform/",$E17,"/",F17,"/"))</f>
        <v xml:space="preserve">    - xform/ap/ap/</v>
      </c>
      <c r="K17" s="3" t="str">
        <f xml:space="preserve"> IF(OR($E17="", $G17=""), "",  _xlfn.CONCAT("    - xform/",$E17,"/",G17,"/"))</f>
        <v xml:space="preserve">    - xform/ap/ㄚㆴ/</v>
      </c>
    </row>
    <row r="18" spans="1:11" x14ac:dyDescent="0.25">
      <c r="A18" s="14">
        <v>12</v>
      </c>
      <c r="B18" s="17" t="s">
        <v>31</v>
      </c>
      <c r="C18" s="12" t="s">
        <v>32</v>
      </c>
      <c r="D18" s="12" t="s">
        <v>347</v>
      </c>
      <c r="E18" s="6" t="s">
        <v>35</v>
      </c>
      <c r="F18" s="6" t="s">
        <v>35</v>
      </c>
      <c r="G18" s="6" t="s">
        <v>357</v>
      </c>
      <c r="H18" s="9" t="s">
        <v>36</v>
      </c>
      <c r="I18" s="5">
        <f>LEN(E18)</f>
        <v>2</v>
      </c>
      <c r="J18" s="3" t="str">
        <f xml:space="preserve"> IF(OR($E18="", $F18=""), "",  _xlfn.CONCAT("    - xform/",$E18,"/",F18,"/"))</f>
        <v xml:space="preserve">    - xform/at/at/</v>
      </c>
      <c r="K18" s="3" t="str">
        <f xml:space="preserve"> IF(OR($E18="", $G18=""), "",  _xlfn.CONCAT("    - xform/",$E18,"/",G18,"/"))</f>
        <v xml:space="preserve">    - xform/at/ㄚㆵ/</v>
      </c>
    </row>
    <row r="19" spans="1:11" x14ac:dyDescent="0.25">
      <c r="A19" s="16">
        <v>45</v>
      </c>
      <c r="B19" s="17" t="s">
        <v>135</v>
      </c>
      <c r="C19" s="12" t="s">
        <v>136</v>
      </c>
      <c r="D19" s="12" t="s">
        <v>345</v>
      </c>
      <c r="E19" s="18" t="s">
        <v>428</v>
      </c>
      <c r="F19" s="18" t="s">
        <v>429</v>
      </c>
      <c r="G19" s="6" t="s">
        <v>382</v>
      </c>
      <c r="H19" s="9" t="s">
        <v>139</v>
      </c>
      <c r="I19" s="5">
        <f>LEN(E19)</f>
        <v>2</v>
      </c>
      <c r="J19" s="3" t="str">
        <f xml:space="preserve"> IF(OR($E19="", $F19=""), "",  _xlfn.CONCAT("    - xform/",$E19,"/",F19,"/"))</f>
        <v xml:space="preserve">    - xform/au/ao/</v>
      </c>
      <c r="K19" s="3" t="str">
        <f xml:space="preserve"> IF(OR($E19="", $G19=""), "",  _xlfn.CONCAT("    - xform/",$E19,"/",G19,"/"))</f>
        <v xml:space="preserve">    - xform/au/ㄠ/</v>
      </c>
    </row>
    <row r="20" spans="1:11" x14ac:dyDescent="0.25">
      <c r="A20" s="14">
        <v>46</v>
      </c>
      <c r="B20" s="17" t="s">
        <v>135</v>
      </c>
      <c r="C20" s="12" t="s">
        <v>136</v>
      </c>
      <c r="D20" s="12" t="s">
        <v>347</v>
      </c>
      <c r="E20" s="6" t="s">
        <v>140</v>
      </c>
      <c r="F20" s="6" t="s">
        <v>141</v>
      </c>
      <c r="G20" s="6" t="s">
        <v>383</v>
      </c>
      <c r="H20" s="9" t="s">
        <v>142</v>
      </c>
      <c r="I20" s="5">
        <f>LEN(E20)</f>
        <v>3</v>
      </c>
      <c r="J20" s="3" t="str">
        <f xml:space="preserve"> IF(OR($E20="", $F20=""), "",  _xlfn.CONCAT("    - xform/",$E20,"/",F20,"/"))</f>
        <v xml:space="preserve">    - xform/auh/aoh/</v>
      </c>
      <c r="K20" s="3" t="str">
        <f xml:space="preserve"> IF(OR($E20="", $G20=""), "",  _xlfn.CONCAT("    - xform/",$E20,"/",G20,"/"))</f>
        <v xml:space="preserve">    - xform/auh/ㄠㆷ/</v>
      </c>
    </row>
    <row r="21" spans="1:11" x14ac:dyDescent="0.25">
      <c r="A21" s="16">
        <v>95</v>
      </c>
      <c r="B21" s="17" t="s">
        <v>296</v>
      </c>
      <c r="C21" s="12" t="s">
        <v>297</v>
      </c>
      <c r="D21" s="12" t="s">
        <v>345</v>
      </c>
      <c r="E21" s="18" t="s">
        <v>456</v>
      </c>
      <c r="F21" s="18" t="s">
        <v>457</v>
      </c>
      <c r="G21" s="6" t="s">
        <v>300</v>
      </c>
      <c r="H21" s="9" t="s">
        <v>301</v>
      </c>
      <c r="I21" s="5">
        <f>LEN(E21)</f>
        <v>4</v>
      </c>
      <c r="J21" s="3" t="str">
        <f xml:space="preserve"> IF(OR($E21="", $F21=""), "",  _xlfn.CONCAT("    - xform/",$E21,"/",F21,"/"))</f>
        <v xml:space="preserve">    - xform/aunn/nao/</v>
      </c>
      <c r="K21" s="3" t="str">
        <f xml:space="preserve"> IF(OR($E21="", $G21=""), "",  _xlfn.CONCAT("    - xform/",$E21,"/",G21,"/"))</f>
        <v xml:space="preserve">    - xform/aunn/ㆯ/</v>
      </c>
    </row>
    <row r="22" spans="1:11" x14ac:dyDescent="0.25">
      <c r="A22" s="14">
        <v>25</v>
      </c>
      <c r="B22" s="17" t="s">
        <v>75</v>
      </c>
      <c r="C22" s="12" t="s">
        <v>76</v>
      </c>
      <c r="D22" s="12" t="s">
        <v>345</v>
      </c>
      <c r="E22" s="6" t="s">
        <v>27</v>
      </c>
      <c r="F22" s="6" t="s">
        <v>27</v>
      </c>
      <c r="G22" s="6" t="s">
        <v>77</v>
      </c>
      <c r="H22" s="9" t="s">
        <v>78</v>
      </c>
      <c r="I22" s="5">
        <f>LEN(E22)</f>
        <v>1</v>
      </c>
      <c r="J22" s="3" t="str">
        <f xml:space="preserve"> IF(OR($E22="", $F22=""), "",  _xlfn.CONCAT("    - xform/",$E22,"/",F22,"/"))</f>
        <v xml:space="preserve">    - xform/e/e/</v>
      </c>
      <c r="K22" s="3" t="str">
        <f xml:space="preserve"> IF(OR($E22="", $G22=""), "",  _xlfn.CONCAT("    - xform/",$E22,"/",G22,"/"))</f>
        <v xml:space="preserve">    - xform/e/ㆤ/</v>
      </c>
    </row>
    <row r="23" spans="1:11" x14ac:dyDescent="0.25">
      <c r="A23" s="16">
        <v>26</v>
      </c>
      <c r="B23" s="17" t="s">
        <v>75</v>
      </c>
      <c r="C23" s="12" t="s">
        <v>76</v>
      </c>
      <c r="D23" s="12" t="s">
        <v>345</v>
      </c>
      <c r="E23" s="6" t="s">
        <v>27</v>
      </c>
      <c r="F23" s="6" t="s">
        <v>321</v>
      </c>
      <c r="G23" s="6" t="s">
        <v>322</v>
      </c>
      <c r="H23" s="9"/>
      <c r="I23" s="5">
        <f>LEN(E23)</f>
        <v>1</v>
      </c>
      <c r="J23" s="3" t="str">
        <f xml:space="preserve"> IF(OR($E23="", $F23=""), "",  _xlfn.CONCAT("    - xform/",$E23,"/",F23,"/"))</f>
        <v xml:space="preserve">    - xform/e/eh/</v>
      </c>
      <c r="K23" s="3" t="str">
        <f xml:space="preserve"> IF(OR($E23="", $G23=""), "",  _xlfn.CONCAT("    - xform/",$E23,"/",G23,"/"))</f>
        <v xml:space="preserve">    - xform/e/ㆤㆷ/</v>
      </c>
    </row>
    <row r="24" spans="1:11" x14ac:dyDescent="0.25">
      <c r="A24" s="14">
        <v>77</v>
      </c>
      <c r="B24" s="17" t="s">
        <v>241</v>
      </c>
      <c r="C24" s="12" t="s">
        <v>242</v>
      </c>
      <c r="D24" s="12" t="s">
        <v>345</v>
      </c>
      <c r="E24" s="6" t="s">
        <v>27</v>
      </c>
      <c r="F24" s="6" t="s">
        <v>27</v>
      </c>
      <c r="G24" s="6" t="s">
        <v>77</v>
      </c>
      <c r="H24" s="9" t="s">
        <v>243</v>
      </c>
      <c r="I24" s="5">
        <f>LEN(E24)</f>
        <v>1</v>
      </c>
      <c r="J24" s="3" t="str">
        <f xml:space="preserve"> IF(OR($E24="", $F24=""), "",  _xlfn.CONCAT("    - xform/",$E24,"/",F24,"/"))</f>
        <v xml:space="preserve">    - xform/e/e/</v>
      </c>
      <c r="K24" s="3" t="str">
        <f xml:space="preserve"> IF(OR($E24="", $G24=""), "",  _xlfn.CONCAT("    - xform/",$E24,"/",G24,"/"))</f>
        <v xml:space="preserve">    - xform/e/ㆤ/</v>
      </c>
    </row>
    <row r="25" spans="1:11" x14ac:dyDescent="0.25">
      <c r="A25" s="16">
        <v>9</v>
      </c>
      <c r="B25" s="17" t="s">
        <v>25</v>
      </c>
      <c r="C25" s="12" t="s">
        <v>26</v>
      </c>
      <c r="D25" s="12" t="s">
        <v>345</v>
      </c>
      <c r="E25" s="18" t="s">
        <v>413</v>
      </c>
      <c r="F25" s="6" t="s">
        <v>315</v>
      </c>
      <c r="G25" s="6" t="s">
        <v>354</v>
      </c>
      <c r="H25" s="9" t="s">
        <v>28</v>
      </c>
      <c r="I25" s="5">
        <f>LEN(E25)</f>
        <v>2</v>
      </c>
      <c r="J25" s="3" t="str">
        <f xml:space="preserve"> IF(OR($E25="", $F25=""), "",  _xlfn.CONCAT("    - xform/",$E25,"/",F25,"/"))</f>
        <v xml:space="preserve">    - xform/ee/ee/</v>
      </c>
      <c r="K25" s="3" t="str">
        <f xml:space="preserve"> IF(OR($E25="", $G25=""), "",  _xlfn.CONCAT("    - xform/",$E25,"/",G25,"/"))</f>
        <v xml:space="preserve">    - xform/ee/ㄝ/</v>
      </c>
    </row>
    <row r="26" spans="1:11" x14ac:dyDescent="0.25">
      <c r="A26" s="14">
        <v>10</v>
      </c>
      <c r="B26" s="17" t="s">
        <v>25</v>
      </c>
      <c r="C26" s="12" t="s">
        <v>26</v>
      </c>
      <c r="D26" s="12" t="s">
        <v>347</v>
      </c>
      <c r="E26" s="18" t="s">
        <v>414</v>
      </c>
      <c r="F26" s="8" t="s">
        <v>316</v>
      </c>
      <c r="G26" s="6" t="s">
        <v>355</v>
      </c>
      <c r="H26" s="9" t="s">
        <v>30</v>
      </c>
      <c r="I26" s="5">
        <f>LEN(E26)</f>
        <v>3</v>
      </c>
      <c r="J26" s="3" t="str">
        <f xml:space="preserve"> IF(OR($E26="", $F26=""), "",  _xlfn.CONCAT("    - xform/",$E26,"/",F26,"/"))</f>
        <v xml:space="preserve">    - xform/eeh/eeh/</v>
      </c>
      <c r="K26" s="3" t="str">
        <f xml:space="preserve"> IF(OR($E26="", $G26=""), "",  _xlfn.CONCAT("    - xform/",$E26,"/",G26,"/"))</f>
        <v xml:space="preserve">    - xform/eeh/ㄝㆷ/</v>
      </c>
    </row>
    <row r="27" spans="1:11" x14ac:dyDescent="0.25">
      <c r="A27" s="16">
        <v>78</v>
      </c>
      <c r="B27" s="17" t="s">
        <v>241</v>
      </c>
      <c r="C27" s="12" t="s">
        <v>242</v>
      </c>
      <c r="D27" s="12" t="s">
        <v>345</v>
      </c>
      <c r="E27" s="6" t="s">
        <v>441</v>
      </c>
      <c r="F27" s="6" t="s">
        <v>29</v>
      </c>
      <c r="G27" s="6" t="s">
        <v>79</v>
      </c>
      <c r="H27" s="9" t="s">
        <v>244</v>
      </c>
      <c r="I27" s="5">
        <f>LEN(E27)</f>
        <v>2</v>
      </c>
      <c r="J27" s="3" t="str">
        <f xml:space="preserve"> IF(OR($E27="", $F27=""), "",  _xlfn.CONCAT("    - xform/",$E27,"/",F27,"/"))</f>
        <v xml:space="preserve">    - xform/eh/eh/</v>
      </c>
      <c r="K27" s="3" t="str">
        <f xml:space="preserve"> IF(OR($E27="", $G27=""), "",  _xlfn.CONCAT("    - xform/",$E27,"/",G27,"/"))</f>
        <v xml:space="preserve">    - xform/eh/ㆤㆷ/</v>
      </c>
    </row>
    <row r="28" spans="1:11" x14ac:dyDescent="0.25">
      <c r="A28" s="14">
        <v>61</v>
      </c>
      <c r="B28" s="17" t="s">
        <v>187</v>
      </c>
      <c r="C28" s="12" t="s">
        <v>188</v>
      </c>
      <c r="D28" s="12" t="s">
        <v>345</v>
      </c>
      <c r="E28" s="20" t="s">
        <v>189</v>
      </c>
      <c r="F28" s="20" t="s">
        <v>190</v>
      </c>
      <c r="G28" s="6" t="s">
        <v>191</v>
      </c>
      <c r="H28" s="9" t="s">
        <v>192</v>
      </c>
      <c r="I28" s="5">
        <f>LEN(E28)</f>
        <v>3</v>
      </c>
      <c r="J28" s="3" t="str">
        <f xml:space="preserve"> IF(OR($E28="", $F28=""), "",  _xlfn.CONCAT("    - xform/",$E28,"/",F28,"/"))</f>
        <v xml:space="preserve">    - xform/enn/ne/</v>
      </c>
      <c r="K28" s="3" t="str">
        <f xml:space="preserve"> IF(OR($E28="", $G28=""), "",  _xlfn.CONCAT("    - xform/",$E28,"/",G28,"/"))</f>
        <v xml:space="preserve">    - xform/enn/ㆥ/</v>
      </c>
    </row>
    <row r="29" spans="1:11" x14ac:dyDescent="0.25">
      <c r="A29" s="16">
        <v>62</v>
      </c>
      <c r="B29" s="17" t="s">
        <v>187</v>
      </c>
      <c r="C29" s="12" t="s">
        <v>188</v>
      </c>
      <c r="D29" s="12" t="s">
        <v>345</v>
      </c>
      <c r="E29" s="20" t="s">
        <v>432</v>
      </c>
      <c r="F29" s="20" t="s">
        <v>325</v>
      </c>
      <c r="G29" s="6" t="s">
        <v>193</v>
      </c>
      <c r="H29" s="10" t="s">
        <v>194</v>
      </c>
      <c r="I29" s="5">
        <f>LEN(E29)</f>
        <v>4</v>
      </c>
      <c r="J29" s="3" t="str">
        <f xml:space="preserve"> IF(OR($E29="", $F29=""), "",  _xlfn.CONCAT("    - xform/",$E29,"/",F29,"/"))</f>
        <v xml:space="preserve">    - xform/ennh/neh/</v>
      </c>
      <c r="K29" s="3" t="str">
        <f xml:space="preserve"> IF(OR($E29="", $G29=""), "",  _xlfn.CONCAT("    - xform/",$E29,"/",G29,"/"))</f>
        <v xml:space="preserve">    - xform/ennh/ㆥㆷ/</v>
      </c>
    </row>
    <row r="30" spans="1:11" x14ac:dyDescent="0.25">
      <c r="A30" s="14">
        <v>57</v>
      </c>
      <c r="B30" s="17" t="s">
        <v>176</v>
      </c>
      <c r="C30" s="12" t="s">
        <v>177</v>
      </c>
      <c r="D30" s="12" t="s">
        <v>345</v>
      </c>
      <c r="E30" s="6" t="s">
        <v>178</v>
      </c>
      <c r="F30" s="6" t="s">
        <v>178</v>
      </c>
      <c r="G30" s="6" t="s">
        <v>392</v>
      </c>
      <c r="H30" s="9" t="s">
        <v>179</v>
      </c>
      <c r="I30" s="5">
        <f>LEN(E30)</f>
        <v>1</v>
      </c>
      <c r="J30" s="3" t="str">
        <f xml:space="preserve"> IF(OR($E30="", $F30=""), "",  _xlfn.CONCAT("    - xform/",$E30,"/",F30,"/"))</f>
        <v xml:space="preserve">    - xform/i/i/</v>
      </c>
      <c r="K30" s="3" t="str">
        <f xml:space="preserve"> IF(OR($E30="", $G30=""), "",  _xlfn.CONCAT("    - xform/",$E30,"/",G30,"/"))</f>
        <v xml:space="preserve">    - xform/i/ㄧ/</v>
      </c>
    </row>
    <row r="31" spans="1:11" x14ac:dyDescent="0.25">
      <c r="A31" s="16">
        <v>47</v>
      </c>
      <c r="B31" s="17" t="s">
        <v>143</v>
      </c>
      <c r="C31" s="12" t="s">
        <v>144</v>
      </c>
      <c r="D31" s="12" t="s">
        <v>345</v>
      </c>
      <c r="E31" s="6" t="s">
        <v>145</v>
      </c>
      <c r="F31" s="6" t="s">
        <v>145</v>
      </c>
      <c r="G31" s="6" t="s">
        <v>384</v>
      </c>
      <c r="H31" s="9" t="s">
        <v>146</v>
      </c>
      <c r="I31" s="5">
        <f>LEN(E31)</f>
        <v>2</v>
      </c>
      <c r="J31" s="3" t="str">
        <f xml:space="preserve"> IF(OR($E31="", $F31=""), "",  _xlfn.CONCAT("    - xform/",$E31,"/",F31,"/"))</f>
        <v xml:space="preserve">    - xform/ia/ia/</v>
      </c>
      <c r="K31" s="3" t="str">
        <f xml:space="preserve"> IF(OR($E31="", $G31=""), "",  _xlfn.CONCAT("    - xform/",$E31,"/",G31,"/"))</f>
        <v xml:space="preserve">    - xform/ia/ㄧㄚ/</v>
      </c>
    </row>
    <row r="32" spans="1:11" x14ac:dyDescent="0.25">
      <c r="A32" s="14">
        <v>48</v>
      </c>
      <c r="B32" s="17" t="s">
        <v>143</v>
      </c>
      <c r="C32" s="12" t="s">
        <v>144</v>
      </c>
      <c r="D32" s="12" t="s">
        <v>347</v>
      </c>
      <c r="E32" s="6" t="s">
        <v>147</v>
      </c>
      <c r="F32" s="6" t="s">
        <v>147</v>
      </c>
      <c r="G32" s="6" t="s">
        <v>385</v>
      </c>
      <c r="H32" s="9" t="s">
        <v>148</v>
      </c>
      <c r="I32" s="5">
        <f>LEN(E32)</f>
        <v>3</v>
      </c>
      <c r="J32" s="3" t="str">
        <f xml:space="preserve"> IF(OR($E32="", $F32=""), "",  _xlfn.CONCAT("    - xform/",$E32,"/",F32,"/"))</f>
        <v xml:space="preserve">    - xform/iah/iah/</v>
      </c>
      <c r="K32" s="3" t="str">
        <f xml:space="preserve"> IF(OR($E32="", $G32=""), "",  _xlfn.CONCAT("    - xform/",$E32,"/",G32,"/"))</f>
        <v xml:space="preserve">    - xform/iah/ㄧㄚㆷ/</v>
      </c>
    </row>
    <row r="33" spans="1:11" x14ac:dyDescent="0.25">
      <c r="A33" s="16">
        <v>36</v>
      </c>
      <c r="B33" s="17" t="s">
        <v>105</v>
      </c>
      <c r="C33" s="12" t="s">
        <v>106</v>
      </c>
      <c r="D33" s="12" t="s">
        <v>347</v>
      </c>
      <c r="E33" s="6" t="s">
        <v>109</v>
      </c>
      <c r="F33" s="6" t="s">
        <v>109</v>
      </c>
      <c r="G33" s="6" t="s">
        <v>374</v>
      </c>
      <c r="H33" s="9" t="s">
        <v>110</v>
      </c>
      <c r="I33" s="5">
        <f>LEN(E33)</f>
        <v>3</v>
      </c>
      <c r="J33" s="3" t="str">
        <f xml:space="preserve"> IF(OR($E33="", $F33=""), "",  _xlfn.CONCAT("    - xform/",$E33,"/",F33,"/"))</f>
        <v xml:space="preserve">    - xform/iak/iak/</v>
      </c>
      <c r="K33" s="3" t="str">
        <f xml:space="preserve"> IF(OR($E33="", $G33=""), "",  _xlfn.CONCAT("    - xform/",$E33,"/",G33,"/"))</f>
        <v xml:space="preserve">    - xform/iak/ㄧㄚㆻ/</v>
      </c>
    </row>
    <row r="34" spans="1:11" x14ac:dyDescent="0.25">
      <c r="A34" s="14">
        <v>43</v>
      </c>
      <c r="B34" s="17" t="s">
        <v>129</v>
      </c>
      <c r="C34" s="12" t="s">
        <v>130</v>
      </c>
      <c r="D34" s="12" t="s">
        <v>345</v>
      </c>
      <c r="E34" s="6" t="s">
        <v>131</v>
      </c>
      <c r="F34" s="6" t="s">
        <v>131</v>
      </c>
      <c r="G34" s="6" t="s">
        <v>380</v>
      </c>
      <c r="H34" s="9" t="s">
        <v>132</v>
      </c>
      <c r="I34" s="5">
        <f>LEN(E34)</f>
        <v>3</v>
      </c>
      <c r="J34" s="3" t="str">
        <f xml:space="preserve"> IF(OR($E34="", $F34=""), "",  _xlfn.CONCAT("    - xform/",$E34,"/",F34,"/"))</f>
        <v xml:space="preserve">    - xform/iam/iam/</v>
      </c>
      <c r="K34" s="3" t="str">
        <f xml:space="preserve"> IF(OR($E34="", $G34=""), "",  _xlfn.CONCAT("    - xform/",$E34,"/",G34,"/"))</f>
        <v xml:space="preserve">    - xform/iam/ㄧㆰ/</v>
      </c>
    </row>
    <row r="35" spans="1:11" x14ac:dyDescent="0.25">
      <c r="A35" s="16">
        <v>3</v>
      </c>
      <c r="B35" s="17" t="s">
        <v>6</v>
      </c>
      <c r="C35" s="12" t="s">
        <v>7</v>
      </c>
      <c r="D35" s="12" t="s">
        <v>345</v>
      </c>
      <c r="E35" s="6" t="s">
        <v>8</v>
      </c>
      <c r="F35" s="6" t="s">
        <v>8</v>
      </c>
      <c r="G35" s="6" t="s">
        <v>349</v>
      </c>
      <c r="H35" s="9" t="s">
        <v>9</v>
      </c>
      <c r="I35" s="5">
        <f>LEN(E35)</f>
        <v>3</v>
      </c>
      <c r="J35" s="3" t="str">
        <f xml:space="preserve"> IF(OR($E35="", $F35=""), "",  _xlfn.CONCAT("    - xform/",$E35,"/",F35,"/"))</f>
        <v xml:space="preserve">    - xform/ian/ian/</v>
      </c>
      <c r="K35" s="3" t="str">
        <f xml:space="preserve"> IF(OR($E35="", $G35=""), "",  _xlfn.CONCAT("    - xform/",$E35,"/",G35,"/"))</f>
        <v xml:space="preserve">    - xform/ian/ㄧㄢ/</v>
      </c>
    </row>
    <row r="36" spans="1:11" x14ac:dyDescent="0.25">
      <c r="A36" s="14">
        <v>35</v>
      </c>
      <c r="B36" s="17" t="s">
        <v>105</v>
      </c>
      <c r="C36" s="12" t="s">
        <v>106</v>
      </c>
      <c r="D36" s="12" t="s">
        <v>345</v>
      </c>
      <c r="E36" s="6" t="s">
        <v>107</v>
      </c>
      <c r="F36" s="6" t="s">
        <v>107</v>
      </c>
      <c r="G36" s="6" t="s">
        <v>373</v>
      </c>
      <c r="H36" s="9" t="s">
        <v>108</v>
      </c>
      <c r="I36" s="5">
        <f>LEN(E36)</f>
        <v>4</v>
      </c>
      <c r="J36" s="3" t="str">
        <f xml:space="preserve"> IF(OR($E36="", $F36=""), "",  _xlfn.CONCAT("    - xform/",$E36,"/",F36,"/"))</f>
        <v xml:space="preserve">    - xform/iang/iang/</v>
      </c>
      <c r="K36" s="3" t="str">
        <f xml:space="preserve"> IF(OR($E36="", $G36=""), "",  _xlfn.CONCAT("    - xform/",$E36,"/",G36,"/"))</f>
        <v xml:space="preserve">    - xform/iang/ㄧㄤ/</v>
      </c>
    </row>
    <row r="37" spans="1:11" x14ac:dyDescent="0.25">
      <c r="A37" s="16">
        <v>71</v>
      </c>
      <c r="B37" s="17" t="s">
        <v>223</v>
      </c>
      <c r="C37" s="12" t="s">
        <v>224</v>
      </c>
      <c r="D37" s="12" t="s">
        <v>345</v>
      </c>
      <c r="E37" s="20" t="s">
        <v>225</v>
      </c>
      <c r="F37" s="20" t="s">
        <v>226</v>
      </c>
      <c r="G37" s="6" t="s">
        <v>399</v>
      </c>
      <c r="H37" s="9" t="s">
        <v>227</v>
      </c>
      <c r="I37" s="5">
        <f>LEN(E37)</f>
        <v>4</v>
      </c>
      <c r="J37" s="3" t="str">
        <f xml:space="preserve"> IF(OR($E37="", $F37=""), "",  _xlfn.CONCAT("    - xform/",$E37,"/",F37,"/"))</f>
        <v xml:space="preserve">    - xform/iann/nia/</v>
      </c>
      <c r="K37" s="3" t="str">
        <f xml:space="preserve"> IF(OR($E37="", $G37=""), "",  _xlfn.CONCAT("    - xform/",$E37,"/",G37,"/"))</f>
        <v xml:space="preserve">    - xform/iann/ㄧㆩ/</v>
      </c>
    </row>
    <row r="38" spans="1:11" x14ac:dyDescent="0.25">
      <c r="A38" s="14">
        <v>72</v>
      </c>
      <c r="B38" s="17" t="s">
        <v>223</v>
      </c>
      <c r="C38" s="12" t="s">
        <v>224</v>
      </c>
      <c r="D38" s="12" t="s">
        <v>345</v>
      </c>
      <c r="E38" s="20" t="s">
        <v>459</v>
      </c>
      <c r="F38" s="20" t="s">
        <v>329</v>
      </c>
      <c r="G38" s="6" t="s">
        <v>228</v>
      </c>
      <c r="H38" s="9"/>
      <c r="I38" s="5">
        <f>LEN(E38)</f>
        <v>5</v>
      </c>
      <c r="J38" s="3" t="str">
        <f xml:space="preserve"> IF(OR($E38="", $F38=""), "",  _xlfn.CONCAT("    - xform/",$E38,"/",F38,"/"))</f>
        <v xml:space="preserve">    - xform/iannh/niah/</v>
      </c>
      <c r="K38" s="3" t="str">
        <f xml:space="preserve"> IF(OR($E38="", $G38=""), "",  _xlfn.CONCAT("    - xform/",$E38,"/",G38,"/"))</f>
        <v xml:space="preserve">    - xform/iannh/ㄧㆩㆷ/</v>
      </c>
    </row>
    <row r="39" spans="1:11" x14ac:dyDescent="0.25">
      <c r="A39" s="16">
        <v>44</v>
      </c>
      <c r="B39" s="17" t="s">
        <v>129</v>
      </c>
      <c r="C39" s="12" t="s">
        <v>130</v>
      </c>
      <c r="D39" s="12" t="s">
        <v>347</v>
      </c>
      <c r="E39" s="6" t="s">
        <v>133</v>
      </c>
      <c r="F39" s="6" t="s">
        <v>133</v>
      </c>
      <c r="G39" s="6" t="s">
        <v>381</v>
      </c>
      <c r="H39" s="9" t="s">
        <v>134</v>
      </c>
      <c r="I39" s="5">
        <f>LEN(E39)</f>
        <v>3</v>
      </c>
      <c r="J39" s="3" t="str">
        <f xml:space="preserve"> IF(OR($E39="", $F39=""), "",  _xlfn.CONCAT("    - xform/",$E39,"/",F39,"/"))</f>
        <v xml:space="preserve">    - xform/iap/iap/</v>
      </c>
      <c r="K39" s="3" t="str">
        <f xml:space="preserve"> IF(OR($E39="", $G39=""), "",  _xlfn.CONCAT("    - xform/",$E39,"/",G39,"/"))</f>
        <v xml:space="preserve">    - xform/iap/ㄧㄚㆴ/</v>
      </c>
    </row>
    <row r="40" spans="1:11" x14ac:dyDescent="0.25">
      <c r="A40" s="14">
        <v>4</v>
      </c>
      <c r="B40" s="17" t="s">
        <v>6</v>
      </c>
      <c r="C40" s="12" t="s">
        <v>7</v>
      </c>
      <c r="D40" s="12" t="s">
        <v>347</v>
      </c>
      <c r="E40" s="6" t="s">
        <v>10</v>
      </c>
      <c r="F40" s="6" t="s">
        <v>10</v>
      </c>
      <c r="G40" s="6" t="s">
        <v>350</v>
      </c>
      <c r="H40" s="9" t="s">
        <v>11</v>
      </c>
      <c r="I40" s="5">
        <f>LEN(E40)</f>
        <v>3</v>
      </c>
      <c r="J40" s="3" t="str">
        <f xml:space="preserve"> IF(OR($E40="", $F40=""), "",  _xlfn.CONCAT("    - xform/",$E40,"/",F40,"/"))</f>
        <v xml:space="preserve">    - xform/iat/iat/</v>
      </c>
      <c r="K40" s="3" t="str">
        <f xml:space="preserve"> IF(OR($E40="", $G40=""), "",  _xlfn.CONCAT("    - xform/",$E40,"/",G40,"/"))</f>
        <v xml:space="preserve">    - xform/iat/ㄧㄚㆵ/</v>
      </c>
    </row>
    <row r="41" spans="1:11" x14ac:dyDescent="0.25">
      <c r="A41" s="16">
        <v>23</v>
      </c>
      <c r="B41" s="17" t="s">
        <v>68</v>
      </c>
      <c r="C41" s="12" t="s">
        <v>69</v>
      </c>
      <c r="D41" s="12" t="s">
        <v>345</v>
      </c>
      <c r="E41" s="18" t="s">
        <v>419</v>
      </c>
      <c r="F41" s="18" t="s">
        <v>415</v>
      </c>
      <c r="G41" s="6" t="s">
        <v>364</v>
      </c>
      <c r="H41" s="9" t="s">
        <v>72</v>
      </c>
      <c r="I41" s="5">
        <f>LEN(E41)</f>
        <v>3</v>
      </c>
      <c r="J41" s="3" t="str">
        <f xml:space="preserve"> IF(OR($E41="", $F41=""), "",  _xlfn.CONCAT("    - xform/",$E41,"/",F41,"/"))</f>
        <v xml:space="preserve">    - xform/iau/iao/</v>
      </c>
      <c r="K41" s="3" t="str">
        <f xml:space="preserve"> IF(OR($E41="", $G41=""), "",  _xlfn.CONCAT("    - xform/",$E41,"/",G41,"/"))</f>
        <v xml:space="preserve">    - xform/iau/ㄧㄠ/</v>
      </c>
    </row>
    <row r="42" spans="1:11" x14ac:dyDescent="0.25">
      <c r="A42" s="14">
        <v>24</v>
      </c>
      <c r="B42" s="17" t="s">
        <v>68</v>
      </c>
      <c r="C42" s="12" t="s">
        <v>69</v>
      </c>
      <c r="D42" s="12" t="s">
        <v>345</v>
      </c>
      <c r="E42" s="18" t="s">
        <v>418</v>
      </c>
      <c r="F42" s="18" t="s">
        <v>420</v>
      </c>
      <c r="G42" s="6" t="s">
        <v>365</v>
      </c>
      <c r="H42" s="9" t="s">
        <v>74</v>
      </c>
      <c r="I42" s="5">
        <f>LEN(E42)</f>
        <v>4</v>
      </c>
      <c r="J42" s="3" t="str">
        <f xml:space="preserve"> IF(OR($E42="", $F42=""), "",  _xlfn.CONCAT("    - xform/",$E42,"/",F42,"/"))</f>
        <v xml:space="preserve">    - xform/iauh/iaoh/</v>
      </c>
      <c r="K42" s="3" t="str">
        <f xml:space="preserve"> IF(OR($E42="", $G42=""), "",  _xlfn.CONCAT("    - xform/",$E42,"/",G42,"/"))</f>
        <v xml:space="preserve">    - xform/iauh/ㄧㄠㆷ/</v>
      </c>
    </row>
    <row r="43" spans="1:11" x14ac:dyDescent="0.25">
      <c r="A43" s="16">
        <v>91</v>
      </c>
      <c r="B43" s="17" t="s">
        <v>281</v>
      </c>
      <c r="C43" s="12" t="s">
        <v>282</v>
      </c>
      <c r="D43" s="12" t="s">
        <v>345</v>
      </c>
      <c r="E43" s="18" t="s">
        <v>448</v>
      </c>
      <c r="F43" s="18" t="s">
        <v>449</v>
      </c>
      <c r="G43" s="6" t="s">
        <v>406</v>
      </c>
      <c r="H43" s="9" t="s">
        <v>285</v>
      </c>
      <c r="I43" s="5">
        <f>LEN(E43)</f>
        <v>5</v>
      </c>
      <c r="J43" s="3" t="str">
        <f xml:space="preserve"> IF(OR($E43="", $F43=""), "",  _xlfn.CONCAT("    - xform/",$E43,"/",F43,"/"))</f>
        <v xml:space="preserve">    - xform/iaunn/niao/</v>
      </c>
      <c r="K43" s="3" t="str">
        <f xml:space="preserve"> IF(OR($E43="", $G43=""), "",  _xlfn.CONCAT("    - xform/",$E43,"/",G43,"/"))</f>
        <v xml:space="preserve">    - xform/iaunn/ㄧㆯ/</v>
      </c>
    </row>
    <row r="44" spans="1:11" x14ac:dyDescent="0.25">
      <c r="A44" s="14">
        <v>92</v>
      </c>
      <c r="B44" s="17" t="s">
        <v>281</v>
      </c>
      <c r="C44" s="12" t="s">
        <v>282</v>
      </c>
      <c r="D44" s="12" t="s">
        <v>347</v>
      </c>
      <c r="E44" s="18" t="s">
        <v>450</v>
      </c>
      <c r="F44" s="18" t="s">
        <v>451</v>
      </c>
      <c r="G44" s="6" t="s">
        <v>407</v>
      </c>
      <c r="H44" s="9" t="s">
        <v>337</v>
      </c>
      <c r="I44" s="5">
        <f>LEN(E44)</f>
        <v>6</v>
      </c>
      <c r="J44" s="3" t="str">
        <f xml:space="preserve"> IF(OR($E44="", $F44=""), "",  _xlfn.CONCAT("    - xform/",$E44,"/",F44,"/"))</f>
        <v xml:space="preserve">    - xform/iaunnh/niaoh/</v>
      </c>
      <c r="K44" s="3" t="str">
        <f xml:space="preserve"> IF(OR($E44="", $G44=""), "",  _xlfn.CONCAT("    - xform/",$E44,"/",G44,"/"))</f>
        <v xml:space="preserve">    - xform/iaunnh/ㄧㆯㆷ/</v>
      </c>
    </row>
    <row r="45" spans="1:11" x14ac:dyDescent="0.25">
      <c r="A45" s="16">
        <v>18</v>
      </c>
      <c r="B45" s="17" t="s">
        <v>51</v>
      </c>
      <c r="C45" s="12" t="s">
        <v>52</v>
      </c>
      <c r="D45" s="12" t="s">
        <v>347</v>
      </c>
      <c r="E45" s="18" t="s">
        <v>417</v>
      </c>
      <c r="F45" s="18" t="s">
        <v>416</v>
      </c>
      <c r="G45" s="6" t="s">
        <v>361</v>
      </c>
      <c r="H45" s="9" t="s">
        <v>56</v>
      </c>
      <c r="I45" s="5">
        <f>LEN(E45)</f>
        <v>3</v>
      </c>
      <c r="J45" s="3" t="str">
        <f xml:space="preserve"> IF(OR($E45="", $F45=""), "",  _xlfn.CONCAT("    - xform/",$E45,"/",F45,"/"))</f>
        <v xml:space="preserve">    - xform/iek/ik/</v>
      </c>
      <c r="K45" s="3" t="str">
        <f xml:space="preserve"> IF(OR($E45="", $G45=""), "",  _xlfn.CONCAT("    - xform/",$E45,"/",G45,"/"))</f>
        <v xml:space="preserve">    - xform/iek/ㄧㆻ/</v>
      </c>
    </row>
    <row r="46" spans="1:11" x14ac:dyDescent="0.25">
      <c r="A46" s="14">
        <v>58</v>
      </c>
      <c r="B46" s="17" t="s">
        <v>176</v>
      </c>
      <c r="C46" s="12" t="s">
        <v>177</v>
      </c>
      <c r="D46" s="12" t="s">
        <v>345</v>
      </c>
      <c r="E46" s="6" t="s">
        <v>430</v>
      </c>
      <c r="F46" s="6" t="s">
        <v>180</v>
      </c>
      <c r="G46" s="6" t="s">
        <v>393</v>
      </c>
      <c r="H46" s="9" t="s">
        <v>181</v>
      </c>
      <c r="I46" s="5">
        <f>LEN(E46)</f>
        <v>2</v>
      </c>
      <c r="J46" s="3" t="str">
        <f xml:space="preserve"> IF(OR($E46="", $F46=""), "",  _xlfn.CONCAT("    - xform/",$E46,"/",F46,"/"))</f>
        <v xml:space="preserve">    - xform/ih/ih/</v>
      </c>
      <c r="K46" s="3" t="str">
        <f xml:space="preserve"> IF(OR($E46="", $G46=""), "",  _xlfn.CONCAT("    - xform/",$E46,"/",G46,"/"))</f>
        <v xml:space="preserve">    - xform/ih/ㄧㆷ/</v>
      </c>
    </row>
    <row r="47" spans="1:11" x14ac:dyDescent="0.25">
      <c r="A47" s="16">
        <v>5</v>
      </c>
      <c r="B47" s="17" t="s">
        <v>12</v>
      </c>
      <c r="C47" s="12" t="s">
        <v>13</v>
      </c>
      <c r="D47" s="12" t="s">
        <v>345</v>
      </c>
      <c r="E47" s="6" t="s">
        <v>14</v>
      </c>
      <c r="F47" s="6" t="s">
        <v>14</v>
      </c>
      <c r="G47" s="6" t="s">
        <v>351</v>
      </c>
      <c r="H47" s="9" t="s">
        <v>15</v>
      </c>
      <c r="I47" s="5">
        <f>LEN(E47)</f>
        <v>2</v>
      </c>
      <c r="J47" s="3" t="str">
        <f xml:space="preserve"> IF(OR($E47="", $F47=""), "",  _xlfn.CONCAT("    - xform/",$E47,"/",F47,"/"))</f>
        <v xml:space="preserve">    - xform/im/im/</v>
      </c>
      <c r="K47" s="3" t="str">
        <f xml:space="preserve"> IF(OR($E47="", $G47=""), "",  _xlfn.CONCAT("    - xform/",$E47,"/",G47,"/"))</f>
        <v xml:space="preserve">    - xform/im/ㄧㆬ/</v>
      </c>
    </row>
    <row r="48" spans="1:11" x14ac:dyDescent="0.25">
      <c r="A48" s="14">
        <v>33</v>
      </c>
      <c r="B48" s="17" t="s">
        <v>99</v>
      </c>
      <c r="C48" s="12" t="s">
        <v>100</v>
      </c>
      <c r="D48" s="12" t="s">
        <v>345</v>
      </c>
      <c r="E48" s="6" t="s">
        <v>101</v>
      </c>
      <c r="F48" s="6" t="s">
        <v>101</v>
      </c>
      <c r="G48" s="6" t="s">
        <v>371</v>
      </c>
      <c r="H48" s="9" t="s">
        <v>102</v>
      </c>
      <c r="I48" s="5">
        <f>LEN(E48)</f>
        <v>2</v>
      </c>
      <c r="J48" s="3" t="str">
        <f xml:space="preserve"> IF(OR($E48="", $F48=""), "",  _xlfn.CONCAT("    - xform/",$E48,"/",F48,"/"))</f>
        <v xml:space="preserve">    - xform/in/in/</v>
      </c>
      <c r="K48" s="3" t="str">
        <f xml:space="preserve"> IF(OR($E48="", $G48=""), "",  _xlfn.CONCAT("    - xform/",$E48,"/",G48,"/"))</f>
        <v xml:space="preserve">    - xform/in/ㄧㄣ/</v>
      </c>
    </row>
    <row r="49" spans="1:11" x14ac:dyDescent="0.25">
      <c r="A49" s="16">
        <v>17</v>
      </c>
      <c r="B49" s="17" t="s">
        <v>51</v>
      </c>
      <c r="C49" s="12" t="s">
        <v>52</v>
      </c>
      <c r="D49" s="12" t="s">
        <v>345</v>
      </c>
      <c r="E49" s="6" t="s">
        <v>53</v>
      </c>
      <c r="F49" s="6" t="s">
        <v>318</v>
      </c>
      <c r="G49" s="6" t="s">
        <v>360</v>
      </c>
      <c r="H49" s="9" t="s">
        <v>54</v>
      </c>
      <c r="I49" s="5">
        <f>LEN(E49)</f>
        <v>3</v>
      </c>
      <c r="J49" s="3" t="str">
        <f xml:space="preserve"> IF(OR($E49="", $F49=""), "",  _xlfn.CONCAT("    - xform/",$E49,"/",F49,"/"))</f>
        <v xml:space="preserve">    - xform/ing/ing/</v>
      </c>
      <c r="K49" s="3" t="str">
        <f xml:space="preserve"> IF(OR($E49="", $G49=""), "",  _xlfn.CONCAT("    - xform/",$E49,"/",G49,"/"))</f>
        <v xml:space="preserve">    - xform/ing/ㄧㄥ/</v>
      </c>
    </row>
    <row r="50" spans="1:11" x14ac:dyDescent="0.25">
      <c r="A50" s="14">
        <v>67</v>
      </c>
      <c r="B50" s="17" t="s">
        <v>209</v>
      </c>
      <c r="C50" s="12" t="s">
        <v>210</v>
      </c>
      <c r="D50" s="12" t="s">
        <v>345</v>
      </c>
      <c r="E50" s="20" t="s">
        <v>211</v>
      </c>
      <c r="F50" s="20" t="s">
        <v>212</v>
      </c>
      <c r="G50" s="6" t="s">
        <v>213</v>
      </c>
      <c r="H50" s="9" t="s">
        <v>214</v>
      </c>
      <c r="I50" s="5">
        <f>LEN(E50)</f>
        <v>3</v>
      </c>
      <c r="J50" s="3" t="str">
        <f xml:space="preserve"> IF(OR($E50="", $F50=""), "",  _xlfn.CONCAT("    - xform/",$E50,"/",F50,"/"))</f>
        <v xml:space="preserve">    - xform/inn/ni/</v>
      </c>
      <c r="K50" s="3" t="str">
        <f xml:space="preserve"> IF(OR($E50="", $G50=""), "",  _xlfn.CONCAT("    - xform/",$E50,"/",G50,"/"))</f>
        <v xml:space="preserve">    - xform/inn/ㆪ/</v>
      </c>
    </row>
    <row r="51" spans="1:11" x14ac:dyDescent="0.25">
      <c r="A51" s="16">
        <v>68</v>
      </c>
      <c r="B51" s="17" t="s">
        <v>209</v>
      </c>
      <c r="C51" s="12" t="s">
        <v>210</v>
      </c>
      <c r="D51" s="12" t="s">
        <v>345</v>
      </c>
      <c r="E51" s="20" t="s">
        <v>438</v>
      </c>
      <c r="F51" s="20" t="s">
        <v>460</v>
      </c>
      <c r="G51" s="6" t="s">
        <v>216</v>
      </c>
      <c r="H51" s="9" t="s">
        <v>217</v>
      </c>
      <c r="I51" s="5">
        <f>LEN(E51)</f>
        <v>4</v>
      </c>
      <c r="J51" s="3" t="str">
        <f xml:space="preserve"> IF(OR($E51="", $F51=""), "",  _xlfn.CONCAT("    - xform/",$E51,"/",F51,"/"))</f>
        <v xml:space="preserve">    - xform/innh/nih/</v>
      </c>
      <c r="K51" s="3" t="str">
        <f xml:space="preserve"> IF(OR($E51="", $G51=""), "",  _xlfn.CONCAT("    - xform/",$E51,"/",G51,"/"))</f>
        <v xml:space="preserve">    - xform/innh/ㆪㆷ/</v>
      </c>
    </row>
    <row r="52" spans="1:11" x14ac:dyDescent="0.25">
      <c r="A52" s="14">
        <v>27</v>
      </c>
      <c r="B52" s="17" t="s">
        <v>80</v>
      </c>
      <c r="C52" s="12" t="s">
        <v>81</v>
      </c>
      <c r="D52" s="12" t="s">
        <v>345</v>
      </c>
      <c r="E52" s="6" t="s">
        <v>82</v>
      </c>
      <c r="F52" s="6" t="s">
        <v>82</v>
      </c>
      <c r="G52" s="6" t="s">
        <v>366</v>
      </c>
      <c r="H52" s="9" t="s">
        <v>83</v>
      </c>
      <c r="I52" s="5">
        <f>LEN(E52)</f>
        <v>4</v>
      </c>
      <c r="J52" s="3" t="str">
        <f xml:space="preserve"> IF(OR($E52="", $F52=""), "",  _xlfn.CONCAT("    - xform/",$E52,"/",F52,"/"))</f>
        <v xml:space="preserve">    - xform/iong/iong/</v>
      </c>
      <c r="K52" s="3" t="str">
        <f xml:space="preserve"> IF(OR($E52="", $G52=""), "",  _xlfn.CONCAT("    - xform/",$E52,"/",G52,"/"))</f>
        <v xml:space="preserve">    - xform/iong/ㄧㆲ/</v>
      </c>
    </row>
    <row r="53" spans="1:11" x14ac:dyDescent="0.25">
      <c r="A53" s="16">
        <v>28</v>
      </c>
      <c r="B53" s="17" t="s">
        <v>80</v>
      </c>
      <c r="C53" s="12" t="s">
        <v>81</v>
      </c>
      <c r="D53" s="12" t="s">
        <v>347</v>
      </c>
      <c r="E53" s="18" t="s">
        <v>421</v>
      </c>
      <c r="F53" s="18" t="s">
        <v>422</v>
      </c>
      <c r="G53" s="6" t="s">
        <v>367</v>
      </c>
      <c r="H53" s="9" t="s">
        <v>86</v>
      </c>
      <c r="I53" s="5">
        <f>LEN(E53)</f>
        <v>4</v>
      </c>
      <c r="J53" s="3" t="str">
        <f xml:space="preserve"> IF(OR($E53="", $F53=""), "",  _xlfn.CONCAT("    - xform/",$E53,"/",F53,"/"))</f>
        <v xml:space="preserve">    - xform/iook/iok/</v>
      </c>
      <c r="K53" s="3" t="str">
        <f xml:space="preserve"> IF(OR($E53="", $G53=""), "",  _xlfn.CONCAT("    - xform/",$E53,"/",G53,"/"))</f>
        <v xml:space="preserve">    - xform/iook/ㄧㆦㆻ/</v>
      </c>
    </row>
    <row r="54" spans="1:11" x14ac:dyDescent="0.25">
      <c r="A54" s="14">
        <v>69</v>
      </c>
      <c r="B54" s="17" t="s">
        <v>218</v>
      </c>
      <c r="C54" s="12" t="s">
        <v>219</v>
      </c>
      <c r="D54" s="12" t="s">
        <v>345</v>
      </c>
      <c r="E54" s="18" t="s">
        <v>439</v>
      </c>
      <c r="F54" s="18" t="s">
        <v>327</v>
      </c>
      <c r="G54" s="6" t="s">
        <v>398</v>
      </c>
      <c r="H54" s="9" t="s">
        <v>221</v>
      </c>
      <c r="I54" s="5">
        <f>LEN(E54)</f>
        <v>5</v>
      </c>
      <c r="J54" s="3" t="str">
        <f xml:space="preserve"> IF(OR($E54="", $F54=""), "",  _xlfn.CONCAT("    - xform/",$E54,"/",F54,"/"))</f>
        <v xml:space="preserve">    - xform/ioonn/nio/</v>
      </c>
      <c r="K54" s="3" t="str">
        <f xml:space="preserve"> IF(OR($E54="", $G54=""), "",  _xlfn.CONCAT("    - xform/",$E54,"/",G54,"/"))</f>
        <v xml:space="preserve">    - xform/ioonn/ㄧㆧ/</v>
      </c>
    </row>
    <row r="55" spans="1:11" x14ac:dyDescent="0.25">
      <c r="A55" s="16">
        <v>65</v>
      </c>
      <c r="B55" s="17" t="s">
        <v>201</v>
      </c>
      <c r="C55" s="12" t="s">
        <v>202</v>
      </c>
      <c r="D55" s="12" t="s">
        <v>345</v>
      </c>
      <c r="E55" s="18" t="s">
        <v>434</v>
      </c>
      <c r="F55" s="18" t="s">
        <v>435</v>
      </c>
      <c r="G55" s="6" t="s">
        <v>396</v>
      </c>
      <c r="H55" s="9" t="s">
        <v>205</v>
      </c>
      <c r="I55" s="5">
        <f>LEN(E55)</f>
        <v>3</v>
      </c>
      <c r="J55" s="3" t="str">
        <f xml:space="preserve"> IF(OR($E55="", $F55=""), "",  _xlfn.CONCAT("    - xform/",$E55,"/",F55,"/"))</f>
        <v xml:space="preserve">    - xform/ior/io/</v>
      </c>
      <c r="K55" s="3" t="str">
        <f xml:space="preserve"> IF(OR($E55="", $G55=""), "",  _xlfn.CONCAT("    - xform/",$E55,"/",G55,"/"))</f>
        <v xml:space="preserve">    - xform/ior/ㄧㄜ/</v>
      </c>
    </row>
    <row r="56" spans="1:11" x14ac:dyDescent="0.25">
      <c r="A56" s="14">
        <v>66</v>
      </c>
      <c r="B56" s="17" t="s">
        <v>201</v>
      </c>
      <c r="C56" s="12" t="s">
        <v>202</v>
      </c>
      <c r="D56" s="12" t="s">
        <v>347</v>
      </c>
      <c r="E56" s="18" t="s">
        <v>436</v>
      </c>
      <c r="F56" s="18" t="s">
        <v>437</v>
      </c>
      <c r="G56" s="6" t="s">
        <v>397</v>
      </c>
      <c r="H56" s="9" t="s">
        <v>208</v>
      </c>
      <c r="I56" s="5">
        <f>LEN(E56)</f>
        <v>4</v>
      </c>
      <c r="J56" s="3" t="str">
        <f xml:space="preserve"> IF(OR($E56="", $F56=""), "",  _xlfn.CONCAT("    - xform/",$E56,"/",F56,"/"))</f>
        <v xml:space="preserve">    - xform/iorh/ioh/</v>
      </c>
      <c r="K56" s="3" t="str">
        <f xml:space="preserve"> IF(OR($E56="", $G56=""), "",  _xlfn.CONCAT("    - xform/",$E56,"/",G56,"/"))</f>
        <v xml:space="preserve">    - xform/iorh/ㄧㄜㆷ/</v>
      </c>
    </row>
    <row r="57" spans="1:11" x14ac:dyDescent="0.25">
      <c r="A57" s="16">
        <v>6</v>
      </c>
      <c r="B57" s="17" t="s">
        <v>12</v>
      </c>
      <c r="C57" s="12" t="s">
        <v>13</v>
      </c>
      <c r="D57" s="12" t="s">
        <v>347</v>
      </c>
      <c r="E57" s="6" t="s">
        <v>16</v>
      </c>
      <c r="F57" s="6" t="s">
        <v>16</v>
      </c>
      <c r="G57" s="6" t="s">
        <v>352</v>
      </c>
      <c r="H57" s="9" t="s">
        <v>17</v>
      </c>
      <c r="I57" s="5">
        <f>LEN(E57)</f>
        <v>2</v>
      </c>
      <c r="J57" s="3" t="str">
        <f xml:space="preserve"> IF(OR($E57="", $F57=""), "",  _xlfn.CONCAT("    - xform/",$E57,"/",F57,"/"))</f>
        <v xml:space="preserve">    - xform/ip/ip/</v>
      </c>
      <c r="K57" s="3" t="str">
        <f xml:space="preserve"> IF(OR($E57="", $G57=""), "",  _xlfn.CONCAT("    - xform/",$E57,"/",G57,"/"))</f>
        <v xml:space="preserve">    - xform/ip/一ㆴ/</v>
      </c>
    </row>
    <row r="58" spans="1:11" x14ac:dyDescent="0.25">
      <c r="A58" s="14">
        <v>34</v>
      </c>
      <c r="B58" s="17" t="s">
        <v>99</v>
      </c>
      <c r="C58" s="12" t="s">
        <v>100</v>
      </c>
      <c r="D58" s="12" t="s">
        <v>347</v>
      </c>
      <c r="E58" s="6" t="s">
        <v>103</v>
      </c>
      <c r="F58" s="6" t="s">
        <v>103</v>
      </c>
      <c r="G58" s="6" t="s">
        <v>372</v>
      </c>
      <c r="H58" s="9" t="s">
        <v>104</v>
      </c>
      <c r="I58" s="5">
        <f>LEN(E58)</f>
        <v>2</v>
      </c>
      <c r="J58" s="3" t="str">
        <f xml:space="preserve"> IF(OR($E58="", $F58=""), "",  _xlfn.CONCAT("    - xform/",$E58,"/",F58,"/"))</f>
        <v xml:space="preserve">    - xform/it/it/</v>
      </c>
      <c r="K58" s="3" t="str">
        <f xml:space="preserve"> IF(OR($E58="", $G58=""), "",  _xlfn.CONCAT("    - xform/",$E58,"/",G58,"/"))</f>
        <v xml:space="preserve">    - xform/it/ㄧㆵ/</v>
      </c>
    </row>
    <row r="59" spans="1:11" x14ac:dyDescent="0.25">
      <c r="A59" s="16">
        <v>59</v>
      </c>
      <c r="B59" s="17" t="s">
        <v>182</v>
      </c>
      <c r="C59" s="12" t="s">
        <v>183</v>
      </c>
      <c r="D59" s="12" t="s">
        <v>345</v>
      </c>
      <c r="E59" s="6" t="s">
        <v>184</v>
      </c>
      <c r="F59" s="6" t="s">
        <v>184</v>
      </c>
      <c r="G59" s="6" t="s">
        <v>394</v>
      </c>
      <c r="H59" s="9" t="s">
        <v>185</v>
      </c>
      <c r="I59" s="5">
        <f>LEN(E59)</f>
        <v>2</v>
      </c>
      <c r="J59" s="3" t="str">
        <f xml:space="preserve"> IF(OR($E59="", $F59=""), "",  _xlfn.CONCAT("    - xform/",$E59,"/",F59,"/"))</f>
        <v xml:space="preserve">    - xform/iu/iu/</v>
      </c>
      <c r="K59" s="3" t="str">
        <f xml:space="preserve"> IF(OR($E59="", $G59=""), "",  _xlfn.CONCAT("    - xform/",$E59,"/",G59,"/"))</f>
        <v xml:space="preserve">    - xform/iu/ㄧㄨ/</v>
      </c>
    </row>
    <row r="60" spans="1:11" x14ac:dyDescent="0.25">
      <c r="A60" s="14">
        <v>60</v>
      </c>
      <c r="B60" s="17" t="s">
        <v>182</v>
      </c>
      <c r="C60" s="12" t="s">
        <v>183</v>
      </c>
      <c r="D60" s="12" t="s">
        <v>345</v>
      </c>
      <c r="E60" s="6" t="s">
        <v>431</v>
      </c>
      <c r="F60" s="6" t="s">
        <v>324</v>
      </c>
      <c r="G60" s="6" t="s">
        <v>186</v>
      </c>
      <c r="H60" s="9"/>
      <c r="I60" s="5">
        <f>LEN(E60)</f>
        <v>3</v>
      </c>
      <c r="J60" s="3" t="str">
        <f xml:space="preserve"> IF(OR($E60="", $F60=""), "",  _xlfn.CONCAT("    - xform/",$E60,"/",F60,"/"))</f>
        <v xml:space="preserve">    - xform/iuh/iuh/</v>
      </c>
      <c r="K60" s="3" t="str">
        <f xml:space="preserve"> IF(OR($E60="", $G60=""), "",  _xlfn.CONCAT("    - xform/",$E60,"/",G60,"/"))</f>
        <v xml:space="preserve">    - xform/iuh/ㄧㄨㆷ/</v>
      </c>
    </row>
    <row r="61" spans="1:11" x14ac:dyDescent="0.25">
      <c r="A61" s="16">
        <v>99</v>
      </c>
      <c r="B61" s="17" t="s">
        <v>308</v>
      </c>
      <c r="C61" s="12" t="s">
        <v>309</v>
      </c>
      <c r="D61" s="12" t="s">
        <v>345</v>
      </c>
      <c r="E61" s="20" t="s">
        <v>310</v>
      </c>
      <c r="F61" s="20" t="s">
        <v>311</v>
      </c>
      <c r="G61" s="6" t="s">
        <v>408</v>
      </c>
      <c r="H61" s="9" t="s">
        <v>312</v>
      </c>
      <c r="I61" s="5">
        <f>LEN(E61)</f>
        <v>4</v>
      </c>
      <c r="J61" s="3" t="str">
        <f xml:space="preserve"> IF(OR($E61="", $F61=""), "",  _xlfn.CONCAT("    - xform/",$E61,"/",F61,"/"))</f>
        <v xml:space="preserve">    - xform/iunn/niu/</v>
      </c>
      <c r="K61" s="3" t="str">
        <f xml:space="preserve"> IF(OR($E61="", $G61=""), "",  _xlfn.CONCAT("    - xform/",$E61,"/",G61,"/"))</f>
        <v xml:space="preserve">    - xform/iunn/ㄧㆫ/</v>
      </c>
    </row>
    <row r="62" spans="1:11" x14ac:dyDescent="0.25">
      <c r="A62" s="14">
        <v>83</v>
      </c>
      <c r="B62" s="17" t="s">
        <v>258</v>
      </c>
      <c r="C62" s="12" t="s">
        <v>259</v>
      </c>
      <c r="D62" s="12" t="s">
        <v>345</v>
      </c>
      <c r="E62" s="6" t="s">
        <v>260</v>
      </c>
      <c r="F62" s="6" t="s">
        <v>260</v>
      </c>
      <c r="G62" s="6" t="s">
        <v>261</v>
      </c>
      <c r="H62" s="9" t="s">
        <v>259</v>
      </c>
      <c r="I62" s="5">
        <f>LEN(E62)</f>
        <v>1</v>
      </c>
      <c r="J62" s="3" t="str">
        <f xml:space="preserve"> IF(OR($E62="", $F62=""), "",  _xlfn.CONCAT("    - xform/",$E62,"/",F62,"/"))</f>
        <v xml:space="preserve">    - xform/m/m/</v>
      </c>
      <c r="K62" s="3" t="str">
        <f xml:space="preserve"> IF(OR($E62="", $G62=""), "",  _xlfn.CONCAT("    - xform/",$E62,"/",G62,"/"))</f>
        <v xml:space="preserve">    - xform/m/ㆬ/</v>
      </c>
    </row>
    <row r="63" spans="1:11" x14ac:dyDescent="0.25">
      <c r="A63" s="16">
        <v>84</v>
      </c>
      <c r="B63" s="17" t="s">
        <v>258</v>
      </c>
      <c r="C63" s="12" t="s">
        <v>259</v>
      </c>
      <c r="D63" s="12" t="s">
        <v>345</v>
      </c>
      <c r="E63" s="6" t="s">
        <v>447</v>
      </c>
      <c r="F63" s="6" t="s">
        <v>447</v>
      </c>
      <c r="G63" s="6"/>
      <c r="H63" s="9"/>
      <c r="I63" s="5">
        <f>LEN(E63)</f>
        <v>2</v>
      </c>
      <c r="J63" s="3" t="str">
        <f xml:space="preserve"> IF(OR($E63="", $F63=""), "",  _xlfn.CONCAT("    - xform/",$E63,"/",F63,"/"))</f>
        <v xml:space="preserve">    - xform/mh/mh/</v>
      </c>
      <c r="K63" s="3" t="str">
        <f xml:space="preserve"> IF(OR($E63="", $G63=""), "",  _xlfn.CONCAT("    - xform/",$E63,"/",G63,"/"))</f>
        <v/>
      </c>
    </row>
    <row r="64" spans="1:11" x14ac:dyDescent="0.25">
      <c r="A64" s="14">
        <v>75</v>
      </c>
      <c r="B64" s="17" t="s">
        <v>235</v>
      </c>
      <c r="C64" s="12" t="s">
        <v>236</v>
      </c>
      <c r="D64" s="12" t="s">
        <v>345</v>
      </c>
      <c r="E64" s="6" t="s">
        <v>237</v>
      </c>
      <c r="F64" s="6" t="s">
        <v>237</v>
      </c>
      <c r="G64" s="6" t="s">
        <v>238</v>
      </c>
      <c r="H64" s="9" t="s">
        <v>239</v>
      </c>
      <c r="I64" s="5">
        <f>LEN(E64)</f>
        <v>2</v>
      </c>
      <c r="J64" s="3" t="str">
        <f xml:space="preserve"> IF(OR($E64="", $F64=""), "",  _xlfn.CONCAT("    - xform/",$E64,"/",F64,"/"))</f>
        <v xml:space="preserve">    - xform/ng/ng/</v>
      </c>
      <c r="K64" s="3" t="str">
        <f xml:space="preserve"> IF(OR($E64="", $G64=""), "",  _xlfn.CONCAT("    - xform/",$E64,"/",G64,"/"))</f>
        <v xml:space="preserve">    - xform/ng/ㆭ/</v>
      </c>
    </row>
    <row r="65" spans="1:11" x14ac:dyDescent="0.25">
      <c r="A65" s="16">
        <v>76</v>
      </c>
      <c r="B65" s="17" t="s">
        <v>235</v>
      </c>
      <c r="C65" s="12" t="s">
        <v>236</v>
      </c>
      <c r="D65" s="12" t="s">
        <v>345</v>
      </c>
      <c r="E65" s="6" t="s">
        <v>440</v>
      </c>
      <c r="F65" s="6" t="s">
        <v>331</v>
      </c>
      <c r="G65" s="6" t="s">
        <v>240</v>
      </c>
      <c r="H65" s="9"/>
      <c r="I65" s="5">
        <f>LEN(E65)</f>
        <v>3</v>
      </c>
      <c r="J65" s="3" t="str">
        <f xml:space="preserve"> IF(OR($E65="", $F65=""), "",  _xlfn.CONCAT("    - xform/",$E65,"/",F65,"/"))</f>
        <v xml:space="preserve">    - xform/ngh/ngh/</v>
      </c>
      <c r="K65" s="3" t="str">
        <f xml:space="preserve"> IF(OR($E65="", $G65=""), "",  _xlfn.CONCAT("    - xform/",$E65,"/",G65,"/"))</f>
        <v xml:space="preserve">    - xform/ngh/ㆭㆷ/</v>
      </c>
    </row>
    <row r="66" spans="1:11" x14ac:dyDescent="0.25">
      <c r="A66" s="14">
        <v>14</v>
      </c>
      <c r="B66" s="17" t="s">
        <v>37</v>
      </c>
      <c r="C66" s="12" t="s">
        <v>38</v>
      </c>
      <c r="D66" s="12" t="s">
        <v>347</v>
      </c>
      <c r="E66" s="6" t="s">
        <v>42</v>
      </c>
      <c r="F66" s="6" t="s">
        <v>42</v>
      </c>
      <c r="G66" s="6" t="s">
        <v>43</v>
      </c>
      <c r="H66" s="9" t="s">
        <v>44</v>
      </c>
      <c r="I66" s="5">
        <f>LEN(E66)</f>
        <v>2</v>
      </c>
      <c r="J66" s="3" t="str">
        <f xml:space="preserve"> IF(OR($E66="", $F66=""), "",  _xlfn.CONCAT("    - xform/",$E66,"/",F66,"/"))</f>
        <v xml:space="preserve">    - xform/ok/ok/</v>
      </c>
      <c r="K66" s="3" t="str">
        <f xml:space="preserve"> IF(OR($E66="", $G66=""), "",  _xlfn.CONCAT("    - xform/",$E66,"/",G66,"/"))</f>
        <v xml:space="preserve">    - xform/ok/ㆦㆻ/</v>
      </c>
    </row>
    <row r="67" spans="1:11" x14ac:dyDescent="0.25">
      <c r="A67" s="16">
        <v>13</v>
      </c>
      <c r="B67" s="17" t="s">
        <v>37</v>
      </c>
      <c r="C67" s="12" t="s">
        <v>38</v>
      </c>
      <c r="D67" s="12" t="s">
        <v>345</v>
      </c>
      <c r="E67" s="6" t="s">
        <v>39</v>
      </c>
      <c r="F67" s="6" t="s">
        <v>39</v>
      </c>
      <c r="G67" s="6" t="s">
        <v>40</v>
      </c>
      <c r="H67" s="9" t="s">
        <v>41</v>
      </c>
      <c r="I67" s="5">
        <f>LEN(E67)</f>
        <v>3</v>
      </c>
      <c r="J67" s="3" t="str">
        <f xml:space="preserve"> IF(OR($E67="", $F67=""), "",  _xlfn.CONCAT("    - xform/",$E67,"/",F67,"/"))</f>
        <v xml:space="preserve">    - xform/ong/ong/</v>
      </c>
      <c r="K67" s="3" t="str">
        <f xml:space="preserve"> IF(OR($E67="", $G67=""), "",  _xlfn.CONCAT("    - xform/",$E67,"/",G67,"/"))</f>
        <v xml:space="preserve">    - xform/ong/ㆲ/</v>
      </c>
    </row>
    <row r="68" spans="1:11" x14ac:dyDescent="0.25">
      <c r="A68" s="14">
        <v>21</v>
      </c>
      <c r="B68" s="17" t="s">
        <v>63</v>
      </c>
      <c r="C68" s="12" t="s">
        <v>64</v>
      </c>
      <c r="D68" s="12" t="s">
        <v>345</v>
      </c>
      <c r="E68" s="6" t="s">
        <v>65</v>
      </c>
      <c r="F68" s="6" t="s">
        <v>65</v>
      </c>
      <c r="G68" s="6" t="s">
        <v>66</v>
      </c>
      <c r="H68" s="9" t="s">
        <v>67</v>
      </c>
      <c r="I68" s="5">
        <f>LEN(E68)</f>
        <v>2</v>
      </c>
      <c r="J68" s="3" t="str">
        <f xml:space="preserve"> IF(OR($E68="", $F68=""), "",  _xlfn.CONCAT("    - xform/",$E68,"/",F68,"/"))</f>
        <v xml:space="preserve">    - xform/oo/oo/</v>
      </c>
      <c r="K68" s="3" t="str">
        <f xml:space="preserve"> IF(OR($E68="", $G68=""), "",  _xlfn.CONCAT("    - xform/",$E68,"/",G68,"/"))</f>
        <v xml:space="preserve">    - xform/oo/ㆦ/</v>
      </c>
    </row>
    <row r="69" spans="1:11" x14ac:dyDescent="0.25">
      <c r="A69" s="16">
        <v>22</v>
      </c>
      <c r="B69" s="17" t="s">
        <v>63</v>
      </c>
      <c r="C69" s="12" t="s">
        <v>64</v>
      </c>
      <c r="D69" s="12" t="s">
        <v>345</v>
      </c>
      <c r="E69" s="6" t="s">
        <v>65</v>
      </c>
      <c r="F69" s="6" t="s">
        <v>319</v>
      </c>
      <c r="G69" s="6" t="s">
        <v>320</v>
      </c>
      <c r="H69" s="9"/>
      <c r="I69" s="5">
        <f>LEN(E69)</f>
        <v>2</v>
      </c>
      <c r="J69" s="3" t="str">
        <f xml:space="preserve"> IF(OR($E69="", $F69=""), "",  _xlfn.CONCAT("    - xform/",$E69,"/",F69,"/"))</f>
        <v xml:space="preserve">    - xform/oo/ooh/</v>
      </c>
      <c r="K69" s="3" t="str">
        <f xml:space="preserve"> IF(OR($E69="", $G69=""), "",  _xlfn.CONCAT("    - xform/",$E69,"/",G69,"/"))</f>
        <v xml:space="preserve">    - xform/oo/ㆦㆷ/</v>
      </c>
    </row>
    <row r="70" spans="1:11" x14ac:dyDescent="0.25">
      <c r="A70" s="14">
        <v>93</v>
      </c>
      <c r="B70" s="17" t="s">
        <v>288</v>
      </c>
      <c r="C70" s="12" t="s">
        <v>289</v>
      </c>
      <c r="D70" s="12" t="s">
        <v>345</v>
      </c>
      <c r="E70" s="18" t="s">
        <v>452</v>
      </c>
      <c r="F70" s="19" t="s">
        <v>454</v>
      </c>
      <c r="G70" s="6" t="s">
        <v>291</v>
      </c>
      <c r="H70" s="9" t="s">
        <v>292</v>
      </c>
      <c r="I70" s="5">
        <f>LEN(E70)</f>
        <v>3</v>
      </c>
      <c r="J70" s="3" t="str">
        <f xml:space="preserve"> IF(OR($E70="", $F70=""), "",  _xlfn.CONCAT("    - xform/",$E70,"/",F70,"/"))</f>
        <v xml:space="preserve">    - xform/oom/om/</v>
      </c>
      <c r="K70" s="3" t="str">
        <f xml:space="preserve"> IF(OR($E70="", $G70=""), "",  _xlfn.CONCAT("    - xform/",$E70,"/",G70,"/"))</f>
        <v xml:space="preserve">    - xform/oom/ㆱ/</v>
      </c>
    </row>
    <row r="71" spans="1:11" x14ac:dyDescent="0.25">
      <c r="A71" s="16">
        <v>81</v>
      </c>
      <c r="B71" s="17" t="s">
        <v>252</v>
      </c>
      <c r="C71" s="12" t="s">
        <v>253</v>
      </c>
      <c r="D71" s="12" t="s">
        <v>345</v>
      </c>
      <c r="E71" s="18" t="s">
        <v>443</v>
      </c>
      <c r="F71" s="18" t="s">
        <v>444</v>
      </c>
      <c r="G71" s="6" t="s">
        <v>256</v>
      </c>
      <c r="H71" s="9" t="s">
        <v>257</v>
      </c>
      <c r="I71" s="5">
        <f>LEN(E71)</f>
        <v>4</v>
      </c>
      <c r="J71" s="3" t="str">
        <f xml:space="preserve"> IF(OR($E71="", $F71=""), "",  _xlfn.CONCAT("    - xform/",$E71,"/",F71,"/"))</f>
        <v xml:space="preserve">    - xform/oonn/noo/</v>
      </c>
      <c r="K71" s="3" t="str">
        <f xml:space="preserve"> IF(OR($E71="", $G71=""), "",  _xlfn.CONCAT("    - xform/",$E71,"/",G71,"/"))</f>
        <v xml:space="preserve">    - xform/oonn/ㆧ/</v>
      </c>
    </row>
    <row r="72" spans="1:11" x14ac:dyDescent="0.25">
      <c r="A72" s="14">
        <v>82</v>
      </c>
      <c r="B72" s="17" t="s">
        <v>252</v>
      </c>
      <c r="C72" s="12" t="s">
        <v>253</v>
      </c>
      <c r="D72" s="12" t="s">
        <v>345</v>
      </c>
      <c r="E72" s="18" t="s">
        <v>445</v>
      </c>
      <c r="F72" s="18" t="s">
        <v>446</v>
      </c>
      <c r="G72" s="6"/>
      <c r="H72" s="9"/>
      <c r="I72" s="5">
        <f>LEN(E72)</f>
        <v>5</v>
      </c>
      <c r="J72" s="3" t="str">
        <f xml:space="preserve"> IF(OR($E72="", $F72=""), "",  _xlfn.CONCAT("    - xform/",$E72,"/",F72,"/"))</f>
        <v xml:space="preserve">    - xform/oonnh/nooh/</v>
      </c>
      <c r="K72" s="3" t="str">
        <f xml:space="preserve"> IF(OR($E72="", $G72=""), "",  _xlfn.CONCAT("    - xform/",$E72,"/",G72,"/"))</f>
        <v/>
      </c>
    </row>
    <row r="73" spans="1:11" x14ac:dyDescent="0.25">
      <c r="A73" s="16">
        <v>94</v>
      </c>
      <c r="B73" s="17" t="s">
        <v>288</v>
      </c>
      <c r="C73" s="12" t="s">
        <v>289</v>
      </c>
      <c r="D73" s="12" t="s">
        <v>347</v>
      </c>
      <c r="E73" s="18" t="s">
        <v>453</v>
      </c>
      <c r="F73" s="19" t="s">
        <v>455</v>
      </c>
      <c r="G73" s="6" t="s">
        <v>294</v>
      </c>
      <c r="H73" s="9" t="s">
        <v>295</v>
      </c>
      <c r="I73" s="5">
        <f>LEN(E73)</f>
        <v>3</v>
      </c>
      <c r="J73" s="3" t="str">
        <f xml:space="preserve"> IF(OR($E73="", $F73=""), "",  _xlfn.CONCAT("    - xform/",$E73,"/",F73,"/"))</f>
        <v xml:space="preserve">    - xform/oop/op/</v>
      </c>
      <c r="K73" s="3" t="str">
        <f xml:space="preserve"> IF(OR($E73="", $G73=""), "",  _xlfn.CONCAT("    - xform/",$E73,"/",G73,"/"))</f>
        <v xml:space="preserve">    - xform/oop/ㆦㆴ/</v>
      </c>
    </row>
    <row r="74" spans="1:11" x14ac:dyDescent="0.25">
      <c r="A74" s="14">
        <v>29</v>
      </c>
      <c r="B74" s="17" t="s">
        <v>87</v>
      </c>
      <c r="C74" s="12" t="s">
        <v>88</v>
      </c>
      <c r="D74" s="12" t="s">
        <v>345</v>
      </c>
      <c r="E74" s="18" t="s">
        <v>423</v>
      </c>
      <c r="F74" s="18" t="s">
        <v>424</v>
      </c>
      <c r="G74" s="6" t="s">
        <v>368</v>
      </c>
      <c r="H74" s="9" t="s">
        <v>91</v>
      </c>
      <c r="I74" s="5">
        <f>LEN(E74)</f>
        <v>2</v>
      </c>
      <c r="J74" s="3" t="str">
        <f xml:space="preserve"> IF(OR($E74="", $F74=""), "",  _xlfn.CONCAT("    - xform/",$E74,"/",F74,"/"))</f>
        <v xml:space="preserve">    - xform/or/o/</v>
      </c>
      <c r="K74" s="3" t="str">
        <f xml:space="preserve"> IF(OR($E74="", $G74=""), "",  _xlfn.CONCAT("    - xform/",$E74,"/",G74,"/"))</f>
        <v xml:space="preserve">    - xform/or/ㄜ/</v>
      </c>
    </row>
    <row r="75" spans="1:11" x14ac:dyDescent="0.25">
      <c r="A75" s="16">
        <v>30</v>
      </c>
      <c r="B75" s="17" t="s">
        <v>87</v>
      </c>
      <c r="C75" s="12" t="s">
        <v>88</v>
      </c>
      <c r="D75" s="12" t="s">
        <v>345</v>
      </c>
      <c r="E75" s="18" t="s">
        <v>426</v>
      </c>
      <c r="F75" s="18" t="s">
        <v>425</v>
      </c>
      <c r="G75" s="6" t="s">
        <v>369</v>
      </c>
      <c r="H75" s="9" t="s">
        <v>93</v>
      </c>
      <c r="I75" s="5">
        <f>LEN(E75)</f>
        <v>3</v>
      </c>
      <c r="J75" s="3" t="str">
        <f xml:space="preserve"> IF(OR($E75="", $F75=""), "",  _xlfn.CONCAT("    - xform/",$E75,"/",F75,"/"))</f>
        <v xml:space="preserve">    - xform/orh/oh/</v>
      </c>
      <c r="K75" s="3" t="str">
        <f xml:space="preserve"> IF(OR($E75="", $G75=""), "",  _xlfn.CONCAT("    - xform/",$E75,"/",G75,"/"))</f>
        <v xml:space="preserve">    - xform/orh/ㄜㆷ/</v>
      </c>
    </row>
    <row r="76" spans="1:11" x14ac:dyDescent="0.25">
      <c r="A76" s="14">
        <v>53</v>
      </c>
      <c r="B76" s="17" t="s">
        <v>165</v>
      </c>
      <c r="C76" s="12" t="s">
        <v>166</v>
      </c>
      <c r="D76" s="12" t="s">
        <v>345</v>
      </c>
      <c r="E76" s="6" t="s">
        <v>167</v>
      </c>
      <c r="F76" s="6" t="s">
        <v>167</v>
      </c>
      <c r="G76" s="6" t="s">
        <v>388</v>
      </c>
      <c r="H76" s="9" t="s">
        <v>168</v>
      </c>
      <c r="I76" s="5">
        <f>LEN(E76)</f>
        <v>1</v>
      </c>
      <c r="J76" s="3" t="str">
        <f xml:space="preserve"> IF(OR($E76="", $F76=""), "",  _xlfn.CONCAT("    - xform/",$E76,"/",F76,"/"))</f>
        <v xml:space="preserve">    - xform/u/u/</v>
      </c>
      <c r="K76" s="3" t="str">
        <f xml:space="preserve"> IF(OR($E76="", $G76=""), "",  _xlfn.CONCAT("    - xform/",$E76,"/",G76,"/"))</f>
        <v xml:space="preserve">    - xform/u/ㄨ/</v>
      </c>
    </row>
    <row r="77" spans="1:11" x14ac:dyDescent="0.25">
      <c r="A77" s="16">
        <v>39</v>
      </c>
      <c r="B77" s="17" t="s">
        <v>118</v>
      </c>
      <c r="C77" s="12" t="s">
        <v>119</v>
      </c>
      <c r="D77" s="12" t="s">
        <v>345</v>
      </c>
      <c r="E77" s="6" t="s">
        <v>120</v>
      </c>
      <c r="F77" s="6" t="s">
        <v>120</v>
      </c>
      <c r="G77" s="6" t="s">
        <v>376</v>
      </c>
      <c r="H77" s="9" t="s">
        <v>121</v>
      </c>
      <c r="I77" s="5">
        <f>LEN(E77)</f>
        <v>2</v>
      </c>
      <c r="J77" s="3" t="str">
        <f xml:space="preserve"> IF(OR($E77="", $F77=""), "",  _xlfn.CONCAT("    - xform/",$E77,"/",F77,"/"))</f>
        <v xml:space="preserve">    - xform/ua/ua/</v>
      </c>
      <c r="K77" s="3" t="str">
        <f xml:space="preserve"> IF(OR($E77="", $G77=""), "",  _xlfn.CONCAT("    - xform/",$E77,"/",G77,"/"))</f>
        <v xml:space="preserve">    - xform/ua/ㄨㄚ/</v>
      </c>
    </row>
    <row r="78" spans="1:11" x14ac:dyDescent="0.25">
      <c r="A78" s="14">
        <v>40</v>
      </c>
      <c r="B78" s="17" t="s">
        <v>118</v>
      </c>
      <c r="C78" s="12" t="s">
        <v>119</v>
      </c>
      <c r="D78" s="12" t="s">
        <v>347</v>
      </c>
      <c r="E78" s="6" t="s">
        <v>50</v>
      </c>
      <c r="F78" s="6" t="s">
        <v>50</v>
      </c>
      <c r="G78" s="6" t="s">
        <v>377</v>
      </c>
      <c r="H78" s="9" t="s">
        <v>122</v>
      </c>
      <c r="I78" s="5">
        <f>LEN(E78)</f>
        <v>3</v>
      </c>
      <c r="J78" s="3" t="str">
        <f xml:space="preserve"> IF(OR($E78="", $F78=""), "",  _xlfn.CONCAT("    - xform/",$E78,"/",F78,"/"))</f>
        <v xml:space="preserve">    - xform/uah/uah/</v>
      </c>
      <c r="K78" s="3" t="str">
        <f xml:space="preserve"> IF(OR($E78="", $G78=""), "",  _xlfn.CONCAT("    - xform/",$E78,"/",G78,"/"))</f>
        <v xml:space="preserve">    - xform/uah/ㄨㄚㆷ/</v>
      </c>
    </row>
    <row r="79" spans="1:11" x14ac:dyDescent="0.25">
      <c r="A79" s="16">
        <v>15</v>
      </c>
      <c r="B79" s="17" t="s">
        <v>45</v>
      </c>
      <c r="C79" s="12" t="s">
        <v>46</v>
      </c>
      <c r="D79" s="12" t="s">
        <v>345</v>
      </c>
      <c r="E79" s="6" t="s">
        <v>47</v>
      </c>
      <c r="F79" s="6" t="s">
        <v>47</v>
      </c>
      <c r="G79" s="6" t="s">
        <v>358</v>
      </c>
      <c r="H79" s="9" t="s">
        <v>48</v>
      </c>
      <c r="I79" s="5">
        <f>LEN(E79)</f>
        <v>3</v>
      </c>
      <c r="J79" s="3" t="str">
        <f xml:space="preserve"> IF(OR($E79="", $F79=""), "",  _xlfn.CONCAT("    - xform/",$E79,"/",F79,"/"))</f>
        <v xml:space="preserve">    - xform/uai/uai/</v>
      </c>
      <c r="K79" s="3" t="str">
        <f xml:space="preserve"> IF(OR($E79="", $G79=""), "",  _xlfn.CONCAT("    - xform/",$E79,"/",G79,"/"))</f>
        <v xml:space="preserve">    - xform/uai/ㄨㄞ/</v>
      </c>
    </row>
    <row r="80" spans="1:11" x14ac:dyDescent="0.25">
      <c r="A80" s="14">
        <v>16</v>
      </c>
      <c r="B80" s="17" t="s">
        <v>45</v>
      </c>
      <c r="C80" s="12" t="s">
        <v>46</v>
      </c>
      <c r="D80" s="12" t="s">
        <v>347</v>
      </c>
      <c r="E80" s="6" t="s">
        <v>49</v>
      </c>
      <c r="F80" s="6" t="s">
        <v>317</v>
      </c>
      <c r="G80" s="6" t="s">
        <v>359</v>
      </c>
      <c r="H80" s="9" t="s">
        <v>337</v>
      </c>
      <c r="I80" s="5">
        <f>LEN(E80)</f>
        <v>4</v>
      </c>
      <c r="J80" s="3" t="str">
        <f xml:space="preserve"> IF(OR($E80="", $F80=""), "",  _xlfn.CONCAT("    - xform/",$E80,"/",F80,"/"))</f>
        <v xml:space="preserve">    - xform/uaih/uah/</v>
      </c>
      <c r="K80" s="3" t="str">
        <f xml:space="preserve"> IF(OR($E80="", $G80=""), "",  _xlfn.CONCAT("    - xform/",$E80,"/",G80,"/"))</f>
        <v xml:space="preserve">    - xform/uaih/ㄨㄞㆷ/</v>
      </c>
    </row>
    <row r="81" spans="1:11" x14ac:dyDescent="0.25">
      <c r="A81" s="16">
        <v>87</v>
      </c>
      <c r="B81" s="17" t="s">
        <v>268</v>
      </c>
      <c r="C81" s="12" t="s">
        <v>269</v>
      </c>
      <c r="D81" s="12" t="s">
        <v>345</v>
      </c>
      <c r="E81" s="20" t="s">
        <v>270</v>
      </c>
      <c r="F81" s="20" t="s">
        <v>271</v>
      </c>
      <c r="G81" s="6" t="s">
        <v>403</v>
      </c>
      <c r="H81" s="9" t="s">
        <v>272</v>
      </c>
      <c r="I81" s="5">
        <f>LEN(E81)</f>
        <v>5</v>
      </c>
      <c r="J81" s="3" t="str">
        <f xml:space="preserve"> IF(OR($E81="", $F81=""), "",  _xlfn.CONCAT("    - xform/",$E81,"/",F81,"/"))</f>
        <v xml:space="preserve">    - xform/uainn/nuai/</v>
      </c>
      <c r="K81" s="3" t="str">
        <f xml:space="preserve"> IF(OR($E81="", $G81=""), "",  _xlfn.CONCAT("    - xform/",$E81,"/",G81,"/"))</f>
        <v xml:space="preserve">    - xform/uainn/ㄨㆮ/</v>
      </c>
    </row>
    <row r="82" spans="1:11" x14ac:dyDescent="0.25">
      <c r="A82" s="14">
        <v>88</v>
      </c>
      <c r="B82" s="17" t="s">
        <v>268</v>
      </c>
      <c r="C82" s="12" t="s">
        <v>269</v>
      </c>
      <c r="D82" s="12" t="s">
        <v>347</v>
      </c>
      <c r="E82" s="20" t="s">
        <v>273</v>
      </c>
      <c r="F82" s="20" t="s">
        <v>274</v>
      </c>
      <c r="G82" s="6" t="s">
        <v>404</v>
      </c>
      <c r="H82" s="9" t="s">
        <v>275</v>
      </c>
      <c r="I82" s="5">
        <f>LEN(E82)</f>
        <v>6</v>
      </c>
      <c r="J82" s="3" t="str">
        <f xml:space="preserve"> IF(OR($E82="", $F82=""), "",  _xlfn.CONCAT("    - xform/",$E82,"/",F82,"/"))</f>
        <v xml:space="preserve">    - xform/uainnh/nuaih/</v>
      </c>
      <c r="K82" s="3" t="str">
        <f xml:space="preserve"> IF(OR($E82="", $G82=""), "",  _xlfn.CONCAT("    - xform/",$E82,"/",G82,"/"))</f>
        <v xml:space="preserve">    - xform/uainnh/ㄨㆮㆷ/</v>
      </c>
    </row>
    <row r="83" spans="1:11" x14ac:dyDescent="0.25">
      <c r="A83" s="16">
        <v>86</v>
      </c>
      <c r="B83" s="17" t="s">
        <v>262</v>
      </c>
      <c r="C83" s="12" t="s">
        <v>263</v>
      </c>
      <c r="D83" s="12" t="s">
        <v>347</v>
      </c>
      <c r="E83" s="6" t="s">
        <v>266</v>
      </c>
      <c r="F83" s="6" t="s">
        <v>266</v>
      </c>
      <c r="G83" s="6" t="s">
        <v>402</v>
      </c>
      <c r="H83" s="9" t="s">
        <v>267</v>
      </c>
      <c r="I83" s="5">
        <f>LEN(E83)</f>
        <v>3</v>
      </c>
      <c r="J83" s="3" t="str">
        <f xml:space="preserve"> IF(OR($E83="", $F83=""), "",  _xlfn.CONCAT("    - xform/",$E83,"/",F83,"/"))</f>
        <v xml:space="preserve">    - xform/uak/uak/</v>
      </c>
      <c r="K83" s="3" t="str">
        <f xml:space="preserve"> IF(OR($E83="", $G83=""), "",  _xlfn.CONCAT("    - xform/",$E83,"/",G83,"/"))</f>
        <v xml:space="preserve">    - xform/uak/ㄨㄚㆻ/</v>
      </c>
    </row>
    <row r="84" spans="1:11" x14ac:dyDescent="0.25">
      <c r="A84" s="14">
        <v>19</v>
      </c>
      <c r="B84" s="17" t="s">
        <v>57</v>
      </c>
      <c r="C84" s="12" t="s">
        <v>58</v>
      </c>
      <c r="D84" s="12" t="s">
        <v>345</v>
      </c>
      <c r="E84" s="6" t="s">
        <v>59</v>
      </c>
      <c r="F84" s="6" t="s">
        <v>59</v>
      </c>
      <c r="G84" s="6" t="s">
        <v>362</v>
      </c>
      <c r="H84" s="9" t="s">
        <v>60</v>
      </c>
      <c r="I84" s="5">
        <f>LEN(E84)</f>
        <v>3</v>
      </c>
      <c r="J84" s="3" t="str">
        <f xml:space="preserve"> IF(OR($E84="", $F84=""), "",  _xlfn.CONCAT("    - xform/",$E84,"/",F84,"/"))</f>
        <v xml:space="preserve">    - xform/uan/uan/</v>
      </c>
      <c r="K84" s="3" t="str">
        <f xml:space="preserve"> IF(OR($E84="", $G84=""), "",  _xlfn.CONCAT("    - xform/",$E84,"/",G84,"/"))</f>
        <v xml:space="preserve">    - xform/uan/ㄨㄢ/</v>
      </c>
    </row>
    <row r="85" spans="1:11" x14ac:dyDescent="0.25">
      <c r="A85" s="16">
        <v>20</v>
      </c>
      <c r="B85" s="17" t="s">
        <v>57</v>
      </c>
      <c r="C85" s="12" t="s">
        <v>58</v>
      </c>
      <c r="D85" s="12" t="s">
        <v>345</v>
      </c>
      <c r="E85" s="6" t="s">
        <v>59</v>
      </c>
      <c r="F85" s="6" t="s">
        <v>61</v>
      </c>
      <c r="G85" s="6" t="s">
        <v>363</v>
      </c>
      <c r="H85" s="9" t="s">
        <v>62</v>
      </c>
      <c r="I85" s="5">
        <f>LEN(E85)</f>
        <v>3</v>
      </c>
      <c r="J85" s="3" t="str">
        <f xml:space="preserve"> IF(OR($E85="", $F85=""), "",  _xlfn.CONCAT("    - xform/",$E85,"/",F85,"/"))</f>
        <v xml:space="preserve">    - xform/uan/uat/</v>
      </c>
      <c r="K85" s="3" t="str">
        <f xml:space="preserve"> IF(OR($E85="", $G85=""), "",  _xlfn.CONCAT("    - xform/",$E85,"/",G85,"/"))</f>
        <v xml:space="preserve">    - xform/uan/ㄨㄚㆵ/</v>
      </c>
    </row>
    <row r="86" spans="1:11" x14ac:dyDescent="0.25">
      <c r="A86" s="14">
        <v>85</v>
      </c>
      <c r="B86" s="17" t="s">
        <v>262</v>
      </c>
      <c r="C86" s="12" t="s">
        <v>263</v>
      </c>
      <c r="D86" s="12" t="s">
        <v>345</v>
      </c>
      <c r="E86" s="6" t="s">
        <v>264</v>
      </c>
      <c r="F86" s="6" t="s">
        <v>264</v>
      </c>
      <c r="G86" s="6" t="s">
        <v>401</v>
      </c>
      <c r="H86" s="9" t="s">
        <v>265</v>
      </c>
      <c r="I86" s="5">
        <f>LEN(E86)</f>
        <v>4</v>
      </c>
      <c r="J86" s="3" t="str">
        <f xml:space="preserve"> IF(OR($E86="", $F86=""), "",  _xlfn.CONCAT("    - xform/",$E86,"/",F86,"/"))</f>
        <v xml:space="preserve">    - xform/uang/uang/</v>
      </c>
      <c r="K86" s="3" t="str">
        <f xml:space="preserve"> IF(OR($E86="", $G86=""), "",  _xlfn.CONCAT("    - xform/",$E86,"/",G86,"/"))</f>
        <v xml:space="preserve">    - xform/uang/ㄨㄤ/</v>
      </c>
    </row>
    <row r="87" spans="1:11" x14ac:dyDescent="0.25">
      <c r="A87" s="16">
        <v>73</v>
      </c>
      <c r="B87" s="17" t="s">
        <v>229</v>
      </c>
      <c r="C87" s="12" t="s">
        <v>230</v>
      </c>
      <c r="D87" s="12" t="s">
        <v>345</v>
      </c>
      <c r="E87" s="20" t="s">
        <v>231</v>
      </c>
      <c r="F87" s="20" t="s">
        <v>232</v>
      </c>
      <c r="G87" s="6" t="s">
        <v>400</v>
      </c>
      <c r="H87" s="9" t="s">
        <v>233</v>
      </c>
      <c r="I87" s="5">
        <f>LEN(E87)</f>
        <v>4</v>
      </c>
      <c r="J87" s="3" t="str">
        <f xml:space="preserve"> IF(OR($E87="", $F87=""), "",  _xlfn.CONCAT("    - xform/",$E87,"/",F87,"/"))</f>
        <v xml:space="preserve">    - xform/uann/nua/</v>
      </c>
      <c r="K87" s="3" t="str">
        <f xml:space="preserve"> IF(OR($E87="", $G87=""), "",  _xlfn.CONCAT("    - xform/",$E87,"/",G87,"/"))</f>
        <v xml:space="preserve">    - xform/uann/ㄨㆩ/</v>
      </c>
    </row>
    <row r="88" spans="1:11" x14ac:dyDescent="0.25">
      <c r="A88" s="14">
        <v>74</v>
      </c>
      <c r="B88" s="17" t="s">
        <v>229</v>
      </c>
      <c r="C88" s="12" t="s">
        <v>230</v>
      </c>
      <c r="D88" s="12" t="s">
        <v>345</v>
      </c>
      <c r="E88" s="20" t="s">
        <v>458</v>
      </c>
      <c r="F88" s="20" t="s">
        <v>330</v>
      </c>
      <c r="G88" s="6" t="s">
        <v>234</v>
      </c>
      <c r="H88" s="9"/>
      <c r="I88" s="5">
        <f>LEN(E88)</f>
        <v>5</v>
      </c>
      <c r="J88" s="3" t="str">
        <f xml:space="preserve"> IF(OR($E88="", $F88=""), "",  _xlfn.CONCAT("    - xform/",$E88,"/",F88,"/"))</f>
        <v xml:space="preserve">    - xform/uannh/nuah/</v>
      </c>
      <c r="K88" s="3" t="str">
        <f xml:space="preserve"> IF(OR($E88="", $G88=""), "",  _xlfn.CONCAT("    - xform/",$E88,"/",G88,"/"))</f>
        <v xml:space="preserve">    - xform/uannh/ㄨㆩㆷ/</v>
      </c>
    </row>
    <row r="89" spans="1:11" x14ac:dyDescent="0.25">
      <c r="A89" s="16">
        <v>49</v>
      </c>
      <c r="B89" s="17" t="s">
        <v>149</v>
      </c>
      <c r="C89" s="12" t="s">
        <v>150</v>
      </c>
      <c r="D89" s="12" t="s">
        <v>345</v>
      </c>
      <c r="E89" s="6" t="s">
        <v>151</v>
      </c>
      <c r="F89" s="6" t="s">
        <v>151</v>
      </c>
      <c r="G89" s="6" t="s">
        <v>386</v>
      </c>
      <c r="H89" s="9" t="s">
        <v>152</v>
      </c>
      <c r="I89" s="5">
        <f>LEN(E89)</f>
        <v>2</v>
      </c>
      <c r="J89" s="3" t="str">
        <f xml:space="preserve"> IF(OR($E89="", $F89=""), "",  _xlfn.CONCAT("    - xform/",$E89,"/",F89,"/"))</f>
        <v xml:space="preserve">    - xform/ue/ue/</v>
      </c>
      <c r="K89" s="3" t="str">
        <f xml:space="preserve"> IF(OR($E89="", $G89=""), "",  _xlfn.CONCAT("    - xform/",$E89,"/",G89,"/"))</f>
        <v xml:space="preserve">    - xform/ue/ㄨㆤ/</v>
      </c>
    </row>
    <row r="90" spans="1:11" x14ac:dyDescent="0.25">
      <c r="A90" s="14">
        <v>50</v>
      </c>
      <c r="B90" s="17" t="s">
        <v>149</v>
      </c>
      <c r="C90" s="12" t="s">
        <v>150</v>
      </c>
      <c r="D90" s="12" t="s">
        <v>347</v>
      </c>
      <c r="E90" s="6" t="s">
        <v>153</v>
      </c>
      <c r="F90" s="6" t="s">
        <v>153</v>
      </c>
      <c r="G90" s="6" t="s">
        <v>387</v>
      </c>
      <c r="H90" s="9" t="s">
        <v>154</v>
      </c>
      <c r="I90" s="5">
        <f>LEN(E90)</f>
        <v>3</v>
      </c>
      <c r="J90" s="3" t="str">
        <f xml:space="preserve"> IF(OR($E90="", $F90=""), "",  _xlfn.CONCAT("    - xform/",$E90,"/",F90,"/"))</f>
        <v xml:space="preserve">    - xform/ueh/ueh/</v>
      </c>
      <c r="K90" s="3" t="str">
        <f xml:space="preserve"> IF(OR($E90="", $G90=""), "",  _xlfn.CONCAT("    - xform/",$E90,"/",G90,"/"))</f>
        <v xml:space="preserve">    - xform/ueh/ㄨㆤㆷ/</v>
      </c>
    </row>
    <row r="91" spans="1:11" x14ac:dyDescent="0.25">
      <c r="A91" s="16">
        <v>89</v>
      </c>
      <c r="B91" s="17" t="s">
        <v>276</v>
      </c>
      <c r="C91" s="12" t="s">
        <v>277</v>
      </c>
      <c r="D91" s="12" t="s">
        <v>345</v>
      </c>
      <c r="E91" s="20" t="s">
        <v>278</v>
      </c>
      <c r="F91" s="20" t="s">
        <v>279</v>
      </c>
      <c r="G91" s="6" t="s">
        <v>405</v>
      </c>
      <c r="H91" s="9" t="s">
        <v>337</v>
      </c>
      <c r="I91" s="5">
        <f>LEN(E91)</f>
        <v>4</v>
      </c>
      <c r="J91" s="3" t="str">
        <f xml:space="preserve"> IF(OR($E91="", $F91=""), "",  _xlfn.CONCAT("    - xform/",$E91,"/",F91,"/"))</f>
        <v xml:space="preserve">    - xform/uenn/nue/</v>
      </c>
      <c r="K91" s="3" t="str">
        <f xml:space="preserve"> IF(OR($E91="", $G91=""), "",  _xlfn.CONCAT("    - xform/",$E91,"/",G91,"/"))</f>
        <v xml:space="preserve">    - xform/uenn/ㄨㆥ/</v>
      </c>
    </row>
    <row r="92" spans="1:11" x14ac:dyDescent="0.25">
      <c r="A92" s="14">
        <v>54</v>
      </c>
      <c r="B92" s="17" t="s">
        <v>165</v>
      </c>
      <c r="C92" s="12" t="s">
        <v>166</v>
      </c>
      <c r="D92" s="12" t="s">
        <v>347</v>
      </c>
      <c r="E92" s="6" t="s">
        <v>23</v>
      </c>
      <c r="F92" s="6" t="s">
        <v>23</v>
      </c>
      <c r="G92" s="6" t="s">
        <v>389</v>
      </c>
      <c r="H92" s="9" t="s">
        <v>169</v>
      </c>
      <c r="I92" s="5">
        <f>LEN(E92)</f>
        <v>2</v>
      </c>
      <c r="J92" s="3" t="str">
        <f xml:space="preserve"> IF(OR($E92="", $F92=""), "",  _xlfn.CONCAT("    - xform/",$E92,"/",F92,"/"))</f>
        <v xml:space="preserve">    - xform/uh/uh/</v>
      </c>
      <c r="K92" s="3" t="str">
        <f xml:space="preserve"> IF(OR($E92="", $G92=""), "",  _xlfn.CONCAT("    - xform/",$E92,"/",G92,"/"))</f>
        <v xml:space="preserve">    - xform/uh/ㄨㆷ/</v>
      </c>
    </row>
    <row r="93" spans="1:11" x14ac:dyDescent="0.25">
      <c r="A93" s="16">
        <v>7</v>
      </c>
      <c r="B93" s="17" t="s">
        <v>18</v>
      </c>
      <c r="C93" s="12" t="s">
        <v>19</v>
      </c>
      <c r="D93" s="12" t="s">
        <v>345</v>
      </c>
      <c r="E93" s="6" t="s">
        <v>20</v>
      </c>
      <c r="F93" s="6" t="s">
        <v>20</v>
      </c>
      <c r="G93" s="6" t="s">
        <v>353</v>
      </c>
      <c r="H93" s="9" t="s">
        <v>21</v>
      </c>
      <c r="I93" s="5">
        <f>LEN(E93)</f>
        <v>2</v>
      </c>
      <c r="J93" s="3" t="str">
        <f xml:space="preserve"> IF(OR($E93="", $F93=""), "",  _xlfn.CONCAT("    - xform/",$E93,"/",F93,"/"))</f>
        <v xml:space="preserve">    - xform/ui/ui/</v>
      </c>
      <c r="K93" s="3" t="str">
        <f xml:space="preserve"> IF(OR($E93="", $G93=""), "",  _xlfn.CONCAT("    - xform/",$E93,"/",G93,"/"))</f>
        <v xml:space="preserve">    - xform/ui/ㄨㄧ/</v>
      </c>
    </row>
    <row r="94" spans="1:11" x14ac:dyDescent="0.25">
      <c r="A94" s="14">
        <v>8</v>
      </c>
      <c r="B94" s="17">
        <v>4</v>
      </c>
      <c r="C94" s="12" t="s">
        <v>19</v>
      </c>
      <c r="D94" s="12" t="s">
        <v>347</v>
      </c>
      <c r="E94" s="6" t="s">
        <v>22</v>
      </c>
      <c r="F94" s="6" t="s">
        <v>412</v>
      </c>
      <c r="G94" s="6" t="s">
        <v>24</v>
      </c>
      <c r="H94" s="9"/>
      <c r="I94" s="5">
        <f>LEN(E94)</f>
        <v>3</v>
      </c>
      <c r="J94" s="3" t="str">
        <f xml:space="preserve"> IF(OR($E94="", $F94=""), "",  _xlfn.CONCAT("    - xform/",$E94,"/",F94,"/"))</f>
        <v xml:space="preserve">    - xform/uih/uih/</v>
      </c>
      <c r="K94" s="3" t="str">
        <f xml:space="preserve"> IF(OR($E94="", $G94=""), "",  _xlfn.CONCAT("    - xform/",$E94,"/",G94,"/"))</f>
        <v xml:space="preserve">    - xform/uih/ㄨㄧㆷ/</v>
      </c>
    </row>
    <row r="95" spans="1:11" x14ac:dyDescent="0.25">
      <c r="A95" s="16">
        <v>63</v>
      </c>
      <c r="B95" s="17" t="s">
        <v>195</v>
      </c>
      <c r="C95" s="12" t="s">
        <v>196</v>
      </c>
      <c r="D95" s="12" t="s">
        <v>345</v>
      </c>
      <c r="E95" s="20" t="s">
        <v>197</v>
      </c>
      <c r="F95" s="20" t="s">
        <v>198</v>
      </c>
      <c r="G95" s="6" t="s">
        <v>395</v>
      </c>
      <c r="H95" s="9" t="s">
        <v>199</v>
      </c>
      <c r="I95" s="5">
        <f>LEN(E95)</f>
        <v>4</v>
      </c>
      <c r="J95" s="3" t="str">
        <f xml:space="preserve"> IF(OR($E95="", $F95=""), "",  _xlfn.CONCAT("    - xform/",$E95,"/",F95,"/"))</f>
        <v xml:space="preserve">    - xform/uinn/nui/</v>
      </c>
      <c r="K95" s="3" t="str">
        <f xml:space="preserve"> IF(OR($E95="", $G95=""), "",  _xlfn.CONCAT("    - xform/",$E95,"/",G95,"/"))</f>
        <v xml:space="preserve">    - xform/uinn/ㄨㆪ/</v>
      </c>
    </row>
    <row r="96" spans="1:11" x14ac:dyDescent="0.25">
      <c r="A96" s="14">
        <v>64</v>
      </c>
      <c r="B96" s="17" t="s">
        <v>195</v>
      </c>
      <c r="C96" s="12" t="s">
        <v>196</v>
      </c>
      <c r="D96" s="12" t="s">
        <v>345</v>
      </c>
      <c r="E96" s="20" t="s">
        <v>433</v>
      </c>
      <c r="F96" s="20" t="s">
        <v>326</v>
      </c>
      <c r="G96" s="6" t="s">
        <v>200</v>
      </c>
      <c r="H96" s="9"/>
      <c r="I96" s="5">
        <f>LEN(E96)</f>
        <v>5</v>
      </c>
      <c r="J96" s="3" t="str">
        <f xml:space="preserve"> IF(OR($E96="", $F96=""), "",  _xlfn.CONCAT("    - xform/",$E96,"/",F96,"/"))</f>
        <v xml:space="preserve">    - xform/uinnh/nuih/</v>
      </c>
      <c r="K96" s="3" t="str">
        <f xml:space="preserve"> IF(OR($E96="", $G96=""), "",  _xlfn.CONCAT("    - xform/",$E96,"/",G96,"/"))</f>
        <v xml:space="preserve">    - xform/uinnh/ㄨㆪㆷ/</v>
      </c>
    </row>
    <row r="97" spans="1:11" x14ac:dyDescent="0.25">
      <c r="A97" s="16">
        <v>1</v>
      </c>
      <c r="B97" s="17" t="s">
        <v>1</v>
      </c>
      <c r="C97" s="12" t="s">
        <v>2</v>
      </c>
      <c r="D97" s="12" t="s">
        <v>345</v>
      </c>
      <c r="E97" s="6" t="s">
        <v>3</v>
      </c>
      <c r="F97" s="6" t="s">
        <v>3</v>
      </c>
      <c r="G97" s="6" t="s">
        <v>346</v>
      </c>
      <c r="H97" s="9" t="s">
        <v>411</v>
      </c>
      <c r="I97" s="5">
        <f>LEN(E97)</f>
        <v>2</v>
      </c>
      <c r="J97" s="3" t="str">
        <f xml:space="preserve"> IF(OR($E97="", $F97=""), "",  _xlfn.CONCAT("    - xform/",$E97,"/",F97,"/"))</f>
        <v xml:space="preserve">    - xform/un/un/</v>
      </c>
      <c r="K97" s="3" t="str">
        <f xml:space="preserve"> IF(OR($E97="", $G97=""), "",  _xlfn.CONCAT("    - xform/",$E97,"/",G97,"/"))</f>
        <v xml:space="preserve">    - xform/un/ㄨㄣ/</v>
      </c>
    </row>
    <row r="98" spans="1:11" x14ac:dyDescent="0.25">
      <c r="A98" s="14">
        <v>2</v>
      </c>
      <c r="B98" s="17" t="s">
        <v>1</v>
      </c>
      <c r="C98" s="12" t="s">
        <v>2</v>
      </c>
      <c r="D98" s="12" t="s">
        <v>347</v>
      </c>
      <c r="E98" s="6" t="s">
        <v>4</v>
      </c>
      <c r="F98" s="6" t="s">
        <v>4</v>
      </c>
      <c r="G98" s="6" t="s">
        <v>348</v>
      </c>
      <c r="H98" s="9" t="s">
        <v>5</v>
      </c>
      <c r="I98" s="5">
        <f>LEN(E98)</f>
        <v>2</v>
      </c>
      <c r="J98" s="3" t="str">
        <f xml:space="preserve"> IF(OR($E98="", $F98=""), "",  _xlfn.CONCAT("    - xform/",$E98,"/",F98,"/"))</f>
        <v xml:space="preserve">    - xform/ut/ut/</v>
      </c>
      <c r="K98" s="3" t="str">
        <f xml:space="preserve"> IF(OR($E98="", $G98=""), "",  _xlfn.CONCAT("    - xform/",$E98,"/",G98,"/"))</f>
        <v xml:space="preserve">    - xform/ut/ㄨㆵ/</v>
      </c>
    </row>
    <row r="99" spans="1:11" x14ac:dyDescent="0.25">
      <c r="A99" s="16">
        <v>70</v>
      </c>
      <c r="B99" s="17" t="s">
        <v>218</v>
      </c>
      <c r="C99" s="12" t="s">
        <v>219</v>
      </c>
      <c r="D99" s="12" t="s">
        <v>345</v>
      </c>
      <c r="E99" s="6"/>
      <c r="F99" s="6"/>
      <c r="G99" s="6" t="s">
        <v>222</v>
      </c>
      <c r="H99" s="9"/>
      <c r="I99" s="5">
        <f>LEN(E99)</f>
        <v>0</v>
      </c>
      <c r="J99" s="3" t="str">
        <f xml:space="preserve"> IF(OR($E99="", $F99=""), "",  _xlfn.CONCAT("    - xform/",$E99,"/",F99,"/"))</f>
        <v/>
      </c>
      <c r="K99" s="3" t="str">
        <f xml:space="preserve"> IF(OR($E99="", $G99=""), "",  _xlfn.CONCAT("    - xform/",$E99,"/",G99,"/"))</f>
        <v/>
      </c>
    </row>
    <row r="100" spans="1:11" x14ac:dyDescent="0.25">
      <c r="A100" s="14">
        <v>97</v>
      </c>
      <c r="B100" s="17" t="s">
        <v>302</v>
      </c>
      <c r="C100" s="12" t="s">
        <v>303</v>
      </c>
      <c r="D100" s="12" t="s">
        <v>345</v>
      </c>
      <c r="E100" s="6"/>
      <c r="F100" s="6"/>
      <c r="G100" s="6" t="s">
        <v>256</v>
      </c>
      <c r="H100" s="9" t="s">
        <v>305</v>
      </c>
      <c r="I100" s="5">
        <f>LEN(E100)</f>
        <v>0</v>
      </c>
      <c r="J100" s="3" t="str">
        <f xml:space="preserve"> IF(OR($E100="", $F100=""), "",  _xlfn.CONCAT("    - xform/",$E100,"/",F100,"/"))</f>
        <v/>
      </c>
      <c r="K100" s="3" t="str">
        <f xml:space="preserve"> IF(OR($E100="", $G100=""), "",  _xlfn.CONCAT("    - xform/",$E100,"/",G100,"/"))</f>
        <v/>
      </c>
    </row>
    <row r="101" spans="1:11" x14ac:dyDescent="0.25">
      <c r="A101" s="14">
        <v>98</v>
      </c>
      <c r="B101" s="17" t="s">
        <v>302</v>
      </c>
      <c r="C101" s="12" t="s">
        <v>303</v>
      </c>
      <c r="D101" s="12" t="s">
        <v>347</v>
      </c>
      <c r="E101" s="6"/>
      <c r="F101" s="6"/>
      <c r="G101" s="6" t="s">
        <v>307</v>
      </c>
      <c r="H101" s="9" t="s">
        <v>337</v>
      </c>
      <c r="I101" s="5">
        <f>LEN(E101)</f>
        <v>0</v>
      </c>
      <c r="J101" s="3" t="str">
        <f xml:space="preserve"> IF(OR($E101="", $F101=""), "",  _xlfn.CONCAT("    - xform/",$E101,"/",F101,"/"))</f>
        <v/>
      </c>
      <c r="K101" s="3" t="str">
        <f xml:space="preserve"> IF(OR($E101="", $G101=""), "",  _xlfn.CONCAT("    - xform/",$E101,"/",G101,"/"))</f>
        <v/>
      </c>
    </row>
  </sheetData>
  <sortState xmlns:xlrd2="http://schemas.microsoft.com/office/spreadsheetml/2017/richdata2" ref="A2:K101">
    <sortCondition ref="E2:E101"/>
    <sortCondition descending="1" ref="I2:I1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2026-05-26T12:41:42Z</dcterms:created>
  <dcterms:modified xsi:type="dcterms:W3CDTF">2026-05-27T05:12:29Z</dcterms:modified>
</cp:coreProperties>
</file>