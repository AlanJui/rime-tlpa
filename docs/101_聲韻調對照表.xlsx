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E40971D8-CBE7-49E1-9E67-C9F8DEF73D59}" xr6:coauthVersionLast="47" xr6:coauthVersionMax="47" xr10:uidLastSave="{00000000-0000-0000-0000-000000000000}"/>
  <bookViews>
    <workbookView xWindow="-120" yWindow="-120" windowWidth="38640" windowHeight="15720" tabRatio="811" xr2:uid="{7E808FC4-FD7B-4D2F-8735-FF65DCE8E5C1}"/>
  </bookViews>
  <sheets>
    <sheet name="輸入工具" sheetId="20" r:id="rId1"/>
    <sheet name="【聲】聲母對照表" sheetId="1" r:id="rId2"/>
    <sheet name="【韻】韻母對照表" sheetId="17" r:id="rId3"/>
    <sheet name="【韻】韻母對照表（十五音）" sheetId="2" r:id="rId4"/>
    <sheet name="【韻】韻母清單（工作表） " sheetId="18" r:id="rId5"/>
    <sheet name="【調】聲調對照表" sheetId="3" r:id="rId6"/>
    <sheet name="【調】韻母標調" sheetId="19" r:id="rId7"/>
    <sheet name="【韻】韻母清單（台語音標）" sheetId="14" r:id="rId8"/>
    <sheet name="工作表4" sheetId="16" r:id="rId9"/>
    <sheet name="台語音標韻母清單【依字長反排序】 (2)" sheetId="15" r:id="rId10"/>
    <sheet name="韻母轉換規則" sheetId="6" r:id="rId11"/>
    <sheet name="台語注音二式轉換" sheetId="7" r:id="rId12"/>
    <sheet name="工作表1" sheetId="12" r:id="rId13"/>
    <sheet name="工作表2" sheetId="13" r:id="rId14"/>
    <sheet name="十五音韻母" sheetId="9" r:id="rId15"/>
    <sheet name="舊版聲調對照表" sheetId="4" r:id="rId16"/>
    <sheet name="【韻】韻母對照表 (2)" sheetId="10" r:id="rId17"/>
    <sheet name="工作表3" sheetId="8" r:id="rId18"/>
  </sheets>
  <definedNames>
    <definedName name="_xlnm._FilterDatabase" localSheetId="4" hidden="1">'【韻】韻母清單（工作表） '!$B$3:$L$85</definedName>
    <definedName name="_xlnm._FilterDatabase" localSheetId="7" hidden="1">'【韻】韻母清單（台語音標）'!$B$3:$L$99</definedName>
    <definedName name="_xlnm._FilterDatabase" localSheetId="2" hidden="1">【韻】韻母對照表!$B$3:$M$85</definedName>
    <definedName name="_xlnm._FilterDatabase" localSheetId="9" hidden="1">'台語音標韻母清單【依字長反排序】 (2)'!$B$3:$K$99</definedName>
    <definedName name="_xlnm._FilterDatabase" localSheetId="10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" i="20" l="1" a="1"/>
  <c r="J4" i="20"/>
  <c r="J5" i="20" a="1"/>
  <c r="J5" i="20"/>
  <c r="J6" i="20" a="1"/>
  <c r="J6" i="20"/>
  <c r="J7" i="20" a="1"/>
  <c r="J7" i="20"/>
  <c r="J8" i="20" a="1"/>
  <c r="J8" i="20"/>
  <c r="J9" i="20" a="1"/>
  <c r="J9" i="20"/>
  <c r="J3" i="20" a="1"/>
  <c r="J3" i="20" s="1"/>
  <c r="I4" i="20" a="1"/>
  <c r="I4" i="20"/>
  <c r="I5" i="20" a="1"/>
  <c r="I5" i="20"/>
  <c r="I6" i="20" a="1"/>
  <c r="I6" i="20"/>
  <c r="I7" i="20" a="1"/>
  <c r="I7" i="20"/>
  <c r="I8" i="20" a="1"/>
  <c r="I8" i="20"/>
  <c r="I9" i="20" a="1"/>
  <c r="I9" i="20" s="1"/>
  <c r="I3" i="20" a="1"/>
  <c r="I3" i="20" s="1"/>
  <c r="H4" i="20" a="1"/>
  <c r="H4" i="20"/>
  <c r="H5" i="20" a="1"/>
  <c r="H5" i="20"/>
  <c r="H6" i="20" a="1"/>
  <c r="H6" i="20"/>
  <c r="H7" i="20" a="1"/>
  <c r="H7" i="20"/>
  <c r="H8" i="20" a="1"/>
  <c r="H8" i="20" s="1"/>
  <c r="H9" i="20" a="1"/>
  <c r="H9" i="20"/>
  <c r="H3" i="20" a="1"/>
  <c r="H3" i="20" s="1"/>
  <c r="F4" i="20"/>
  <c r="F5" i="20"/>
  <c r="F6" i="20"/>
  <c r="F7" i="20"/>
  <c r="F8" i="20"/>
  <c r="F9" i="20"/>
  <c r="D17" i="20" a="1"/>
  <c r="D17" i="20" s="1"/>
  <c r="B22" i="18"/>
  <c r="B21" i="18"/>
  <c r="B20" i="18"/>
  <c r="F3" i="20" l="1"/>
  <c r="B22" i="17"/>
  <c r="B21" i="17"/>
  <c r="B20" i="17"/>
  <c r="A19" i="17"/>
  <c r="A20" i="17"/>
  <c r="L19" i="17"/>
  <c r="L20" i="17"/>
  <c r="A21" i="17"/>
  <c r="A22" i="17"/>
  <c r="L21" i="17"/>
  <c r="L22" i="17"/>
  <c r="B60" i="2" a="1"/>
  <c r="B60" i="2" s="1"/>
  <c r="B61" i="2" a="1"/>
  <c r="B61" i="2" s="1"/>
  <c r="B21" i="15" s="1" a="1"/>
  <c r="B21" i="15" s="1"/>
  <c r="B58" i="2"/>
  <c r="B10" i="2"/>
  <c r="B3" i="2" a="1"/>
  <c r="B3" i="2" s="1"/>
  <c r="B4" i="2" a="1"/>
  <c r="B4" i="2" s="1"/>
  <c r="B5" i="2" a="1"/>
  <c r="B5" i="2" s="1"/>
  <c r="B20" i="15" s="1" a="1"/>
  <c r="B20" i="15" s="1"/>
  <c r="B6" i="2" a="1"/>
  <c r="B6" i="2" s="1"/>
  <c r="B7" i="2" a="1"/>
  <c r="B7" i="2" s="1"/>
  <c r="B8" i="2" a="1"/>
  <c r="B8" i="2" s="1"/>
  <c r="B11" i="2" a="1"/>
  <c r="B11" i="2" s="1"/>
  <c r="B13" i="2" a="1"/>
  <c r="B13" i="2" s="1"/>
  <c r="B14" i="2" a="1"/>
  <c r="B14" i="2" s="1"/>
  <c r="B15" i="2" a="1"/>
  <c r="B15" i="2" s="1"/>
  <c r="B16" i="2" a="1"/>
  <c r="B16" i="2" s="1"/>
  <c r="B17" i="2" a="1"/>
  <c r="B17" i="2" s="1"/>
  <c r="B18" i="2" a="1"/>
  <c r="B18" i="2" s="1"/>
  <c r="B19" i="2" a="1"/>
  <c r="B19" i="2" s="1"/>
  <c r="B20" i="2" a="1"/>
  <c r="B20" i="2" s="1"/>
  <c r="B21" i="2" a="1"/>
  <c r="B21" i="2" s="1"/>
  <c r="B22" i="2" a="1"/>
  <c r="B22" i="2" s="1"/>
  <c r="B24" i="2" a="1"/>
  <c r="B24" i="2" s="1"/>
  <c r="B25" i="2" a="1"/>
  <c r="B25" i="2" s="1"/>
  <c r="B26" i="2" a="1"/>
  <c r="B26" i="2" s="1"/>
  <c r="B22" i="15" s="1" a="1"/>
  <c r="B22" i="15" s="1"/>
  <c r="B27" i="2" a="1"/>
  <c r="B27" i="2" s="1"/>
  <c r="B28" i="2" a="1"/>
  <c r="B28" i="2" s="1"/>
  <c r="B29" i="2" a="1"/>
  <c r="B29" i="2" s="1"/>
  <c r="B30" i="2" a="1"/>
  <c r="B30" i="2" s="1"/>
  <c r="B31" i="2" a="1"/>
  <c r="B31" i="2" s="1"/>
  <c r="B32" i="2" a="1"/>
  <c r="B32" i="2" s="1"/>
  <c r="B33" i="2" a="1"/>
  <c r="B33" i="2" s="1"/>
  <c r="B34" i="2" a="1"/>
  <c r="B34" i="2" s="1"/>
  <c r="B36" i="2" a="1"/>
  <c r="B36" i="2" s="1"/>
  <c r="B37" i="2" a="1"/>
  <c r="B37" i="2" s="1"/>
  <c r="B38" i="2" a="1"/>
  <c r="B38" i="2" s="1"/>
  <c r="B40" i="2" a="1"/>
  <c r="B40" i="2" s="1"/>
  <c r="B41" i="2" a="1"/>
  <c r="B41" i="2" s="1"/>
  <c r="B19" i="15" s="1" a="1"/>
  <c r="B19" i="15" s="1"/>
  <c r="B42" i="2" a="1"/>
  <c r="B42" i="2" s="1"/>
  <c r="B43" i="2" a="1"/>
  <c r="B43" i="2" s="1"/>
  <c r="B44" i="2" a="1"/>
  <c r="B44" i="2" s="1"/>
  <c r="B46" i="2" a="1"/>
  <c r="B46" i="2" s="1"/>
  <c r="B47" i="2" a="1"/>
  <c r="B47" i="2" s="1"/>
  <c r="B48" i="2" a="1"/>
  <c r="B48" i="2" s="1"/>
  <c r="B49" i="2" a="1"/>
  <c r="B49" i="2" s="1"/>
  <c r="B50" i="2" a="1"/>
  <c r="B50" i="2" s="1"/>
  <c r="B51" i="2" a="1"/>
  <c r="B51" i="2" s="1"/>
  <c r="B52" i="2" a="1"/>
  <c r="B52" i="2" s="1"/>
  <c r="B53" i="2" a="1"/>
  <c r="B53" i="2" s="1"/>
  <c r="B54" i="2" a="1"/>
  <c r="B54" i="2" s="1"/>
  <c r="B55" i="2" a="1"/>
  <c r="B55" i="2" s="1"/>
  <c r="B57" i="2" a="1"/>
  <c r="B57" i="2" s="1"/>
  <c r="B2" i="2" a="1"/>
  <c r="B2" i="2" s="1"/>
  <c r="B11" i="17"/>
  <c r="B35" i="2" s="1" a="1"/>
  <c r="B35" i="2" s="1"/>
  <c r="B12" i="17"/>
  <c r="B12" i="2" s="1" a="1"/>
  <c r="B12" i="2" s="1"/>
  <c r="B13" i="17"/>
  <c r="B39" i="2" s="1" a="1"/>
  <c r="B39" i="2" s="1"/>
  <c r="B37" i="17"/>
  <c r="B39" i="17" s="1"/>
  <c r="B38" i="17"/>
  <c r="B45" i="2" s="1" a="1"/>
  <c r="B45" i="2" s="1"/>
  <c r="B47" i="17"/>
  <c r="B48" i="17"/>
  <c r="B23" i="2" s="1" a="1"/>
  <c r="B23" i="2" s="1"/>
  <c r="B54" i="17"/>
  <c r="B56" i="2" s="1" a="1"/>
  <c r="B56" i="2" s="1"/>
  <c r="B55" i="17"/>
  <c r="B56" i="17" s="1"/>
  <c r="E17" i="20" a="1"/>
  <c r="E17" i="20" s="1"/>
  <c r="C17" i="20" a="1"/>
  <c r="C17" i="20" s="1"/>
  <c r="F17" i="20" s="1"/>
  <c r="Y3" i="2"/>
  <c r="Y4" i="2"/>
  <c r="Y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19" i="2"/>
  <c r="Y20" i="2"/>
  <c r="Y21" i="2"/>
  <c r="Y22" i="2"/>
  <c r="Y23" i="2"/>
  <c r="Y24" i="2"/>
  <c r="Y25" i="2"/>
  <c r="Y26" i="2"/>
  <c r="Y27" i="2"/>
  <c r="Y28" i="2"/>
  <c r="Y29" i="2"/>
  <c r="Y30" i="2"/>
  <c r="Y31" i="2"/>
  <c r="Y32" i="2"/>
  <c r="Y33" i="2"/>
  <c r="Y34" i="2"/>
  <c r="Y35" i="2"/>
  <c r="Y36" i="2"/>
  <c r="Y37" i="2"/>
  <c r="Y38" i="2"/>
  <c r="Y39" i="2"/>
  <c r="Y40" i="2"/>
  <c r="Y41" i="2"/>
  <c r="Y42" i="2"/>
  <c r="Y43" i="2"/>
  <c r="Y44" i="2"/>
  <c r="Y45" i="2"/>
  <c r="Y46" i="2"/>
  <c r="Y47" i="2"/>
  <c r="Y48" i="2"/>
  <c r="Y49" i="2"/>
  <c r="Y50" i="2"/>
  <c r="Y51" i="2"/>
  <c r="Y52" i="2"/>
  <c r="Y53" i="2"/>
  <c r="Y54" i="2"/>
  <c r="Y55" i="2"/>
  <c r="Y56" i="2"/>
  <c r="Y57" i="2"/>
  <c r="Y58" i="2"/>
  <c r="Y59" i="2"/>
  <c r="Y60" i="2"/>
  <c r="Y61" i="2"/>
  <c r="Y62" i="2"/>
  <c r="Y63" i="2"/>
  <c r="Y64" i="2"/>
  <c r="Y65" i="2"/>
  <c r="Y66" i="2"/>
  <c r="Y67" i="2"/>
  <c r="Y68" i="2"/>
  <c r="Y69" i="2"/>
  <c r="Y70" i="2"/>
  <c r="Y71" i="2"/>
  <c r="Y72" i="2"/>
  <c r="Y73" i="2"/>
  <c r="Y74" i="2"/>
  <c r="Y75" i="2"/>
  <c r="Y76" i="2"/>
  <c r="Y77" i="2"/>
  <c r="Y78" i="2"/>
  <c r="Y79" i="2"/>
  <c r="Y80" i="2"/>
  <c r="Y81" i="2"/>
  <c r="Y82" i="2"/>
  <c r="Y83" i="2"/>
  <c r="Y84" i="2"/>
  <c r="Y85" i="2"/>
  <c r="Y86" i="2"/>
  <c r="Y87" i="2"/>
  <c r="Y88" i="2"/>
  <c r="Y89" i="2"/>
  <c r="Y90" i="2"/>
  <c r="Y91" i="2"/>
  <c r="Y92" i="2"/>
  <c r="Y93" i="2"/>
  <c r="Y94" i="2"/>
  <c r="Y95" i="2"/>
  <c r="Y96" i="2"/>
  <c r="Y97" i="2"/>
  <c r="Y98" i="2"/>
  <c r="Y99" i="2"/>
  <c r="Y100" i="2"/>
  <c r="Y101" i="2"/>
  <c r="X12" i="2"/>
  <c r="X13" i="2"/>
  <c r="X14" i="2"/>
  <c r="X15" i="2"/>
  <c r="X16" i="2"/>
  <c r="X28" i="2"/>
  <c r="X29" i="2"/>
  <c r="X30" i="2"/>
  <c r="X31" i="2"/>
  <c r="X32" i="2"/>
  <c r="X33" i="2"/>
  <c r="X46" i="2"/>
  <c r="X47" i="2"/>
  <c r="X49" i="2"/>
  <c r="X61" i="2"/>
  <c r="X63" i="2"/>
  <c r="X64" i="2"/>
  <c r="X70" i="2"/>
  <c r="X79" i="2"/>
  <c r="X80" i="2"/>
  <c r="X81" i="2"/>
  <c r="X89" i="2"/>
  <c r="X90" i="2"/>
  <c r="X93" i="2"/>
  <c r="X94" i="2"/>
  <c r="V9" i="2"/>
  <c r="T3" i="2" a="1"/>
  <c r="T3" i="2" s="1"/>
  <c r="X3" i="2" s="1"/>
  <c r="T4" i="2" a="1"/>
  <c r="T4" i="2" s="1"/>
  <c r="X4" i="2" s="1"/>
  <c r="T5" i="2" a="1"/>
  <c r="T5" i="2"/>
  <c r="X5" i="2" s="1"/>
  <c r="T6" i="2" a="1"/>
  <c r="T6" i="2"/>
  <c r="X6" i="2" s="1"/>
  <c r="T7" i="2" a="1"/>
  <c r="T7" i="2"/>
  <c r="X7" i="2" s="1"/>
  <c r="T8" i="2" a="1"/>
  <c r="T8" i="2" s="1"/>
  <c r="T10" i="2" a="1"/>
  <c r="T10" i="2" s="1"/>
  <c r="X10" i="2" s="1"/>
  <c r="T11" i="2" a="1"/>
  <c r="T11" i="2" s="1"/>
  <c r="X11" i="2" s="1"/>
  <c r="T12" i="2" a="1"/>
  <c r="T12" i="2"/>
  <c r="T13" i="2" a="1"/>
  <c r="T13" i="2"/>
  <c r="T14" i="2" a="1"/>
  <c r="T14" i="2"/>
  <c r="T15" i="2" a="1"/>
  <c r="T15" i="2"/>
  <c r="T16" i="2" a="1"/>
  <c r="T16" i="2"/>
  <c r="T17" i="2" a="1"/>
  <c r="T17" i="2" s="1"/>
  <c r="X17" i="2" s="1"/>
  <c r="T18" i="2" a="1"/>
  <c r="T18" i="2"/>
  <c r="X18" i="2" s="1"/>
  <c r="T19" i="2" a="1"/>
  <c r="T19" i="2" s="1"/>
  <c r="X19" i="2" s="1"/>
  <c r="T20" i="2" a="1"/>
  <c r="T20" i="2"/>
  <c r="X20" i="2" s="1"/>
  <c r="T21" i="2" a="1"/>
  <c r="T21" i="2"/>
  <c r="X21" i="2" s="1"/>
  <c r="T22" i="2" a="1"/>
  <c r="T22" i="2" s="1"/>
  <c r="X22" i="2" s="1"/>
  <c r="T23" i="2" a="1"/>
  <c r="T23" i="2"/>
  <c r="X23" i="2" s="1"/>
  <c r="T24" i="2" a="1"/>
  <c r="T24" i="2"/>
  <c r="X24" i="2" s="1"/>
  <c r="T25" i="2" a="1"/>
  <c r="T25" i="2"/>
  <c r="X25" i="2" s="1"/>
  <c r="T26" i="2" a="1"/>
  <c r="T26" i="2" s="1"/>
  <c r="X26" i="2" s="1"/>
  <c r="T27" i="2" a="1"/>
  <c r="T27" i="2" s="1"/>
  <c r="X27" i="2" s="1"/>
  <c r="T28" i="2" a="1"/>
  <c r="T28" i="2"/>
  <c r="T29" i="2" a="1"/>
  <c r="T29" i="2"/>
  <c r="T30" i="2" a="1"/>
  <c r="T30" i="2"/>
  <c r="T31" i="2" a="1"/>
  <c r="T31" i="2"/>
  <c r="T32" i="2" a="1"/>
  <c r="T32" i="2"/>
  <c r="T33" i="2" a="1"/>
  <c r="T33" i="2"/>
  <c r="T34" i="2" a="1"/>
  <c r="T34" i="2" s="1"/>
  <c r="X34" i="2" s="1"/>
  <c r="T35" i="2" a="1"/>
  <c r="T35" i="2" s="1"/>
  <c r="X35" i="2" s="1"/>
  <c r="T36" i="2" a="1"/>
  <c r="T36" i="2" s="1"/>
  <c r="X36" i="2" s="1"/>
  <c r="T37" i="2" a="1"/>
  <c r="T37" i="2" s="1"/>
  <c r="X37" i="2" s="1"/>
  <c r="T38" i="2" a="1"/>
  <c r="T38" i="2"/>
  <c r="X38" i="2" s="1"/>
  <c r="T39" i="2" a="1"/>
  <c r="T39" i="2"/>
  <c r="X39" i="2" s="1"/>
  <c r="T40" i="2" a="1"/>
  <c r="T40" i="2"/>
  <c r="X40" i="2" s="1"/>
  <c r="T41" i="2" a="1"/>
  <c r="T41" i="2"/>
  <c r="X41" i="2" s="1"/>
  <c r="T42" i="2" a="1"/>
  <c r="T42" i="2"/>
  <c r="X42" i="2" s="1"/>
  <c r="T43" i="2" a="1"/>
  <c r="T43" i="2" s="1"/>
  <c r="X43" i="2" s="1"/>
  <c r="T44" i="2" a="1"/>
  <c r="T44" i="2" s="1"/>
  <c r="X44" i="2" s="1"/>
  <c r="T45" i="2" a="1"/>
  <c r="T45" i="2" s="1"/>
  <c r="X45" i="2" s="1"/>
  <c r="T46" i="2" a="1"/>
  <c r="T46" i="2"/>
  <c r="T47" i="2" a="1"/>
  <c r="T47" i="2"/>
  <c r="T48" i="2" a="1"/>
  <c r="T48" i="2" s="1"/>
  <c r="X48" i="2" s="1"/>
  <c r="T49" i="2" a="1"/>
  <c r="T49" i="2"/>
  <c r="T50" i="2" a="1"/>
  <c r="T50" i="2"/>
  <c r="X50" i="2" s="1"/>
  <c r="T51" i="2" a="1"/>
  <c r="T51" i="2" s="1"/>
  <c r="X51" i="2" s="1"/>
  <c r="T52" i="2" a="1"/>
  <c r="T52" i="2" s="1"/>
  <c r="X52" i="2" s="1"/>
  <c r="T53" i="2" a="1"/>
  <c r="T53" i="2"/>
  <c r="X53" i="2" s="1"/>
  <c r="T54" i="2" a="1"/>
  <c r="T54" i="2"/>
  <c r="X54" i="2" s="1"/>
  <c r="T55" i="2" a="1"/>
  <c r="T55" i="2"/>
  <c r="X55" i="2" s="1"/>
  <c r="T56" i="2" a="1"/>
  <c r="T56" i="2"/>
  <c r="X56" i="2" s="1"/>
  <c r="T57" i="2" a="1"/>
  <c r="T57" i="2"/>
  <c r="X57" i="2" s="1"/>
  <c r="T58" i="2" a="1"/>
  <c r="T58" i="2"/>
  <c r="X58" i="2" s="1"/>
  <c r="T59" i="2" a="1"/>
  <c r="T59" i="2" s="1"/>
  <c r="X59" i="2" s="1"/>
  <c r="T60" i="2" a="1"/>
  <c r="T60" i="2"/>
  <c r="X60" i="2" s="1"/>
  <c r="T61" i="2" a="1"/>
  <c r="T61" i="2"/>
  <c r="T62" i="2" a="1"/>
  <c r="T62" i="2" s="1"/>
  <c r="X62" i="2" s="1"/>
  <c r="T63" i="2" a="1"/>
  <c r="T63" i="2"/>
  <c r="T64" i="2" a="1"/>
  <c r="T64" i="2"/>
  <c r="T65" i="2" a="1"/>
  <c r="T65" i="2" s="1"/>
  <c r="X65" i="2" s="1"/>
  <c r="T66" i="2" a="1"/>
  <c r="T66" i="2"/>
  <c r="X66" i="2" s="1"/>
  <c r="T67" i="2" a="1"/>
  <c r="T67" i="2" s="1"/>
  <c r="X67" i="2" s="1"/>
  <c r="T68" i="2" a="1"/>
  <c r="T68" i="2"/>
  <c r="X68" i="2" s="1"/>
  <c r="T69" i="2" a="1"/>
  <c r="T69" i="2" s="1"/>
  <c r="X69" i="2" s="1"/>
  <c r="T70" i="2" a="1"/>
  <c r="T70" i="2"/>
  <c r="T71" i="2" a="1"/>
  <c r="T71" i="2"/>
  <c r="X71" i="2" s="1"/>
  <c r="T72" i="2" a="1"/>
  <c r="T72" i="2"/>
  <c r="X72" i="2" s="1"/>
  <c r="T73" i="2" a="1"/>
  <c r="T73" i="2"/>
  <c r="X73" i="2" s="1"/>
  <c r="T74" i="2" a="1"/>
  <c r="T74" i="2"/>
  <c r="X74" i="2" s="1"/>
  <c r="T75" i="2" a="1"/>
  <c r="T75" i="2" s="1"/>
  <c r="X75" i="2" s="1"/>
  <c r="T76" i="2" a="1"/>
  <c r="T76" i="2"/>
  <c r="X76" i="2" s="1"/>
  <c r="T77" i="2" a="1"/>
  <c r="T77" i="2" s="1"/>
  <c r="X77" i="2" s="1"/>
  <c r="T78" i="2" a="1"/>
  <c r="T78" i="2" s="1"/>
  <c r="X78" i="2" s="1"/>
  <c r="T79" i="2" a="1"/>
  <c r="T79" i="2"/>
  <c r="T80" i="2" a="1"/>
  <c r="T80" i="2"/>
  <c r="T81" i="2" a="1"/>
  <c r="T81" i="2"/>
  <c r="T82" i="2" a="1"/>
  <c r="T82" i="2"/>
  <c r="X82" i="2" s="1"/>
  <c r="T83" i="2" a="1"/>
  <c r="T83" i="2" s="1"/>
  <c r="X83" i="2" s="1"/>
  <c r="T84" i="2" a="1"/>
  <c r="T84" i="2"/>
  <c r="X84" i="2" s="1"/>
  <c r="T85" i="2" a="1"/>
  <c r="T85" i="2" s="1"/>
  <c r="X85" i="2" s="1"/>
  <c r="T86" i="2" a="1"/>
  <c r="T86" i="2"/>
  <c r="X86" i="2" s="1"/>
  <c r="T87" i="2" a="1"/>
  <c r="T87" i="2" s="1"/>
  <c r="X87" i="2" s="1"/>
  <c r="T88" i="2" a="1"/>
  <c r="T88" i="2" s="1"/>
  <c r="X88" i="2" s="1"/>
  <c r="T89" i="2" a="1"/>
  <c r="T89" i="2"/>
  <c r="T90" i="2" a="1"/>
  <c r="T90" i="2"/>
  <c r="T91" i="2" a="1"/>
  <c r="T91" i="2" s="1"/>
  <c r="X91" i="2" s="1"/>
  <c r="T92" i="2" a="1"/>
  <c r="T92" i="2" s="1"/>
  <c r="X92" i="2" s="1"/>
  <c r="T93" i="2" a="1"/>
  <c r="T93" i="2" s="1"/>
  <c r="T94" i="2" a="1"/>
  <c r="T94" i="2"/>
  <c r="T95" i="2" a="1"/>
  <c r="T95" i="2"/>
  <c r="X95" i="2" s="1"/>
  <c r="T96" i="2" a="1"/>
  <c r="T96" i="2" s="1"/>
  <c r="X96" i="2" s="1"/>
  <c r="T97" i="2" a="1"/>
  <c r="T97" i="2" s="1"/>
  <c r="X97" i="2" s="1"/>
  <c r="T98" i="2" a="1"/>
  <c r="T98" i="2" s="1"/>
  <c r="X98" i="2" s="1"/>
  <c r="T99" i="2" a="1"/>
  <c r="T99" i="2" s="1"/>
  <c r="X99" i="2" s="1"/>
  <c r="T100" i="2" a="1"/>
  <c r="T100" i="2"/>
  <c r="X100" i="2" s="1"/>
  <c r="T101" i="2" a="1"/>
  <c r="T101" i="2" s="1"/>
  <c r="X101" i="2" s="1"/>
  <c r="T2" i="2" a="1"/>
  <c r="T2" i="2" s="1"/>
  <c r="Y2" i="2" s="1"/>
  <c r="V81" i="2"/>
  <c r="V77" i="2"/>
  <c r="V75" i="2"/>
  <c r="V73" i="2"/>
  <c r="V71" i="2"/>
  <c r="V65" i="2"/>
  <c r="V61" i="2"/>
  <c r="V33" i="2"/>
  <c r="L3" i="3"/>
  <c r="L4" i="3"/>
  <c r="L5" i="3"/>
  <c r="L6" i="3"/>
  <c r="L7" i="3"/>
  <c r="L8" i="3"/>
  <c r="L2" i="3"/>
  <c r="I3" i="3"/>
  <c r="I4" i="3"/>
  <c r="I5" i="3"/>
  <c r="I6" i="3"/>
  <c r="I7" i="3"/>
  <c r="I8" i="3"/>
  <c r="I2" i="3"/>
  <c r="G8" i="3"/>
  <c r="G7" i="3"/>
  <c r="G3" i="3"/>
  <c r="G4" i="3"/>
  <c r="G5" i="3"/>
  <c r="G6" i="3"/>
  <c r="G2" i="3"/>
  <c r="K8" i="3"/>
  <c r="K7" i="3"/>
  <c r="O31" i="3"/>
  <c r="K3" i="3"/>
  <c r="K4" i="3"/>
  <c r="K5" i="3"/>
  <c r="K6" i="3"/>
  <c r="K2" i="3"/>
  <c r="I31" i="19"/>
  <c r="I32" i="19"/>
  <c r="I33" i="19"/>
  <c r="I34" i="19"/>
  <c r="I35" i="19"/>
  <c r="I36" i="19"/>
  <c r="I37" i="19"/>
  <c r="I30" i="19"/>
  <c r="H37" i="19"/>
  <c r="H33" i="19"/>
  <c r="H31" i="19"/>
  <c r="H32" i="19"/>
  <c r="H34" i="19"/>
  <c r="H35" i="19"/>
  <c r="H36" i="19"/>
  <c r="E32" i="19"/>
  <c r="E33" i="19"/>
  <c r="E34" i="19"/>
  <c r="E35" i="19"/>
  <c r="E36" i="19"/>
  <c r="E37" i="19"/>
  <c r="E30" i="19"/>
  <c r="E31" i="19"/>
  <c r="H30" i="19"/>
  <c r="Q37" i="19"/>
  <c r="P37" i="19"/>
  <c r="O37" i="19"/>
  <c r="N37" i="19"/>
  <c r="M37" i="19"/>
  <c r="L37" i="19"/>
  <c r="K37" i="19"/>
  <c r="Q36" i="19"/>
  <c r="P36" i="19"/>
  <c r="O36" i="19"/>
  <c r="N36" i="19"/>
  <c r="M36" i="19"/>
  <c r="L36" i="19"/>
  <c r="K36" i="19"/>
  <c r="Q35" i="19"/>
  <c r="P35" i="19"/>
  <c r="O35" i="19"/>
  <c r="N35" i="19"/>
  <c r="M35" i="19"/>
  <c r="L35" i="19"/>
  <c r="K35" i="19"/>
  <c r="Q34" i="19"/>
  <c r="P34" i="19"/>
  <c r="O34" i="19"/>
  <c r="N34" i="19"/>
  <c r="M34" i="19"/>
  <c r="L34" i="19"/>
  <c r="K34" i="19"/>
  <c r="Q33" i="19"/>
  <c r="P33" i="19"/>
  <c r="O33" i="19"/>
  <c r="N33" i="19"/>
  <c r="M33" i="19"/>
  <c r="L33" i="19"/>
  <c r="K33" i="19"/>
  <c r="Q32" i="19"/>
  <c r="P32" i="19"/>
  <c r="O32" i="19"/>
  <c r="N32" i="19"/>
  <c r="M32" i="19"/>
  <c r="L32" i="19"/>
  <c r="K32" i="19"/>
  <c r="Q31" i="19"/>
  <c r="P31" i="19"/>
  <c r="O31" i="19"/>
  <c r="N31" i="19"/>
  <c r="M31" i="19"/>
  <c r="L31" i="19"/>
  <c r="K31" i="19"/>
  <c r="Q30" i="19"/>
  <c r="P30" i="19"/>
  <c r="O30" i="19"/>
  <c r="N30" i="19"/>
  <c r="M30" i="19"/>
  <c r="L30" i="19"/>
  <c r="K30" i="19"/>
  <c r="K17" i="19"/>
  <c r="L17" i="19"/>
  <c r="M17" i="19"/>
  <c r="N17" i="19"/>
  <c r="O17" i="19"/>
  <c r="P17" i="19"/>
  <c r="Q17" i="19"/>
  <c r="K18" i="19"/>
  <c r="L18" i="19"/>
  <c r="M18" i="19"/>
  <c r="N18" i="19"/>
  <c r="O18" i="19"/>
  <c r="P18" i="19"/>
  <c r="Q18" i="19"/>
  <c r="K19" i="19"/>
  <c r="L19" i="19"/>
  <c r="M19" i="19"/>
  <c r="N19" i="19"/>
  <c r="O19" i="19"/>
  <c r="P19" i="19"/>
  <c r="Q19" i="19"/>
  <c r="K20" i="19"/>
  <c r="L20" i="19"/>
  <c r="M20" i="19"/>
  <c r="N20" i="19"/>
  <c r="O20" i="19"/>
  <c r="P20" i="19"/>
  <c r="Q20" i="19"/>
  <c r="K21" i="19"/>
  <c r="L21" i="19"/>
  <c r="M21" i="19"/>
  <c r="N21" i="19"/>
  <c r="O21" i="19"/>
  <c r="P21" i="19"/>
  <c r="Q21" i="19"/>
  <c r="K22" i="19"/>
  <c r="L22" i="19"/>
  <c r="M22" i="19"/>
  <c r="N22" i="19"/>
  <c r="O22" i="19"/>
  <c r="P22" i="19"/>
  <c r="Q22" i="19"/>
  <c r="K23" i="19"/>
  <c r="L23" i="19"/>
  <c r="M23" i="19"/>
  <c r="N23" i="19"/>
  <c r="O23" i="19"/>
  <c r="P23" i="19"/>
  <c r="Q23" i="19"/>
  <c r="K24" i="19"/>
  <c r="L24" i="19"/>
  <c r="M24" i="19"/>
  <c r="N24" i="19"/>
  <c r="O24" i="19"/>
  <c r="P24" i="19"/>
  <c r="Q24" i="19"/>
  <c r="M4" i="19"/>
  <c r="N4" i="19"/>
  <c r="O4" i="19"/>
  <c r="P4" i="19"/>
  <c r="Q4" i="19"/>
  <c r="R4" i="19"/>
  <c r="M5" i="19"/>
  <c r="N5" i="19"/>
  <c r="O5" i="19"/>
  <c r="P5" i="19"/>
  <c r="Q5" i="19"/>
  <c r="R5" i="19"/>
  <c r="M6" i="19"/>
  <c r="N6" i="19"/>
  <c r="O6" i="19"/>
  <c r="P6" i="19"/>
  <c r="Q6" i="19"/>
  <c r="R6" i="19"/>
  <c r="M7" i="19"/>
  <c r="N7" i="19"/>
  <c r="O7" i="19"/>
  <c r="P7" i="19"/>
  <c r="Q7" i="19"/>
  <c r="R7" i="19"/>
  <c r="M8" i="19"/>
  <c r="N8" i="19"/>
  <c r="O8" i="19"/>
  <c r="P8" i="19"/>
  <c r="Q8" i="19"/>
  <c r="R8" i="19"/>
  <c r="M9" i="19"/>
  <c r="N9" i="19"/>
  <c r="O9" i="19"/>
  <c r="P9" i="19"/>
  <c r="Q9" i="19"/>
  <c r="R9" i="19"/>
  <c r="M10" i="19"/>
  <c r="N10" i="19"/>
  <c r="O10" i="19"/>
  <c r="P10" i="19"/>
  <c r="Q10" i="19"/>
  <c r="R10" i="19"/>
  <c r="M11" i="19"/>
  <c r="N11" i="19"/>
  <c r="O11" i="19"/>
  <c r="P11" i="19"/>
  <c r="Q11" i="19"/>
  <c r="R11" i="19"/>
  <c r="M12" i="19"/>
  <c r="N12" i="19"/>
  <c r="O12" i="19"/>
  <c r="P12" i="19"/>
  <c r="Q12" i="19"/>
  <c r="R12" i="19"/>
  <c r="M13" i="19"/>
  <c r="N13" i="19"/>
  <c r="O13" i="19"/>
  <c r="P13" i="19"/>
  <c r="Q13" i="19"/>
  <c r="R13" i="19"/>
  <c r="L5" i="19"/>
  <c r="L6" i="19"/>
  <c r="L7" i="19"/>
  <c r="L8" i="19"/>
  <c r="L9" i="19"/>
  <c r="L10" i="19"/>
  <c r="L11" i="19"/>
  <c r="L12" i="19"/>
  <c r="L13" i="19"/>
  <c r="L4" i="19"/>
  <c r="E24" i="19"/>
  <c r="E22" i="19"/>
  <c r="E20" i="19"/>
  <c r="E18" i="19"/>
  <c r="E23" i="19"/>
  <c r="E21" i="19"/>
  <c r="E19" i="19"/>
  <c r="E17" i="19"/>
  <c r="K13" i="19"/>
  <c r="H26" i="19"/>
  <c r="H13" i="19"/>
  <c r="E13" i="19"/>
  <c r="K12" i="19"/>
  <c r="H25" i="19"/>
  <c r="H12" i="19"/>
  <c r="E12" i="19"/>
  <c r="K11" i="19"/>
  <c r="I24" i="19"/>
  <c r="H24" i="19"/>
  <c r="H11" i="19"/>
  <c r="G11" i="19"/>
  <c r="E11" i="19"/>
  <c r="K10" i="19"/>
  <c r="I23" i="19"/>
  <c r="H23" i="19"/>
  <c r="H10" i="19"/>
  <c r="G10" i="19"/>
  <c r="E10" i="19"/>
  <c r="K9" i="19"/>
  <c r="I22" i="19"/>
  <c r="H22" i="19"/>
  <c r="H9" i="19"/>
  <c r="G9" i="19"/>
  <c r="E9" i="19"/>
  <c r="K8" i="19"/>
  <c r="I21" i="19"/>
  <c r="H21" i="19"/>
  <c r="H8" i="19"/>
  <c r="G8" i="19"/>
  <c r="E8" i="19"/>
  <c r="I20" i="19"/>
  <c r="H20" i="19"/>
  <c r="H7" i="19"/>
  <c r="G7" i="19"/>
  <c r="E7" i="19"/>
  <c r="K6" i="19"/>
  <c r="I19" i="19"/>
  <c r="H19" i="19"/>
  <c r="H6" i="19"/>
  <c r="G6" i="19"/>
  <c r="E6" i="19"/>
  <c r="K5" i="19"/>
  <c r="I18" i="19"/>
  <c r="H18" i="19"/>
  <c r="H5" i="19"/>
  <c r="G5" i="19"/>
  <c r="E5" i="19"/>
  <c r="I17" i="19"/>
  <c r="H17" i="19"/>
  <c r="H4" i="19"/>
  <c r="G4" i="19"/>
  <c r="E4" i="19"/>
  <c r="K3" i="19"/>
  <c r="V25" i="3"/>
  <c r="V26" i="3"/>
  <c r="U23" i="3"/>
  <c r="V28" i="3"/>
  <c r="V29" i="3"/>
  <c r="V30" i="3"/>
  <c r="V31" i="3"/>
  <c r="V32" i="3"/>
  <c r="V33" i="3"/>
  <c r="M84" i="18"/>
  <c r="L84" i="18" s="1"/>
  <c r="N84" i="18"/>
  <c r="M47" i="18"/>
  <c r="L47" i="18" s="1"/>
  <c r="N47" i="18"/>
  <c r="M64" i="18"/>
  <c r="L64" i="18" s="1"/>
  <c r="N64" i="18"/>
  <c r="M23" i="18"/>
  <c r="L23" i="18" s="1"/>
  <c r="N23" i="18"/>
  <c r="M30" i="18"/>
  <c r="L30" i="18" s="1"/>
  <c r="N30" i="18"/>
  <c r="M73" i="18"/>
  <c r="L73" i="18" s="1"/>
  <c r="N73" i="18"/>
  <c r="M38" i="18"/>
  <c r="L38" i="18" s="1"/>
  <c r="N38" i="18"/>
  <c r="M39" i="18"/>
  <c r="L39" i="18" s="1"/>
  <c r="N39" i="18"/>
  <c r="M61" i="18"/>
  <c r="L61" i="18" s="1"/>
  <c r="N61" i="18"/>
  <c r="M6" i="18"/>
  <c r="L6" i="18" s="1"/>
  <c r="N6" i="18"/>
  <c r="M41" i="18"/>
  <c r="L41" i="18" s="1"/>
  <c r="N41" i="18"/>
  <c r="M68" i="18"/>
  <c r="L68" i="18" s="1"/>
  <c r="N68" i="18"/>
  <c r="M15" i="18"/>
  <c r="L15" i="18" s="1"/>
  <c r="N15" i="18"/>
  <c r="M74" i="18"/>
  <c r="L74" i="18" s="1"/>
  <c r="N74" i="18"/>
  <c r="M52" i="18"/>
  <c r="L52" i="18" s="1"/>
  <c r="N52" i="18"/>
  <c r="M75" i="18"/>
  <c r="L75" i="18" s="1"/>
  <c r="N75" i="18"/>
  <c r="M40" i="18"/>
  <c r="L40" i="18" s="1"/>
  <c r="N40" i="18"/>
  <c r="M42" i="18"/>
  <c r="L42" i="18" s="1"/>
  <c r="N42" i="18"/>
  <c r="M78" i="18"/>
  <c r="L78" i="18" s="1"/>
  <c r="N78" i="18"/>
  <c r="M76" i="18"/>
  <c r="L76" i="18" s="1"/>
  <c r="N76" i="18"/>
  <c r="M48" i="18"/>
  <c r="L48" i="18" s="1"/>
  <c r="N48" i="18"/>
  <c r="M80" i="18"/>
  <c r="L80" i="18" s="1"/>
  <c r="N80" i="18"/>
  <c r="M49" i="18"/>
  <c r="L49" i="18" s="1"/>
  <c r="N49" i="18"/>
  <c r="M22" i="18"/>
  <c r="L22" i="18" s="1"/>
  <c r="N22" i="18"/>
  <c r="M9" i="18"/>
  <c r="L9" i="18" s="1"/>
  <c r="N9" i="18"/>
  <c r="M24" i="18"/>
  <c r="L24" i="18" s="1"/>
  <c r="N24" i="18"/>
  <c r="M4" i="18"/>
  <c r="L4" i="18" s="1"/>
  <c r="N4" i="18"/>
  <c r="M12" i="18"/>
  <c r="L12" i="18" s="1"/>
  <c r="N12" i="18"/>
  <c r="M21" i="18"/>
  <c r="L21" i="18" s="1"/>
  <c r="N21" i="18"/>
  <c r="M58" i="18"/>
  <c r="L58" i="18" s="1"/>
  <c r="N58" i="18"/>
  <c r="M63" i="18"/>
  <c r="L63" i="18" s="1"/>
  <c r="N63" i="18"/>
  <c r="M13" i="18"/>
  <c r="L13" i="18" s="1"/>
  <c r="N13" i="18"/>
  <c r="M26" i="18"/>
  <c r="L26" i="18" s="1"/>
  <c r="N26" i="18"/>
  <c r="M43" i="18"/>
  <c r="L43" i="18" s="1"/>
  <c r="N43" i="18"/>
  <c r="M33" i="18"/>
  <c r="L33" i="18" s="1"/>
  <c r="N33" i="18"/>
  <c r="M5" i="18"/>
  <c r="L5" i="18" s="1"/>
  <c r="N5" i="18"/>
  <c r="M59" i="18"/>
  <c r="L59" i="18" s="1"/>
  <c r="N59" i="18"/>
  <c r="M34" i="18"/>
  <c r="L34" i="18" s="1"/>
  <c r="N34" i="18"/>
  <c r="M70" i="18"/>
  <c r="L70" i="18" s="1"/>
  <c r="N70" i="18"/>
  <c r="M56" i="18"/>
  <c r="L56" i="18" s="1"/>
  <c r="N56" i="18"/>
  <c r="M35" i="18"/>
  <c r="L35" i="18" s="1"/>
  <c r="N35" i="18"/>
  <c r="M27" i="18"/>
  <c r="L27" i="18" s="1"/>
  <c r="N27" i="18"/>
  <c r="M32" i="18"/>
  <c r="L32" i="18" s="1"/>
  <c r="N32" i="18"/>
  <c r="M44" i="18"/>
  <c r="L44" i="18" s="1"/>
  <c r="N44" i="18"/>
  <c r="M65" i="18"/>
  <c r="L65" i="18" s="1"/>
  <c r="N65" i="18"/>
  <c r="M7" i="18"/>
  <c r="L7" i="18" s="1"/>
  <c r="N7" i="18"/>
  <c r="M85" i="18"/>
  <c r="L85" i="18" s="1"/>
  <c r="N85" i="18"/>
  <c r="M71" i="18"/>
  <c r="L71" i="18" s="1"/>
  <c r="N71" i="18"/>
  <c r="M16" i="18"/>
  <c r="L16" i="18" s="1"/>
  <c r="N16" i="18"/>
  <c r="M83" i="18"/>
  <c r="L83" i="18" s="1"/>
  <c r="N83" i="18"/>
  <c r="M66" i="18"/>
  <c r="L66" i="18" s="1"/>
  <c r="N66" i="18"/>
  <c r="M14" i="18"/>
  <c r="L14" i="18" s="1"/>
  <c r="N14" i="18"/>
  <c r="M36" i="18"/>
  <c r="L36" i="18" s="1"/>
  <c r="N36" i="18"/>
  <c r="M45" i="18"/>
  <c r="L45" i="18" s="1"/>
  <c r="N45" i="18"/>
  <c r="M53" i="18"/>
  <c r="L53" i="18" s="1"/>
  <c r="N53" i="18"/>
  <c r="M11" i="18"/>
  <c r="L11" i="18" s="1"/>
  <c r="N11" i="18"/>
  <c r="M37" i="18"/>
  <c r="L37" i="18" s="1"/>
  <c r="N37" i="18"/>
  <c r="M17" i="18"/>
  <c r="L17" i="18" s="1"/>
  <c r="N17" i="18"/>
  <c r="M25" i="18"/>
  <c r="L25" i="18" s="1"/>
  <c r="N25" i="18"/>
  <c r="M18" i="18"/>
  <c r="L18" i="18" s="1"/>
  <c r="N18" i="18"/>
  <c r="M55" i="18"/>
  <c r="L55" i="18" s="1"/>
  <c r="N55" i="18"/>
  <c r="M31" i="18"/>
  <c r="L31" i="18" s="1"/>
  <c r="N31" i="18"/>
  <c r="M81" i="18"/>
  <c r="L81" i="18" s="1"/>
  <c r="N81" i="18"/>
  <c r="M57" i="18"/>
  <c r="L57" i="18" s="1"/>
  <c r="N57" i="18"/>
  <c r="M10" i="18"/>
  <c r="L10" i="18" s="1"/>
  <c r="N10" i="18"/>
  <c r="M28" i="18"/>
  <c r="L28" i="18" s="1"/>
  <c r="N28" i="18"/>
  <c r="M79" i="18"/>
  <c r="L79" i="18" s="1"/>
  <c r="N79" i="18"/>
  <c r="M60" i="18"/>
  <c r="L60" i="18" s="1"/>
  <c r="N60" i="18"/>
  <c r="M29" i="18"/>
  <c r="L29" i="18" s="1"/>
  <c r="N29" i="18"/>
  <c r="M20" i="18"/>
  <c r="L20" i="18" s="1"/>
  <c r="N20" i="18"/>
  <c r="M67" i="18"/>
  <c r="L67" i="18" s="1"/>
  <c r="N67" i="18"/>
  <c r="M51" i="18"/>
  <c r="L51" i="18" s="1"/>
  <c r="N51" i="18"/>
  <c r="M77" i="18"/>
  <c r="L77" i="18" s="1"/>
  <c r="N77" i="18"/>
  <c r="M46" i="18"/>
  <c r="L46" i="18" s="1"/>
  <c r="N46" i="18"/>
  <c r="M69" i="18"/>
  <c r="L69" i="18" s="1"/>
  <c r="N69" i="18"/>
  <c r="M72" i="18"/>
  <c r="L72" i="18" s="1"/>
  <c r="N72" i="18"/>
  <c r="M82" i="18"/>
  <c r="L82" i="18" s="1"/>
  <c r="N82" i="18"/>
  <c r="M8" i="18"/>
  <c r="L8" i="18" s="1"/>
  <c r="N8" i="18"/>
  <c r="M50" i="18"/>
  <c r="L50" i="18" s="1"/>
  <c r="N50" i="18"/>
  <c r="M62" i="18"/>
  <c r="L62" i="18" s="1"/>
  <c r="N62" i="18"/>
  <c r="M54" i="18"/>
  <c r="L54" i="18" s="1"/>
  <c r="N54" i="18"/>
  <c r="N19" i="18"/>
  <c r="M19" i="18"/>
  <c r="N3" i="18"/>
  <c r="M3" i="18"/>
  <c r="C96" i="18"/>
  <c r="D96" i="18" s="1"/>
  <c r="D95" i="18"/>
  <c r="C95" i="18"/>
  <c r="D93" i="18"/>
  <c r="C93" i="18"/>
  <c r="D92" i="18"/>
  <c r="C92" i="18"/>
  <c r="AG10" i="18"/>
  <c r="AR10" i="18" s="1"/>
  <c r="AF10" i="18"/>
  <c r="AQ10" i="18" s="1"/>
  <c r="AE10" i="18"/>
  <c r="AP10" i="18" s="1"/>
  <c r="AD10" i="18"/>
  <c r="AO10" i="18" s="1"/>
  <c r="AC10" i="18"/>
  <c r="AN10" i="18" s="1"/>
  <c r="AB10" i="18"/>
  <c r="AM10" i="18" s="1"/>
  <c r="AA10" i="18"/>
  <c r="AL10" i="18" s="1"/>
  <c r="Z10" i="18"/>
  <c r="AK10" i="18" s="1"/>
  <c r="Y10" i="18"/>
  <c r="AJ10" i="18" s="1"/>
  <c r="X10" i="18"/>
  <c r="AI10" i="18" s="1"/>
  <c r="AG9" i="18"/>
  <c r="AR9" i="18" s="1"/>
  <c r="AF9" i="18"/>
  <c r="AQ9" i="18" s="1"/>
  <c r="AE9" i="18"/>
  <c r="AP9" i="18" s="1"/>
  <c r="AD9" i="18"/>
  <c r="AO9" i="18" s="1"/>
  <c r="AC9" i="18"/>
  <c r="AN9" i="18" s="1"/>
  <c r="AB9" i="18"/>
  <c r="AM9" i="18" s="1"/>
  <c r="AA9" i="18"/>
  <c r="AL9" i="18" s="1"/>
  <c r="Z9" i="18"/>
  <c r="AK9" i="18" s="1"/>
  <c r="Y9" i="18"/>
  <c r="AJ9" i="18" s="1"/>
  <c r="X9" i="18"/>
  <c r="AI9" i="18" s="1"/>
  <c r="AG8" i="18"/>
  <c r="AR8" i="18" s="1"/>
  <c r="AF8" i="18"/>
  <c r="AQ8" i="18" s="1"/>
  <c r="AE8" i="18"/>
  <c r="AP8" i="18" s="1"/>
  <c r="AD8" i="18"/>
  <c r="AO8" i="18" s="1"/>
  <c r="AC8" i="18"/>
  <c r="AN8" i="18" s="1"/>
  <c r="AB8" i="18"/>
  <c r="AM8" i="18" s="1"/>
  <c r="AA8" i="18"/>
  <c r="AL8" i="18" s="1"/>
  <c r="Z8" i="18"/>
  <c r="AK8" i="18" s="1"/>
  <c r="Y8" i="18"/>
  <c r="AJ8" i="18" s="1"/>
  <c r="X8" i="18"/>
  <c r="AI8" i="18" s="1"/>
  <c r="AG7" i="18"/>
  <c r="AR7" i="18" s="1"/>
  <c r="AF7" i="18"/>
  <c r="AQ7" i="18" s="1"/>
  <c r="AE7" i="18"/>
  <c r="AP7" i="18" s="1"/>
  <c r="AD7" i="18"/>
  <c r="AO7" i="18" s="1"/>
  <c r="AC7" i="18"/>
  <c r="AN7" i="18" s="1"/>
  <c r="AB7" i="18"/>
  <c r="AM7" i="18" s="1"/>
  <c r="AA7" i="18"/>
  <c r="AL7" i="18" s="1"/>
  <c r="Z7" i="18"/>
  <c r="AK7" i="18" s="1"/>
  <c r="Y7" i="18"/>
  <c r="AJ7" i="18" s="1"/>
  <c r="X7" i="18"/>
  <c r="AI7" i="18" s="1"/>
  <c r="AG6" i="18"/>
  <c r="AR6" i="18" s="1"/>
  <c r="AF6" i="18"/>
  <c r="AQ6" i="18" s="1"/>
  <c r="AE6" i="18"/>
  <c r="AP6" i="18" s="1"/>
  <c r="AD6" i="18"/>
  <c r="AO6" i="18" s="1"/>
  <c r="AC6" i="18"/>
  <c r="AN6" i="18" s="1"/>
  <c r="AB6" i="18"/>
  <c r="AM6" i="18" s="1"/>
  <c r="AA6" i="18"/>
  <c r="AL6" i="18" s="1"/>
  <c r="Z6" i="18"/>
  <c r="AK6" i="18" s="1"/>
  <c r="Y6" i="18"/>
  <c r="AJ6" i="18" s="1"/>
  <c r="X6" i="18"/>
  <c r="AI6" i="18" s="1"/>
  <c r="AG5" i="18"/>
  <c r="AR5" i="18" s="1"/>
  <c r="AF5" i="18"/>
  <c r="AQ5" i="18" s="1"/>
  <c r="AE5" i="18"/>
  <c r="AP5" i="18" s="1"/>
  <c r="AD5" i="18"/>
  <c r="AO5" i="18" s="1"/>
  <c r="AC5" i="18"/>
  <c r="AN5" i="18" s="1"/>
  <c r="AB5" i="18"/>
  <c r="AM5" i="18" s="1"/>
  <c r="AA5" i="18"/>
  <c r="AL5" i="18" s="1"/>
  <c r="Z5" i="18"/>
  <c r="AK5" i="18" s="1"/>
  <c r="Y5" i="18"/>
  <c r="AJ5" i="18" s="1"/>
  <c r="X5" i="18"/>
  <c r="AI5" i="18" s="1"/>
  <c r="AG4" i="18"/>
  <c r="AR4" i="18" s="1"/>
  <c r="AF4" i="18"/>
  <c r="AQ4" i="18" s="1"/>
  <c r="AE4" i="18"/>
  <c r="AP4" i="18" s="1"/>
  <c r="AD4" i="18"/>
  <c r="AO4" i="18" s="1"/>
  <c r="AC4" i="18"/>
  <c r="AN4" i="18" s="1"/>
  <c r="AB4" i="18"/>
  <c r="AM4" i="18" s="1"/>
  <c r="AA4" i="18"/>
  <c r="AL4" i="18" s="1"/>
  <c r="Z4" i="18"/>
  <c r="AK4" i="18" s="1"/>
  <c r="Y4" i="18"/>
  <c r="AJ4" i="18" s="1"/>
  <c r="X4" i="18"/>
  <c r="AI4" i="18" s="1"/>
  <c r="C96" i="17"/>
  <c r="D96" i="17" s="1"/>
  <c r="D95" i="17"/>
  <c r="C95" i="17"/>
  <c r="D93" i="17"/>
  <c r="C93" i="17"/>
  <c r="D92" i="17"/>
  <c r="C92" i="17"/>
  <c r="N85" i="17"/>
  <c r="A89" i="17"/>
  <c r="N84" i="17"/>
  <c r="A88" i="17"/>
  <c r="N83" i="17"/>
  <c r="A87" i="17"/>
  <c r="N82" i="17"/>
  <c r="A86" i="17"/>
  <c r="N81" i="17"/>
  <c r="A85" i="17"/>
  <c r="N80" i="17"/>
  <c r="A84" i="17"/>
  <c r="N79" i="17"/>
  <c r="Q79" i="17" s="1"/>
  <c r="A83" i="17"/>
  <c r="N78" i="17"/>
  <c r="A82" i="17"/>
  <c r="N77" i="17"/>
  <c r="A81" i="17"/>
  <c r="N76" i="17"/>
  <c r="A80" i="17"/>
  <c r="N75" i="17"/>
  <c r="A79" i="17"/>
  <c r="N74" i="17"/>
  <c r="A78" i="17"/>
  <c r="N73" i="17"/>
  <c r="A77" i="17"/>
  <c r="N72" i="17"/>
  <c r="A76" i="17"/>
  <c r="N71" i="17"/>
  <c r="A75" i="17"/>
  <c r="N70" i="17"/>
  <c r="A74" i="17"/>
  <c r="N69" i="17"/>
  <c r="A73" i="17"/>
  <c r="N68" i="17"/>
  <c r="A72" i="17"/>
  <c r="N67" i="17"/>
  <c r="A71" i="17"/>
  <c r="N66" i="17"/>
  <c r="A70" i="17"/>
  <c r="N65" i="17"/>
  <c r="A69" i="17"/>
  <c r="N64" i="17"/>
  <c r="A68" i="17"/>
  <c r="N63" i="17"/>
  <c r="A67" i="17"/>
  <c r="N62" i="17"/>
  <c r="A66" i="17"/>
  <c r="N61" i="17"/>
  <c r="A65" i="17"/>
  <c r="N60" i="17"/>
  <c r="A64" i="17"/>
  <c r="N59" i="17"/>
  <c r="A63" i="17"/>
  <c r="N58" i="17"/>
  <c r="A62" i="17"/>
  <c r="N57" i="17"/>
  <c r="A61" i="17"/>
  <c r="N56" i="17"/>
  <c r="A60" i="17"/>
  <c r="N55" i="17"/>
  <c r="A59" i="17"/>
  <c r="N54" i="17"/>
  <c r="A58" i="17"/>
  <c r="N53" i="17"/>
  <c r="A57" i="17"/>
  <c r="N52" i="17"/>
  <c r="A56" i="17"/>
  <c r="N51" i="17"/>
  <c r="A55" i="17"/>
  <c r="N50" i="17"/>
  <c r="A54" i="17"/>
  <c r="N49" i="17"/>
  <c r="A53" i="17"/>
  <c r="N48" i="17"/>
  <c r="A52" i="17"/>
  <c r="N47" i="17"/>
  <c r="A51" i="17"/>
  <c r="N46" i="17"/>
  <c r="A50" i="17"/>
  <c r="N45" i="17"/>
  <c r="A49" i="17"/>
  <c r="N44" i="17"/>
  <c r="A48" i="17"/>
  <c r="N43" i="17"/>
  <c r="A47" i="17"/>
  <c r="N42" i="17"/>
  <c r="A46" i="17"/>
  <c r="N41" i="17"/>
  <c r="A45" i="17"/>
  <c r="N40" i="17"/>
  <c r="A44" i="17"/>
  <c r="N39" i="17"/>
  <c r="A43" i="17"/>
  <c r="N38" i="17"/>
  <c r="A42" i="17"/>
  <c r="N37" i="17"/>
  <c r="A41" i="17"/>
  <c r="N36" i="17"/>
  <c r="A40" i="17"/>
  <c r="N35" i="17"/>
  <c r="A39" i="17"/>
  <c r="N34" i="17"/>
  <c r="A38" i="17"/>
  <c r="N33" i="17"/>
  <c r="A37" i="17"/>
  <c r="N32" i="17"/>
  <c r="A36" i="17"/>
  <c r="N31" i="17"/>
  <c r="A35" i="17"/>
  <c r="N30" i="17"/>
  <c r="A34" i="17"/>
  <c r="N29" i="17"/>
  <c r="A33" i="17"/>
  <c r="N28" i="17"/>
  <c r="A32" i="17"/>
  <c r="N27" i="17"/>
  <c r="A31" i="17"/>
  <c r="N26" i="17"/>
  <c r="A30" i="17"/>
  <c r="N25" i="17"/>
  <c r="A29" i="17"/>
  <c r="N24" i="17"/>
  <c r="A28" i="17"/>
  <c r="N23" i="17"/>
  <c r="A27" i="17"/>
  <c r="N22" i="17"/>
  <c r="A26" i="17"/>
  <c r="N21" i="17"/>
  <c r="A25" i="17"/>
  <c r="N20" i="17"/>
  <c r="A24" i="17"/>
  <c r="N19" i="17"/>
  <c r="A23" i="17"/>
  <c r="N18" i="17"/>
  <c r="A18" i="17"/>
  <c r="N17" i="17"/>
  <c r="A17" i="17"/>
  <c r="N16" i="17"/>
  <c r="A16" i="17"/>
  <c r="N15" i="17"/>
  <c r="A15" i="17"/>
  <c r="N14" i="17"/>
  <c r="A14" i="17"/>
  <c r="N13" i="17"/>
  <c r="A13" i="17"/>
  <c r="N12" i="17"/>
  <c r="A12" i="17"/>
  <c r="N11" i="17"/>
  <c r="A11" i="17"/>
  <c r="AH10" i="17"/>
  <c r="AS10" i="17" s="1"/>
  <c r="AG10" i="17"/>
  <c r="AR10" i="17" s="1"/>
  <c r="AF10" i="17"/>
  <c r="AQ10" i="17" s="1"/>
  <c r="AE10" i="17"/>
  <c r="AP10" i="17" s="1"/>
  <c r="AD10" i="17"/>
  <c r="AO10" i="17" s="1"/>
  <c r="AC10" i="17"/>
  <c r="AN10" i="17" s="1"/>
  <c r="AB10" i="17"/>
  <c r="AM10" i="17" s="1"/>
  <c r="AA10" i="17"/>
  <c r="AL10" i="17" s="1"/>
  <c r="Z10" i="17"/>
  <c r="AK10" i="17" s="1"/>
  <c r="Y10" i="17"/>
  <c r="AJ10" i="17" s="1"/>
  <c r="N10" i="17"/>
  <c r="A10" i="17"/>
  <c r="AH9" i="17"/>
  <c r="AS9" i="17" s="1"/>
  <c r="AG9" i="17"/>
  <c r="AR9" i="17" s="1"/>
  <c r="AF9" i="17"/>
  <c r="AQ9" i="17" s="1"/>
  <c r="AE9" i="17"/>
  <c r="AP9" i="17" s="1"/>
  <c r="AD9" i="17"/>
  <c r="AO9" i="17" s="1"/>
  <c r="AC9" i="17"/>
  <c r="AN9" i="17" s="1"/>
  <c r="AB9" i="17"/>
  <c r="AM9" i="17" s="1"/>
  <c r="AA9" i="17"/>
  <c r="AL9" i="17" s="1"/>
  <c r="Z9" i="17"/>
  <c r="AK9" i="17" s="1"/>
  <c r="Y9" i="17"/>
  <c r="AJ9" i="17" s="1"/>
  <c r="N9" i="17"/>
  <c r="A9" i="17"/>
  <c r="AH8" i="17"/>
  <c r="AS8" i="17" s="1"/>
  <c r="AG8" i="17"/>
  <c r="AR8" i="17" s="1"/>
  <c r="AF8" i="17"/>
  <c r="AQ8" i="17" s="1"/>
  <c r="AE8" i="17"/>
  <c r="AP8" i="17" s="1"/>
  <c r="AD8" i="17"/>
  <c r="AO8" i="17" s="1"/>
  <c r="AC8" i="17"/>
  <c r="AN8" i="17" s="1"/>
  <c r="AB8" i="17"/>
  <c r="AM8" i="17" s="1"/>
  <c r="AA8" i="17"/>
  <c r="AL8" i="17" s="1"/>
  <c r="Z8" i="17"/>
  <c r="AK8" i="17" s="1"/>
  <c r="Y8" i="17"/>
  <c r="AJ8" i="17" s="1"/>
  <c r="N8" i="17"/>
  <c r="A8" i="17"/>
  <c r="AH7" i="17"/>
  <c r="AS7" i="17" s="1"/>
  <c r="AG7" i="17"/>
  <c r="AR7" i="17" s="1"/>
  <c r="AF7" i="17"/>
  <c r="AQ7" i="17" s="1"/>
  <c r="AE7" i="17"/>
  <c r="AP7" i="17" s="1"/>
  <c r="AD7" i="17"/>
  <c r="AO7" i="17" s="1"/>
  <c r="AC7" i="17"/>
  <c r="AN7" i="17" s="1"/>
  <c r="AB7" i="17"/>
  <c r="AM7" i="17" s="1"/>
  <c r="AA7" i="17"/>
  <c r="AL7" i="17" s="1"/>
  <c r="Z7" i="17"/>
  <c r="AK7" i="17" s="1"/>
  <c r="Y7" i="17"/>
  <c r="AJ7" i="17" s="1"/>
  <c r="N7" i="17"/>
  <c r="A7" i="17"/>
  <c r="AH6" i="17"/>
  <c r="AS6" i="17" s="1"/>
  <c r="AG6" i="17"/>
  <c r="AR6" i="17" s="1"/>
  <c r="AF6" i="17"/>
  <c r="AQ6" i="17" s="1"/>
  <c r="AE6" i="17"/>
  <c r="AP6" i="17" s="1"/>
  <c r="AD6" i="17"/>
  <c r="AO6" i="17" s="1"/>
  <c r="AC6" i="17"/>
  <c r="AN6" i="17" s="1"/>
  <c r="AB6" i="17"/>
  <c r="AM6" i="17" s="1"/>
  <c r="AA6" i="17"/>
  <c r="AL6" i="17" s="1"/>
  <c r="Z6" i="17"/>
  <c r="AK6" i="17" s="1"/>
  <c r="Y6" i="17"/>
  <c r="AJ6" i="17" s="1"/>
  <c r="N6" i="17"/>
  <c r="A6" i="17"/>
  <c r="AH5" i="17"/>
  <c r="AS5" i="17" s="1"/>
  <c r="AG5" i="17"/>
  <c r="AR5" i="17" s="1"/>
  <c r="AF5" i="17"/>
  <c r="AQ5" i="17" s="1"/>
  <c r="AE5" i="17"/>
  <c r="AP5" i="17" s="1"/>
  <c r="AD5" i="17"/>
  <c r="AO5" i="17" s="1"/>
  <c r="AC5" i="17"/>
  <c r="AN5" i="17" s="1"/>
  <c r="AB5" i="17"/>
  <c r="AM5" i="17" s="1"/>
  <c r="AA5" i="17"/>
  <c r="AL5" i="17" s="1"/>
  <c r="Z5" i="17"/>
  <c r="AK5" i="17" s="1"/>
  <c r="Y5" i="17"/>
  <c r="AJ5" i="17" s="1"/>
  <c r="N5" i="17"/>
  <c r="A5" i="17"/>
  <c r="AH4" i="17"/>
  <c r="AS4" i="17" s="1"/>
  <c r="AG4" i="17"/>
  <c r="AR4" i="17" s="1"/>
  <c r="AF4" i="17"/>
  <c r="AQ4" i="17" s="1"/>
  <c r="AE4" i="17"/>
  <c r="AP4" i="17" s="1"/>
  <c r="AD4" i="17"/>
  <c r="AO4" i="17" s="1"/>
  <c r="AC4" i="17"/>
  <c r="AN4" i="17" s="1"/>
  <c r="AB4" i="17"/>
  <c r="AM4" i="17" s="1"/>
  <c r="AA4" i="17"/>
  <c r="AL4" i="17" s="1"/>
  <c r="Z4" i="17"/>
  <c r="AK4" i="17" s="1"/>
  <c r="Y4" i="17"/>
  <c r="AJ4" i="17" s="1"/>
  <c r="N4" i="17"/>
  <c r="A4" i="17"/>
  <c r="B40" i="14"/>
  <c r="B23" i="14"/>
  <c r="B22" i="14"/>
  <c r="B21" i="14"/>
  <c r="B20" i="14"/>
  <c r="B19" i="14"/>
  <c r="B18" i="14"/>
  <c r="B17" i="14"/>
  <c r="B16" i="14"/>
  <c r="B14" i="14"/>
  <c r="B7" i="14"/>
  <c r="B6" i="14"/>
  <c r="C105" i="14"/>
  <c r="C103" i="14"/>
  <c r="C102" i="14"/>
  <c r="D103" i="14"/>
  <c r="D102" i="14"/>
  <c r="D105" i="14"/>
  <c r="I5" i="14" a="1"/>
  <c r="I5" i="14" s="1"/>
  <c r="I8" i="14" a="1"/>
  <c r="I8" i="14" s="1"/>
  <c r="I9" i="14" a="1"/>
  <c r="I9" i="14" s="1"/>
  <c r="I10" i="14" a="1"/>
  <c r="I10" i="14" s="1"/>
  <c r="I11" i="14" a="1"/>
  <c r="I11" i="14" s="1"/>
  <c r="I12" i="14" a="1"/>
  <c r="I12" i="14" s="1"/>
  <c r="I14" i="14" a="1"/>
  <c r="I14" i="14" s="1"/>
  <c r="I15" i="14" a="1"/>
  <c r="I15" i="14" s="1"/>
  <c r="I16" i="14" a="1"/>
  <c r="I16" i="14" s="1"/>
  <c r="I17" i="14" a="1"/>
  <c r="I17" i="14" s="1"/>
  <c r="I18" i="14" a="1"/>
  <c r="I18" i="14" s="1"/>
  <c r="I19" i="14" a="1"/>
  <c r="I19" i="14" s="1"/>
  <c r="I20" i="14" a="1"/>
  <c r="I20" i="14" s="1"/>
  <c r="I21" i="14" a="1"/>
  <c r="I21" i="14" s="1"/>
  <c r="I22" i="14" a="1"/>
  <c r="I22" i="14" s="1"/>
  <c r="I23" i="14" a="1"/>
  <c r="I23" i="14" s="1"/>
  <c r="I25" i="14" a="1"/>
  <c r="I25" i="14" s="1"/>
  <c r="I26" i="14" a="1"/>
  <c r="I26" i="14" s="1"/>
  <c r="I27" i="14" a="1"/>
  <c r="I27" i="14" s="1"/>
  <c r="I28" i="14" a="1"/>
  <c r="I28" i="14" s="1"/>
  <c r="I29" i="14" a="1"/>
  <c r="I29" i="14" s="1"/>
  <c r="I30" i="14" a="1"/>
  <c r="I30" i="14" s="1"/>
  <c r="I31" i="14" a="1"/>
  <c r="I31" i="14" s="1"/>
  <c r="I32" i="14" a="1"/>
  <c r="I32" i="14" s="1"/>
  <c r="I33" i="14" a="1"/>
  <c r="I33" i="14" s="1"/>
  <c r="I34" i="14" a="1"/>
  <c r="I34" i="14" s="1"/>
  <c r="I35" i="14" a="1"/>
  <c r="I35" i="14" s="1"/>
  <c r="I36" i="14" a="1"/>
  <c r="I36" i="14" s="1"/>
  <c r="I37" i="14" a="1"/>
  <c r="I37" i="14" s="1"/>
  <c r="I38" i="14" a="1"/>
  <c r="I38" i="14" s="1"/>
  <c r="I40" i="14" a="1"/>
  <c r="I40" i="14" s="1"/>
  <c r="I42" i="14" a="1"/>
  <c r="I42" i="14" s="1"/>
  <c r="I43" i="14" a="1"/>
  <c r="I43" i="14" s="1"/>
  <c r="I45" i="14" a="1"/>
  <c r="I45" i="14" s="1"/>
  <c r="I46" i="14" a="1"/>
  <c r="I46" i="14" s="1"/>
  <c r="I47" i="14" a="1"/>
  <c r="I47" i="14" s="1"/>
  <c r="I48" i="14" a="1"/>
  <c r="I48" i="14" s="1"/>
  <c r="I49" i="14" a="1"/>
  <c r="I49" i="14" s="1"/>
  <c r="I50" i="14" a="1"/>
  <c r="I50" i="14" s="1"/>
  <c r="I51" i="14" a="1"/>
  <c r="I51" i="14" s="1"/>
  <c r="I52" i="14" a="1"/>
  <c r="I52" i="14" s="1"/>
  <c r="I55" i="14" a="1"/>
  <c r="I55" i="14" s="1"/>
  <c r="I56" i="14" a="1"/>
  <c r="I56" i="14" s="1"/>
  <c r="I57" i="14" a="1"/>
  <c r="I57" i="14" s="1"/>
  <c r="I58" i="14" a="1"/>
  <c r="I58" i="14" s="1"/>
  <c r="I59" i="14" a="1"/>
  <c r="I59" i="14" s="1"/>
  <c r="I60" i="14" a="1"/>
  <c r="I60" i="14" s="1"/>
  <c r="I61" i="14" a="1"/>
  <c r="I61" i="14" s="1"/>
  <c r="I62" i="14" a="1"/>
  <c r="I62" i="14" s="1"/>
  <c r="I63" i="14" a="1"/>
  <c r="I63" i="14" s="1"/>
  <c r="I64" i="14" a="1"/>
  <c r="I64" i="14" s="1"/>
  <c r="I66" i="14" a="1"/>
  <c r="I66" i="14" s="1"/>
  <c r="I67" i="14" a="1"/>
  <c r="I67" i="14" s="1"/>
  <c r="I68" i="14" a="1"/>
  <c r="I68" i="14" s="1"/>
  <c r="I69" i="14" a="1"/>
  <c r="I69" i="14" s="1"/>
  <c r="I70" i="14" a="1"/>
  <c r="I70" i="14" s="1"/>
  <c r="I71" i="14" a="1"/>
  <c r="I71" i="14" s="1"/>
  <c r="I72" i="14" a="1"/>
  <c r="I72" i="14" s="1"/>
  <c r="I73" i="14" a="1"/>
  <c r="I73" i="14" s="1"/>
  <c r="I74" i="14" a="1"/>
  <c r="I74" i="14" s="1"/>
  <c r="I75" i="14" a="1"/>
  <c r="I75" i="14" s="1"/>
  <c r="I77" i="14" a="1"/>
  <c r="I77" i="14" s="1"/>
  <c r="I78" i="14" a="1"/>
  <c r="I78" i="14" s="1"/>
  <c r="I79" i="14" a="1"/>
  <c r="I79" i="14" s="1"/>
  <c r="I80" i="14" a="1"/>
  <c r="I80" i="14" s="1"/>
  <c r="I81" i="14" a="1"/>
  <c r="I81" i="14" s="1"/>
  <c r="I82" i="14" a="1"/>
  <c r="I82" i="14" s="1"/>
  <c r="I83" i="14" a="1"/>
  <c r="I83" i="14" s="1"/>
  <c r="I84" i="14" a="1"/>
  <c r="I84" i="14" s="1"/>
  <c r="I85" i="14" a="1"/>
  <c r="I85" i="14" s="1"/>
  <c r="I86" i="14" a="1"/>
  <c r="I86" i="14" s="1"/>
  <c r="I87" i="14" a="1"/>
  <c r="I87" i="14" s="1"/>
  <c r="I94" i="14" a="1"/>
  <c r="I94" i="14" s="1"/>
  <c r="I95" i="14" a="1"/>
  <c r="I95" i="14" s="1"/>
  <c r="I96" i="14" a="1"/>
  <c r="I96" i="14" s="1"/>
  <c r="I97" i="14" a="1"/>
  <c r="I97" i="14" s="1"/>
  <c r="I98" i="14" a="1"/>
  <c r="I98" i="14" s="1"/>
  <c r="I99" i="14" a="1"/>
  <c r="I99" i="14" s="1"/>
  <c r="E5" i="14" a="1"/>
  <c r="E5" i="14" s="1"/>
  <c r="E6" i="14" a="1"/>
  <c r="E6" i="14" s="1"/>
  <c r="E7" i="14" a="1"/>
  <c r="E7" i="14" s="1"/>
  <c r="E8" i="14" a="1"/>
  <c r="E8" i="14" s="1"/>
  <c r="E9" i="14" a="1"/>
  <c r="E9" i="14" s="1"/>
  <c r="E10" i="14" a="1"/>
  <c r="E10" i="14" s="1"/>
  <c r="E11" i="14" a="1"/>
  <c r="E11" i="14" s="1"/>
  <c r="E12" i="14" a="1"/>
  <c r="E12" i="14" s="1"/>
  <c r="E13" i="14" a="1"/>
  <c r="E13" i="14" s="1"/>
  <c r="E14" i="14" a="1"/>
  <c r="E14" i="14" s="1"/>
  <c r="E15" i="14" a="1"/>
  <c r="E15" i="14" s="1"/>
  <c r="E16" i="14" a="1"/>
  <c r="E16" i="14" s="1"/>
  <c r="E17" i="14" a="1"/>
  <c r="E17" i="14" s="1"/>
  <c r="E18" i="14" a="1"/>
  <c r="E18" i="14" s="1"/>
  <c r="E19" i="14" a="1"/>
  <c r="E19" i="14" s="1"/>
  <c r="E20" i="14" a="1"/>
  <c r="E20" i="14" s="1"/>
  <c r="E21" i="14" a="1"/>
  <c r="E21" i="14" s="1"/>
  <c r="E22" i="14" a="1"/>
  <c r="E22" i="14" s="1"/>
  <c r="E23" i="14" a="1"/>
  <c r="E23" i="14" s="1"/>
  <c r="E24" i="14" a="1"/>
  <c r="E24" i="14" s="1"/>
  <c r="E25" i="14" a="1"/>
  <c r="E25" i="14" s="1"/>
  <c r="E26" i="14" a="1"/>
  <c r="E26" i="14" s="1"/>
  <c r="E27" i="14" a="1"/>
  <c r="E27" i="14" s="1"/>
  <c r="E28" i="14" a="1"/>
  <c r="E28" i="14" s="1"/>
  <c r="E29" i="14" a="1"/>
  <c r="E29" i="14" s="1"/>
  <c r="E30" i="14" a="1"/>
  <c r="E30" i="14" s="1"/>
  <c r="E31" i="14" a="1"/>
  <c r="E31" i="14" s="1"/>
  <c r="E32" i="14" a="1"/>
  <c r="E32" i="14" s="1"/>
  <c r="E33" i="14" a="1"/>
  <c r="E33" i="14" s="1"/>
  <c r="E34" i="14" a="1"/>
  <c r="E34" i="14" s="1"/>
  <c r="E35" i="14" a="1"/>
  <c r="E35" i="14" s="1"/>
  <c r="E36" i="14" a="1"/>
  <c r="E36" i="14" s="1"/>
  <c r="E37" i="14" a="1"/>
  <c r="E37" i="14" s="1"/>
  <c r="E38" i="14" a="1"/>
  <c r="E38" i="14" s="1"/>
  <c r="E39" i="14" a="1"/>
  <c r="E39" i="14" s="1"/>
  <c r="E40" i="14" a="1"/>
  <c r="E40" i="14" s="1"/>
  <c r="E41" i="14" a="1"/>
  <c r="E41" i="14" s="1"/>
  <c r="E42" i="14" a="1"/>
  <c r="E42" i="14" s="1"/>
  <c r="E43" i="14" a="1"/>
  <c r="E43" i="14" s="1"/>
  <c r="E44" i="14" a="1"/>
  <c r="E44" i="14" s="1"/>
  <c r="E45" i="14" a="1"/>
  <c r="E45" i="14" s="1"/>
  <c r="E46" i="14" a="1"/>
  <c r="E46" i="14" s="1"/>
  <c r="E47" i="14" a="1"/>
  <c r="E47" i="14" s="1"/>
  <c r="E48" i="14" a="1"/>
  <c r="E48" i="14" s="1"/>
  <c r="E49" i="14" a="1"/>
  <c r="E49" i="14" s="1"/>
  <c r="E50" i="14" a="1"/>
  <c r="E50" i="14" s="1"/>
  <c r="E51" i="14" a="1"/>
  <c r="E51" i="14" s="1"/>
  <c r="E52" i="14" a="1"/>
  <c r="E52" i="14" s="1"/>
  <c r="E53" i="14" a="1"/>
  <c r="E53" i="14" s="1"/>
  <c r="E54" i="14" a="1"/>
  <c r="E54" i="14" s="1"/>
  <c r="E55" i="14" a="1"/>
  <c r="E55" i="14" s="1"/>
  <c r="E56" i="14" a="1"/>
  <c r="E56" i="14" s="1"/>
  <c r="E57" i="14" a="1"/>
  <c r="E57" i="14" s="1"/>
  <c r="E58" i="14" a="1"/>
  <c r="E58" i="14" s="1"/>
  <c r="E59" i="14" a="1"/>
  <c r="E59" i="14" s="1"/>
  <c r="E60" i="14" a="1"/>
  <c r="E60" i="14" s="1"/>
  <c r="E61" i="14" a="1"/>
  <c r="E61" i="14" s="1"/>
  <c r="E62" i="14" a="1"/>
  <c r="E62" i="14" s="1"/>
  <c r="E63" i="14" a="1"/>
  <c r="E63" i="14" s="1"/>
  <c r="E64" i="14" a="1"/>
  <c r="E64" i="14" s="1"/>
  <c r="E65" i="14" a="1"/>
  <c r="E65" i="14" s="1"/>
  <c r="E66" i="14" a="1"/>
  <c r="E66" i="14" s="1"/>
  <c r="E67" i="14" a="1"/>
  <c r="E67" i="14" s="1"/>
  <c r="E68" i="14" a="1"/>
  <c r="E68" i="14" s="1"/>
  <c r="E69" i="14" a="1"/>
  <c r="E69" i="14" s="1"/>
  <c r="E70" i="14" a="1"/>
  <c r="E70" i="14" s="1"/>
  <c r="E71" i="14" a="1"/>
  <c r="E71" i="14" s="1"/>
  <c r="E72" i="14" a="1"/>
  <c r="E72" i="14" s="1"/>
  <c r="E73" i="14" a="1"/>
  <c r="E73" i="14" s="1"/>
  <c r="E74" i="14" a="1"/>
  <c r="E74" i="14" s="1"/>
  <c r="E75" i="14" a="1"/>
  <c r="E75" i="14" s="1"/>
  <c r="E76" i="14" a="1"/>
  <c r="E76" i="14" s="1"/>
  <c r="E77" i="14" a="1"/>
  <c r="E77" i="14" s="1"/>
  <c r="E78" i="14" a="1"/>
  <c r="E78" i="14" s="1"/>
  <c r="E79" i="14" a="1"/>
  <c r="E79" i="14" s="1"/>
  <c r="E80" i="14" a="1"/>
  <c r="E80" i="14" s="1"/>
  <c r="E81" i="14" a="1"/>
  <c r="E81" i="14" s="1"/>
  <c r="E82" i="14" a="1"/>
  <c r="E82" i="14" s="1"/>
  <c r="E83" i="14" a="1"/>
  <c r="E83" i="14" s="1"/>
  <c r="E84" i="14" a="1"/>
  <c r="E84" i="14" s="1"/>
  <c r="E85" i="14" a="1"/>
  <c r="E85" i="14" s="1"/>
  <c r="E86" i="14" a="1"/>
  <c r="E86" i="14" s="1"/>
  <c r="E87" i="14" a="1"/>
  <c r="E87" i="14" s="1"/>
  <c r="E88" i="14" a="1"/>
  <c r="E88" i="14" s="1"/>
  <c r="E89" i="14" a="1"/>
  <c r="E89" i="14" s="1"/>
  <c r="E90" i="14" a="1"/>
  <c r="E90" i="14" s="1"/>
  <c r="E91" i="14" a="1"/>
  <c r="E91" i="14" s="1"/>
  <c r="E92" i="14" a="1"/>
  <c r="E92" i="14" s="1"/>
  <c r="E93" i="14" a="1"/>
  <c r="E93" i="14" s="1"/>
  <c r="E94" i="14" a="1"/>
  <c r="E94" i="14" s="1"/>
  <c r="E95" i="14" a="1"/>
  <c r="E95" i="14" s="1"/>
  <c r="E96" i="14" a="1"/>
  <c r="E96" i="14" s="1"/>
  <c r="E97" i="14" a="1"/>
  <c r="E97" i="14" s="1"/>
  <c r="E98" i="14" a="1"/>
  <c r="E98" i="14" s="1"/>
  <c r="E99" i="14" a="1"/>
  <c r="E99" i="14" s="1"/>
  <c r="A5" i="14"/>
  <c r="A6" i="14"/>
  <c r="A7" i="14"/>
  <c r="A8" i="14"/>
  <c r="A9" i="14"/>
  <c r="A10" i="14"/>
  <c r="A11" i="14"/>
  <c r="A12" i="14"/>
  <c r="A13" i="14"/>
  <c r="A14" i="14"/>
  <c r="A15" i="14"/>
  <c r="A16" i="14"/>
  <c r="A17" i="14"/>
  <c r="A18" i="14"/>
  <c r="A19" i="14"/>
  <c r="A20" i="14"/>
  <c r="A21" i="14"/>
  <c r="A22" i="14"/>
  <c r="A23" i="14"/>
  <c r="A24" i="14"/>
  <c r="A25" i="14"/>
  <c r="A26" i="14"/>
  <c r="A27" i="14"/>
  <c r="A28" i="14"/>
  <c r="A29" i="14"/>
  <c r="A30" i="14"/>
  <c r="A31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4" i="14"/>
  <c r="Y4" i="14"/>
  <c r="AJ4" i="14" s="1"/>
  <c r="Z4" i="14"/>
  <c r="AK4" i="14" s="1"/>
  <c r="AA4" i="14"/>
  <c r="AL4" i="14" s="1"/>
  <c r="AB4" i="14"/>
  <c r="AM4" i="14" s="1"/>
  <c r="AC4" i="14"/>
  <c r="AN4" i="14" s="1"/>
  <c r="AD4" i="14"/>
  <c r="AO4" i="14" s="1"/>
  <c r="AE4" i="14"/>
  <c r="AP4" i="14" s="1"/>
  <c r="AF4" i="14"/>
  <c r="AQ4" i="14" s="1"/>
  <c r="AG4" i="14"/>
  <c r="AR4" i="14" s="1"/>
  <c r="Y5" i="14"/>
  <c r="AJ5" i="14" s="1"/>
  <c r="Z5" i="14"/>
  <c r="AK5" i="14" s="1"/>
  <c r="AA5" i="14"/>
  <c r="AL5" i="14" s="1"/>
  <c r="AB5" i="14"/>
  <c r="AM5" i="14" s="1"/>
  <c r="AC5" i="14"/>
  <c r="AN5" i="14" s="1"/>
  <c r="AD5" i="14"/>
  <c r="AO5" i="14" s="1"/>
  <c r="AE5" i="14"/>
  <c r="AP5" i="14" s="1"/>
  <c r="AF5" i="14"/>
  <c r="AQ5" i="14" s="1"/>
  <c r="AG5" i="14"/>
  <c r="AR5" i="14" s="1"/>
  <c r="Y6" i="14"/>
  <c r="AJ6" i="14" s="1"/>
  <c r="Z6" i="14"/>
  <c r="AK6" i="14" s="1"/>
  <c r="AA6" i="14"/>
  <c r="AL6" i="14" s="1"/>
  <c r="AB6" i="14"/>
  <c r="AM6" i="14" s="1"/>
  <c r="AC6" i="14"/>
  <c r="AN6" i="14" s="1"/>
  <c r="AD6" i="14"/>
  <c r="AO6" i="14" s="1"/>
  <c r="AE6" i="14"/>
  <c r="AP6" i="14" s="1"/>
  <c r="AF6" i="14"/>
  <c r="AQ6" i="14" s="1"/>
  <c r="AG6" i="14"/>
  <c r="AR6" i="14" s="1"/>
  <c r="Y7" i="14"/>
  <c r="AJ7" i="14" s="1"/>
  <c r="Z7" i="14"/>
  <c r="AK7" i="14" s="1"/>
  <c r="AA7" i="14"/>
  <c r="AL7" i="14" s="1"/>
  <c r="AB7" i="14"/>
  <c r="AM7" i="14" s="1"/>
  <c r="AC7" i="14"/>
  <c r="AN7" i="14" s="1"/>
  <c r="AD7" i="14"/>
  <c r="AO7" i="14" s="1"/>
  <c r="AE7" i="14"/>
  <c r="AP7" i="14" s="1"/>
  <c r="AF7" i="14"/>
  <c r="AQ7" i="14" s="1"/>
  <c r="AG7" i="14"/>
  <c r="AR7" i="14" s="1"/>
  <c r="Y8" i="14"/>
  <c r="AJ8" i="14" s="1"/>
  <c r="Z8" i="14"/>
  <c r="AK8" i="14" s="1"/>
  <c r="AA8" i="14"/>
  <c r="AL8" i="14" s="1"/>
  <c r="AB8" i="14"/>
  <c r="AM8" i="14" s="1"/>
  <c r="AC8" i="14"/>
  <c r="AN8" i="14" s="1"/>
  <c r="AD8" i="14"/>
  <c r="AO8" i="14" s="1"/>
  <c r="AE8" i="14"/>
  <c r="AP8" i="14" s="1"/>
  <c r="AF8" i="14"/>
  <c r="AQ8" i="14" s="1"/>
  <c r="AG8" i="14"/>
  <c r="AR8" i="14" s="1"/>
  <c r="Y9" i="14"/>
  <c r="AJ9" i="14" s="1"/>
  <c r="Z9" i="14"/>
  <c r="AK9" i="14" s="1"/>
  <c r="AA9" i="14"/>
  <c r="AL9" i="14" s="1"/>
  <c r="AB9" i="14"/>
  <c r="AM9" i="14" s="1"/>
  <c r="AC9" i="14"/>
  <c r="AN9" i="14" s="1"/>
  <c r="AD9" i="14"/>
  <c r="AO9" i="14" s="1"/>
  <c r="AE9" i="14"/>
  <c r="AP9" i="14" s="1"/>
  <c r="AF9" i="14"/>
  <c r="AQ9" i="14" s="1"/>
  <c r="AG9" i="14"/>
  <c r="AR9" i="14" s="1"/>
  <c r="Y10" i="14"/>
  <c r="AJ10" i="14" s="1"/>
  <c r="Z10" i="14"/>
  <c r="AK10" i="14" s="1"/>
  <c r="AA10" i="14"/>
  <c r="AL10" i="14" s="1"/>
  <c r="AB10" i="14"/>
  <c r="AM10" i="14" s="1"/>
  <c r="AC10" i="14"/>
  <c r="AN10" i="14" s="1"/>
  <c r="AD10" i="14"/>
  <c r="AO10" i="14" s="1"/>
  <c r="AE10" i="14"/>
  <c r="AP10" i="14" s="1"/>
  <c r="AF10" i="14"/>
  <c r="AQ10" i="14" s="1"/>
  <c r="AG10" i="14"/>
  <c r="AR10" i="14" s="1"/>
  <c r="X5" i="14"/>
  <c r="AI5" i="14" s="1"/>
  <c r="X6" i="14"/>
  <c r="AI6" i="14" s="1"/>
  <c r="X7" i="14"/>
  <c r="AI7" i="14" s="1"/>
  <c r="X8" i="14"/>
  <c r="AI8" i="14" s="1"/>
  <c r="X9" i="14"/>
  <c r="AI9" i="14" s="1"/>
  <c r="X10" i="14"/>
  <c r="AI10" i="14" s="1"/>
  <c r="X4" i="14"/>
  <c r="AI4" i="14" s="1"/>
  <c r="M5" i="14"/>
  <c r="N5" i="14"/>
  <c r="M6" i="14"/>
  <c r="N6" i="14"/>
  <c r="M7" i="14"/>
  <c r="N7" i="14"/>
  <c r="M8" i="14"/>
  <c r="N8" i="14"/>
  <c r="M9" i="14"/>
  <c r="N9" i="14"/>
  <c r="M10" i="14"/>
  <c r="N10" i="14"/>
  <c r="M11" i="14"/>
  <c r="N11" i="14"/>
  <c r="M12" i="14"/>
  <c r="N12" i="14"/>
  <c r="M13" i="14"/>
  <c r="N13" i="14"/>
  <c r="M14" i="14"/>
  <c r="N14" i="14"/>
  <c r="M15" i="14"/>
  <c r="N15" i="14"/>
  <c r="M16" i="14"/>
  <c r="N16" i="14"/>
  <c r="M17" i="14"/>
  <c r="N17" i="14"/>
  <c r="M18" i="14"/>
  <c r="N18" i="14"/>
  <c r="M19" i="14"/>
  <c r="N19" i="14"/>
  <c r="M20" i="14"/>
  <c r="N20" i="14"/>
  <c r="M21" i="14"/>
  <c r="N21" i="14"/>
  <c r="M22" i="14"/>
  <c r="N22" i="14"/>
  <c r="M23" i="14"/>
  <c r="N23" i="14"/>
  <c r="M24" i="14"/>
  <c r="N24" i="14"/>
  <c r="M25" i="14"/>
  <c r="N25" i="14"/>
  <c r="M26" i="14"/>
  <c r="N26" i="14"/>
  <c r="M27" i="14"/>
  <c r="N27" i="14"/>
  <c r="M28" i="14"/>
  <c r="N28" i="14"/>
  <c r="M29" i="14"/>
  <c r="N29" i="14"/>
  <c r="M30" i="14"/>
  <c r="N30" i="14"/>
  <c r="M31" i="14"/>
  <c r="N31" i="14"/>
  <c r="M32" i="14"/>
  <c r="N32" i="14"/>
  <c r="M33" i="14"/>
  <c r="N33" i="14"/>
  <c r="M34" i="14"/>
  <c r="N34" i="14"/>
  <c r="M35" i="14"/>
  <c r="N35" i="14"/>
  <c r="M36" i="14"/>
  <c r="N36" i="14"/>
  <c r="M37" i="14"/>
  <c r="N37" i="14"/>
  <c r="M38" i="14"/>
  <c r="N38" i="14"/>
  <c r="M39" i="14"/>
  <c r="N39" i="14"/>
  <c r="M40" i="14"/>
  <c r="N40" i="14"/>
  <c r="M41" i="14"/>
  <c r="N41" i="14"/>
  <c r="M42" i="14"/>
  <c r="N42" i="14"/>
  <c r="M43" i="14"/>
  <c r="N43" i="14"/>
  <c r="M44" i="14"/>
  <c r="N44" i="14"/>
  <c r="M45" i="14"/>
  <c r="N45" i="14"/>
  <c r="M46" i="14"/>
  <c r="N46" i="14"/>
  <c r="M47" i="14"/>
  <c r="N47" i="14"/>
  <c r="M48" i="14"/>
  <c r="N48" i="14"/>
  <c r="M49" i="14"/>
  <c r="N49" i="14"/>
  <c r="M50" i="14"/>
  <c r="N50" i="14"/>
  <c r="M51" i="14"/>
  <c r="N51" i="14"/>
  <c r="M52" i="14"/>
  <c r="N52" i="14"/>
  <c r="M53" i="14"/>
  <c r="N53" i="14"/>
  <c r="M54" i="14"/>
  <c r="N54" i="14"/>
  <c r="M55" i="14"/>
  <c r="N55" i="14"/>
  <c r="M56" i="14"/>
  <c r="N56" i="14"/>
  <c r="M57" i="14"/>
  <c r="N57" i="14"/>
  <c r="M58" i="14"/>
  <c r="N58" i="14"/>
  <c r="M59" i="14"/>
  <c r="N59" i="14"/>
  <c r="M60" i="14"/>
  <c r="N60" i="14"/>
  <c r="M61" i="14"/>
  <c r="N61" i="14"/>
  <c r="M62" i="14"/>
  <c r="N62" i="14"/>
  <c r="M63" i="14"/>
  <c r="N63" i="14"/>
  <c r="M64" i="14"/>
  <c r="N64" i="14"/>
  <c r="M65" i="14"/>
  <c r="N65" i="14"/>
  <c r="M66" i="14"/>
  <c r="N66" i="14"/>
  <c r="M67" i="14"/>
  <c r="N67" i="14"/>
  <c r="M68" i="14"/>
  <c r="N68" i="14"/>
  <c r="M69" i="14"/>
  <c r="N69" i="14"/>
  <c r="M70" i="14"/>
  <c r="N70" i="14"/>
  <c r="M71" i="14"/>
  <c r="N71" i="14"/>
  <c r="M72" i="14"/>
  <c r="N72" i="14"/>
  <c r="M73" i="14"/>
  <c r="N73" i="14"/>
  <c r="M74" i="14"/>
  <c r="N74" i="14"/>
  <c r="M75" i="14"/>
  <c r="N75" i="14"/>
  <c r="M76" i="14"/>
  <c r="N76" i="14"/>
  <c r="M77" i="14"/>
  <c r="N77" i="14"/>
  <c r="M78" i="14"/>
  <c r="N78" i="14"/>
  <c r="M79" i="14"/>
  <c r="N79" i="14"/>
  <c r="M80" i="14"/>
  <c r="N80" i="14"/>
  <c r="M81" i="14"/>
  <c r="N81" i="14"/>
  <c r="M82" i="14"/>
  <c r="N82" i="14"/>
  <c r="M83" i="14"/>
  <c r="N83" i="14"/>
  <c r="M84" i="14"/>
  <c r="N84" i="14"/>
  <c r="M85" i="14"/>
  <c r="N85" i="14"/>
  <c r="M86" i="14"/>
  <c r="N86" i="14"/>
  <c r="M87" i="14"/>
  <c r="N87" i="14"/>
  <c r="M88" i="14"/>
  <c r="N88" i="14"/>
  <c r="M89" i="14"/>
  <c r="N89" i="14"/>
  <c r="M90" i="14"/>
  <c r="N90" i="14"/>
  <c r="M91" i="14"/>
  <c r="N91" i="14"/>
  <c r="M92" i="14"/>
  <c r="R92" i="14" s="1"/>
  <c r="S92" i="14" s="1"/>
  <c r="N92" i="14"/>
  <c r="M93" i="14"/>
  <c r="R93" i="14" s="1"/>
  <c r="S93" i="14" s="1"/>
  <c r="N93" i="14"/>
  <c r="M94" i="14"/>
  <c r="R94" i="14" s="1"/>
  <c r="S94" i="14" s="1"/>
  <c r="N94" i="14"/>
  <c r="M95" i="14"/>
  <c r="R95" i="14" s="1"/>
  <c r="S95" i="14" s="1"/>
  <c r="N95" i="14"/>
  <c r="M96" i="14"/>
  <c r="R96" i="14" s="1"/>
  <c r="S96" i="14" s="1"/>
  <c r="N96" i="14"/>
  <c r="M97" i="14"/>
  <c r="R97" i="14" s="1"/>
  <c r="S97" i="14" s="1"/>
  <c r="N97" i="14"/>
  <c r="M98" i="14"/>
  <c r="R98" i="14" s="1"/>
  <c r="S98" i="14" s="1"/>
  <c r="N98" i="14"/>
  <c r="M99" i="14"/>
  <c r="N99" i="14"/>
  <c r="N4" i="14"/>
  <c r="M4" i="14"/>
  <c r="F103" i="15"/>
  <c r="F104" i="15" s="1"/>
  <c r="O99" i="15"/>
  <c r="M99" i="15"/>
  <c r="L99" i="15"/>
  <c r="J99" i="15"/>
  <c r="I99" i="15" a="1"/>
  <c r="I99" i="15" s="1"/>
  <c r="H99" i="15" a="1"/>
  <c r="H99" i="15" s="1"/>
  <c r="G99" i="15" a="1"/>
  <c r="G99" i="15" s="1"/>
  <c r="E99" i="15" a="1"/>
  <c r="E99" i="15" s="1"/>
  <c r="A99" i="15"/>
  <c r="O98" i="15"/>
  <c r="M98" i="15"/>
  <c r="L98" i="15"/>
  <c r="J98" i="15"/>
  <c r="I98" i="15" a="1"/>
  <c r="I98" i="15" s="1"/>
  <c r="H98" i="15" a="1"/>
  <c r="H98" i="15" s="1"/>
  <c r="G98" i="15" a="1"/>
  <c r="G98" i="15" s="1"/>
  <c r="E98" i="15" a="1"/>
  <c r="E98" i="15" s="1"/>
  <c r="A98" i="15"/>
  <c r="O97" i="15"/>
  <c r="M97" i="15"/>
  <c r="L97" i="15"/>
  <c r="J97" i="15"/>
  <c r="I97" i="15" a="1"/>
  <c r="I97" i="15" s="1"/>
  <c r="H97" i="15" a="1"/>
  <c r="H97" i="15" s="1"/>
  <c r="G97" i="15" a="1"/>
  <c r="G97" i="15" s="1"/>
  <c r="E97" i="15" a="1"/>
  <c r="E97" i="15" s="1"/>
  <c r="A97" i="15"/>
  <c r="O96" i="15"/>
  <c r="M96" i="15"/>
  <c r="L96" i="15"/>
  <c r="J96" i="15"/>
  <c r="I96" i="15" a="1"/>
  <c r="I96" i="15" s="1"/>
  <c r="H96" i="15" a="1"/>
  <c r="H96" i="15" s="1"/>
  <c r="G96" i="15" a="1"/>
  <c r="G96" i="15" s="1"/>
  <c r="E96" i="15" a="1"/>
  <c r="E96" i="15" s="1"/>
  <c r="A96" i="15"/>
  <c r="O95" i="15"/>
  <c r="M95" i="15"/>
  <c r="L95" i="15"/>
  <c r="J95" i="15"/>
  <c r="I95" i="15" a="1"/>
  <c r="I95" i="15" s="1"/>
  <c r="H95" i="15" a="1"/>
  <c r="H95" i="15" s="1"/>
  <c r="G95" i="15" a="1"/>
  <c r="G95" i="15" s="1"/>
  <c r="E95" i="15" a="1"/>
  <c r="E95" i="15" s="1"/>
  <c r="A95" i="15"/>
  <c r="O94" i="15"/>
  <c r="M94" i="15"/>
  <c r="L94" i="15"/>
  <c r="J94" i="15"/>
  <c r="I94" i="15" a="1"/>
  <c r="I94" i="15" s="1"/>
  <c r="H94" i="15" a="1"/>
  <c r="H94" i="15" s="1"/>
  <c r="G94" i="15" a="1"/>
  <c r="G94" i="15" s="1"/>
  <c r="E94" i="15" a="1"/>
  <c r="E94" i="15" s="1"/>
  <c r="A94" i="15"/>
  <c r="O93" i="15"/>
  <c r="L93" i="15"/>
  <c r="J93" i="15"/>
  <c r="I93" i="15" a="1"/>
  <c r="I93" i="15" s="1"/>
  <c r="H93" i="15" a="1"/>
  <c r="H93" i="15" s="1"/>
  <c r="G93" i="15" a="1"/>
  <c r="G93" i="15" s="1"/>
  <c r="E93" i="15" a="1"/>
  <c r="E93" i="15" s="1"/>
  <c r="A93" i="15"/>
  <c r="O92" i="15"/>
  <c r="L92" i="15"/>
  <c r="J92" i="15"/>
  <c r="I92" i="15" a="1"/>
  <c r="I92" i="15" s="1"/>
  <c r="H92" i="15" a="1"/>
  <c r="H92" i="15" s="1"/>
  <c r="G92" i="15" a="1"/>
  <c r="G92" i="15" s="1"/>
  <c r="E92" i="15" a="1"/>
  <c r="E92" i="15" s="1"/>
  <c r="A92" i="15"/>
  <c r="O91" i="15"/>
  <c r="L91" i="15"/>
  <c r="J91" i="15"/>
  <c r="I91" i="15" a="1"/>
  <c r="I91" i="15" s="1"/>
  <c r="H91" i="15" a="1"/>
  <c r="H91" i="15" s="1"/>
  <c r="G91" i="15" a="1"/>
  <c r="G91" i="15" s="1"/>
  <c r="E91" i="15" a="1"/>
  <c r="E91" i="15" s="1"/>
  <c r="A91" i="15"/>
  <c r="O90" i="15"/>
  <c r="L90" i="15"/>
  <c r="Q90" i="15" s="1"/>
  <c r="J90" i="15"/>
  <c r="I90" i="15" a="1"/>
  <c r="I90" i="15" s="1"/>
  <c r="H90" i="15" a="1"/>
  <c r="H90" i="15" s="1"/>
  <c r="G90" i="15" a="1"/>
  <c r="G90" i="15" s="1"/>
  <c r="E90" i="15" a="1"/>
  <c r="E90" i="15" s="1"/>
  <c r="A90" i="15"/>
  <c r="L89" i="15"/>
  <c r="J89" i="15"/>
  <c r="I89" i="15" a="1"/>
  <c r="I89" i="15" s="1"/>
  <c r="H89" i="15" a="1"/>
  <c r="H89" i="15" s="1"/>
  <c r="G89" i="15" a="1"/>
  <c r="G89" i="15" s="1"/>
  <c r="E89" i="15" a="1"/>
  <c r="E89" i="15" s="1"/>
  <c r="A89" i="15"/>
  <c r="M88" i="15"/>
  <c r="L88" i="15"/>
  <c r="J88" i="15"/>
  <c r="I88" i="15" a="1"/>
  <c r="I88" i="15" s="1"/>
  <c r="H88" i="15" a="1"/>
  <c r="H88" i="15" s="1"/>
  <c r="G88" i="15" a="1"/>
  <c r="G88" i="15" s="1"/>
  <c r="E88" i="15" a="1"/>
  <c r="E88" i="15" s="1"/>
  <c r="A88" i="15"/>
  <c r="M87" i="15"/>
  <c r="L87" i="15"/>
  <c r="J87" i="15"/>
  <c r="I87" i="15" a="1"/>
  <c r="I87" i="15" s="1"/>
  <c r="H87" i="15" a="1"/>
  <c r="H87" i="15" s="1"/>
  <c r="G87" i="15" a="1"/>
  <c r="G87" i="15" s="1"/>
  <c r="E87" i="15" a="1"/>
  <c r="E87" i="15" s="1"/>
  <c r="A87" i="15"/>
  <c r="M86" i="15"/>
  <c r="L86" i="15"/>
  <c r="J86" i="15"/>
  <c r="I86" i="15" a="1"/>
  <c r="I86" i="15" s="1"/>
  <c r="H86" i="15" a="1"/>
  <c r="H86" i="15" s="1"/>
  <c r="E86" i="15" a="1"/>
  <c r="E86" i="15" s="1"/>
  <c r="A86" i="15"/>
  <c r="M85" i="15"/>
  <c r="L85" i="15"/>
  <c r="J85" i="15"/>
  <c r="I85" i="15" a="1"/>
  <c r="I85" i="15" s="1"/>
  <c r="H85" i="15" a="1"/>
  <c r="H85" i="15" s="1"/>
  <c r="G85" i="15" a="1"/>
  <c r="G85" i="15" s="1"/>
  <c r="E85" i="15" a="1"/>
  <c r="E85" i="15" s="1"/>
  <c r="A85" i="15"/>
  <c r="M84" i="15"/>
  <c r="L84" i="15"/>
  <c r="J84" i="15"/>
  <c r="I84" i="15" a="1"/>
  <c r="I84" i="15" s="1"/>
  <c r="H84" i="15" a="1"/>
  <c r="H84" i="15" s="1"/>
  <c r="G84" i="15" a="1"/>
  <c r="G84" i="15" s="1"/>
  <c r="E84" i="15" a="1"/>
  <c r="E84" i="15" s="1"/>
  <c r="A84" i="15"/>
  <c r="M83" i="15"/>
  <c r="L83" i="15"/>
  <c r="J83" i="15"/>
  <c r="I83" i="15" a="1"/>
  <c r="I83" i="15" s="1"/>
  <c r="H83" i="15" a="1"/>
  <c r="H83" i="15" s="1"/>
  <c r="G83" i="15" a="1"/>
  <c r="G83" i="15" s="1"/>
  <c r="E83" i="15" a="1"/>
  <c r="E83" i="15" s="1"/>
  <c r="A83" i="15"/>
  <c r="M82" i="15"/>
  <c r="L82" i="15"/>
  <c r="J82" i="15"/>
  <c r="I82" i="15" a="1"/>
  <c r="I82" i="15" s="1"/>
  <c r="H82" i="15" a="1"/>
  <c r="H82" i="15" s="1"/>
  <c r="G82" i="15" a="1"/>
  <c r="G82" i="15" s="1"/>
  <c r="E82" i="15" a="1"/>
  <c r="E82" i="15" s="1"/>
  <c r="A82" i="15"/>
  <c r="M81" i="15"/>
  <c r="L81" i="15"/>
  <c r="J81" i="15"/>
  <c r="I81" i="15" a="1"/>
  <c r="I81" i="15" s="1"/>
  <c r="H81" i="15" a="1"/>
  <c r="H81" i="15" s="1"/>
  <c r="G81" i="15" a="1"/>
  <c r="G81" i="15" s="1"/>
  <c r="E81" i="15" a="1"/>
  <c r="E81" i="15" s="1"/>
  <c r="A81" i="15"/>
  <c r="M80" i="15"/>
  <c r="L80" i="15"/>
  <c r="J80" i="15"/>
  <c r="I80" i="15" a="1"/>
  <c r="I80" i="15" s="1"/>
  <c r="H80" i="15" a="1"/>
  <c r="H80" i="15" s="1"/>
  <c r="G80" i="15" a="1"/>
  <c r="G80" i="15" s="1"/>
  <c r="E80" i="15" a="1"/>
  <c r="E80" i="15" s="1"/>
  <c r="A80" i="15"/>
  <c r="M79" i="15"/>
  <c r="L79" i="15"/>
  <c r="J79" i="15"/>
  <c r="I79" i="15" a="1"/>
  <c r="I79" i="15" s="1"/>
  <c r="H79" i="15" a="1"/>
  <c r="H79" i="15" s="1"/>
  <c r="G79" i="15" a="1"/>
  <c r="G79" i="15" s="1"/>
  <c r="E79" i="15" a="1"/>
  <c r="E79" i="15" s="1"/>
  <c r="A79" i="15"/>
  <c r="O78" i="15"/>
  <c r="M78" i="15"/>
  <c r="L78" i="15"/>
  <c r="J78" i="15"/>
  <c r="I78" i="15" a="1"/>
  <c r="I78" i="15" s="1"/>
  <c r="H78" i="15" a="1"/>
  <c r="H78" i="15" s="1"/>
  <c r="G78" i="15" a="1"/>
  <c r="G78" i="15" s="1"/>
  <c r="E78" i="15" a="1"/>
  <c r="E78" i="15" s="1"/>
  <c r="A78" i="15"/>
  <c r="M77" i="15"/>
  <c r="L77" i="15"/>
  <c r="J77" i="15"/>
  <c r="I77" i="15" a="1"/>
  <c r="I77" i="15" s="1"/>
  <c r="H77" i="15" a="1"/>
  <c r="H77" i="15" s="1"/>
  <c r="G77" i="15" a="1"/>
  <c r="G77" i="15" s="1"/>
  <c r="E77" i="15" a="1"/>
  <c r="E77" i="15" s="1"/>
  <c r="A77" i="15"/>
  <c r="M76" i="15"/>
  <c r="L76" i="15"/>
  <c r="J76" i="15"/>
  <c r="I76" i="15" a="1"/>
  <c r="I76" i="15" s="1"/>
  <c r="H76" i="15" a="1"/>
  <c r="H76" i="15" s="1"/>
  <c r="G76" i="15" a="1"/>
  <c r="G76" i="15" s="1"/>
  <c r="E76" i="15" a="1"/>
  <c r="E76" i="15" s="1"/>
  <c r="A76" i="15"/>
  <c r="M75" i="15"/>
  <c r="L75" i="15"/>
  <c r="J75" i="15"/>
  <c r="I75" i="15" a="1"/>
  <c r="I75" i="15" s="1"/>
  <c r="H75" i="15" a="1"/>
  <c r="H75" i="15" s="1"/>
  <c r="G75" i="15" a="1"/>
  <c r="G75" i="15" s="1"/>
  <c r="E75" i="15" a="1"/>
  <c r="E75" i="15" s="1"/>
  <c r="A75" i="15"/>
  <c r="O74" i="15"/>
  <c r="M74" i="15"/>
  <c r="L74" i="15"/>
  <c r="J74" i="15"/>
  <c r="I74" i="15" a="1"/>
  <c r="I74" i="15" s="1"/>
  <c r="H74" i="15" a="1"/>
  <c r="H74" i="15" s="1"/>
  <c r="G74" i="15" a="1"/>
  <c r="G74" i="15" s="1"/>
  <c r="E74" i="15" a="1"/>
  <c r="E74" i="15" s="1"/>
  <c r="A74" i="15"/>
  <c r="M73" i="15"/>
  <c r="L73" i="15"/>
  <c r="J73" i="15"/>
  <c r="I73" i="15" a="1"/>
  <c r="I73" i="15" s="1"/>
  <c r="H73" i="15" a="1"/>
  <c r="H73" i="15" s="1"/>
  <c r="G73" i="15" a="1"/>
  <c r="G73" i="15" s="1"/>
  <c r="E73" i="15" a="1"/>
  <c r="E73" i="15" s="1"/>
  <c r="A73" i="15"/>
  <c r="M72" i="15"/>
  <c r="L72" i="15"/>
  <c r="J72" i="15"/>
  <c r="I72" i="15" a="1"/>
  <c r="I72" i="15" s="1"/>
  <c r="H72" i="15" a="1"/>
  <c r="H72" i="15" s="1"/>
  <c r="G72" i="15" a="1"/>
  <c r="G72" i="15" s="1"/>
  <c r="E72" i="15" a="1"/>
  <c r="E72" i="15" s="1"/>
  <c r="A72" i="15"/>
  <c r="M71" i="15"/>
  <c r="L71" i="15"/>
  <c r="J71" i="15"/>
  <c r="I71" i="15" a="1"/>
  <c r="I71" i="15" s="1"/>
  <c r="H71" i="15" a="1"/>
  <c r="H71" i="15" s="1"/>
  <c r="G71" i="15" a="1"/>
  <c r="G71" i="15" s="1"/>
  <c r="E71" i="15" a="1"/>
  <c r="E71" i="15" s="1"/>
  <c r="A71" i="15"/>
  <c r="M70" i="15"/>
  <c r="L70" i="15"/>
  <c r="J70" i="15"/>
  <c r="I70" i="15" a="1"/>
  <c r="I70" i="15" s="1"/>
  <c r="H70" i="15" a="1"/>
  <c r="H70" i="15" s="1"/>
  <c r="G70" i="15" a="1"/>
  <c r="G70" i="15" s="1"/>
  <c r="E70" i="15" a="1"/>
  <c r="E70" i="15" s="1"/>
  <c r="A70" i="15"/>
  <c r="M69" i="15"/>
  <c r="L69" i="15"/>
  <c r="J69" i="15"/>
  <c r="I69" i="15" a="1"/>
  <c r="I69" i="15" s="1"/>
  <c r="H69" i="15" a="1"/>
  <c r="H69" i="15" s="1"/>
  <c r="G69" i="15" a="1"/>
  <c r="G69" i="15" s="1"/>
  <c r="E69" i="15" a="1"/>
  <c r="E69" i="15" s="1"/>
  <c r="A69" i="15"/>
  <c r="O68" i="15"/>
  <c r="M68" i="15"/>
  <c r="L68" i="15"/>
  <c r="J68" i="15"/>
  <c r="I68" i="15" a="1"/>
  <c r="I68" i="15" s="1"/>
  <c r="H68" i="15" a="1"/>
  <c r="H68" i="15" s="1"/>
  <c r="G68" i="15" a="1"/>
  <c r="G68" i="15" s="1"/>
  <c r="E68" i="15" a="1"/>
  <c r="E68" i="15" s="1"/>
  <c r="A68" i="15"/>
  <c r="M67" i="15"/>
  <c r="L67" i="15"/>
  <c r="J67" i="15"/>
  <c r="I67" i="15" a="1"/>
  <c r="I67" i="15" s="1"/>
  <c r="H67" i="15" a="1"/>
  <c r="H67" i="15" s="1"/>
  <c r="G67" i="15" a="1"/>
  <c r="G67" i="15" s="1"/>
  <c r="E67" i="15" a="1"/>
  <c r="E67" i="15" s="1"/>
  <c r="A67" i="15"/>
  <c r="M66" i="15"/>
  <c r="L66" i="15"/>
  <c r="J66" i="15"/>
  <c r="I66" i="15" a="1"/>
  <c r="I66" i="15" s="1"/>
  <c r="H66" i="15" a="1"/>
  <c r="H66" i="15" s="1"/>
  <c r="G66" i="15" a="1"/>
  <c r="G66" i="15" s="1"/>
  <c r="E66" i="15" a="1"/>
  <c r="E66" i="15" s="1"/>
  <c r="A66" i="15"/>
  <c r="M65" i="15"/>
  <c r="L65" i="15"/>
  <c r="J65" i="15"/>
  <c r="I65" i="15" a="1"/>
  <c r="I65" i="15" s="1"/>
  <c r="H65" i="15" a="1"/>
  <c r="H65" i="15" s="1"/>
  <c r="G65" i="15" a="1"/>
  <c r="G65" i="15" s="1"/>
  <c r="E65" i="15" a="1"/>
  <c r="E65" i="15" s="1"/>
  <c r="A65" i="15"/>
  <c r="M64" i="15"/>
  <c r="L64" i="15"/>
  <c r="J64" i="15"/>
  <c r="I64" i="15" a="1"/>
  <c r="I64" i="15" s="1"/>
  <c r="H64" i="15" a="1"/>
  <c r="H64" i="15" s="1"/>
  <c r="G64" i="15" a="1"/>
  <c r="G64" i="15" s="1"/>
  <c r="E64" i="15" a="1"/>
  <c r="E64" i="15" s="1"/>
  <c r="A64" i="15"/>
  <c r="M63" i="15"/>
  <c r="L63" i="15"/>
  <c r="J63" i="15"/>
  <c r="I63" i="15" a="1"/>
  <c r="I63" i="15" s="1"/>
  <c r="H63" i="15" a="1"/>
  <c r="H63" i="15" s="1"/>
  <c r="G63" i="15" a="1"/>
  <c r="G63" i="15" s="1"/>
  <c r="E63" i="15" a="1"/>
  <c r="E63" i="15" s="1"/>
  <c r="A63" i="15"/>
  <c r="M62" i="15"/>
  <c r="L62" i="15"/>
  <c r="J62" i="15"/>
  <c r="I62" i="15" a="1"/>
  <c r="I62" i="15" s="1"/>
  <c r="H62" i="15" a="1"/>
  <c r="H62" i="15" s="1"/>
  <c r="G62" i="15" a="1"/>
  <c r="G62" i="15" s="1"/>
  <c r="E62" i="15" a="1"/>
  <c r="E62" i="15" s="1"/>
  <c r="A62" i="15"/>
  <c r="M61" i="15"/>
  <c r="L61" i="15"/>
  <c r="J61" i="15"/>
  <c r="I61" i="15" a="1"/>
  <c r="I61" i="15" s="1"/>
  <c r="H61" i="15" a="1"/>
  <c r="H61" i="15" s="1"/>
  <c r="G61" i="15" a="1"/>
  <c r="G61" i="15" s="1"/>
  <c r="E61" i="15" a="1"/>
  <c r="E61" i="15" s="1"/>
  <c r="A61" i="15"/>
  <c r="M60" i="15"/>
  <c r="L60" i="15"/>
  <c r="J60" i="15"/>
  <c r="I60" i="15" a="1"/>
  <c r="I60" i="15" s="1"/>
  <c r="H60" i="15" a="1"/>
  <c r="H60" i="15" s="1"/>
  <c r="G60" i="15" a="1"/>
  <c r="G60" i="15" s="1"/>
  <c r="E60" i="15" a="1"/>
  <c r="E60" i="15" s="1"/>
  <c r="A60" i="15"/>
  <c r="M59" i="15"/>
  <c r="L59" i="15"/>
  <c r="J59" i="15"/>
  <c r="I59" i="15" a="1"/>
  <c r="I59" i="15" s="1"/>
  <c r="H59" i="15" a="1"/>
  <c r="H59" i="15" s="1"/>
  <c r="G59" i="15" a="1"/>
  <c r="G59" i="15" s="1"/>
  <c r="E59" i="15" a="1"/>
  <c r="E59" i="15" s="1"/>
  <c r="A59" i="15"/>
  <c r="M58" i="15"/>
  <c r="L58" i="15"/>
  <c r="J58" i="15"/>
  <c r="I58" i="15" a="1"/>
  <c r="I58" i="15" s="1"/>
  <c r="H58" i="15" a="1"/>
  <c r="H58" i="15" s="1"/>
  <c r="G58" i="15" a="1"/>
  <c r="G58" i="15" s="1"/>
  <c r="E58" i="15" a="1"/>
  <c r="E58" i="15" s="1"/>
  <c r="A58" i="15"/>
  <c r="O57" i="15"/>
  <c r="M57" i="15"/>
  <c r="L57" i="15"/>
  <c r="J57" i="15"/>
  <c r="I57" i="15" a="1"/>
  <c r="I57" i="15" s="1"/>
  <c r="H57" i="15" a="1"/>
  <c r="H57" i="15" s="1"/>
  <c r="G57" i="15" a="1"/>
  <c r="G57" i="15" s="1"/>
  <c r="E57" i="15" a="1"/>
  <c r="E57" i="15" s="1"/>
  <c r="A57" i="15"/>
  <c r="M56" i="15"/>
  <c r="L56" i="15"/>
  <c r="J56" i="15"/>
  <c r="I56" i="15" a="1"/>
  <c r="I56" i="15" s="1"/>
  <c r="H56" i="15" a="1"/>
  <c r="H56" i="15" s="1"/>
  <c r="G56" i="15" a="1"/>
  <c r="G56" i="15" s="1"/>
  <c r="E56" i="15" a="1"/>
  <c r="E56" i="15" s="1"/>
  <c r="A56" i="15"/>
  <c r="M55" i="15"/>
  <c r="L55" i="15"/>
  <c r="J55" i="15"/>
  <c r="I55" i="15" a="1"/>
  <c r="I55" i="15" s="1"/>
  <c r="H55" i="15" a="1"/>
  <c r="H55" i="15" s="1"/>
  <c r="E55" i="15" a="1"/>
  <c r="E55" i="15" s="1"/>
  <c r="A55" i="15"/>
  <c r="L54" i="15"/>
  <c r="J54" i="15"/>
  <c r="I54" i="15" a="1"/>
  <c r="I54" i="15" s="1"/>
  <c r="H54" i="15" a="1"/>
  <c r="H54" i="15" s="1"/>
  <c r="G54" i="15" a="1"/>
  <c r="G54" i="15" s="1"/>
  <c r="E54" i="15" a="1"/>
  <c r="E54" i="15" s="1"/>
  <c r="A54" i="15"/>
  <c r="L53" i="15"/>
  <c r="J53" i="15"/>
  <c r="I53" i="15" a="1"/>
  <c r="I53" i="15" s="1"/>
  <c r="H53" i="15" a="1"/>
  <c r="H53" i="15" s="1"/>
  <c r="G53" i="15" a="1"/>
  <c r="G53" i="15" s="1"/>
  <c r="E53" i="15" a="1"/>
  <c r="E53" i="15" s="1"/>
  <c r="A53" i="15"/>
  <c r="L52" i="15"/>
  <c r="J52" i="15"/>
  <c r="I52" i="15" a="1"/>
  <c r="I52" i="15" s="1"/>
  <c r="H52" i="15" a="1"/>
  <c r="H52" i="15" s="1"/>
  <c r="G52" i="15" a="1"/>
  <c r="G52" i="15" s="1"/>
  <c r="E52" i="15" a="1"/>
  <c r="E52" i="15" s="1"/>
  <c r="A52" i="15"/>
  <c r="M51" i="15"/>
  <c r="L51" i="15"/>
  <c r="J51" i="15"/>
  <c r="I51" i="15" a="1"/>
  <c r="I51" i="15" s="1"/>
  <c r="H51" i="15" a="1"/>
  <c r="H51" i="15" s="1"/>
  <c r="G51" i="15" a="1"/>
  <c r="G51" i="15" s="1"/>
  <c r="E51" i="15" a="1"/>
  <c r="E51" i="15" s="1"/>
  <c r="A51" i="15"/>
  <c r="M50" i="15"/>
  <c r="L50" i="15"/>
  <c r="J50" i="15"/>
  <c r="I50" i="15" a="1"/>
  <c r="I50" i="15" s="1"/>
  <c r="H50" i="15" a="1"/>
  <c r="H50" i="15" s="1"/>
  <c r="G50" i="15" a="1"/>
  <c r="G50" i="15" s="1"/>
  <c r="E50" i="15" a="1"/>
  <c r="E50" i="15" s="1"/>
  <c r="A50" i="15"/>
  <c r="M49" i="15"/>
  <c r="L49" i="15"/>
  <c r="J49" i="15"/>
  <c r="I49" i="15" a="1"/>
  <c r="I49" i="15" s="1"/>
  <c r="H49" i="15" a="1"/>
  <c r="H49" i="15" s="1"/>
  <c r="G49" i="15" a="1"/>
  <c r="G49" i="15" s="1"/>
  <c r="E49" i="15" a="1"/>
  <c r="E49" i="15" s="1"/>
  <c r="A49" i="15"/>
  <c r="M48" i="15"/>
  <c r="L48" i="15"/>
  <c r="J48" i="15"/>
  <c r="I48" i="15" a="1"/>
  <c r="I48" i="15" s="1"/>
  <c r="H48" i="15" a="1"/>
  <c r="H48" i="15" s="1"/>
  <c r="G48" i="15" a="1"/>
  <c r="G48" i="15" s="1"/>
  <c r="E48" i="15" a="1"/>
  <c r="E48" i="15" s="1"/>
  <c r="A48" i="15"/>
  <c r="M47" i="15"/>
  <c r="L47" i="15"/>
  <c r="J47" i="15"/>
  <c r="I47" i="15" a="1"/>
  <c r="I47" i="15" s="1"/>
  <c r="H47" i="15" a="1"/>
  <c r="H47" i="15" s="1"/>
  <c r="G47" i="15" a="1"/>
  <c r="G47" i="15" s="1"/>
  <c r="E47" i="15" a="1"/>
  <c r="E47" i="15" s="1"/>
  <c r="A47" i="15"/>
  <c r="M46" i="15"/>
  <c r="L46" i="15"/>
  <c r="J46" i="15"/>
  <c r="I46" i="15" a="1"/>
  <c r="I46" i="15" s="1"/>
  <c r="H46" i="15" a="1"/>
  <c r="H46" i="15" s="1"/>
  <c r="G46" i="15" a="1"/>
  <c r="G46" i="15" s="1"/>
  <c r="E46" i="15" a="1"/>
  <c r="E46" i="15" s="1"/>
  <c r="A46" i="15"/>
  <c r="M45" i="15"/>
  <c r="L45" i="15"/>
  <c r="J45" i="15"/>
  <c r="I45" i="15" a="1"/>
  <c r="I45" i="15" s="1"/>
  <c r="H45" i="15" a="1"/>
  <c r="H45" i="15" s="1"/>
  <c r="G45" i="15" a="1"/>
  <c r="G45" i="15" s="1"/>
  <c r="E45" i="15" a="1"/>
  <c r="E45" i="15" s="1"/>
  <c r="A45" i="15"/>
  <c r="M44" i="15"/>
  <c r="L44" i="15"/>
  <c r="J44" i="15"/>
  <c r="I44" i="15" a="1"/>
  <c r="I44" i="15" s="1"/>
  <c r="H44" i="15" a="1"/>
  <c r="H44" i="15" s="1"/>
  <c r="G44" i="15" a="1"/>
  <c r="G44" i="15" s="1"/>
  <c r="E44" i="15" a="1"/>
  <c r="E44" i="15" s="1"/>
  <c r="A44" i="15"/>
  <c r="M43" i="15"/>
  <c r="L43" i="15"/>
  <c r="J43" i="15"/>
  <c r="I43" i="15" a="1"/>
  <c r="I43" i="15" s="1"/>
  <c r="H43" i="15" a="1"/>
  <c r="H43" i="15" s="1"/>
  <c r="G43" i="15" a="1"/>
  <c r="G43" i="15" s="1"/>
  <c r="E43" i="15" a="1"/>
  <c r="E43" i="15" s="1"/>
  <c r="A43" i="15"/>
  <c r="M42" i="15"/>
  <c r="L42" i="15"/>
  <c r="J42" i="15"/>
  <c r="I42" i="15" a="1"/>
  <c r="I42" i="15" s="1"/>
  <c r="H42" i="15" a="1"/>
  <c r="H42" i="15" s="1"/>
  <c r="G42" i="15" a="1"/>
  <c r="G42" i="15" s="1"/>
  <c r="E42" i="15" a="1"/>
  <c r="E42" i="15" s="1"/>
  <c r="A42" i="15"/>
  <c r="M41" i="15"/>
  <c r="L41" i="15"/>
  <c r="J41" i="15"/>
  <c r="I41" i="15" a="1"/>
  <c r="I41" i="15" s="1"/>
  <c r="H41" i="15" a="1"/>
  <c r="H41" i="15" s="1"/>
  <c r="G41" i="15" a="1"/>
  <c r="G41" i="15" s="1"/>
  <c r="E41" i="15" a="1"/>
  <c r="E41" i="15" s="1"/>
  <c r="A41" i="15"/>
  <c r="M40" i="15"/>
  <c r="L40" i="15"/>
  <c r="J40" i="15"/>
  <c r="I40" i="15" a="1"/>
  <c r="I40" i="15" s="1"/>
  <c r="H40" i="15" a="1"/>
  <c r="H40" i="15" s="1"/>
  <c r="G40" i="15" a="1"/>
  <c r="G40" i="15" s="1"/>
  <c r="E40" i="15" a="1"/>
  <c r="E40" i="15" s="1"/>
  <c r="A40" i="15"/>
  <c r="M39" i="15"/>
  <c r="L39" i="15"/>
  <c r="J39" i="15"/>
  <c r="I39" i="15" a="1"/>
  <c r="I39" i="15" s="1"/>
  <c r="H39" i="15" a="1"/>
  <c r="H39" i="15" s="1"/>
  <c r="G39" i="15" a="1"/>
  <c r="G39" i="15" s="1"/>
  <c r="E39" i="15" a="1"/>
  <c r="E39" i="15" s="1"/>
  <c r="A39" i="15"/>
  <c r="M38" i="15"/>
  <c r="L38" i="15"/>
  <c r="J38" i="15"/>
  <c r="I38" i="15" a="1"/>
  <c r="I38" i="15" s="1"/>
  <c r="H38" i="15" a="1"/>
  <c r="H38" i="15" s="1"/>
  <c r="G38" i="15" a="1"/>
  <c r="G38" i="15" s="1"/>
  <c r="E38" i="15" a="1"/>
  <c r="E38" i="15" s="1"/>
  <c r="A38" i="15"/>
  <c r="M37" i="15"/>
  <c r="L37" i="15"/>
  <c r="J37" i="15"/>
  <c r="I37" i="15" a="1"/>
  <c r="I37" i="15" s="1"/>
  <c r="H37" i="15" a="1"/>
  <c r="H37" i="15" s="1"/>
  <c r="G37" i="15" a="1"/>
  <c r="G37" i="15" s="1"/>
  <c r="E37" i="15" a="1"/>
  <c r="E37" i="15" s="1"/>
  <c r="A37" i="15"/>
  <c r="M36" i="15"/>
  <c r="L36" i="15"/>
  <c r="J36" i="15"/>
  <c r="I36" i="15" a="1"/>
  <c r="I36" i="15" s="1"/>
  <c r="H36" i="15" a="1"/>
  <c r="H36" i="15" s="1"/>
  <c r="G36" i="15" a="1"/>
  <c r="G36" i="15" s="1"/>
  <c r="E36" i="15" a="1"/>
  <c r="E36" i="15" s="1"/>
  <c r="A36" i="15"/>
  <c r="M35" i="15"/>
  <c r="L35" i="15"/>
  <c r="J35" i="15"/>
  <c r="I35" i="15" a="1"/>
  <c r="I35" i="15" s="1"/>
  <c r="H35" i="15" a="1"/>
  <c r="H35" i="15" s="1"/>
  <c r="G35" i="15" a="1"/>
  <c r="G35" i="15" s="1"/>
  <c r="E35" i="15" a="1"/>
  <c r="E35" i="15" s="1"/>
  <c r="A35" i="15"/>
  <c r="M34" i="15"/>
  <c r="L34" i="15"/>
  <c r="J34" i="15"/>
  <c r="I34" i="15" a="1"/>
  <c r="I34" i="15" s="1"/>
  <c r="H34" i="15" a="1"/>
  <c r="H34" i="15" s="1"/>
  <c r="G34" i="15" a="1"/>
  <c r="G34" i="15" s="1"/>
  <c r="E34" i="15" a="1"/>
  <c r="E34" i="15" s="1"/>
  <c r="A34" i="15"/>
  <c r="M33" i="15"/>
  <c r="L33" i="15"/>
  <c r="J33" i="15"/>
  <c r="I33" i="15" a="1"/>
  <c r="I33" i="15" s="1"/>
  <c r="H33" i="15" a="1"/>
  <c r="H33" i="15" s="1"/>
  <c r="G33" i="15" a="1"/>
  <c r="G33" i="15" s="1"/>
  <c r="E33" i="15" a="1"/>
  <c r="E33" i="15" s="1"/>
  <c r="A33" i="15"/>
  <c r="M32" i="15"/>
  <c r="L32" i="15"/>
  <c r="J32" i="15"/>
  <c r="I32" i="15" a="1"/>
  <c r="I32" i="15" s="1"/>
  <c r="H32" i="15" a="1"/>
  <c r="H32" i="15" s="1"/>
  <c r="G32" i="15" a="1"/>
  <c r="G32" i="15" s="1"/>
  <c r="E32" i="15" a="1"/>
  <c r="E32" i="15" s="1"/>
  <c r="A32" i="15"/>
  <c r="M31" i="15"/>
  <c r="L31" i="15"/>
  <c r="J31" i="15"/>
  <c r="I31" i="15" a="1"/>
  <c r="I31" i="15" s="1"/>
  <c r="H31" i="15" a="1"/>
  <c r="H31" i="15" s="1"/>
  <c r="G31" i="15" a="1"/>
  <c r="G31" i="15" s="1"/>
  <c r="E31" i="15" a="1"/>
  <c r="E31" i="15" s="1"/>
  <c r="A31" i="15"/>
  <c r="M30" i="15"/>
  <c r="L30" i="15"/>
  <c r="J30" i="15"/>
  <c r="I30" i="15" a="1"/>
  <c r="I30" i="15" s="1"/>
  <c r="H30" i="15" a="1"/>
  <c r="H30" i="15" s="1"/>
  <c r="G30" i="15" a="1"/>
  <c r="G30" i="15" s="1"/>
  <c r="E30" i="15" a="1"/>
  <c r="E30" i="15" s="1"/>
  <c r="A30" i="15"/>
  <c r="M29" i="15"/>
  <c r="L29" i="15"/>
  <c r="J29" i="15"/>
  <c r="I29" i="15" a="1"/>
  <c r="I29" i="15" s="1"/>
  <c r="H29" i="15" a="1"/>
  <c r="H29" i="15" s="1"/>
  <c r="G29" i="15" a="1"/>
  <c r="G29" i="15" s="1"/>
  <c r="E29" i="15" a="1"/>
  <c r="E29" i="15" s="1"/>
  <c r="A29" i="15"/>
  <c r="M28" i="15"/>
  <c r="L28" i="15"/>
  <c r="J28" i="15"/>
  <c r="I28" i="15" a="1"/>
  <c r="I28" i="15" s="1"/>
  <c r="H28" i="15" a="1"/>
  <c r="H28" i="15" s="1"/>
  <c r="G28" i="15" a="1"/>
  <c r="G28" i="15" s="1"/>
  <c r="E28" i="15" a="1"/>
  <c r="E28" i="15" s="1"/>
  <c r="A28" i="15"/>
  <c r="M27" i="15"/>
  <c r="L27" i="15"/>
  <c r="J27" i="15"/>
  <c r="I27" i="15" a="1"/>
  <c r="I27" i="15" s="1"/>
  <c r="H27" i="15" a="1"/>
  <c r="H27" i="15" s="1"/>
  <c r="G27" i="15" a="1"/>
  <c r="G27" i="15" s="1"/>
  <c r="E27" i="15" a="1"/>
  <c r="E27" i="15" s="1"/>
  <c r="A27" i="15"/>
  <c r="M26" i="15"/>
  <c r="L26" i="15"/>
  <c r="J26" i="15"/>
  <c r="I26" i="15" a="1"/>
  <c r="I26" i="15" s="1"/>
  <c r="H26" i="15" a="1"/>
  <c r="H26" i="15" s="1"/>
  <c r="E26" i="15" a="1"/>
  <c r="E26" i="15" s="1"/>
  <c r="A26" i="15"/>
  <c r="L25" i="15"/>
  <c r="J25" i="15"/>
  <c r="I25" i="15" a="1"/>
  <c r="I25" i="15" s="1"/>
  <c r="H25" i="15" a="1"/>
  <c r="H25" i="15" s="1"/>
  <c r="G25" i="15" a="1"/>
  <c r="G25" i="15" s="1"/>
  <c r="E25" i="15" a="1"/>
  <c r="E25" i="15" s="1"/>
  <c r="A25" i="15"/>
  <c r="L24" i="15"/>
  <c r="J24" i="15"/>
  <c r="I24" i="15" a="1"/>
  <c r="I24" i="15" s="1"/>
  <c r="H24" i="15" a="1"/>
  <c r="H24" i="15" s="1"/>
  <c r="G24" i="15" a="1"/>
  <c r="G24" i="15" s="1"/>
  <c r="E24" i="15" a="1"/>
  <c r="E24" i="15" s="1"/>
  <c r="A24" i="15"/>
  <c r="M23" i="15"/>
  <c r="L23" i="15"/>
  <c r="J23" i="15"/>
  <c r="I23" i="15" a="1"/>
  <c r="I23" i="15" s="1"/>
  <c r="H23" i="15" a="1"/>
  <c r="H23" i="15" s="1"/>
  <c r="G23" i="15" a="1"/>
  <c r="G23" i="15" s="1"/>
  <c r="E23" i="15" a="1"/>
  <c r="E23" i="15" s="1"/>
  <c r="A23" i="15"/>
  <c r="M22" i="15"/>
  <c r="L22" i="15"/>
  <c r="J22" i="15"/>
  <c r="I22" i="15" a="1"/>
  <c r="I22" i="15" s="1"/>
  <c r="H22" i="15" a="1"/>
  <c r="H22" i="15" s="1"/>
  <c r="G22" i="15" a="1"/>
  <c r="G22" i="15" s="1"/>
  <c r="E22" i="15" a="1"/>
  <c r="E22" i="15" s="1"/>
  <c r="A22" i="15"/>
  <c r="Q21" i="15"/>
  <c r="M21" i="15"/>
  <c r="L21" i="15"/>
  <c r="J21" i="15"/>
  <c r="I21" i="15" a="1"/>
  <c r="I21" i="15" s="1"/>
  <c r="H21" i="15" a="1"/>
  <c r="H21" i="15" s="1"/>
  <c r="G21" i="15" a="1"/>
  <c r="G21" i="15" s="1"/>
  <c r="E21" i="15" a="1"/>
  <c r="E21" i="15" s="1"/>
  <c r="A21" i="15"/>
  <c r="M20" i="15"/>
  <c r="L20" i="15"/>
  <c r="J20" i="15"/>
  <c r="I20" i="15" a="1"/>
  <c r="I20" i="15" s="1"/>
  <c r="H20" i="15" a="1"/>
  <c r="H20" i="15" s="1"/>
  <c r="G20" i="15" a="1"/>
  <c r="G20" i="15" s="1"/>
  <c r="E20" i="15" a="1"/>
  <c r="E20" i="15" s="1"/>
  <c r="A20" i="15"/>
  <c r="M19" i="15"/>
  <c r="L19" i="15"/>
  <c r="J19" i="15"/>
  <c r="I19" i="15" a="1"/>
  <c r="I19" i="15" s="1"/>
  <c r="H19" i="15" a="1"/>
  <c r="H19" i="15" s="1"/>
  <c r="G19" i="15" a="1"/>
  <c r="G19" i="15" s="1"/>
  <c r="E19" i="15" a="1"/>
  <c r="E19" i="15" s="1"/>
  <c r="A19" i="15"/>
  <c r="M18" i="15"/>
  <c r="L18" i="15"/>
  <c r="J18" i="15"/>
  <c r="I18" i="15" a="1"/>
  <c r="I18" i="15" s="1"/>
  <c r="H18" i="15" a="1"/>
  <c r="H18" i="15" s="1"/>
  <c r="G18" i="15" a="1"/>
  <c r="G18" i="15" s="1"/>
  <c r="E18" i="15" a="1"/>
  <c r="E18" i="15" s="1"/>
  <c r="A18" i="15"/>
  <c r="M17" i="15"/>
  <c r="L17" i="15"/>
  <c r="J17" i="15"/>
  <c r="I17" i="15" a="1"/>
  <c r="I17" i="15" s="1"/>
  <c r="H17" i="15" a="1"/>
  <c r="H17" i="15" s="1"/>
  <c r="G17" i="15" a="1"/>
  <c r="G17" i="15" s="1"/>
  <c r="E17" i="15" a="1"/>
  <c r="E17" i="15" s="1"/>
  <c r="A17" i="15"/>
  <c r="M16" i="15"/>
  <c r="L16" i="15"/>
  <c r="J16" i="15"/>
  <c r="I16" i="15" a="1"/>
  <c r="I16" i="15" s="1"/>
  <c r="H16" i="15" a="1"/>
  <c r="H16" i="15" s="1"/>
  <c r="G16" i="15" a="1"/>
  <c r="G16" i="15" s="1"/>
  <c r="E16" i="15" a="1"/>
  <c r="E16" i="15" s="1"/>
  <c r="A16" i="15"/>
  <c r="M15" i="15"/>
  <c r="L15" i="15"/>
  <c r="J15" i="15"/>
  <c r="I15" i="15" a="1"/>
  <c r="I15" i="15" s="1"/>
  <c r="H15" i="15" a="1"/>
  <c r="H15" i="15" s="1"/>
  <c r="G15" i="15" a="1"/>
  <c r="G15" i="15" s="1"/>
  <c r="E15" i="15" a="1"/>
  <c r="E15" i="15" s="1"/>
  <c r="A15" i="15"/>
  <c r="M14" i="15"/>
  <c r="L14" i="15"/>
  <c r="J14" i="15"/>
  <c r="I14" i="15" a="1"/>
  <c r="I14" i="15" s="1"/>
  <c r="H14" i="15" a="1"/>
  <c r="H14" i="15" s="1"/>
  <c r="G14" i="15" a="1"/>
  <c r="G14" i="15" s="1"/>
  <c r="E14" i="15" a="1"/>
  <c r="E14" i="15" s="1"/>
  <c r="B14" i="15" a="1"/>
  <c r="B14" i="15" s="1"/>
  <c r="A14" i="15"/>
  <c r="M13" i="15"/>
  <c r="L13" i="15"/>
  <c r="J13" i="15"/>
  <c r="I13" i="15" a="1"/>
  <c r="I13" i="15" s="1"/>
  <c r="H13" i="15" a="1"/>
  <c r="H13" i="15" s="1"/>
  <c r="G13" i="15" a="1"/>
  <c r="G13" i="15" s="1"/>
  <c r="E13" i="15" a="1"/>
  <c r="E13" i="15" s="1"/>
  <c r="A13" i="15"/>
  <c r="M12" i="15"/>
  <c r="L12" i="15"/>
  <c r="J12" i="15"/>
  <c r="I12" i="15" a="1"/>
  <c r="I12" i="15" s="1"/>
  <c r="H12" i="15" a="1"/>
  <c r="H12" i="15" s="1"/>
  <c r="G12" i="15" a="1"/>
  <c r="G12" i="15" s="1"/>
  <c r="E12" i="15" a="1"/>
  <c r="E12" i="15" s="1"/>
  <c r="A12" i="15"/>
  <c r="M11" i="15"/>
  <c r="L11" i="15"/>
  <c r="J11" i="15"/>
  <c r="I11" i="15" a="1"/>
  <c r="I11" i="15" s="1"/>
  <c r="H11" i="15" a="1"/>
  <c r="H11" i="15" s="1"/>
  <c r="G11" i="15" a="1"/>
  <c r="G11" i="15" s="1"/>
  <c r="E11" i="15" a="1"/>
  <c r="E11" i="15" s="1"/>
  <c r="A11" i="15"/>
  <c r="M10" i="15"/>
  <c r="L10" i="15"/>
  <c r="J10" i="15"/>
  <c r="I10" i="15" a="1"/>
  <c r="I10" i="15" s="1"/>
  <c r="H10" i="15" a="1"/>
  <c r="H10" i="15" s="1"/>
  <c r="G10" i="15" a="1"/>
  <c r="G10" i="15" s="1"/>
  <c r="E10" i="15" a="1"/>
  <c r="E10" i="15" s="1"/>
  <c r="A10" i="15"/>
  <c r="M9" i="15"/>
  <c r="L9" i="15"/>
  <c r="J9" i="15"/>
  <c r="I9" i="15" a="1"/>
  <c r="I9" i="15" s="1"/>
  <c r="H9" i="15" a="1"/>
  <c r="H9" i="15" s="1"/>
  <c r="G9" i="15" a="1"/>
  <c r="G9" i="15" s="1"/>
  <c r="E9" i="15" a="1"/>
  <c r="E9" i="15" s="1"/>
  <c r="A9" i="15"/>
  <c r="M8" i="15"/>
  <c r="L8" i="15"/>
  <c r="J8" i="15"/>
  <c r="I8" i="15" a="1"/>
  <c r="I8" i="15" s="1"/>
  <c r="H8" i="15" a="1"/>
  <c r="H8" i="15" s="1"/>
  <c r="G8" i="15" a="1"/>
  <c r="G8" i="15" s="1"/>
  <c r="E8" i="15" a="1"/>
  <c r="E8" i="15" s="1"/>
  <c r="A8" i="15"/>
  <c r="M7" i="15"/>
  <c r="L7" i="15"/>
  <c r="J7" i="15"/>
  <c r="I7" i="15" a="1"/>
  <c r="I7" i="15" s="1"/>
  <c r="H7" i="15" a="1"/>
  <c r="H7" i="15" s="1"/>
  <c r="G7" i="15" a="1"/>
  <c r="G7" i="15" s="1"/>
  <c r="E7" i="15" a="1"/>
  <c r="E7" i="15" s="1"/>
  <c r="A7" i="15"/>
  <c r="M6" i="15"/>
  <c r="L6" i="15"/>
  <c r="J6" i="15"/>
  <c r="I6" i="15" a="1"/>
  <c r="I6" i="15" s="1"/>
  <c r="H6" i="15" a="1"/>
  <c r="H6" i="15" s="1"/>
  <c r="G6" i="15" a="1"/>
  <c r="G6" i="15" s="1"/>
  <c r="E6" i="15" a="1"/>
  <c r="E6" i="15" s="1"/>
  <c r="A6" i="15"/>
  <c r="M5" i="15"/>
  <c r="L5" i="15"/>
  <c r="J5" i="15"/>
  <c r="I5" i="15" a="1"/>
  <c r="I5" i="15" s="1"/>
  <c r="H5" i="15" a="1"/>
  <c r="H5" i="15" s="1"/>
  <c r="G5" i="15" a="1"/>
  <c r="G5" i="15" s="1"/>
  <c r="E5" i="15" a="1"/>
  <c r="E5" i="15" s="1"/>
  <c r="A5" i="15"/>
  <c r="Q4" i="15"/>
  <c r="M4" i="15"/>
  <c r="L4" i="15"/>
  <c r="J4" i="15"/>
  <c r="I4" i="15" a="1"/>
  <c r="I4" i="15" s="1"/>
  <c r="H4" i="15" a="1"/>
  <c r="H4" i="15" s="1"/>
  <c r="G4" i="15" a="1"/>
  <c r="G4" i="15" s="1"/>
  <c r="E4" i="15" a="1"/>
  <c r="E4" i="15" s="1"/>
  <c r="A4" i="15"/>
  <c r="K5" i="14"/>
  <c r="K10" i="14"/>
  <c r="K11" i="14"/>
  <c r="K12" i="14"/>
  <c r="K13" i="14"/>
  <c r="K6" i="14"/>
  <c r="K7" i="14"/>
  <c r="K8" i="14"/>
  <c r="K14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15" i="14"/>
  <c r="K16" i="14"/>
  <c r="K17" i="14"/>
  <c r="K41" i="14"/>
  <c r="K18" i="14"/>
  <c r="K19" i="14"/>
  <c r="K20" i="14"/>
  <c r="K42" i="14"/>
  <c r="K21" i="14"/>
  <c r="K22" i="14"/>
  <c r="K43" i="14"/>
  <c r="K44" i="14"/>
  <c r="K45" i="14"/>
  <c r="K46" i="14"/>
  <c r="K9" i="14"/>
  <c r="K47" i="14"/>
  <c r="K48" i="14"/>
  <c r="K49" i="14"/>
  <c r="K55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50" i="14"/>
  <c r="K77" i="14"/>
  <c r="K51" i="14"/>
  <c r="K78" i="14"/>
  <c r="K79" i="14"/>
  <c r="K80" i="14"/>
  <c r="K81" i="14"/>
  <c r="K82" i="14"/>
  <c r="K83" i="14"/>
  <c r="K84" i="14"/>
  <c r="K85" i="14"/>
  <c r="K86" i="14"/>
  <c r="K87" i="14"/>
  <c r="K94" i="14"/>
  <c r="K95" i="14"/>
  <c r="K96" i="14"/>
  <c r="K97" i="14"/>
  <c r="K98" i="14"/>
  <c r="K99" i="14"/>
  <c r="K88" i="14"/>
  <c r="K23" i="14"/>
  <c r="K24" i="14"/>
  <c r="K89" i="14"/>
  <c r="K90" i="14"/>
  <c r="K91" i="14"/>
  <c r="K52" i="14"/>
  <c r="K25" i="14"/>
  <c r="K92" i="14"/>
  <c r="K53" i="14"/>
  <c r="K54" i="14"/>
  <c r="K93" i="14"/>
  <c r="K4" i="14"/>
  <c r="C106" i="14"/>
  <c r="D106" i="14" s="1"/>
  <c r="H93" i="14" a="1"/>
  <c r="H93" i="14" s="1"/>
  <c r="G93" i="14" a="1"/>
  <c r="G93" i="14" s="1"/>
  <c r="P98" i="14"/>
  <c r="H54" i="14" a="1"/>
  <c r="H54" i="14" s="1"/>
  <c r="G54" i="14" a="1"/>
  <c r="G54" i="14" s="1"/>
  <c r="P97" i="14"/>
  <c r="H53" i="14" a="1"/>
  <c r="H53" i="14" s="1"/>
  <c r="G53" i="14" a="1"/>
  <c r="G53" i="14" s="1"/>
  <c r="P96" i="14"/>
  <c r="H92" i="14" a="1"/>
  <c r="H92" i="14" s="1"/>
  <c r="G92" i="14" a="1"/>
  <c r="G92" i="14" s="1"/>
  <c r="P95" i="14"/>
  <c r="H25" i="14" a="1"/>
  <c r="H25" i="14" s="1"/>
  <c r="G25" i="14" a="1"/>
  <c r="G25" i="14" s="1"/>
  <c r="P94" i="14"/>
  <c r="H52" i="14" a="1"/>
  <c r="H52" i="14" s="1"/>
  <c r="G52" i="14" a="1"/>
  <c r="G52" i="14" s="1"/>
  <c r="P93" i="14"/>
  <c r="H91" i="14" a="1"/>
  <c r="H91" i="14" s="1"/>
  <c r="G91" i="14" a="1"/>
  <c r="G91" i="14" s="1"/>
  <c r="P92" i="14"/>
  <c r="H90" i="14" a="1"/>
  <c r="H90" i="14" s="1"/>
  <c r="G90" i="14" a="1"/>
  <c r="G90" i="14" s="1"/>
  <c r="H89" i="14" a="1"/>
  <c r="H89" i="14" s="1"/>
  <c r="G89" i="14" a="1"/>
  <c r="G89" i="14" s="1"/>
  <c r="H24" i="14" a="1"/>
  <c r="H24" i="14" s="1"/>
  <c r="G24" i="14" a="1"/>
  <c r="G24" i="14" s="1"/>
  <c r="H23" i="14" a="1"/>
  <c r="H23" i="14" s="1"/>
  <c r="G23" i="14" a="1"/>
  <c r="G23" i="14" s="1"/>
  <c r="H88" i="14" a="1"/>
  <c r="H88" i="14" s="1"/>
  <c r="G88" i="14" a="1"/>
  <c r="G88" i="14" s="1"/>
  <c r="H99" i="14" a="1"/>
  <c r="H99" i="14" s="1"/>
  <c r="G99" i="14" a="1"/>
  <c r="G99" i="14" s="1"/>
  <c r="H98" i="14" a="1"/>
  <c r="H98" i="14" s="1"/>
  <c r="G98" i="14" a="1"/>
  <c r="G98" i="14" s="1"/>
  <c r="H97" i="14" a="1"/>
  <c r="H97" i="14" s="1"/>
  <c r="G97" i="14" a="1"/>
  <c r="G97" i="14" s="1"/>
  <c r="H96" i="14" a="1"/>
  <c r="H96" i="14" s="1"/>
  <c r="G96" i="14" a="1"/>
  <c r="G96" i="14" s="1"/>
  <c r="H95" i="14" a="1"/>
  <c r="H95" i="14" s="1"/>
  <c r="G95" i="14" a="1"/>
  <c r="G95" i="14" s="1"/>
  <c r="H94" i="14" a="1"/>
  <c r="H94" i="14" s="1"/>
  <c r="G94" i="14" a="1"/>
  <c r="G94" i="14" s="1"/>
  <c r="H87" i="14" a="1"/>
  <c r="H87" i="14" s="1"/>
  <c r="G87" i="14" a="1"/>
  <c r="G87" i="14" s="1"/>
  <c r="H86" i="14" a="1"/>
  <c r="H86" i="14" s="1"/>
  <c r="H85" i="14" a="1"/>
  <c r="H85" i="14" s="1"/>
  <c r="G85" i="14" a="1"/>
  <c r="G85" i="14" s="1"/>
  <c r="H84" i="14" a="1"/>
  <c r="H84" i="14" s="1"/>
  <c r="G84" i="14" a="1"/>
  <c r="G84" i="14" s="1"/>
  <c r="H83" i="14" a="1"/>
  <c r="H83" i="14" s="1"/>
  <c r="G83" i="14" a="1"/>
  <c r="G83" i="14" s="1"/>
  <c r="H82" i="14" a="1"/>
  <c r="H82" i="14" s="1"/>
  <c r="G82" i="14" a="1"/>
  <c r="G82" i="14" s="1"/>
  <c r="H81" i="14" a="1"/>
  <c r="H81" i="14" s="1"/>
  <c r="G81" i="14" a="1"/>
  <c r="G81" i="14" s="1"/>
  <c r="H80" i="14" a="1"/>
  <c r="H80" i="14" s="1"/>
  <c r="G80" i="14" a="1"/>
  <c r="G80" i="14" s="1"/>
  <c r="H79" i="14" a="1"/>
  <c r="H79" i="14" s="1"/>
  <c r="G79" i="14" a="1"/>
  <c r="G79" i="14" s="1"/>
  <c r="H78" i="14" a="1"/>
  <c r="H78" i="14" s="1"/>
  <c r="G78" i="14" a="1"/>
  <c r="G78" i="14" s="1"/>
  <c r="H51" i="14" a="1"/>
  <c r="H51" i="14" s="1"/>
  <c r="G51" i="14" a="1"/>
  <c r="G51" i="14" s="1"/>
  <c r="H77" i="14" a="1"/>
  <c r="H77" i="14" s="1"/>
  <c r="G77" i="14" a="1"/>
  <c r="G77" i="14" s="1"/>
  <c r="H50" i="14" a="1"/>
  <c r="H50" i="14" s="1"/>
  <c r="G50" i="14" a="1"/>
  <c r="G50" i="14" s="1"/>
  <c r="H76" i="14" a="1"/>
  <c r="H76" i="14" s="1"/>
  <c r="G76" i="14" a="1"/>
  <c r="G76" i="14" s="1"/>
  <c r="H75" i="14" a="1"/>
  <c r="H75" i="14" s="1"/>
  <c r="G75" i="14" a="1"/>
  <c r="G75" i="14" s="1"/>
  <c r="H74" i="14" a="1"/>
  <c r="H74" i="14" s="1"/>
  <c r="G74" i="14" a="1"/>
  <c r="G74" i="14" s="1"/>
  <c r="H73" i="14" a="1"/>
  <c r="H73" i="14" s="1"/>
  <c r="G73" i="14" a="1"/>
  <c r="G73" i="14" s="1"/>
  <c r="H72" i="14" a="1"/>
  <c r="H72" i="14" s="1"/>
  <c r="G72" i="14" a="1"/>
  <c r="G72" i="14" s="1"/>
  <c r="H71" i="14" a="1"/>
  <c r="H71" i="14" s="1"/>
  <c r="G71" i="14" a="1"/>
  <c r="G71" i="14" s="1"/>
  <c r="H70" i="14" a="1"/>
  <c r="H70" i="14" s="1"/>
  <c r="G70" i="14" a="1"/>
  <c r="G70" i="14" s="1"/>
  <c r="H69" i="14" a="1"/>
  <c r="H69" i="14" s="1"/>
  <c r="G69" i="14" a="1"/>
  <c r="G69" i="14" s="1"/>
  <c r="H68" i="14" a="1"/>
  <c r="H68" i="14" s="1"/>
  <c r="G68" i="14" a="1"/>
  <c r="G68" i="14" s="1"/>
  <c r="H67" i="14" a="1"/>
  <c r="H67" i="14" s="1"/>
  <c r="G67" i="14" a="1"/>
  <c r="G67" i="14" s="1"/>
  <c r="H66" i="14" a="1"/>
  <c r="H66" i="14" s="1"/>
  <c r="G66" i="14" a="1"/>
  <c r="G66" i="14" s="1"/>
  <c r="H65" i="14" a="1"/>
  <c r="H65" i="14" s="1"/>
  <c r="G65" i="14" a="1"/>
  <c r="G65" i="14" s="1"/>
  <c r="H64" i="14" a="1"/>
  <c r="H64" i="14" s="1"/>
  <c r="G64" i="14" a="1"/>
  <c r="G64" i="14" s="1"/>
  <c r="H63" i="14" a="1"/>
  <c r="H63" i="14" s="1"/>
  <c r="G63" i="14" a="1"/>
  <c r="G63" i="14" s="1"/>
  <c r="H62" i="14" a="1"/>
  <c r="H62" i="14" s="1"/>
  <c r="G62" i="14" a="1"/>
  <c r="G62" i="14" s="1"/>
  <c r="H61" i="14" a="1"/>
  <c r="H61" i="14" s="1"/>
  <c r="G61" i="14" a="1"/>
  <c r="G61" i="14" s="1"/>
  <c r="H60" i="14" a="1"/>
  <c r="H60" i="14" s="1"/>
  <c r="G60" i="14" a="1"/>
  <c r="G60" i="14" s="1"/>
  <c r="H59" i="14" a="1"/>
  <c r="H59" i="14" s="1"/>
  <c r="G59" i="14" a="1"/>
  <c r="G59" i="14" s="1"/>
  <c r="H58" i="14" a="1"/>
  <c r="H58" i="14" s="1"/>
  <c r="G58" i="14" a="1"/>
  <c r="G58" i="14" s="1"/>
  <c r="H57" i="14" a="1"/>
  <c r="H57" i="14" s="1"/>
  <c r="G57" i="14" a="1"/>
  <c r="G57" i="14" s="1"/>
  <c r="H56" i="14" a="1"/>
  <c r="H56" i="14" s="1"/>
  <c r="G56" i="14" a="1"/>
  <c r="G56" i="14" s="1"/>
  <c r="H55" i="14" a="1"/>
  <c r="H55" i="14" s="1"/>
  <c r="H49" i="14" a="1"/>
  <c r="H49" i="14" s="1"/>
  <c r="G49" i="14" a="1"/>
  <c r="G49" i="14" s="1"/>
  <c r="H48" i="14" a="1"/>
  <c r="H48" i="14" s="1"/>
  <c r="G48" i="14" a="1"/>
  <c r="G48" i="14" s="1"/>
  <c r="H47" i="14" a="1"/>
  <c r="H47" i="14" s="1"/>
  <c r="G47" i="14" a="1"/>
  <c r="G47" i="14" s="1"/>
  <c r="H9" i="14" a="1"/>
  <c r="H9" i="14" s="1"/>
  <c r="G9" i="14" a="1"/>
  <c r="G9" i="14" s="1"/>
  <c r="H46" i="14" a="1"/>
  <c r="H46" i="14" s="1"/>
  <c r="G46" i="14" a="1"/>
  <c r="G46" i="14" s="1"/>
  <c r="H45" i="14" a="1"/>
  <c r="H45" i="14" s="1"/>
  <c r="G45" i="14" a="1"/>
  <c r="G45" i="14" s="1"/>
  <c r="H44" i="14" a="1"/>
  <c r="H44" i="14" s="1"/>
  <c r="G44" i="14" a="1"/>
  <c r="G44" i="14" s="1"/>
  <c r="H43" i="14" a="1"/>
  <c r="H43" i="14" s="1"/>
  <c r="G43" i="14" a="1"/>
  <c r="G43" i="14" s="1"/>
  <c r="H22" i="14" a="1"/>
  <c r="H22" i="14" s="1"/>
  <c r="G22" i="14" a="1"/>
  <c r="G22" i="14" s="1"/>
  <c r="H21" i="14" a="1"/>
  <c r="H21" i="14" s="1"/>
  <c r="G21" i="14" a="1"/>
  <c r="G21" i="14" s="1"/>
  <c r="H42" i="14" a="1"/>
  <c r="H42" i="14" s="1"/>
  <c r="G42" i="14" a="1"/>
  <c r="G42" i="14" s="1"/>
  <c r="H20" i="14" a="1"/>
  <c r="H20" i="14" s="1"/>
  <c r="G20" i="14" a="1"/>
  <c r="G20" i="14" s="1"/>
  <c r="H19" i="14" a="1"/>
  <c r="H19" i="14" s="1"/>
  <c r="G19" i="14" a="1"/>
  <c r="G19" i="14" s="1"/>
  <c r="H18" i="14" a="1"/>
  <c r="H18" i="14" s="1"/>
  <c r="G18" i="14" a="1"/>
  <c r="G18" i="14" s="1"/>
  <c r="H41" i="14" a="1"/>
  <c r="H41" i="14" s="1"/>
  <c r="G41" i="14" a="1"/>
  <c r="G41" i="14" s="1"/>
  <c r="H17" i="14" a="1"/>
  <c r="H17" i="14" s="1"/>
  <c r="G17" i="14" a="1"/>
  <c r="G17" i="14" s="1"/>
  <c r="H16" i="14" a="1"/>
  <c r="H16" i="14" s="1"/>
  <c r="G16" i="14" a="1"/>
  <c r="G16" i="14" s="1"/>
  <c r="H15" i="14" a="1"/>
  <c r="H15" i="14" s="1"/>
  <c r="G15" i="14" a="1"/>
  <c r="G15" i="14" s="1"/>
  <c r="H40" i="14" a="1"/>
  <c r="H40" i="14" s="1"/>
  <c r="G40" i="14" a="1"/>
  <c r="G40" i="14" s="1"/>
  <c r="H39" i="14" a="1"/>
  <c r="H39" i="14" s="1"/>
  <c r="G39" i="14" a="1"/>
  <c r="G39" i="14" s="1"/>
  <c r="H38" i="14" a="1"/>
  <c r="H38" i="14" s="1"/>
  <c r="G38" i="14" a="1"/>
  <c r="G38" i="14" s="1"/>
  <c r="H37" i="14" a="1"/>
  <c r="H37" i="14" s="1"/>
  <c r="G37" i="14" a="1"/>
  <c r="G37" i="14" s="1"/>
  <c r="H36" i="14" a="1"/>
  <c r="H36" i="14" s="1"/>
  <c r="G36" i="14" a="1"/>
  <c r="G36" i="14" s="1"/>
  <c r="H35" i="14" a="1"/>
  <c r="H35" i="14" s="1"/>
  <c r="G35" i="14" a="1"/>
  <c r="G35" i="14" s="1"/>
  <c r="H34" i="14" a="1"/>
  <c r="H34" i="14" s="1"/>
  <c r="G34" i="14" a="1"/>
  <c r="G34" i="14" s="1"/>
  <c r="H33" i="14" a="1"/>
  <c r="H33" i="14" s="1"/>
  <c r="G33" i="14" a="1"/>
  <c r="G33" i="14" s="1"/>
  <c r="H32" i="14" a="1"/>
  <c r="H32" i="14" s="1"/>
  <c r="G32" i="14" a="1"/>
  <c r="G32" i="14" s="1"/>
  <c r="H31" i="14" a="1"/>
  <c r="H31" i="14" s="1"/>
  <c r="G31" i="14" a="1"/>
  <c r="G31" i="14" s="1"/>
  <c r="H30" i="14" a="1"/>
  <c r="H30" i="14" s="1"/>
  <c r="G30" i="14" a="1"/>
  <c r="G30" i="14" s="1"/>
  <c r="H29" i="14" a="1"/>
  <c r="H29" i="14" s="1"/>
  <c r="G29" i="14" a="1"/>
  <c r="G29" i="14" s="1"/>
  <c r="H28" i="14" a="1"/>
  <c r="H28" i="14" s="1"/>
  <c r="G28" i="14" a="1"/>
  <c r="G28" i="14" s="1"/>
  <c r="H27" i="14" a="1"/>
  <c r="H27" i="14" s="1"/>
  <c r="G27" i="14" a="1"/>
  <c r="G27" i="14" s="1"/>
  <c r="H26" i="14" a="1"/>
  <c r="H26" i="14" s="1"/>
  <c r="H14" i="14" a="1"/>
  <c r="H14" i="14" s="1"/>
  <c r="G14" i="14" a="1"/>
  <c r="G14" i="14" s="1"/>
  <c r="H8" i="14" a="1"/>
  <c r="H8" i="14" s="1"/>
  <c r="G8" i="14" a="1"/>
  <c r="G8" i="14" s="1"/>
  <c r="H7" i="14" a="1"/>
  <c r="H7" i="14" s="1"/>
  <c r="G7" i="14" a="1"/>
  <c r="G7" i="14" s="1"/>
  <c r="H6" i="14" a="1"/>
  <c r="H6" i="14" s="1"/>
  <c r="G6" i="14" a="1"/>
  <c r="G6" i="14" s="1"/>
  <c r="H13" i="14" a="1"/>
  <c r="H13" i="14" s="1"/>
  <c r="G13" i="14" a="1"/>
  <c r="G13" i="14" s="1"/>
  <c r="H12" i="14" a="1"/>
  <c r="H12" i="14" s="1"/>
  <c r="G12" i="14" a="1"/>
  <c r="G12" i="14" s="1"/>
  <c r="H11" i="14" a="1"/>
  <c r="H11" i="14" s="1"/>
  <c r="G11" i="14" a="1"/>
  <c r="G11" i="14" s="1"/>
  <c r="H10" i="14" a="1"/>
  <c r="H10" i="14" s="1"/>
  <c r="G10" i="14" a="1"/>
  <c r="G10" i="14" s="1"/>
  <c r="H5" i="14" a="1"/>
  <c r="H5" i="14" s="1"/>
  <c r="G5" i="14" a="1"/>
  <c r="G5" i="14" s="1"/>
  <c r="R4" i="14"/>
  <c r="I4" i="14" a="1"/>
  <c r="I4" i="14" s="1"/>
  <c r="H4" i="14" a="1"/>
  <c r="H4" i="14" s="1"/>
  <c r="G4" i="14" a="1"/>
  <c r="G4" i="14" s="1"/>
  <c r="E4" i="14" a="1"/>
  <c r="E4" i="14" s="1"/>
  <c r="K73" i="3"/>
  <c r="A1" i="13"/>
  <c r="F1" i="13"/>
  <c r="E1" i="13"/>
  <c r="D1" i="13"/>
  <c r="J1" i="13"/>
  <c r="C1" i="13"/>
  <c r="B1" i="13"/>
  <c r="G1" i="13"/>
  <c r="H1" i="13"/>
  <c r="I1" i="13"/>
  <c r="K1" i="13"/>
  <c r="A2" i="13"/>
  <c r="F2" i="13"/>
  <c r="E2" i="13"/>
  <c r="D2" i="13"/>
  <c r="J2" i="13"/>
  <c r="C2" i="13"/>
  <c r="B2" i="13"/>
  <c r="G2" i="13"/>
  <c r="H2" i="13"/>
  <c r="I2" i="13"/>
  <c r="K2" i="13"/>
  <c r="A3" i="13"/>
  <c r="F3" i="13"/>
  <c r="E3" i="13"/>
  <c r="D3" i="13"/>
  <c r="J3" i="13"/>
  <c r="C3" i="13"/>
  <c r="B3" i="13"/>
  <c r="G3" i="13"/>
  <c r="H3" i="13"/>
  <c r="I3" i="13"/>
  <c r="K3" i="13"/>
  <c r="A4" i="13"/>
  <c r="F4" i="13"/>
  <c r="E4" i="13"/>
  <c r="D4" i="13"/>
  <c r="J4" i="13"/>
  <c r="C4" i="13"/>
  <c r="B4" i="13"/>
  <c r="G4" i="13"/>
  <c r="H4" i="13"/>
  <c r="I4" i="13"/>
  <c r="K4" i="13"/>
  <c r="A5" i="13"/>
  <c r="F5" i="13"/>
  <c r="E5" i="13"/>
  <c r="D5" i="13"/>
  <c r="J5" i="13"/>
  <c r="C5" i="13"/>
  <c r="B5" i="13"/>
  <c r="G5" i="13"/>
  <c r="H5" i="13"/>
  <c r="I5" i="13"/>
  <c r="K5" i="13"/>
  <c r="A6" i="13"/>
  <c r="F6" i="13"/>
  <c r="E6" i="13"/>
  <c r="D6" i="13"/>
  <c r="J6" i="13"/>
  <c r="C6" i="13"/>
  <c r="B6" i="13"/>
  <c r="G6" i="13"/>
  <c r="H6" i="13"/>
  <c r="I6" i="13"/>
  <c r="K6" i="13"/>
  <c r="A7" i="13"/>
  <c r="F7" i="13"/>
  <c r="E7" i="13"/>
  <c r="D7" i="13"/>
  <c r="J7" i="13"/>
  <c r="C7" i="13"/>
  <c r="B7" i="13"/>
  <c r="G7" i="13"/>
  <c r="H7" i="13"/>
  <c r="I7" i="13"/>
  <c r="K7" i="13"/>
  <c r="A8" i="13"/>
  <c r="F8" i="13"/>
  <c r="E8" i="13"/>
  <c r="D8" i="13"/>
  <c r="J8" i="13"/>
  <c r="C8" i="13"/>
  <c r="B8" i="13"/>
  <c r="G8" i="13"/>
  <c r="H8" i="13"/>
  <c r="I8" i="13"/>
  <c r="K8" i="13"/>
  <c r="A9" i="13"/>
  <c r="F9" i="13"/>
  <c r="E9" i="13"/>
  <c r="D9" i="13"/>
  <c r="J9" i="13"/>
  <c r="C9" i="13"/>
  <c r="B9" i="13"/>
  <c r="G9" i="13"/>
  <c r="H9" i="13"/>
  <c r="I9" i="13"/>
  <c r="K9" i="13"/>
  <c r="A10" i="13"/>
  <c r="F10" i="13"/>
  <c r="E10" i="13"/>
  <c r="D10" i="13"/>
  <c r="J10" i="13"/>
  <c r="C10" i="13"/>
  <c r="B10" i="13"/>
  <c r="G10" i="13"/>
  <c r="H10" i="13"/>
  <c r="I10" i="13"/>
  <c r="K10" i="13"/>
  <c r="A11" i="13"/>
  <c r="F11" i="13"/>
  <c r="E11" i="13"/>
  <c r="D11" i="13"/>
  <c r="J11" i="13"/>
  <c r="C11" i="13"/>
  <c r="B11" i="13"/>
  <c r="G11" i="13"/>
  <c r="H11" i="13"/>
  <c r="I11" i="13"/>
  <c r="K11" i="13"/>
  <c r="A12" i="13"/>
  <c r="F12" i="13"/>
  <c r="E12" i="13"/>
  <c r="D12" i="13"/>
  <c r="J12" i="13"/>
  <c r="C12" i="13"/>
  <c r="B12" i="13"/>
  <c r="G12" i="13"/>
  <c r="H12" i="13"/>
  <c r="I12" i="13"/>
  <c r="K12" i="13"/>
  <c r="A13" i="13"/>
  <c r="F13" i="13"/>
  <c r="E13" i="13"/>
  <c r="D13" i="13"/>
  <c r="J13" i="13"/>
  <c r="C13" i="13"/>
  <c r="B13" i="13"/>
  <c r="G13" i="13"/>
  <c r="H13" i="13"/>
  <c r="I13" i="13"/>
  <c r="K13" i="13"/>
  <c r="A14" i="13"/>
  <c r="F14" i="13"/>
  <c r="E14" i="13"/>
  <c r="D14" i="13"/>
  <c r="J14" i="13"/>
  <c r="C14" i="13"/>
  <c r="B14" i="13"/>
  <c r="G14" i="13"/>
  <c r="H14" i="13"/>
  <c r="I14" i="13"/>
  <c r="K14" i="13"/>
  <c r="A15" i="13"/>
  <c r="F15" i="13"/>
  <c r="E15" i="13"/>
  <c r="D15" i="13"/>
  <c r="J15" i="13"/>
  <c r="C15" i="13"/>
  <c r="B15" i="13"/>
  <c r="G15" i="13"/>
  <c r="H15" i="13"/>
  <c r="I15" i="13"/>
  <c r="K15" i="13"/>
  <c r="A16" i="13"/>
  <c r="F16" i="13"/>
  <c r="E16" i="13"/>
  <c r="D16" i="13"/>
  <c r="J16" i="13"/>
  <c r="C16" i="13"/>
  <c r="B16" i="13"/>
  <c r="G16" i="13"/>
  <c r="H16" i="13"/>
  <c r="I16" i="13"/>
  <c r="K16" i="13"/>
  <c r="A17" i="13"/>
  <c r="F17" i="13"/>
  <c r="E17" i="13"/>
  <c r="D17" i="13"/>
  <c r="J17" i="13"/>
  <c r="C17" i="13"/>
  <c r="B17" i="13"/>
  <c r="G17" i="13"/>
  <c r="H17" i="13"/>
  <c r="I17" i="13"/>
  <c r="K17" i="13"/>
  <c r="A18" i="13"/>
  <c r="F18" i="13"/>
  <c r="E18" i="13"/>
  <c r="D18" i="13"/>
  <c r="J18" i="13"/>
  <c r="C18" i="13"/>
  <c r="B18" i="13"/>
  <c r="G18" i="13"/>
  <c r="H18" i="13"/>
  <c r="I18" i="13"/>
  <c r="K18" i="13"/>
  <c r="A19" i="13"/>
  <c r="F19" i="13"/>
  <c r="E19" i="13"/>
  <c r="D19" i="13"/>
  <c r="J19" i="13"/>
  <c r="C19" i="13"/>
  <c r="B19" i="13"/>
  <c r="G19" i="13"/>
  <c r="H19" i="13"/>
  <c r="I19" i="13"/>
  <c r="K19" i="13"/>
  <c r="A20" i="13"/>
  <c r="F20" i="13"/>
  <c r="E20" i="13"/>
  <c r="D20" i="13"/>
  <c r="J20" i="13"/>
  <c r="C20" i="13"/>
  <c r="B20" i="13"/>
  <c r="G20" i="13"/>
  <c r="H20" i="13"/>
  <c r="I20" i="13"/>
  <c r="K20" i="13"/>
  <c r="A21" i="13"/>
  <c r="F21" i="13"/>
  <c r="E21" i="13"/>
  <c r="D21" i="13"/>
  <c r="J21" i="13"/>
  <c r="C21" i="13"/>
  <c r="B21" i="13"/>
  <c r="G21" i="13"/>
  <c r="H21" i="13"/>
  <c r="I21" i="13"/>
  <c r="K21" i="13"/>
  <c r="A22" i="13"/>
  <c r="F22" i="13"/>
  <c r="E22" i="13"/>
  <c r="D22" i="13"/>
  <c r="J22" i="13"/>
  <c r="C22" i="13"/>
  <c r="B22" i="13"/>
  <c r="G22" i="13"/>
  <c r="H22" i="13"/>
  <c r="I22" i="13"/>
  <c r="K22" i="13"/>
  <c r="A23" i="13"/>
  <c r="F23" i="13"/>
  <c r="E23" i="13"/>
  <c r="D23" i="13"/>
  <c r="J23" i="13"/>
  <c r="C23" i="13"/>
  <c r="B23" i="13"/>
  <c r="G23" i="13"/>
  <c r="H23" i="13"/>
  <c r="I23" i="13"/>
  <c r="K23" i="13"/>
  <c r="A1" i="12"/>
  <c r="H1" i="12"/>
  <c r="G1" i="12"/>
  <c r="F1" i="12"/>
  <c r="L1" i="12"/>
  <c r="E1" i="12"/>
  <c r="C1" i="12"/>
  <c r="D1" i="12"/>
  <c r="B1" i="12"/>
  <c r="I1" i="12"/>
  <c r="J1" i="12"/>
  <c r="K1" i="12"/>
  <c r="A2" i="12"/>
  <c r="H2" i="12"/>
  <c r="G2" i="12"/>
  <c r="F2" i="12"/>
  <c r="L2" i="12"/>
  <c r="E2" i="12"/>
  <c r="C2" i="12"/>
  <c r="D2" i="12"/>
  <c r="B2" i="12"/>
  <c r="I2" i="12"/>
  <c r="J2" i="12"/>
  <c r="K2" i="12"/>
  <c r="A3" i="12"/>
  <c r="H3" i="12"/>
  <c r="G3" i="12"/>
  <c r="F3" i="12"/>
  <c r="L3" i="12"/>
  <c r="E3" i="12"/>
  <c r="C3" i="12"/>
  <c r="D3" i="12"/>
  <c r="B3" i="12"/>
  <c r="I3" i="12"/>
  <c r="J3" i="12"/>
  <c r="K3" i="12"/>
  <c r="A4" i="12"/>
  <c r="H4" i="12"/>
  <c r="G4" i="12"/>
  <c r="F4" i="12"/>
  <c r="L4" i="12"/>
  <c r="E4" i="12"/>
  <c r="C4" i="12"/>
  <c r="D4" i="12"/>
  <c r="B4" i="12"/>
  <c r="I4" i="12"/>
  <c r="J4" i="12"/>
  <c r="K4" i="12"/>
  <c r="A5" i="12"/>
  <c r="H5" i="12"/>
  <c r="G5" i="12"/>
  <c r="F5" i="12"/>
  <c r="L5" i="12"/>
  <c r="E5" i="12"/>
  <c r="C5" i="12"/>
  <c r="D5" i="12"/>
  <c r="B5" i="12"/>
  <c r="I5" i="12"/>
  <c r="J5" i="12"/>
  <c r="K5" i="12"/>
  <c r="A6" i="12"/>
  <c r="H6" i="12"/>
  <c r="G6" i="12"/>
  <c r="F6" i="12"/>
  <c r="L6" i="12"/>
  <c r="E6" i="12"/>
  <c r="C6" i="12"/>
  <c r="D6" i="12"/>
  <c r="B6" i="12"/>
  <c r="I6" i="12"/>
  <c r="J6" i="12"/>
  <c r="K6" i="12"/>
  <c r="A7" i="12"/>
  <c r="H7" i="12"/>
  <c r="G7" i="12"/>
  <c r="F7" i="12"/>
  <c r="L7" i="12"/>
  <c r="E7" i="12"/>
  <c r="C7" i="12"/>
  <c r="D7" i="12"/>
  <c r="B7" i="12"/>
  <c r="I7" i="12"/>
  <c r="J7" i="12"/>
  <c r="K7" i="12"/>
  <c r="A8" i="12"/>
  <c r="H8" i="12"/>
  <c r="G8" i="12"/>
  <c r="F8" i="12"/>
  <c r="L8" i="12"/>
  <c r="E8" i="12"/>
  <c r="C8" i="12"/>
  <c r="D8" i="12"/>
  <c r="B8" i="12"/>
  <c r="I8" i="12"/>
  <c r="J8" i="12"/>
  <c r="K8" i="12"/>
  <c r="A9" i="12"/>
  <c r="H9" i="12"/>
  <c r="G9" i="12"/>
  <c r="F9" i="12"/>
  <c r="L9" i="12"/>
  <c r="E9" i="12"/>
  <c r="C9" i="12"/>
  <c r="D9" i="12"/>
  <c r="B9" i="12"/>
  <c r="I9" i="12"/>
  <c r="J9" i="12"/>
  <c r="K9" i="12"/>
  <c r="A10" i="12"/>
  <c r="H10" i="12"/>
  <c r="G10" i="12"/>
  <c r="F10" i="12"/>
  <c r="L10" i="12"/>
  <c r="E10" i="12"/>
  <c r="C10" i="12"/>
  <c r="D10" i="12"/>
  <c r="B10" i="12"/>
  <c r="I10" i="12"/>
  <c r="J10" i="12"/>
  <c r="K10" i="12"/>
  <c r="A11" i="12"/>
  <c r="H11" i="12"/>
  <c r="G11" i="12"/>
  <c r="F11" i="12"/>
  <c r="L11" i="12"/>
  <c r="E11" i="12"/>
  <c r="C11" i="12"/>
  <c r="D11" i="12"/>
  <c r="B11" i="12"/>
  <c r="I11" i="12"/>
  <c r="J11" i="12"/>
  <c r="K11" i="12"/>
  <c r="A12" i="12"/>
  <c r="H12" i="12"/>
  <c r="G12" i="12"/>
  <c r="F12" i="12"/>
  <c r="L12" i="12"/>
  <c r="E12" i="12"/>
  <c r="C12" i="12"/>
  <c r="D12" i="12"/>
  <c r="B12" i="12"/>
  <c r="I12" i="12"/>
  <c r="J12" i="12"/>
  <c r="K12" i="12"/>
  <c r="A13" i="12"/>
  <c r="H13" i="12"/>
  <c r="G13" i="12"/>
  <c r="F13" i="12"/>
  <c r="L13" i="12"/>
  <c r="E13" i="12"/>
  <c r="C13" i="12"/>
  <c r="D13" i="12"/>
  <c r="B13" i="12"/>
  <c r="I13" i="12"/>
  <c r="J13" i="12"/>
  <c r="K13" i="12"/>
  <c r="A14" i="12"/>
  <c r="H14" i="12"/>
  <c r="G14" i="12"/>
  <c r="F14" i="12"/>
  <c r="L14" i="12"/>
  <c r="E14" i="12"/>
  <c r="C14" i="12"/>
  <c r="D14" i="12"/>
  <c r="B14" i="12"/>
  <c r="I14" i="12"/>
  <c r="J14" i="12"/>
  <c r="K14" i="12"/>
  <c r="A15" i="12"/>
  <c r="H15" i="12"/>
  <c r="G15" i="12"/>
  <c r="F15" i="12"/>
  <c r="L15" i="12"/>
  <c r="E15" i="12"/>
  <c r="C15" i="12"/>
  <c r="D15" i="12"/>
  <c r="B15" i="12"/>
  <c r="I15" i="12"/>
  <c r="J15" i="12"/>
  <c r="K15" i="12"/>
  <c r="A16" i="12"/>
  <c r="H16" i="12"/>
  <c r="G16" i="12"/>
  <c r="F16" i="12"/>
  <c r="L16" i="12"/>
  <c r="E16" i="12"/>
  <c r="C16" i="12"/>
  <c r="D16" i="12"/>
  <c r="B16" i="12"/>
  <c r="I16" i="12"/>
  <c r="J16" i="12"/>
  <c r="K16" i="12"/>
  <c r="A17" i="12"/>
  <c r="H17" i="12"/>
  <c r="G17" i="12"/>
  <c r="F17" i="12"/>
  <c r="L17" i="12"/>
  <c r="E17" i="12"/>
  <c r="C17" i="12"/>
  <c r="D17" i="12"/>
  <c r="B17" i="12"/>
  <c r="I17" i="12"/>
  <c r="J17" i="12"/>
  <c r="K17" i="12"/>
  <c r="A18" i="12"/>
  <c r="H18" i="12"/>
  <c r="G18" i="12"/>
  <c r="F18" i="12"/>
  <c r="L18" i="12"/>
  <c r="E18" i="12"/>
  <c r="C18" i="12"/>
  <c r="D18" i="12"/>
  <c r="B18" i="12"/>
  <c r="I18" i="12"/>
  <c r="J18" i="12"/>
  <c r="K18" i="12"/>
  <c r="A19" i="12"/>
  <c r="H19" i="12"/>
  <c r="G19" i="12"/>
  <c r="F19" i="12"/>
  <c r="L19" i="12"/>
  <c r="E19" i="12"/>
  <c r="C19" i="12"/>
  <c r="D19" i="12"/>
  <c r="B19" i="12"/>
  <c r="I19" i="12"/>
  <c r="J19" i="12"/>
  <c r="K19" i="12"/>
  <c r="A20" i="12"/>
  <c r="H20" i="12"/>
  <c r="G20" i="12"/>
  <c r="F20" i="12"/>
  <c r="L20" i="12"/>
  <c r="E20" i="12"/>
  <c r="C20" i="12"/>
  <c r="D20" i="12"/>
  <c r="B20" i="12"/>
  <c r="I20" i="12"/>
  <c r="J20" i="12"/>
  <c r="K20" i="12"/>
  <c r="A21" i="12"/>
  <c r="H21" i="12"/>
  <c r="G21" i="12"/>
  <c r="F21" i="12"/>
  <c r="L21" i="12"/>
  <c r="E21" i="12"/>
  <c r="C21" i="12"/>
  <c r="D21" i="12"/>
  <c r="B21" i="12"/>
  <c r="I21" i="12"/>
  <c r="J21" i="12"/>
  <c r="K21" i="12"/>
  <c r="A22" i="12"/>
  <c r="H22" i="12"/>
  <c r="G22" i="12"/>
  <c r="F22" i="12"/>
  <c r="L22" i="12"/>
  <c r="E22" i="12"/>
  <c r="C22" i="12"/>
  <c r="D22" i="12"/>
  <c r="B22" i="12"/>
  <c r="I22" i="12"/>
  <c r="J22" i="12"/>
  <c r="K22" i="12"/>
  <c r="A23" i="12"/>
  <c r="H23" i="12"/>
  <c r="G23" i="12"/>
  <c r="F23" i="12"/>
  <c r="L23" i="12"/>
  <c r="E23" i="12"/>
  <c r="C23" i="12"/>
  <c r="D23" i="12"/>
  <c r="B23" i="12"/>
  <c r="I23" i="12"/>
  <c r="J23" i="12"/>
  <c r="K23" i="12"/>
  <c r="A24" i="12"/>
  <c r="H24" i="12"/>
  <c r="G24" i="12"/>
  <c r="F24" i="12"/>
  <c r="L24" i="12"/>
  <c r="E24" i="12"/>
  <c r="C24" i="12"/>
  <c r="D24" i="12"/>
  <c r="B24" i="12"/>
  <c r="I24" i="12"/>
  <c r="J24" i="12"/>
  <c r="K24" i="12"/>
  <c r="A25" i="12"/>
  <c r="H25" i="12"/>
  <c r="G25" i="12"/>
  <c r="F25" i="12"/>
  <c r="L25" i="12"/>
  <c r="E25" i="12"/>
  <c r="C25" i="12"/>
  <c r="D25" i="12"/>
  <c r="B25" i="12"/>
  <c r="I25" i="12"/>
  <c r="J25" i="12"/>
  <c r="K25" i="12"/>
  <c r="A26" i="12"/>
  <c r="H26" i="12"/>
  <c r="G26" i="12"/>
  <c r="F26" i="12"/>
  <c r="L26" i="12"/>
  <c r="E26" i="12"/>
  <c r="C26" i="12"/>
  <c r="D26" i="12"/>
  <c r="B26" i="12"/>
  <c r="I26" i="12"/>
  <c r="J26" i="12"/>
  <c r="K26" i="12"/>
  <c r="A27" i="12"/>
  <c r="H27" i="12"/>
  <c r="G27" i="12"/>
  <c r="F27" i="12"/>
  <c r="L27" i="12"/>
  <c r="E27" i="12"/>
  <c r="C27" i="12"/>
  <c r="D27" i="12"/>
  <c r="B27" i="12"/>
  <c r="I27" i="12"/>
  <c r="J27" i="12"/>
  <c r="K27" i="12"/>
  <c r="A28" i="12"/>
  <c r="H28" i="12"/>
  <c r="G28" i="12"/>
  <c r="F28" i="12"/>
  <c r="L28" i="12"/>
  <c r="E28" i="12"/>
  <c r="C28" i="12"/>
  <c r="D28" i="12"/>
  <c r="B28" i="12"/>
  <c r="I28" i="12"/>
  <c r="J28" i="12"/>
  <c r="K28" i="12"/>
  <c r="A29" i="12"/>
  <c r="H29" i="12"/>
  <c r="G29" i="12"/>
  <c r="F29" i="12"/>
  <c r="L29" i="12"/>
  <c r="E29" i="12"/>
  <c r="C29" i="12"/>
  <c r="D29" i="12"/>
  <c r="B29" i="12"/>
  <c r="I29" i="12"/>
  <c r="J29" i="12"/>
  <c r="K29" i="12"/>
  <c r="A30" i="12"/>
  <c r="H30" i="12"/>
  <c r="G30" i="12"/>
  <c r="F30" i="12"/>
  <c r="L30" i="12"/>
  <c r="E30" i="12"/>
  <c r="C30" i="12"/>
  <c r="D30" i="12"/>
  <c r="B30" i="12"/>
  <c r="I30" i="12"/>
  <c r="J30" i="12"/>
  <c r="K30" i="12"/>
  <c r="A31" i="12"/>
  <c r="H31" i="12"/>
  <c r="G31" i="12"/>
  <c r="F31" i="12"/>
  <c r="L31" i="12"/>
  <c r="E31" i="12"/>
  <c r="C31" i="12"/>
  <c r="D31" i="12"/>
  <c r="B31" i="12"/>
  <c r="I31" i="12"/>
  <c r="J31" i="12"/>
  <c r="K31" i="12"/>
  <c r="A32" i="12"/>
  <c r="H32" i="12"/>
  <c r="G32" i="12"/>
  <c r="F32" i="12"/>
  <c r="L32" i="12"/>
  <c r="E32" i="12"/>
  <c r="C32" i="12"/>
  <c r="D32" i="12"/>
  <c r="B32" i="12"/>
  <c r="I32" i="12"/>
  <c r="J32" i="12"/>
  <c r="K32" i="12"/>
  <c r="A33" i="12"/>
  <c r="H33" i="12"/>
  <c r="G33" i="12"/>
  <c r="F33" i="12"/>
  <c r="L33" i="12"/>
  <c r="E33" i="12"/>
  <c r="C33" i="12"/>
  <c r="D33" i="12"/>
  <c r="B33" i="12"/>
  <c r="I33" i="12"/>
  <c r="J33" i="12"/>
  <c r="K33" i="12"/>
  <c r="A34" i="12"/>
  <c r="H34" i="12"/>
  <c r="G34" i="12"/>
  <c r="F34" i="12"/>
  <c r="L34" i="12"/>
  <c r="E34" i="12"/>
  <c r="C34" i="12"/>
  <c r="D34" i="12"/>
  <c r="B34" i="12"/>
  <c r="I34" i="12"/>
  <c r="J34" i="12"/>
  <c r="K34" i="12"/>
  <c r="A35" i="12"/>
  <c r="H35" i="12"/>
  <c r="G35" i="12"/>
  <c r="F35" i="12"/>
  <c r="L35" i="12"/>
  <c r="E35" i="12"/>
  <c r="C35" i="12"/>
  <c r="D35" i="12"/>
  <c r="B35" i="12"/>
  <c r="I35" i="12"/>
  <c r="J35" i="12"/>
  <c r="K35" i="12"/>
  <c r="A36" i="12"/>
  <c r="H36" i="12"/>
  <c r="G36" i="12"/>
  <c r="F36" i="12"/>
  <c r="L36" i="12"/>
  <c r="E36" i="12"/>
  <c r="C36" i="12"/>
  <c r="D36" i="12"/>
  <c r="B36" i="12"/>
  <c r="I36" i="12"/>
  <c r="J36" i="12"/>
  <c r="K36" i="12"/>
  <c r="A37" i="12"/>
  <c r="H37" i="12"/>
  <c r="G37" i="12"/>
  <c r="F37" i="12"/>
  <c r="L37" i="12"/>
  <c r="E37" i="12"/>
  <c r="C37" i="12"/>
  <c r="D37" i="12"/>
  <c r="B37" i="12"/>
  <c r="I37" i="12"/>
  <c r="J37" i="12"/>
  <c r="K37" i="12"/>
  <c r="A38" i="12"/>
  <c r="H38" i="12"/>
  <c r="G38" i="12"/>
  <c r="F38" i="12"/>
  <c r="L38" i="12"/>
  <c r="E38" i="12"/>
  <c r="C38" i="12"/>
  <c r="D38" i="12"/>
  <c r="B38" i="12"/>
  <c r="I38" i="12"/>
  <c r="J38" i="12"/>
  <c r="K38" i="12"/>
  <c r="A39" i="12"/>
  <c r="H39" i="12"/>
  <c r="G39" i="12"/>
  <c r="F39" i="12"/>
  <c r="L39" i="12"/>
  <c r="E39" i="12"/>
  <c r="C39" i="12"/>
  <c r="D39" i="12"/>
  <c r="B39" i="12"/>
  <c r="I39" i="12"/>
  <c r="J39" i="12"/>
  <c r="K39" i="12"/>
  <c r="A40" i="12"/>
  <c r="H40" i="12"/>
  <c r="G40" i="12"/>
  <c r="F40" i="12"/>
  <c r="L40" i="12"/>
  <c r="E40" i="12"/>
  <c r="C40" i="12"/>
  <c r="D40" i="12"/>
  <c r="B40" i="12"/>
  <c r="I40" i="12"/>
  <c r="J40" i="12"/>
  <c r="K40" i="12"/>
  <c r="A41" i="12"/>
  <c r="H41" i="12"/>
  <c r="G41" i="12"/>
  <c r="F41" i="12"/>
  <c r="L41" i="12"/>
  <c r="E41" i="12"/>
  <c r="C41" i="12"/>
  <c r="D41" i="12"/>
  <c r="B41" i="12"/>
  <c r="I41" i="12"/>
  <c r="J41" i="12"/>
  <c r="K41" i="12"/>
  <c r="A42" i="12"/>
  <c r="H42" i="12"/>
  <c r="G42" i="12"/>
  <c r="F42" i="12"/>
  <c r="L42" i="12"/>
  <c r="E42" i="12"/>
  <c r="C42" i="12"/>
  <c r="D42" i="12"/>
  <c r="B42" i="12"/>
  <c r="I42" i="12"/>
  <c r="J42" i="12"/>
  <c r="K42" i="12"/>
  <c r="A43" i="12"/>
  <c r="H43" i="12"/>
  <c r="G43" i="12"/>
  <c r="F43" i="12"/>
  <c r="L43" i="12"/>
  <c r="E43" i="12"/>
  <c r="C43" i="12"/>
  <c r="D43" i="12"/>
  <c r="B43" i="12"/>
  <c r="I43" i="12"/>
  <c r="J43" i="12"/>
  <c r="K43" i="12"/>
  <c r="A44" i="12"/>
  <c r="H44" i="12"/>
  <c r="G44" i="12"/>
  <c r="F44" i="12"/>
  <c r="L44" i="12"/>
  <c r="E44" i="12"/>
  <c r="C44" i="12"/>
  <c r="D44" i="12"/>
  <c r="B44" i="12"/>
  <c r="I44" i="12"/>
  <c r="J44" i="12"/>
  <c r="K44" i="12"/>
  <c r="A45" i="12"/>
  <c r="H45" i="12"/>
  <c r="G45" i="12"/>
  <c r="F45" i="12"/>
  <c r="L45" i="12"/>
  <c r="E45" i="12"/>
  <c r="C45" i="12"/>
  <c r="D45" i="12"/>
  <c r="B45" i="12"/>
  <c r="I45" i="12"/>
  <c r="J45" i="12"/>
  <c r="K45" i="12"/>
  <c r="A46" i="12"/>
  <c r="H46" i="12"/>
  <c r="G46" i="12"/>
  <c r="F46" i="12"/>
  <c r="L46" i="12"/>
  <c r="E46" i="12"/>
  <c r="C46" i="12"/>
  <c r="D46" i="12"/>
  <c r="B46" i="12"/>
  <c r="I46" i="12"/>
  <c r="J46" i="12"/>
  <c r="K46" i="12"/>
  <c r="A47" i="12"/>
  <c r="H47" i="12"/>
  <c r="G47" i="12"/>
  <c r="F47" i="12"/>
  <c r="L47" i="12"/>
  <c r="E47" i="12"/>
  <c r="C47" i="12"/>
  <c r="D47" i="12"/>
  <c r="B47" i="12"/>
  <c r="I47" i="12"/>
  <c r="J47" i="12"/>
  <c r="K47" i="12"/>
  <c r="A48" i="12"/>
  <c r="H48" i="12"/>
  <c r="G48" i="12"/>
  <c r="F48" i="12"/>
  <c r="L48" i="12"/>
  <c r="E48" i="12"/>
  <c r="C48" i="12"/>
  <c r="D48" i="12"/>
  <c r="B48" i="12"/>
  <c r="I48" i="12"/>
  <c r="J48" i="12"/>
  <c r="K48" i="12"/>
  <c r="A49" i="12"/>
  <c r="H49" i="12"/>
  <c r="G49" i="12"/>
  <c r="F49" i="12"/>
  <c r="L49" i="12"/>
  <c r="E49" i="12"/>
  <c r="C49" i="12"/>
  <c r="D49" i="12"/>
  <c r="B49" i="12"/>
  <c r="I49" i="12"/>
  <c r="J49" i="12"/>
  <c r="K49" i="12"/>
  <c r="A50" i="12"/>
  <c r="H50" i="12"/>
  <c r="G50" i="12"/>
  <c r="F50" i="12"/>
  <c r="L50" i="12"/>
  <c r="E50" i="12"/>
  <c r="C50" i="12"/>
  <c r="D50" i="12"/>
  <c r="B50" i="12"/>
  <c r="I50" i="12"/>
  <c r="J50" i="12"/>
  <c r="K50" i="12"/>
  <c r="A51" i="12"/>
  <c r="H51" i="12"/>
  <c r="G51" i="12"/>
  <c r="F51" i="12"/>
  <c r="L51" i="12"/>
  <c r="E51" i="12"/>
  <c r="C51" i="12"/>
  <c r="D51" i="12"/>
  <c r="B51" i="12"/>
  <c r="I51" i="12"/>
  <c r="J51" i="12"/>
  <c r="K51" i="12"/>
  <c r="A52" i="12"/>
  <c r="H52" i="12"/>
  <c r="G52" i="12"/>
  <c r="F52" i="12"/>
  <c r="L52" i="12"/>
  <c r="E52" i="12"/>
  <c r="C52" i="12"/>
  <c r="D52" i="12"/>
  <c r="B52" i="12"/>
  <c r="I52" i="12"/>
  <c r="J52" i="12"/>
  <c r="K52" i="12"/>
  <c r="A53" i="12"/>
  <c r="H53" i="12"/>
  <c r="G53" i="12"/>
  <c r="F53" i="12"/>
  <c r="L53" i="12"/>
  <c r="E53" i="12"/>
  <c r="C53" i="12"/>
  <c r="D53" i="12"/>
  <c r="B53" i="12"/>
  <c r="I53" i="12"/>
  <c r="J53" i="12"/>
  <c r="K53" i="12"/>
  <c r="A54" i="12"/>
  <c r="H54" i="12"/>
  <c r="G54" i="12"/>
  <c r="F54" i="12"/>
  <c r="L54" i="12"/>
  <c r="E54" i="12"/>
  <c r="C54" i="12"/>
  <c r="D54" i="12"/>
  <c r="B54" i="12"/>
  <c r="I54" i="12"/>
  <c r="J54" i="12"/>
  <c r="K54" i="12"/>
  <c r="A55" i="12"/>
  <c r="H55" i="12"/>
  <c r="G55" i="12"/>
  <c r="F55" i="12"/>
  <c r="L55" i="12"/>
  <c r="E55" i="12"/>
  <c r="C55" i="12"/>
  <c r="D55" i="12"/>
  <c r="B55" i="12"/>
  <c r="I55" i="12"/>
  <c r="J55" i="12"/>
  <c r="K55" i="12"/>
  <c r="A56" i="12"/>
  <c r="H56" i="12"/>
  <c r="G56" i="12"/>
  <c r="F56" i="12"/>
  <c r="L56" i="12"/>
  <c r="E56" i="12"/>
  <c r="C56" i="12"/>
  <c r="D56" i="12"/>
  <c r="B56" i="12"/>
  <c r="I56" i="12"/>
  <c r="J56" i="12"/>
  <c r="K56" i="12"/>
  <c r="A57" i="12"/>
  <c r="H57" i="12"/>
  <c r="G57" i="12"/>
  <c r="F57" i="12"/>
  <c r="L57" i="12"/>
  <c r="E57" i="12"/>
  <c r="C57" i="12"/>
  <c r="D57" i="12"/>
  <c r="B57" i="12"/>
  <c r="I57" i="12"/>
  <c r="J57" i="12"/>
  <c r="K57" i="12"/>
  <c r="A58" i="12"/>
  <c r="H58" i="12"/>
  <c r="G58" i="12"/>
  <c r="F58" i="12"/>
  <c r="L58" i="12"/>
  <c r="E58" i="12"/>
  <c r="C58" i="12"/>
  <c r="D58" i="12"/>
  <c r="B58" i="12"/>
  <c r="I58" i="12"/>
  <c r="J58" i="12"/>
  <c r="K58" i="12"/>
  <c r="A59" i="12"/>
  <c r="H59" i="12"/>
  <c r="G59" i="12"/>
  <c r="F59" i="12"/>
  <c r="L59" i="12"/>
  <c r="E59" i="12"/>
  <c r="C59" i="12"/>
  <c r="D59" i="12"/>
  <c r="B59" i="12"/>
  <c r="I59" i="12"/>
  <c r="J59" i="12"/>
  <c r="K59" i="12"/>
  <c r="A60" i="12"/>
  <c r="H60" i="12"/>
  <c r="G60" i="12"/>
  <c r="F60" i="12"/>
  <c r="L60" i="12"/>
  <c r="E60" i="12"/>
  <c r="C60" i="12"/>
  <c r="D60" i="12"/>
  <c r="B60" i="12"/>
  <c r="I60" i="12"/>
  <c r="J60" i="12"/>
  <c r="K60" i="12"/>
  <c r="A61" i="12"/>
  <c r="H61" i="12"/>
  <c r="G61" i="12"/>
  <c r="F61" i="12"/>
  <c r="L61" i="12"/>
  <c r="E61" i="12"/>
  <c r="C61" i="12"/>
  <c r="D61" i="12"/>
  <c r="B61" i="12"/>
  <c r="I61" i="12"/>
  <c r="J61" i="12"/>
  <c r="K61" i="12"/>
  <c r="A62" i="12"/>
  <c r="H62" i="12"/>
  <c r="G62" i="12"/>
  <c r="F62" i="12"/>
  <c r="L62" i="12"/>
  <c r="E62" i="12"/>
  <c r="C62" i="12"/>
  <c r="D62" i="12"/>
  <c r="B62" i="12"/>
  <c r="I62" i="12"/>
  <c r="J62" i="12"/>
  <c r="K62" i="12"/>
  <c r="A63" i="12"/>
  <c r="H63" i="12"/>
  <c r="G63" i="12"/>
  <c r="F63" i="12"/>
  <c r="L63" i="12"/>
  <c r="E63" i="12"/>
  <c r="C63" i="12"/>
  <c r="D63" i="12"/>
  <c r="B63" i="12"/>
  <c r="I63" i="12"/>
  <c r="J63" i="12"/>
  <c r="K63" i="12"/>
  <c r="A64" i="12"/>
  <c r="H64" i="12"/>
  <c r="G64" i="12"/>
  <c r="F64" i="12"/>
  <c r="L64" i="12"/>
  <c r="E64" i="12"/>
  <c r="C64" i="12"/>
  <c r="D64" i="12"/>
  <c r="B64" i="12"/>
  <c r="I64" i="12"/>
  <c r="J64" i="12"/>
  <c r="K64" i="12"/>
  <c r="A65" i="12"/>
  <c r="H65" i="12"/>
  <c r="G65" i="12"/>
  <c r="F65" i="12"/>
  <c r="L65" i="12"/>
  <c r="E65" i="12"/>
  <c r="C65" i="12"/>
  <c r="D65" i="12"/>
  <c r="B65" i="12"/>
  <c r="I65" i="12"/>
  <c r="J65" i="12"/>
  <c r="K65" i="12"/>
  <c r="A66" i="12"/>
  <c r="H66" i="12"/>
  <c r="G66" i="12"/>
  <c r="F66" i="12"/>
  <c r="L66" i="12"/>
  <c r="E66" i="12"/>
  <c r="C66" i="12"/>
  <c r="D66" i="12"/>
  <c r="B66" i="12"/>
  <c r="I66" i="12"/>
  <c r="J66" i="12"/>
  <c r="K66" i="12"/>
  <c r="A67" i="12"/>
  <c r="H67" i="12"/>
  <c r="G67" i="12"/>
  <c r="F67" i="12"/>
  <c r="L67" i="12"/>
  <c r="E67" i="12"/>
  <c r="C67" i="12"/>
  <c r="D67" i="12"/>
  <c r="B67" i="12"/>
  <c r="I67" i="12"/>
  <c r="J67" i="12"/>
  <c r="K67" i="12"/>
  <c r="A68" i="12"/>
  <c r="H68" i="12"/>
  <c r="G68" i="12"/>
  <c r="F68" i="12"/>
  <c r="L68" i="12"/>
  <c r="E68" i="12"/>
  <c r="C68" i="12"/>
  <c r="D68" i="12"/>
  <c r="B68" i="12"/>
  <c r="I68" i="12"/>
  <c r="J68" i="12"/>
  <c r="K68" i="12"/>
  <c r="A69" i="12"/>
  <c r="H69" i="12"/>
  <c r="G69" i="12"/>
  <c r="F69" i="12"/>
  <c r="L69" i="12"/>
  <c r="E69" i="12"/>
  <c r="C69" i="12"/>
  <c r="D69" i="12"/>
  <c r="B69" i="12"/>
  <c r="I69" i="12"/>
  <c r="J69" i="12"/>
  <c r="K69" i="12"/>
  <c r="A70" i="12"/>
  <c r="H70" i="12"/>
  <c r="G70" i="12"/>
  <c r="F70" i="12"/>
  <c r="L70" i="12"/>
  <c r="E70" i="12"/>
  <c r="C70" i="12"/>
  <c r="D70" i="12"/>
  <c r="B70" i="12"/>
  <c r="I70" i="12"/>
  <c r="J70" i="12"/>
  <c r="K70" i="12"/>
  <c r="A71" i="12"/>
  <c r="H71" i="12"/>
  <c r="G71" i="12"/>
  <c r="F71" i="12"/>
  <c r="L71" i="12"/>
  <c r="E71" i="12"/>
  <c r="C71" i="12"/>
  <c r="D71" i="12"/>
  <c r="B71" i="12"/>
  <c r="I71" i="12"/>
  <c r="J71" i="12"/>
  <c r="K71" i="12"/>
  <c r="A72" i="12"/>
  <c r="H72" i="12"/>
  <c r="G72" i="12"/>
  <c r="F72" i="12"/>
  <c r="L72" i="12"/>
  <c r="E72" i="12"/>
  <c r="C72" i="12"/>
  <c r="D72" i="12"/>
  <c r="B72" i="12"/>
  <c r="I72" i="12"/>
  <c r="J72" i="12"/>
  <c r="K72" i="12"/>
  <c r="A73" i="12"/>
  <c r="H73" i="12"/>
  <c r="G73" i="12"/>
  <c r="F73" i="12"/>
  <c r="L73" i="12"/>
  <c r="E73" i="12"/>
  <c r="C73" i="12"/>
  <c r="D73" i="12"/>
  <c r="B73" i="12"/>
  <c r="I73" i="12"/>
  <c r="J73" i="12"/>
  <c r="K73" i="12"/>
  <c r="A74" i="12"/>
  <c r="H74" i="12"/>
  <c r="G74" i="12"/>
  <c r="F74" i="12"/>
  <c r="L74" i="12"/>
  <c r="E74" i="12"/>
  <c r="C74" i="12"/>
  <c r="D74" i="12"/>
  <c r="B74" i="12"/>
  <c r="I74" i="12"/>
  <c r="J74" i="12"/>
  <c r="K74" i="12"/>
  <c r="A75" i="12"/>
  <c r="H75" i="12"/>
  <c r="G75" i="12"/>
  <c r="F75" i="12"/>
  <c r="L75" i="12"/>
  <c r="E75" i="12"/>
  <c r="C75" i="12"/>
  <c r="D75" i="12"/>
  <c r="B75" i="12"/>
  <c r="I75" i="12"/>
  <c r="J75" i="12"/>
  <c r="K75" i="12"/>
  <c r="A76" i="12"/>
  <c r="H76" i="12"/>
  <c r="G76" i="12"/>
  <c r="F76" i="12"/>
  <c r="L76" i="12"/>
  <c r="E76" i="12"/>
  <c r="C76" i="12"/>
  <c r="D76" i="12"/>
  <c r="B76" i="12"/>
  <c r="I76" i="12"/>
  <c r="J76" i="12"/>
  <c r="K76" i="12"/>
  <c r="A77" i="12"/>
  <c r="H77" i="12"/>
  <c r="G77" i="12"/>
  <c r="F77" i="12"/>
  <c r="L77" i="12"/>
  <c r="E77" i="12"/>
  <c r="C77" i="12"/>
  <c r="D77" i="12"/>
  <c r="B77" i="12"/>
  <c r="I77" i="12"/>
  <c r="J77" i="12"/>
  <c r="K77" i="12"/>
  <c r="A78" i="12"/>
  <c r="H78" i="12"/>
  <c r="G78" i="12"/>
  <c r="F78" i="12"/>
  <c r="L78" i="12"/>
  <c r="E78" i="12"/>
  <c r="C78" i="12"/>
  <c r="D78" i="12"/>
  <c r="B78" i="12"/>
  <c r="I78" i="12"/>
  <c r="J78" i="12"/>
  <c r="K78" i="12"/>
  <c r="A79" i="12"/>
  <c r="H79" i="12"/>
  <c r="G79" i="12"/>
  <c r="F79" i="12"/>
  <c r="L79" i="12"/>
  <c r="E79" i="12"/>
  <c r="C79" i="12"/>
  <c r="D79" i="12"/>
  <c r="B79" i="12"/>
  <c r="I79" i="12"/>
  <c r="J79" i="12"/>
  <c r="K79" i="12"/>
  <c r="A80" i="12"/>
  <c r="H80" i="12"/>
  <c r="G80" i="12"/>
  <c r="F80" i="12"/>
  <c r="L80" i="12"/>
  <c r="E80" i="12"/>
  <c r="C80" i="12"/>
  <c r="D80" i="12"/>
  <c r="B80" i="12"/>
  <c r="I80" i="12"/>
  <c r="J80" i="12"/>
  <c r="K80" i="12"/>
  <c r="A81" i="12"/>
  <c r="H81" i="12"/>
  <c r="G81" i="12"/>
  <c r="F81" i="12"/>
  <c r="L81" i="12"/>
  <c r="E81" i="12"/>
  <c r="C81" i="12"/>
  <c r="D81" i="12"/>
  <c r="B81" i="12"/>
  <c r="I81" i="12"/>
  <c r="J81" i="12"/>
  <c r="K81" i="12"/>
  <c r="A82" i="12"/>
  <c r="H82" i="12"/>
  <c r="G82" i="12"/>
  <c r="F82" i="12"/>
  <c r="L82" i="12"/>
  <c r="E82" i="12"/>
  <c r="C82" i="12"/>
  <c r="D82" i="12"/>
  <c r="B82" i="12"/>
  <c r="I82" i="12"/>
  <c r="J82" i="12"/>
  <c r="K82" i="12"/>
  <c r="A83" i="12"/>
  <c r="H83" i="12"/>
  <c r="G83" i="12"/>
  <c r="F83" i="12"/>
  <c r="L83" i="12"/>
  <c r="E83" i="12"/>
  <c r="C83" i="12"/>
  <c r="D83" i="12"/>
  <c r="B83" i="12"/>
  <c r="I83" i="12"/>
  <c r="J83" i="12"/>
  <c r="K83" i="12"/>
  <c r="A84" i="12"/>
  <c r="H84" i="12"/>
  <c r="G84" i="12"/>
  <c r="F84" i="12"/>
  <c r="L84" i="12"/>
  <c r="E84" i="12"/>
  <c r="C84" i="12"/>
  <c r="D84" i="12"/>
  <c r="B84" i="12"/>
  <c r="I84" i="12"/>
  <c r="J84" i="12"/>
  <c r="K84" i="12"/>
  <c r="A85" i="12"/>
  <c r="H85" i="12"/>
  <c r="G85" i="12"/>
  <c r="F85" i="12"/>
  <c r="L85" i="12"/>
  <c r="E85" i="12"/>
  <c r="C85" i="12"/>
  <c r="D85" i="12"/>
  <c r="B85" i="12"/>
  <c r="I85" i="12"/>
  <c r="J85" i="12"/>
  <c r="K85" i="12"/>
  <c r="O24" i="3"/>
  <c r="N60" i="3"/>
  <c r="N59" i="3"/>
  <c r="N58" i="3"/>
  <c r="N57" i="3"/>
  <c r="N56" i="3"/>
  <c r="N55" i="3"/>
  <c r="N54" i="3"/>
  <c r="N53" i="3"/>
  <c r="N52" i="3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B12" i="6" a="1"/>
  <c r="B12" i="6" s="1"/>
  <c r="B42" i="6" a="1"/>
  <c r="B42" i="6" s="1"/>
  <c r="B36" i="6" a="1"/>
  <c r="B36" i="6" s="1"/>
  <c r="B33" i="6" a="1"/>
  <c r="B33" i="6" s="1"/>
  <c r="G21" i="2"/>
  <c r="G86" i="14" s="1" a="1"/>
  <c r="G86" i="14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 s="1"/>
  <c r="F61" i="10" a="1"/>
  <c r="F61" i="10" s="1"/>
  <c r="F62" i="10" a="1"/>
  <c r="F62" i="10" s="1"/>
  <c r="F63" i="10" a="1"/>
  <c r="F63" i="10" s="1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T25" i="3"/>
  <c r="T26" i="3"/>
  <c r="T27" i="3"/>
  <c r="T28" i="3"/>
  <c r="T29" i="3"/>
  <c r="T30" i="3"/>
  <c r="T31" i="3"/>
  <c r="T24" i="3"/>
  <c r="S24" i="3"/>
  <c r="S25" i="3"/>
  <c r="S26" i="3"/>
  <c r="S27" i="3"/>
  <c r="S28" i="3"/>
  <c r="S29" i="3"/>
  <c r="S30" i="3"/>
  <c r="S31" i="3"/>
  <c r="S32" i="3"/>
  <c r="S33" i="3"/>
  <c r="Q33" i="3"/>
  <c r="Q32" i="3"/>
  <c r="Q31" i="3"/>
  <c r="Q30" i="3"/>
  <c r="Q29" i="3"/>
  <c r="Q28" i="3"/>
  <c r="Q27" i="3"/>
  <c r="Q26" i="3"/>
  <c r="Q25" i="3"/>
  <c r="Q24" i="3"/>
  <c r="J26" i="3"/>
  <c r="J27" i="3"/>
  <c r="J28" i="3"/>
  <c r="J29" i="3"/>
  <c r="J30" i="3"/>
  <c r="J31" i="3"/>
  <c r="J32" i="3"/>
  <c r="J33" i="3"/>
  <c r="J25" i="3"/>
  <c r="L29" i="3"/>
  <c r="L30" i="3"/>
  <c r="L26" i="3"/>
  <c r="L31" i="3"/>
  <c r="L27" i="3"/>
  <c r="L25" i="3"/>
  <c r="L28" i="3"/>
  <c r="J24" i="3"/>
  <c r="L24" i="3"/>
  <c r="O27" i="3"/>
  <c r="O25" i="3"/>
  <c r="O26" i="3"/>
  <c r="O28" i="3"/>
  <c r="O29" i="3"/>
  <c r="O30" i="3"/>
  <c r="O33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B9" i="14" l="1" a="1"/>
  <c r="B9" i="14" s="1"/>
  <c r="B9" i="15" a="1"/>
  <c r="B9" i="15" s="1"/>
  <c r="F52" i="14" a="1"/>
  <c r="F52" i="14" s="1"/>
  <c r="F92" i="15" a="1"/>
  <c r="F92" i="15" s="1"/>
  <c r="M92" i="15" s="1"/>
  <c r="F54" i="14" a="1"/>
  <c r="F54" i="14" s="1"/>
  <c r="F52" i="15" a="1"/>
  <c r="F52" i="15" s="1"/>
  <c r="M52" i="15" s="1"/>
  <c r="F54" i="15" a="1"/>
  <c r="F54" i="15" s="1"/>
  <c r="M54" i="15" s="1"/>
  <c r="F93" i="15" a="1"/>
  <c r="F93" i="15" s="1"/>
  <c r="M93" i="15" s="1"/>
  <c r="F25" i="15" a="1"/>
  <c r="F25" i="15" s="1"/>
  <c r="M25" i="15" s="1"/>
  <c r="F92" i="14" a="1"/>
  <c r="F92" i="14" s="1"/>
  <c r="F25" i="14" a="1"/>
  <c r="F25" i="14" s="1"/>
  <c r="F93" i="14" a="1"/>
  <c r="F93" i="14" s="1"/>
  <c r="X8" i="2"/>
  <c r="T9" i="2"/>
  <c r="X9" i="2" s="1"/>
  <c r="X2" i="2"/>
  <c r="W25" i="3"/>
  <c r="W26" i="3"/>
  <c r="W28" i="3"/>
  <c r="W29" i="3"/>
  <c r="W30" i="3"/>
  <c r="W31" i="3"/>
  <c r="W32" i="3"/>
  <c r="W33" i="3"/>
  <c r="V27" i="3"/>
  <c r="W27" i="3" s="1"/>
  <c r="V24" i="3"/>
  <c r="W24" i="3" s="1"/>
  <c r="K7" i="19"/>
  <c r="K4" i="19"/>
  <c r="P68" i="18"/>
  <c r="R73" i="18"/>
  <c r="S73" i="18" s="1"/>
  <c r="P72" i="18"/>
  <c r="P64" i="18"/>
  <c r="P65" i="18"/>
  <c r="P67" i="18"/>
  <c r="L19" i="18"/>
  <c r="R85" i="18"/>
  <c r="S85" i="18" s="1"/>
  <c r="P85" i="18"/>
  <c r="R84" i="18"/>
  <c r="S84" i="18" s="1"/>
  <c r="P84" i="18"/>
  <c r="R83" i="18"/>
  <c r="S83" i="18" s="1"/>
  <c r="P83" i="18"/>
  <c r="R82" i="18"/>
  <c r="S82" i="18" s="1"/>
  <c r="P82" i="18"/>
  <c r="R81" i="18"/>
  <c r="S81" i="18" s="1"/>
  <c r="P81" i="18"/>
  <c r="R80" i="18"/>
  <c r="S80" i="18" s="1"/>
  <c r="P80" i="18"/>
  <c r="P79" i="18"/>
  <c r="R79" i="18"/>
  <c r="S79" i="18" s="1"/>
  <c r="R78" i="18"/>
  <c r="S78" i="18" s="1"/>
  <c r="P78" i="18"/>
  <c r="R77" i="18"/>
  <c r="S77" i="18" s="1"/>
  <c r="P77" i="18"/>
  <c r="P76" i="18"/>
  <c r="R76" i="18"/>
  <c r="S76" i="18" s="1"/>
  <c r="U76" i="18" s="1"/>
  <c r="P75" i="18"/>
  <c r="R75" i="18"/>
  <c r="S75" i="18" s="1"/>
  <c r="U75" i="18" s="1"/>
  <c r="P74" i="18"/>
  <c r="R74" i="18"/>
  <c r="S74" i="18" s="1"/>
  <c r="P73" i="18"/>
  <c r="R72" i="18"/>
  <c r="S72" i="18" s="1"/>
  <c r="R71" i="18"/>
  <c r="S71" i="18" s="1"/>
  <c r="P71" i="18"/>
  <c r="P70" i="18"/>
  <c r="R70" i="18"/>
  <c r="S70" i="18" s="1"/>
  <c r="R69" i="18"/>
  <c r="S69" i="18" s="1"/>
  <c r="P69" i="18"/>
  <c r="R68" i="18"/>
  <c r="S68" i="18" s="1"/>
  <c r="R67" i="18"/>
  <c r="S67" i="18" s="1"/>
  <c r="U67" i="18" s="1"/>
  <c r="R66" i="18"/>
  <c r="S66" i="18" s="1"/>
  <c r="P66" i="18"/>
  <c r="R65" i="18"/>
  <c r="S65" i="18" s="1"/>
  <c r="R64" i="18"/>
  <c r="S64" i="18" s="1"/>
  <c r="R63" i="18"/>
  <c r="S63" i="18" s="1"/>
  <c r="P63" i="18"/>
  <c r="R55" i="18"/>
  <c r="S55" i="18" s="1"/>
  <c r="P55" i="18"/>
  <c r="R50" i="18"/>
  <c r="S50" i="18" s="1"/>
  <c r="P50" i="18"/>
  <c r="R49" i="18"/>
  <c r="S49" i="18" s="1"/>
  <c r="P49" i="18"/>
  <c r="P47" i="18"/>
  <c r="R47" i="18"/>
  <c r="S47" i="18" s="1"/>
  <c r="U47" i="18" s="1"/>
  <c r="R46" i="18"/>
  <c r="S46" i="18" s="1"/>
  <c r="P46" i="18"/>
  <c r="R45" i="18"/>
  <c r="S45" i="18" s="1"/>
  <c r="P45" i="18"/>
  <c r="P44" i="18"/>
  <c r="R44" i="18"/>
  <c r="S44" i="18" s="1"/>
  <c r="U44" i="18" s="1"/>
  <c r="R43" i="18"/>
  <c r="S43" i="18" s="1"/>
  <c r="P43" i="18"/>
  <c r="P42" i="18"/>
  <c r="R42" i="18"/>
  <c r="S42" i="18" s="1"/>
  <c r="R41" i="18"/>
  <c r="S41" i="18" s="1"/>
  <c r="P41" i="18"/>
  <c r="R40" i="18"/>
  <c r="S40" i="18" s="1"/>
  <c r="P40" i="18"/>
  <c r="R39" i="18"/>
  <c r="S39" i="18" s="1"/>
  <c r="P39" i="18"/>
  <c r="R38" i="18"/>
  <c r="S38" i="18" s="1"/>
  <c r="P38" i="18"/>
  <c r="R37" i="18"/>
  <c r="S37" i="18" s="1"/>
  <c r="P37" i="18"/>
  <c r="R36" i="18"/>
  <c r="S36" i="18" s="1"/>
  <c r="P36" i="18"/>
  <c r="R35" i="18"/>
  <c r="S35" i="18" s="1"/>
  <c r="P35" i="18"/>
  <c r="R34" i="18"/>
  <c r="S34" i="18" s="1"/>
  <c r="P34" i="18"/>
  <c r="P33" i="18"/>
  <c r="R33" i="18"/>
  <c r="S33" i="18" s="1"/>
  <c r="P32" i="18"/>
  <c r="R32" i="18"/>
  <c r="S32" i="18" s="1"/>
  <c r="R31" i="18"/>
  <c r="S31" i="18" s="1"/>
  <c r="P31" i="18"/>
  <c r="P30" i="18"/>
  <c r="R30" i="18"/>
  <c r="S30" i="18" s="1"/>
  <c r="P29" i="18"/>
  <c r="R29" i="18"/>
  <c r="S29" i="18" s="1"/>
  <c r="R28" i="18"/>
  <c r="S28" i="18" s="1"/>
  <c r="P28" i="18"/>
  <c r="P27" i="18"/>
  <c r="R27" i="18"/>
  <c r="S27" i="18" s="1"/>
  <c r="U27" i="18" s="1"/>
  <c r="R26" i="18"/>
  <c r="S26" i="18" s="1"/>
  <c r="P26" i="18"/>
  <c r="P25" i="18"/>
  <c r="R25" i="18"/>
  <c r="S25" i="18" s="1"/>
  <c r="R24" i="18"/>
  <c r="S24" i="18" s="1"/>
  <c r="P24" i="18"/>
  <c r="P23" i="18"/>
  <c r="R23" i="18"/>
  <c r="S23" i="18" s="1"/>
  <c r="U23" i="18" s="1"/>
  <c r="P22" i="18"/>
  <c r="R22" i="18"/>
  <c r="S22" i="18" s="1"/>
  <c r="R21" i="18"/>
  <c r="S21" i="18" s="1"/>
  <c r="P21" i="18"/>
  <c r="P20" i="18"/>
  <c r="R20" i="18"/>
  <c r="S20" i="18" s="1"/>
  <c r="U20" i="18" s="1"/>
  <c r="R19" i="18"/>
  <c r="S19" i="18" s="1"/>
  <c r="P19" i="18"/>
  <c r="P18" i="18"/>
  <c r="R18" i="18"/>
  <c r="S18" i="18" s="1"/>
  <c r="U18" i="18" s="1"/>
  <c r="P17" i="18"/>
  <c r="R17" i="18"/>
  <c r="S17" i="18" s="1"/>
  <c r="P10" i="18"/>
  <c r="R10" i="18"/>
  <c r="S10" i="18" s="1"/>
  <c r="R9" i="18"/>
  <c r="S9" i="18" s="1"/>
  <c r="P9" i="18"/>
  <c r="R8" i="18"/>
  <c r="S8" i="18" s="1"/>
  <c r="P8" i="18"/>
  <c r="P7" i="18"/>
  <c r="R7" i="18"/>
  <c r="S7" i="18" s="1"/>
  <c r="P5" i="18"/>
  <c r="R5" i="18"/>
  <c r="S5" i="18" s="1"/>
  <c r="U5" i="18" s="1"/>
  <c r="P4" i="18"/>
  <c r="R4" i="18"/>
  <c r="S4" i="18" s="1"/>
  <c r="A101" i="18"/>
  <c r="B3" i="6" a="1"/>
  <c r="B3" i="6" s="1"/>
  <c r="B4" i="15" a="1"/>
  <c r="B4" i="15" s="1"/>
  <c r="B4" i="14" a="1"/>
  <c r="B4" i="14" s="1"/>
  <c r="B4" i="6" a="1"/>
  <c r="B4" i="6" s="1"/>
  <c r="B5" i="14" a="1"/>
  <c r="B5" i="14" s="1"/>
  <c r="B5" i="15" a="1"/>
  <c r="B5" i="15" s="1"/>
  <c r="F53" i="14" a="1"/>
  <c r="F53" i="14" s="1"/>
  <c r="F90" i="14" a="1"/>
  <c r="F90" i="14" s="1"/>
  <c r="F24" i="14" a="1"/>
  <c r="F24" i="14" s="1"/>
  <c r="F91" i="14" a="1"/>
  <c r="F91" i="14" s="1"/>
  <c r="F89" i="14" a="1"/>
  <c r="F89" i="14" s="1"/>
  <c r="F91" i="15" a="1"/>
  <c r="F91" i="15" s="1"/>
  <c r="M91" i="15" s="1"/>
  <c r="T91" i="15" s="1"/>
  <c r="F90" i="15" a="1"/>
  <c r="F90" i="15" s="1"/>
  <c r="M90" i="15" s="1"/>
  <c r="T90" i="15" s="1"/>
  <c r="F89" i="15" a="1"/>
  <c r="F89" i="15" s="1"/>
  <c r="M89" i="15" s="1"/>
  <c r="T89" i="15" s="1"/>
  <c r="F24" i="15" a="1"/>
  <c r="F24" i="15" s="1"/>
  <c r="F53" i="15" a="1"/>
  <c r="F53" i="15" s="1"/>
  <c r="M53" i="15" s="1"/>
  <c r="G73" i="6" a="1"/>
  <c r="G73" i="6" s="1"/>
  <c r="G86" i="15" a="1"/>
  <c r="G86" i="15" s="1"/>
  <c r="A101" i="17"/>
  <c r="L5" i="17"/>
  <c r="O5" i="17"/>
  <c r="L6" i="17"/>
  <c r="O6" i="17"/>
  <c r="L7" i="17"/>
  <c r="O7" i="17"/>
  <c r="O8" i="17"/>
  <c r="L8" i="17"/>
  <c r="L9" i="17"/>
  <c r="O9" i="17"/>
  <c r="L10" i="17"/>
  <c r="O10" i="17"/>
  <c r="L11" i="17"/>
  <c r="O11" i="17"/>
  <c r="L12" i="17"/>
  <c r="O12" i="17"/>
  <c r="L13" i="17"/>
  <c r="O13" i="17"/>
  <c r="L14" i="17"/>
  <c r="O14" i="17"/>
  <c r="L15" i="17"/>
  <c r="O15" i="17"/>
  <c r="L16" i="17"/>
  <c r="O16" i="17"/>
  <c r="L17" i="17"/>
  <c r="O17" i="17"/>
  <c r="L18" i="17"/>
  <c r="O18" i="17"/>
  <c r="L23" i="17"/>
  <c r="O19" i="17"/>
  <c r="L24" i="17"/>
  <c r="O20" i="17"/>
  <c r="L25" i="17"/>
  <c r="O21" i="17"/>
  <c r="L26" i="17"/>
  <c r="O22" i="17"/>
  <c r="L27" i="17"/>
  <c r="O23" i="17"/>
  <c r="L28" i="17"/>
  <c r="O24" i="17"/>
  <c r="L29" i="17"/>
  <c r="O25" i="17"/>
  <c r="L30" i="17"/>
  <c r="O26" i="17"/>
  <c r="L31" i="17"/>
  <c r="O27" i="17"/>
  <c r="L32" i="17"/>
  <c r="O28" i="17"/>
  <c r="L33" i="17"/>
  <c r="O29" i="17"/>
  <c r="L34" i="17"/>
  <c r="O30" i="17"/>
  <c r="L35" i="17"/>
  <c r="O31" i="17"/>
  <c r="L36" i="17"/>
  <c r="O32" i="17"/>
  <c r="L37" i="17"/>
  <c r="O33" i="17"/>
  <c r="L38" i="17"/>
  <c r="O34" i="17"/>
  <c r="L39" i="17"/>
  <c r="O35" i="17"/>
  <c r="L40" i="17"/>
  <c r="O36" i="17"/>
  <c r="L41" i="17"/>
  <c r="O37" i="17"/>
  <c r="L42" i="17"/>
  <c r="O38" i="17"/>
  <c r="L43" i="17"/>
  <c r="O39" i="17"/>
  <c r="L44" i="17"/>
  <c r="O40" i="17"/>
  <c r="L45" i="17"/>
  <c r="O41" i="17"/>
  <c r="L46" i="17"/>
  <c r="O42" i="17"/>
  <c r="L47" i="17"/>
  <c r="O43" i="17"/>
  <c r="L48" i="17"/>
  <c r="O44" i="17"/>
  <c r="L49" i="17"/>
  <c r="O45" i="17"/>
  <c r="L50" i="17"/>
  <c r="O46" i="17"/>
  <c r="L51" i="17"/>
  <c r="O47" i="17"/>
  <c r="L52" i="17"/>
  <c r="O48" i="17"/>
  <c r="L53" i="17"/>
  <c r="O49" i="17"/>
  <c r="L54" i="17"/>
  <c r="O50" i="17"/>
  <c r="L55" i="17"/>
  <c r="O51" i="17"/>
  <c r="L56" i="17"/>
  <c r="O52" i="17"/>
  <c r="L57" i="17"/>
  <c r="O53" i="17"/>
  <c r="L58" i="17"/>
  <c r="O54" i="17"/>
  <c r="L59" i="17"/>
  <c r="O55" i="17"/>
  <c r="L60" i="17"/>
  <c r="O56" i="17"/>
  <c r="L61" i="17"/>
  <c r="O57" i="17"/>
  <c r="L62" i="17"/>
  <c r="O58" i="17"/>
  <c r="L63" i="17"/>
  <c r="O59" i="17"/>
  <c r="L64" i="17"/>
  <c r="O60" i="17"/>
  <c r="L65" i="17"/>
  <c r="O61" i="17"/>
  <c r="L66" i="17"/>
  <c r="O62" i="17"/>
  <c r="L67" i="17"/>
  <c r="O63" i="17"/>
  <c r="L68" i="17"/>
  <c r="O64" i="17"/>
  <c r="L69" i="17"/>
  <c r="O65" i="17"/>
  <c r="L70" i="17"/>
  <c r="O66" i="17"/>
  <c r="L71" i="17"/>
  <c r="O67" i="17"/>
  <c r="O68" i="17"/>
  <c r="L72" i="17"/>
  <c r="L73" i="17"/>
  <c r="O69" i="17"/>
  <c r="O70" i="17"/>
  <c r="L74" i="17"/>
  <c r="O71" i="17"/>
  <c r="L75" i="17"/>
  <c r="L76" i="17"/>
  <c r="O72" i="17"/>
  <c r="L77" i="17"/>
  <c r="O73" i="17"/>
  <c r="L78" i="17"/>
  <c r="O74" i="17"/>
  <c r="L79" i="17"/>
  <c r="O75" i="17"/>
  <c r="O76" i="17"/>
  <c r="L80" i="17"/>
  <c r="L81" i="17"/>
  <c r="O77" i="17"/>
  <c r="L82" i="17"/>
  <c r="O78" i="17"/>
  <c r="L83" i="17"/>
  <c r="O79" i="17"/>
  <c r="L84" i="17"/>
  <c r="O80" i="17"/>
  <c r="L85" i="17"/>
  <c r="O81" i="17"/>
  <c r="O82" i="17"/>
  <c r="L86" i="17"/>
  <c r="L87" i="17"/>
  <c r="O83" i="17"/>
  <c r="L88" i="17"/>
  <c r="O84" i="17"/>
  <c r="L89" i="17"/>
  <c r="O85" i="17"/>
  <c r="L4" i="17"/>
  <c r="O4" i="17"/>
  <c r="S70" i="17"/>
  <c r="T70" i="17" s="1"/>
  <c r="Q70" i="17"/>
  <c r="Q85" i="17"/>
  <c r="S85" i="17"/>
  <c r="T85" i="17" s="1"/>
  <c r="Q84" i="17"/>
  <c r="S84" i="17"/>
  <c r="T84" i="17" s="1"/>
  <c r="Q83" i="17"/>
  <c r="S83" i="17"/>
  <c r="T83" i="17" s="1"/>
  <c r="Q82" i="17"/>
  <c r="S82" i="17"/>
  <c r="T82" i="17" s="1"/>
  <c r="Q81" i="17"/>
  <c r="S81" i="17"/>
  <c r="T81" i="17" s="1"/>
  <c r="Q80" i="17"/>
  <c r="S80" i="17"/>
  <c r="T80" i="17" s="1"/>
  <c r="S79" i="17"/>
  <c r="T79" i="17" s="1"/>
  <c r="Q78" i="17"/>
  <c r="S78" i="17"/>
  <c r="T78" i="17" s="1"/>
  <c r="S77" i="17"/>
  <c r="T77" i="17" s="1"/>
  <c r="Q77" i="17"/>
  <c r="Q76" i="17"/>
  <c r="S76" i="17"/>
  <c r="T76" i="17" s="1"/>
  <c r="S75" i="17"/>
  <c r="T75" i="17" s="1"/>
  <c r="Q75" i="17"/>
  <c r="S74" i="17"/>
  <c r="T74" i="17" s="1"/>
  <c r="Q74" i="17"/>
  <c r="Q73" i="17"/>
  <c r="S73" i="17"/>
  <c r="T73" i="17" s="1"/>
  <c r="S72" i="17"/>
  <c r="T72" i="17" s="1"/>
  <c r="Q72" i="17"/>
  <c r="Q71" i="17"/>
  <c r="S71" i="17"/>
  <c r="T71" i="17" s="1"/>
  <c r="Q69" i="17"/>
  <c r="S69" i="17"/>
  <c r="T69" i="17" s="1"/>
  <c r="S68" i="17"/>
  <c r="T68" i="17" s="1"/>
  <c r="Q68" i="17"/>
  <c r="S67" i="17"/>
  <c r="T67" i="17" s="1"/>
  <c r="Q67" i="17"/>
  <c r="Q66" i="17"/>
  <c r="S66" i="17"/>
  <c r="T66" i="17" s="1"/>
  <c r="Q65" i="17"/>
  <c r="S65" i="17"/>
  <c r="T65" i="17" s="1"/>
  <c r="S64" i="17"/>
  <c r="T64" i="17" s="1"/>
  <c r="Q64" i="17"/>
  <c r="S63" i="17"/>
  <c r="T63" i="17" s="1"/>
  <c r="Q63" i="17"/>
  <c r="Q62" i="17"/>
  <c r="S62" i="17"/>
  <c r="T62" i="17" s="1"/>
  <c r="Q61" i="17"/>
  <c r="S61" i="17"/>
  <c r="T61" i="17" s="1"/>
  <c r="Q60" i="17"/>
  <c r="S60" i="17"/>
  <c r="T60" i="17" s="1"/>
  <c r="Q59" i="17"/>
  <c r="S59" i="17"/>
  <c r="T59" i="17" s="1"/>
  <c r="Q58" i="17"/>
  <c r="S58" i="17"/>
  <c r="T58" i="17" s="1"/>
  <c r="S57" i="17"/>
  <c r="T57" i="17" s="1"/>
  <c r="Q57" i="17"/>
  <c r="S56" i="17"/>
  <c r="Q56" i="17"/>
  <c r="T56" i="17"/>
  <c r="S55" i="17"/>
  <c r="T55" i="17" s="1"/>
  <c r="Q55" i="17"/>
  <c r="S54" i="17"/>
  <c r="T54" i="17" s="1"/>
  <c r="Q54" i="17"/>
  <c r="S53" i="17"/>
  <c r="T53" i="17" s="1"/>
  <c r="Q53" i="17"/>
  <c r="Q52" i="17"/>
  <c r="S52" i="17"/>
  <c r="T52" i="17" s="1"/>
  <c r="S51" i="17"/>
  <c r="T51" i="17" s="1"/>
  <c r="Q51" i="17"/>
  <c r="S50" i="17"/>
  <c r="T50" i="17" s="1"/>
  <c r="Q50" i="17"/>
  <c r="S49" i="17"/>
  <c r="T49" i="17" s="1"/>
  <c r="Q49" i="17"/>
  <c r="S48" i="17"/>
  <c r="T48" i="17" s="1"/>
  <c r="Q48" i="17"/>
  <c r="S47" i="17"/>
  <c r="T47" i="17" s="1"/>
  <c r="Q47" i="17"/>
  <c r="Q46" i="17"/>
  <c r="S46" i="17"/>
  <c r="T46" i="17" s="1"/>
  <c r="S45" i="17"/>
  <c r="T45" i="17" s="1"/>
  <c r="Q45" i="17"/>
  <c r="S44" i="17"/>
  <c r="T44" i="17" s="1"/>
  <c r="Q44" i="17"/>
  <c r="S43" i="17"/>
  <c r="T43" i="17" s="1"/>
  <c r="Q43" i="17"/>
  <c r="Q42" i="17"/>
  <c r="S42" i="17"/>
  <c r="T42" i="17" s="1"/>
  <c r="Q41" i="17"/>
  <c r="S41" i="17"/>
  <c r="T41" i="17" s="1"/>
  <c r="Q40" i="17"/>
  <c r="S40" i="17"/>
  <c r="T40" i="17" s="1"/>
  <c r="Q39" i="17"/>
  <c r="S39" i="17"/>
  <c r="T39" i="17" s="1"/>
  <c r="Q38" i="17"/>
  <c r="S38" i="17"/>
  <c r="T38" i="17" s="1"/>
  <c r="Q37" i="17"/>
  <c r="S37" i="17"/>
  <c r="T37" i="17" s="1"/>
  <c r="Q36" i="17"/>
  <c r="S36" i="17"/>
  <c r="T36" i="17" s="1"/>
  <c r="S35" i="17"/>
  <c r="T35" i="17" s="1"/>
  <c r="Q35" i="17"/>
  <c r="S34" i="17"/>
  <c r="T34" i="17" s="1"/>
  <c r="Q34" i="17"/>
  <c r="S33" i="17"/>
  <c r="T33" i="17" s="1"/>
  <c r="Q33" i="17"/>
  <c r="Q32" i="17"/>
  <c r="S32" i="17"/>
  <c r="T32" i="17" s="1"/>
  <c r="S31" i="17"/>
  <c r="T31" i="17" s="1"/>
  <c r="Q31" i="17"/>
  <c r="S30" i="17"/>
  <c r="T30" i="17" s="1"/>
  <c r="Q30" i="17"/>
  <c r="Q29" i="17"/>
  <c r="S29" i="17"/>
  <c r="T29" i="17" s="1"/>
  <c r="Q28" i="17"/>
  <c r="S28" i="17"/>
  <c r="T28" i="17" s="1"/>
  <c r="Q27" i="17"/>
  <c r="S27" i="17"/>
  <c r="T27" i="17" s="1"/>
  <c r="S26" i="17"/>
  <c r="T26" i="17" s="1"/>
  <c r="Q26" i="17"/>
  <c r="S25" i="17"/>
  <c r="T25" i="17" s="1"/>
  <c r="Q25" i="17"/>
  <c r="Q24" i="17"/>
  <c r="S24" i="17"/>
  <c r="T24" i="17" s="1"/>
  <c r="S23" i="17"/>
  <c r="T23" i="17" s="1"/>
  <c r="Q23" i="17"/>
  <c r="S22" i="17"/>
  <c r="T22" i="17" s="1"/>
  <c r="Q22" i="17"/>
  <c r="Q21" i="17"/>
  <c r="S21" i="17"/>
  <c r="T21" i="17" s="1"/>
  <c r="Q20" i="17"/>
  <c r="S20" i="17"/>
  <c r="T20" i="17" s="1"/>
  <c r="Q19" i="17"/>
  <c r="S19" i="17"/>
  <c r="T19" i="17" s="1"/>
  <c r="Q18" i="17"/>
  <c r="S18" i="17"/>
  <c r="T18" i="17" s="1"/>
  <c r="Q17" i="17"/>
  <c r="S17" i="17"/>
  <c r="T17" i="17" s="1"/>
  <c r="Q16" i="17"/>
  <c r="S16" i="17"/>
  <c r="T16" i="17" s="1"/>
  <c r="S15" i="17"/>
  <c r="T15" i="17" s="1"/>
  <c r="Q15" i="17"/>
  <c r="Q14" i="17"/>
  <c r="S14" i="17"/>
  <c r="T14" i="17" s="1"/>
  <c r="Q13" i="17"/>
  <c r="S13" i="17"/>
  <c r="T13" i="17" s="1"/>
  <c r="Q12" i="17"/>
  <c r="S12" i="17"/>
  <c r="T12" i="17" s="1"/>
  <c r="S11" i="17"/>
  <c r="T11" i="17" s="1"/>
  <c r="Q11" i="17"/>
  <c r="S10" i="17"/>
  <c r="T10" i="17" s="1"/>
  <c r="Q10" i="17"/>
  <c r="S9" i="17"/>
  <c r="T9" i="17" s="1"/>
  <c r="Q9" i="17"/>
  <c r="S8" i="17"/>
  <c r="T8" i="17" s="1"/>
  <c r="Q8" i="17"/>
  <c r="S7" i="17"/>
  <c r="T7" i="17" s="1"/>
  <c r="Q7" i="17"/>
  <c r="Q6" i="17"/>
  <c r="S6" i="17"/>
  <c r="T6" i="17" s="1"/>
  <c r="Q5" i="17"/>
  <c r="S5" i="17"/>
  <c r="T5" i="17" s="1"/>
  <c r="S4" i="17"/>
  <c r="T4" i="17" s="1"/>
  <c r="Q4" i="17"/>
  <c r="U94" i="14"/>
  <c r="U95" i="14"/>
  <c r="U96" i="14"/>
  <c r="U97" i="14"/>
  <c r="U98" i="14"/>
  <c r="U93" i="14"/>
  <c r="U92" i="14"/>
  <c r="R99" i="14"/>
  <c r="S99" i="14" s="1"/>
  <c r="P99" i="14"/>
  <c r="S4" i="14"/>
  <c r="R6" i="14"/>
  <c r="S6" i="14" s="1"/>
  <c r="P6" i="14"/>
  <c r="U6" i="14" s="1"/>
  <c r="R7" i="14"/>
  <c r="S7" i="14" s="1"/>
  <c r="P7" i="14"/>
  <c r="R8" i="14"/>
  <c r="S8" i="14" s="1"/>
  <c r="P8" i="14"/>
  <c r="P9" i="14"/>
  <c r="R9" i="14"/>
  <c r="S9" i="14" s="1"/>
  <c r="P12" i="14"/>
  <c r="R12" i="14"/>
  <c r="S12" i="14" s="1"/>
  <c r="R13" i="14"/>
  <c r="S13" i="14" s="1"/>
  <c r="P13" i="14"/>
  <c r="R14" i="14"/>
  <c r="S14" i="14" s="1"/>
  <c r="P14" i="14"/>
  <c r="R16" i="14"/>
  <c r="S16" i="14" s="1"/>
  <c r="P16" i="14"/>
  <c r="R17" i="14"/>
  <c r="S17" i="14" s="1"/>
  <c r="P17" i="14"/>
  <c r="R18" i="14"/>
  <c r="S18" i="14" s="1"/>
  <c r="P18" i="14"/>
  <c r="R19" i="14"/>
  <c r="S19" i="14" s="1"/>
  <c r="P19" i="14"/>
  <c r="R20" i="14"/>
  <c r="S20" i="14" s="1"/>
  <c r="P20" i="14"/>
  <c r="R21" i="14"/>
  <c r="S21" i="14" s="1"/>
  <c r="P21" i="14"/>
  <c r="R22" i="14"/>
  <c r="S22" i="14" s="1"/>
  <c r="P22" i="14"/>
  <c r="U22" i="14" s="1"/>
  <c r="R23" i="14"/>
  <c r="S23" i="14" s="1"/>
  <c r="P23" i="14"/>
  <c r="R24" i="14"/>
  <c r="S24" i="14" s="1"/>
  <c r="P24" i="14"/>
  <c r="R25" i="14"/>
  <c r="S25" i="14" s="1"/>
  <c r="P25" i="14"/>
  <c r="R26" i="14"/>
  <c r="S26" i="14" s="1"/>
  <c r="P26" i="14"/>
  <c r="R27" i="14"/>
  <c r="S27" i="14" s="1"/>
  <c r="P27" i="14"/>
  <c r="U27" i="14" s="1"/>
  <c r="R28" i="14"/>
  <c r="S28" i="14" s="1"/>
  <c r="P28" i="14"/>
  <c r="R29" i="14"/>
  <c r="S29" i="14" s="1"/>
  <c r="P29" i="14"/>
  <c r="R30" i="14"/>
  <c r="S30" i="14" s="1"/>
  <c r="P30" i="14"/>
  <c r="R31" i="14"/>
  <c r="S31" i="14" s="1"/>
  <c r="P31" i="14"/>
  <c r="R32" i="14"/>
  <c r="S32" i="14" s="1"/>
  <c r="P32" i="14"/>
  <c r="R33" i="14"/>
  <c r="S33" i="14" s="1"/>
  <c r="P33" i="14"/>
  <c r="R34" i="14"/>
  <c r="S34" i="14" s="1"/>
  <c r="P34" i="14"/>
  <c r="P35" i="14"/>
  <c r="R35" i="14"/>
  <c r="S35" i="14" s="1"/>
  <c r="P36" i="14"/>
  <c r="R36" i="14"/>
  <c r="S36" i="14" s="1"/>
  <c r="U36" i="14" s="1"/>
  <c r="R37" i="14"/>
  <c r="S37" i="14" s="1"/>
  <c r="P37" i="14"/>
  <c r="R38" i="14"/>
  <c r="S38" i="14" s="1"/>
  <c r="U38" i="14" s="1"/>
  <c r="P38" i="14"/>
  <c r="P39" i="14"/>
  <c r="R39" i="14"/>
  <c r="S39" i="14" s="1"/>
  <c r="R40" i="14"/>
  <c r="S40" i="14" s="1"/>
  <c r="P40" i="14"/>
  <c r="R41" i="14"/>
  <c r="S41" i="14" s="1"/>
  <c r="P41" i="14"/>
  <c r="R42" i="14"/>
  <c r="S42" i="14" s="1"/>
  <c r="P42" i="14"/>
  <c r="R43" i="14"/>
  <c r="S43" i="14" s="1"/>
  <c r="P43" i="14"/>
  <c r="R44" i="14"/>
  <c r="S44" i="14" s="1"/>
  <c r="P44" i="14"/>
  <c r="R45" i="14"/>
  <c r="S45" i="14" s="1"/>
  <c r="P45" i="14"/>
  <c r="R46" i="14"/>
  <c r="S46" i="14" s="1"/>
  <c r="P46" i="14"/>
  <c r="P47" i="14"/>
  <c r="R47" i="14"/>
  <c r="S47" i="14" s="1"/>
  <c r="P48" i="14"/>
  <c r="R48" i="14"/>
  <c r="S48" i="14" s="1"/>
  <c r="R49" i="14"/>
  <c r="S49" i="14" s="1"/>
  <c r="P49" i="14"/>
  <c r="R50" i="14"/>
  <c r="S50" i="14" s="1"/>
  <c r="P50" i="14"/>
  <c r="R51" i="14"/>
  <c r="S51" i="14" s="1"/>
  <c r="P51" i="14"/>
  <c r="R52" i="14"/>
  <c r="S52" i="14" s="1"/>
  <c r="P52" i="14"/>
  <c r="U52" i="14" s="1"/>
  <c r="P53" i="14"/>
  <c r="R53" i="14"/>
  <c r="S53" i="14" s="1"/>
  <c r="P54" i="14"/>
  <c r="R54" i="14"/>
  <c r="S54" i="14" s="1"/>
  <c r="R55" i="14"/>
  <c r="S55" i="14" s="1"/>
  <c r="P55" i="14"/>
  <c r="R56" i="14"/>
  <c r="S56" i="14" s="1"/>
  <c r="P56" i="14"/>
  <c r="U56" i="14" s="1"/>
  <c r="P57" i="14"/>
  <c r="R57" i="14"/>
  <c r="S57" i="14" s="1"/>
  <c r="R58" i="14"/>
  <c r="S58" i="14" s="1"/>
  <c r="P58" i="14"/>
  <c r="R59" i="14"/>
  <c r="S59" i="14" s="1"/>
  <c r="P59" i="14"/>
  <c r="R60" i="14"/>
  <c r="S60" i="14" s="1"/>
  <c r="P60" i="14"/>
  <c r="R61" i="14"/>
  <c r="S61" i="14" s="1"/>
  <c r="P61" i="14"/>
  <c r="U61" i="14" s="1"/>
  <c r="P62" i="14"/>
  <c r="R62" i="14"/>
  <c r="S62" i="14" s="1"/>
  <c r="P63" i="14"/>
  <c r="R63" i="14"/>
  <c r="S63" i="14" s="1"/>
  <c r="R64" i="14"/>
  <c r="S64" i="14" s="1"/>
  <c r="P64" i="14"/>
  <c r="P65" i="14"/>
  <c r="R65" i="14"/>
  <c r="S65" i="14" s="1"/>
  <c r="R66" i="14"/>
  <c r="S66" i="14" s="1"/>
  <c r="P66" i="14"/>
  <c r="R67" i="14"/>
  <c r="S67" i="14" s="1"/>
  <c r="P67" i="14"/>
  <c r="P68" i="14"/>
  <c r="R68" i="14"/>
  <c r="S68" i="14" s="1"/>
  <c r="R69" i="14"/>
  <c r="S69" i="14" s="1"/>
  <c r="P69" i="14"/>
  <c r="P70" i="14"/>
  <c r="R70" i="14"/>
  <c r="S70" i="14" s="1"/>
  <c r="P71" i="14"/>
  <c r="R71" i="14"/>
  <c r="S71" i="14" s="1"/>
  <c r="P72" i="14"/>
  <c r="R72" i="14"/>
  <c r="S72" i="14" s="1"/>
  <c r="P73" i="14"/>
  <c r="R73" i="14"/>
  <c r="S73" i="14" s="1"/>
  <c r="P74" i="14"/>
  <c r="R74" i="14"/>
  <c r="S74" i="14" s="1"/>
  <c r="R75" i="14"/>
  <c r="S75" i="14" s="1"/>
  <c r="P75" i="14"/>
  <c r="R76" i="14"/>
  <c r="S76" i="14" s="1"/>
  <c r="P76" i="14"/>
  <c r="U76" i="14" s="1"/>
  <c r="R77" i="14"/>
  <c r="S77" i="14" s="1"/>
  <c r="P77" i="14"/>
  <c r="R78" i="14"/>
  <c r="S78" i="14" s="1"/>
  <c r="P78" i="14"/>
  <c r="R79" i="14"/>
  <c r="S79" i="14" s="1"/>
  <c r="P79" i="14"/>
  <c r="R80" i="14"/>
  <c r="S80" i="14" s="1"/>
  <c r="P80" i="14"/>
  <c r="R81" i="14"/>
  <c r="S81" i="14" s="1"/>
  <c r="P81" i="14"/>
  <c r="P82" i="14"/>
  <c r="R82" i="14"/>
  <c r="S82" i="14" s="1"/>
  <c r="P83" i="14"/>
  <c r="R83" i="14"/>
  <c r="S83" i="14" s="1"/>
  <c r="P84" i="14"/>
  <c r="R84" i="14"/>
  <c r="S84" i="14" s="1"/>
  <c r="P85" i="14"/>
  <c r="R85" i="14"/>
  <c r="S85" i="14" s="1"/>
  <c r="R86" i="14"/>
  <c r="S86" i="14" s="1"/>
  <c r="P86" i="14"/>
  <c r="R87" i="14"/>
  <c r="S87" i="14" s="1"/>
  <c r="P87" i="14"/>
  <c r="U87" i="14" s="1"/>
  <c r="R88" i="14"/>
  <c r="S88" i="14" s="1"/>
  <c r="P88" i="14"/>
  <c r="P89" i="14"/>
  <c r="U89" i="14" s="1"/>
  <c r="R89" i="14"/>
  <c r="R90" i="14"/>
  <c r="P90" i="14"/>
  <c r="U90" i="14" s="1"/>
  <c r="R91" i="14"/>
  <c r="S91" i="14" s="1"/>
  <c r="P91" i="14"/>
  <c r="U91" i="14" s="1"/>
  <c r="Q99" i="15"/>
  <c r="R99" i="15"/>
  <c r="T99" i="15" s="1"/>
  <c r="Q98" i="15"/>
  <c r="R98" i="15"/>
  <c r="T98" i="15" s="1"/>
  <c r="Q97" i="15"/>
  <c r="R97" i="15"/>
  <c r="T97" i="15" s="1"/>
  <c r="Q96" i="15"/>
  <c r="R96" i="15"/>
  <c r="T96" i="15" s="1"/>
  <c r="Q95" i="15"/>
  <c r="R95" i="15" s="1"/>
  <c r="T95" i="15" s="1"/>
  <c r="Q94" i="15"/>
  <c r="R94" i="15" s="1"/>
  <c r="T94" i="15" s="1"/>
  <c r="Q93" i="15"/>
  <c r="R93" i="15" s="1"/>
  <c r="Q92" i="15"/>
  <c r="R92" i="15" s="1"/>
  <c r="Q91" i="15"/>
  <c r="R91" i="15"/>
  <c r="O89" i="15"/>
  <c r="Q89" i="15"/>
  <c r="Q88" i="15"/>
  <c r="O88" i="15"/>
  <c r="T88" i="15" s="1"/>
  <c r="R88" i="15"/>
  <c r="Q87" i="15"/>
  <c r="O87" i="15"/>
  <c r="R87" i="15"/>
  <c r="Q86" i="15"/>
  <c r="R86" i="15" s="1"/>
  <c r="T86" i="15" s="1"/>
  <c r="O86" i="15"/>
  <c r="Q85" i="15"/>
  <c r="R85" i="15" s="1"/>
  <c r="T85" i="15" s="1"/>
  <c r="O85" i="15"/>
  <c r="Q84" i="15"/>
  <c r="O84" i="15"/>
  <c r="R84" i="15"/>
  <c r="Q83" i="15"/>
  <c r="R83" i="15" s="1"/>
  <c r="T83" i="15" s="1"/>
  <c r="O83" i="15"/>
  <c r="Q82" i="15"/>
  <c r="R82" i="15" s="1"/>
  <c r="T82" i="15" s="1"/>
  <c r="O82" i="15"/>
  <c r="Q81" i="15"/>
  <c r="R81" i="15" s="1"/>
  <c r="T81" i="15" s="1"/>
  <c r="O81" i="15"/>
  <c r="Q80" i="15"/>
  <c r="R80" i="15" s="1"/>
  <c r="T80" i="15" s="1"/>
  <c r="O80" i="15"/>
  <c r="Q79" i="15"/>
  <c r="R79" i="15"/>
  <c r="O79" i="15"/>
  <c r="T79" i="15" s="1"/>
  <c r="Q78" i="15"/>
  <c r="R78" i="15"/>
  <c r="T78" i="15" s="1"/>
  <c r="O77" i="15"/>
  <c r="Q77" i="15"/>
  <c r="R77" i="15" s="1"/>
  <c r="O76" i="15"/>
  <c r="Q76" i="15"/>
  <c r="R76" i="15" s="1"/>
  <c r="O75" i="15"/>
  <c r="Q75" i="15"/>
  <c r="R75" i="15" s="1"/>
  <c r="Q74" i="15"/>
  <c r="R74" i="15" s="1"/>
  <c r="T74" i="15" s="1"/>
  <c r="O73" i="15"/>
  <c r="Q73" i="15"/>
  <c r="R73" i="15" s="1"/>
  <c r="O72" i="15"/>
  <c r="Q72" i="15"/>
  <c r="R72" i="15"/>
  <c r="Q71" i="15"/>
  <c r="R71" i="15"/>
  <c r="O71" i="15"/>
  <c r="T71" i="15" s="1"/>
  <c r="Q70" i="15"/>
  <c r="R70" i="15"/>
  <c r="O70" i="15"/>
  <c r="T70" i="15" s="1"/>
  <c r="Q69" i="15"/>
  <c r="O69" i="15"/>
  <c r="R69" i="15"/>
  <c r="Q68" i="15"/>
  <c r="R68" i="15" s="1"/>
  <c r="T68" i="15" s="1"/>
  <c r="O67" i="15"/>
  <c r="Q67" i="15"/>
  <c r="R67" i="15" s="1"/>
  <c r="Q66" i="15"/>
  <c r="R66" i="15" s="1"/>
  <c r="T66" i="15" s="1"/>
  <c r="O66" i="15"/>
  <c r="Q65" i="15"/>
  <c r="R65" i="15" s="1"/>
  <c r="T65" i="15" s="1"/>
  <c r="O65" i="15"/>
  <c r="Q64" i="15"/>
  <c r="R64" i="15" s="1"/>
  <c r="O64" i="15"/>
  <c r="O63" i="15"/>
  <c r="Q63" i="15"/>
  <c r="R63" i="15" s="1"/>
  <c r="T63" i="15" s="1"/>
  <c r="Q62" i="15"/>
  <c r="R62" i="15" s="1"/>
  <c r="T62" i="15" s="1"/>
  <c r="O62" i="15"/>
  <c r="Q61" i="15"/>
  <c r="R61" i="15"/>
  <c r="O61" i="15"/>
  <c r="O60" i="15"/>
  <c r="Q60" i="15"/>
  <c r="R60" i="15" s="1"/>
  <c r="O59" i="15"/>
  <c r="Q59" i="15"/>
  <c r="R59" i="15" s="1"/>
  <c r="O58" i="15"/>
  <c r="Q58" i="15"/>
  <c r="R58" i="15" s="1"/>
  <c r="T58" i="15" s="1"/>
  <c r="Q57" i="15"/>
  <c r="R57" i="15" s="1"/>
  <c r="T57" i="15" s="1"/>
  <c r="O56" i="15"/>
  <c r="Q56" i="15"/>
  <c r="R56" i="15" s="1"/>
  <c r="Q55" i="15"/>
  <c r="R55" i="15" s="1"/>
  <c r="T55" i="15" s="1"/>
  <c r="O55" i="15"/>
  <c r="Q54" i="15"/>
  <c r="O54" i="15"/>
  <c r="R54" i="15"/>
  <c r="Q53" i="15"/>
  <c r="R53" i="15" s="1"/>
  <c r="O53" i="15"/>
  <c r="Q52" i="15"/>
  <c r="O52" i="15"/>
  <c r="R52" i="15"/>
  <c r="Q51" i="15"/>
  <c r="R51" i="15"/>
  <c r="O51" i="15"/>
  <c r="T51" i="15" s="1"/>
  <c r="O50" i="15"/>
  <c r="Q50" i="15"/>
  <c r="R50" i="15" s="1"/>
  <c r="O49" i="15"/>
  <c r="Q49" i="15"/>
  <c r="R49" i="15" s="1"/>
  <c r="Q48" i="15"/>
  <c r="R48" i="15" s="1"/>
  <c r="O48" i="15"/>
  <c r="O47" i="15"/>
  <c r="Q47" i="15"/>
  <c r="R47" i="15" s="1"/>
  <c r="O46" i="15"/>
  <c r="Q46" i="15"/>
  <c r="R46" i="15" s="1"/>
  <c r="T46" i="15" s="1"/>
  <c r="O45" i="15"/>
  <c r="Q45" i="15"/>
  <c r="R45" i="15" s="1"/>
  <c r="T45" i="15" s="1"/>
  <c r="O44" i="15"/>
  <c r="Q44" i="15"/>
  <c r="R44" i="15"/>
  <c r="Q43" i="15"/>
  <c r="R43" i="15" s="1"/>
  <c r="T43" i="15" s="1"/>
  <c r="O43" i="15"/>
  <c r="O42" i="15"/>
  <c r="Q42" i="15"/>
  <c r="R42" i="15" s="1"/>
  <c r="O41" i="15"/>
  <c r="Q41" i="15"/>
  <c r="R41" i="15" s="1"/>
  <c r="T41" i="15" s="1"/>
  <c r="O40" i="15"/>
  <c r="Q40" i="15"/>
  <c r="R40" i="15" s="1"/>
  <c r="T40" i="15" s="1"/>
  <c r="Q39" i="15"/>
  <c r="R39" i="15" s="1"/>
  <c r="O39" i="15"/>
  <c r="Q38" i="15"/>
  <c r="R38" i="15" s="1"/>
  <c r="T38" i="15" s="1"/>
  <c r="O38" i="15"/>
  <c r="Q37" i="15"/>
  <c r="R37" i="15" s="1"/>
  <c r="T37" i="15" s="1"/>
  <c r="O37" i="15"/>
  <c r="O36" i="15"/>
  <c r="Q36" i="15"/>
  <c r="R36" i="15" s="1"/>
  <c r="O35" i="15"/>
  <c r="Q35" i="15"/>
  <c r="R35" i="15" s="1"/>
  <c r="Q34" i="15"/>
  <c r="R34" i="15" s="1"/>
  <c r="O34" i="15"/>
  <c r="Q33" i="15"/>
  <c r="R33" i="15" s="1"/>
  <c r="O33" i="15"/>
  <c r="Q32" i="15"/>
  <c r="R32" i="15" s="1"/>
  <c r="T32" i="15" s="1"/>
  <c r="O32" i="15"/>
  <c r="O31" i="15"/>
  <c r="Q31" i="15"/>
  <c r="R31" i="15" s="1"/>
  <c r="T31" i="15" s="1"/>
  <c r="O30" i="15"/>
  <c r="Q30" i="15"/>
  <c r="R30" i="15" s="1"/>
  <c r="O29" i="15"/>
  <c r="Q29" i="15"/>
  <c r="R29" i="15" s="1"/>
  <c r="T29" i="15" s="1"/>
  <c r="Q28" i="15"/>
  <c r="R28" i="15" s="1"/>
  <c r="O28" i="15"/>
  <c r="O27" i="15"/>
  <c r="Q27" i="15"/>
  <c r="R27" i="15" s="1"/>
  <c r="T27" i="15" s="1"/>
  <c r="O26" i="15"/>
  <c r="Q26" i="15"/>
  <c r="R26" i="15" s="1"/>
  <c r="T26" i="15" s="1"/>
  <c r="O25" i="15"/>
  <c r="Q25" i="15"/>
  <c r="R25" i="15" s="1"/>
  <c r="O24" i="15"/>
  <c r="Q24" i="15"/>
  <c r="R24" i="15" s="1"/>
  <c r="O23" i="15"/>
  <c r="Q23" i="15"/>
  <c r="R23" i="15" s="1"/>
  <c r="Q22" i="15"/>
  <c r="R22" i="15" s="1"/>
  <c r="T22" i="15" s="1"/>
  <c r="O22" i="15"/>
  <c r="R21" i="15"/>
  <c r="O21" i="15"/>
  <c r="T21" i="15" s="1"/>
  <c r="Q20" i="15"/>
  <c r="R20" i="15" s="1"/>
  <c r="T20" i="15" s="1"/>
  <c r="O20" i="15"/>
  <c r="O19" i="15"/>
  <c r="Q19" i="15"/>
  <c r="R19" i="15" s="1"/>
  <c r="Q18" i="15"/>
  <c r="R18" i="15"/>
  <c r="O18" i="15"/>
  <c r="T18" i="15" s="1"/>
  <c r="O17" i="15"/>
  <c r="Q17" i="15"/>
  <c r="R17" i="15" s="1"/>
  <c r="T17" i="15" s="1"/>
  <c r="O16" i="15"/>
  <c r="Q16" i="15"/>
  <c r="R16" i="15"/>
  <c r="O15" i="15"/>
  <c r="Q15" i="15"/>
  <c r="R15" i="15"/>
  <c r="O14" i="15"/>
  <c r="Q14" i="15"/>
  <c r="R14" i="15" s="1"/>
  <c r="O13" i="15"/>
  <c r="Q13" i="15"/>
  <c r="R13" i="15"/>
  <c r="Q12" i="15"/>
  <c r="R12" i="15" s="1"/>
  <c r="T12" i="15" s="1"/>
  <c r="O12" i="15"/>
  <c r="O11" i="15"/>
  <c r="Q11" i="15"/>
  <c r="R11" i="15" s="1"/>
  <c r="O10" i="15"/>
  <c r="Q10" i="15"/>
  <c r="R10" i="15" s="1"/>
  <c r="T10" i="15" s="1"/>
  <c r="Q9" i="15"/>
  <c r="R9" i="15" s="1"/>
  <c r="T9" i="15" s="1"/>
  <c r="O9" i="15"/>
  <c r="Q8" i="15"/>
  <c r="O8" i="15"/>
  <c r="R8" i="15"/>
  <c r="O7" i="15"/>
  <c r="R7" i="15"/>
  <c r="Q7" i="15"/>
  <c r="O6" i="15"/>
  <c r="Q6" i="15"/>
  <c r="R6" i="15" s="1"/>
  <c r="T6" i="15" s="1"/>
  <c r="O5" i="15"/>
  <c r="Q5" i="15"/>
  <c r="R5" i="15" s="1"/>
  <c r="T5" i="15" s="1"/>
  <c r="O4" i="15"/>
  <c r="R4" i="15"/>
  <c r="P15" i="14"/>
  <c r="R15" i="14"/>
  <c r="S15" i="14" s="1"/>
  <c r="P11" i="14"/>
  <c r="R11" i="14"/>
  <c r="S11" i="14" s="1"/>
  <c r="P10" i="14"/>
  <c r="R10" i="14"/>
  <c r="S10" i="14" s="1"/>
  <c r="P5" i="14"/>
  <c r="R5" i="14"/>
  <c r="S5" i="14" s="1"/>
  <c r="P4" i="14"/>
  <c r="K96" i="6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U22" i="18" l="1"/>
  <c r="U30" i="18"/>
  <c r="U64" i="18"/>
  <c r="U17" i="18"/>
  <c r="U25" i="18"/>
  <c r="U72" i="18"/>
  <c r="U7" i="18"/>
  <c r="U29" i="18"/>
  <c r="U68" i="18"/>
  <c r="U65" i="18"/>
  <c r="U69" i="18"/>
  <c r="U32" i="18"/>
  <c r="U70" i="18"/>
  <c r="V84" i="17"/>
  <c r="T93" i="15"/>
  <c r="T92" i="15"/>
  <c r="B1" i="14"/>
  <c r="U71" i="18"/>
  <c r="U33" i="18"/>
  <c r="U24" i="18"/>
  <c r="U84" i="18"/>
  <c r="U81" i="18"/>
  <c r="U77" i="18"/>
  <c r="U66" i="18"/>
  <c r="P6" i="18"/>
  <c r="R6" i="18"/>
  <c r="S6" i="18" s="1"/>
  <c r="U55" i="18"/>
  <c r="U50" i="18"/>
  <c r="U49" i="18"/>
  <c r="U46" i="18"/>
  <c r="U35" i="18"/>
  <c r="U26" i="18"/>
  <c r="U21" i="18"/>
  <c r="U63" i="18"/>
  <c r="U83" i="18"/>
  <c r="P54" i="18"/>
  <c r="R54" i="18"/>
  <c r="S54" i="18" s="1"/>
  <c r="P51" i="18"/>
  <c r="R51" i="18"/>
  <c r="S51" i="18" s="1"/>
  <c r="U51" i="18" s="1"/>
  <c r="R13" i="18"/>
  <c r="S13" i="18" s="1"/>
  <c r="P13" i="18"/>
  <c r="P12" i="18"/>
  <c r="R12" i="18"/>
  <c r="S12" i="18" s="1"/>
  <c r="U12" i="18" s="1"/>
  <c r="P61" i="18"/>
  <c r="R61" i="18"/>
  <c r="S61" i="18" s="1"/>
  <c r="P56" i="18"/>
  <c r="R56" i="18"/>
  <c r="S56" i="18" s="1"/>
  <c r="R59" i="18"/>
  <c r="S59" i="18" s="1"/>
  <c r="P59" i="18"/>
  <c r="R62" i="18"/>
  <c r="S62" i="18" s="1"/>
  <c r="P62" i="18"/>
  <c r="R60" i="18"/>
  <c r="S60" i="18" s="1"/>
  <c r="P60" i="18"/>
  <c r="U60" i="18" s="1"/>
  <c r="R58" i="18"/>
  <c r="S58" i="18" s="1"/>
  <c r="P58" i="18"/>
  <c r="P53" i="18"/>
  <c r="R53" i="18"/>
  <c r="S53" i="18" s="1"/>
  <c r="P48" i="18"/>
  <c r="R48" i="18"/>
  <c r="S48" i="18" s="1"/>
  <c r="U48" i="18" s="1"/>
  <c r="R16" i="18"/>
  <c r="S16" i="18" s="1"/>
  <c r="P16" i="18"/>
  <c r="U16" i="18" s="1"/>
  <c r="P57" i="18"/>
  <c r="R57" i="18"/>
  <c r="S57" i="18" s="1"/>
  <c r="R11" i="18"/>
  <c r="S11" i="18" s="1"/>
  <c r="P11" i="18"/>
  <c r="P52" i="18"/>
  <c r="R52" i="18"/>
  <c r="S52" i="18" s="1"/>
  <c r="U52" i="18" s="1"/>
  <c r="P15" i="18"/>
  <c r="R15" i="18"/>
  <c r="S15" i="18" s="1"/>
  <c r="U15" i="18" s="1"/>
  <c r="P14" i="18"/>
  <c r="R14" i="18"/>
  <c r="S14" i="18" s="1"/>
  <c r="U19" i="18"/>
  <c r="U80" i="18"/>
  <c r="U73" i="18"/>
  <c r="U28" i="18"/>
  <c r="U13" i="18"/>
  <c r="U41" i="18"/>
  <c r="U38" i="18"/>
  <c r="U37" i="18"/>
  <c r="U36" i="18"/>
  <c r="U10" i="18"/>
  <c r="U45" i="18"/>
  <c r="U42" i="18"/>
  <c r="U40" i="18"/>
  <c r="U39" i="18"/>
  <c r="U31" i="18"/>
  <c r="U82" i="18"/>
  <c r="U79" i="18"/>
  <c r="U74" i="18"/>
  <c r="U4" i="18"/>
  <c r="U85" i="18"/>
  <c r="U54" i="18"/>
  <c r="U53" i="18"/>
  <c r="U9" i="18"/>
  <c r="U8" i="18"/>
  <c r="U78" i="18"/>
  <c r="U43" i="18"/>
  <c r="U34" i="18"/>
  <c r="V79" i="17"/>
  <c r="V70" i="17"/>
  <c r="V77" i="17"/>
  <c r="V75" i="17"/>
  <c r="V71" i="17"/>
  <c r="V68" i="17"/>
  <c r="V63" i="17"/>
  <c r="V61" i="17"/>
  <c r="V57" i="17"/>
  <c r="V55" i="17"/>
  <c r="V54" i="17"/>
  <c r="V53" i="17"/>
  <c r="V52" i="17"/>
  <c r="V51" i="17"/>
  <c r="V49" i="17"/>
  <c r="T53" i="15"/>
  <c r="B1" i="15"/>
  <c r="M24" i="15"/>
  <c r="T24" i="15" s="1"/>
  <c r="V38" i="17"/>
  <c r="V36" i="17"/>
  <c r="V34" i="17"/>
  <c r="V32" i="17"/>
  <c r="V26" i="17"/>
  <c r="V25" i="17"/>
  <c r="V37" i="17"/>
  <c r="V31" i="17"/>
  <c r="V23" i="17"/>
  <c r="V22" i="17"/>
  <c r="V15" i="17"/>
  <c r="V13" i="17"/>
  <c r="V11" i="17"/>
  <c r="V10" i="17"/>
  <c r="V9" i="17"/>
  <c r="V8" i="17"/>
  <c r="V7" i="17"/>
  <c r="V5" i="17"/>
  <c r="V4" i="17"/>
  <c r="V47" i="17"/>
  <c r="V45" i="17"/>
  <c r="V43" i="17"/>
  <c r="V30" i="17"/>
  <c r="V81" i="17"/>
  <c r="V67" i="17"/>
  <c r="V50" i="17"/>
  <c r="V64" i="17"/>
  <c r="V48" i="17"/>
  <c r="V35" i="17"/>
  <c r="V80" i="17"/>
  <c r="V78" i="17"/>
  <c r="V76" i="17"/>
  <c r="V74" i="17"/>
  <c r="V73" i="17"/>
  <c r="V72" i="17"/>
  <c r="V69" i="17"/>
  <c r="V66" i="17"/>
  <c r="V65" i="17"/>
  <c r="V62" i="17"/>
  <c r="V60" i="17"/>
  <c r="V59" i="17"/>
  <c r="V58" i="17"/>
  <c r="V56" i="17"/>
  <c r="V46" i="17"/>
  <c r="V41" i="17"/>
  <c r="V33" i="17"/>
  <c r="V29" i="17"/>
  <c r="V28" i="17"/>
  <c r="V27" i="17"/>
  <c r="V24" i="17"/>
  <c r="V21" i="17"/>
  <c r="V20" i="17"/>
  <c r="V19" i="17"/>
  <c r="V18" i="17"/>
  <c r="V17" i="17"/>
  <c r="V16" i="17"/>
  <c r="V14" i="17"/>
  <c r="V12" i="17"/>
  <c r="V6" i="17"/>
  <c r="V83" i="17"/>
  <c r="V44" i="17"/>
  <c r="V42" i="17"/>
  <c r="V39" i="17"/>
  <c r="V85" i="17"/>
  <c r="V82" i="17"/>
  <c r="V40" i="17"/>
  <c r="U34" i="14"/>
  <c r="U45" i="14"/>
  <c r="U7" i="14"/>
  <c r="U25" i="14"/>
  <c r="U21" i="14"/>
  <c r="U20" i="14"/>
  <c r="U43" i="14"/>
  <c r="U46" i="14"/>
  <c r="U99" i="14"/>
  <c r="U16" i="14"/>
  <c r="U17" i="14"/>
  <c r="U18" i="14"/>
  <c r="U19" i="14"/>
  <c r="U23" i="14"/>
  <c r="U24" i="14"/>
  <c r="U26" i="14"/>
  <c r="U28" i="14"/>
  <c r="U29" i="14"/>
  <c r="U30" i="14"/>
  <c r="U31" i="14"/>
  <c r="U32" i="14"/>
  <c r="U33" i="14"/>
  <c r="U41" i="14"/>
  <c r="U42" i="14"/>
  <c r="U4" i="14"/>
  <c r="U44" i="14"/>
  <c r="U35" i="14"/>
  <c r="U40" i="14"/>
  <c r="U48" i="14"/>
  <c r="U49" i="14"/>
  <c r="U54" i="14"/>
  <c r="U58" i="14"/>
  <c r="U63" i="14"/>
  <c r="U65" i="14"/>
  <c r="U69" i="14"/>
  <c r="U77" i="14"/>
  <c r="U79" i="14"/>
  <c r="U84" i="14"/>
  <c r="U14" i="14"/>
  <c r="U51" i="14"/>
  <c r="U53" i="14"/>
  <c r="U64" i="14"/>
  <c r="U66" i="14"/>
  <c r="U68" i="14"/>
  <c r="U70" i="14"/>
  <c r="U81" i="14"/>
  <c r="U83" i="14"/>
  <c r="U85" i="14"/>
  <c r="U8" i="14"/>
  <c r="U47" i="14"/>
  <c r="U57" i="14"/>
  <c r="U59" i="14"/>
  <c r="U50" i="14"/>
  <c r="U55" i="14"/>
  <c r="U60" i="14"/>
  <c r="U62" i="14"/>
  <c r="U67" i="14"/>
  <c r="U71" i="14"/>
  <c r="U73" i="14"/>
  <c r="U75" i="14"/>
  <c r="U82" i="14"/>
  <c r="U86" i="14"/>
  <c r="U9" i="14"/>
  <c r="U12" i="14"/>
  <c r="U13" i="14"/>
  <c r="U72" i="14"/>
  <c r="U74" i="14"/>
  <c r="U78" i="14"/>
  <c r="U80" i="14"/>
  <c r="U88" i="14"/>
  <c r="U37" i="14"/>
  <c r="U39" i="14"/>
  <c r="U10" i="14"/>
  <c r="U11" i="14"/>
  <c r="U15" i="14"/>
  <c r="U5" i="14"/>
  <c r="T77" i="15"/>
  <c r="T76" i="15"/>
  <c r="T75" i="15"/>
  <c r="T73" i="15"/>
  <c r="T72" i="15"/>
  <c r="T69" i="15"/>
  <c r="T67" i="15"/>
  <c r="T60" i="15"/>
  <c r="T56" i="15"/>
  <c r="T54" i="15"/>
  <c r="T50" i="15"/>
  <c r="T36" i="15"/>
  <c r="T34" i="15"/>
  <c r="T28" i="15"/>
  <c r="T25" i="15"/>
  <c r="T44" i="15"/>
  <c r="T39" i="15"/>
  <c r="T23" i="15"/>
  <c r="T33" i="15"/>
  <c r="T19" i="15"/>
  <c r="T16" i="15"/>
  <c r="T15" i="15"/>
  <c r="T14" i="15"/>
  <c r="T13" i="15"/>
  <c r="T11" i="15"/>
  <c r="T8" i="15"/>
  <c r="T7" i="15"/>
  <c r="T4" i="15"/>
  <c r="T64" i="15"/>
  <c r="T59" i="15"/>
  <c r="T52" i="15"/>
  <c r="T49" i="15"/>
  <c r="T48" i="15"/>
  <c r="T42" i="15"/>
  <c r="T35" i="15"/>
  <c r="T30" i="15"/>
  <c r="T87" i="15"/>
  <c r="T84" i="15"/>
  <c r="T61" i="15"/>
  <c r="T47" i="15"/>
  <c r="K91" i="6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U6" i="18" l="1"/>
  <c r="U62" i="18"/>
  <c r="U61" i="18"/>
  <c r="U11" i="18"/>
  <c r="U56" i="18"/>
  <c r="U57" i="18"/>
  <c r="U14" i="18"/>
  <c r="U59" i="18"/>
  <c r="U58" i="18"/>
  <c r="K3" i="6"/>
  <c r="N3" i="6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35" authorId="0" shapeId="0" xr:uid="{C8FFA90A-1850-4F48-8241-9C5303CC983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ək̚</t>
        </r>
      </text>
    </comment>
    <comment ref="B41" authorId="0" shapeId="0" xr:uid="{2BC0BA2C-3664-4EBD-9ADF-B395B762A0DD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en</t>
        </r>
      </text>
    </comment>
    <comment ref="B44" authorId="0" shapeId="0" xr:uid="{20590C42-1460-4882-B8B1-A64D7F18DF37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et̚</t>
        </r>
      </text>
    </comment>
    <comment ref="B49" authorId="0" shapeId="0" xr:uid="{999D316B-7A04-4D40-B223-B82131E8BBB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</t>
        </r>
      </text>
    </comment>
    <comment ref="B51" authorId="0" shapeId="0" xr:uid="{F6D1DEAF-4CCF-4F4A-8C81-DFF5E8F7F5FE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ɪ</t>
        </r>
        <r>
          <rPr>
            <sz val="9"/>
            <color indexed="81"/>
            <rFont val="Tahoma"/>
            <family val="2"/>
          </rPr>
          <t>əʔ/</t>
        </r>
      </text>
    </comment>
    <comment ref="B57" authorId="0" shapeId="0" xr:uid="{6D80FC1D-E508-4596-BC6E-996F06BDF6D4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</t>
        </r>
      </text>
    </comment>
    <comment ref="B60" authorId="0" shapeId="0" xr:uid="{205DA633-F454-4801-B26D-D45E557C7505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əʔ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<sst xmlns="http://schemas.openxmlformats.org/spreadsheetml/2006/main" count="8276" uniqueCount="2515">
  <si>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</si>
  <si>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</si>
  <si>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</si>
  <si>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</si>
  <si>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</si>
  <si>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</si>
  <si>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</si>
  <si>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</si>
  <si>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</si>
  <si>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</si>
  <si>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</si>
  <si>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</si>
  <si>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</si>
  <si>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</si>
  <si>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</si>
  <si>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</si>
  <si>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</si>
  <si>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</si>
  <si>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</si>
  <si>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</si>
  <si>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</si>
  <si>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</si>
  <si>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</si>
  <si>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</si>
  <si>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</si>
  <si>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</si>
  <si>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</si>
  <si>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</si>
  <si>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</si>
  <si>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</si>
  <si>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</si>
  <si>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</si>
  <si>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</si>
  <si>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</si>
  <si>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</si>
  <si>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</si>
  <si>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</si>
  <si>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</si>
  <si>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</si>
  <si>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</si>
  <si>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</si>
  <si>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</si>
  <si>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</si>
  <si>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</si>
  <si>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</si>
  <si>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</si>
  <si>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</si>
  <si>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</si>
  <si>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</si>
  <si>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</si>
  <si>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</si>
  <si>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</si>
  <si>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</si>
  <si>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</si>
  <si>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</si>
  <si>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</si>
  <si>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</si>
  <si>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</si>
  <si>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</si>
  <si>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</si>
  <si>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</si>
  <si>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</si>
  <si>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</si>
  <si>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</si>
  <si>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</si>
  <si>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</si>
  <si>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</si>
  <si>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</si>
  <si>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</si>
  <si>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</si>
  <si>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</si>
  <si>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</si>
  <si>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</si>
  <si>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</si>
  <si>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</si>
  <si>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</si>
  <si>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</si>
  <si>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</si>
  <si>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</si>
  <si>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</si>
  <si>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</si>
  <si>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</si>
  <si>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</si>
  <si>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</si>
  <si>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</si>
  <si>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</si>
  <si>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</si>
  <si>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</si>
  <si>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</si>
  <si>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</si>
  <si>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</si>
  <si>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</si>
  <si>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</si>
  <si>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</si>
  <si>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</si>
  <si>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</si>
  <si>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</si>
  <si>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</si>
  <si>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</si>
  <si>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</si>
  <si>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</si>
  <si>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</si>
  <si>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</si>
  <si>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</si>
  <si>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</si>
  <si>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</si>
  <si>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</si>
  <si>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</si>
  <si>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</si>
  <si>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</si>
  <si>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</si>
  <si>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</si>
  <si>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</si>
  <si>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</si>
  <si>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</si>
  <si>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</si>
  <si>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</si>
  <si>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</si>
  <si>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</si>
  <si>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</si>
  <si>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</si>
  <si>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</si>
  <si>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</si>
  <si>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</si>
  <si>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</si>
  <si>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</si>
  <si>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</si>
  <si>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</si>
  <si>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</si>
  <si>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</si>
  <si>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</si>
  <si>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</si>
  <si>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</si>
  <si>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</si>
  <si>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</si>
  <si>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</si>
  <si>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</si>
  <si>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</si>
  <si>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</si>
  <si>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</si>
  <si>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</si>
  <si>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</si>
  <si>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</si>
  <si>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</si>
  <si>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</si>
  <si>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</si>
  <si>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</si>
  <si>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</si>
  <si>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</si>
  <si>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</si>
  <si>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</si>
  <si>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</si>
  <si>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</si>
  <si>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</si>
  <si>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</si>
  <si>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</si>
  <si>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</si>
  <si>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</si>
  <si>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</si>
  <si>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</si>
  <si>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</si>
  <si>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</si>
  <si>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</si>
  <si>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</si>
  <si>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</si>
  <si>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</si>
  <si>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</si>
  <si>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</si>
  <si>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</si>
  <si>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</si>
  <si>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</si>
  <si>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</si>
  <si>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</si>
  <si>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</si>
  <si>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</si>
  <si>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</si>
  <si>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</si>
  <si>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</si>
  <si>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</si>
  <si>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</si>
  <si>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</si>
  <si>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</si>
  <si>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</si>
  <si>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</si>
  <si>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</si>
  <si>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</si>
  <si>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</si>
  <si>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</si>
  <si>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</si>
  <si>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</si>
  <si>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</si>
  <si>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</si>
  <si>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</si>
  <si>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</si>
  <si>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</si>
  <si>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</si>
  <si>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</si>
  <si>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</si>
  <si>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</si>
  <si>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</si>
  <si>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</si>
  <si>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</si>
  <si>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</si>
  <si>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</si>
  <si>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</si>
  <si>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</si>
  <si>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</si>
  <si>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</si>
  <si>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</si>
  <si>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</si>
  <si>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</si>
  <si>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</si>
  <si>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</si>
  <si>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</si>
  <si>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</si>
  <si>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</si>
  <si>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</si>
  <si>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</si>
  <si>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</si>
  <si>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</si>
  <si>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</si>
  <si>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</si>
  <si>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</si>
  <si>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</si>
  <si>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</si>
  <si>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</si>
  <si>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</si>
  <si>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</si>
  <si>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</si>
  <si>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</si>
  <si>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</si>
  <si>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</si>
  <si>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</si>
  <si>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</si>
  <si>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</si>
  <si>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</si>
  <si>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</si>
  <si>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</si>
  <si>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</si>
  <si>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</si>
  <si>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</si>
  <si>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</si>
  <si>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</si>
  <si>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</si>
  <si>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</si>
  <si>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</si>
  <si>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</si>
  <si>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</si>
  <si>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</si>
  <si>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</si>
  <si>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</si>
  <si>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</si>
  <si>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</si>
  <si>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</si>
  <si>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</si>
  <si>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</si>
  <si>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</si>
  <si>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</si>
  <si>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</si>
  <si>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</si>
  <si>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</si>
  <si>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</si>
  <si>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</si>
  <si>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</si>
  <si>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</si>
  <si>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</si>
  <si>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</si>
  <si>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</si>
  <si>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</si>
  <si>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</si>
  <si>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</si>
  <si>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</si>
  <si>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</si>
  <si>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</si>
  <si>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</si>
  <si>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</si>
  <si>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</si>
  <si>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</si>
  <si>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</si>
  <si>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</si>
  <si>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</si>
  <si>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</si>
  <si>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</si>
  <si>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</si>
  <si>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</si>
  <si>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</si>
  <si>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</si>
  <si>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</si>
  <si>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</si>
  <si>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</si>
  <si>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</si>
  <si>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</si>
  <si>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</si>
  <si>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</si>
  <si>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</si>
  <si>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</si>
  <si>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</si>
  <si>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</si>
  <si>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</si>
  <si>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</si>
  <si>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</si>
  <si>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</si>
  <si>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</si>
  <si>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</si>
  <si>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</si>
  <si>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</si>
  <si>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</si>
  <si>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</si>
  <si>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</si>
  <si>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</si>
  <si>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</si>
  <si>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</si>
  <si>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</si>
  <si>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</si>
  <si>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</si>
  <si>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</si>
  <si>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</si>
  <si>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</si>
  <si>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</si>
  <si>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</si>
  <si>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</si>
  <si>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</si>
  <si>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</si>
  <si>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</si>
  <si>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</si>
  <si>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</si>
  <si>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</si>
  <si>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</si>
  <si>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</si>
  <si>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</si>
  <si>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</si>
  <si>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</si>
  <si>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</si>
  <si>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</si>
  <si>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</si>
  <si>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</si>
  <si>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</si>
  <si>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</si>
  <si>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</si>
  <si>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</si>
  <si>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</si>
  <si>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</si>
  <si>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</si>
  <si>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</si>
  <si>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</si>
  <si>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</si>
  <si>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</si>
  <si>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</si>
  <si>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</si>
  <si>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</si>
  <si>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</si>
  <si>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</si>
  <si>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</si>
  <si>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</si>
  <si>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</si>
  <si>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</si>
  <si>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</si>
  <si>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</si>
  <si>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</si>
  <si>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</si>
  <si>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</si>
  <si>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</si>
  <si>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</si>
  <si>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</si>
  <si>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</si>
  <si>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</si>
  <si>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</si>
  <si>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</si>
  <si>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</si>
  <si>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</si>
  <si>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</si>
  <si>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</si>
  <si>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</si>
  <si>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</si>
  <si>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</si>
  <si>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</si>
  <si>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</si>
  <si>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</si>
  <si>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</si>
  <si>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</si>
  <si>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</si>
  <si>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</si>
  <si>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</si>
  <si>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</si>
  <si>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</si>
  <si>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</si>
  <si>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</si>
  <si>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</si>
  <si>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</si>
  <si>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</si>
  <si>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</si>
  <si>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</si>
  <si>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</si>
  <si>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</si>
  <si>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</si>
  <si>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</si>
  <si>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</si>
  <si>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</si>
  <si>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</si>
  <si>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</si>
  <si>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</si>
  <si>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</si>
  <si>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</si>
  <si>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</si>
  <si>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</si>
  <si>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</si>
  <si>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</si>
  <si>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</si>
  <si>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</si>
  <si>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</si>
  <si>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</si>
  <si>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</si>
  <si>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</si>
  <si>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</si>
  <si>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</si>
  <si>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</si>
  <si>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</si>
  <si>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</si>
  <si>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</si>
  <si>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</si>
  <si>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</si>
  <si>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</si>
  <si>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</si>
  <si>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</si>
  <si>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</si>
  <si>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</si>
  <si>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</si>
  <si>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</si>
  <si>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</si>
  <si>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</si>
  <si>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</si>
  <si>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</si>
  <si>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</si>
  <si>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</si>
  <si>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</si>
  <si>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</si>
  <si>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</si>
  <si>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</si>
  <si>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</si>
  <si>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</si>
  <si>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</si>
  <si>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</si>
  <si>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</si>
  <si>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</si>
  <si>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</si>
  <si>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</si>
  <si>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</si>
  <si>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</si>
  <si>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</si>
  <si>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</si>
  <si>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</si>
  <si>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</si>
  <si>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</si>
  <si>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</si>
  <si>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</si>
  <si>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</si>
  <si>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</si>
  <si>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</si>
  <si>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</si>
  <si>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</si>
  <si>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</si>
  <si>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</si>
  <si>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</si>
  <si>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</si>
  <si>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</si>
  <si>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</si>
  <si>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</si>
  <si>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</si>
  <si>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</si>
  <si>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</si>
  <si>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</si>
  <si>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</si>
  <si>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</si>
  <si>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</si>
  <si>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</si>
  <si>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</si>
  <si>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</si>
  <si>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</si>
  <si>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</si>
  <si>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</si>
  <si>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</si>
  <si>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</si>
  <si>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</si>
  <si>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</si>
  <si>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</si>
  <si>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</si>
  <si>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</si>
  <si>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</si>
  <si>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</si>
  <si>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</si>
  <si>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</si>
  <si>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</si>
  <si>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</si>
  <si>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</si>
  <si>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</si>
  <si>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</si>
  <si>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</si>
  <si>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</si>
  <si>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</si>
  <si>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</si>
  <si>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</si>
  <si>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</si>
  <si>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</si>
  <si>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</si>
  <si>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</si>
  <si>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</si>
  <si>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</si>
  <si>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</si>
  <si>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</si>
  <si>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</si>
  <si>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</si>
  <si>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</si>
  <si>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</si>
  <si>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</si>
  <si>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</si>
  <si>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</si>
  <si>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</si>
  <si>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</si>
  <si>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</si>
  <si>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</si>
  <si>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</si>
  <si>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</si>
  <si>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</si>
  <si>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</si>
  <si>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</si>
  <si>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</si>
  <si>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</si>
  <si>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</si>
  <si>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</si>
  <si>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</si>
  <si>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</si>
  <si>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</si>
  <si>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</si>
  <si>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</si>
  <si>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</si>
  <si>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</si>
  <si>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</si>
  <si>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</si>
  <si>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</si>
  <si>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</si>
  <si>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</si>
  <si>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</si>
  <si>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</si>
  <si>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</si>
  <si>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</si>
  <si>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</si>
  <si>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</si>
  <si>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</si>
  <si>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</si>
  <si>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</si>
  <si>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</si>
  <si>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</si>
  <si>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</si>
  <si>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</si>
  <si>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</si>
  <si>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</si>
  <si>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</si>
  <si>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</si>
  <si>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</si>
  <si>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</si>
  <si>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</si>
  <si>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</si>
  <si>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</si>
  <si>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</si>
  <si>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</si>
  <si>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</si>
  <si>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</si>
  <si>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</si>
  <si>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</si>
  <si>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</si>
  <si>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</si>
  <si>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</si>
  <si>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</si>
  <si>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</si>
  <si>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</si>
  <si>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</si>
  <si>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</si>
  <si>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</si>
  <si>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</si>
  <si>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</si>
  <si>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</si>
  <si>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</si>
  <si>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</si>
  <si>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</si>
  <si>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</si>
  <si>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</si>
  <si>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</si>
  <si>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</si>
  <si>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</si>
  <si>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</si>
  <si>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</si>
  <si>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</si>
  <si>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</si>
  <si>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</si>
  <si>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</si>
  <si>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</si>
  <si>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</si>
  <si>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</si>
  <si>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</si>
  <si>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</si>
  <si>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</si>
  <si>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</si>
  <si>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</si>
  <si>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</si>
  <si>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</si>
  <si>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</si>
  <si>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</si>
  <si>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</si>
  <si>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</si>
  <si>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</si>
  <si>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</si>
  <si>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</si>
  <si>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</si>
  <si>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</si>
  <si>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</si>
  <si>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</si>
  <si>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</si>
  <si>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</si>
  <si>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</si>
  <si>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</si>
  <si>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</si>
  <si>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</si>
  <si>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</si>
  <si>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</si>
  <si>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</si>
  <si>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</si>
  <si>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</si>
  <si>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</si>
  <si>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</si>
  <si>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</si>
  <si>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</si>
  <si>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</si>
  <si>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</si>
  <si>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</si>
  <si>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</si>
  <si>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</si>
  <si>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高音調</t>
  </si>
  <si>
    <t/>
  </si>
  <si>
    <t>陽去</t>
  </si>
  <si>
    <t>動</t>
  </si>
  <si>
    <t>中音調</t>
  </si>
  <si>
    <t>-</t>
  </si>
  <si>
    <t>ㄚ˫</t>
  </si>
  <si>
    <t>陰去</t>
  </si>
  <si>
    <t>棟</t>
  </si>
  <si>
    <t>低音調</t>
  </si>
  <si>
    <t>_</t>
  </si>
  <si>
    <t>ㄚ˪</t>
  </si>
  <si>
    <t>董</t>
  </si>
  <si>
    <t>高降調</t>
  </si>
  <si>
    <t>\</t>
  </si>
  <si>
    <t>陽平</t>
  </si>
  <si>
    <t>同</t>
  </si>
  <si>
    <t>低升調</t>
  </si>
  <si>
    <t>/</t>
  </si>
  <si>
    <t>陰入</t>
  </si>
  <si>
    <t>督</t>
  </si>
  <si>
    <t>低促調</t>
  </si>
  <si>
    <t>[</t>
  </si>
  <si>
    <t>陽入</t>
  </si>
  <si>
    <t>獨</t>
  </si>
  <si>
    <t>高促調</t>
  </si>
  <si>
    <t>]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</si>
  <si>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</si>
  <si>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</si>
  <si>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</si>
  <si>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</si>
  <si>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</si>
  <si>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</si>
  <si>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</si>
  <si>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</si>
  <si>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</si>
  <si>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</si>
  <si>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</si>
  <si>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</si>
  <si>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</si>
  <si>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</si>
  <si>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</si>
  <si>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</si>
  <si>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</si>
  <si>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</si>
  <si>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</si>
  <si>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</si>
  <si>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</si>
  <si>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</si>
  <si>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</si>
  <si>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</si>
  <si>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</si>
  <si>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</si>
  <si>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</si>
  <si>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</si>
  <si>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</si>
  <si>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</si>
  <si>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</si>
  <si>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</si>
  <si>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</si>
  <si>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</si>
  <si>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</si>
  <si>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</si>
  <si>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</si>
  <si>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</si>
  <si>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</si>
  <si>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</si>
  <si>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</si>
  <si>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</si>
  <si>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</si>
  <si>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</si>
  <si>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</si>
  <si>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</si>
  <si>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</si>
  <si>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</si>
  <si>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</si>
  <si>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</si>
  <si>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</si>
  <si>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</si>
  <si>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</si>
  <si>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</si>
  <si>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</si>
  <si>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</si>
  <si>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</si>
  <si>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</si>
  <si>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</si>
  <si>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</si>
  <si>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</si>
  <si>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</si>
  <si>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</si>
  <si>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</si>
  <si>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</si>
  <si>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</si>
  <si>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</si>
  <si>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</si>
  <si>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</si>
  <si>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</si>
  <si>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</si>
  <si>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</si>
  <si>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</si>
  <si>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</si>
  <si>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</si>
  <si>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</si>
  <si>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</si>
  <si>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</si>
  <si>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</si>
  <si>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</si>
  <si>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</si>
  <si>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</si>
  <si>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</si>
  <si>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</si>
  <si>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</si>
  <si>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</si>
  <si>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</si>
  <si>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</si>
  <si>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</si>
  <si>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</si>
  <si>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</si>
  <si>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</si>
  <si>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</si>
  <si>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</si>
  <si>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</si>
  <si>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</si>
  <si>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</si>
  <si>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</si>
  <si>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</si>
  <si>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</si>
  <si>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</si>
  <si>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</si>
  <si>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</si>
  <si>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</si>
  <si>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</si>
  <si>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</si>
  <si>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</si>
  <si>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</si>
  <si>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</si>
  <si>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</si>
  <si>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</si>
  <si>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</si>
  <si>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</si>
  <si>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</si>
  <si>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</si>
  <si>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U+030D</t>
    <phoneticPr fontId="4" type="noConversion"/>
  </si>
  <si>
    <t>Charis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</si>
  <si>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</si>
  <si>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</si>
  <si>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</si>
  <si>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</si>
  <si>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</si>
  <si>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</si>
  <si>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</si>
  <si>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</si>
  <si>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</si>
  <si>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</si>
  <si>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</si>
  <si>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</si>
  <si>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</si>
  <si>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</si>
  <si>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</si>
  <si>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</si>
  <si>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</si>
  <si>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</si>
  <si>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</si>
  <si>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</si>
  <si>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</si>
  <si>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</si>
  <si>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</si>
  <si>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</si>
  <si>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</si>
  <si>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</si>
  <si>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</si>
  <si>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</si>
  <si>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</si>
  <si>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</si>
  <si>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</si>
  <si>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</si>
  <si>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</si>
  <si>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</si>
  <si>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</si>
  <si>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</si>
  <si>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</si>
  <si>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</si>
  <si>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</si>
  <si>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</si>
  <si>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</si>
  <si>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</si>
  <si>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</si>
  <si>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</si>
  <si>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</si>
  <si>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</si>
  <si>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</si>
  <si>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</si>
  <si>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</si>
  <si>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</si>
  <si>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</si>
  <si>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</si>
  <si>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</si>
  <si>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</si>
  <si>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</si>
  <si>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</si>
  <si>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</si>
  <si>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</si>
  <si>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</si>
  <si>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</si>
  <si>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</si>
  <si>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</si>
  <si>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</si>
  <si>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</si>
  <si>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</si>
  <si>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</si>
  <si>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</si>
  <si>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</si>
  <si>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</si>
  <si>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</si>
  <si>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</si>
  <si>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</si>
  <si>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</si>
  <si>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</si>
  <si>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</si>
  <si>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</si>
  <si>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</si>
  <si>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</si>
  <si>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</si>
  <si>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</si>
  <si>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</si>
  <si>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</si>
  <si>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</si>
  <si>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</si>
  <si>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</si>
  <si>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</si>
  <si>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</si>
  <si>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</si>
  <si>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</si>
  <si>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</si>
  <si>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</si>
  <si>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</si>
  <si>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</si>
  <si>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</si>
  <si>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</si>
  <si>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</si>
  <si>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</si>
  <si>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</si>
  <si>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</si>
  <si>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</si>
  <si>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</si>
  <si>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</si>
  <si>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</si>
  <si>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</si>
  <si>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</si>
  <si>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</si>
  <si>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</si>
  <si>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</si>
  <si>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</si>
  <si>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</si>
  <si>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</si>
  <si>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</si>
  <si>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</si>
  <si>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</si>
  <si>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</si>
  <si>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</si>
  <si>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</si>
  <si>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</si>
  <si>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</si>
  <si>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</si>
  <si>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</si>
  <si>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</si>
  <si>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</si>
  <si>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</si>
  <si>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</si>
  <si>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</si>
  <si>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</si>
  <si>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</si>
  <si>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</si>
  <si>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</si>
  <si>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</si>
  <si>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</si>
  <si>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</si>
  <si>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</si>
  <si>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</si>
  <si>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</si>
  <si>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</si>
  <si>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</si>
  <si>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</si>
  <si>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</si>
  <si>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</si>
  <si>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</si>
  <si>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</si>
  <si>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</si>
  <si>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</si>
  <si>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</si>
  <si>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</si>
  <si>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</si>
  <si>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</si>
  <si>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</si>
  <si>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</si>
  <si>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</si>
  <si>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</si>
  <si>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</si>
  <si>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</si>
  <si>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</si>
  <si>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</si>
  <si>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</si>
  <si>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</si>
  <si>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</si>
  <si>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</si>
  <si>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</si>
  <si>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</si>
  <si>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</si>
  <si>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</si>
  <si>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</si>
  <si>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</si>
  <si>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</si>
  <si>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</si>
  <si>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</si>
  <si>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</si>
  <si>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</si>
  <si>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</si>
  <si>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</si>
  <si>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</si>
  <si>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</si>
  <si>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</si>
  <si>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</si>
  <si>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</si>
  <si>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</si>
  <si>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</si>
  <si>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</si>
  <si>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</si>
  <si>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</si>
  <si>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</si>
  <si>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</si>
  <si>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</si>
  <si>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</si>
  <si>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</si>
  <si>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</si>
  <si>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</si>
  <si>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</si>
  <si>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</si>
  <si>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</si>
  <si>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</si>
  <si>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</si>
  <si>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</si>
  <si>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</si>
  <si>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</si>
  <si>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</si>
  <si>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</si>
  <si>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</si>
  <si>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</si>
  <si>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</si>
  <si>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</si>
  <si>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</si>
  <si>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</si>
  <si>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</si>
  <si>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</si>
  <si>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</si>
  <si>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</si>
  <si>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</si>
  <si>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</si>
  <si>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</si>
  <si>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</si>
  <si>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</si>
  <si>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</si>
  <si>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</si>
  <si>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</si>
  <si>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</si>
  <si>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</si>
  <si>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</si>
  <si>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</si>
  <si>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</si>
  <si>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</si>
  <si>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</si>
  <si>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</si>
  <si>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</si>
  <si>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</si>
  <si>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</si>
  <si>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</si>
  <si>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</si>
  <si>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</si>
  <si>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</si>
  <si>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</si>
  <si>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</si>
  <si>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</si>
  <si>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</si>
  <si>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</si>
  <si>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</si>
  <si>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</si>
  <si>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</si>
  <si>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</si>
  <si>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</si>
  <si>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</si>
  <si>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</si>
  <si>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</si>
  <si>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</si>
  <si>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</si>
  <si>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</si>
  <si>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</si>
  <si>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</si>
  <si>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</si>
  <si>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</si>
  <si>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</si>
  <si>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</si>
  <si>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</si>
  <si>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</si>
  <si>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</si>
  <si>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</si>
  <si>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</si>
  <si>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</si>
  <si>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</si>
  <si>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</si>
  <si>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</si>
  <si>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</si>
  <si>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</si>
  <si>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</si>
  <si>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</si>
  <si>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</si>
  <si>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</si>
  <si>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</si>
  <si>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</si>
  <si>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</si>
  <si>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</si>
  <si>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</si>
  <si>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</si>
  <si>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</si>
  <si>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</si>
  <si>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</si>
  <si>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</si>
  <si>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</si>
  <si>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</si>
  <si>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</si>
  <si>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</si>
  <si>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</si>
  <si>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</si>
  <si>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</si>
  <si>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</si>
  <si>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</si>
  <si>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</si>
  <si>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</si>
  <si>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</si>
  <si>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</si>
  <si>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</si>
  <si>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</si>
  <si>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</si>
  <si>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</si>
  <si>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</si>
  <si>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</si>
  <si>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</si>
  <si>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</si>
  <si>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</si>
  <si>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</si>
  <si>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</si>
  <si>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</si>
  <si>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</si>
  <si>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</si>
  <si>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</si>
  <si>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</si>
  <si>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</si>
  <si>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</si>
  <si>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</si>
  <si>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</si>
  <si>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</si>
  <si>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</si>
  <si>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</si>
  <si>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</si>
  <si>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</si>
  <si>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</si>
  <si>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</si>
  <si>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</si>
  <si>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</si>
  <si>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</si>
  <si>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</si>
  <si>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</si>
  <si>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</si>
  <si>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</si>
  <si>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</si>
  <si>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</si>
  <si>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</si>
  <si>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</si>
  <si>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</si>
  <si>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</si>
  <si>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</si>
  <si>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</si>
  <si>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</si>
  <si>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</si>
  <si>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</si>
  <si>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</si>
  <si>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</si>
  <si>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</si>
  <si>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</si>
  <si>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</si>
  <si>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</si>
  <si>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</si>
  <si>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</si>
  <si>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</si>
  <si>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</si>
  <si>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</si>
  <si>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</si>
  <si>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</si>
  <si>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</si>
  <si>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</si>
  <si>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</si>
  <si>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</si>
  <si>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</si>
  <si>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</si>
  <si>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</si>
  <si>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</si>
  <si>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</si>
  <si>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</si>
  <si>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</si>
  <si>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</si>
  <si>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</si>
  <si>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</si>
  <si>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</si>
  <si>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</si>
  <si>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</si>
  <si>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</si>
  <si>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</si>
  <si>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</si>
  <si>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</si>
  <si>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</si>
  <si>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</si>
  <si>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</si>
  <si>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</si>
  <si>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</si>
  <si>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</si>
  <si>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</si>
  <si>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</si>
  <si>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</si>
  <si>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</si>
  <si>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</si>
  <si>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</si>
  <si>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</si>
  <si>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</si>
  <si>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</si>
  <si>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</si>
  <si>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</si>
  <si>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</si>
  <si>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</si>
  <si>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</si>
  <si>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</si>
  <si>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</si>
  <si>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</si>
  <si>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</si>
  <si>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</si>
  <si>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</si>
  <si>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</si>
  <si>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</si>
  <si>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</si>
  <si>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</si>
  <si>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</si>
  <si>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</si>
  <si>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</si>
  <si>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</si>
  <si>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</si>
  <si>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</si>
  <si>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</si>
  <si>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</si>
  <si>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</si>
  <si>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</si>
  <si>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</si>
  <si>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</si>
  <si>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</si>
  <si>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</si>
  <si>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</si>
  <si>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</si>
  <si>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</si>
  <si>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</si>
  <si>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</si>
  <si>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</si>
  <si>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</si>
  <si>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</si>
  <si>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</si>
  <si>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</si>
  <si>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</si>
  <si>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</si>
  <si>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</si>
  <si>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</si>
  <si>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</si>
  <si>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</si>
  <si>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</si>
  <si>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</si>
  <si>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</si>
  <si>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</si>
  <si>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</si>
  <si>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</si>
  <si>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</si>
  <si>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</si>
  <si>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</si>
  <si>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</si>
  <si>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</si>
  <si>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</si>
  <si>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</si>
  <si>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</si>
  <si>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</si>
  <si>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</si>
  <si>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</si>
  <si>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</si>
  <si>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</si>
  <si>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</si>
  <si>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</si>
  <si>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</si>
  <si>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</si>
  <si>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</si>
  <si>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</si>
  <si>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</si>
  <si>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</si>
  <si>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</si>
  <si>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</si>
  <si>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</si>
  <si>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</si>
  <si>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</si>
  <si>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</si>
  <si>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</si>
  <si>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</si>
  <si>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</si>
  <si>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</si>
  <si>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</si>
  <si>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</si>
  <si>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</si>
  <si>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</si>
  <si>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</si>
  <si>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</si>
  <si>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</si>
  <si>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</si>
  <si>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</si>
  <si>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</si>
  <si>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</si>
  <si>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</si>
  <si>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</si>
  <si>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</si>
  <si>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</si>
  <si>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</si>
  <si>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</si>
  <si>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</si>
  <si>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</si>
  <si>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</si>
  <si>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</si>
  <si>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</si>
  <si>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</si>
  <si>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</si>
  <si>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</si>
  <si>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</si>
  <si>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</si>
  <si>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'</t>
    <phoneticPr fontId="4" type="noConversion"/>
  </si>
  <si>
    <t>;</t>
    <phoneticPr fontId="4" type="noConversion"/>
  </si>
  <si>
    <t>\</t>
    <phoneticPr fontId="4" type="noConversion"/>
  </si>
  <si>
    <t>[</t>
    <phoneticPr fontId="4" type="noConversion"/>
  </si>
  <si>
    <t>-</t>
    <phoneticPr fontId="4" type="noConversion"/>
  </si>
  <si>
    <t>]</t>
    <phoneticPr fontId="4" type="noConversion"/>
  </si>
  <si>
    <t>入聲</t>
    <phoneticPr fontId="4" type="noConversion"/>
  </si>
  <si>
    <t>按鍵</t>
    <phoneticPr fontId="4" type="noConversion"/>
  </si>
  <si>
    <t>調符編碼</t>
    <phoneticPr fontId="4" type="noConversion"/>
  </si>
  <si>
    <t>一</t>
    <phoneticPr fontId="4" type="noConversion"/>
  </si>
  <si>
    <t>二</t>
    <phoneticPr fontId="4" type="noConversion"/>
  </si>
  <si>
    <t>三</t>
    <phoneticPr fontId="4" type="noConversion"/>
  </si>
  <si>
    <t>四</t>
    <phoneticPr fontId="4" type="noConversion"/>
  </si>
  <si>
    <t>五</t>
    <phoneticPr fontId="4" type="noConversion"/>
  </si>
  <si>
    <t>六</t>
    <phoneticPr fontId="4" type="noConversion"/>
  </si>
  <si>
    <t>七</t>
    <phoneticPr fontId="4" type="noConversion"/>
  </si>
  <si>
    <t>八</t>
    <phoneticPr fontId="4" type="noConversion"/>
  </si>
  <si>
    <t>入</t>
    <phoneticPr fontId="4" type="noConversion"/>
  </si>
  <si>
    <t>#</t>
    <phoneticPr fontId="4" type="noConversion"/>
  </si>
  <si>
    <t>ㄚ́</t>
  </si>
  <si>
    <t>ㄚ̀</t>
  </si>
  <si>
    <t>ㄚㆷ</t>
  </si>
  <si>
    <t>十五音調號</t>
    <phoneticPr fontId="4" type="noConversion"/>
  </si>
  <si>
    <t>四聲八調名</t>
    <phoneticPr fontId="4" type="noConversion"/>
  </si>
  <si>
    <t>U+00AF</t>
    <phoneticPr fontId="4" type="noConversion"/>
  </si>
  <si>
    <t>search()</t>
    <phoneticPr fontId="4" type="noConversion"/>
  </si>
  <si>
    <t>響度優先次第： a &gt; oo &gt; (e = o) &gt; (i = u)〈低元音 &gt; 高元音 &gt; 無擦通音 &gt; 擦音 &gt; 塞音〉</t>
  </si>
  <si>
    <t>標調字母</t>
    <phoneticPr fontId="4" type="noConversion"/>
  </si>
  <si>
    <t>n</t>
    <phoneticPr fontId="4" type="noConversion"/>
  </si>
  <si>
    <t>m</t>
    <phoneticPr fontId="4" type="noConversion"/>
  </si>
  <si>
    <t>》e${1}i</t>
  </si>
  <si>
    <t>》o${1}u</t>
  </si>
  <si>
    <t>U+0300</t>
  </si>
  <si>
    <t>U+030D</t>
  </si>
  <si>
    <t>聲韻調類</t>
    <phoneticPr fontId="4" type="noConversion"/>
  </si>
  <si>
    <t>韻-鼻</t>
    <phoneticPr fontId="4" type="noConversion"/>
  </si>
  <si>
    <t>ĩãũʔ</t>
  </si>
  <si>
    <t>Unicode 編碼</t>
    <phoneticPr fontId="4" type="noConversion"/>
  </si>
  <si>
    <t>U+0303</t>
    <phoneticPr fontId="4" type="noConversion"/>
  </si>
  <si>
    <t>U+0294</t>
    <phoneticPr fontId="4" type="noConversion"/>
  </si>
  <si>
    <t>o͘</t>
    <phoneticPr fontId="4" type="noConversion"/>
  </si>
  <si>
    <t>U+0856</t>
    <phoneticPr fontId="4" type="noConversion"/>
  </si>
  <si>
    <t>實例</t>
    <phoneticPr fontId="4" type="noConversion"/>
  </si>
  <si>
    <t>ㆯㆷ</t>
    <phoneticPr fontId="4" type="noConversion"/>
  </si>
  <si>
    <t>ㆩㆷ</t>
  </si>
  <si>
    <t>ㄧㆩ</t>
    <phoneticPr fontId="4" type="noConversion"/>
  </si>
  <si>
    <t>ㆥㆷ</t>
  </si>
  <si>
    <t>ㄧㆦㆷ</t>
    <phoneticPr fontId="4" type="noConversion"/>
  </si>
  <si>
    <t>ㄧㄨㆷ</t>
    <phoneticPr fontId="4" type="noConversion"/>
  </si>
  <si>
    <t>ㆭㆷ</t>
  </si>
  <si>
    <t>ㆭㆷ</t>
    <phoneticPr fontId="4" type="noConversion"/>
  </si>
  <si>
    <t>ㆦㆷ</t>
  </si>
  <si>
    <t>ㆦㆷ</t>
    <phoneticPr fontId="4" type="noConversion"/>
  </si>
  <si>
    <t>ㄧㆦ</t>
    <phoneticPr fontId="4" type="noConversion"/>
  </si>
  <si>
    <t>ㄧㄥ</t>
    <phoneticPr fontId="4" type="noConversion"/>
  </si>
  <si>
    <t>ㄥ</t>
  </si>
  <si>
    <t>[əŋ]</t>
    <phoneticPr fontId="4" type="noConversion"/>
  </si>
  <si>
    <t>ㆭ</t>
    <phoneticPr fontId="4" type="noConversion"/>
  </si>
  <si>
    <t>[ŋ̍]</t>
    <phoneticPr fontId="4" type="noConversion"/>
  </si>
  <si>
    <t>ㆨ</t>
    <phoneticPr fontId="4" type="noConversion"/>
  </si>
  <si>
    <t>ㆬ</t>
    <phoneticPr fontId="4" type="noConversion"/>
  </si>
  <si>
    <t>ㆱ</t>
    <phoneticPr fontId="4" type="noConversion"/>
  </si>
  <si>
    <t>ㆦ</t>
  </si>
  <si>
    <t>ㆤ</t>
    <phoneticPr fontId="4" type="noConversion"/>
  </si>
  <si>
    <t>ㄧㆻ</t>
    <phoneticPr fontId="4" type="noConversion"/>
  </si>
  <si>
    <t>音節表</t>
  </si>
  <si>
    <t>ʦ/ʨ</t>
  </si>
  <si>
    <t>ʦʰ/ʨʰ</t>
  </si>
  <si>
    <t>ʣ/ʥ</t>
  </si>
  <si>
    <t>s/ɕ</t>
  </si>
  <si>
    <t>ha</t>
  </si>
  <si>
    <t>pa</t>
  </si>
  <si>
    <t>pha</t>
  </si>
  <si>
    <t>ba</t>
  </si>
  <si>
    <t>ma</t>
  </si>
  <si>
    <t>ta</t>
  </si>
  <si>
    <t>tha</t>
  </si>
  <si>
    <t>la</t>
  </si>
  <si>
    <t>tsa</t>
  </si>
  <si>
    <t>tsha</t>
  </si>
  <si>
    <t>sa</t>
  </si>
  <si>
    <t>ka</t>
  </si>
  <si>
    <t>kha</t>
  </si>
  <si>
    <t>ga</t>
  </si>
  <si>
    <t>nga</t>
  </si>
  <si>
    <t>hann</t>
  </si>
  <si>
    <t>phann</t>
  </si>
  <si>
    <t>tann</t>
  </si>
  <si>
    <t>thann</t>
  </si>
  <si>
    <t>tsann</t>
  </si>
  <si>
    <t>tshann</t>
  </si>
  <si>
    <t>sann</t>
  </si>
  <si>
    <t>kann</t>
  </si>
  <si>
    <t>khann</t>
  </si>
  <si>
    <t>hah</t>
  </si>
  <si>
    <t>pah</t>
  </si>
  <si>
    <t>phah</t>
  </si>
  <si>
    <t>bah</t>
  </si>
  <si>
    <t>mah</t>
  </si>
  <si>
    <t>tah</t>
  </si>
  <si>
    <t>thah</t>
  </si>
  <si>
    <t>lah</t>
  </si>
  <si>
    <t>tsah</t>
  </si>
  <si>
    <t>tshah</t>
  </si>
  <si>
    <t>sah</t>
  </si>
  <si>
    <t>kah</t>
  </si>
  <si>
    <t>khah</t>
  </si>
  <si>
    <t>hannh</t>
  </si>
  <si>
    <t>sannh</t>
  </si>
  <si>
    <t>ham</t>
  </si>
  <si>
    <t>tam</t>
  </si>
  <si>
    <t>tham</t>
  </si>
  <si>
    <t>lam</t>
  </si>
  <si>
    <t>tsam</t>
  </si>
  <si>
    <t>tsham</t>
  </si>
  <si>
    <t>sam</t>
  </si>
  <si>
    <t>kam</t>
  </si>
  <si>
    <t>kham</t>
  </si>
  <si>
    <t>gam</t>
  </si>
  <si>
    <t>han</t>
  </si>
  <si>
    <t>pan</t>
  </si>
  <si>
    <t>phan</t>
  </si>
  <si>
    <t>ban</t>
  </si>
  <si>
    <t>tan</t>
  </si>
  <si>
    <t>than</t>
  </si>
  <si>
    <t>lan</t>
  </si>
  <si>
    <t>tsan</t>
  </si>
  <si>
    <t>tshan</t>
  </si>
  <si>
    <t>san</t>
  </si>
  <si>
    <t>kan</t>
  </si>
  <si>
    <t>khan</t>
  </si>
  <si>
    <t>gan</t>
  </si>
  <si>
    <t>hang</t>
  </si>
  <si>
    <t>pang</t>
  </si>
  <si>
    <t>phang</t>
  </si>
  <si>
    <t>bang</t>
  </si>
  <si>
    <t>tang</t>
  </si>
  <si>
    <t>thang</t>
  </si>
  <si>
    <t>lang</t>
  </si>
  <si>
    <t>tsang</t>
  </si>
  <si>
    <t>tshang</t>
  </si>
  <si>
    <t>sang</t>
  </si>
  <si>
    <t>kang</t>
  </si>
  <si>
    <t>khang</t>
  </si>
  <si>
    <t>gang</t>
  </si>
  <si>
    <t>hap</t>
  </si>
  <si>
    <t>tap</t>
  </si>
  <si>
    <t>thap</t>
  </si>
  <si>
    <t>lap</t>
  </si>
  <si>
    <t>tsap</t>
  </si>
  <si>
    <t>tshap</t>
  </si>
  <si>
    <t>sap</t>
  </si>
  <si>
    <t>kap</t>
  </si>
  <si>
    <t>khap</t>
  </si>
  <si>
    <t>hat</t>
  </si>
  <si>
    <t>pat</t>
  </si>
  <si>
    <t>phat</t>
  </si>
  <si>
    <t>bat</t>
  </si>
  <si>
    <t>tat</t>
  </si>
  <si>
    <t>that</t>
  </si>
  <si>
    <t>lat</t>
  </si>
  <si>
    <t>tsat</t>
  </si>
  <si>
    <t>tshat</t>
  </si>
  <si>
    <t>sat</t>
  </si>
  <si>
    <t>kat</t>
  </si>
  <si>
    <t>khat</t>
  </si>
  <si>
    <t>hak</t>
  </si>
  <si>
    <t>pak</t>
  </si>
  <si>
    <t>phak</t>
  </si>
  <si>
    <t>bak</t>
  </si>
  <si>
    <t>tak</t>
  </si>
  <si>
    <t>thak</t>
  </si>
  <si>
    <t>lak</t>
  </si>
  <si>
    <t>tsak</t>
  </si>
  <si>
    <t>tshak</t>
  </si>
  <si>
    <t>sak</t>
  </si>
  <si>
    <t>kak</t>
  </si>
  <si>
    <t>khak</t>
  </si>
  <si>
    <t>gak</t>
  </si>
  <si>
    <t>hai</t>
  </si>
  <si>
    <t>pai</t>
  </si>
  <si>
    <t>phai</t>
  </si>
  <si>
    <t>bai</t>
  </si>
  <si>
    <t>mai</t>
  </si>
  <si>
    <t>tai</t>
  </si>
  <si>
    <t>thai</t>
  </si>
  <si>
    <t>lai</t>
  </si>
  <si>
    <t>tsai</t>
  </si>
  <si>
    <t>tshai</t>
  </si>
  <si>
    <t>sai</t>
  </si>
  <si>
    <t>kai</t>
  </si>
  <si>
    <t>khai</t>
  </si>
  <si>
    <t>gai</t>
  </si>
  <si>
    <t>ngai</t>
  </si>
  <si>
    <t>ãɪ</t>
  </si>
  <si>
    <t>hainn</t>
  </si>
  <si>
    <t>phainn</t>
  </si>
  <si>
    <t>tainn</t>
  </si>
  <si>
    <t>tsainn</t>
  </si>
  <si>
    <t>kainn</t>
  </si>
  <si>
    <t>khainn</t>
  </si>
  <si>
    <t>aɪʔ</t>
  </si>
  <si>
    <t>aih</t>
  </si>
  <si>
    <t>haih</t>
  </si>
  <si>
    <t>laih</t>
  </si>
  <si>
    <t>saih</t>
  </si>
  <si>
    <t>hau</t>
  </si>
  <si>
    <t>pau</t>
  </si>
  <si>
    <t>phau</t>
  </si>
  <si>
    <t>bau</t>
  </si>
  <si>
    <t>mau</t>
  </si>
  <si>
    <t>tau</t>
  </si>
  <si>
    <t>thau</t>
  </si>
  <si>
    <t>nau</t>
  </si>
  <si>
    <t>lau</t>
  </si>
  <si>
    <t>tsau</t>
  </si>
  <si>
    <t>tshau</t>
  </si>
  <si>
    <t>sau</t>
  </si>
  <si>
    <t>kau</t>
  </si>
  <si>
    <t>khau</t>
  </si>
  <si>
    <t>gau</t>
  </si>
  <si>
    <t>ngau</t>
  </si>
  <si>
    <t>phauh</t>
  </si>
  <si>
    <t>mauh</t>
  </si>
  <si>
    <t>tauh</t>
  </si>
  <si>
    <t>nauh</t>
  </si>
  <si>
    <t>lauh</t>
  </si>
  <si>
    <t>tshauh</t>
  </si>
  <si>
    <t>kauh</t>
  </si>
  <si>
    <t>ngauh</t>
  </si>
  <si>
    <t>he</t>
  </si>
  <si>
    <t>pe</t>
  </si>
  <si>
    <t>phe</t>
  </si>
  <si>
    <t>be</t>
  </si>
  <si>
    <t>me</t>
  </si>
  <si>
    <t>te</t>
  </si>
  <si>
    <t>the</t>
  </si>
  <si>
    <t>le</t>
  </si>
  <si>
    <t>tse</t>
  </si>
  <si>
    <t>tshe</t>
  </si>
  <si>
    <t>se</t>
  </si>
  <si>
    <t>ke</t>
  </si>
  <si>
    <t>khe</t>
  </si>
  <si>
    <t>ge</t>
  </si>
  <si>
    <t>nge</t>
  </si>
  <si>
    <t>henn</t>
  </si>
  <si>
    <t>penn</t>
  </si>
  <si>
    <t>phenn</t>
  </si>
  <si>
    <t>tenn</t>
  </si>
  <si>
    <t>thenn</t>
  </si>
  <si>
    <t>tsenn</t>
  </si>
  <si>
    <t>tshenn</t>
  </si>
  <si>
    <t>senn</t>
  </si>
  <si>
    <t>kenn</t>
  </si>
  <si>
    <t>khenn</t>
  </si>
  <si>
    <t>heh</t>
  </si>
  <si>
    <t>peh</t>
  </si>
  <si>
    <t>pheh</t>
  </si>
  <si>
    <t>beh</t>
  </si>
  <si>
    <t>meh</t>
  </si>
  <si>
    <t>teh</t>
  </si>
  <si>
    <t>theh</t>
  </si>
  <si>
    <t>neh</t>
  </si>
  <si>
    <t>leh</t>
  </si>
  <si>
    <t>tseh</t>
  </si>
  <si>
    <t>tsheh</t>
  </si>
  <si>
    <t>seh</t>
  </si>
  <si>
    <t>keh</t>
  </si>
  <si>
    <t>kheh</t>
  </si>
  <si>
    <t>geh</t>
  </si>
  <si>
    <t>ngeh</t>
  </si>
  <si>
    <t>ẽʔ</t>
  </si>
  <si>
    <t>hennh</t>
  </si>
  <si>
    <t>khennh</t>
  </si>
  <si>
    <t>hi</t>
  </si>
  <si>
    <t>pi</t>
  </si>
  <si>
    <t>phi</t>
  </si>
  <si>
    <t>bi</t>
  </si>
  <si>
    <t>mi</t>
  </si>
  <si>
    <t>ti</t>
  </si>
  <si>
    <t>thi</t>
  </si>
  <si>
    <t>li</t>
  </si>
  <si>
    <t>ki</t>
  </si>
  <si>
    <t>khi</t>
  </si>
  <si>
    <t>gi</t>
  </si>
  <si>
    <t>ngi</t>
  </si>
  <si>
    <t>hinn</t>
  </si>
  <si>
    <t>pinn</t>
  </si>
  <si>
    <t>phinn</t>
  </si>
  <si>
    <t>tinn</t>
  </si>
  <si>
    <t>thinn</t>
  </si>
  <si>
    <t>tsinn</t>
  </si>
  <si>
    <t>tshinn</t>
  </si>
  <si>
    <t>sinn</t>
  </si>
  <si>
    <t>kinn</t>
  </si>
  <si>
    <t>khinn</t>
  </si>
  <si>
    <t>pih</t>
  </si>
  <si>
    <t>phih</t>
  </si>
  <si>
    <t>bih</t>
  </si>
  <si>
    <t>mih</t>
  </si>
  <si>
    <t>tih</t>
  </si>
  <si>
    <t>thih</t>
  </si>
  <si>
    <t>lih</t>
  </si>
  <si>
    <t>tsih</t>
  </si>
  <si>
    <t>tshih</t>
  </si>
  <si>
    <t>sih</t>
  </si>
  <si>
    <t>kih</t>
  </si>
  <si>
    <t>khih</t>
  </si>
  <si>
    <t>him</t>
  </si>
  <si>
    <t>tim</t>
  </si>
  <si>
    <t>thim</t>
  </si>
  <si>
    <t>lim</t>
  </si>
  <si>
    <t>tsim</t>
  </si>
  <si>
    <t>tshim</t>
  </si>
  <si>
    <t>jim</t>
  </si>
  <si>
    <t>sim</t>
  </si>
  <si>
    <t>kim</t>
  </si>
  <si>
    <t>khim</t>
  </si>
  <si>
    <t>gim</t>
  </si>
  <si>
    <t>hin</t>
  </si>
  <si>
    <t>pin</t>
  </si>
  <si>
    <t>phin</t>
  </si>
  <si>
    <t>bin</t>
  </si>
  <si>
    <t>tin</t>
  </si>
  <si>
    <t>thin</t>
  </si>
  <si>
    <t>lin</t>
  </si>
  <si>
    <t>tsin</t>
  </si>
  <si>
    <t>tshin</t>
  </si>
  <si>
    <t>jin</t>
  </si>
  <si>
    <t>sin</t>
  </si>
  <si>
    <t>kin</t>
  </si>
  <si>
    <t>khin</t>
  </si>
  <si>
    <t>gin</t>
  </si>
  <si>
    <t>hing</t>
  </si>
  <si>
    <t>ping</t>
  </si>
  <si>
    <t>phing</t>
  </si>
  <si>
    <t>bing</t>
  </si>
  <si>
    <t>ting</t>
  </si>
  <si>
    <t>thing</t>
  </si>
  <si>
    <t>ling</t>
  </si>
  <si>
    <t>tsing</t>
  </si>
  <si>
    <t>tshing</t>
  </si>
  <si>
    <t>sing</t>
  </si>
  <si>
    <t>king</t>
  </si>
  <si>
    <t>khing</t>
  </si>
  <si>
    <t>ging</t>
  </si>
  <si>
    <t>hip</t>
  </si>
  <si>
    <t>lip</t>
  </si>
  <si>
    <t>tsip</t>
  </si>
  <si>
    <t>tship</t>
  </si>
  <si>
    <t>jip</t>
  </si>
  <si>
    <t>sip</t>
  </si>
  <si>
    <t>kip</t>
  </si>
  <si>
    <t>khip</t>
  </si>
  <si>
    <t>hit</t>
  </si>
  <si>
    <t>pit</t>
  </si>
  <si>
    <t>phit</t>
  </si>
  <si>
    <t>bit</t>
  </si>
  <si>
    <t>tit</t>
  </si>
  <si>
    <t>thit</t>
  </si>
  <si>
    <t>lit</t>
  </si>
  <si>
    <t>tsit</t>
  </si>
  <si>
    <t>tshit</t>
  </si>
  <si>
    <t>jit</t>
  </si>
  <si>
    <t>sit</t>
  </si>
  <si>
    <t>kit</t>
  </si>
  <si>
    <t>khit</t>
  </si>
  <si>
    <t>ik̚/ɪək̚</t>
  </si>
  <si>
    <t>hik</t>
  </si>
  <si>
    <t>pik</t>
  </si>
  <si>
    <t>phik</t>
  </si>
  <si>
    <t>bik</t>
  </si>
  <si>
    <t>tik</t>
  </si>
  <si>
    <t>thik</t>
  </si>
  <si>
    <t>lik</t>
  </si>
  <si>
    <t>tsik</t>
  </si>
  <si>
    <t>tshik</t>
  </si>
  <si>
    <t>jik</t>
  </si>
  <si>
    <t>sik</t>
  </si>
  <si>
    <t>kik</t>
  </si>
  <si>
    <t>khik</t>
  </si>
  <si>
    <t>gik</t>
  </si>
  <si>
    <t>hia</t>
  </si>
  <si>
    <t>mia</t>
  </si>
  <si>
    <t>tia</t>
  </si>
  <si>
    <t>lia</t>
  </si>
  <si>
    <t>tsia</t>
  </si>
  <si>
    <t>tshia</t>
  </si>
  <si>
    <t>jia</t>
  </si>
  <si>
    <t>sia</t>
  </si>
  <si>
    <t>kia</t>
  </si>
  <si>
    <t>khia</t>
  </si>
  <si>
    <t>gia</t>
  </si>
  <si>
    <t>ngia</t>
  </si>
  <si>
    <t>iã</t>
  </si>
  <si>
    <t>hiann</t>
  </si>
  <si>
    <t>piann</t>
  </si>
  <si>
    <t>phiann</t>
  </si>
  <si>
    <t>tiann</t>
  </si>
  <si>
    <t>thiann</t>
  </si>
  <si>
    <t>tsiann</t>
  </si>
  <si>
    <t>tshiann</t>
  </si>
  <si>
    <t>siann</t>
  </si>
  <si>
    <t>kiann</t>
  </si>
  <si>
    <t>khiann</t>
  </si>
  <si>
    <t>ɪaʔ</t>
  </si>
  <si>
    <t>hiah</t>
  </si>
  <si>
    <t>piah</t>
  </si>
  <si>
    <t>phiah</t>
  </si>
  <si>
    <t>tiah</t>
  </si>
  <si>
    <t>thiah</t>
  </si>
  <si>
    <t>liah</t>
  </si>
  <si>
    <t>tsiah</t>
  </si>
  <si>
    <t>tshiah</t>
  </si>
  <si>
    <t>jiah</t>
  </si>
  <si>
    <t>siah</t>
  </si>
  <si>
    <t>kiah</t>
  </si>
  <si>
    <t>khiah</t>
  </si>
  <si>
    <t>giah</t>
  </si>
  <si>
    <t>hiannh</t>
  </si>
  <si>
    <t>siannh</t>
  </si>
  <si>
    <t>ɪam</t>
  </si>
  <si>
    <t>hiam</t>
  </si>
  <si>
    <t>tiam</t>
  </si>
  <si>
    <t>thiam</t>
  </si>
  <si>
    <t>liam</t>
  </si>
  <si>
    <t>tsiam</t>
  </si>
  <si>
    <t>tshiam</t>
  </si>
  <si>
    <t>jiam</t>
  </si>
  <si>
    <t>siam</t>
  </si>
  <si>
    <t>kiam</t>
  </si>
  <si>
    <t>khiam</t>
  </si>
  <si>
    <t>giam</t>
  </si>
  <si>
    <t>ɪan/en</t>
  </si>
  <si>
    <t>hian</t>
  </si>
  <si>
    <t>pian</t>
  </si>
  <si>
    <t>phian</t>
  </si>
  <si>
    <t>bian</t>
  </si>
  <si>
    <t>tian</t>
  </si>
  <si>
    <t>thian</t>
  </si>
  <si>
    <t>lian</t>
  </si>
  <si>
    <t>tsian</t>
  </si>
  <si>
    <t>tshian</t>
  </si>
  <si>
    <t>jian</t>
  </si>
  <si>
    <t>sian</t>
  </si>
  <si>
    <t>kian</t>
  </si>
  <si>
    <t>khian</t>
  </si>
  <si>
    <t>gian</t>
  </si>
  <si>
    <t>hiang</t>
  </si>
  <si>
    <t>piang</t>
  </si>
  <si>
    <t>phiang</t>
  </si>
  <si>
    <t>liang</t>
  </si>
  <si>
    <t>tsiang</t>
  </si>
  <si>
    <t>tshiang</t>
  </si>
  <si>
    <t>jiang</t>
  </si>
  <si>
    <t>siang</t>
  </si>
  <si>
    <t>kiang</t>
  </si>
  <si>
    <t>khiang</t>
  </si>
  <si>
    <t>giang</t>
  </si>
  <si>
    <t>ɪap̚</t>
  </si>
  <si>
    <t>hiap</t>
  </si>
  <si>
    <t>tiap</t>
  </si>
  <si>
    <t>thiap</t>
  </si>
  <si>
    <t>liap</t>
  </si>
  <si>
    <t>tsiap</t>
  </si>
  <si>
    <t>tshiap</t>
  </si>
  <si>
    <t>jiap</t>
  </si>
  <si>
    <t>siap</t>
  </si>
  <si>
    <t>kiap</t>
  </si>
  <si>
    <t>khiap</t>
  </si>
  <si>
    <t>giap</t>
  </si>
  <si>
    <t>ɪat̚/ɪet̚</t>
  </si>
  <si>
    <t>hiat</t>
  </si>
  <si>
    <t>piat</t>
  </si>
  <si>
    <t>phiat</t>
  </si>
  <si>
    <t>biat</t>
  </si>
  <si>
    <t>tiat</t>
  </si>
  <si>
    <t>thiat</t>
  </si>
  <si>
    <t>liat</t>
  </si>
  <si>
    <t>tsiat</t>
  </si>
  <si>
    <t>tshiat</t>
  </si>
  <si>
    <t>jiat</t>
  </si>
  <si>
    <t>siat</t>
  </si>
  <si>
    <t>kiat</t>
  </si>
  <si>
    <t>khiat</t>
  </si>
  <si>
    <t>giat</t>
  </si>
  <si>
    <t>piak</t>
  </si>
  <si>
    <t>phiak</t>
  </si>
  <si>
    <t>tiak</t>
  </si>
  <si>
    <t>tshiak</t>
  </si>
  <si>
    <t>siak</t>
  </si>
  <si>
    <t>khiak</t>
  </si>
  <si>
    <t>ɪau</t>
  </si>
  <si>
    <t>hiau</t>
  </si>
  <si>
    <t>piau</t>
  </si>
  <si>
    <t>phiau</t>
  </si>
  <si>
    <t>biau</t>
  </si>
  <si>
    <t>miau</t>
  </si>
  <si>
    <t>tiau</t>
  </si>
  <si>
    <t>thiau</t>
  </si>
  <si>
    <t>niau</t>
  </si>
  <si>
    <t>liau</t>
  </si>
  <si>
    <t>tsiau</t>
  </si>
  <si>
    <t>tshiau</t>
  </si>
  <si>
    <t>jiau</t>
  </si>
  <si>
    <t>siau</t>
  </si>
  <si>
    <t>kiau</t>
  </si>
  <si>
    <t>khiau</t>
  </si>
  <si>
    <t>giau</t>
  </si>
  <si>
    <t>ngiau</t>
  </si>
  <si>
    <t>ɪãu</t>
  </si>
  <si>
    <t>ɪauʔ</t>
  </si>
  <si>
    <t>hiauh</t>
  </si>
  <si>
    <t>khiauh</t>
  </si>
  <si>
    <t>ngiauh</t>
  </si>
  <si>
    <t>ɪə/ɪo</t>
  </si>
  <si>
    <t>hio</t>
  </si>
  <si>
    <t>pio</t>
  </si>
  <si>
    <t>phio</t>
  </si>
  <si>
    <t>bio</t>
  </si>
  <si>
    <t>tio</t>
  </si>
  <si>
    <t>thio</t>
  </si>
  <si>
    <t>lio</t>
  </si>
  <si>
    <t>tsio</t>
  </si>
  <si>
    <t>tshio</t>
  </si>
  <si>
    <t>jio</t>
  </si>
  <si>
    <t>sio</t>
  </si>
  <si>
    <t>kio</t>
  </si>
  <si>
    <t>khio</t>
  </si>
  <si>
    <t>gio</t>
  </si>
  <si>
    <t>ɪɔ̃</t>
  </si>
  <si>
    <t>hionn</t>
  </si>
  <si>
    <t>tionn</t>
  </si>
  <si>
    <t>tsionn</t>
  </si>
  <si>
    <t>tshionn</t>
  </si>
  <si>
    <t>sionn</t>
  </si>
  <si>
    <t>kionn</t>
  </si>
  <si>
    <t>khionn</t>
  </si>
  <si>
    <t>ɪəʔ/ɪoʔ</t>
  </si>
  <si>
    <t>hioh</t>
  </si>
  <si>
    <t>tioh</t>
  </si>
  <si>
    <t>lioh</t>
  </si>
  <si>
    <t>tsioh</t>
  </si>
  <si>
    <t>tshioh</t>
  </si>
  <si>
    <t>sioh</t>
  </si>
  <si>
    <t>kioh</t>
  </si>
  <si>
    <t>khioh</t>
  </si>
  <si>
    <t>gioh</t>
  </si>
  <si>
    <t>hiong</t>
  </si>
  <si>
    <t>tiong</t>
  </si>
  <si>
    <t>thiong</t>
  </si>
  <si>
    <t>liong</t>
  </si>
  <si>
    <t>tsiong</t>
  </si>
  <si>
    <t>tshiong</t>
  </si>
  <si>
    <t>jiong</t>
  </si>
  <si>
    <t>siong</t>
  </si>
  <si>
    <t>kiong</t>
  </si>
  <si>
    <t>khiong</t>
  </si>
  <si>
    <t>giong</t>
  </si>
  <si>
    <t>hiok</t>
  </si>
  <si>
    <t>tiok</t>
  </si>
  <si>
    <t>thiok</t>
  </si>
  <si>
    <t>liok</t>
  </si>
  <si>
    <t>tsiok</t>
  </si>
  <si>
    <t>tshiok</t>
  </si>
  <si>
    <t>jiok</t>
  </si>
  <si>
    <t>siok</t>
  </si>
  <si>
    <t>kiok</t>
  </si>
  <si>
    <t>khiok</t>
  </si>
  <si>
    <t>giok</t>
  </si>
  <si>
    <t>hiu</t>
  </si>
  <si>
    <t>piu</t>
  </si>
  <si>
    <t>biu</t>
  </si>
  <si>
    <t>tiu</t>
  </si>
  <si>
    <t>thiu</t>
  </si>
  <si>
    <t>liu</t>
  </si>
  <si>
    <t>tsiu</t>
  </si>
  <si>
    <t>tshiu</t>
  </si>
  <si>
    <t>jiu</t>
  </si>
  <si>
    <t>siu</t>
  </si>
  <si>
    <t>kiu</t>
  </si>
  <si>
    <t>khiu</t>
  </si>
  <si>
    <t>giu</t>
  </si>
  <si>
    <t>ngiu</t>
  </si>
  <si>
    <t>iũ</t>
  </si>
  <si>
    <t>hiunn</t>
  </si>
  <si>
    <t>tiunn</t>
  </si>
  <si>
    <t>tsiunn</t>
  </si>
  <si>
    <t>tshiunn</t>
  </si>
  <si>
    <t>siunn</t>
  </si>
  <si>
    <t>kiunn</t>
  </si>
  <si>
    <t>khiunn</t>
  </si>
  <si>
    <t>iũʔ</t>
  </si>
  <si>
    <t>iunnh</t>
  </si>
  <si>
    <t>hiunnh</t>
  </si>
  <si>
    <t>ə/o</t>
  </si>
  <si>
    <t>ho</t>
  </si>
  <si>
    <t>po</t>
  </si>
  <si>
    <t>pho</t>
  </si>
  <si>
    <t>bo</t>
  </si>
  <si>
    <t>to</t>
  </si>
  <si>
    <t>tho</t>
  </si>
  <si>
    <t>lo</t>
  </si>
  <si>
    <t>tso</t>
  </si>
  <si>
    <t>tsho</t>
  </si>
  <si>
    <t>so</t>
  </si>
  <si>
    <t>ko</t>
  </si>
  <si>
    <t>kho</t>
  </si>
  <si>
    <t>go</t>
  </si>
  <si>
    <t>hoo</t>
  </si>
  <si>
    <t>poo</t>
  </si>
  <si>
    <t>phoo</t>
  </si>
  <si>
    <t>boo</t>
  </si>
  <si>
    <t>moo</t>
  </si>
  <si>
    <t>too</t>
  </si>
  <si>
    <t>thoo</t>
  </si>
  <si>
    <t>loo</t>
  </si>
  <si>
    <t>tsoo</t>
  </si>
  <si>
    <t>tshoo</t>
  </si>
  <si>
    <t>soo</t>
  </si>
  <si>
    <t>koo</t>
  </si>
  <si>
    <t>khoo</t>
  </si>
  <si>
    <t>goo</t>
  </si>
  <si>
    <t>ngoo</t>
  </si>
  <si>
    <t>honn</t>
  </si>
  <si>
    <t>konn</t>
  </si>
  <si>
    <t>əʔ/oʔ</t>
  </si>
  <si>
    <t>hoh</t>
  </si>
  <si>
    <t>poh</t>
  </si>
  <si>
    <t>phoh</t>
  </si>
  <si>
    <t>boh</t>
  </si>
  <si>
    <t>toh</t>
  </si>
  <si>
    <t>thoh</t>
  </si>
  <si>
    <t>loh</t>
  </si>
  <si>
    <t>tsoh</t>
  </si>
  <si>
    <t>tshoh</t>
  </si>
  <si>
    <t>soh</t>
  </si>
  <si>
    <t>koh</t>
  </si>
  <si>
    <t>hooh</t>
  </si>
  <si>
    <t>mooh</t>
  </si>
  <si>
    <t>tooh</t>
  </si>
  <si>
    <t>looh</t>
  </si>
  <si>
    <t>kooh</t>
  </si>
  <si>
    <t>honnh</t>
  </si>
  <si>
    <t>tom</t>
  </si>
  <si>
    <t>som</t>
  </si>
  <si>
    <t>hong</t>
  </si>
  <si>
    <t>pong</t>
  </si>
  <si>
    <t>phong</t>
  </si>
  <si>
    <t>bong</t>
  </si>
  <si>
    <t>tong</t>
  </si>
  <si>
    <t>thong</t>
  </si>
  <si>
    <t>long</t>
  </si>
  <si>
    <t>tsong</t>
  </si>
  <si>
    <t>tshong</t>
  </si>
  <si>
    <t>song</t>
  </si>
  <si>
    <t>kong</t>
  </si>
  <si>
    <t>khong</t>
  </si>
  <si>
    <t>gong</t>
  </si>
  <si>
    <t>hop</t>
  </si>
  <si>
    <t>lop</t>
  </si>
  <si>
    <t>kop</t>
  </si>
  <si>
    <t>hok</t>
  </si>
  <si>
    <t>pok</t>
  </si>
  <si>
    <t>phok</t>
  </si>
  <si>
    <t>bok</t>
  </si>
  <si>
    <t>tok</t>
  </si>
  <si>
    <t>thok</t>
  </si>
  <si>
    <t>lok</t>
  </si>
  <si>
    <t>tsok</t>
  </si>
  <si>
    <t>tshok</t>
  </si>
  <si>
    <t>sok</t>
  </si>
  <si>
    <t>kok</t>
  </si>
  <si>
    <t>khok</t>
  </si>
  <si>
    <t>gok</t>
  </si>
  <si>
    <t>hu</t>
  </si>
  <si>
    <t>pu</t>
  </si>
  <si>
    <t>phu</t>
  </si>
  <si>
    <t>bu</t>
  </si>
  <si>
    <t>tu</t>
  </si>
  <si>
    <t>thu</t>
  </si>
  <si>
    <t>lu</t>
  </si>
  <si>
    <t>tsu</t>
  </si>
  <si>
    <t>tshu</t>
  </si>
  <si>
    <t>ju</t>
  </si>
  <si>
    <t>su</t>
  </si>
  <si>
    <t>ku</t>
  </si>
  <si>
    <t>khu</t>
  </si>
  <si>
    <t>gu</t>
  </si>
  <si>
    <t>puh</t>
  </si>
  <si>
    <t>phuh</t>
  </si>
  <si>
    <t>buh</t>
  </si>
  <si>
    <t>tuh</t>
  </si>
  <si>
    <t>thuh</t>
  </si>
  <si>
    <t>luh</t>
  </si>
  <si>
    <t>tsuh</t>
  </si>
  <si>
    <t>tshuh</t>
  </si>
  <si>
    <t>suh</t>
  </si>
  <si>
    <t>khuh</t>
  </si>
  <si>
    <t>hun</t>
  </si>
  <si>
    <t>pun</t>
  </si>
  <si>
    <t>phun</t>
  </si>
  <si>
    <t>bun</t>
  </si>
  <si>
    <t>tun</t>
  </si>
  <si>
    <t>thun</t>
  </si>
  <si>
    <t>lun</t>
  </si>
  <si>
    <t>tsun</t>
  </si>
  <si>
    <t>tshun</t>
  </si>
  <si>
    <t>jun</t>
  </si>
  <si>
    <t>sun</t>
  </si>
  <si>
    <t>kun</t>
  </si>
  <si>
    <t>khun</t>
  </si>
  <si>
    <t>gun</t>
  </si>
  <si>
    <t>ut̚</t>
  </si>
  <si>
    <t>hut</t>
  </si>
  <si>
    <t>put</t>
  </si>
  <si>
    <t>phut</t>
  </si>
  <si>
    <t>but</t>
  </si>
  <si>
    <t>tut</t>
  </si>
  <si>
    <t>thut</t>
  </si>
  <si>
    <t>lut</t>
  </si>
  <si>
    <t>tsut</t>
  </si>
  <si>
    <t>tshut</t>
  </si>
  <si>
    <t>sut</t>
  </si>
  <si>
    <t>kut</t>
  </si>
  <si>
    <t>khut</t>
  </si>
  <si>
    <t>hua</t>
  </si>
  <si>
    <t>pua</t>
  </si>
  <si>
    <t>phua</t>
  </si>
  <si>
    <t>bua</t>
  </si>
  <si>
    <t>mua</t>
  </si>
  <si>
    <t>tua</t>
  </si>
  <si>
    <t>thua</t>
  </si>
  <si>
    <t>lua</t>
  </si>
  <si>
    <t>tsua</t>
  </si>
  <si>
    <t>tshua</t>
  </si>
  <si>
    <t>jua</t>
  </si>
  <si>
    <t>sua</t>
  </si>
  <si>
    <t>kua</t>
  </si>
  <si>
    <t>khua</t>
  </si>
  <si>
    <t>gua</t>
  </si>
  <si>
    <t>uã</t>
  </si>
  <si>
    <t>huann</t>
  </si>
  <si>
    <t>puann</t>
  </si>
  <si>
    <t>phuann</t>
  </si>
  <si>
    <t>tuann</t>
  </si>
  <si>
    <t>thuann</t>
  </si>
  <si>
    <t>tsuann</t>
  </si>
  <si>
    <t>tshuann</t>
  </si>
  <si>
    <t>suann</t>
  </si>
  <si>
    <t>kuann</t>
  </si>
  <si>
    <t>khuann</t>
  </si>
  <si>
    <t>huah</t>
  </si>
  <si>
    <t>puah</t>
  </si>
  <si>
    <t>phuah</t>
  </si>
  <si>
    <t>buah</t>
  </si>
  <si>
    <t>tuah</t>
  </si>
  <si>
    <t>thuah</t>
  </si>
  <si>
    <t>luah</t>
  </si>
  <si>
    <t>tsuah</t>
  </si>
  <si>
    <t>tshuah</t>
  </si>
  <si>
    <t>juah</t>
  </si>
  <si>
    <t>suah</t>
  </si>
  <si>
    <t>kuah</t>
  </si>
  <si>
    <t>khuah</t>
  </si>
  <si>
    <t>huan</t>
  </si>
  <si>
    <t>puan</t>
  </si>
  <si>
    <t>phuan</t>
  </si>
  <si>
    <t>buan</t>
  </si>
  <si>
    <t>tuan</t>
  </si>
  <si>
    <t>thuan</t>
  </si>
  <si>
    <t>luan</t>
  </si>
  <si>
    <t>tsuan</t>
  </si>
  <si>
    <t>tshuan</t>
  </si>
  <si>
    <t>suan</t>
  </si>
  <si>
    <t>kuan</t>
  </si>
  <si>
    <t>khuan</t>
  </si>
  <si>
    <t>guan</t>
  </si>
  <si>
    <t>huang</t>
  </si>
  <si>
    <t>tshuang</t>
  </si>
  <si>
    <t>huat</t>
  </si>
  <si>
    <t>puat</t>
  </si>
  <si>
    <t>phuat</t>
  </si>
  <si>
    <t>buat</t>
  </si>
  <si>
    <t>tuat</t>
  </si>
  <si>
    <t>thuat</t>
  </si>
  <si>
    <t>luat</t>
  </si>
  <si>
    <t>tsuat</t>
  </si>
  <si>
    <t>suat</t>
  </si>
  <si>
    <t>kuat</t>
  </si>
  <si>
    <t>khuat</t>
  </si>
  <si>
    <t>guat</t>
  </si>
  <si>
    <t>huai</t>
  </si>
  <si>
    <t>suai</t>
  </si>
  <si>
    <t>kuai</t>
  </si>
  <si>
    <t>khuai</t>
  </si>
  <si>
    <t>uãi</t>
  </si>
  <si>
    <t>huainn</t>
  </si>
  <si>
    <t>tsuainn</t>
  </si>
  <si>
    <t>suainn</t>
  </si>
  <si>
    <t>kuainn</t>
  </si>
  <si>
    <t>buaih</t>
  </si>
  <si>
    <t>luaih</t>
  </si>
  <si>
    <t>tshuaih</t>
  </si>
  <si>
    <t>kuaih</t>
  </si>
  <si>
    <t>uãiʔ</t>
  </si>
  <si>
    <t>kuainnh</t>
  </si>
  <si>
    <t>hue</t>
  </si>
  <si>
    <t>pue</t>
  </si>
  <si>
    <t>phue</t>
  </si>
  <si>
    <t>bue</t>
  </si>
  <si>
    <t>mue</t>
  </si>
  <si>
    <t>tue</t>
  </si>
  <si>
    <t>thue</t>
  </si>
  <si>
    <t>lue</t>
  </si>
  <si>
    <t>tsue</t>
  </si>
  <si>
    <t>tshue</t>
  </si>
  <si>
    <t>jue</t>
  </si>
  <si>
    <t>sue</t>
  </si>
  <si>
    <t>kue</t>
  </si>
  <si>
    <t>khue</t>
  </si>
  <si>
    <t>gue</t>
  </si>
  <si>
    <t>hueh</t>
  </si>
  <si>
    <t>pueh</t>
  </si>
  <si>
    <t>phueh</t>
  </si>
  <si>
    <t>bueh</t>
  </si>
  <si>
    <t>thueh</t>
  </si>
  <si>
    <t>lueh</t>
  </si>
  <si>
    <t>tsueh</t>
  </si>
  <si>
    <t>tshueh</t>
  </si>
  <si>
    <t>sueh</t>
  </si>
  <si>
    <t>kueh</t>
  </si>
  <si>
    <t>khueh</t>
  </si>
  <si>
    <t>gueh</t>
  </si>
  <si>
    <t>ngueh</t>
  </si>
  <si>
    <t>hui</t>
  </si>
  <si>
    <t>pui</t>
  </si>
  <si>
    <t>phui</t>
  </si>
  <si>
    <t>bui</t>
  </si>
  <si>
    <t>mui</t>
  </si>
  <si>
    <t>tui</t>
  </si>
  <si>
    <t>thui</t>
  </si>
  <si>
    <t>lui</t>
  </si>
  <si>
    <t>tsui</t>
  </si>
  <si>
    <t>tshui</t>
  </si>
  <si>
    <t>sui</t>
  </si>
  <si>
    <t>kui</t>
  </si>
  <si>
    <t>khui</t>
  </si>
  <si>
    <t>gui</t>
  </si>
  <si>
    <t>uĩ</t>
  </si>
  <si>
    <t>huinn</t>
  </si>
  <si>
    <t>puinn</t>
  </si>
  <si>
    <t>tsuinn</t>
  </si>
  <si>
    <t>tshuinn</t>
  </si>
  <si>
    <t>suinn</t>
  </si>
  <si>
    <t>kuinn</t>
  </si>
  <si>
    <t>uiʔ</t>
  </si>
  <si>
    <t>uih</t>
  </si>
  <si>
    <t>huih</t>
  </si>
  <si>
    <t>kuih</t>
  </si>
  <si>
    <t>hm</t>
  </si>
  <si>
    <t>hmh</t>
  </si>
  <si>
    <t>hng</t>
  </si>
  <si>
    <t>png</t>
  </si>
  <si>
    <t>mng</t>
  </si>
  <si>
    <t>tng</t>
  </si>
  <si>
    <t>thng</t>
  </si>
  <si>
    <t>nng</t>
  </si>
  <si>
    <t>tsng</t>
  </si>
  <si>
    <t>tshng</t>
  </si>
  <si>
    <t>sng</t>
  </si>
  <si>
    <t>kng</t>
  </si>
  <si>
    <t>khng</t>
  </si>
  <si>
    <t>hngh</t>
  </si>
  <si>
    <t>phngh</t>
  </si>
  <si>
    <t>mngh</t>
  </si>
  <si>
    <t>tshngh</t>
  </si>
  <si>
    <t>sngh</t>
  </si>
  <si>
    <t>khngh</t>
  </si>
  <si>
    <t>om</t>
    <phoneticPr fontId="4" type="noConversion"/>
  </si>
  <si>
    <t>ㄥ</t>
    <phoneticPr fontId="4" type="noConversion"/>
  </si>
  <si>
    <t>aih</t>
    <phoneticPr fontId="4" type="noConversion"/>
  </si>
  <si>
    <r>
      <rPr>
        <sz val="18"/>
        <color rgb="FFFF0000"/>
        <rFont val="Microsoft JhengHei"/>
        <family val="2"/>
      </rPr>
      <t>ㄞ</t>
    </r>
    <r>
      <rPr>
        <sz val="18"/>
        <color rgb="FFFF0000"/>
        <rFont val="Microsoft JhengHei"/>
        <family val="2"/>
        <charset val="136"/>
      </rPr>
      <t>ㆷ</t>
    </r>
    <phoneticPr fontId="4" type="noConversion"/>
  </si>
  <si>
    <t>ennh</t>
    <phoneticPr fontId="4" type="noConversion"/>
  </si>
  <si>
    <t>iannh</t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</si>
  <si>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ㆩㆷ</t>
    </r>
    <phoneticPr fontId="4" type="noConversion"/>
  </si>
  <si>
    <r>
      <rPr>
        <sz val="18"/>
        <color rgb="FFFF0000"/>
        <rFont val="Microsoft JhengHei"/>
        <family val="2"/>
      </rPr>
      <t>ㄧ</t>
    </r>
    <r>
      <rPr>
        <sz val="18"/>
        <color rgb="FFFF0000"/>
        <rFont val="Microsoft JhengHei"/>
        <family val="2"/>
        <charset val="136"/>
      </rPr>
      <t>ㆫㆷ</t>
    </r>
    <phoneticPr fontId="4" type="noConversion"/>
  </si>
  <si>
    <t>ㄨㄧㆷ</t>
  </si>
  <si>
    <t>ㄨㄧㆷ</t>
    <phoneticPr fontId="4" type="noConversion"/>
  </si>
  <si>
    <t>ㆬㆷ</t>
  </si>
  <si>
    <t>ㆬㆷ</t>
    <phoneticPr fontId="4" type="noConversion"/>
  </si>
  <si>
    <t>iunnh</t>
    <phoneticPr fontId="4" type="noConversion"/>
  </si>
  <si>
    <t>niuh</t>
  </si>
  <si>
    <t>niuh</t>
    <phoneticPr fontId="4" type="noConversion"/>
  </si>
  <si>
    <t>ooh</t>
    <phoneticPr fontId="4" type="noConversion"/>
  </si>
  <si>
    <t>o͘h</t>
  </si>
  <si>
    <t>uih</t>
    <phoneticPr fontId="4" type="noConversion"/>
  </si>
  <si>
    <t>mh</t>
    <phoneticPr fontId="4" type="noConversion"/>
  </si>
  <si>
    <t>姆促</t>
  </si>
  <si>
    <t>姆促</t>
    <phoneticPr fontId="4" type="noConversion"/>
  </si>
  <si>
    <t>褌促</t>
  </si>
  <si>
    <t>褌促</t>
    <phoneticPr fontId="4" type="noConversion"/>
  </si>
  <si>
    <t>鋼促</t>
  </si>
  <si>
    <t>鋼促</t>
    <phoneticPr fontId="4" type="noConversion"/>
  </si>
  <si>
    <t>ngh</t>
    <phoneticPr fontId="4" type="noConversion"/>
  </si>
  <si>
    <t>沽促</t>
  </si>
  <si>
    <t>沽促</t>
    <phoneticPr fontId="4" type="noConversion"/>
  </si>
  <si>
    <t>牛促</t>
  </si>
  <si>
    <t>牛促</t>
    <phoneticPr fontId="4" type="noConversion"/>
  </si>
  <si>
    <t>迦促</t>
    <phoneticPr fontId="4" type="noConversion"/>
  </si>
  <si>
    <t>更促</t>
    <phoneticPr fontId="4" type="noConversion"/>
  </si>
  <si>
    <t>皆促</t>
  </si>
  <si>
    <t>皆促</t>
    <phoneticPr fontId="4" type="noConversion"/>
  </si>
  <si>
    <t>ㄤ</t>
  </si>
  <si>
    <t>ㄞㆷ</t>
  </si>
  <si>
    <t>ㄠㆷ</t>
  </si>
  <si>
    <t>ㆤㆷ</t>
  </si>
  <si>
    <t>ㄧㆷ</t>
  </si>
  <si>
    <t>ㄧㄚㆷ</t>
  </si>
  <si>
    <t>ㄧㆩㆷ</t>
  </si>
  <si>
    <t>ㄧㄤ</t>
  </si>
  <si>
    <t>ㄧㄚㆻ</t>
  </si>
  <si>
    <t>ㄧㄠㆷ</t>
  </si>
  <si>
    <t>ㄧㄜㆷ</t>
  </si>
  <si>
    <t>ㄧㆫㆷ</t>
  </si>
  <si>
    <t>ㄜㆷ</t>
  </si>
  <si>
    <t>ㆧㆷ</t>
  </si>
  <si>
    <t>ㄨㆷ</t>
  </si>
  <si>
    <t>ㄨㄚㆷ</t>
  </si>
  <si>
    <t>ㄨㄤ</t>
  </si>
  <si>
    <t>ㄨㄞㆷ</t>
  </si>
  <si>
    <t>ㄨㆮㆷ</t>
  </si>
  <si>
    <t>ㄨㆤㆷ</t>
  </si>
  <si>
    <t>e</t>
    <phoneticPr fontId="24" type="noConversion"/>
  </si>
  <si>
    <t>ehⁿ</t>
    <phoneticPr fontId="24" type="noConversion"/>
  </si>
  <si>
    <t>iahⁿ</t>
    <phoneticPr fontId="24" type="noConversion"/>
  </si>
  <si>
    <t>iuhⁿ</t>
    <phoneticPr fontId="24" type="noConversion"/>
  </si>
  <si>
    <t>oⁿ</t>
    <phoneticPr fontId="24" type="noConversion"/>
  </si>
  <si>
    <t>閩拼調符編碼</t>
  </si>
  <si>
    <t>陰上</t>
  </si>
  <si>
    <t>陰上</t>
    <phoneticPr fontId="4" type="noConversion"/>
  </si>
  <si>
    <t>U+02EA</t>
  </si>
  <si>
    <t>U+02EB</t>
  </si>
  <si>
    <t>U+02D9</t>
  </si>
  <si>
    <t>漢字</t>
  </si>
  <si>
    <t>注音調符編碼</t>
  </si>
  <si>
    <t>ㄉㆲ</t>
  </si>
  <si>
    <t>ㄉㆲ˫</t>
  </si>
  <si>
    <t>ㄉㆲ˪</t>
  </si>
  <si>
    <t>ㄉㆲ̀</t>
  </si>
  <si>
    <t>ㄉㆲ́</t>
  </si>
  <si>
    <t>ㄉㆦㆻ</t>
  </si>
  <si>
    <t>ㄉㆦㆻ˙</t>
  </si>
  <si>
    <t>:</t>
    <phoneticPr fontId="4" type="noConversion"/>
  </si>
  <si>
    <t>台語注音</t>
  </si>
  <si>
    <t>ㄖ</t>
  </si>
  <si>
    <t>ㄙ</t>
  </si>
  <si>
    <t>ㄪ</t>
  </si>
  <si>
    <t>ㄘ</t>
  </si>
  <si>
    <t xml:space="preserve">⁰ㄫ </t>
  </si>
  <si>
    <t>ㄨㄉ</t>
  </si>
  <si>
    <t>ㄧㄚㄉ</t>
  </si>
  <si>
    <t>ㄧㄇ</t>
  </si>
  <si>
    <t>ㄧㄅ</t>
  </si>
  <si>
    <t>ㄝㄏ</t>
  </si>
  <si>
    <t>ㄚㄉ</t>
  </si>
  <si>
    <t>ㄛㄥ</t>
  </si>
  <si>
    <t>ㄛㄍ</t>
  </si>
  <si>
    <t>ㄨㄞㄏ</t>
  </si>
  <si>
    <t>ㄧㄍ</t>
  </si>
  <si>
    <t>ㄨㄚㄉ</t>
  </si>
  <si>
    <t>ㄛ</t>
  </si>
  <si>
    <t>ㄧㄠㄏ</t>
  </si>
  <si>
    <t>ㄧㄛㄥ</t>
  </si>
  <si>
    <t>ㄧㄛㄍ</t>
  </si>
  <si>
    <t>ㄜㄏ</t>
  </si>
  <si>
    <t>ㄧㄉ</t>
  </si>
  <si>
    <t>ㄧㄚㄍ</t>
  </si>
  <si>
    <t>ㄚㄇ</t>
  </si>
  <si>
    <t>ㄚㄅ</t>
  </si>
  <si>
    <t>ㄨㄚㄏ</t>
  </si>
  <si>
    <t>ㄚㄍ</t>
  </si>
  <si>
    <t>ㄧㄚㄇ</t>
  </si>
  <si>
    <t>ㄧㄚㄅ</t>
  </si>
  <si>
    <t>ㄠㄏ</t>
  </si>
  <si>
    <t>ㄧㄚㄏ</t>
  </si>
  <si>
    <t>ㄨㄝ</t>
  </si>
  <si>
    <t>ㄨㄝㄏ</t>
  </si>
  <si>
    <t>⁰ㄚ</t>
  </si>
  <si>
    <t>⁰ㄚㄏ</t>
  </si>
  <si>
    <t>ㄨㄏ</t>
  </si>
  <si>
    <t>ㄚㄏ</t>
  </si>
  <si>
    <t>ㄧㄏ</t>
  </si>
  <si>
    <t>⁰ㄝ</t>
  </si>
  <si>
    <t>⁰ㄝㄏ</t>
  </si>
  <si>
    <t>⁰ㄨㄧ</t>
  </si>
  <si>
    <t>ㄧㄜㄏ</t>
  </si>
  <si>
    <t>⁰ㄧ</t>
  </si>
  <si>
    <t>⁰ㄧㄏ</t>
  </si>
  <si>
    <t>⁰ㄧㄛ</t>
  </si>
  <si>
    <t>⁰ㄧㄚ</t>
  </si>
  <si>
    <t>⁰ㄨㄚ</t>
  </si>
  <si>
    <t>⁰ㄞ</t>
  </si>
  <si>
    <t>⁰ㄛ</t>
  </si>
  <si>
    <t>ㄨㄚㄍ</t>
  </si>
  <si>
    <t>⁰ㄨㄞ</t>
  </si>
  <si>
    <t>⁰ㄨㄞㄏ</t>
  </si>
  <si>
    <t>⁰ㄨㄝ</t>
  </si>
  <si>
    <t>⁰ㄧㄠ</t>
  </si>
  <si>
    <t>⁰ㄧㄠㄏ</t>
  </si>
  <si>
    <t>ㄛㄇ</t>
  </si>
  <si>
    <t>ㄛㄅ</t>
  </si>
  <si>
    <t>⁰ㄠ</t>
  </si>
  <si>
    <t>⁰ㄛㄏ</t>
  </si>
  <si>
    <t>⁰ㄧㆫ</t>
  </si>
  <si>
    <t xml:space="preserve">    - xform/o͘1/o͘/</t>
  </si>
  <si>
    <t>ó͘</t>
  </si>
  <si>
    <t xml:space="preserve">    - xform/o͘2/ó͘/</t>
  </si>
  <si>
    <t>ò͘</t>
  </si>
  <si>
    <t xml:space="preserve">    - xform/o͘3/ò͘/</t>
  </si>
  <si>
    <t xml:space="preserve">    - xform/o͘4/o͘/</t>
  </si>
  <si>
    <t>ǒ͘</t>
  </si>
  <si>
    <t xml:space="preserve">    - xform/o͘5/ǒ͘/</t>
  </si>
  <si>
    <t xml:space="preserve">    - xform/o͘6/ó͘/</t>
  </si>
  <si>
    <t>ō͘</t>
  </si>
  <si>
    <t xml:space="preserve">    - xform/o͘7/ō͘/</t>
  </si>
  <si>
    <t>o̍͘</t>
  </si>
  <si>
    <t xml:space="preserve">    - xform/o͘8/o̍͘/</t>
  </si>
  <si>
    <t>ő͘</t>
  </si>
  <si>
    <t xml:space="preserve">    - xform/o͘9/ő͘/</t>
  </si>
  <si>
    <t>o̊͘</t>
  </si>
  <si>
    <t xml:space="preserve">    - xform/o͘0/o̊͘/</t>
  </si>
  <si>
    <t>b</t>
    <phoneticPr fontId="4" type="noConversion"/>
  </si>
  <si>
    <t>p</t>
    <phoneticPr fontId="4" type="noConversion"/>
  </si>
  <si>
    <t>bb</t>
    <phoneticPr fontId="4" type="noConversion"/>
  </si>
  <si>
    <t>d</t>
    <phoneticPr fontId="4" type="noConversion"/>
  </si>
  <si>
    <t>t</t>
    <phoneticPr fontId="4" type="noConversion"/>
  </si>
  <si>
    <t>ln</t>
    <phoneticPr fontId="4" type="noConversion"/>
  </si>
  <si>
    <t>l</t>
    <phoneticPr fontId="4" type="noConversion"/>
  </si>
  <si>
    <t>g</t>
    <phoneticPr fontId="4" type="noConversion"/>
  </si>
  <si>
    <t>k</t>
    <phoneticPr fontId="4" type="noConversion"/>
  </si>
  <si>
    <t>gg</t>
    <phoneticPr fontId="4" type="noConversion"/>
  </si>
  <si>
    <t>h</t>
    <phoneticPr fontId="4" type="noConversion"/>
  </si>
  <si>
    <t>z</t>
    <phoneticPr fontId="4" type="noConversion"/>
  </si>
  <si>
    <t>c</t>
    <phoneticPr fontId="4" type="noConversion"/>
  </si>
  <si>
    <t>s</t>
    <phoneticPr fontId="4" type="noConversion"/>
  </si>
  <si>
    <t>zz</t>
    <phoneticPr fontId="4" type="noConversion"/>
  </si>
  <si>
    <t>jji</t>
    <phoneticPr fontId="4" type="noConversion"/>
  </si>
  <si>
    <t>ji</t>
    <phoneticPr fontId="4" type="noConversion"/>
  </si>
  <si>
    <t>chi</t>
    <phoneticPr fontId="4" type="noConversion"/>
  </si>
  <si>
    <t>shi</t>
    <phoneticPr fontId="4" type="noConversion"/>
  </si>
  <si>
    <t>ng</t>
    <phoneticPr fontId="4" type="noConversion"/>
  </si>
  <si>
    <t>s1</t>
    <phoneticPr fontId="4" type="noConversion"/>
  </si>
  <si>
    <t>s2</t>
    <phoneticPr fontId="4" type="noConversion"/>
  </si>
  <si>
    <t>ㄐ</t>
    <phoneticPr fontId="4" type="noConversion"/>
  </si>
  <si>
    <t>ㄑ</t>
    <phoneticPr fontId="4" type="noConversion"/>
  </si>
  <si>
    <t>ㄒ</t>
    <phoneticPr fontId="4" type="noConversion"/>
  </si>
  <si>
    <t>s3</t>
    <phoneticPr fontId="4" type="noConversion"/>
  </si>
  <si>
    <t>bbn</t>
    <phoneticPr fontId="4" type="noConversion"/>
  </si>
  <si>
    <t>ggn</t>
    <phoneticPr fontId="4" type="noConversion"/>
  </si>
  <si>
    <t>zzi</t>
    <phoneticPr fontId="4" type="noConversion"/>
  </si>
  <si>
    <t>zi</t>
    <phoneticPr fontId="4" type="noConversion"/>
  </si>
  <si>
    <t>ci</t>
    <phoneticPr fontId="4" type="noConversion"/>
  </si>
  <si>
    <t>si</t>
    <phoneticPr fontId="4" type="noConversion"/>
  </si>
  <si>
    <t>ㄝㆷ</t>
  </si>
  <si>
    <t>ㆪㆷ</t>
  </si>
  <si>
    <t>ㄧㆯㆷ</t>
  </si>
  <si>
    <t>◯</t>
  </si>
  <si>
    <t>iuh</t>
    <phoneticPr fontId="4" type="noConversion"/>
  </si>
  <si>
    <t>neh</t>
    <phoneticPr fontId="4" type="noConversion"/>
  </si>
  <si>
    <t>nuih</t>
    <phoneticPr fontId="4" type="noConversion"/>
  </si>
  <si>
    <t>nio</t>
    <phoneticPr fontId="4" type="noConversion"/>
  </si>
  <si>
    <t>nioh</t>
    <phoneticPr fontId="4" type="noConversion"/>
  </si>
  <si>
    <t>niah</t>
    <phoneticPr fontId="4" type="noConversion"/>
  </si>
  <si>
    <t>nuah</t>
    <phoneticPr fontId="4" type="noConversion"/>
  </si>
  <si>
    <t>naih</t>
    <phoneticPr fontId="4" type="noConversion"/>
  </si>
  <si>
    <t>oom</t>
    <phoneticPr fontId="4" type="noConversion"/>
  </si>
  <si>
    <t>oop</t>
    <phoneticPr fontId="4" type="noConversion"/>
  </si>
  <si>
    <t>no</t>
    <phoneticPr fontId="4" type="noConversion"/>
  </si>
  <si>
    <t>noh</t>
    <phoneticPr fontId="4" type="noConversion"/>
  </si>
  <si>
    <t>LEN()</t>
    <phoneticPr fontId="4" type="noConversion"/>
  </si>
  <si>
    <t>聲母</t>
    <phoneticPr fontId="4" type="noConversion"/>
  </si>
  <si>
    <t>韻母</t>
    <phoneticPr fontId="4" type="noConversion"/>
  </si>
  <si>
    <t>聲調</t>
    <phoneticPr fontId="4" type="noConversion"/>
  </si>
  <si>
    <t>輸入台語音標</t>
    <phoneticPr fontId="4" type="noConversion"/>
  </si>
  <si>
    <t>¹</t>
  </si>
  <si>
    <t>⁶</t>
  </si>
  <si>
    <t>⁵</t>
  </si>
  <si>
    <t>³</t>
  </si>
  <si>
    <t>²</t>
  </si>
  <si>
    <t>⁷</t>
  </si>
  <si>
    <t>⁸</t>
  </si>
  <si>
    <t>IPA上標調號</t>
    <phoneticPr fontId="4" type="noConversion"/>
  </si>
  <si>
    <t>⁴</t>
  </si>
  <si>
    <t>閩拼上標調號</t>
    <phoneticPr fontId="4" type="noConversion"/>
  </si>
  <si>
    <t>aʊ</t>
    <phoneticPr fontId="4" type="noConversion"/>
  </si>
  <si>
    <t>ɪaʊ</t>
    <phoneticPr fontId="4" type="noConversion"/>
  </si>
  <si>
    <t>e</t>
    <phoneticPr fontId="4" type="noConversion"/>
  </si>
  <si>
    <t>ẽ</t>
    <phoneticPr fontId="4" type="noConversion"/>
  </si>
  <si>
    <t>eʔ</t>
    <phoneticPr fontId="4" type="noConversion"/>
  </si>
  <si>
    <t>ẽʔ</t>
    <phoneticPr fontId="4" type="noConversion"/>
  </si>
  <si>
    <t>i</t>
    <phoneticPr fontId="4" type="noConversion"/>
  </si>
  <si>
    <t>ĩ</t>
    <phoneticPr fontId="4" type="noConversion"/>
  </si>
  <si>
    <t>iʔ</t>
    <phoneticPr fontId="4" type="noConversion"/>
  </si>
  <si>
    <t>im</t>
    <phoneticPr fontId="4" type="noConversion"/>
  </si>
  <si>
    <t>in</t>
    <phoneticPr fontId="4" type="noConversion"/>
  </si>
  <si>
    <t>iŋ</t>
    <phoneticPr fontId="4" type="noConversion"/>
  </si>
  <si>
    <t>ip̚</t>
    <phoneticPr fontId="4" type="noConversion"/>
  </si>
  <si>
    <t>it̚</t>
    <phoneticPr fontId="4" type="noConversion"/>
  </si>
  <si>
    <t>ɪɔ̃</t>
    <phoneticPr fontId="4" type="noConversion"/>
  </si>
  <si>
    <t>ɪɔŋ</t>
    <phoneticPr fontId="4" type="noConversion"/>
  </si>
  <si>
    <t>ɪɔk̚</t>
    <phoneticPr fontId="4" type="noConversion"/>
  </si>
  <si>
    <t>ɔ</t>
    <phoneticPr fontId="4" type="noConversion"/>
  </si>
  <si>
    <t>ɔ̃</t>
    <phoneticPr fontId="4" type="noConversion"/>
  </si>
  <si>
    <t>ɔʔ</t>
    <phoneticPr fontId="4" type="noConversion"/>
  </si>
  <si>
    <t>ɔ̃ʔ</t>
    <phoneticPr fontId="4" type="noConversion"/>
  </si>
  <si>
    <t>ɔm</t>
    <phoneticPr fontId="4" type="noConversion"/>
  </si>
  <si>
    <t>ɔŋ</t>
    <phoneticPr fontId="4" type="noConversion"/>
  </si>
  <si>
    <t>ɔp̚</t>
    <phoneticPr fontId="4" type="noConversion"/>
  </si>
  <si>
    <t>ɔk̚</t>
    <phoneticPr fontId="4" type="noConversion"/>
  </si>
  <si>
    <t>u</t>
    <phoneticPr fontId="4" type="noConversion"/>
  </si>
  <si>
    <t>uʔ</t>
    <phoneticPr fontId="4" type="noConversion"/>
  </si>
  <si>
    <t>un</t>
    <phoneticPr fontId="4" type="noConversion"/>
  </si>
  <si>
    <t>ut̚</t>
    <phoneticPr fontId="4" type="noConversion"/>
  </si>
  <si>
    <t>ue</t>
    <phoneticPr fontId="4" type="noConversion"/>
  </si>
  <si>
    <t>ueʔ</t>
    <phoneticPr fontId="4" type="noConversion"/>
  </si>
  <si>
    <t>ui</t>
    <phoneticPr fontId="4" type="noConversion"/>
  </si>
  <si>
    <t>uĩ</t>
    <phoneticPr fontId="4" type="noConversion"/>
  </si>
  <si>
    <t>uiʔ</t>
    <phoneticPr fontId="4" type="noConversion"/>
  </si>
  <si>
    <t>m̩</t>
    <phoneticPr fontId="4" type="noConversion"/>
  </si>
  <si>
    <t>a</t>
    <phoneticPr fontId="4" type="noConversion"/>
  </si>
  <si>
    <t>ã</t>
    <phoneticPr fontId="4" type="noConversion"/>
  </si>
  <si>
    <t>aʔ</t>
    <phoneticPr fontId="4" type="noConversion"/>
  </si>
  <si>
    <t>ãʔ</t>
    <phoneticPr fontId="4" type="noConversion"/>
  </si>
  <si>
    <t>am</t>
    <phoneticPr fontId="4" type="noConversion"/>
  </si>
  <si>
    <t>an</t>
    <phoneticPr fontId="4" type="noConversion"/>
  </si>
  <si>
    <t>aŋ</t>
    <phoneticPr fontId="4" type="noConversion"/>
  </si>
  <si>
    <t>aɪ</t>
    <phoneticPr fontId="4" type="noConversion"/>
  </si>
  <si>
    <t>ãɪ</t>
    <phoneticPr fontId="4" type="noConversion"/>
  </si>
  <si>
    <t>aɪʔ</t>
    <phoneticPr fontId="4" type="noConversion"/>
  </si>
  <si>
    <t>auʔ</t>
    <phoneticPr fontId="4" type="noConversion"/>
  </si>
  <si>
    <t>ɪa</t>
    <phoneticPr fontId="4" type="noConversion"/>
  </si>
  <si>
    <t>ɪam</t>
    <phoneticPr fontId="4" type="noConversion"/>
  </si>
  <si>
    <t>ɪaŋ</t>
    <phoneticPr fontId="4" type="noConversion"/>
  </si>
  <si>
    <t>ɪap̚</t>
    <phoneticPr fontId="4" type="noConversion"/>
  </si>
  <si>
    <t>ɪak̚</t>
    <phoneticPr fontId="4" type="noConversion"/>
  </si>
  <si>
    <t>ua</t>
    <phoneticPr fontId="4" type="noConversion"/>
  </si>
  <si>
    <t>uã</t>
    <phoneticPr fontId="4" type="noConversion"/>
  </si>
  <si>
    <t>uaʔ</t>
    <phoneticPr fontId="4" type="noConversion"/>
  </si>
  <si>
    <t>uan</t>
    <phoneticPr fontId="4" type="noConversion"/>
  </si>
  <si>
    <t>uaŋ</t>
    <phoneticPr fontId="4" type="noConversion"/>
  </si>
  <si>
    <t>uat̚</t>
    <phoneticPr fontId="4" type="noConversion"/>
  </si>
  <si>
    <t>uai</t>
    <phoneticPr fontId="4" type="noConversion"/>
  </si>
  <si>
    <t>uãi</t>
    <phoneticPr fontId="4" type="noConversion"/>
  </si>
  <si>
    <t>uaiʔ</t>
    <phoneticPr fontId="4" type="noConversion"/>
  </si>
  <si>
    <t>uãiʔ</t>
    <phoneticPr fontId="4" type="noConversion"/>
  </si>
  <si>
    <t>ãi</t>
  </si>
  <si>
    <t>uẽ</t>
  </si>
  <si>
    <t>uẽʔ</t>
  </si>
  <si>
    <t>iãu</t>
  </si>
  <si>
    <t>iãuʔ</t>
  </si>
  <si>
    <t>ãu</t>
  </si>
  <si>
    <t>ɛ</t>
    <phoneticPr fontId="4" type="noConversion"/>
  </si>
  <si>
    <t>uĩ</t>
    <phoneticPr fontId="4" type="noConversion"/>
  </si>
  <si>
    <t>ĩ</t>
    <phoneticPr fontId="4" type="noConversion"/>
  </si>
  <si>
    <t>ĩʔ</t>
    <phoneticPr fontId="4" type="noConversion"/>
  </si>
  <si>
    <t>iɔ̃</t>
    <phoneticPr fontId="4" type="noConversion"/>
  </si>
  <si>
    <t>iã</t>
    <phoneticPr fontId="4" type="noConversion"/>
  </si>
  <si>
    <t>uã</t>
    <phoneticPr fontId="4" type="noConversion"/>
  </si>
  <si>
    <t>ŋ̍</t>
    <phoneticPr fontId="4" type="noConversion"/>
  </si>
  <si>
    <t>eʔ</t>
    <phoneticPr fontId="4" type="noConversion"/>
  </si>
  <si>
    <t>ãi</t>
    <phoneticPr fontId="4" type="noConversion"/>
  </si>
  <si>
    <t>m̩</t>
    <phoneticPr fontId="4" type="noConversion"/>
  </si>
  <si>
    <t>uaŋ</t>
    <phoneticPr fontId="4" type="noConversion"/>
  </si>
  <si>
    <t>uak̚</t>
    <phoneticPr fontId="4" type="noConversion"/>
  </si>
  <si>
    <t>uãi</t>
    <phoneticPr fontId="4" type="noConversion"/>
  </si>
  <si>
    <t>uãiʔ</t>
    <phoneticPr fontId="4" type="noConversion"/>
  </si>
  <si>
    <t>uẽ</t>
    <phoneticPr fontId="4" type="noConversion"/>
  </si>
  <si>
    <t>iãu</t>
    <phoneticPr fontId="4" type="noConversion"/>
  </si>
  <si>
    <t>iãuʔ</t>
    <phoneticPr fontId="4" type="noConversion"/>
  </si>
  <si>
    <t>ɔm</t>
    <phoneticPr fontId="4" type="noConversion"/>
  </si>
  <si>
    <t>ãu</t>
    <phoneticPr fontId="4" type="noConversion"/>
  </si>
  <si>
    <t>iũ</t>
    <phoneticPr fontId="4" type="noConversion"/>
  </si>
  <si>
    <t>ik̚</t>
    <phoneticPr fontId="4" type="noConversion"/>
  </si>
  <si>
    <t>ɪan</t>
    <phoneticPr fontId="4" type="noConversion"/>
  </si>
  <si>
    <t>ɪat̚</t>
    <phoneticPr fontId="4" type="noConversion"/>
  </si>
  <si>
    <t>ə</t>
    <phoneticPr fontId="4" type="noConversion"/>
  </si>
  <si>
    <t>əʔ</t>
    <phoneticPr fontId="4" type="noConversion"/>
  </si>
  <si>
    <t>ɪə</t>
    <phoneticPr fontId="4" type="noConversion"/>
  </si>
  <si>
    <t>ɪəʔ</t>
    <phoneticPr fontId="4" type="noConversion"/>
  </si>
  <si>
    <t>ɛ</t>
    <phoneticPr fontId="4" type="noConversion"/>
  </si>
  <si>
    <t>ee</t>
    <phoneticPr fontId="4" type="noConversion"/>
  </si>
  <si>
    <t>eeh</t>
    <phoneticPr fontId="4" type="noConversion"/>
  </si>
  <si>
    <t>eng</t>
    <phoneticPr fontId="4" type="noConversion"/>
  </si>
  <si>
    <t>ek</t>
    <phoneticPr fontId="4" type="noConversion"/>
  </si>
  <si>
    <t>嘉舒</t>
    <phoneticPr fontId="4" type="noConversion"/>
  </si>
  <si>
    <t>嘉促</t>
    <phoneticPr fontId="4" type="noConversion"/>
  </si>
  <si>
    <t>經舒</t>
    <phoneticPr fontId="4" type="noConversion"/>
  </si>
  <si>
    <t>經促</t>
    <phoneticPr fontId="4" type="noConversion"/>
  </si>
  <si>
    <t>ㄝ</t>
    <phoneticPr fontId="4" type="noConversion"/>
  </si>
  <si>
    <t>ㄠㆷ</t>
    <phoneticPr fontId="4" type="noConversion"/>
  </si>
  <si>
    <t>ㄝㆷ</t>
    <phoneticPr fontId="4" type="noConversion"/>
  </si>
  <si>
    <t>ㄝㆭ</t>
    <phoneticPr fontId="4" type="noConversion"/>
  </si>
  <si>
    <t>ㄚㆻ</t>
    <phoneticPr fontId="4" type="noConversion"/>
  </si>
  <si>
    <t>ㄝㆻ</t>
    <phoneticPr fontId="4" type="noConversion"/>
  </si>
  <si>
    <t>台語注音</t>
    <phoneticPr fontId="4" type="noConversion"/>
  </si>
  <si>
    <r>
      <rPr>
        <sz val="18"/>
        <color rgb="FF000000"/>
        <rFont val="Noto Sans TC"/>
        <family val="2"/>
        <charset val="136"/>
      </rPr>
      <t>ㄞ</t>
    </r>
    <r>
      <rPr>
        <sz val="18"/>
        <color rgb="FF000000"/>
        <rFont val="Microsoft JhengHei"/>
        <family val="2"/>
      </rPr>
      <t>ㄏ</t>
    </r>
    <phoneticPr fontId="4" type="noConversion"/>
  </si>
  <si>
    <t>ㄝㄥ</t>
    <phoneticPr fontId="4" type="noConversion"/>
  </si>
  <si>
    <t>ㄝㄍ</t>
    <phoneticPr fontId="4" type="noConversion"/>
  </si>
  <si>
    <t>ㄏ</t>
    <phoneticPr fontId="4" type="noConversion"/>
  </si>
  <si>
    <t>⁰</t>
    <phoneticPr fontId="4" type="noConversion"/>
  </si>
  <si>
    <t>⁰ㄧㄚㄏ</t>
  </si>
  <si>
    <t>⁰ㄧㄨ</t>
  </si>
  <si>
    <t>⁰ㄧㄨㄏ</t>
  </si>
  <si>
    <t>ㄛㄏ</t>
  </si>
  <si>
    <t>ㄨㄧㄏ</t>
  </si>
  <si>
    <t>ㄇㄏ</t>
  </si>
  <si>
    <t>ㄥㄏ</t>
  </si>
  <si>
    <t>ãʔ</t>
  </si>
  <si>
    <t>ãɪ</t>
  </si>
  <si>
    <t>ik̚</t>
  </si>
  <si>
    <t>ɪã</t>
  </si>
  <si>
    <t>ɪãʔ</t>
  </si>
  <si>
    <t>ɪãʊ</t>
  </si>
  <si>
    <t>ɪə</t>
  </si>
  <si>
    <t>ɪəʔ</t>
  </si>
  <si>
    <t>ɪu</t>
  </si>
  <si>
    <t>ɪũ</t>
  </si>
  <si>
    <t>ɪũʔ</t>
  </si>
  <si>
    <t>ə</t>
  </si>
  <si>
    <t>əʔ</t>
  </si>
  <si>
    <t>uã</t>
  </si>
  <si>
    <t>uãi</t>
  </si>
  <si>
    <t>uãiʔ</t>
  </si>
  <si>
    <t>響度優先次第： a &gt; oo &gt; (e = o) &gt; (i = u)〈低元音 &gt; 高元音 &gt; 無擦通音 &gt; 擦音 &gt; 塞音〉</t>
    <phoneticPr fontId="4" type="noConversion"/>
  </si>
  <si>
    <t>聲母</t>
  </si>
  <si>
    <t>聲調</t>
  </si>
  <si>
    <t>【閩拼方案】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</si>
</sst>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9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6"/>
      <color rgb="FFFF0000"/>
      <name val="Segoe UI"/>
      <family val="2"/>
    </font>
    <font>
      <sz val="16"/>
      <color theme="3" tint="0.249977111117893"/>
      <name val="Noto Sans TC Medium"/>
      <family val="2"/>
    </font>
    <font>
      <sz val="16"/>
      <color theme="3" tint="0.249977111117893"/>
      <name val="Noto Sans TC Medium"/>
      <family val="2"/>
      <charset val="136"/>
    </font>
    <font>
      <b/>
      <sz val="18"/>
      <color rgb="FFFF0000"/>
      <name val="Noto Sans TC Medium"/>
      <family val="2"/>
      <charset val="136"/>
    </font>
    <font>
      <sz val="24"/>
      <color theme="1"/>
      <name val="Noto Serif TC Medium"/>
      <family val="1"/>
      <charset val="136"/>
    </font>
    <font>
      <sz val="16"/>
      <color theme="1"/>
      <name val="新細明體"/>
      <family val="2"/>
      <charset val="136"/>
      <scheme val="minor"/>
    </font>
    <font>
      <b/>
      <sz val="11"/>
      <color rgb="FF000000"/>
      <name val="Noto Sans"/>
      <family val="2"/>
    </font>
    <font>
      <b/>
      <sz val="18"/>
      <color rgb="FF000000"/>
      <name val="Segoe UI"/>
      <family val="2"/>
    </font>
    <font>
      <sz val="10"/>
      <color theme="1"/>
      <name val="Segoe UI"/>
      <family val="2"/>
    </font>
    <font>
      <sz val="10"/>
      <color rgb="FFFF0000"/>
      <name val="Segoe UI"/>
      <family val="2"/>
    </font>
    <font>
      <sz val="12"/>
      <color theme="3" tint="0.499984740745262"/>
      <name val="新細明體"/>
      <family val="2"/>
      <charset val="136"/>
      <scheme val="minor"/>
    </font>
    <font>
      <sz val="12"/>
      <color theme="3" tint="0.499984740745262"/>
      <name val="Segoe UI"/>
      <family val="2"/>
    </font>
    <font>
      <sz val="18"/>
      <color rgb="FF000000"/>
      <name val="細明體"/>
      <family val="2"/>
      <charset val="136"/>
    </font>
    <font>
      <sz val="18"/>
      <color rgb="FFFF0000"/>
      <name val="微軟正黑體"/>
      <family val="2"/>
      <charset val="136"/>
    </font>
    <font>
      <b/>
      <sz val="18"/>
      <color rgb="FFFF0000"/>
      <name val="微軟正黑體"/>
      <family val="2"/>
      <charset val="136"/>
    </font>
    <font>
      <b/>
      <sz val="18"/>
      <color rgb="FFC00000"/>
      <name val="Noto Sans"/>
      <family val="2"/>
    </font>
    <font>
      <sz val="18"/>
      <color theme="8"/>
      <name val="Noto Sans"/>
      <family val="2"/>
    </font>
    <font>
      <sz val="18"/>
      <color rgb="FFFF0000"/>
      <name val="細明體"/>
      <family val="2"/>
      <charset val="136"/>
    </font>
    <font>
      <sz val="18"/>
      <color rgb="FFFF0000"/>
      <name val="Microsoft JhengHei"/>
      <family val="2"/>
    </font>
    <font>
      <sz val="18"/>
      <color rgb="FFFF0000"/>
      <name val="Microsoft JhengHei"/>
      <family val="2"/>
      <charset val="136"/>
    </font>
    <font>
      <sz val="18"/>
      <color rgb="FFFF0000"/>
      <name val="Noto Sans TC"/>
      <family val="2"/>
      <charset val="136"/>
    </font>
    <font>
      <sz val="22"/>
      <color theme="1"/>
      <name val="霞鶩文楷 TC Medium"/>
      <family val="1"/>
      <charset val="136"/>
    </font>
    <font>
      <sz val="20"/>
      <color theme="1"/>
      <name val="霞鶩文楷等寬 TC Medium"/>
      <family val="3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細明體"/>
      <family val="3"/>
      <charset val="136"/>
    </font>
    <font>
      <sz val="18"/>
      <color rgb="FFFF0000"/>
      <name val="Microsoft JhengHei UI"/>
      <family val="2"/>
    </font>
    <font>
      <sz val="18"/>
      <color rgb="FF000000"/>
      <name val="Noto Sans TC"/>
      <family val="2"/>
      <charset val="136"/>
    </font>
    <font>
      <sz val="18"/>
      <color rgb="FF000000"/>
      <name val="Microsoft JhengHei"/>
      <family val="2"/>
    </font>
    <font>
      <sz val="18"/>
      <color rgb="FFFF0000"/>
      <name val="細明體"/>
      <family val="1"/>
      <charset val="254"/>
    </font>
    <font>
      <sz val="12"/>
      <color theme="1"/>
      <name val="Cambria Math"/>
      <family val="1"/>
      <charset val="254"/>
    </font>
    <font>
      <b/>
      <sz val="16"/>
      <color theme="1"/>
      <name val="Noto Sans TC Medium"/>
      <family val="2"/>
      <charset val="136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2" tint="-9.9978637043366805E-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3" tint="0.749961851863155"/>
      </left>
      <right style="thin">
        <color theme="3" tint="0.749961851863155"/>
      </right>
      <top style="thin">
        <color theme="3" tint="0.749961851863155"/>
      </top>
      <bottom style="thin">
        <color theme="3" tint="0.749961851863155"/>
      </bottom>
      <diagonal/>
    </border>
    <border>
      <left style="thin">
        <color theme="4" tint="0.79998168889431442"/>
      </left>
      <right style="thin">
        <color theme="4" tint="0.79998168889431442"/>
      </right>
      <top style="thin">
        <color theme="4" tint="0.79998168889431442"/>
      </top>
      <bottom style="thin">
        <color theme="4" tint="0.79998168889431442"/>
      </bottom>
      <diagonal/>
    </border>
    <border>
      <left style="thin">
        <color theme="3" tint="0.749961851863155"/>
      </left>
      <right style="thin">
        <color theme="3" tint="0.749961851863155"/>
      </right>
      <top/>
      <bottom style="thin">
        <color theme="3" tint="0.749961851863155"/>
      </bottom>
      <diagonal/>
    </border>
    <border>
      <left/>
      <right style="medium">
        <color rgb="FFDEE2E6"/>
      </right>
      <top style="medium">
        <color rgb="FFDEE2E6"/>
      </top>
      <bottom style="medium">
        <color rgb="FFDEE2E6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20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7" fillId="10" borderId="11" xfId="0" applyFont="1" applyFill="1" applyBorder="1" applyAlignment="1">
      <alignment horizontal="center" vertical="center" wrapText="1"/>
    </xf>
    <xf numFmtId="0" fontId="59" fillId="9" borderId="11" xfId="0" applyFont="1" applyFill="1" applyBorder="1" applyAlignment="1">
      <alignment vertical="center" wrapText="1"/>
    </xf>
    <xf numFmtId="0" fontId="58" fillId="9" borderId="11" xfId="0" applyFont="1" applyFill="1" applyBorder="1" applyAlignment="1">
      <alignment vertical="center" wrapText="1"/>
    </xf>
    <xf numFmtId="0" fontId="57" fillId="10" borderId="11" xfId="0" applyFont="1" applyFill="1" applyBorder="1" applyAlignment="1">
      <alignment horizontal="left" vertical="center" wrapText="1"/>
    </xf>
    <xf numFmtId="0" fontId="57" fillId="0" borderId="0" xfId="0" applyFont="1" applyAlignment="1">
      <alignment horizontal="left" vertical="center" wrapText="1"/>
    </xf>
    <xf numFmtId="0" fontId="58" fillId="0" borderId="0" xfId="0" applyFont="1" applyAlignment="1">
      <alignment vertical="center" wrapText="1"/>
    </xf>
    <xf numFmtId="0" fontId="60" fillId="0" borderId="0" xfId="0" applyFont="1" applyAlignment="1">
      <alignment vertical="center" wrapText="1"/>
    </xf>
    <xf numFmtId="0" fontId="61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2" fillId="10" borderId="11" xfId="0" applyFont="1" applyFill="1" applyBorder="1" applyAlignment="1">
      <alignment horizontal="left" vertical="center" wrapText="1"/>
    </xf>
    <xf numFmtId="0" fontId="63" fillId="9" borderId="11" xfId="0" applyFont="1" applyFill="1" applyBorder="1" applyAlignment="1">
      <alignment vertical="center" wrapText="1"/>
    </xf>
    <xf numFmtId="0" fontId="61" fillId="6" borderId="11" xfId="0" applyFont="1" applyFill="1" applyBorder="1" applyAlignment="1">
      <alignment vertical="center" wrapText="1"/>
    </xf>
    <xf numFmtId="0" fontId="64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5" fillId="0" borderId="1" xfId="0" applyFont="1" applyBorder="1">
      <alignment vertical="center"/>
    </xf>
    <xf numFmtId="0" fontId="65" fillId="0" borderId="9" xfId="0" applyFont="1" applyBorder="1">
      <alignment vertical="center"/>
    </xf>
    <xf numFmtId="0" fontId="55" fillId="6" borderId="1" xfId="0" applyFont="1" applyFill="1" applyBorder="1">
      <alignment vertical="center"/>
    </xf>
    <xf numFmtId="0" fontId="67" fillId="0" borderId="1" xfId="0" applyFont="1" applyBorder="1">
      <alignment vertical="center"/>
    </xf>
    <xf numFmtId="0" fontId="3" fillId="0" borderId="9" xfId="0" applyFont="1" applyBorder="1">
      <alignment vertical="center"/>
    </xf>
    <xf numFmtId="0" fontId="0" fillId="11" borderId="1" xfId="0" applyFill="1" applyBorder="1" applyAlignment="1">
      <alignment horizontal="center" vertical="center"/>
    </xf>
    <xf numFmtId="0" fontId="68" fillId="12" borderId="1" xfId="0" applyFont="1" applyFill="1" applyBorder="1">
      <alignment vertical="center"/>
    </xf>
    <xf numFmtId="0" fontId="69" fillId="12" borderId="1" xfId="0" applyFont="1" applyFill="1" applyBorder="1">
      <alignment vertical="center"/>
    </xf>
    <xf numFmtId="0" fontId="66" fillId="8" borderId="1" xfId="0" quotePrefix="1" applyFont="1" applyFill="1" applyBorder="1" applyAlignment="1">
      <alignment horizontal="center" vertical="center"/>
    </xf>
    <xf numFmtId="0" fontId="66" fillId="8" borderId="1" xfId="0" applyFont="1" applyFill="1" applyBorder="1" applyAlignment="1">
      <alignment horizontal="center" vertical="center"/>
    </xf>
    <xf numFmtId="0" fontId="70" fillId="8" borderId="1" xfId="0" quotePrefix="1" applyFont="1" applyFill="1" applyBorder="1" applyAlignment="1">
      <alignment horizontal="center" vertical="center"/>
    </xf>
    <xf numFmtId="0" fontId="70" fillId="8" borderId="1" xfId="0" applyFont="1" applyFill="1" applyBorder="1" applyAlignment="1">
      <alignment horizontal="center" vertical="center"/>
    </xf>
    <xf numFmtId="0" fontId="7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left" vertical="center" indent="2"/>
    </xf>
    <xf numFmtId="0" fontId="0" fillId="0" borderId="1" xfId="0" applyBorder="1" applyAlignment="1">
      <alignment horizontal="left" vertical="center" indent="4"/>
    </xf>
    <xf numFmtId="0" fontId="0" fillId="0" borderId="1" xfId="0" quotePrefix="1" applyBorder="1" applyAlignment="1">
      <alignment horizontal="left" vertical="center" indent="4"/>
    </xf>
    <xf numFmtId="0" fontId="40" fillId="0" borderId="1" xfId="0" applyFont="1" applyBorder="1" applyAlignment="1">
      <alignment horizontal="center" vertical="center"/>
    </xf>
    <xf numFmtId="0" fontId="0" fillId="13" borderId="1" xfId="0" applyFill="1" applyBorder="1" applyAlignment="1">
      <alignment horizontal="left" vertical="center" indent="1"/>
    </xf>
    <xf numFmtId="0" fontId="0" fillId="13" borderId="1" xfId="0" applyFill="1" applyBorder="1" applyAlignment="1">
      <alignment horizontal="left" vertical="center" indent="2"/>
    </xf>
    <xf numFmtId="0" fontId="41" fillId="13" borderId="1" xfId="0" applyFont="1" applyFill="1" applyBorder="1" applyAlignment="1">
      <alignment horizontal="left" vertical="center" indent="2"/>
    </xf>
    <xf numFmtId="0" fontId="0" fillId="11" borderId="1" xfId="0" applyFill="1" applyBorder="1" applyAlignment="1">
      <alignment horizontal="left" vertical="center" indent="2"/>
    </xf>
    <xf numFmtId="0" fontId="40" fillId="11" borderId="1" xfId="0" applyFont="1" applyFill="1" applyBorder="1" applyAlignment="1">
      <alignment horizontal="left" vertical="center" indent="2"/>
    </xf>
    <xf numFmtId="0" fontId="68" fillId="12" borderId="1" xfId="0" applyFont="1" applyFill="1" applyBorder="1" applyAlignment="1">
      <alignment horizontal="left" vertical="center" indent="2"/>
    </xf>
    <xf numFmtId="0" fontId="69" fillId="12" borderId="1" xfId="0" applyFont="1" applyFill="1" applyBorder="1" applyAlignment="1">
      <alignment horizontal="left" vertical="center" indent="2"/>
    </xf>
    <xf numFmtId="0" fontId="0" fillId="13" borderId="1" xfId="0" applyFill="1" applyBorder="1" applyAlignment="1">
      <alignment horizontal="left" vertical="center" indent="4"/>
    </xf>
    <xf numFmtId="0" fontId="40" fillId="13" borderId="1" xfId="0" applyFont="1" applyFill="1" applyBorder="1" applyAlignment="1">
      <alignment horizontal="left" vertical="center" indent="4"/>
    </xf>
    <xf numFmtId="0" fontId="68" fillId="12" borderId="1" xfId="0" applyFont="1" applyFill="1" applyBorder="1" applyAlignment="1">
      <alignment horizontal="left" vertical="center" indent="4"/>
    </xf>
    <xf numFmtId="0" fontId="69" fillId="12" borderId="1" xfId="0" applyFont="1" applyFill="1" applyBorder="1" applyAlignment="1">
      <alignment horizontal="left" vertical="center" indent="4"/>
    </xf>
    <xf numFmtId="0" fontId="68" fillId="12" borderId="0" xfId="0" applyFont="1" applyFill="1">
      <alignment vertical="center"/>
    </xf>
    <xf numFmtId="0" fontId="55" fillId="0" borderId="0" xfId="4" applyFont="1">
      <alignment vertical="center"/>
    </xf>
    <xf numFmtId="0" fontId="72" fillId="0" borderId="0" xfId="4" applyFont="1">
      <alignment vertical="center"/>
    </xf>
    <xf numFmtId="0" fontId="1" fillId="0" borderId="0" xfId="4" applyAlignment="1">
      <alignment horizontal="center" vertical="center"/>
    </xf>
    <xf numFmtId="0" fontId="55" fillId="0" borderId="0" xfId="4" applyFont="1" applyAlignment="1">
      <alignment horizontal="center" vertical="center"/>
    </xf>
    <xf numFmtId="0" fontId="72" fillId="0" borderId="0" xfId="4" applyFont="1" applyAlignment="1">
      <alignment horizontal="left" vertical="center"/>
    </xf>
    <xf numFmtId="0" fontId="67" fillId="0" borderId="0" xfId="4" applyFont="1" applyAlignment="1">
      <alignment horizontal="center" vertical="center"/>
    </xf>
    <xf numFmtId="0" fontId="73" fillId="5" borderId="4" xfId="4" applyFont="1" applyFill="1" applyBorder="1" applyAlignment="1">
      <alignment horizontal="center" vertical="center" wrapText="1"/>
    </xf>
    <xf numFmtId="0" fontId="74" fillId="5" borderId="4" xfId="4" applyFont="1" applyFill="1" applyBorder="1" applyAlignment="1">
      <alignment horizontal="center" vertical="center" wrapText="1"/>
    </xf>
    <xf numFmtId="0" fontId="65" fillId="0" borderId="0" xfId="4" applyFont="1">
      <alignment vertical="center"/>
    </xf>
    <xf numFmtId="0" fontId="75" fillId="0" borderId="0" xfId="4" applyFont="1">
      <alignment vertical="center"/>
    </xf>
    <xf numFmtId="0" fontId="76" fillId="0" borderId="0" xfId="4" applyFont="1" applyAlignment="1">
      <alignment horizontal="center" vertical="center"/>
    </xf>
    <xf numFmtId="0" fontId="65" fillId="0" borderId="0" xfId="4" applyFont="1" applyAlignment="1">
      <alignment horizontal="center" vertical="center"/>
    </xf>
    <xf numFmtId="0" fontId="77" fillId="0" borderId="0" xfId="4" applyFont="1">
      <alignment vertical="center"/>
    </xf>
    <xf numFmtId="0" fontId="78" fillId="0" borderId="0" xfId="4" applyFont="1" applyAlignment="1">
      <alignment horizontal="center" vertical="center"/>
    </xf>
    <xf numFmtId="0" fontId="79" fillId="5" borderId="4" xfId="4" applyFont="1" applyFill="1" applyBorder="1" applyAlignment="1">
      <alignment horizontal="left" vertical="center" wrapText="1" indent="1"/>
    </xf>
    <xf numFmtId="0" fontId="81" fillId="7" borderId="4" xfId="4" applyFont="1" applyFill="1" applyBorder="1" applyAlignment="1">
      <alignment horizontal="left" vertical="center" wrapText="1" indent="1"/>
    </xf>
    <xf numFmtId="0" fontId="81" fillId="14" borderId="4" xfId="4" applyFont="1" applyFill="1" applyBorder="1" applyAlignment="1">
      <alignment horizontal="left" vertical="center" wrapText="1" indent="1"/>
    </xf>
    <xf numFmtId="0" fontId="0" fillId="11" borderId="0" xfId="0" applyFill="1">
      <alignment vertical="center"/>
    </xf>
    <xf numFmtId="0" fontId="82" fillId="11" borderId="4" xfId="4" applyFont="1" applyFill="1" applyBorder="1" applyAlignment="1">
      <alignment horizontal="left" vertical="center" wrapText="1" indent="1"/>
    </xf>
    <xf numFmtId="0" fontId="48" fillId="11" borderId="4" xfId="4" applyFont="1" applyFill="1" applyBorder="1" applyAlignment="1">
      <alignment horizontal="center" vertical="center" wrapText="1"/>
    </xf>
    <xf numFmtId="0" fontId="83" fillId="11" borderId="4" xfId="4" applyFont="1" applyFill="1" applyBorder="1" applyAlignment="1">
      <alignment horizontal="left" vertical="center" wrapText="1" indent="1"/>
    </xf>
    <xf numFmtId="0" fontId="55" fillId="0" borderId="0" xfId="4" applyFont="1" applyAlignment="1">
      <alignment horizontal="left" vertical="center"/>
    </xf>
    <xf numFmtId="0" fontId="85" fillId="7" borderId="4" xfId="4" applyFont="1" applyFill="1" applyBorder="1" applyAlignment="1">
      <alignment horizontal="left" vertical="center" wrapText="1" indent="1"/>
    </xf>
    <xf numFmtId="0" fontId="84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center" vertical="center" wrapText="1"/>
    </xf>
    <xf numFmtId="0" fontId="87" fillId="7" borderId="4" xfId="4" applyFont="1" applyFill="1" applyBorder="1" applyAlignment="1">
      <alignment horizontal="center" vertical="center" wrapText="1"/>
    </xf>
    <xf numFmtId="0" fontId="88" fillId="0" borderId="1" xfId="0" applyFont="1" applyBorder="1" applyAlignment="1">
      <alignment horizontal="center" vertical="center"/>
    </xf>
    <xf numFmtId="0" fontId="88" fillId="0" borderId="1" xfId="0" applyFont="1" applyBorder="1" applyAlignment="1">
      <alignment horizontal="left" vertical="center"/>
    </xf>
    <xf numFmtId="0" fontId="0" fillId="11" borderId="1" xfId="0" applyFill="1" applyBorder="1">
      <alignment vertical="center"/>
    </xf>
    <xf numFmtId="0" fontId="40" fillId="11" borderId="1" xfId="0" applyFont="1" applyFill="1" applyBorder="1">
      <alignment vertical="center"/>
    </xf>
    <xf numFmtId="0" fontId="0" fillId="13" borderId="1" xfId="0" applyFill="1" applyBorder="1">
      <alignment vertical="center"/>
    </xf>
    <xf numFmtId="0" fontId="41" fillId="13" borderId="1" xfId="0" applyFont="1" applyFill="1" applyBorder="1">
      <alignment vertical="center"/>
    </xf>
    <xf numFmtId="0" fontId="40" fillId="13" borderId="1" xfId="0" applyFont="1" applyFill="1" applyBorder="1" applyAlignment="1">
      <alignment horizontal="left" vertical="center" indent="2"/>
    </xf>
    <xf numFmtId="0" fontId="88" fillId="2" borderId="1" xfId="0" applyFont="1" applyFill="1" applyBorder="1" applyAlignment="1">
      <alignment horizontal="center" vertical="center"/>
    </xf>
    <xf numFmtId="0" fontId="88" fillId="0" borderId="1" xfId="0" applyFont="1" applyBorder="1" applyAlignment="1">
      <alignment horizontal="left" vertical="center" indent="3"/>
    </xf>
    <xf numFmtId="0" fontId="0" fillId="0" borderId="1" xfId="0" applyBorder="1" applyAlignment="1">
      <alignment horizontal="left" vertical="center" indent="1"/>
    </xf>
    <xf numFmtId="0" fontId="89" fillId="0" borderId="1" xfId="0" applyFont="1" applyBorder="1" applyAlignment="1">
      <alignment horizontal="center" vertical="center"/>
    </xf>
    <xf numFmtId="0" fontId="18" fillId="11" borderId="1" xfId="0" applyFont="1" applyFill="1" applyBorder="1">
      <alignment vertical="center"/>
    </xf>
    <xf numFmtId="0" fontId="0" fillId="2" borderId="13" xfId="0" applyFill="1" applyBorder="1">
      <alignment vertical="center"/>
    </xf>
    <xf numFmtId="0" fontId="0" fillId="15" borderId="1" xfId="0" applyFill="1" applyBorder="1">
      <alignment vertical="center"/>
    </xf>
    <xf numFmtId="0" fontId="0" fillId="15" borderId="9" xfId="0" applyFill="1" applyBorder="1">
      <alignment vertical="center"/>
    </xf>
    <xf numFmtId="0" fontId="0" fillId="15" borderId="13" xfId="0" applyFill="1" applyBorder="1">
      <alignment vertical="center"/>
    </xf>
    <xf numFmtId="0" fontId="0" fillId="15" borderId="6" xfId="0" applyFill="1" applyBorder="1">
      <alignment vertical="center"/>
    </xf>
    <xf numFmtId="0" fontId="65" fillId="0" borderId="0" xfId="0" applyFont="1" applyAlignment="1">
      <alignment horizontal="center" vertical="center"/>
    </xf>
    <xf numFmtId="0" fontId="0" fillId="0" borderId="14" xfId="0" applyBorder="1">
      <alignment vertical="center"/>
    </xf>
    <xf numFmtId="0" fontId="0" fillId="0" borderId="14" xfId="0" applyBorder="1" applyAlignment="1">
      <alignment horizontal="center" vertical="center"/>
    </xf>
    <xf numFmtId="0" fontId="6" fillId="0" borderId="14" xfId="0" applyFont="1" applyBorder="1" applyAlignment="1">
      <alignment horizontal="center" vertical="center"/>
    </xf>
    <xf numFmtId="0" fontId="7" fillId="0" borderId="14" xfId="0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0" fillId="0" borderId="16" xfId="0" applyBorder="1">
      <alignment vertical="center"/>
    </xf>
    <xf numFmtId="0" fontId="0" fillId="0" borderId="16" xfId="0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51" fillId="11" borderId="15" xfId="0" applyFont="1" applyFill="1" applyBorder="1" applyAlignment="1">
      <alignment horizontal="center" vertical="center"/>
    </xf>
    <xf numFmtId="0" fontId="3" fillId="0" borderId="14" xfId="0" applyFont="1" applyBorder="1">
      <alignment vertical="center"/>
    </xf>
    <xf numFmtId="0" fontId="51" fillId="11" borderId="15" xfId="0" quotePrefix="1" applyFont="1" applyFill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48" fillId="5" borderId="17" xfId="4" applyFont="1" applyFill="1" applyBorder="1" applyAlignment="1">
      <alignment horizontal="center" vertical="center" wrapText="1"/>
    </xf>
    <xf numFmtId="0" fontId="45" fillId="5" borderId="17" xfId="4" applyFont="1" applyFill="1" applyBorder="1" applyAlignment="1">
      <alignment horizontal="left" vertical="center" wrapText="1" indent="1"/>
    </xf>
    <xf numFmtId="0" fontId="93" fillId="7" borderId="4" xfId="4" applyFont="1" applyFill="1" applyBorder="1" applyAlignment="1">
      <alignment horizontal="left" vertical="center" wrapText="1" indent="1"/>
    </xf>
    <xf numFmtId="0" fontId="80" fillId="7" borderId="4" xfId="4" applyFont="1" applyFill="1" applyBorder="1" applyAlignment="1">
      <alignment horizontal="left" vertical="center" wrapText="1" indent="1"/>
    </xf>
    <xf numFmtId="0" fontId="94" fillId="5" borderId="4" xfId="4" applyFont="1" applyFill="1" applyBorder="1" applyAlignment="1">
      <alignment horizontal="left" vertical="center" wrapText="1" indent="1"/>
    </xf>
    <xf numFmtId="0" fontId="46" fillId="16" borderId="4" xfId="4" applyFont="1" applyFill="1" applyBorder="1" applyAlignment="1">
      <alignment horizontal="left" vertical="center" wrapText="1" indent="1"/>
    </xf>
    <xf numFmtId="0" fontId="96" fillId="7" borderId="4" xfId="4" applyFont="1" applyFill="1" applyBorder="1" applyAlignment="1">
      <alignment horizontal="left" vertical="center" wrapText="1" indent="1"/>
    </xf>
    <xf numFmtId="0" fontId="97" fillId="0" borderId="0" xfId="4" applyFont="1">
      <alignment vertical="center"/>
    </xf>
    <xf numFmtId="0" fontId="82" fillId="11" borderId="4" xfId="4" applyNumberFormat="1" applyFont="1" applyFill="1" applyBorder="1" applyAlignment="1">
      <alignment horizontal="left" vertical="center" wrapText="1" indent="1"/>
    </xf>
    <xf numFmtId="0" fontId="83" fillId="11" borderId="4" xfId="4" applyNumberFormat="1" applyFont="1" applyFill="1" applyBorder="1" applyAlignment="1">
      <alignment horizontal="left" vertical="center" wrapText="1" indent="1"/>
    </xf>
    <xf numFmtId="0" fontId="46" fillId="7" borderId="4" xfId="4" applyNumberFormat="1" applyFont="1" applyFill="1" applyBorder="1" applyAlignment="1">
      <alignment horizontal="left" vertical="center" wrapText="1" indent="1"/>
    </xf>
    <xf numFmtId="0" fontId="46" fillId="16" borderId="4" xfId="4" applyNumberFormat="1" applyFont="1" applyFill="1" applyBorder="1" applyAlignment="1">
      <alignment horizontal="left" vertical="center" wrapText="1" indent="1"/>
    </xf>
    <xf numFmtId="0" fontId="93" fillId="7" borderId="4" xfId="4" applyNumberFormat="1" applyFont="1" applyFill="1" applyBorder="1" applyAlignment="1">
      <alignment horizontal="left" vertical="center" wrapText="1" indent="1"/>
    </xf>
    <xf numFmtId="0" fontId="80" fillId="7" borderId="4" xfId="4" applyNumberFormat="1" applyFont="1" applyFill="1" applyBorder="1" applyAlignment="1">
      <alignment horizontal="center" vertical="center" wrapText="1"/>
    </xf>
    <xf numFmtId="0" fontId="80" fillId="7" borderId="4" xfId="4" applyNumberFormat="1" applyFont="1" applyFill="1" applyBorder="1" applyAlignment="1">
      <alignment horizontal="left" vertical="center" wrapText="1" indent="1"/>
    </xf>
    <xf numFmtId="0" fontId="98" fillId="0" borderId="0" xfId="0" applyFont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0">
    <dxf>
      <font>
        <b/>
        <i val="0"/>
        <color rgb="FF00B050"/>
      </font>
    </dxf>
    <dxf>
      <font>
        <b/>
        <i val="0"/>
        <color rgb="FFFF0000"/>
      </font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微軟正黑體"/>
        <family val="2"/>
        <charset val="136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 outline="0">
        <left style="medium">
          <color rgb="FFDEE2E6"/>
        </left>
        <right style="medium">
          <color rgb="FFDEE2E6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微軟正黑體"/>
        <family val="2"/>
        <charset val="136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1" indent="0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FF0000"/>
        <name val="Noto Sans"/>
        <family val="2"/>
        <scheme val="none"/>
      </font>
      <fill>
        <patternFill patternType="solid">
          <fgColor indexed="64"/>
          <bgColor rgb="FFFFFF00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theme="8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8"/>
        <color rgb="FFC00000"/>
        <name val="Noto Sans"/>
        <family val="2"/>
        <scheme val="none"/>
      </font>
      <fill>
        <patternFill patternType="solid">
          <fgColor indexed="64"/>
          <bgColor rgb="FFFFFFCC"/>
        </patternFill>
      </fill>
      <alignment horizontal="left" vertical="center" textRotation="0" wrapText="1" indent="1" justifyLastLine="0" shrinkToFit="0" readingOrder="0"/>
      <border diagonalUp="0" diagonalDown="0">
        <left style="medium">
          <color rgb="FFDEE2E6"/>
        </left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000000"/>
        <name val="Noto Sans"/>
        <family val="2"/>
        <scheme val="none"/>
      </font>
      <fill>
        <patternFill patternType="solid">
          <fgColor indexed="64"/>
          <bgColor rgb="FFFFFFFF"/>
        </patternFill>
      </fill>
      <alignment horizontal="left" vertical="center" textRotation="0" wrapText="1" indent="1" justifyLastLine="0" shrinkToFit="0" readingOrder="0"/>
      <border diagonalUp="0" diagonalDown="0">
        <left/>
        <right style="medium">
          <color rgb="FFDEE2E6"/>
        </right>
        <top style="medium">
          <color rgb="FFDEE2E6"/>
        </top>
        <bottom style="medium">
          <color rgb="FFDEE2E6"/>
        </bottom>
        <vertical/>
        <horizontal/>
      </border>
    </dxf>
    <dxf>
      <border outline="0">
        <left style="medium">
          <color rgb="FFDEE2E6"/>
        </left>
        <right style="medium">
          <color rgb="FFDEE2E6"/>
        </right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Segoe UI"/>
        <family val="2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18"/>
        <name val="霞鶩文楷等寬 TC Medium"/>
        <family val="3"/>
        <charset val="136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40E26AF-4D3B-4E1A-8080-AAAFDBD9F514}" name="台羅韻母表" displayName="台羅韻母表" ref="A3:L89" totalsRowShown="0" headerRowDxfId="3" tableBorderDxfId="14" headerRowCellStyle="一般 4">
  <autoFilter ref="A3:L89" xr:uid="{C40E26AF-4D3B-4E1A-8080-AAAFDBD9F514}"/>
  <tableColumns count="12">
    <tableColumn id="1" xr3:uid="{67434336-EDB9-486F-A543-044F4F8ED438}" name="序號" dataDxfId="13" dataCellStyle="一般 4">
      <calculatedColumnFormula xml:space="preserve"> ROW() - 3</calculatedColumnFormula>
    </tableColumn>
    <tableColumn id="2" xr3:uid="{3F9C0D5C-037D-401B-9E57-7E99A8351BB7}" name="國際音標" dataDxfId="12" dataCellStyle="一般 4"/>
    <tableColumn id="3" xr3:uid="{B8205AD7-58F1-43A8-824B-C0E88B7F29C9}" name="台羅拼音" dataDxfId="11" dataCellStyle="一般 4"/>
    <tableColumn id="4" xr3:uid="{1D977D40-0654-4AD5-9198-DBDACA80FC0C}" name="台語音標" dataDxfId="10" dataCellStyle="一般 4"/>
    <tableColumn id="5" xr3:uid="{62D369BE-67AE-46A8-A874-749CA8F4D5FA}" name="台語注音二式" dataDxfId="9" dataCellStyle="一般 4"/>
    <tableColumn id="6" xr3:uid="{6ACFDCD0-A05A-4E77-B6C3-F4F9693A1A87}" name="閩拼方案" dataDxfId="8" dataCellStyle="一般 4"/>
    <tableColumn id="7" xr3:uid="{EA72CB27-56D4-45DE-A159-5ECE3355E261}" name="白話字" dataDxfId="7" dataCellStyle="一般 4"/>
    <tableColumn id="8" xr3:uid="{86276E07-00D8-414F-A14A-89CA8E4736C0}" name="方音符號"/>
    <tableColumn id="13" xr3:uid="{4AC7395E-4D7D-4B49-A8A4-FDDE23D368B8}" name="台語注音" dataDxfId="2"/>
    <tableColumn id="9" xr3:uid="{32F912D0-78F9-4541-95B9-4330F53FB63D}" name="十五音" dataDxfId="6" dataCellStyle="一般 4"/>
    <tableColumn id="10" xr3:uid="{B3319D84-8B1E-4C1D-99D4-7DD8250E72D0}" name="聲韻調類" dataDxfId="5" dataCellStyle="一般 4"/>
    <tableColumn id="11" xr3:uid="{0232C7F0-707C-4291-B834-2A92B01DFDF9}" name="字長" dataDxfId="4" dataCellStyle="一般 4">
      <calculatedColumnFormula xml:space="preserve"> LEN(D4)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N85" totalsRowShown="0" headerRowDxfId="49" headerRowBorderDxfId="48" tableBorderDxfId="47" totalsRowBorderDxfId="46">
  <autoFilter ref="A1:N85" xr:uid="{771C3941-9899-48C4-8E14-367017F7B2F5}"/>
  <tableColumns count="14">
    <tableColumn id="1" xr3:uid="{93BCA6A2-508B-467B-95D1-473C97CCD52B}" name="識別號" dataDxfId="45"/>
    <tableColumn id="4" xr3:uid="{C4E57A92-27A9-46F6-A864-9668B62AB3D8}" name="國際音標" dataDxfId="44"/>
    <tableColumn id="7" xr3:uid="{D04A8FC9-DCA4-4643-AE3B-824F465B8E3A}" name="台羅拼音" dataDxfId="43"/>
    <tableColumn id="6" xr3:uid="{DA98A1A1-49CA-4EC1-91D5-BF45045A4B18}" name="台語音標" dataDxfId="42"/>
    <tableColumn id="8" xr3:uid="{E8D82139-523B-47F7-B0CC-47FDC35BBF0B}" name="注音二式" dataDxfId="41"/>
    <tableColumn id="10" xr3:uid="{BDA4D6F0-BBAC-44DF-85B3-15A86E2ED416}" name="閩拼方案" dataDxfId="40"/>
    <tableColumn id="9" xr3:uid="{972A94F9-A940-4172-AB75-0BE33372A5A6}" name="白話字" dataDxfId="39"/>
    <tableColumn id="5" xr3:uid="{88460F28-F486-4EB3-974F-039F84D0E83A}" name="方音符號" dataDxfId="38"/>
    <tableColumn id="14" xr3:uid="{EF2755BF-6678-4CD8-B300-0D0325E9E0D0}" name="台語注音" dataDxfId="37"/>
    <tableColumn id="3" xr3:uid="{8C99734F-A142-4FBD-96DD-463C060588A5}" name="漢字例" dataDxfId="36"/>
    <tableColumn id="2" xr3:uid="{80F0C42C-C2BD-4707-8BE9-49A90C7647AB}" name="十五音" dataDxfId="35"/>
    <tableColumn id="11" xr3:uid="{77E72489-4845-4BE7-807E-50EDB35447E7}" name="十五音序" dataDxfId="34"/>
    <tableColumn id="12" xr3:uid="{4D0E40DE-9C66-4BA2-B18D-2F564923928D}" name="舒促聲" dataDxfId="33"/>
    <tableColumn id="13" xr3:uid="{1E5A033C-A3E4-47B2-8D3D-334C23BE852B}" name="十五音識別碼" dataDxfId="3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31" headerRowBorderDxfId="30" tableBorderDxfId="29" totalsRowBorderDxfId="28">
  <autoFilter ref="A1:M85" xr:uid="{771C3941-9899-48C4-8E14-367017F7B2F5}"/>
  <tableColumns count="13">
    <tableColumn id="1" xr3:uid="{C10E80BA-9FEE-411B-A2E1-0B8D75C43A73}" name="識別號" dataDxfId="27"/>
    <tableColumn id="2" xr3:uid="{BDE2F94E-9AD0-4497-B0A4-0887F343995C}" name="十五音" dataDxfId="26"/>
    <tableColumn id="3" xr3:uid="{1BB80AC9-0E65-4250-97F0-4C9BF936F6F4}" name="漢字例" dataDxfId="25"/>
    <tableColumn id="5" xr3:uid="{FF3D3154-85AC-43FE-9B6E-613CB6837684}" name="方音符號" dataDxfId="24"/>
    <tableColumn id="6" xr3:uid="{76F226E4-4708-40A7-849D-3CC6919D3693}" name="台語音標" dataDxfId="23"/>
    <tableColumn id="4" xr3:uid="{B2037F3B-8888-4074-8870-6B45341F0C3A}" name="國際音標" dataDxfId="22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21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20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19"/>
    <tableColumn id="9" xr3:uid="{42E33940-E4F1-4C86-AD57-6236C50EBE40}" name="白話字" dataDxfId="18"/>
    <tableColumn id="11" xr3:uid="{BE8C4436-8D84-475B-A5C6-C392918893AA}" name="十五音序" dataDxfId="17"/>
    <tableColumn id="12" xr3:uid="{4D04DB9F-1246-4494-8D81-B2950125EC5B}" name="舒促聲" dataDxfId="16"/>
    <tableColumn id="13" xr3:uid="{EB7195BB-541B-463D-BA37-EBE312BD24A4}" name="十五音識別碼" dataDxfId="15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  <wetp:taskpane dockstate="right" visibility="0" width="350" row="1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51FD2E8E-AF3A-4B4D-A368-A363DC4D3ED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afece23-b455-4bf7-80b3-57cfbba5c921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CBD661-1605-4C66-83CC-87BEF9BB3577}">
  <dimension ref="B2:J17"/>
  <sheetViews>
    <sheetView tabSelected="1" workbookViewId="0">
      <selection activeCell="K12" sqref="K12"/>
    </sheetView>
  </sheetViews>
  <sheetFormatPr defaultRowHeight="25.5"/>
  <cols>
    <col min="1" max="1" width="4" customWidth="1"/>
    <col min="2" max="2" width="13.4140625" customWidth="1"/>
    <col min="3" max="6" width="7.9140625" customWidth="1"/>
    <col min="8" max="10" width="9.83203125" customWidth="1"/>
    <col min="12" max="12" width="12" customWidth="1"/>
  </cols>
  <sheetData>
    <row r="2" spans="2:10">
      <c r="C2" s="199" t="s">
        <v>2358</v>
      </c>
      <c r="D2" s="199" t="s">
        <v>2359</v>
      </c>
      <c r="E2" s="199" t="s">
        <v>2360</v>
      </c>
      <c r="F2" s="199" t="s">
        <v>878</v>
      </c>
      <c r="H2" t="s">
        <v>2512</v>
      </c>
      <c r="I2" t="s">
        <v>937</v>
      </c>
      <c r="J2" t="s">
        <v>2513</v>
      </c>
    </row>
    <row r="3" spans="2:10">
      <c r="B3" t="s">
        <v>2514</v>
      </c>
      <c r="C3" t="s">
        <v>2315</v>
      </c>
      <c r="D3" t="s">
        <v>1214</v>
      </c>
      <c r="E3" s="20">
        <v>3</v>
      </c>
      <c r="F3" s="139" t="str">
        <f xml:space="preserve"> IF(AND(C3&lt;&gt;"",D3&lt;&gt;"",E3&lt;&gt;""), _xlfn.CONCAT(H3:J3), "")</f>
        <v>lɪaʊ³</v>
      </c>
      <c r="H3" t="str" cm="1">
        <f t="array" ref="H3" xml:space="preserve"> IF(C3&lt;&gt;"", INDEX(【聲】聲母對照表!$B$2:$B$23, MATCH(TRUE, EXACT(輸入工具!C3, 【聲】聲母對照表!$C$2:$C$23), 0)), "")</f>
        <v>l</v>
      </c>
      <c r="I3" t="str" cm="1">
        <f t="array" ref="I3">IF(D3&lt;&gt;"", INDEX(台羅韻母表[國際音標], MATCH(TRUE, EXACT(輸入工具!D$3, 台羅韻母表[閩拼方案]), 0)), "")</f>
        <v>ɪaʊ</v>
      </c>
      <c r="J3" t="str" cm="1">
        <f t="array" ref="J3" xml:space="preserve"> IF(E3&lt;&gt;"", INDEX(【調】聲調對照表!$P$2:$P$8, MATCH(TRUE, EXACT(輸入工具!E$3, 【調】聲調對照表!$E$2:$E$8), 0)), "")</f>
        <v>³</v>
      </c>
    </row>
    <row r="4" spans="2:10">
      <c r="B4" t="s">
        <v>2514</v>
      </c>
      <c r="E4" s="20"/>
      <c r="F4" s="139" t="str">
        <f t="shared" ref="F4:F9" si="0" xml:space="preserve"> IF(AND(C4&lt;&gt;"",D4&lt;&gt;"",E4&lt;&gt;""), _xlfn.CONCAT(H4:J4), "")</f>
        <v/>
      </c>
      <c r="H4" t="str" cm="1">
        <f t="array" ref="H4" xml:space="preserve"> IF(C4&lt;&gt;"", INDEX(【聲】聲母對照表!$B$2:$B$23, MATCH(TRUE, EXACT(輸入工具!C4, 【聲】聲母對照表!$C$2:$C$23), 0)), "")</f>
        <v/>
      </c>
      <c r="I4" t="str" cm="1">
        <f t="array" ref="I4">IF(D4&lt;&gt;"", INDEX(台羅韻母表[國際音標], MATCH(TRUE, EXACT(輸入工具!D$3, 台羅韻母表[閩拼方案]), 0)), "")</f>
        <v/>
      </c>
      <c r="J4" t="str" cm="1">
        <f t="array" ref="J4" xml:space="preserve"> IF(E4&lt;&gt;"", INDEX(【調】聲調對照表!$P$2:$P$8, MATCH(TRUE, EXACT(輸入工具!E$3, 【調】聲調對照表!$E$2:$E$8), 0)), "")</f>
        <v/>
      </c>
    </row>
    <row r="5" spans="2:10">
      <c r="B5" t="s">
        <v>2514</v>
      </c>
      <c r="E5" s="20"/>
      <c r="F5" s="139" t="str">
        <f t="shared" si="0"/>
        <v/>
      </c>
      <c r="H5" t="str" cm="1">
        <f t="array" ref="H5" xml:space="preserve"> IF(C5&lt;&gt;"", INDEX(【聲】聲母對照表!$B$2:$B$23, MATCH(TRUE, EXACT(輸入工具!C5, 【聲】聲母對照表!$C$2:$C$23), 0)), "")</f>
        <v/>
      </c>
      <c r="I5" t="str" cm="1">
        <f t="array" ref="I5">IF(D5&lt;&gt;"", INDEX(台羅韻母表[國際音標], MATCH(TRUE, EXACT(輸入工具!D$3, 台羅韻母表[閩拼方案]), 0)), "")</f>
        <v/>
      </c>
      <c r="J5" t="str" cm="1">
        <f t="array" ref="J5" xml:space="preserve"> IF(E5&lt;&gt;"", INDEX(【調】聲調對照表!$P$2:$P$8, MATCH(TRUE, EXACT(輸入工具!E$3, 【調】聲調對照表!$E$2:$E$8), 0)), "")</f>
        <v/>
      </c>
    </row>
    <row r="6" spans="2:10">
      <c r="B6" t="s">
        <v>2514</v>
      </c>
      <c r="E6" s="20"/>
      <c r="F6" s="139" t="str">
        <f t="shared" si="0"/>
        <v/>
      </c>
      <c r="H6" t="str" cm="1">
        <f t="array" ref="H6" xml:space="preserve"> IF(C6&lt;&gt;"", INDEX(【聲】聲母對照表!$B$2:$B$23, MATCH(TRUE, EXACT(輸入工具!C6, 【聲】聲母對照表!$C$2:$C$23), 0)), "")</f>
        <v/>
      </c>
      <c r="I6" t="str" cm="1">
        <f t="array" ref="I6">IF(D6&lt;&gt;"", INDEX(台羅韻母表[國際音標], MATCH(TRUE, EXACT(輸入工具!D$3, 台羅韻母表[閩拼方案]), 0)), "")</f>
        <v/>
      </c>
      <c r="J6" t="str" cm="1">
        <f t="array" ref="J6" xml:space="preserve"> IF(E6&lt;&gt;"", INDEX(【調】聲調對照表!$P$2:$P$8, MATCH(TRUE, EXACT(輸入工具!E$3, 【調】聲調對照表!$E$2:$E$8), 0)), "")</f>
        <v/>
      </c>
    </row>
    <row r="7" spans="2:10">
      <c r="B7" t="s">
        <v>2514</v>
      </c>
      <c r="E7" s="20"/>
      <c r="F7" s="139" t="str">
        <f t="shared" si="0"/>
        <v/>
      </c>
      <c r="H7" t="str" cm="1">
        <f t="array" ref="H7" xml:space="preserve"> IF(C7&lt;&gt;"", INDEX(【聲】聲母對照表!$B$2:$B$23, MATCH(TRUE, EXACT(輸入工具!C7, 【聲】聲母對照表!$C$2:$C$23), 0)), "")</f>
        <v/>
      </c>
      <c r="I7" t="str" cm="1">
        <f t="array" ref="I7">IF(D7&lt;&gt;"", INDEX(台羅韻母表[國際音標], MATCH(TRUE, EXACT(輸入工具!D$3, 台羅韻母表[閩拼方案]), 0)), "")</f>
        <v/>
      </c>
      <c r="J7" t="str" cm="1">
        <f t="array" ref="J7" xml:space="preserve"> IF(E7&lt;&gt;"", INDEX(【調】聲調對照表!$P$2:$P$8, MATCH(TRUE, EXACT(輸入工具!E$3, 【調】聲調對照表!$E$2:$E$8), 0)), "")</f>
        <v/>
      </c>
    </row>
    <row r="8" spans="2:10">
      <c r="B8" t="s">
        <v>2514</v>
      </c>
      <c r="E8" s="20"/>
      <c r="F8" s="139" t="str">
        <f t="shared" si="0"/>
        <v/>
      </c>
      <c r="H8" t="str" cm="1">
        <f t="array" ref="H8" xml:space="preserve"> IF(C8&lt;&gt;"", INDEX(【聲】聲母對照表!$B$2:$B$23, MATCH(TRUE, EXACT(輸入工具!C8, 【聲】聲母對照表!$C$2:$C$23), 0)), "")</f>
        <v/>
      </c>
      <c r="I8" t="str" cm="1">
        <f t="array" ref="I8">IF(D8&lt;&gt;"", INDEX(台羅韻母表[國際音標], MATCH(TRUE, EXACT(輸入工具!D$3, 台羅韻母表[閩拼方案]), 0)), "")</f>
        <v/>
      </c>
      <c r="J8" t="str" cm="1">
        <f t="array" ref="J8" xml:space="preserve"> IF(E8&lt;&gt;"", INDEX(【調】聲調對照表!$P$2:$P$8, MATCH(TRUE, EXACT(輸入工具!E$3, 【調】聲調對照表!$E$2:$E$8), 0)), "")</f>
        <v/>
      </c>
    </row>
    <row r="9" spans="2:10">
      <c r="B9" t="s">
        <v>2514</v>
      </c>
      <c r="E9" s="20"/>
      <c r="F9" s="139" t="str">
        <f t="shared" si="0"/>
        <v/>
      </c>
      <c r="H9" t="str" cm="1">
        <f t="array" ref="H9" xml:space="preserve"> IF(C9&lt;&gt;"", INDEX(【聲】聲母對照表!$B$2:$B$23, MATCH(TRUE, EXACT(輸入工具!C9, 【聲】聲母對照表!$C$2:$C$23), 0)), "")</f>
        <v/>
      </c>
      <c r="I9" t="str" cm="1">
        <f t="array" ref="I9">IF(D9&lt;&gt;"", INDEX(台羅韻母表[國際音標], MATCH(TRUE, EXACT(輸入工具!D$3, 台羅韻母表[閩拼方案]), 0)), "")</f>
        <v/>
      </c>
      <c r="J9" t="str" cm="1">
        <f t="array" ref="J9" xml:space="preserve"> IF(E9&lt;&gt;"", INDEX(【調】聲調對照表!$P$2:$P$8, MATCH(TRUE, EXACT(輸入工具!E$3, 【調】聲調對照表!$E$2:$E$8), 0)), "")</f>
        <v/>
      </c>
    </row>
    <row r="15" spans="2:10">
      <c r="C15" t="s">
        <v>2358</v>
      </c>
      <c r="D15" t="s">
        <v>2359</v>
      </c>
      <c r="E15" t="s">
        <v>2360</v>
      </c>
    </row>
    <row r="16" spans="2:10">
      <c r="B16" t="s">
        <v>2361</v>
      </c>
      <c r="C16" t="s">
        <v>2315</v>
      </c>
      <c r="D16" t="s">
        <v>1241</v>
      </c>
      <c r="E16">
        <v>2</v>
      </c>
    </row>
    <row r="17" spans="2:6">
      <c r="B17" t="s">
        <v>878</v>
      </c>
      <c r="C17" t="str" cm="1">
        <f t="array" ref="C17" xml:space="preserve"> INDEX(【聲】聲母對照表!$B$2:$B$23, MATCH(TRUE, EXACT(輸入工具!C16, 【聲】聲母對照表!$C$2:$C$23), 0))</f>
        <v>l</v>
      </c>
      <c r="D17" t="str" cm="1">
        <f t="array" ref="D17" xml:space="preserve"> INDEX(台羅韻母表[國際音標], MATCH(TRUE, EXACT(輸入工具!D$16, 台羅韻母表[台羅拼音]), 0))</f>
        <v>ɪaʊ</v>
      </c>
      <c r="E17" t="str" cm="1">
        <f t="array" ref="E17" xml:space="preserve"> INDEX(【調】聲調對照表!$P$2:$P$8, MATCH(TRUE, EXACT(輸入工具!E$16, 【調】聲調對照表!$E$2:$E$8), 0))</f>
        <v>²</v>
      </c>
      <c r="F17" t="str">
        <f xml:space="preserve"> _xlfn.CONCAT(C17:E17)</f>
        <v>lɪaʊ²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O23"/>
  <sheetViews>
    <sheetView workbookViewId="0">
      <pane ySplit="1" topLeftCell="A15" activePane="bottomLeft" state="frozen"/>
      <selection pane="bottomLeft" activeCell="E23" sqref="E2:E23"/>
    </sheetView>
  </sheetViews>
  <sheetFormatPr defaultRowHeight="25.5"/>
  <cols>
    <col min="1" max="1" width="6.4140625" bestFit="1" customWidth="1"/>
    <col min="12" max="12" width="23.08203125" bestFit="1" customWidth="1"/>
    <col min="13" max="13" width="2.83203125" customWidth="1"/>
    <col min="14" max="15" width="4.33203125" customWidth="1"/>
  </cols>
  <sheetData>
    <row r="1" spans="1:15">
      <c r="A1" s="2" t="s">
        <v>0</v>
      </c>
      <c r="B1" s="2" t="s">
        <v>2</v>
      </c>
      <c r="C1" s="2" t="s">
        <v>6</v>
      </c>
      <c r="D1" s="2" t="s">
        <v>5</v>
      </c>
      <c r="E1" s="2" t="s">
        <v>9</v>
      </c>
      <c r="F1" s="2" t="s">
        <v>8</v>
      </c>
      <c r="G1" s="2" t="s">
        <v>7</v>
      </c>
      <c r="H1" s="2" t="s">
        <v>4</v>
      </c>
      <c r="I1" s="2" t="s">
        <v>2231</v>
      </c>
      <c r="J1" s="2" t="s">
        <v>3</v>
      </c>
      <c r="K1" s="2" t="s">
        <v>1</v>
      </c>
      <c r="L1" s="2" t="s">
        <v>513</v>
      </c>
      <c r="M1" s="160" t="s">
        <v>2329</v>
      </c>
      <c r="N1" s="160" t="s">
        <v>2330</v>
      </c>
      <c r="O1" s="160" t="s">
        <v>2334</v>
      </c>
    </row>
    <row r="2" spans="1:15" ht="29.25">
      <c r="A2" s="1">
        <v>1</v>
      </c>
      <c r="B2" s="1" t="s">
        <v>515</v>
      </c>
      <c r="C2" s="1" t="s">
        <v>515</v>
      </c>
      <c r="D2" s="1" t="s">
        <v>515</v>
      </c>
      <c r="E2" s="150" t="s">
        <v>515</v>
      </c>
      <c r="F2" s="1" t="s">
        <v>515</v>
      </c>
      <c r="G2" s="1" t="s">
        <v>515</v>
      </c>
      <c r="H2" s="1" t="s">
        <v>517</v>
      </c>
      <c r="I2" s="1" t="s">
        <v>517</v>
      </c>
      <c r="J2" s="3" t="s">
        <v>516</v>
      </c>
      <c r="K2" s="3" t="s">
        <v>514</v>
      </c>
      <c r="L2" s="1"/>
      <c r="M2" s="161">
        <v>7</v>
      </c>
      <c r="N2" s="161" t="s">
        <v>2315</v>
      </c>
      <c r="O2" s="161" t="s">
        <v>2315</v>
      </c>
    </row>
    <row r="3" spans="1:15" ht="29.25">
      <c r="A3" s="1">
        <v>2</v>
      </c>
      <c r="B3" s="1" t="s">
        <v>519</v>
      </c>
      <c r="C3" s="1" t="s">
        <v>519</v>
      </c>
      <c r="D3" s="1" t="s">
        <v>519</v>
      </c>
      <c r="E3" s="150" t="s">
        <v>522</v>
      </c>
      <c r="F3" s="1" t="s">
        <v>522</v>
      </c>
      <c r="G3" s="1" t="s">
        <v>519</v>
      </c>
      <c r="H3" s="1" t="s">
        <v>521</v>
      </c>
      <c r="I3" s="1" t="s">
        <v>521</v>
      </c>
      <c r="J3" s="3" t="s">
        <v>520</v>
      </c>
      <c r="K3" s="3" t="s">
        <v>518</v>
      </c>
      <c r="L3" s="1"/>
      <c r="M3" s="162">
        <v>4</v>
      </c>
      <c r="N3" s="162" t="s">
        <v>2309</v>
      </c>
      <c r="O3" s="162" t="s">
        <v>2309</v>
      </c>
    </row>
    <row r="4" spans="1:15" ht="29.25">
      <c r="A4" s="1">
        <v>3</v>
      </c>
      <c r="B4" s="1" t="s">
        <v>524</v>
      </c>
      <c r="C4" s="1" t="s">
        <v>524</v>
      </c>
      <c r="D4" s="1" t="s">
        <v>524</v>
      </c>
      <c r="E4" s="150" t="s">
        <v>527</v>
      </c>
      <c r="F4" s="1" t="s">
        <v>527</v>
      </c>
      <c r="G4" s="1" t="s">
        <v>524</v>
      </c>
      <c r="H4" s="1" t="s">
        <v>526</v>
      </c>
      <c r="I4" s="1" t="s">
        <v>526</v>
      </c>
      <c r="J4" s="3" t="s">
        <v>525</v>
      </c>
      <c r="K4" s="3" t="s">
        <v>523</v>
      </c>
      <c r="L4" s="1"/>
      <c r="M4" s="163">
        <v>12</v>
      </c>
      <c r="N4" s="163" t="s">
        <v>2316</v>
      </c>
      <c r="O4" s="163" t="s">
        <v>2316</v>
      </c>
    </row>
    <row r="5" spans="1:15" ht="29.25">
      <c r="A5" s="1">
        <v>4</v>
      </c>
      <c r="B5" s="1" t="s">
        <v>529</v>
      </c>
      <c r="C5" s="1" t="s">
        <v>532</v>
      </c>
      <c r="D5" s="1" t="s">
        <v>532</v>
      </c>
      <c r="E5" s="150" t="s">
        <v>524</v>
      </c>
      <c r="F5" s="1" t="s">
        <v>524</v>
      </c>
      <c r="G5" s="1" t="s">
        <v>532</v>
      </c>
      <c r="H5" s="1" t="s">
        <v>531</v>
      </c>
      <c r="I5" s="1" t="s">
        <v>531</v>
      </c>
      <c r="J5" s="3" t="s">
        <v>530</v>
      </c>
      <c r="K5" s="3" t="s">
        <v>528</v>
      </c>
      <c r="L5" s="1"/>
      <c r="M5" s="163">
        <v>13</v>
      </c>
      <c r="N5" s="163" t="s">
        <v>2317</v>
      </c>
      <c r="O5" s="163" t="s">
        <v>2317</v>
      </c>
    </row>
    <row r="6" spans="1:15" ht="29.25">
      <c r="A6" s="1">
        <v>5</v>
      </c>
      <c r="B6" s="1" t="s">
        <v>534</v>
      </c>
      <c r="C6" s="1" t="s">
        <v>534</v>
      </c>
      <c r="D6" s="1" t="s">
        <v>534</v>
      </c>
      <c r="E6" s="150" t="s">
        <v>537</v>
      </c>
      <c r="F6" s="1" t="s">
        <v>537</v>
      </c>
      <c r="G6" s="1" t="s">
        <v>534</v>
      </c>
      <c r="H6" s="1" t="s">
        <v>536</v>
      </c>
      <c r="I6" s="1" t="s">
        <v>536</v>
      </c>
      <c r="J6" s="3" t="s">
        <v>535</v>
      </c>
      <c r="K6" s="3" t="s">
        <v>533</v>
      </c>
      <c r="L6" s="1"/>
      <c r="M6" s="164">
        <v>8</v>
      </c>
      <c r="N6" s="164" t="s">
        <v>2312</v>
      </c>
      <c r="O6" s="164" t="s">
        <v>2312</v>
      </c>
    </row>
    <row r="7" spans="1:15" ht="29.25">
      <c r="A7" s="1">
        <v>6</v>
      </c>
      <c r="B7" s="1" t="s">
        <v>539</v>
      </c>
      <c r="C7" s="1" t="s">
        <v>542</v>
      </c>
      <c r="D7" s="1" t="s">
        <v>542</v>
      </c>
      <c r="E7" s="150" t="s">
        <v>519</v>
      </c>
      <c r="F7" s="1" t="s">
        <v>519</v>
      </c>
      <c r="G7" s="1" t="s">
        <v>542</v>
      </c>
      <c r="H7" s="1" t="s">
        <v>541</v>
      </c>
      <c r="I7" s="1" t="s">
        <v>541</v>
      </c>
      <c r="J7" s="3" t="s">
        <v>540</v>
      </c>
      <c r="K7" s="3" t="s">
        <v>538</v>
      </c>
      <c r="L7" s="1"/>
      <c r="M7" s="162">
        <v>5</v>
      </c>
      <c r="N7" s="162" t="s">
        <v>2310</v>
      </c>
      <c r="O7" s="162" t="s">
        <v>2310</v>
      </c>
    </row>
    <row r="8" spans="1:15" ht="29.25">
      <c r="A8" s="1">
        <v>7</v>
      </c>
      <c r="B8" s="1" t="s">
        <v>544</v>
      </c>
      <c r="C8" s="1" t="s">
        <v>547</v>
      </c>
      <c r="D8" s="1" t="s">
        <v>547</v>
      </c>
      <c r="E8" s="150" t="s">
        <v>534</v>
      </c>
      <c r="F8" s="1" t="s">
        <v>534</v>
      </c>
      <c r="G8" s="1" t="s">
        <v>547</v>
      </c>
      <c r="H8" s="1" t="s">
        <v>546</v>
      </c>
      <c r="I8" s="1" t="s">
        <v>546</v>
      </c>
      <c r="J8" s="3" t="s">
        <v>545</v>
      </c>
      <c r="K8" s="3" t="s">
        <v>543</v>
      </c>
      <c r="L8" s="1"/>
      <c r="M8" s="163">
        <v>9</v>
      </c>
      <c r="N8" s="163" t="s">
        <v>2313</v>
      </c>
      <c r="O8" s="163" t="s">
        <v>2313</v>
      </c>
    </row>
    <row r="9" spans="1:15" ht="29.25">
      <c r="A9" s="1">
        <v>8</v>
      </c>
      <c r="B9" s="1" t="s">
        <v>549</v>
      </c>
      <c r="C9" s="1" t="s">
        <v>553</v>
      </c>
      <c r="D9" s="1" t="s">
        <v>552</v>
      </c>
      <c r="E9" s="150" t="s">
        <v>552</v>
      </c>
      <c r="F9" s="1" t="s">
        <v>552</v>
      </c>
      <c r="G9" s="1" t="s">
        <v>554</v>
      </c>
      <c r="H9" s="1" t="s">
        <v>551</v>
      </c>
      <c r="I9" s="1" t="s">
        <v>551</v>
      </c>
      <c r="J9" s="3" t="s">
        <v>550</v>
      </c>
      <c r="K9" s="3" t="s">
        <v>548</v>
      </c>
      <c r="L9" s="1"/>
      <c r="M9" s="163">
        <v>15</v>
      </c>
      <c r="N9" s="163" t="s">
        <v>2320</v>
      </c>
      <c r="O9" s="163" t="s">
        <v>2320</v>
      </c>
    </row>
    <row r="10" spans="1:15" ht="29.25">
      <c r="A10" s="1">
        <v>9</v>
      </c>
      <c r="B10" s="1" t="s">
        <v>556</v>
      </c>
      <c r="C10" s="1" t="s">
        <v>559</v>
      </c>
      <c r="D10" s="1" t="s">
        <v>559</v>
      </c>
      <c r="E10" s="150" t="s">
        <v>560</v>
      </c>
      <c r="F10" s="1" t="s">
        <v>560</v>
      </c>
      <c r="G10" s="1" t="s">
        <v>559</v>
      </c>
      <c r="H10" s="1" t="s">
        <v>558</v>
      </c>
      <c r="I10" s="1" t="s">
        <v>2232</v>
      </c>
      <c r="J10" s="11" t="s">
        <v>557</v>
      </c>
      <c r="K10" s="6" t="s">
        <v>555</v>
      </c>
      <c r="L10" s="1"/>
      <c r="M10" s="164">
        <v>14</v>
      </c>
      <c r="N10" s="164" t="s">
        <v>2323</v>
      </c>
      <c r="O10" s="164" t="s">
        <v>2323</v>
      </c>
    </row>
    <row r="11" spans="1:15" ht="29.25">
      <c r="A11" s="1">
        <v>10</v>
      </c>
      <c r="B11" s="1" t="s">
        <v>562</v>
      </c>
      <c r="C11" s="1" t="s">
        <v>562</v>
      </c>
      <c r="D11" s="1" t="s">
        <v>562</v>
      </c>
      <c r="E11" s="150" t="s">
        <v>562</v>
      </c>
      <c r="F11" s="1" t="s">
        <v>562</v>
      </c>
      <c r="G11" s="1" t="s">
        <v>562</v>
      </c>
      <c r="H11" s="1" t="s">
        <v>624</v>
      </c>
      <c r="I11" s="1" t="s">
        <v>2233</v>
      </c>
      <c r="J11" s="11" t="s">
        <v>563</v>
      </c>
      <c r="K11" s="3" t="s">
        <v>561</v>
      </c>
      <c r="L11" s="1"/>
      <c r="M11" s="162">
        <v>17</v>
      </c>
      <c r="N11" s="162" t="s">
        <v>2322</v>
      </c>
      <c r="O11" s="162" t="s">
        <v>2322</v>
      </c>
    </row>
    <row r="12" spans="1:15" ht="29.25">
      <c r="A12" s="1">
        <v>11</v>
      </c>
      <c r="B12" s="1" t="s">
        <v>565</v>
      </c>
      <c r="C12" s="1" t="s">
        <v>567</v>
      </c>
      <c r="D12" s="1" t="s">
        <v>567</v>
      </c>
      <c r="E12" s="150" t="s">
        <v>567</v>
      </c>
      <c r="F12" s="1" t="s">
        <v>567</v>
      </c>
      <c r="G12" s="1" t="s">
        <v>567</v>
      </c>
      <c r="H12" s="1" t="s">
        <v>567</v>
      </c>
      <c r="I12" s="1" t="s">
        <v>567</v>
      </c>
      <c r="J12" s="15" t="s">
        <v>566</v>
      </c>
      <c r="K12" s="3" t="s">
        <v>564</v>
      </c>
      <c r="L12" s="1"/>
      <c r="M12" s="163">
        <v>1</v>
      </c>
      <c r="N12" s="163" t="s">
        <v>567</v>
      </c>
      <c r="O12" s="163" t="s">
        <v>567</v>
      </c>
    </row>
    <row r="13" spans="1:15" ht="29.25">
      <c r="A13" s="1">
        <v>12</v>
      </c>
      <c r="B13" s="1" t="s">
        <v>522</v>
      </c>
      <c r="C13" s="1" t="s">
        <v>522</v>
      </c>
      <c r="D13" s="1" t="s">
        <v>522</v>
      </c>
      <c r="E13" s="150" t="s">
        <v>571</v>
      </c>
      <c r="F13" s="1" t="s">
        <v>571</v>
      </c>
      <c r="G13" s="1" t="s">
        <v>522</v>
      </c>
      <c r="H13" s="1" t="s">
        <v>570</v>
      </c>
      <c r="I13" s="1" t="s">
        <v>2234</v>
      </c>
      <c r="J13" s="4" t="s">
        <v>569</v>
      </c>
      <c r="K13" s="3" t="s">
        <v>568</v>
      </c>
      <c r="L13" s="1"/>
      <c r="M13" s="163">
        <v>3</v>
      </c>
      <c r="N13" s="163" t="s">
        <v>2311</v>
      </c>
      <c r="O13" s="163" t="s">
        <v>2311</v>
      </c>
    </row>
    <row r="14" spans="1:15" ht="29.25">
      <c r="A14" s="1">
        <v>13</v>
      </c>
      <c r="B14" s="1" t="s">
        <v>573</v>
      </c>
      <c r="C14" s="1" t="s">
        <v>527</v>
      </c>
      <c r="D14" s="1" t="s">
        <v>527</v>
      </c>
      <c r="E14" s="150" t="s">
        <v>576</v>
      </c>
      <c r="F14" s="1" t="s">
        <v>576</v>
      </c>
      <c r="G14" s="1" t="s">
        <v>527</v>
      </c>
      <c r="H14" s="1" t="s">
        <v>575</v>
      </c>
      <c r="I14" s="1" t="s">
        <v>597</v>
      </c>
      <c r="J14" s="3" t="s">
        <v>574</v>
      </c>
      <c r="K14" s="3" t="s">
        <v>572</v>
      </c>
      <c r="L14" s="1"/>
      <c r="M14" s="164">
        <v>11</v>
      </c>
      <c r="N14" s="164" t="s">
        <v>2318</v>
      </c>
      <c r="O14" s="164" t="s">
        <v>2318</v>
      </c>
    </row>
    <row r="15" spans="1:15" ht="29.25">
      <c r="A15" s="1">
        <v>14</v>
      </c>
      <c r="B15" s="1" t="s">
        <v>578</v>
      </c>
      <c r="C15" s="1" t="s">
        <v>581</v>
      </c>
      <c r="D15" s="1" t="s">
        <v>580</v>
      </c>
      <c r="E15" s="150" t="s">
        <v>580</v>
      </c>
      <c r="F15" s="1" t="s">
        <v>580</v>
      </c>
      <c r="G15" s="1" t="s">
        <v>582</v>
      </c>
      <c r="H15" s="1" t="s">
        <v>626</v>
      </c>
      <c r="I15" s="1" t="s">
        <v>2235</v>
      </c>
      <c r="J15" s="3" t="s">
        <v>579</v>
      </c>
      <c r="K15" s="3" t="s">
        <v>577</v>
      </c>
      <c r="L15" s="1"/>
      <c r="M15" s="162">
        <v>16</v>
      </c>
      <c r="N15" s="162" t="s">
        <v>2321</v>
      </c>
      <c r="O15" s="162" t="s">
        <v>2321</v>
      </c>
    </row>
    <row r="16" spans="1:15" ht="29.25">
      <c r="A16" s="1">
        <v>15</v>
      </c>
      <c r="B16" s="1" t="s">
        <v>584</v>
      </c>
      <c r="C16" s="1" t="s">
        <v>584</v>
      </c>
      <c r="D16" s="1" t="s">
        <v>584</v>
      </c>
      <c r="E16" s="150" t="s">
        <v>584</v>
      </c>
      <c r="F16" s="1" t="s">
        <v>584</v>
      </c>
      <c r="G16" s="1" t="s">
        <v>584</v>
      </c>
      <c r="H16" s="1" t="s">
        <v>585</v>
      </c>
      <c r="I16" s="1" t="s">
        <v>585</v>
      </c>
      <c r="J16" s="3" t="s">
        <v>583</v>
      </c>
      <c r="K16" s="3" t="s">
        <v>583</v>
      </c>
      <c r="L16" s="1"/>
      <c r="M16" s="163">
        <v>22</v>
      </c>
      <c r="N16" s="163" t="s">
        <v>2319</v>
      </c>
      <c r="O16" s="163" t="s">
        <v>2319</v>
      </c>
    </row>
    <row r="17" spans="1:15" ht="29.25">
      <c r="A17" s="1">
        <v>16</v>
      </c>
      <c r="B17" s="1" t="s">
        <v>432</v>
      </c>
      <c r="C17" s="1" t="s">
        <v>432</v>
      </c>
      <c r="D17" s="1" t="s">
        <v>432</v>
      </c>
      <c r="E17" s="150" t="s">
        <v>432</v>
      </c>
      <c r="F17" s="1" t="s">
        <v>588</v>
      </c>
      <c r="G17" s="1" t="s">
        <v>432</v>
      </c>
      <c r="H17" s="1" t="s">
        <v>587</v>
      </c>
      <c r="I17" s="1" t="s">
        <v>587</v>
      </c>
      <c r="J17" s="3" t="s">
        <v>586</v>
      </c>
      <c r="K17" s="3" t="s">
        <v>586</v>
      </c>
      <c r="L17" s="16" t="s">
        <v>589</v>
      </c>
      <c r="M17" s="163">
        <v>2</v>
      </c>
      <c r="N17" s="163" t="s">
        <v>1306</v>
      </c>
      <c r="O17" s="163" t="s">
        <v>2335</v>
      </c>
    </row>
    <row r="18" spans="1:15" ht="29.25">
      <c r="A18" s="1">
        <v>17</v>
      </c>
      <c r="B18" s="1" t="s">
        <v>591</v>
      </c>
      <c r="C18" s="1" t="s">
        <v>591</v>
      </c>
      <c r="D18" s="1" t="s">
        <v>591</v>
      </c>
      <c r="E18" s="150" t="s">
        <v>591</v>
      </c>
      <c r="F18" s="1" t="s">
        <v>593</v>
      </c>
      <c r="G18" s="1" t="s">
        <v>591</v>
      </c>
      <c r="H18" s="1" t="s">
        <v>592</v>
      </c>
      <c r="I18" s="1" t="s">
        <v>592</v>
      </c>
      <c r="J18" s="3" t="s">
        <v>590</v>
      </c>
      <c r="K18" s="3" t="s">
        <v>590</v>
      </c>
      <c r="L18" s="19" t="s">
        <v>594</v>
      </c>
      <c r="M18" s="164">
        <v>6</v>
      </c>
      <c r="N18" s="164" t="s">
        <v>1305</v>
      </c>
      <c r="O18" s="164" t="s">
        <v>2314</v>
      </c>
    </row>
    <row r="19" spans="1:15" ht="29.25">
      <c r="A19" s="1">
        <v>18</v>
      </c>
      <c r="B19" s="1" t="s">
        <v>596</v>
      </c>
      <c r="C19" s="1" t="s">
        <v>407</v>
      </c>
      <c r="D19" s="1" t="s">
        <v>407</v>
      </c>
      <c r="E19" s="150" t="s">
        <v>407</v>
      </c>
      <c r="F19" s="1" t="s">
        <v>598</v>
      </c>
      <c r="G19" s="1" t="s">
        <v>407</v>
      </c>
      <c r="H19" s="1" t="s">
        <v>597</v>
      </c>
      <c r="I19" s="1" t="s">
        <v>2236</v>
      </c>
      <c r="J19" s="3" t="s">
        <v>595</v>
      </c>
      <c r="K19" s="3" t="s">
        <v>595</v>
      </c>
      <c r="L19" s="19" t="s">
        <v>599</v>
      </c>
      <c r="M19" s="162">
        <v>10</v>
      </c>
      <c r="N19" s="162" t="s">
        <v>2328</v>
      </c>
      <c r="O19" s="162" t="s">
        <v>2336</v>
      </c>
    </row>
    <row r="20" spans="1:15" ht="29.25">
      <c r="A20" s="17">
        <v>19</v>
      </c>
      <c r="B20" s="16" t="s">
        <v>600</v>
      </c>
      <c r="C20" s="17" t="s">
        <v>602</v>
      </c>
      <c r="D20" s="17" t="s">
        <v>602</v>
      </c>
      <c r="E20" s="159" t="s">
        <v>604</v>
      </c>
      <c r="F20" s="17" t="s">
        <v>603</v>
      </c>
      <c r="G20" s="17" t="s">
        <v>602</v>
      </c>
      <c r="H20" s="16" t="s">
        <v>601</v>
      </c>
      <c r="I20" s="16" t="s">
        <v>2232</v>
      </c>
      <c r="J20" s="18" t="s">
        <v>557</v>
      </c>
      <c r="K20" s="18" t="s">
        <v>555</v>
      </c>
      <c r="L20" s="19" t="s">
        <v>622</v>
      </c>
      <c r="M20" s="163">
        <v>18</v>
      </c>
      <c r="N20" s="163" t="s">
        <v>2324</v>
      </c>
      <c r="O20" s="163" t="s">
        <v>2337</v>
      </c>
    </row>
    <row r="21" spans="1:15" ht="29.25">
      <c r="A21" s="17">
        <v>20</v>
      </c>
      <c r="B21" s="19" t="s">
        <v>606</v>
      </c>
      <c r="C21" s="17" t="s">
        <v>609</v>
      </c>
      <c r="D21" s="17" t="s">
        <v>608</v>
      </c>
      <c r="E21" s="159" t="s">
        <v>602</v>
      </c>
      <c r="F21" s="17" t="s">
        <v>608</v>
      </c>
      <c r="G21" s="17" t="s">
        <v>610</v>
      </c>
      <c r="H21" s="19" t="s">
        <v>2331</v>
      </c>
      <c r="I21" s="19" t="s">
        <v>607</v>
      </c>
      <c r="J21" s="18" t="s">
        <v>550</v>
      </c>
      <c r="K21" s="18" t="s">
        <v>605</v>
      </c>
      <c r="L21" s="19" t="s">
        <v>623</v>
      </c>
      <c r="M21" s="163">
        <v>19</v>
      </c>
      <c r="N21" s="163" t="s">
        <v>2325</v>
      </c>
      <c r="O21" s="163" t="s">
        <v>2338</v>
      </c>
    </row>
    <row r="22" spans="1:15" ht="29.25">
      <c r="A22" s="17">
        <v>21</v>
      </c>
      <c r="B22" s="19" t="s">
        <v>612</v>
      </c>
      <c r="C22" s="17" t="s">
        <v>615</v>
      </c>
      <c r="D22" s="17" t="s">
        <v>614</v>
      </c>
      <c r="E22" s="159" t="s">
        <v>610</v>
      </c>
      <c r="F22" s="17" t="s">
        <v>614</v>
      </c>
      <c r="G22" s="17" t="s">
        <v>616</v>
      </c>
      <c r="H22" s="19" t="s">
        <v>2332</v>
      </c>
      <c r="I22" s="19" t="s">
        <v>613</v>
      </c>
      <c r="J22" s="18" t="s">
        <v>579</v>
      </c>
      <c r="K22" s="18" t="s">
        <v>611</v>
      </c>
      <c r="L22" s="19" t="s">
        <v>627</v>
      </c>
      <c r="M22" s="164">
        <v>20</v>
      </c>
      <c r="N22" s="164" t="s">
        <v>2326</v>
      </c>
      <c r="O22" s="164" t="s">
        <v>2339</v>
      </c>
    </row>
    <row r="23" spans="1:15" ht="29.25">
      <c r="A23" s="17">
        <v>22</v>
      </c>
      <c r="B23" s="19" t="s">
        <v>618</v>
      </c>
      <c r="C23" s="17" t="s">
        <v>620</v>
      </c>
      <c r="D23" s="17" t="s">
        <v>620</v>
      </c>
      <c r="E23" s="159" t="s">
        <v>621</v>
      </c>
      <c r="F23" s="17" t="s">
        <v>620</v>
      </c>
      <c r="G23" s="17" t="s">
        <v>620</v>
      </c>
      <c r="H23" s="19" t="s">
        <v>2333</v>
      </c>
      <c r="I23" s="19" t="s">
        <v>619</v>
      </c>
      <c r="J23" s="18" t="s">
        <v>563</v>
      </c>
      <c r="K23" s="18" t="s">
        <v>617</v>
      </c>
      <c r="L23" s="19" t="s">
        <v>625</v>
      </c>
      <c r="M23" s="164">
        <v>21</v>
      </c>
      <c r="N23" s="164" t="s">
        <v>2327</v>
      </c>
      <c r="O23" s="164" t="s">
        <v>2340</v>
      </c>
    </row>
  </sheetData>
  <sortState xmlns:xlrd2="http://schemas.microsoft.com/office/spreadsheetml/2017/richdata2" ref="A2:O23">
    <sortCondition ref="A8:A23"/>
  </sortState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E6F7-1F1E-408C-ABA8-5C2E8953D0A0}">
  <dimension ref="A1:AV101"/>
  <sheetViews>
    <sheetView showGridLines="0" workbookViewId="0">
      <pane ySplit="3" topLeftCell="A4" activePane="bottomLeft" state="frozen"/>
      <selection pane="bottomLeft" activeCell="B4" sqref="B4:B89"/>
    </sheetView>
  </sheetViews>
  <sheetFormatPr defaultRowHeight="26.25" outlineLevelCol="1"/>
  <cols>
    <col min="1" max="1" width="5.83203125" style="52" customWidth="1"/>
    <col min="2" max="4" width="10.25" style="52" customWidth="1"/>
    <col min="5" max="5" width="13.83203125" style="52" customWidth="1" outlineLevel="1"/>
    <col min="6" max="7" width="10.25" style="52" customWidth="1" outlineLevel="1"/>
    <col min="8" max="9" width="10.25" style="52" customWidth="1"/>
    <col min="10" max="10" width="10.25" style="52" customWidth="1" outlineLevel="1"/>
    <col min="11" max="11" width="10.25" style="52" customWidth="1"/>
    <col min="12" max="12" width="5.83203125" style="52" customWidth="1"/>
    <col min="13" max="13" width="4.9140625" style="52" customWidth="1"/>
    <col min="14" max="15" width="10.08203125" style="52" customWidth="1"/>
    <col min="16" max="16" width="1.9140625" style="52" customWidth="1"/>
    <col min="17" max="17" width="9.1640625" style="122" bestFit="1" customWidth="1"/>
    <col min="18" max="18" width="6" style="125" customWidth="1" outlineLevel="1"/>
    <col min="19" max="19" width="6.1640625" style="125" customWidth="1" outlineLevel="1"/>
    <col min="20" max="20" width="11.1640625" style="122" customWidth="1"/>
    <col min="21" max="21" width="3" style="52" customWidth="1"/>
    <col min="22" max="22" width="34.5" style="123" customWidth="1"/>
    <col min="23" max="23" width="8.6640625" style="52"/>
    <col min="24" max="35" width="5" style="130" customWidth="1"/>
    <col min="36" max="41" width="12.9140625" style="134" bestFit="1" customWidth="1"/>
    <col min="42" max="44" width="13.25" style="134" customWidth="1"/>
    <col min="45" max="45" width="13.25" style="52" customWidth="1"/>
    <col min="46" max="16384" width="8.6640625" style="52"/>
  </cols>
  <sheetData>
    <row r="1" spans="1:48" ht="30" customHeight="1">
      <c r="A1" s="143" t="s">
        <v>1303</v>
      </c>
      <c r="C1" s="51"/>
      <c r="D1" s="51"/>
      <c r="H1" s="51"/>
      <c r="I1" s="51" t="s">
        <v>2486</v>
      </c>
      <c r="J1" s="191" t="s">
        <v>2487</v>
      </c>
      <c r="K1" s="51"/>
      <c r="L1" s="51"/>
      <c r="V1" s="126"/>
      <c r="Y1" s="130">
        <v>1</v>
      </c>
      <c r="Z1" s="130">
        <v>2</v>
      </c>
      <c r="AA1" s="130">
        <v>3</v>
      </c>
      <c r="AB1" s="130">
        <v>4</v>
      </c>
      <c r="AC1" s="130">
        <v>5</v>
      </c>
      <c r="AD1" s="130">
        <v>6</v>
      </c>
      <c r="AE1" s="130">
        <v>7</v>
      </c>
      <c r="AF1" s="130">
        <v>8</v>
      </c>
      <c r="AG1" s="130">
        <v>9</v>
      </c>
      <c r="AH1" s="130">
        <v>9</v>
      </c>
    </row>
    <row r="2" spans="1:48" ht="27" thickBot="1"/>
    <row r="3" spans="1:48" ht="54.75" thickBot="1">
      <c r="A3" s="184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760</v>
      </c>
      <c r="I3" s="59" t="s">
        <v>2482</v>
      </c>
      <c r="J3" s="59" t="s">
        <v>877</v>
      </c>
      <c r="K3" s="59" t="s">
        <v>1311</v>
      </c>
      <c r="L3" s="59" t="s">
        <v>899</v>
      </c>
      <c r="M3" s="54"/>
      <c r="N3" s="59" t="s">
        <v>759</v>
      </c>
      <c r="O3" s="59" t="s">
        <v>665</v>
      </c>
      <c r="Q3" s="59" t="s">
        <v>759</v>
      </c>
      <c r="R3" s="53" t="s">
        <v>1304</v>
      </c>
      <c r="S3" s="128" t="s">
        <v>1302</v>
      </c>
      <c r="T3" s="59" t="s">
        <v>665</v>
      </c>
      <c r="V3" s="53"/>
      <c r="X3" s="129"/>
      <c r="Z3" s="132" t="s">
        <v>670</v>
      </c>
      <c r="AA3" s="132" t="s">
        <v>1309</v>
      </c>
      <c r="AB3" s="132"/>
      <c r="AC3" s="132" t="s">
        <v>763</v>
      </c>
      <c r="AD3" s="132" t="s">
        <v>757</v>
      </c>
      <c r="AE3" s="132" t="s">
        <v>669</v>
      </c>
      <c r="AF3" s="132" t="s">
        <v>1310</v>
      </c>
      <c r="AG3" s="132" t="s">
        <v>673</v>
      </c>
      <c r="AH3" s="132" t="s">
        <v>672</v>
      </c>
      <c r="AI3" s="131"/>
    </row>
    <row r="4" spans="1:48" ht="27.75" thickBot="1">
      <c r="A4" s="185">
        <f xml:space="preserve"> ROW() - 3</f>
        <v>1</v>
      </c>
      <c r="B4" s="140" t="s">
        <v>2407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8" t="s">
        <v>318</v>
      </c>
      <c r="I4" s="58" t="s">
        <v>318</v>
      </c>
      <c r="J4" s="55" t="s">
        <v>319</v>
      </c>
      <c r="L4" s="55">
        <f t="shared" ref="L4:L39" si="0" xml:space="preserve"> LEN(D4)</f>
        <v>1</v>
      </c>
      <c r="M4" s="74"/>
      <c r="N4" s="58" t="str">
        <f t="shared" ref="N4:N18" si="1">C4</f>
        <v>a</v>
      </c>
      <c r="O4" s="58" t="str">
        <f t="shared" ref="O4:O18" si="2">D4</f>
        <v>a</v>
      </c>
      <c r="Q4" s="122" t="str">
        <f xml:space="preserve"> _xlfn.CONCAT(N4, "(\d)")</f>
        <v>a(\d)</v>
      </c>
      <c r="R4" s="125" t="s">
        <v>1228</v>
      </c>
      <c r="S4" s="125">
        <f xml:space="preserve"> IFERROR( IF(R4="", "", SEARCH(R4, $N4)), "")</f>
        <v>1</v>
      </c>
      <c r="T4" s="122" t="str">
        <f xml:space="preserve"> IFERROR( _xlfn.CONCAT(LEFT(N4,S4-1), "》", MID(N4,S4,1), "${1}", RIGHT(N4, LEN(N4)-S4)), "" )</f>
        <v>》a${1}</v>
      </c>
      <c r="U4" s="56"/>
      <c r="V4" s="57" t="str">
        <f xml:space="preserve"> IF(AND(O4&lt;&gt;"", N4&lt;&gt;""), "    - xform/》" &amp; Q4 &amp;  "/"  &amp; T4 &amp;  "/", "")</f>
        <v xml:space="preserve">    - xform/》a(\d)/》a${1}/</v>
      </c>
      <c r="X4" s="130" t="s">
        <v>1228</v>
      </c>
      <c r="Y4" s="133" t="str">
        <f xml:space="preserve"> _xlfn.CONCAT($X4, IF(Y$3="", "", _xlfn.UNICHAR( HEX2DEC( RIGHT(Y$3,4)))))</f>
        <v>a</v>
      </c>
      <c r="Z4" s="133" t="str">
        <f t="shared" ref="Z4:AH4" si="3" xml:space="preserve"> _xlfn.CONCAT($X4, IF(Z$3="", "", _xlfn.UNICHAR( HEX2DEC( RIGHT(Z$3,4)))))</f>
        <v>á</v>
      </c>
      <c r="AA4" s="133" t="str">
        <f t="shared" si="3"/>
        <v>à</v>
      </c>
      <c r="AB4" s="133" t="str">
        <f t="shared" si="3"/>
        <v>a</v>
      </c>
      <c r="AC4" s="133" t="str">
        <f t="shared" si="3"/>
        <v>ǎ</v>
      </c>
      <c r="AD4" s="133" t="str">
        <f t="shared" si="3"/>
        <v>á</v>
      </c>
      <c r="AE4" s="133" t="str">
        <f t="shared" si="3"/>
        <v>ā</v>
      </c>
      <c r="AF4" s="133" t="str">
        <f t="shared" si="3"/>
        <v>a̍</v>
      </c>
      <c r="AG4" s="133" t="str">
        <f t="shared" si="3"/>
        <v>a̋</v>
      </c>
      <c r="AH4" s="133" t="str">
        <f t="shared" si="3"/>
        <v>å</v>
      </c>
      <c r="AJ4" s="135" t="str">
        <f xml:space="preserve"> _xlfn.CONCAT("    - xform/》", $X4, Y$1, "/", Y4, "/")</f>
        <v xml:space="preserve">    - xform/》a1/a/</v>
      </c>
      <c r="AK4" s="135" t="str">
        <f xml:space="preserve"> _xlfn.CONCAT("    - xform/》", $X4, Z$1, "/", Z4, "/")</f>
        <v xml:space="preserve">    - xform/》a2/á/</v>
      </c>
      <c r="AL4" s="135" t="str">
        <f xml:space="preserve"> _xlfn.CONCAT("    - xform/》", $X4, AA$1, "/", AA4, "/")</f>
        <v xml:space="preserve">    - xform/》a3/à/</v>
      </c>
      <c r="AM4" s="135" t="str">
        <f xml:space="preserve"> _xlfn.CONCAT("    - xform/》", $X4, AB$1, "/", AB4, "/")</f>
        <v xml:space="preserve">    - xform/》a4/a/</v>
      </c>
      <c r="AN4" s="135" t="str">
        <f xml:space="preserve"> _xlfn.CONCAT("    - xform/》", $X4, AC$1, "/", AC4, "/")</f>
        <v xml:space="preserve">    - xform/》a5/ǎ/</v>
      </c>
      <c r="AO4" s="135" t="str">
        <f xml:space="preserve"> _xlfn.CONCAT("    - xform/》", $X4, AD$1, "/", AD4, "/")</f>
        <v xml:space="preserve">    - xform/》a6/á/</v>
      </c>
      <c r="AP4" s="135" t="str">
        <f xml:space="preserve"> _xlfn.CONCAT("    - xform/》", $X4, AE$1, "/", AE4, "/")</f>
        <v xml:space="preserve">    - xform/》a7/ā/</v>
      </c>
      <c r="AQ4" s="135" t="str">
        <f xml:space="preserve"> _xlfn.CONCAT("    - xform/》", $X4, AF$1, "/", AF4, "/")</f>
        <v xml:space="preserve">    - xform/》a8/a̍/</v>
      </c>
      <c r="AR4" s="135" t="str">
        <f xml:space="preserve"> _xlfn.CONCAT("    - xform/》", $X4, AG$1, "/", AG4, "/")</f>
        <v xml:space="preserve">    - xform/》a9/a̋/</v>
      </c>
      <c r="AS4" s="135" t="str">
        <f xml:space="preserve"> _xlfn.CONCAT("    - xform/》", $X4, AH$1, "/", AH4, "/")</f>
        <v xml:space="preserve">    - xform/》a9/å/</v>
      </c>
      <c r="AT4" s="133"/>
      <c r="AU4" s="133"/>
      <c r="AV4" s="130"/>
    </row>
    <row r="5" spans="1:48" ht="27.75" thickBot="1">
      <c r="A5" s="185">
        <f t="shared" ref="A5:A72" si="4" xml:space="preserve"> ROW() - 3</f>
        <v>2</v>
      </c>
      <c r="B5" s="140" t="s">
        <v>2408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8" t="s">
        <v>296</v>
      </c>
      <c r="I5" s="58" t="s">
        <v>2265</v>
      </c>
      <c r="J5" s="55" t="s">
        <v>300</v>
      </c>
      <c r="K5" s="136" t="s">
        <v>1312</v>
      </c>
      <c r="L5" s="55">
        <f t="shared" si="0"/>
        <v>3</v>
      </c>
      <c r="M5" s="74"/>
      <c r="N5" s="58" t="str">
        <f t="shared" si="1"/>
        <v>ann</v>
      </c>
      <c r="O5" s="58" t="str">
        <f t="shared" si="2"/>
        <v>ann</v>
      </c>
      <c r="Q5" s="122" t="str">
        <f t="shared" ref="Q5:Q68" si="5" xml:space="preserve"> _xlfn.CONCAT(N5, "(\d)")</f>
        <v>ann(\d)</v>
      </c>
      <c r="R5" s="127" t="s">
        <v>1228</v>
      </c>
      <c r="S5" s="125">
        <f t="shared" ref="S5:S68" si="6" xml:space="preserve"> IFERROR( IF(R5="", "", SEARCH(R5, $N5)), "")</f>
        <v>1</v>
      </c>
      <c r="T5" s="122" t="str">
        <f xml:space="preserve"> IFERROR( _xlfn.CONCAT(LEFT(N5,S5-1), "》", MID(N5,S5,1), "${1}", RIGHT(N5, LEN(N5)-S5)), "" )</f>
        <v>》a${1}nn</v>
      </c>
      <c r="U5" s="56"/>
      <c r="V5" s="57" t="str">
        <f t="shared" ref="V5:V68" si="7" xml:space="preserve"> IF(AND(O5&lt;&gt;"", N5&lt;&gt;""), "    - xform/》" &amp; Q5 &amp;  "/"  &amp; T5 &amp;  "/", "")</f>
        <v xml:space="preserve">    - xform/》ann(\d)/》a${1}nn/</v>
      </c>
      <c r="X5" s="130" t="s">
        <v>1229</v>
      </c>
      <c r="Y5" s="133" t="str">
        <f t="shared" ref="Y5:AH10" si="8" xml:space="preserve"> _xlfn.CONCAT($X5, IF(Y$3="", "", _xlfn.UNICHAR( HEX2DEC( RIGHT(Y$3,4)))))</f>
        <v>i</v>
      </c>
      <c r="Z5" s="133" t="str">
        <f t="shared" si="8"/>
        <v>í</v>
      </c>
      <c r="AA5" s="133" t="str">
        <f t="shared" si="8"/>
        <v>ì</v>
      </c>
      <c r="AB5" s="133" t="str">
        <f t="shared" si="8"/>
        <v>i</v>
      </c>
      <c r="AC5" s="133" t="str">
        <f t="shared" si="8"/>
        <v>ǐ</v>
      </c>
      <c r="AD5" s="133" t="str">
        <f t="shared" si="8"/>
        <v>í</v>
      </c>
      <c r="AE5" s="133" t="str">
        <f t="shared" si="8"/>
        <v>ī</v>
      </c>
      <c r="AF5" s="133" t="str">
        <f t="shared" si="8"/>
        <v>i̍</v>
      </c>
      <c r="AG5" s="133" t="str">
        <f t="shared" si="8"/>
        <v>i̋</v>
      </c>
      <c r="AH5" s="133" t="str">
        <f t="shared" si="8"/>
        <v>i̊</v>
      </c>
      <c r="AJ5" s="135" t="str">
        <f xml:space="preserve"> _xlfn.CONCAT("    - xform/》", $X5, Y$1, "/", Y5, "/")</f>
        <v xml:space="preserve">    - xform/》i1/i/</v>
      </c>
      <c r="AK5" s="135" t="str">
        <f xml:space="preserve"> _xlfn.CONCAT("    - xform/》", $X5, Z$1, "/", Z5, "/")</f>
        <v xml:space="preserve">    - xform/》i2/í/</v>
      </c>
      <c r="AL5" s="135" t="str">
        <f xml:space="preserve"> _xlfn.CONCAT("    - xform/》", $X5, AA$1, "/", AA5, "/")</f>
        <v xml:space="preserve">    - xform/》i3/ì/</v>
      </c>
      <c r="AM5" s="135" t="str">
        <f xml:space="preserve"> _xlfn.CONCAT("    - xform/》", $X5, AB$1, "/", AB5, "/")</f>
        <v xml:space="preserve">    - xform/》i4/i/</v>
      </c>
      <c r="AN5" s="135" t="str">
        <f xml:space="preserve"> _xlfn.CONCAT("    - xform/》", $X5, AC$1, "/", AC5, "/")</f>
        <v xml:space="preserve">    - xform/》i5/ǐ/</v>
      </c>
      <c r="AO5" s="135" t="str">
        <f xml:space="preserve"> _xlfn.CONCAT("    - xform/》", $X5, AD$1, "/", AD5, "/")</f>
        <v xml:space="preserve">    - xform/》i6/í/</v>
      </c>
      <c r="AP5" s="135" t="str">
        <f xml:space="preserve"> _xlfn.CONCAT("    - xform/》", $X5, AE$1, "/", AE5, "/")</f>
        <v xml:space="preserve">    - xform/》i7/ī/</v>
      </c>
      <c r="AQ5" s="135" t="str">
        <f xml:space="preserve"> _xlfn.CONCAT("    - xform/》", $X5, AF$1, "/", AF5, "/")</f>
        <v xml:space="preserve">    - xform/》i8/i̍/</v>
      </c>
      <c r="AR5" s="135" t="str">
        <f xml:space="preserve"> _xlfn.CONCAT("    - xform/》", $X5, AG$1, "/", AG5, "/")</f>
        <v xml:space="preserve">    - xform/》i9/i̋/</v>
      </c>
      <c r="AS5" s="135" t="str">
        <f xml:space="preserve"> _xlfn.CONCAT("    - xform/》", $X5, AH$1, "/", AH5, "/")</f>
        <v xml:space="preserve">    - xform/》i9/i̊/</v>
      </c>
      <c r="AT5" s="133"/>
      <c r="AU5" s="133"/>
      <c r="AV5" s="130"/>
    </row>
    <row r="6" spans="1:48" ht="27.75" thickBot="1">
      <c r="A6" s="185">
        <f t="shared" si="4"/>
        <v>3</v>
      </c>
      <c r="B6" s="140" t="s">
        <v>2409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8" t="s">
        <v>1298</v>
      </c>
      <c r="I6" s="58" t="s">
        <v>2268</v>
      </c>
      <c r="J6" s="55" t="s">
        <v>322</v>
      </c>
      <c r="K6" s="58"/>
      <c r="L6" s="55">
        <f t="shared" si="0"/>
        <v>2</v>
      </c>
      <c r="M6" s="74"/>
      <c r="N6" s="58" t="str">
        <f t="shared" si="1"/>
        <v>ah</v>
      </c>
      <c r="O6" s="58" t="str">
        <f t="shared" si="2"/>
        <v>ah</v>
      </c>
      <c r="Q6" s="122" t="str">
        <f t="shared" si="5"/>
        <v>ah(\d)</v>
      </c>
      <c r="R6" s="125" t="s">
        <v>1228</v>
      </c>
      <c r="S6" s="125">
        <f t="shared" si="6"/>
        <v>1</v>
      </c>
      <c r="T6" s="122" t="str">
        <f t="shared" ref="T6:T69" si="9" xml:space="preserve"> IFERROR( _xlfn.CONCAT(LEFT(N6,S6-1), "》", MID(N6,S6,1), "${1}", RIGHT(N6, LEN(N6)-S6)), "" )</f>
        <v>》a${1}h</v>
      </c>
      <c r="U6" s="56"/>
      <c r="V6" s="57" t="str">
        <f t="shared" si="7"/>
        <v xml:space="preserve">    - xform/》ah(\d)/》a${1}h/</v>
      </c>
      <c r="X6" s="130" t="s">
        <v>1227</v>
      </c>
      <c r="Y6" s="133" t="str">
        <f t="shared" si="8"/>
        <v>u</v>
      </c>
      <c r="Z6" s="133" t="str">
        <f t="shared" si="8"/>
        <v>ú</v>
      </c>
      <c r="AA6" s="133" t="str">
        <f t="shared" si="8"/>
        <v>ù</v>
      </c>
      <c r="AB6" s="133" t="str">
        <f t="shared" si="8"/>
        <v>u</v>
      </c>
      <c r="AC6" s="133" t="str">
        <f t="shared" si="8"/>
        <v>ǔ</v>
      </c>
      <c r="AD6" s="133" t="str">
        <f t="shared" si="8"/>
        <v>ú</v>
      </c>
      <c r="AE6" s="133" t="str">
        <f t="shared" si="8"/>
        <v>ū</v>
      </c>
      <c r="AF6" s="133" t="str">
        <f t="shared" si="8"/>
        <v>u̍</v>
      </c>
      <c r="AG6" s="133" t="str">
        <f t="shared" si="8"/>
        <v>ű</v>
      </c>
      <c r="AH6" s="133" t="str">
        <f t="shared" si="8"/>
        <v>ů</v>
      </c>
      <c r="AJ6" s="135" t="str">
        <f xml:space="preserve"> _xlfn.CONCAT("    - xform/》", $X6, Y$1, "/", Y6, "/")</f>
        <v xml:space="preserve">    - xform/》u1/u/</v>
      </c>
      <c r="AK6" s="135" t="str">
        <f xml:space="preserve"> _xlfn.CONCAT("    - xform/》", $X6, Z$1, "/", Z6, "/")</f>
        <v xml:space="preserve">    - xform/》u2/ú/</v>
      </c>
      <c r="AL6" s="135" t="str">
        <f xml:space="preserve"> _xlfn.CONCAT("    - xform/》", $X6, AA$1, "/", AA6, "/")</f>
        <v xml:space="preserve">    - xform/》u3/ù/</v>
      </c>
      <c r="AM6" s="135" t="str">
        <f xml:space="preserve"> _xlfn.CONCAT("    - xform/》", $X6, AB$1, "/", AB6, "/")</f>
        <v xml:space="preserve">    - xform/》u4/u/</v>
      </c>
      <c r="AN6" s="135" t="str">
        <f xml:space="preserve"> _xlfn.CONCAT("    - xform/》", $X6, AC$1, "/", AC6, "/")</f>
        <v xml:space="preserve">    - xform/》u5/ǔ/</v>
      </c>
      <c r="AO6" s="135" t="str">
        <f xml:space="preserve"> _xlfn.CONCAT("    - xform/》", $X6, AD$1, "/", AD6, "/")</f>
        <v xml:space="preserve">    - xform/》u6/ú/</v>
      </c>
      <c r="AP6" s="135" t="str">
        <f xml:space="preserve"> _xlfn.CONCAT("    - xform/》", $X6, AE$1, "/", AE6, "/")</f>
        <v xml:space="preserve">    - xform/》u7/ū/</v>
      </c>
      <c r="AQ6" s="135" t="str">
        <f xml:space="preserve"> _xlfn.CONCAT("    - xform/》", $X6, AF$1, "/", AF6, "/")</f>
        <v xml:space="preserve">    - xform/》u8/u̍/</v>
      </c>
      <c r="AR6" s="135" t="str">
        <f xml:space="preserve"> _xlfn.CONCAT("    - xform/》", $X6, AG$1, "/", AG6, "/")</f>
        <v xml:space="preserve">    - xform/》u9/ű/</v>
      </c>
      <c r="AS6" s="135" t="str">
        <f xml:space="preserve"> _xlfn.CONCAT("    - xform/》", $X6, AH$1, "/", AH6, "/")</f>
        <v xml:space="preserve">    - xform/》u9/ů/</v>
      </c>
      <c r="AT6" s="133"/>
      <c r="AU6" s="133"/>
      <c r="AV6" s="130"/>
    </row>
    <row r="7" spans="1:48" ht="27.75" thickBot="1">
      <c r="A7" s="185">
        <f t="shared" si="4"/>
        <v>4</v>
      </c>
      <c r="B7" s="140" t="s">
        <v>2410</v>
      </c>
      <c r="C7" s="142" t="s">
        <v>304</v>
      </c>
      <c r="D7" s="58" t="s">
        <v>303</v>
      </c>
      <c r="E7" s="58" t="s">
        <v>304</v>
      </c>
      <c r="F7" s="75" t="s">
        <v>1201</v>
      </c>
      <c r="G7" s="61" t="s">
        <v>901</v>
      </c>
      <c r="H7" s="58" t="s">
        <v>1321</v>
      </c>
      <c r="I7" s="58" t="s">
        <v>2266</v>
      </c>
      <c r="J7" s="55" t="s">
        <v>306</v>
      </c>
      <c r="K7" s="136" t="s">
        <v>1312</v>
      </c>
      <c r="L7" s="55">
        <f t="shared" si="0"/>
        <v>4</v>
      </c>
      <c r="M7" s="74"/>
      <c r="N7" s="58" t="str">
        <f t="shared" si="1"/>
        <v>annh</v>
      </c>
      <c r="O7" s="58" t="str">
        <f t="shared" si="2"/>
        <v>ahnn</v>
      </c>
      <c r="Q7" s="122" t="str">
        <f t="shared" si="5"/>
        <v>annh(\d)</v>
      </c>
      <c r="R7" s="125" t="s">
        <v>1228</v>
      </c>
      <c r="S7" s="125">
        <f t="shared" si="6"/>
        <v>1</v>
      </c>
      <c r="T7" s="122" t="str">
        <f t="shared" si="9"/>
        <v>》a${1}nnh</v>
      </c>
      <c r="U7" s="56"/>
      <c r="V7" s="57" t="str">
        <f t="shared" si="7"/>
        <v xml:space="preserve">    - xform/》annh(\d)/》a${1}nnh/</v>
      </c>
      <c r="X7" s="130" t="s">
        <v>1181</v>
      </c>
      <c r="Y7" s="133" t="str">
        <f t="shared" si="8"/>
        <v>e</v>
      </c>
      <c r="Z7" s="133" t="str">
        <f t="shared" si="8"/>
        <v>é</v>
      </c>
      <c r="AA7" s="133" t="str">
        <f t="shared" si="8"/>
        <v>è</v>
      </c>
      <c r="AB7" s="133" t="str">
        <f t="shared" si="8"/>
        <v>e</v>
      </c>
      <c r="AC7" s="133" t="str">
        <f t="shared" si="8"/>
        <v>ě</v>
      </c>
      <c r="AD7" s="133" t="str">
        <f t="shared" si="8"/>
        <v>é</v>
      </c>
      <c r="AE7" s="133" t="str">
        <f t="shared" si="8"/>
        <v>ē</v>
      </c>
      <c r="AF7" s="133" t="str">
        <f t="shared" si="8"/>
        <v>e̍</v>
      </c>
      <c r="AG7" s="133" t="str">
        <f t="shared" si="8"/>
        <v>e̋</v>
      </c>
      <c r="AH7" s="133" t="str">
        <f t="shared" si="8"/>
        <v>e̊</v>
      </c>
      <c r="AJ7" s="135" t="str">
        <f xml:space="preserve"> _xlfn.CONCAT("    - xform/》", $X7, Y$1, "/", Y7, "/")</f>
        <v xml:space="preserve">    - xform/》e1/e/</v>
      </c>
      <c r="AK7" s="135" t="str">
        <f xml:space="preserve"> _xlfn.CONCAT("    - xform/》", $X7, Z$1, "/", Z7, "/")</f>
        <v xml:space="preserve">    - xform/》e2/é/</v>
      </c>
      <c r="AL7" s="135" t="str">
        <f xml:space="preserve"> _xlfn.CONCAT("    - xform/》", $X7, AA$1, "/", AA7, "/")</f>
        <v xml:space="preserve">    - xform/》e3/è/</v>
      </c>
      <c r="AM7" s="135" t="str">
        <f xml:space="preserve"> _xlfn.CONCAT("    - xform/》", $X7, AB$1, "/", AB7, "/")</f>
        <v xml:space="preserve">    - xform/》e4/e/</v>
      </c>
      <c r="AN7" s="135" t="str">
        <f xml:space="preserve"> _xlfn.CONCAT("    - xform/》", $X7, AC$1, "/", AC7, "/")</f>
        <v xml:space="preserve">    - xform/》e5/ě/</v>
      </c>
      <c r="AO7" s="135" t="str">
        <f xml:space="preserve"> _xlfn.CONCAT("    - xform/》", $X7, AD$1, "/", AD7, "/")</f>
        <v xml:space="preserve">    - xform/》e6/é/</v>
      </c>
      <c r="AP7" s="135" t="str">
        <f xml:space="preserve"> _xlfn.CONCAT("    - xform/》", $X7, AE$1, "/", AE7, "/")</f>
        <v xml:space="preserve">    - xform/》e7/ē/</v>
      </c>
      <c r="AQ7" s="135" t="str">
        <f xml:space="preserve"> _xlfn.CONCAT("    - xform/》", $X7, AF$1, "/", AF7, "/")</f>
        <v xml:space="preserve">    - xform/》e8/e̍/</v>
      </c>
      <c r="AR7" s="135" t="str">
        <f xml:space="preserve"> _xlfn.CONCAT("    - xform/》", $X7, AG$1, "/", AG7, "/")</f>
        <v xml:space="preserve">    - xform/》e9/e̋/</v>
      </c>
      <c r="AS7" s="135" t="str">
        <f xml:space="preserve"> _xlfn.CONCAT("    - xform/》", $X7, AH$1, "/", AH7, "/")</f>
        <v xml:space="preserve">    - xform/》e9/e̊/</v>
      </c>
      <c r="AT7" s="133"/>
      <c r="AU7" s="133"/>
      <c r="AV7" s="130"/>
    </row>
    <row r="8" spans="1:48" ht="27.75" thickBot="1">
      <c r="A8" s="185">
        <f t="shared" si="4"/>
        <v>5</v>
      </c>
      <c r="B8" s="140" t="s">
        <v>2411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8" t="s">
        <v>213</v>
      </c>
      <c r="I8" s="58" t="s">
        <v>2255</v>
      </c>
      <c r="J8" s="55" t="s">
        <v>214</v>
      </c>
      <c r="K8" s="58"/>
      <c r="L8" s="55">
        <f t="shared" si="0"/>
        <v>2</v>
      </c>
      <c r="M8" s="74"/>
      <c r="N8" s="58" t="str">
        <f t="shared" si="1"/>
        <v>am</v>
      </c>
      <c r="O8" s="58" t="str">
        <f t="shared" si="2"/>
        <v>am</v>
      </c>
      <c r="Q8" s="122" t="str">
        <f t="shared" si="5"/>
        <v>am(\d)</v>
      </c>
      <c r="R8" s="125" t="s">
        <v>1228</v>
      </c>
      <c r="S8" s="125">
        <f t="shared" si="6"/>
        <v>1</v>
      </c>
      <c r="T8" s="122" t="str">
        <f t="shared" si="9"/>
        <v>》a${1}m</v>
      </c>
      <c r="U8" s="56"/>
      <c r="V8" s="57" t="str">
        <f t="shared" si="7"/>
        <v xml:space="preserve">    - xform/》am(\d)/》a${1}m/</v>
      </c>
      <c r="X8" s="130" t="s">
        <v>1216</v>
      </c>
      <c r="Y8" s="133" t="str">
        <f t="shared" si="8"/>
        <v>o</v>
      </c>
      <c r="Z8" s="133" t="str">
        <f t="shared" si="8"/>
        <v>ó</v>
      </c>
      <c r="AA8" s="133" t="str">
        <f t="shared" si="8"/>
        <v>ò</v>
      </c>
      <c r="AB8" s="133" t="str">
        <f t="shared" si="8"/>
        <v>o</v>
      </c>
      <c r="AC8" s="133" t="str">
        <f t="shared" si="8"/>
        <v>ǒ</v>
      </c>
      <c r="AD8" s="133" t="str">
        <f t="shared" si="8"/>
        <v>ó</v>
      </c>
      <c r="AE8" s="133" t="str">
        <f t="shared" si="8"/>
        <v>ō</v>
      </c>
      <c r="AF8" s="133" t="str">
        <f t="shared" si="8"/>
        <v>o̍</v>
      </c>
      <c r="AG8" s="133" t="str">
        <f t="shared" si="8"/>
        <v>ő</v>
      </c>
      <c r="AH8" s="133" t="str">
        <f t="shared" si="8"/>
        <v>o̊</v>
      </c>
      <c r="AJ8" s="135" t="str">
        <f xml:space="preserve"> _xlfn.CONCAT("    - xform/》", $X8, Y$1, "/", Y8, "/")</f>
        <v xml:space="preserve">    - xform/》o1/o/</v>
      </c>
      <c r="AK8" s="135" t="str">
        <f xml:space="preserve"> _xlfn.CONCAT("    - xform/》", $X8, Z$1, "/", Z8, "/")</f>
        <v xml:space="preserve">    - xform/》o2/ó/</v>
      </c>
      <c r="AL8" s="135" t="str">
        <f xml:space="preserve"> _xlfn.CONCAT("    - xform/》", $X8, AA$1, "/", AA8, "/")</f>
        <v xml:space="preserve">    - xform/》o3/ò/</v>
      </c>
      <c r="AM8" s="135" t="str">
        <f xml:space="preserve"> _xlfn.CONCAT("    - xform/》", $X8, AB$1, "/", AB8, "/")</f>
        <v xml:space="preserve">    - xform/》o4/o/</v>
      </c>
      <c r="AN8" s="135" t="str">
        <f xml:space="preserve"> _xlfn.CONCAT("    - xform/》", $X8, AC$1, "/", AC8, "/")</f>
        <v xml:space="preserve">    - xform/》o5/ǒ/</v>
      </c>
      <c r="AO8" s="135" t="str">
        <f xml:space="preserve"> _xlfn.CONCAT("    - xform/》", $X8, AD$1, "/", AD8, "/")</f>
        <v xml:space="preserve">    - xform/》o6/ó/</v>
      </c>
      <c r="AP8" s="135" t="str">
        <f xml:space="preserve"> _xlfn.CONCAT("    - xform/》", $X8, AE$1, "/", AE8, "/")</f>
        <v xml:space="preserve">    - xform/》o7/ō/</v>
      </c>
      <c r="AQ8" s="135" t="str">
        <f xml:space="preserve"> _xlfn.CONCAT("    - xform/》", $X8, AF$1, "/", AF8, "/")</f>
        <v xml:space="preserve">    - xform/》o8/o̍/</v>
      </c>
      <c r="AR8" s="135" t="str">
        <f xml:space="preserve"> _xlfn.CONCAT("    - xform/》", $X8, AG$1, "/", AG8, "/")</f>
        <v xml:space="preserve">    - xform/》o9/ő/</v>
      </c>
      <c r="AS8" s="135" t="str">
        <f xml:space="preserve"> _xlfn.CONCAT("    - xform/》", $X8, AH$1, "/", AH8, "/")</f>
        <v xml:space="preserve">    - xform/》o9/o̊/</v>
      </c>
      <c r="AT8" s="133"/>
      <c r="AU8" s="133"/>
      <c r="AV8" s="130"/>
    </row>
    <row r="9" spans="1:48" ht="27.75" thickBot="1">
      <c r="A9" s="185">
        <f t="shared" si="4"/>
        <v>6</v>
      </c>
      <c r="B9" s="140" t="s">
        <v>2412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8" t="s">
        <v>71</v>
      </c>
      <c r="I9" s="58" t="s">
        <v>71</v>
      </c>
      <c r="J9" s="55" t="s">
        <v>72</v>
      </c>
      <c r="K9" s="58"/>
      <c r="L9" s="55">
        <f t="shared" si="0"/>
        <v>2</v>
      </c>
      <c r="M9" s="74"/>
      <c r="N9" s="58" t="str">
        <f t="shared" si="1"/>
        <v>an</v>
      </c>
      <c r="O9" s="58" t="str">
        <f t="shared" si="2"/>
        <v>an</v>
      </c>
      <c r="Q9" s="122" t="str">
        <f t="shared" si="5"/>
        <v>an(\d)</v>
      </c>
      <c r="R9" s="125" t="s">
        <v>1228</v>
      </c>
      <c r="S9" s="125">
        <f t="shared" si="6"/>
        <v>1</v>
      </c>
      <c r="T9" s="122" t="str">
        <f t="shared" si="9"/>
        <v>》a${1}n</v>
      </c>
      <c r="U9" s="56"/>
      <c r="V9" s="57" t="str">
        <f t="shared" si="7"/>
        <v xml:space="preserve">    - xform/》an(\d)/》a${1}n/</v>
      </c>
      <c r="X9" s="130" t="s">
        <v>1306</v>
      </c>
      <c r="Y9" s="133" t="str">
        <f t="shared" si="8"/>
        <v>m</v>
      </c>
      <c r="Z9" s="133" t="str">
        <f t="shared" si="8"/>
        <v>ḿ</v>
      </c>
      <c r="AA9" s="133" t="str">
        <f t="shared" si="8"/>
        <v>m̀</v>
      </c>
      <c r="AB9" s="133" t="str">
        <f t="shared" si="8"/>
        <v>m</v>
      </c>
      <c r="AC9" s="133" t="str">
        <f t="shared" si="8"/>
        <v>m̌</v>
      </c>
      <c r="AD9" s="133" t="str">
        <f t="shared" si="8"/>
        <v>ḿ</v>
      </c>
      <c r="AE9" s="133" t="str">
        <f t="shared" si="8"/>
        <v>m̄</v>
      </c>
      <c r="AF9" s="133" t="str">
        <f t="shared" si="8"/>
        <v>m̍</v>
      </c>
      <c r="AG9" s="133" t="str">
        <f t="shared" si="8"/>
        <v>m̋</v>
      </c>
      <c r="AH9" s="133" t="str">
        <f t="shared" si="8"/>
        <v>m̊</v>
      </c>
      <c r="AJ9" s="135" t="str">
        <f xml:space="preserve"> _xlfn.CONCAT("    - xform/》", $X9, Y$1, "/", Y9, "/")</f>
        <v xml:space="preserve">    - xform/》m1/m/</v>
      </c>
      <c r="AK9" s="135" t="str">
        <f xml:space="preserve"> _xlfn.CONCAT("    - xform/》", $X9, Z$1, "/", Z9, "/")</f>
        <v xml:space="preserve">    - xform/》m2/ḿ/</v>
      </c>
      <c r="AL9" s="135" t="str">
        <f xml:space="preserve"> _xlfn.CONCAT("    - xform/》", $X9, AA$1, "/", AA9, "/")</f>
        <v xml:space="preserve">    - xform/》m3/m̀/</v>
      </c>
      <c r="AM9" s="135" t="str">
        <f xml:space="preserve"> _xlfn.CONCAT("    - xform/》", $X9, AB$1, "/", AB9, "/")</f>
        <v xml:space="preserve">    - xform/》m4/m/</v>
      </c>
      <c r="AN9" s="135" t="str">
        <f xml:space="preserve"> _xlfn.CONCAT("    - xform/》", $X9, AC$1, "/", AC9, "/")</f>
        <v xml:space="preserve">    - xform/》m5/m̌/</v>
      </c>
      <c r="AO9" s="135" t="str">
        <f xml:space="preserve"> _xlfn.CONCAT("    - xform/》", $X9, AD$1, "/", AD9, "/")</f>
        <v xml:space="preserve">    - xform/》m6/ḿ/</v>
      </c>
      <c r="AP9" s="135" t="str">
        <f xml:space="preserve"> _xlfn.CONCAT("    - xform/》", $X9, AE$1, "/", AE9, "/")</f>
        <v xml:space="preserve">    - xform/》m7/m̄/</v>
      </c>
      <c r="AQ9" s="135" t="str">
        <f xml:space="preserve"> _xlfn.CONCAT("    - xform/》", $X9, AF$1, "/", AF9, "/")</f>
        <v xml:space="preserve">    - xform/》m8/m̍/</v>
      </c>
      <c r="AR9" s="135" t="str">
        <f xml:space="preserve"> _xlfn.CONCAT("    - xform/》", $X9, AG$1, "/", AG9, "/")</f>
        <v xml:space="preserve">    - xform/》m9/m̋/</v>
      </c>
      <c r="AS9" s="135" t="str">
        <f xml:space="preserve"> _xlfn.CONCAT("    - xform/》", $X9, AH$1, "/", AH9, "/")</f>
        <v xml:space="preserve">    - xform/》m9/m̊/</v>
      </c>
      <c r="AT9" s="133"/>
      <c r="AU9" s="133"/>
      <c r="AV9" s="130"/>
    </row>
    <row r="10" spans="1:48" ht="27.75" thickBot="1">
      <c r="A10" s="185">
        <f t="shared" si="4"/>
        <v>7</v>
      </c>
      <c r="B10" s="140" t="s">
        <v>2413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8" t="s">
        <v>2190</v>
      </c>
      <c r="I10" s="58" t="s">
        <v>2190</v>
      </c>
      <c r="J10" s="55" t="s">
        <v>238</v>
      </c>
      <c r="K10" s="58"/>
      <c r="L10" s="55">
        <f t="shared" si="0"/>
        <v>3</v>
      </c>
      <c r="M10" s="74"/>
      <c r="N10" s="58" t="str">
        <f t="shared" si="1"/>
        <v>ang</v>
      </c>
      <c r="O10" s="58" t="str">
        <f t="shared" si="2"/>
        <v>ang</v>
      </c>
      <c r="Q10" s="122" t="str">
        <f t="shared" si="5"/>
        <v>ang(\d)</v>
      </c>
      <c r="R10" s="125" t="s">
        <v>1228</v>
      </c>
      <c r="S10" s="125">
        <f t="shared" si="6"/>
        <v>1</v>
      </c>
      <c r="T10" s="122" t="str">
        <f t="shared" si="9"/>
        <v>》a${1}ng</v>
      </c>
      <c r="U10" s="56"/>
      <c r="V10" s="57" t="str">
        <f t="shared" si="7"/>
        <v xml:space="preserve">    - xform/》ang(\d)/》a${1}ng/</v>
      </c>
      <c r="X10" s="130" t="s">
        <v>1305</v>
      </c>
      <c r="Y10" s="133" t="str">
        <f t="shared" si="8"/>
        <v>n</v>
      </c>
      <c r="Z10" s="133" t="str">
        <f t="shared" si="8"/>
        <v>ń</v>
      </c>
      <c r="AA10" s="133" t="str">
        <f t="shared" si="8"/>
        <v>ǹ</v>
      </c>
      <c r="AB10" s="133" t="str">
        <f t="shared" si="8"/>
        <v>n</v>
      </c>
      <c r="AC10" s="133" t="str">
        <f t="shared" si="8"/>
        <v>ň</v>
      </c>
      <c r="AD10" s="133" t="str">
        <f t="shared" si="8"/>
        <v>ń</v>
      </c>
      <c r="AE10" s="133" t="str">
        <f t="shared" si="8"/>
        <v>n̄</v>
      </c>
      <c r="AF10" s="133" t="str">
        <f t="shared" si="8"/>
        <v>n̍</v>
      </c>
      <c r="AG10" s="133" t="str">
        <f t="shared" si="8"/>
        <v>n̋</v>
      </c>
      <c r="AH10" s="133" t="str">
        <f t="shared" si="8"/>
        <v>n̊</v>
      </c>
      <c r="AJ10" s="135" t="str">
        <f xml:space="preserve"> _xlfn.CONCAT("    - xform/》", $X10, Y$1, "/", Y10, "/")</f>
        <v xml:space="preserve">    - xform/》n1/n/</v>
      </c>
      <c r="AK10" s="135" t="str">
        <f xml:space="preserve"> _xlfn.CONCAT("    - xform/》", $X10, Z$1, "/", Z10, "/")</f>
        <v xml:space="preserve">    - xform/》n2/ń/</v>
      </c>
      <c r="AL10" s="135" t="str">
        <f xml:space="preserve"> _xlfn.CONCAT("    - xform/》", $X10, AA$1, "/", AA10, "/")</f>
        <v xml:space="preserve">    - xform/》n3/ǹ/</v>
      </c>
      <c r="AM10" s="135" t="str">
        <f xml:space="preserve"> _xlfn.CONCAT("    - xform/》", $X10, AB$1, "/", AB10, "/")</f>
        <v xml:space="preserve">    - xform/》n4/n/</v>
      </c>
      <c r="AN10" s="135" t="str">
        <f xml:space="preserve"> _xlfn.CONCAT("    - xform/》", $X10, AC$1, "/", AC10, "/")</f>
        <v xml:space="preserve">    - xform/》n5/ň/</v>
      </c>
      <c r="AO10" s="135" t="str">
        <f xml:space="preserve"> _xlfn.CONCAT("    - xform/》", $X10, AD$1, "/", AD10, "/")</f>
        <v xml:space="preserve">    - xform/》n6/ń/</v>
      </c>
      <c r="AP10" s="135" t="str">
        <f xml:space="preserve"> _xlfn.CONCAT("    - xform/》", $X10, AE$1, "/", AE10, "/")</f>
        <v xml:space="preserve">    - xform/》n7/n̄/</v>
      </c>
      <c r="AQ10" s="135" t="str">
        <f xml:space="preserve"> _xlfn.CONCAT("    - xform/》", $X10, AF$1, "/", AF10, "/")</f>
        <v xml:space="preserve">    - xform/》n8/n̍/</v>
      </c>
      <c r="AR10" s="135" t="str">
        <f xml:space="preserve"> _xlfn.CONCAT("    - xform/》", $X10, AG$1, "/", AG10, "/")</f>
        <v xml:space="preserve">    - xform/》n9/n̋/</v>
      </c>
      <c r="AS10" s="135" t="str">
        <f xml:space="preserve"> _xlfn.CONCAT("    - xform/》", $X10, AH$1, "/", AH10, "/")</f>
        <v xml:space="preserve">    - xform/》n9/n̊/</v>
      </c>
      <c r="AT10" s="133"/>
      <c r="AU10" s="133"/>
      <c r="AV10" s="130"/>
    </row>
    <row r="11" spans="1:48" ht="27.75" thickBot="1">
      <c r="A11" s="185">
        <f t="shared" si="4"/>
        <v>8</v>
      </c>
      <c r="B11" s="140" t="str">
        <f>_xlfn.CONCAT("a","p",_xlfn.UNICHAR(794))</f>
        <v>ap̚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8" t="s">
        <v>218</v>
      </c>
      <c r="I11" s="58" t="s">
        <v>2256</v>
      </c>
      <c r="J11" s="55" t="s">
        <v>220</v>
      </c>
      <c r="K11" s="58"/>
      <c r="L11" s="55">
        <f t="shared" si="0"/>
        <v>2</v>
      </c>
      <c r="M11" s="74"/>
      <c r="N11" s="58" t="str">
        <f t="shared" si="1"/>
        <v>ap</v>
      </c>
      <c r="O11" s="58" t="str">
        <f t="shared" si="2"/>
        <v>ap</v>
      </c>
      <c r="Q11" s="122" t="str">
        <f t="shared" si="5"/>
        <v>ap(\d)</v>
      </c>
      <c r="R11" s="125" t="s">
        <v>1228</v>
      </c>
      <c r="S11" s="125">
        <f t="shared" si="6"/>
        <v>1</v>
      </c>
      <c r="T11" s="122" t="str">
        <f t="shared" si="9"/>
        <v>》a${1}p</v>
      </c>
      <c r="U11" s="56"/>
      <c r="V11" s="57" t="str">
        <f t="shared" si="7"/>
        <v xml:space="preserve">    - xform/》ap(\d)/》a${1}p/</v>
      </c>
    </row>
    <row r="12" spans="1:48" ht="27.75" thickBot="1">
      <c r="A12" s="185">
        <f t="shared" si="4"/>
        <v>9</v>
      </c>
      <c r="B12" s="140" t="str">
        <f>_xlfn.CONCAT("a","t",_xlfn.UNICHAR(794))</f>
        <v>at̚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8" t="s">
        <v>76</v>
      </c>
      <c r="I12" s="58" t="s">
        <v>2242</v>
      </c>
      <c r="J12" s="55" t="s">
        <v>78</v>
      </c>
      <c r="K12" s="58"/>
      <c r="L12" s="55">
        <f t="shared" si="0"/>
        <v>2</v>
      </c>
      <c r="M12" s="74"/>
      <c r="N12" s="58" t="str">
        <f t="shared" si="1"/>
        <v>at</v>
      </c>
      <c r="O12" s="58" t="str">
        <f t="shared" si="2"/>
        <v>at</v>
      </c>
      <c r="Q12" s="122" t="str">
        <f t="shared" si="5"/>
        <v>at(\d)</v>
      </c>
      <c r="R12" s="125" t="s">
        <v>1216</v>
      </c>
      <c r="S12" s="125" t="str">
        <f t="shared" si="6"/>
        <v/>
      </c>
      <c r="T12" s="122" t="str">
        <f t="shared" si="9"/>
        <v/>
      </c>
      <c r="U12" s="56"/>
      <c r="V12" s="57" t="str">
        <f t="shared" si="7"/>
        <v xml:space="preserve">    - xform/》at(\d)//</v>
      </c>
    </row>
    <row r="13" spans="1:48" ht="30.75" thickBot="1">
      <c r="A13" s="185">
        <f t="shared" si="4"/>
        <v>10</v>
      </c>
      <c r="B13" s="140" t="str">
        <f>_xlfn.CONCAT("a","k",_xlfn.UNICHAR(794))</f>
        <v>ak̚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188" t="s">
        <v>2480</v>
      </c>
      <c r="I13" s="188" t="s">
        <v>2258</v>
      </c>
      <c r="J13" s="55" t="s">
        <v>244</v>
      </c>
      <c r="K13" s="58"/>
      <c r="L13" s="55">
        <f t="shared" si="0"/>
        <v>2</v>
      </c>
      <c r="M13" s="74"/>
      <c r="N13" s="58" t="str">
        <f t="shared" si="1"/>
        <v>ak</v>
      </c>
      <c r="O13" s="58" t="str">
        <f t="shared" si="2"/>
        <v>ak</v>
      </c>
      <c r="Q13" s="122" t="str">
        <f t="shared" si="5"/>
        <v>ak(\d)</v>
      </c>
      <c r="R13" s="125" t="s">
        <v>1181</v>
      </c>
      <c r="S13" s="125" t="str">
        <f t="shared" si="6"/>
        <v/>
      </c>
      <c r="T13" s="122" t="str">
        <f t="shared" si="9"/>
        <v/>
      </c>
      <c r="U13" s="56"/>
      <c r="V13" s="57" t="str">
        <f t="shared" si="7"/>
        <v xml:space="preserve">    - xform/》ak(\d)//</v>
      </c>
    </row>
    <row r="14" spans="1:48" ht="27.75" thickBot="1">
      <c r="A14" s="185">
        <f t="shared" si="4"/>
        <v>11</v>
      </c>
      <c r="B14" s="140" t="s">
        <v>2414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8" t="s">
        <v>185</v>
      </c>
      <c r="I14" s="58" t="s">
        <v>185</v>
      </c>
      <c r="J14" s="55" t="s">
        <v>186</v>
      </c>
      <c r="K14" s="58"/>
      <c r="L14" s="55">
        <f t="shared" si="0"/>
        <v>2</v>
      </c>
      <c r="M14" s="74"/>
      <c r="N14" s="58" t="str">
        <f t="shared" si="1"/>
        <v>ai</v>
      </c>
      <c r="O14" s="58" t="str">
        <f t="shared" si="2"/>
        <v>ai</v>
      </c>
      <c r="Q14" s="122" t="str">
        <f t="shared" si="5"/>
        <v>ai(\d)</v>
      </c>
      <c r="R14" s="125" t="s">
        <v>1216</v>
      </c>
      <c r="S14" s="125" t="str">
        <f t="shared" si="6"/>
        <v/>
      </c>
      <c r="T14" s="122" t="str">
        <f t="shared" si="9"/>
        <v/>
      </c>
      <c r="U14" s="56"/>
      <c r="V14" s="57" t="str">
        <f t="shared" si="7"/>
        <v xml:space="preserve">    - xform/》ai(\d)//</v>
      </c>
    </row>
    <row r="15" spans="1:48" ht="27.75" thickBot="1">
      <c r="A15" s="185">
        <f t="shared" si="4"/>
        <v>12</v>
      </c>
      <c r="B15" s="140" t="s">
        <v>2415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8" t="s">
        <v>416</v>
      </c>
      <c r="I15" s="58" t="s">
        <v>2279</v>
      </c>
      <c r="J15" s="55" t="s">
        <v>420</v>
      </c>
      <c r="K15" s="136" t="s">
        <v>1312</v>
      </c>
      <c r="L15" s="55">
        <f t="shared" si="0"/>
        <v>4</v>
      </c>
      <c r="M15" s="74"/>
      <c r="N15" s="58" t="str">
        <f t="shared" si="1"/>
        <v>ainn</v>
      </c>
      <c r="O15" s="58" t="str">
        <f t="shared" si="2"/>
        <v>ainn</v>
      </c>
      <c r="Q15" s="122" t="str">
        <f t="shared" si="5"/>
        <v>ainn(\d)</v>
      </c>
      <c r="R15" s="125" t="s">
        <v>1228</v>
      </c>
      <c r="S15" s="125">
        <f t="shared" si="6"/>
        <v>1</v>
      </c>
      <c r="T15" s="122" t="str">
        <f t="shared" si="9"/>
        <v>》a${1}inn</v>
      </c>
      <c r="U15" s="56"/>
      <c r="V15" s="57" t="str">
        <f t="shared" si="7"/>
        <v xml:space="preserve">    - xform/》ainn(\d)/》a${1}inn/</v>
      </c>
    </row>
    <row r="16" spans="1:48" ht="30.75" thickBot="1">
      <c r="A16" s="185">
        <f t="shared" si="4"/>
        <v>13</v>
      </c>
      <c r="B16" s="140" t="s">
        <v>2416</v>
      </c>
      <c r="C16" s="142" t="s">
        <v>1479</v>
      </c>
      <c r="D16" s="75" t="s">
        <v>2158</v>
      </c>
      <c r="E16" s="75" t="s">
        <v>2158</v>
      </c>
      <c r="F16" s="75" t="s">
        <v>2158</v>
      </c>
      <c r="G16" s="75" t="s">
        <v>1479</v>
      </c>
      <c r="H16" s="144" t="s">
        <v>2159</v>
      </c>
      <c r="I16" s="144" t="s">
        <v>2483</v>
      </c>
      <c r="J16" s="147" t="s">
        <v>2189</v>
      </c>
      <c r="K16" s="58"/>
      <c r="L16" s="55">
        <f t="shared" si="0"/>
        <v>3</v>
      </c>
      <c r="M16" s="74"/>
      <c r="N16" s="58" t="str">
        <f t="shared" si="1"/>
        <v>aih</v>
      </c>
      <c r="O16" s="58" t="str">
        <f t="shared" si="2"/>
        <v>aih</v>
      </c>
      <c r="Q16" s="122" t="str">
        <f t="shared" si="5"/>
        <v>aih(\d)</v>
      </c>
      <c r="R16" s="125" t="s">
        <v>1228</v>
      </c>
      <c r="S16" s="125">
        <f t="shared" si="6"/>
        <v>1</v>
      </c>
      <c r="T16" s="122" t="str">
        <f t="shared" si="9"/>
        <v>》a${1}ih</v>
      </c>
      <c r="U16" s="56"/>
      <c r="V16" s="57" t="str">
        <f t="shared" si="7"/>
        <v xml:space="preserve">    - xform/》aih(\d)/》a${1}ih/</v>
      </c>
    </row>
    <row r="17" spans="1:22" ht="27.75" thickBot="1">
      <c r="A17" s="185">
        <f t="shared" si="4"/>
        <v>14</v>
      </c>
      <c r="B17" s="140" t="s">
        <v>2372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8" t="s">
        <v>262</v>
      </c>
      <c r="I17" s="58" t="s">
        <v>262</v>
      </c>
      <c r="J17" s="55" t="s">
        <v>264</v>
      </c>
      <c r="K17" s="58"/>
      <c r="L17" s="55">
        <f t="shared" si="0"/>
        <v>2</v>
      </c>
      <c r="M17" s="74"/>
      <c r="N17" s="58" t="str">
        <f t="shared" si="1"/>
        <v>au</v>
      </c>
      <c r="O17" s="58" t="str">
        <f t="shared" si="2"/>
        <v>au</v>
      </c>
      <c r="Q17" s="122" t="str">
        <f t="shared" si="5"/>
        <v>au(\d)</v>
      </c>
      <c r="R17" s="125" t="s">
        <v>1228</v>
      </c>
      <c r="S17" s="125">
        <f t="shared" si="6"/>
        <v>1</v>
      </c>
      <c r="T17" s="122" t="str">
        <f t="shared" si="9"/>
        <v>》a${1}u</v>
      </c>
      <c r="U17" s="56"/>
      <c r="V17" s="57" t="str">
        <f t="shared" si="7"/>
        <v xml:space="preserve">    - xform/》au(\d)/》a${1}u/</v>
      </c>
    </row>
    <row r="18" spans="1:22" ht="30.75" thickBot="1">
      <c r="A18" s="185">
        <f t="shared" si="4"/>
        <v>15</v>
      </c>
      <c r="B18" s="140" t="s">
        <v>2417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188" t="s">
        <v>2477</v>
      </c>
      <c r="I18" s="188" t="s">
        <v>2261</v>
      </c>
      <c r="J18" s="55" t="s">
        <v>269</v>
      </c>
      <c r="K18" s="58"/>
      <c r="L18" s="55">
        <f t="shared" si="0"/>
        <v>3</v>
      </c>
      <c r="M18" s="74"/>
      <c r="N18" s="58" t="str">
        <f t="shared" si="1"/>
        <v>auh</v>
      </c>
      <c r="O18" s="58" t="str">
        <f t="shared" si="2"/>
        <v>auh</v>
      </c>
      <c r="Q18" s="122" t="str">
        <f t="shared" si="5"/>
        <v>auh(\d)</v>
      </c>
      <c r="R18" s="125" t="s">
        <v>1228</v>
      </c>
      <c r="S18" s="125">
        <f t="shared" si="6"/>
        <v>1</v>
      </c>
      <c r="T18" s="122" t="str">
        <f t="shared" si="9"/>
        <v>》a${1}uh</v>
      </c>
      <c r="U18" s="56"/>
      <c r="V18" s="57" t="str">
        <f t="shared" si="7"/>
        <v xml:space="preserve">    - xform/》auh(\d)/》a${1}uh/</v>
      </c>
    </row>
    <row r="19" spans="1:22" ht="27.75" thickBot="1">
      <c r="A19" s="185">
        <f t="shared" ref="A19:A20" si="10" xml:space="preserve"> ROW() - 3</f>
        <v>16</v>
      </c>
      <c r="B19" s="140" t="s">
        <v>2467</v>
      </c>
      <c r="C19" s="142" t="s">
        <v>2468</v>
      </c>
      <c r="D19" s="75" t="s">
        <v>2468</v>
      </c>
      <c r="E19" s="189"/>
      <c r="F19" s="189"/>
      <c r="G19" s="189"/>
      <c r="H19" s="186" t="s">
        <v>2476</v>
      </c>
      <c r="I19" s="186" t="s">
        <v>58</v>
      </c>
      <c r="J19" s="146" t="s">
        <v>2472</v>
      </c>
      <c r="K19" s="58"/>
      <c r="L19" s="55">
        <f t="shared" ref="L19:L20" si="11" xml:space="preserve"> LEN(D19)</f>
        <v>2</v>
      </c>
      <c r="M19" s="74"/>
      <c r="N19" s="58" t="str">
        <f>C23</f>
        <v>e</v>
      </c>
      <c r="O19" s="58" t="str">
        <f>D23</f>
        <v>ei</v>
      </c>
      <c r="Q19" s="122" t="str">
        <f t="shared" si="5"/>
        <v>e(\d)</v>
      </c>
      <c r="R19" s="125" t="s">
        <v>1229</v>
      </c>
      <c r="S19" s="125" t="str">
        <f t="shared" si="6"/>
        <v/>
      </c>
      <c r="T19" s="122" t="str">
        <f t="shared" si="9"/>
        <v/>
      </c>
      <c r="U19" s="56"/>
      <c r="V19" s="57" t="str">
        <f t="shared" si="7"/>
        <v xml:space="preserve">    - xform/》e(\d)//</v>
      </c>
    </row>
    <row r="20" spans="1:22" ht="27.75" thickBot="1">
      <c r="A20" s="185">
        <f t="shared" si="10"/>
        <v>17</v>
      </c>
      <c r="B20" s="140" t="str">
        <f xml:space="preserve"> _xlfn.CONCAT(B19, "ʔ")</f>
        <v>ɛʔ</v>
      </c>
      <c r="C20" s="142" t="s">
        <v>2469</v>
      </c>
      <c r="D20" s="75" t="s">
        <v>2469</v>
      </c>
      <c r="E20" s="189"/>
      <c r="F20" s="189"/>
      <c r="G20" s="189"/>
      <c r="H20" s="186" t="s">
        <v>2478</v>
      </c>
      <c r="I20" s="186" t="s">
        <v>2241</v>
      </c>
      <c r="J20" s="146" t="s">
        <v>2473</v>
      </c>
      <c r="K20" s="58"/>
      <c r="L20" s="55">
        <f t="shared" si="11"/>
        <v>3</v>
      </c>
      <c r="M20" s="74"/>
      <c r="N20" s="58" t="str">
        <f>C24</f>
        <v>enn</v>
      </c>
      <c r="O20" s="58" t="str">
        <f>D24</f>
        <v>enn</v>
      </c>
      <c r="Q20" s="122" t="str">
        <f t="shared" si="5"/>
        <v>enn(\d)</v>
      </c>
      <c r="R20" s="125" t="s">
        <v>1229</v>
      </c>
      <c r="S20" s="125" t="str">
        <f t="shared" si="6"/>
        <v/>
      </c>
      <c r="T20" s="122" t="str">
        <f t="shared" si="9"/>
        <v/>
      </c>
      <c r="U20" s="56"/>
      <c r="V20" s="57" t="str">
        <f t="shared" si="7"/>
        <v xml:space="preserve">    - xform/》enn(\d)//</v>
      </c>
    </row>
    <row r="21" spans="1:22" ht="27.75" thickBot="1">
      <c r="A21" s="185">
        <f t="shared" ref="A21:A22" si="12" xml:space="preserve"> ROW() - 3</f>
        <v>18</v>
      </c>
      <c r="B21" s="140" t="str">
        <f xml:space="preserve"> _xlfn.CONCAT(B19, "ŋ")</f>
        <v>ɛŋ</v>
      </c>
      <c r="C21" s="142" t="s">
        <v>2470</v>
      </c>
      <c r="D21" s="75" t="s">
        <v>2470</v>
      </c>
      <c r="E21" s="189"/>
      <c r="F21" s="189"/>
      <c r="G21" s="189"/>
      <c r="H21" s="187" t="s">
        <v>2479</v>
      </c>
      <c r="I21" s="187" t="s">
        <v>2484</v>
      </c>
      <c r="J21" s="146" t="s">
        <v>2474</v>
      </c>
      <c r="K21" s="58"/>
      <c r="L21" s="55">
        <f t="shared" ref="L21:L22" si="13" xml:space="preserve"> LEN(D21)</f>
        <v>3</v>
      </c>
      <c r="M21" s="74"/>
      <c r="N21" s="58" t="str">
        <f>C25</f>
        <v>eh</v>
      </c>
      <c r="O21" s="58" t="str">
        <f>D25</f>
        <v>eh</v>
      </c>
      <c r="Q21" s="122" t="str">
        <f t="shared" si="5"/>
        <v>eh(\d)</v>
      </c>
      <c r="R21" s="125" t="s">
        <v>1228</v>
      </c>
      <c r="S21" s="125" t="str">
        <f t="shared" si="6"/>
        <v/>
      </c>
      <c r="T21" s="122" t="str">
        <f t="shared" si="9"/>
        <v/>
      </c>
      <c r="U21" s="56"/>
      <c r="V21" s="57" t="str">
        <f t="shared" si="7"/>
        <v xml:space="preserve">    - xform/》eh(\d)//</v>
      </c>
    </row>
    <row r="22" spans="1:22" ht="27.75" thickBot="1">
      <c r="A22" s="185">
        <f t="shared" si="12"/>
        <v>19</v>
      </c>
      <c r="B22" s="140" t="str">
        <f xml:space="preserve"> _xlfn.CONCAT(B19, "k")</f>
        <v>ɛk</v>
      </c>
      <c r="C22" s="142" t="s">
        <v>2471</v>
      </c>
      <c r="D22" s="75" t="s">
        <v>2471</v>
      </c>
      <c r="E22" s="189"/>
      <c r="F22" s="189"/>
      <c r="G22" s="189"/>
      <c r="H22" s="187" t="s">
        <v>2481</v>
      </c>
      <c r="I22" s="187" t="s">
        <v>2485</v>
      </c>
      <c r="J22" s="146" t="s">
        <v>2475</v>
      </c>
      <c r="K22" s="58"/>
      <c r="L22" s="55">
        <f t="shared" si="13"/>
        <v>2</v>
      </c>
      <c r="M22" s="74"/>
      <c r="N22" s="58" t="str">
        <f>C26</f>
        <v>ennh</v>
      </c>
      <c r="O22" s="58" t="str">
        <f>D26</f>
        <v>ennh</v>
      </c>
      <c r="Q22" s="122" t="str">
        <f t="shared" si="5"/>
        <v>ennh(\d)</v>
      </c>
      <c r="R22" s="125" t="s">
        <v>1229</v>
      </c>
      <c r="S22" s="125" t="str">
        <f t="shared" si="6"/>
        <v/>
      </c>
      <c r="T22" s="122" t="str">
        <f t="shared" si="9"/>
        <v/>
      </c>
      <c r="U22" s="56"/>
      <c r="V22" s="57" t="str">
        <f t="shared" si="7"/>
        <v xml:space="preserve">    - xform/》ennh(\d)//</v>
      </c>
    </row>
    <row r="23" spans="1:22" ht="27.75" thickBot="1">
      <c r="A23" s="185">
        <f t="shared" si="4"/>
        <v>20</v>
      </c>
      <c r="B23" s="140" t="s">
        <v>2374</v>
      </c>
      <c r="C23" s="142" t="s">
        <v>60</v>
      </c>
      <c r="D23" s="58" t="s">
        <v>153</v>
      </c>
      <c r="E23" s="58" t="s">
        <v>60</v>
      </c>
      <c r="F23" s="58" t="s">
        <v>60</v>
      </c>
      <c r="G23" s="61" t="s">
        <v>2210</v>
      </c>
      <c r="H23" s="58" t="s">
        <v>155</v>
      </c>
      <c r="I23" s="58" t="s">
        <v>58</v>
      </c>
      <c r="J23" s="55" t="s">
        <v>156</v>
      </c>
      <c r="K23" s="58"/>
      <c r="L23" s="55">
        <f t="shared" si="0"/>
        <v>2</v>
      </c>
      <c r="M23" s="74"/>
      <c r="N23" s="58" t="str">
        <f>C27</f>
        <v>i</v>
      </c>
      <c r="O23" s="58" t="str">
        <f>D27</f>
        <v>i</v>
      </c>
      <c r="Q23" s="122" t="str">
        <f t="shared" si="5"/>
        <v>i(\d)</v>
      </c>
      <c r="R23" s="125" t="s">
        <v>1216</v>
      </c>
      <c r="S23" s="125" t="str">
        <f t="shared" si="6"/>
        <v/>
      </c>
      <c r="T23" s="122" t="str">
        <f t="shared" si="9"/>
        <v/>
      </c>
      <c r="U23" s="56"/>
      <c r="V23" s="57" t="str">
        <f t="shared" si="7"/>
        <v xml:space="preserve">    - xform/》i(\d)//</v>
      </c>
    </row>
    <row r="24" spans="1:22" ht="27.75" thickBot="1">
      <c r="A24" s="185">
        <f t="shared" si="4"/>
        <v>21</v>
      </c>
      <c r="B24" s="140" t="s">
        <v>2375</v>
      </c>
      <c r="C24" s="142" t="s">
        <v>340</v>
      </c>
      <c r="D24" s="58" t="s">
        <v>340</v>
      </c>
      <c r="E24" s="58" t="s">
        <v>340</v>
      </c>
      <c r="F24" s="58" t="s">
        <v>342</v>
      </c>
      <c r="G24" s="61" t="s">
        <v>341</v>
      </c>
      <c r="H24" s="58" t="s">
        <v>339</v>
      </c>
      <c r="I24" s="58" t="s">
        <v>2270</v>
      </c>
      <c r="J24" s="55" t="s">
        <v>343</v>
      </c>
      <c r="K24" s="136" t="s">
        <v>1312</v>
      </c>
      <c r="L24" s="55">
        <f t="shared" si="0"/>
        <v>3</v>
      </c>
      <c r="M24" s="74"/>
      <c r="N24" s="58" t="str">
        <f>C28</f>
        <v>inn</v>
      </c>
      <c r="O24" s="58" t="str">
        <f>D28</f>
        <v>inn</v>
      </c>
      <c r="Q24" s="122" t="str">
        <f t="shared" si="5"/>
        <v>inn(\d)</v>
      </c>
      <c r="R24" s="125" t="s">
        <v>1216</v>
      </c>
      <c r="S24" s="125" t="str">
        <f t="shared" si="6"/>
        <v/>
      </c>
      <c r="T24" s="122" t="str">
        <f t="shared" si="9"/>
        <v/>
      </c>
      <c r="U24" s="56"/>
      <c r="V24" s="57" t="str">
        <f t="shared" si="7"/>
        <v xml:space="preserve">    - xform/》inn(\d)//</v>
      </c>
    </row>
    <row r="25" spans="1:22" ht="27.75" thickBot="1">
      <c r="A25" s="185">
        <f t="shared" si="4"/>
        <v>22</v>
      </c>
      <c r="B25" s="140" t="s">
        <v>2376</v>
      </c>
      <c r="C25" s="142" t="s">
        <v>65</v>
      </c>
      <c r="D25" s="58" t="s">
        <v>65</v>
      </c>
      <c r="E25" s="58" t="s">
        <v>65</v>
      </c>
      <c r="F25" s="58" t="s">
        <v>65</v>
      </c>
      <c r="G25" s="61" t="s">
        <v>65</v>
      </c>
      <c r="H25" s="58" t="s">
        <v>2193</v>
      </c>
      <c r="I25" s="58" t="s">
        <v>2241</v>
      </c>
      <c r="J25" s="55" t="s">
        <v>413</v>
      </c>
      <c r="K25" s="58"/>
      <c r="L25" s="55">
        <f t="shared" si="0"/>
        <v>2</v>
      </c>
      <c r="M25" s="74"/>
      <c r="N25" s="58" t="str">
        <f>C29</f>
        <v>ih</v>
      </c>
      <c r="O25" s="58" t="str">
        <f>D29</f>
        <v>ih</v>
      </c>
      <c r="Q25" s="122" t="str">
        <f t="shared" si="5"/>
        <v>ih(\d)</v>
      </c>
      <c r="R25" s="125" t="s">
        <v>1228</v>
      </c>
      <c r="S25" s="125" t="str">
        <f t="shared" si="6"/>
        <v/>
      </c>
      <c r="T25" s="122" t="str">
        <f t="shared" si="9"/>
        <v/>
      </c>
      <c r="U25" s="56"/>
      <c r="V25" s="57" t="str">
        <f t="shared" si="7"/>
        <v xml:space="preserve">    - xform/》ih(\d)//</v>
      </c>
    </row>
    <row r="26" spans="1:22" ht="30.75" thickBot="1">
      <c r="A26" s="185">
        <f t="shared" si="4"/>
        <v>23</v>
      </c>
      <c r="B26" s="140" t="s">
        <v>2377</v>
      </c>
      <c r="C26" s="142" t="s">
        <v>346</v>
      </c>
      <c r="D26" s="75" t="s">
        <v>2160</v>
      </c>
      <c r="E26" s="75" t="s">
        <v>2160</v>
      </c>
      <c r="F26" s="75" t="s">
        <v>2160</v>
      </c>
      <c r="G26" s="75" t="s">
        <v>2211</v>
      </c>
      <c r="H26" s="145" t="s">
        <v>927</v>
      </c>
      <c r="I26" s="190" t="s">
        <v>2271</v>
      </c>
      <c r="J26" s="147" t="s">
        <v>2187</v>
      </c>
      <c r="K26" s="136" t="s">
        <v>1312</v>
      </c>
      <c r="L26" s="55">
        <f t="shared" si="0"/>
        <v>4</v>
      </c>
      <c r="M26" s="74"/>
      <c r="N26" s="58" t="str">
        <f>C30</f>
        <v>im</v>
      </c>
      <c r="O26" s="58" t="str">
        <f>D30</f>
        <v>im</v>
      </c>
      <c r="Q26" s="122" t="str">
        <f t="shared" si="5"/>
        <v>im(\d)</v>
      </c>
      <c r="R26" s="125" t="s">
        <v>1181</v>
      </c>
      <c r="S26" s="125" t="str">
        <f t="shared" si="6"/>
        <v/>
      </c>
      <c r="T26" s="122" t="str">
        <f t="shared" si="9"/>
        <v/>
      </c>
      <c r="U26" s="56"/>
      <c r="V26" s="57" t="str">
        <f t="shared" si="7"/>
        <v xml:space="preserve">    - xform/》im(\d)//</v>
      </c>
    </row>
    <row r="27" spans="1:22" ht="27.75" thickBot="1">
      <c r="A27" s="185">
        <f t="shared" si="4"/>
        <v>24</v>
      </c>
      <c r="B27" s="140" t="s">
        <v>2378</v>
      </c>
      <c r="C27" s="142" t="s">
        <v>324</v>
      </c>
      <c r="D27" s="58" t="s">
        <v>324</v>
      </c>
      <c r="E27" s="58" t="s">
        <v>324</v>
      </c>
      <c r="F27" s="58" t="s">
        <v>324</v>
      </c>
      <c r="G27" s="61" t="s">
        <v>324</v>
      </c>
      <c r="H27" s="58" t="s">
        <v>326</v>
      </c>
      <c r="I27" s="58" t="s">
        <v>326</v>
      </c>
      <c r="J27" s="55" t="s">
        <v>327</v>
      </c>
      <c r="K27" s="58"/>
      <c r="L27" s="55">
        <f t="shared" si="0"/>
        <v>1</v>
      </c>
      <c r="M27" s="74"/>
      <c r="N27" s="58" t="str">
        <f>C31</f>
        <v>in</v>
      </c>
      <c r="O27" s="58" t="str">
        <f>D31</f>
        <v>in</v>
      </c>
      <c r="Q27" s="122" t="str">
        <f t="shared" si="5"/>
        <v>in(\d)</v>
      </c>
      <c r="R27" s="125" t="s">
        <v>1228</v>
      </c>
      <c r="S27" s="125" t="str">
        <f t="shared" si="6"/>
        <v/>
      </c>
      <c r="T27" s="122" t="str">
        <f t="shared" si="9"/>
        <v/>
      </c>
      <c r="U27" s="56"/>
      <c r="V27" s="57" t="str">
        <f t="shared" si="7"/>
        <v xml:space="preserve">    - xform/》in(\d)//</v>
      </c>
    </row>
    <row r="28" spans="1:22" ht="27.75" thickBot="1">
      <c r="A28" s="185">
        <f t="shared" si="4"/>
        <v>25</v>
      </c>
      <c r="B28" s="140" t="s">
        <v>2379</v>
      </c>
      <c r="C28" s="142" t="s">
        <v>370</v>
      </c>
      <c r="D28" s="58" t="s">
        <v>370</v>
      </c>
      <c r="E28" s="58" t="s">
        <v>370</v>
      </c>
      <c r="F28" s="58" t="s">
        <v>372</v>
      </c>
      <c r="G28" s="61" t="s">
        <v>371</v>
      </c>
      <c r="H28" s="58" t="s">
        <v>369</v>
      </c>
      <c r="I28" s="58" t="s">
        <v>2274</v>
      </c>
      <c r="J28" s="55" t="s">
        <v>373</v>
      </c>
      <c r="K28" s="136" t="s">
        <v>1312</v>
      </c>
      <c r="L28" s="55">
        <f t="shared" si="0"/>
        <v>3</v>
      </c>
      <c r="M28" s="74"/>
      <c r="N28" s="58" t="str">
        <f>C32</f>
        <v>ing</v>
      </c>
      <c r="O28" s="58" t="str">
        <f>D32</f>
        <v>ing</v>
      </c>
      <c r="Q28" s="122" t="str">
        <f t="shared" si="5"/>
        <v>ing(\d)</v>
      </c>
      <c r="R28" s="125" t="s">
        <v>1228</v>
      </c>
      <c r="S28" s="125" t="str">
        <f t="shared" si="6"/>
        <v/>
      </c>
      <c r="T28" s="122" t="str">
        <f t="shared" si="9"/>
        <v/>
      </c>
      <c r="U28" s="56"/>
      <c r="V28" s="57" t="str">
        <f t="shared" si="7"/>
        <v xml:space="preserve">    - xform/》ing(\d)//</v>
      </c>
    </row>
    <row r="29" spans="1:22" ht="27.75" thickBot="1">
      <c r="A29" s="185">
        <f t="shared" si="4"/>
        <v>26</v>
      </c>
      <c r="B29" s="140" t="s">
        <v>2380</v>
      </c>
      <c r="C29" s="142" t="s">
        <v>329</v>
      </c>
      <c r="D29" s="58" t="s">
        <v>329</v>
      </c>
      <c r="E29" s="58" t="s">
        <v>329</v>
      </c>
      <c r="F29" s="58" t="s">
        <v>329</v>
      </c>
      <c r="G29" s="61" t="s">
        <v>329</v>
      </c>
      <c r="H29" s="58" t="s">
        <v>2194</v>
      </c>
      <c r="I29" s="58" t="s">
        <v>2269</v>
      </c>
      <c r="J29" s="55" t="s">
        <v>330</v>
      </c>
      <c r="K29" s="58"/>
      <c r="L29" s="55">
        <f t="shared" si="0"/>
        <v>2</v>
      </c>
      <c r="M29" s="74"/>
      <c r="N29" s="58" t="str">
        <f>C33</f>
        <v>ip</v>
      </c>
      <c r="O29" s="58" t="str">
        <f>D33</f>
        <v>ip</v>
      </c>
      <c r="Q29" s="122" t="str">
        <f t="shared" si="5"/>
        <v>ip(\d)</v>
      </c>
      <c r="R29" s="125" t="s">
        <v>1228</v>
      </c>
      <c r="S29" s="125" t="str">
        <f t="shared" si="6"/>
        <v/>
      </c>
      <c r="T29" s="122" t="str">
        <f t="shared" si="9"/>
        <v/>
      </c>
      <c r="U29" s="56"/>
      <c r="V29" s="57" t="str">
        <f t="shared" si="7"/>
        <v xml:space="preserve">    - xform/》ip(\d)//</v>
      </c>
    </row>
    <row r="30" spans="1:22" ht="27.75" thickBot="1">
      <c r="A30" s="185">
        <f t="shared" si="4"/>
        <v>27</v>
      </c>
      <c r="B30" s="140" t="s">
        <v>2381</v>
      </c>
      <c r="C30" s="142" t="s">
        <v>38</v>
      </c>
      <c r="D30" s="58" t="s">
        <v>38</v>
      </c>
      <c r="E30" s="58" t="s">
        <v>38</v>
      </c>
      <c r="F30" s="58" t="s">
        <v>38</v>
      </c>
      <c r="G30" s="61" t="s">
        <v>38</v>
      </c>
      <c r="H30" s="58" t="s">
        <v>40</v>
      </c>
      <c r="I30" s="58" t="s">
        <v>2239</v>
      </c>
      <c r="J30" s="55" t="s">
        <v>41</v>
      </c>
      <c r="K30" s="58"/>
      <c r="L30" s="55">
        <f t="shared" si="0"/>
        <v>2</v>
      </c>
      <c r="M30" s="74"/>
      <c r="N30" s="58" t="str">
        <f>C34</f>
        <v>it</v>
      </c>
      <c r="O30" s="58" t="str">
        <f>D34</f>
        <v>it</v>
      </c>
      <c r="Q30" s="122" t="str">
        <f t="shared" si="5"/>
        <v>it(\d)</v>
      </c>
      <c r="R30" s="125" t="s">
        <v>1228</v>
      </c>
      <c r="S30" s="125" t="str">
        <f t="shared" si="6"/>
        <v/>
      </c>
      <c r="T30" s="122" t="str">
        <f t="shared" si="9"/>
        <v/>
      </c>
      <c r="U30" s="56"/>
      <c r="V30" s="57" t="str">
        <f t="shared" si="7"/>
        <v xml:space="preserve">    - xform/》it(\d)//</v>
      </c>
    </row>
    <row r="31" spans="1:22" ht="27.75" thickBot="1">
      <c r="A31" s="185">
        <f t="shared" si="4"/>
        <v>28</v>
      </c>
      <c r="B31" s="140" t="s">
        <v>2382</v>
      </c>
      <c r="C31" s="142" t="s">
        <v>189</v>
      </c>
      <c r="D31" s="58" t="s">
        <v>189</v>
      </c>
      <c r="E31" s="58" t="s">
        <v>189</v>
      </c>
      <c r="F31" s="58" t="s">
        <v>189</v>
      </c>
      <c r="G31" s="61" t="s">
        <v>189</v>
      </c>
      <c r="H31" s="58" t="s">
        <v>191</v>
      </c>
      <c r="I31" s="58" t="s">
        <v>191</v>
      </c>
      <c r="J31" s="55" t="s">
        <v>192</v>
      </c>
      <c r="K31" s="58"/>
      <c r="L31" s="55">
        <f t="shared" si="0"/>
        <v>2</v>
      </c>
      <c r="M31" s="74"/>
      <c r="N31" s="58" t="str">
        <f>C35</f>
        <v>ik</v>
      </c>
      <c r="O31" s="58" t="str">
        <f>D35</f>
        <v>ik</v>
      </c>
      <c r="Q31" s="122" t="str">
        <f t="shared" si="5"/>
        <v>ik(\d)</v>
      </c>
      <c r="R31" s="125" t="s">
        <v>1228</v>
      </c>
      <c r="S31" s="125" t="str">
        <f t="shared" si="6"/>
        <v/>
      </c>
      <c r="T31" s="122" t="str">
        <f t="shared" si="9"/>
        <v/>
      </c>
      <c r="U31" s="56"/>
      <c r="V31" s="57" t="str">
        <f t="shared" si="7"/>
        <v xml:space="preserve">    - xform/》ik(\d)//</v>
      </c>
    </row>
    <row r="32" spans="1:22" ht="27.75" thickBot="1">
      <c r="A32" s="185">
        <f t="shared" si="4"/>
        <v>29</v>
      </c>
      <c r="B32" s="140" t="s">
        <v>2383</v>
      </c>
      <c r="C32" s="142" t="s">
        <v>109</v>
      </c>
      <c r="D32" s="58" t="s">
        <v>109</v>
      </c>
      <c r="E32" s="58" t="s">
        <v>109</v>
      </c>
      <c r="F32" s="58" t="s">
        <v>109</v>
      </c>
      <c r="G32" s="61" t="s">
        <v>110</v>
      </c>
      <c r="H32" s="58" t="s">
        <v>108</v>
      </c>
      <c r="I32" s="58" t="s">
        <v>108</v>
      </c>
      <c r="J32" s="55" t="s">
        <v>111</v>
      </c>
      <c r="K32" s="58"/>
      <c r="L32" s="55">
        <f t="shared" si="0"/>
        <v>3</v>
      </c>
      <c r="M32" s="74"/>
      <c r="N32" s="58" t="str">
        <f>C36</f>
        <v>ia</v>
      </c>
      <c r="O32" s="58" t="str">
        <f>D36</f>
        <v>ia</v>
      </c>
      <c r="Q32" s="122" t="str">
        <f t="shared" si="5"/>
        <v>ia(\d)</v>
      </c>
      <c r="R32" s="125" t="s">
        <v>1228</v>
      </c>
      <c r="S32" s="125">
        <f t="shared" si="6"/>
        <v>2</v>
      </c>
      <c r="T32" s="122" t="str">
        <f t="shared" si="9"/>
        <v>i》a${1}</v>
      </c>
      <c r="U32" s="56"/>
      <c r="V32" s="57" t="str">
        <f t="shared" si="7"/>
        <v xml:space="preserve">    - xform/》ia(\d)/i》a${1}/</v>
      </c>
    </row>
    <row r="33" spans="1:22" ht="27.75" thickBot="1">
      <c r="A33" s="185">
        <f t="shared" si="4"/>
        <v>30</v>
      </c>
      <c r="B33" s="140" t="s">
        <v>2384</v>
      </c>
      <c r="C33" s="142" t="s">
        <v>46</v>
      </c>
      <c r="D33" s="58" t="s">
        <v>46</v>
      </c>
      <c r="E33" s="58" t="s">
        <v>46</v>
      </c>
      <c r="F33" s="58" t="s">
        <v>46</v>
      </c>
      <c r="G33" s="61" t="s">
        <v>46</v>
      </c>
      <c r="H33" s="58" t="s">
        <v>45</v>
      </c>
      <c r="I33" s="58" t="s">
        <v>2240</v>
      </c>
      <c r="J33" s="55" t="s">
        <v>47</v>
      </c>
      <c r="K33" s="58"/>
      <c r="L33" s="55">
        <f t="shared" si="0"/>
        <v>2</v>
      </c>
      <c r="M33" s="74"/>
      <c r="N33" s="58" t="str">
        <f>C37</f>
        <v>iann</v>
      </c>
      <c r="O33" s="58" t="str">
        <f>D37</f>
        <v>iann</v>
      </c>
      <c r="Q33" s="122" t="str">
        <f t="shared" si="5"/>
        <v>iann(\d)</v>
      </c>
      <c r="R33" s="125" t="s">
        <v>1228</v>
      </c>
      <c r="S33" s="125">
        <f t="shared" si="6"/>
        <v>2</v>
      </c>
      <c r="T33" s="122" t="str">
        <f t="shared" si="9"/>
        <v>i》a${1}nn</v>
      </c>
      <c r="U33" s="56"/>
      <c r="V33" s="57" t="str">
        <f t="shared" si="7"/>
        <v xml:space="preserve">    - xform/》iann(\d)/i》a${1}nn/</v>
      </c>
    </row>
    <row r="34" spans="1:22" ht="27.75" thickBot="1">
      <c r="A34" s="185">
        <f t="shared" si="4"/>
        <v>31</v>
      </c>
      <c r="B34" s="140" t="s">
        <v>2385</v>
      </c>
      <c r="C34" s="142" t="s">
        <v>197</v>
      </c>
      <c r="D34" s="58" t="s">
        <v>197</v>
      </c>
      <c r="E34" s="58" t="s">
        <v>197</v>
      </c>
      <c r="F34" s="58" t="s">
        <v>197</v>
      </c>
      <c r="G34" s="61" t="s">
        <v>197</v>
      </c>
      <c r="H34" s="58" t="s">
        <v>196</v>
      </c>
      <c r="I34" s="58" t="s">
        <v>2253</v>
      </c>
      <c r="J34" s="55" t="s">
        <v>198</v>
      </c>
      <c r="K34" s="58"/>
      <c r="L34" s="55">
        <f t="shared" si="0"/>
        <v>2</v>
      </c>
      <c r="M34" s="74"/>
      <c r="N34" s="58" t="str">
        <f>C38</f>
        <v>iah</v>
      </c>
      <c r="O34" s="58" t="str">
        <f>D38</f>
        <v>iah</v>
      </c>
      <c r="Q34" s="122" t="str">
        <f t="shared" si="5"/>
        <v>iah(\d)</v>
      </c>
      <c r="R34" s="125" t="s">
        <v>1228</v>
      </c>
      <c r="S34" s="125">
        <f t="shared" si="6"/>
        <v>2</v>
      </c>
      <c r="T34" s="122" t="str">
        <f t="shared" si="9"/>
        <v>i》a${1}h</v>
      </c>
      <c r="U34" s="56"/>
      <c r="V34" s="57" t="str">
        <f t="shared" si="7"/>
        <v xml:space="preserve">    - xform/》iah(\d)/i》a${1}h/</v>
      </c>
    </row>
    <row r="35" spans="1:22" ht="27.75" thickBot="1">
      <c r="A35" s="185">
        <f t="shared" si="4"/>
        <v>32</v>
      </c>
      <c r="B35" s="140" t="s">
        <v>2460</v>
      </c>
      <c r="C35" s="142" t="s">
        <v>115</v>
      </c>
      <c r="D35" s="58" t="s">
        <v>115</v>
      </c>
      <c r="E35" s="58" t="s">
        <v>115</v>
      </c>
      <c r="F35" s="58" t="s">
        <v>115</v>
      </c>
      <c r="G35" s="61" t="s">
        <v>116</v>
      </c>
      <c r="H35" s="58" t="s">
        <v>114</v>
      </c>
      <c r="I35" s="58" t="s">
        <v>2246</v>
      </c>
      <c r="J35" s="55" t="s">
        <v>117</v>
      </c>
      <c r="K35" s="58"/>
      <c r="L35" s="55">
        <f t="shared" si="0"/>
        <v>2</v>
      </c>
      <c r="M35" s="74"/>
      <c r="N35" s="58" t="str">
        <f>C39</f>
        <v>iannh</v>
      </c>
      <c r="O35" s="58" t="str">
        <f>D39</f>
        <v>iannh</v>
      </c>
      <c r="Q35" s="122" t="str">
        <f t="shared" si="5"/>
        <v>iannh(\d)</v>
      </c>
      <c r="R35" s="125" t="s">
        <v>1228</v>
      </c>
      <c r="S35" s="125">
        <f t="shared" si="6"/>
        <v>2</v>
      </c>
      <c r="T35" s="122" t="str">
        <f t="shared" si="9"/>
        <v>i》a${1}nnh</v>
      </c>
      <c r="U35" s="56"/>
      <c r="V35" s="57" t="str">
        <f t="shared" si="7"/>
        <v xml:space="preserve">    - xform/》iannh(\d)/i》a${1}nnh/</v>
      </c>
    </row>
    <row r="36" spans="1:22" ht="27.75" thickBot="1">
      <c r="A36" s="185">
        <f t="shared" si="4"/>
        <v>33</v>
      </c>
      <c r="B36" s="140" t="s">
        <v>2418</v>
      </c>
      <c r="C36" s="142" t="s">
        <v>272</v>
      </c>
      <c r="D36" s="58" t="s">
        <v>272</v>
      </c>
      <c r="E36" s="58" t="s">
        <v>272</v>
      </c>
      <c r="F36" s="58" t="s">
        <v>272</v>
      </c>
      <c r="G36" s="61" t="s">
        <v>272</v>
      </c>
      <c r="H36" s="58" t="s">
        <v>274</v>
      </c>
      <c r="I36" s="58" t="s">
        <v>274</v>
      </c>
      <c r="J36" s="55" t="s">
        <v>275</v>
      </c>
      <c r="K36" s="58"/>
      <c r="L36" s="55">
        <f t="shared" si="0"/>
        <v>2</v>
      </c>
      <c r="M36" s="74"/>
      <c r="N36" s="58" t="str">
        <f>C40</f>
        <v>iam</v>
      </c>
      <c r="O36" s="58" t="str">
        <f>D40</f>
        <v>iam</v>
      </c>
      <c r="Q36" s="122" t="str">
        <f t="shared" si="5"/>
        <v>iam(\d)</v>
      </c>
      <c r="R36" s="125" t="s">
        <v>1229</v>
      </c>
      <c r="S36" s="125">
        <f t="shared" si="6"/>
        <v>1</v>
      </c>
      <c r="T36" s="122" t="str">
        <f t="shared" si="9"/>
        <v>》i${1}am</v>
      </c>
      <c r="U36" s="56"/>
      <c r="V36" s="57" t="str">
        <f t="shared" si="7"/>
        <v xml:space="preserve">    - xform/》iam(\d)/》i${1}am/</v>
      </c>
    </row>
    <row r="37" spans="1:22" ht="27.75" thickBot="1">
      <c r="A37" s="185">
        <f t="shared" si="4"/>
        <v>34</v>
      </c>
      <c r="B37" s="140" t="str">
        <f>_xlfn.CONCAT("ɪ", "a", _xlfn.UNICHAR(771), "")</f>
        <v>ɪã</v>
      </c>
      <c r="C37" s="142" t="s">
        <v>391</v>
      </c>
      <c r="D37" s="58" t="s">
        <v>391</v>
      </c>
      <c r="E37" s="58" t="s">
        <v>391</v>
      </c>
      <c r="F37" s="58" t="s">
        <v>394</v>
      </c>
      <c r="G37" s="61" t="s">
        <v>393</v>
      </c>
      <c r="H37" s="58" t="s">
        <v>390</v>
      </c>
      <c r="I37" s="58" t="s">
        <v>2277</v>
      </c>
      <c r="J37" s="55" t="s">
        <v>395</v>
      </c>
      <c r="K37" s="136" t="s">
        <v>1312</v>
      </c>
      <c r="L37" s="55">
        <f t="shared" si="0"/>
        <v>4</v>
      </c>
      <c r="M37" s="74"/>
      <c r="N37" s="58" t="str">
        <f>C41</f>
        <v>ian</v>
      </c>
      <c r="O37" s="58" t="str">
        <f>D41</f>
        <v>ian</v>
      </c>
      <c r="Q37" s="122" t="str">
        <f t="shared" si="5"/>
        <v>ian(\d)</v>
      </c>
      <c r="R37" s="125" t="s">
        <v>1229</v>
      </c>
      <c r="S37" s="125">
        <f t="shared" si="6"/>
        <v>1</v>
      </c>
      <c r="T37" s="122" t="str">
        <f t="shared" si="9"/>
        <v>》i${1}an</v>
      </c>
      <c r="U37" s="56"/>
      <c r="V37" s="57" t="str">
        <f t="shared" si="7"/>
        <v xml:space="preserve">    - xform/》ian(\d)/》i${1}an/</v>
      </c>
    </row>
    <row r="38" spans="1:22" ht="27.75" thickBot="1">
      <c r="A38" s="185">
        <f t="shared" si="4"/>
        <v>35</v>
      </c>
      <c r="B38" s="140" t="str">
        <f xml:space="preserve"> _xlfn.CONCAT(B36, "ʔ")</f>
        <v>ɪaʔ</v>
      </c>
      <c r="C38" s="142" t="s">
        <v>278</v>
      </c>
      <c r="D38" s="58" t="s">
        <v>278</v>
      </c>
      <c r="E38" s="58" t="s">
        <v>278</v>
      </c>
      <c r="F38" s="58" t="s">
        <v>278</v>
      </c>
      <c r="G38" s="61" t="s">
        <v>278</v>
      </c>
      <c r="H38" s="58" t="s">
        <v>2195</v>
      </c>
      <c r="I38" s="58" t="s">
        <v>2262</v>
      </c>
      <c r="J38" s="55" t="s">
        <v>279</v>
      </c>
      <c r="K38" s="58"/>
      <c r="L38" s="55">
        <f t="shared" si="0"/>
        <v>3</v>
      </c>
      <c r="M38" s="74"/>
      <c r="N38" s="58" t="str">
        <f>C42</f>
        <v>iang</v>
      </c>
      <c r="O38" s="58" t="str">
        <f>D42</f>
        <v>iang</v>
      </c>
      <c r="Q38" s="122" t="str">
        <f t="shared" si="5"/>
        <v>iang(\d)</v>
      </c>
      <c r="R38" s="125" t="s">
        <v>1229</v>
      </c>
      <c r="S38" s="125">
        <f t="shared" si="6"/>
        <v>1</v>
      </c>
      <c r="T38" s="122" t="str">
        <f t="shared" si="9"/>
        <v>》i${1}ang</v>
      </c>
      <c r="U38" s="56"/>
      <c r="V38" s="57" t="str">
        <f t="shared" si="7"/>
        <v xml:space="preserve">    - xform/》iang(\d)/》i${1}ang/</v>
      </c>
    </row>
    <row r="39" spans="1:22" ht="30.75" thickBot="1">
      <c r="A39" s="185">
        <f t="shared" si="4"/>
        <v>36</v>
      </c>
      <c r="B39" s="140" t="str">
        <f xml:space="preserve"> _xlfn.CONCAT(B37, "ʔ")</f>
        <v>ɪãʔ</v>
      </c>
      <c r="C39" s="142" t="s">
        <v>392</v>
      </c>
      <c r="D39" s="75" t="s">
        <v>2161</v>
      </c>
      <c r="E39" s="75" t="s">
        <v>2161</v>
      </c>
      <c r="F39" s="75" t="s">
        <v>2161</v>
      </c>
      <c r="G39" s="75" t="s">
        <v>2212</v>
      </c>
      <c r="H39" s="144" t="s">
        <v>2162</v>
      </c>
      <c r="I39" s="144" t="s">
        <v>2488</v>
      </c>
      <c r="J39" s="147" t="s">
        <v>2186</v>
      </c>
      <c r="K39" s="136" t="s">
        <v>1312</v>
      </c>
      <c r="L39" s="55">
        <f t="shared" si="0"/>
        <v>5</v>
      </c>
      <c r="M39" s="74"/>
      <c r="N39" s="58" t="str">
        <f>C43</f>
        <v>iap</v>
      </c>
      <c r="O39" s="58" t="str">
        <f>D43</f>
        <v>iap</v>
      </c>
      <c r="Q39" s="122" t="str">
        <f t="shared" si="5"/>
        <v>iap(\d)</v>
      </c>
      <c r="R39" s="125" t="s">
        <v>1229</v>
      </c>
      <c r="S39" s="125">
        <f t="shared" si="6"/>
        <v>1</v>
      </c>
      <c r="T39" s="122" t="str">
        <f t="shared" si="9"/>
        <v>》i${1}ap</v>
      </c>
      <c r="U39" s="56"/>
      <c r="V39" s="57" t="str">
        <f t="shared" si="7"/>
        <v xml:space="preserve">    - xform/》iap(\d)/》i${1}ap/</v>
      </c>
    </row>
    <row r="40" spans="1:22" ht="27.75" thickBot="1">
      <c r="A40" s="185">
        <f t="shared" si="4"/>
        <v>37</v>
      </c>
      <c r="B40" s="140" t="s">
        <v>2419</v>
      </c>
      <c r="C40" s="142" t="s">
        <v>247</v>
      </c>
      <c r="D40" s="58" t="s">
        <v>247</v>
      </c>
      <c r="E40" s="58" t="s">
        <v>247</v>
      </c>
      <c r="F40" s="58" t="s">
        <v>247</v>
      </c>
      <c r="G40" s="61" t="s">
        <v>247</v>
      </c>
      <c r="H40" s="58" t="s">
        <v>249</v>
      </c>
      <c r="I40" s="58" t="s">
        <v>2259</v>
      </c>
      <c r="J40" s="55" t="s">
        <v>250</v>
      </c>
      <c r="K40" s="58"/>
      <c r="L40" s="55">
        <f t="shared" ref="L40:L71" si="14" xml:space="preserve"> LEN(D40)</f>
        <v>3</v>
      </c>
      <c r="M40" s="74"/>
      <c r="N40" s="58" t="str">
        <f>C44</f>
        <v>iat</v>
      </c>
      <c r="O40" s="58" t="str">
        <f>D44</f>
        <v>iat</v>
      </c>
      <c r="Q40" s="122" t="str">
        <f t="shared" si="5"/>
        <v>iat(\d)</v>
      </c>
      <c r="R40" s="125" t="s">
        <v>1181</v>
      </c>
      <c r="S40" s="125" t="str">
        <f t="shared" si="6"/>
        <v/>
      </c>
      <c r="T40" s="122" t="str">
        <f t="shared" si="9"/>
        <v/>
      </c>
      <c r="U40" s="56"/>
      <c r="V40" s="57" t="str">
        <f t="shared" si="7"/>
        <v xml:space="preserve">    - xform/》iat(\d)//</v>
      </c>
    </row>
    <row r="41" spans="1:22" ht="27.75" thickBot="1">
      <c r="A41" s="185">
        <f t="shared" si="4"/>
        <v>38</v>
      </c>
      <c r="B41" s="140" t="s">
        <v>2461</v>
      </c>
      <c r="C41" s="142" t="s">
        <v>27</v>
      </c>
      <c r="D41" s="58" t="s">
        <v>27</v>
      </c>
      <c r="E41" s="58" t="s">
        <v>27</v>
      </c>
      <c r="F41" s="58" t="s">
        <v>27</v>
      </c>
      <c r="G41" s="61" t="s">
        <v>27</v>
      </c>
      <c r="H41" s="58" t="s">
        <v>29</v>
      </c>
      <c r="I41" s="58" t="s">
        <v>29</v>
      </c>
      <c r="J41" s="55" t="s">
        <v>30</v>
      </c>
      <c r="K41" s="58"/>
      <c r="L41" s="55">
        <f t="shared" si="14"/>
        <v>3</v>
      </c>
      <c r="M41" s="74"/>
      <c r="N41" s="58" t="str">
        <f>C45</f>
        <v>iak</v>
      </c>
      <c r="O41" s="58" t="str">
        <f>D45</f>
        <v>iak</v>
      </c>
      <c r="Q41" s="122" t="str">
        <f t="shared" si="5"/>
        <v>iak(\d)</v>
      </c>
      <c r="R41" s="125" t="s">
        <v>1305</v>
      </c>
      <c r="S41" s="125" t="str">
        <f t="shared" si="6"/>
        <v/>
      </c>
      <c r="T41" s="122" t="str">
        <f t="shared" si="9"/>
        <v/>
      </c>
      <c r="U41" s="56"/>
      <c r="V41" s="57" t="str">
        <f t="shared" si="7"/>
        <v xml:space="preserve">    - xform/》iak(\d)//</v>
      </c>
    </row>
    <row r="42" spans="1:22" ht="27.75" thickBot="1">
      <c r="A42" s="185">
        <f t="shared" si="4"/>
        <v>39</v>
      </c>
      <c r="B42" s="140" t="s">
        <v>2420</v>
      </c>
      <c r="C42" s="142" t="s">
        <v>203</v>
      </c>
      <c r="D42" s="58" t="s">
        <v>203</v>
      </c>
      <c r="E42" s="58" t="s">
        <v>203</v>
      </c>
      <c r="F42" s="58" t="s">
        <v>203</v>
      </c>
      <c r="G42" s="61" t="s">
        <v>203</v>
      </c>
      <c r="H42" s="58" t="s">
        <v>2197</v>
      </c>
      <c r="I42" s="58" t="s">
        <v>2197</v>
      </c>
      <c r="J42" s="55" t="s">
        <v>204</v>
      </c>
      <c r="K42" s="58"/>
      <c r="L42" s="55">
        <f t="shared" si="14"/>
        <v>4</v>
      </c>
      <c r="M42" s="74"/>
      <c r="N42" s="58" t="str">
        <f>C46</f>
        <v>iau</v>
      </c>
      <c r="O42" s="58" t="str">
        <f>D46</f>
        <v>iau</v>
      </c>
      <c r="Q42" s="122" t="str">
        <f t="shared" si="5"/>
        <v>iau(\d)</v>
      </c>
      <c r="R42" s="125" t="s">
        <v>1216</v>
      </c>
      <c r="S42" s="125" t="str">
        <f t="shared" si="6"/>
        <v/>
      </c>
      <c r="T42" s="122" t="str">
        <f t="shared" si="9"/>
        <v/>
      </c>
      <c r="U42" s="56"/>
      <c r="V42" s="57" t="str">
        <f t="shared" si="7"/>
        <v xml:space="preserve">    - xform/》iau(\d)//</v>
      </c>
    </row>
    <row r="43" spans="1:22" ht="27.75" thickBot="1">
      <c r="A43" s="185">
        <f t="shared" si="4"/>
        <v>40</v>
      </c>
      <c r="B43" s="140" t="s">
        <v>2421</v>
      </c>
      <c r="C43" s="142" t="s">
        <v>256</v>
      </c>
      <c r="D43" s="58" t="s">
        <v>256</v>
      </c>
      <c r="E43" s="58" t="s">
        <v>256</v>
      </c>
      <c r="F43" s="58" t="s">
        <v>256</v>
      </c>
      <c r="G43" s="61" t="s">
        <v>256</v>
      </c>
      <c r="H43" s="58" t="s">
        <v>255</v>
      </c>
      <c r="I43" s="58" t="s">
        <v>2260</v>
      </c>
      <c r="J43" s="55" t="s">
        <v>257</v>
      </c>
      <c r="K43" s="58"/>
      <c r="L43" s="55">
        <f t="shared" si="14"/>
        <v>3</v>
      </c>
      <c r="M43" s="74"/>
      <c r="N43" s="58" t="str">
        <f>C47</f>
        <v>iaunn</v>
      </c>
      <c r="O43" s="58" t="str">
        <f>D47</f>
        <v>iaunn</v>
      </c>
      <c r="Q43" s="122" t="str">
        <f t="shared" si="5"/>
        <v>iaunn(\d)</v>
      </c>
      <c r="R43" s="125" t="s">
        <v>1216</v>
      </c>
      <c r="S43" s="125" t="str">
        <f t="shared" si="6"/>
        <v/>
      </c>
      <c r="T43" s="122" t="str">
        <f t="shared" si="9"/>
        <v/>
      </c>
      <c r="U43" s="56"/>
      <c r="V43" s="57" t="str">
        <f t="shared" si="7"/>
        <v xml:space="preserve">    - xform/》iaunn(\d)//</v>
      </c>
    </row>
    <row r="44" spans="1:22" ht="27.75" thickBot="1">
      <c r="A44" s="185">
        <f t="shared" si="4"/>
        <v>41</v>
      </c>
      <c r="B44" s="140" t="s">
        <v>2462</v>
      </c>
      <c r="C44" s="142" t="s">
        <v>34</v>
      </c>
      <c r="D44" s="58" t="s">
        <v>34</v>
      </c>
      <c r="E44" s="58" t="s">
        <v>34</v>
      </c>
      <c r="F44" s="58" t="s">
        <v>34</v>
      </c>
      <c r="G44" s="61" t="s">
        <v>34</v>
      </c>
      <c r="H44" s="58" t="s">
        <v>33</v>
      </c>
      <c r="I44" s="58" t="s">
        <v>2238</v>
      </c>
      <c r="J44" s="55" t="s">
        <v>35</v>
      </c>
      <c r="K44" s="58"/>
      <c r="L44" s="55">
        <f t="shared" si="14"/>
        <v>3</v>
      </c>
      <c r="M44" s="74"/>
      <c r="N44" s="58" t="str">
        <f>C48</f>
        <v>iauh</v>
      </c>
      <c r="O44" s="58" t="str">
        <f>D48</f>
        <v>iauh</v>
      </c>
      <c r="Q44" s="122" t="str">
        <f t="shared" si="5"/>
        <v>iauh(\d)</v>
      </c>
      <c r="R44" s="125" t="s">
        <v>1216</v>
      </c>
      <c r="S44" s="125" t="str">
        <f t="shared" si="6"/>
        <v/>
      </c>
      <c r="T44" s="122" t="str">
        <f t="shared" si="9"/>
        <v/>
      </c>
      <c r="U44" s="56"/>
      <c r="V44" s="57" t="str">
        <f t="shared" si="7"/>
        <v xml:space="preserve">    - xform/》iauh(\d)//</v>
      </c>
    </row>
    <row r="45" spans="1:22" ht="27.75" thickBot="1">
      <c r="A45" s="185">
        <f t="shared" si="4"/>
        <v>42</v>
      </c>
      <c r="B45" s="140" t="s">
        <v>2422</v>
      </c>
      <c r="C45" s="142" t="s">
        <v>207</v>
      </c>
      <c r="D45" s="58" t="s">
        <v>207</v>
      </c>
      <c r="E45" s="58" t="s">
        <v>207</v>
      </c>
      <c r="F45" s="58" t="s">
        <v>207</v>
      </c>
      <c r="G45" s="61" t="s">
        <v>207</v>
      </c>
      <c r="H45" s="58" t="s">
        <v>2198</v>
      </c>
      <c r="I45" s="58" t="s">
        <v>2254</v>
      </c>
      <c r="J45" s="55" t="s">
        <v>208</v>
      </c>
      <c r="K45" s="58"/>
      <c r="L45" s="55">
        <f t="shared" si="14"/>
        <v>3</v>
      </c>
      <c r="M45" s="74"/>
      <c r="N45" s="58" t="str">
        <f>C49</f>
        <v>io</v>
      </c>
      <c r="O45" s="58" t="str">
        <f>D49</f>
        <v>io</v>
      </c>
      <c r="Q45" s="122" t="str">
        <f t="shared" si="5"/>
        <v>io(\d)</v>
      </c>
      <c r="R45" s="125" t="s">
        <v>1228</v>
      </c>
      <c r="S45" s="125" t="str">
        <f t="shared" si="6"/>
        <v/>
      </c>
      <c r="T45" s="122" t="str">
        <f t="shared" si="9"/>
        <v/>
      </c>
      <c r="U45" s="56"/>
      <c r="V45" s="57" t="str">
        <f t="shared" si="7"/>
        <v xml:space="preserve">    - xform/》io(\d)//</v>
      </c>
    </row>
    <row r="46" spans="1:22" ht="27.75" thickBot="1">
      <c r="A46" s="185">
        <f t="shared" si="4"/>
        <v>43</v>
      </c>
      <c r="B46" s="140" t="s">
        <v>2373</v>
      </c>
      <c r="C46" s="142" t="s">
        <v>141</v>
      </c>
      <c r="D46" s="58" t="s">
        <v>141</v>
      </c>
      <c r="E46" s="58" t="s">
        <v>141</v>
      </c>
      <c r="F46" s="58" t="s">
        <v>144</v>
      </c>
      <c r="G46" s="61" t="s">
        <v>141</v>
      </c>
      <c r="H46" s="58" t="s">
        <v>143</v>
      </c>
      <c r="I46" s="58" t="s">
        <v>143</v>
      </c>
      <c r="J46" s="55" t="s">
        <v>145</v>
      </c>
      <c r="K46" s="58"/>
      <c r="L46" s="55">
        <f t="shared" si="14"/>
        <v>3</v>
      </c>
      <c r="M46" s="74"/>
      <c r="N46" s="58" t="str">
        <f>C50</f>
        <v>ionn</v>
      </c>
      <c r="O46" s="58" t="str">
        <f>D50</f>
        <v>ionn</v>
      </c>
      <c r="Q46" s="122" t="str">
        <f t="shared" si="5"/>
        <v>ionn(\d)</v>
      </c>
      <c r="R46" s="125" t="s">
        <v>1228</v>
      </c>
      <c r="S46" s="125" t="str">
        <f t="shared" si="6"/>
        <v/>
      </c>
      <c r="T46" s="122" t="str">
        <f t="shared" si="9"/>
        <v/>
      </c>
      <c r="U46" s="56"/>
      <c r="V46" s="57" t="str">
        <f t="shared" si="7"/>
        <v xml:space="preserve">    - xform/》ionn(\d)//</v>
      </c>
    </row>
    <row r="47" spans="1:22" ht="27.75" thickBot="1">
      <c r="A47" s="185">
        <f t="shared" si="4"/>
        <v>44</v>
      </c>
      <c r="B47" s="140" t="str">
        <f>_xlfn.CONCAT("ɪ", "a", _xlfn.UNICHAR(771), "ʊ")</f>
        <v>ɪãʊ</v>
      </c>
      <c r="C47" s="142" t="s">
        <v>467</v>
      </c>
      <c r="D47" s="58" t="s">
        <v>467</v>
      </c>
      <c r="E47" s="58" t="s">
        <v>467</v>
      </c>
      <c r="F47" s="58" t="s">
        <v>469</v>
      </c>
      <c r="G47" s="61" t="s">
        <v>468</v>
      </c>
      <c r="H47" s="58" t="s">
        <v>466</v>
      </c>
      <c r="I47" s="58" t="s">
        <v>2285</v>
      </c>
      <c r="J47" s="55" t="s">
        <v>470</v>
      </c>
      <c r="K47" s="136" t="s">
        <v>1312</v>
      </c>
      <c r="L47" s="55">
        <f t="shared" si="14"/>
        <v>5</v>
      </c>
      <c r="M47" s="74"/>
      <c r="N47" s="58" t="str">
        <f>C51</f>
        <v>ioh</v>
      </c>
      <c r="O47" s="58" t="str">
        <f>D51</f>
        <v>ioh</v>
      </c>
      <c r="Q47" s="122" t="str">
        <f t="shared" si="5"/>
        <v>ioh(\d)</v>
      </c>
      <c r="R47" s="125" t="s">
        <v>1228</v>
      </c>
      <c r="S47" s="125" t="str">
        <f t="shared" si="6"/>
        <v/>
      </c>
      <c r="T47" s="122" t="str">
        <f t="shared" si="9"/>
        <v/>
      </c>
      <c r="U47" s="56"/>
      <c r="V47" s="57" t="str">
        <f t="shared" si="7"/>
        <v xml:space="preserve">    - xform/》ioh(\d)//</v>
      </c>
    </row>
    <row r="48" spans="1:22" ht="27.75" thickBot="1">
      <c r="A48" s="185">
        <f t="shared" si="4"/>
        <v>45</v>
      </c>
      <c r="B48" s="140" t="str">
        <f xml:space="preserve"> _xlfn.CONCAT(B46, "ʔ")</f>
        <v>ɪaʊʔ</v>
      </c>
      <c r="C48" s="142" t="s">
        <v>148</v>
      </c>
      <c r="D48" s="58" t="s">
        <v>148</v>
      </c>
      <c r="E48" s="58" t="s">
        <v>148</v>
      </c>
      <c r="F48" s="58" t="s">
        <v>149</v>
      </c>
      <c r="G48" s="61" t="s">
        <v>148</v>
      </c>
      <c r="H48" s="58" t="s">
        <v>2199</v>
      </c>
      <c r="I48" s="58" t="s">
        <v>2249</v>
      </c>
      <c r="J48" s="55" t="s">
        <v>150</v>
      </c>
      <c r="K48" s="58"/>
      <c r="L48" s="55">
        <f t="shared" si="14"/>
        <v>4</v>
      </c>
      <c r="M48" s="74"/>
      <c r="N48" s="58" t="str">
        <f>C52</f>
        <v>iong</v>
      </c>
      <c r="O48" s="58" t="str">
        <f>D52</f>
        <v>iong</v>
      </c>
      <c r="Q48" s="122" t="str">
        <f t="shared" si="5"/>
        <v>iong(\d)</v>
      </c>
      <c r="R48" s="125" t="s">
        <v>1228</v>
      </c>
      <c r="S48" s="125" t="str">
        <f t="shared" si="6"/>
        <v/>
      </c>
      <c r="T48" s="122" t="str">
        <f t="shared" si="9"/>
        <v/>
      </c>
      <c r="U48" s="56"/>
      <c r="V48" s="57" t="str">
        <f t="shared" si="7"/>
        <v xml:space="preserve">    - xform/》iong(\d)//</v>
      </c>
    </row>
    <row r="49" spans="1:22" ht="27.75" thickBot="1">
      <c r="A49" s="185">
        <f t="shared" si="4"/>
        <v>46</v>
      </c>
      <c r="B49" s="140" t="s">
        <v>2465</v>
      </c>
      <c r="C49" s="142" t="s">
        <v>357</v>
      </c>
      <c r="D49" s="58" t="s">
        <v>357</v>
      </c>
      <c r="E49" s="58" t="s">
        <v>360</v>
      </c>
      <c r="F49" s="58" t="s">
        <v>357</v>
      </c>
      <c r="G49" s="61" t="s">
        <v>357</v>
      </c>
      <c r="H49" s="58" t="s">
        <v>359</v>
      </c>
      <c r="I49" s="58" t="s">
        <v>359</v>
      </c>
      <c r="J49" s="55" t="s">
        <v>361</v>
      </c>
      <c r="K49" s="58"/>
      <c r="L49" s="55">
        <f t="shared" si="14"/>
        <v>2</v>
      </c>
      <c r="M49" s="74"/>
      <c r="N49" s="58" t="str">
        <f>C53</f>
        <v>iok</v>
      </c>
      <c r="O49" s="58" t="str">
        <f>D53</f>
        <v>iok</v>
      </c>
      <c r="Q49" s="122" t="str">
        <f t="shared" si="5"/>
        <v>iok(\d)</v>
      </c>
      <c r="R49" s="125" t="s">
        <v>1181</v>
      </c>
      <c r="S49" s="125" t="str">
        <f t="shared" si="6"/>
        <v/>
      </c>
      <c r="T49" s="122" t="str">
        <f t="shared" si="9"/>
        <v/>
      </c>
      <c r="U49" s="56"/>
      <c r="V49" s="57" t="str">
        <f t="shared" si="7"/>
        <v xml:space="preserve">    - xform/》iok(\d)//</v>
      </c>
    </row>
    <row r="50" spans="1:22" ht="27.75" thickBot="1">
      <c r="A50" s="185">
        <f t="shared" si="4"/>
        <v>47</v>
      </c>
      <c r="B50" s="140" t="s">
        <v>2386</v>
      </c>
      <c r="C50" s="142" t="s">
        <v>383</v>
      </c>
      <c r="D50" s="58" t="s">
        <v>383</v>
      </c>
      <c r="E50" s="58" t="s">
        <v>386</v>
      </c>
      <c r="F50" s="58" t="s">
        <v>385</v>
      </c>
      <c r="G50" s="61" t="s">
        <v>384</v>
      </c>
      <c r="H50" s="58" t="s">
        <v>382</v>
      </c>
      <c r="I50" s="58" t="s">
        <v>2276</v>
      </c>
      <c r="J50" s="55" t="s">
        <v>387</v>
      </c>
      <c r="K50" s="136" t="s">
        <v>1312</v>
      </c>
      <c r="L50" s="55">
        <f t="shared" si="14"/>
        <v>4</v>
      </c>
      <c r="M50" s="74"/>
      <c r="N50" s="58" t="str">
        <f>C54</f>
        <v>iu</v>
      </c>
      <c r="O50" s="58" t="str">
        <f>D54</f>
        <v>iu</v>
      </c>
      <c r="Q50" s="122" t="str">
        <f t="shared" si="5"/>
        <v>iu(\d)</v>
      </c>
      <c r="R50" s="125" t="s">
        <v>1228</v>
      </c>
      <c r="S50" s="125" t="str">
        <f t="shared" si="6"/>
        <v/>
      </c>
      <c r="T50" s="122" t="str">
        <f t="shared" si="9"/>
        <v/>
      </c>
      <c r="U50" s="56"/>
      <c r="V50" s="57" t="str">
        <f t="shared" si="7"/>
        <v xml:space="preserve">    - xform/》iu(\d)//</v>
      </c>
    </row>
    <row r="51" spans="1:22" ht="27.75" thickBot="1">
      <c r="A51" s="185">
        <f t="shared" si="4"/>
        <v>48</v>
      </c>
      <c r="B51" s="140" t="s">
        <v>2466</v>
      </c>
      <c r="C51" s="142" t="s">
        <v>363</v>
      </c>
      <c r="D51" s="58" t="s">
        <v>363</v>
      </c>
      <c r="E51" s="58" t="s">
        <v>364</v>
      </c>
      <c r="F51" s="58" t="s">
        <v>363</v>
      </c>
      <c r="G51" s="61" t="s">
        <v>363</v>
      </c>
      <c r="H51" s="58" t="s">
        <v>2200</v>
      </c>
      <c r="I51" s="58" t="s">
        <v>2273</v>
      </c>
      <c r="J51" s="55" t="s">
        <v>365</v>
      </c>
      <c r="K51" s="58"/>
      <c r="L51" s="55">
        <f t="shared" si="14"/>
        <v>3</v>
      </c>
      <c r="M51" s="74"/>
      <c r="N51" s="58" t="str">
        <f>C55</f>
        <v>iunn</v>
      </c>
      <c r="O51" s="58" t="str">
        <f>D55</f>
        <v>iunn</v>
      </c>
      <c r="Q51" s="122" t="str">
        <f t="shared" si="5"/>
        <v>iunn(\d)</v>
      </c>
      <c r="R51" s="125" t="s">
        <v>1229</v>
      </c>
      <c r="S51" s="125">
        <f t="shared" si="6"/>
        <v>1</v>
      </c>
      <c r="T51" s="122" t="str">
        <f t="shared" si="9"/>
        <v>》i${1}unn</v>
      </c>
      <c r="U51" s="56"/>
      <c r="V51" s="57" t="str">
        <f t="shared" si="7"/>
        <v xml:space="preserve">    - xform/》iunn(\d)/》i${1}unn/</v>
      </c>
    </row>
    <row r="52" spans="1:22" ht="27.75" thickBot="1">
      <c r="A52" s="185">
        <f t="shared" si="4"/>
        <v>49</v>
      </c>
      <c r="B52" s="140" t="s">
        <v>2387</v>
      </c>
      <c r="C52" s="142" t="s">
        <v>162</v>
      </c>
      <c r="D52" s="58" t="s">
        <v>162</v>
      </c>
      <c r="E52" s="58" t="s">
        <v>162</v>
      </c>
      <c r="F52" s="58" t="s">
        <v>162</v>
      </c>
      <c r="G52" s="61" t="s">
        <v>162</v>
      </c>
      <c r="H52" s="58" t="s">
        <v>161</v>
      </c>
      <c r="I52" s="58" t="s">
        <v>2250</v>
      </c>
      <c r="J52" s="55" t="s">
        <v>163</v>
      </c>
      <c r="K52" s="58"/>
      <c r="L52" s="55">
        <f t="shared" si="14"/>
        <v>4</v>
      </c>
      <c r="M52" s="74"/>
      <c r="N52" s="58" t="str">
        <f>C56</f>
        <v>iunnh</v>
      </c>
      <c r="O52" s="58" t="str">
        <f>D56</f>
        <v>iunnh</v>
      </c>
      <c r="Q52" s="122" t="str">
        <f t="shared" si="5"/>
        <v>iunnh(\d)</v>
      </c>
      <c r="R52" s="125" t="s">
        <v>1228</v>
      </c>
      <c r="S52" s="125" t="str">
        <f t="shared" si="6"/>
        <v/>
      </c>
      <c r="T52" s="122" t="str">
        <f t="shared" si="9"/>
        <v/>
      </c>
      <c r="U52" s="56"/>
      <c r="V52" s="57" t="str">
        <f t="shared" si="7"/>
        <v xml:space="preserve">    - xform/》iunnh(\d)//</v>
      </c>
    </row>
    <row r="53" spans="1:22" ht="27.75" thickBot="1">
      <c r="A53" s="185">
        <f t="shared" si="4"/>
        <v>50</v>
      </c>
      <c r="B53" s="140" t="s">
        <v>2388</v>
      </c>
      <c r="C53" s="142" t="s">
        <v>167</v>
      </c>
      <c r="D53" s="58" t="s">
        <v>167</v>
      </c>
      <c r="E53" s="58" t="s">
        <v>895</v>
      </c>
      <c r="F53" s="58" t="s">
        <v>167</v>
      </c>
      <c r="G53" s="61" t="s">
        <v>167</v>
      </c>
      <c r="H53" s="58" t="s">
        <v>166</v>
      </c>
      <c r="I53" s="58" t="s">
        <v>2251</v>
      </c>
      <c r="J53" s="55" t="s">
        <v>168</v>
      </c>
      <c r="K53" s="58"/>
      <c r="L53" s="55">
        <f t="shared" si="14"/>
        <v>3</v>
      </c>
      <c r="M53" s="74"/>
      <c r="N53" s="58" t="str">
        <f>C57</f>
        <v>o</v>
      </c>
      <c r="O53" s="58" t="str">
        <f>D57</f>
        <v>o</v>
      </c>
      <c r="Q53" s="122" t="str">
        <f t="shared" si="5"/>
        <v>o(\d)</v>
      </c>
      <c r="R53" s="125" t="s">
        <v>1229</v>
      </c>
      <c r="S53" s="125" t="str">
        <f t="shared" si="6"/>
        <v/>
      </c>
      <c r="T53" s="122" t="str">
        <f t="shared" si="9"/>
        <v/>
      </c>
      <c r="U53" s="56"/>
      <c r="V53" s="57" t="str">
        <f t="shared" si="7"/>
        <v xml:space="preserve">    - xform/》o(\d)//</v>
      </c>
    </row>
    <row r="54" spans="1:22" ht="27.75" thickBot="1">
      <c r="A54" s="185">
        <f t="shared" si="4"/>
        <v>51</v>
      </c>
      <c r="B54" s="140" t="str">
        <f>_xlfn.CONCAT("ɪ", "u")</f>
        <v>ɪu</v>
      </c>
      <c r="C54" s="142" t="s">
        <v>332</v>
      </c>
      <c r="D54" s="58" t="s">
        <v>332</v>
      </c>
      <c r="E54" s="58" t="s">
        <v>332</v>
      </c>
      <c r="F54" s="58" t="s">
        <v>332</v>
      </c>
      <c r="G54" s="61" t="s">
        <v>332</v>
      </c>
      <c r="H54" s="58" t="s">
        <v>334</v>
      </c>
      <c r="I54" s="58" t="s">
        <v>334</v>
      </c>
      <c r="J54" s="55" t="s">
        <v>335</v>
      </c>
      <c r="K54" s="58"/>
      <c r="L54" s="55">
        <f t="shared" si="14"/>
        <v>2</v>
      </c>
      <c r="M54" s="74"/>
      <c r="N54" s="58" t="str">
        <f>C58</f>
        <v>oo</v>
      </c>
      <c r="O54" s="58" t="str">
        <f>D58</f>
        <v>oo</v>
      </c>
      <c r="Q54" s="122" t="str">
        <f t="shared" si="5"/>
        <v>oo(\d)</v>
      </c>
      <c r="R54" s="125" t="s">
        <v>1181</v>
      </c>
      <c r="S54" s="125" t="str">
        <f t="shared" si="6"/>
        <v/>
      </c>
      <c r="T54" s="122" t="str">
        <f t="shared" si="9"/>
        <v/>
      </c>
      <c r="U54" s="56"/>
      <c r="V54" s="57" t="str">
        <f t="shared" si="7"/>
        <v xml:space="preserve">    - xform/》oo(\d)//</v>
      </c>
    </row>
    <row r="55" spans="1:22" ht="27.75" thickBot="1">
      <c r="A55" s="185">
        <f t="shared" si="4"/>
        <v>52</v>
      </c>
      <c r="B55" s="140" t="str">
        <f>_xlfn.CONCAT("ɪ", "u", _xlfn.UNICHAR(771), "")</f>
        <v>ɪũ</v>
      </c>
      <c r="C55" s="142" t="s">
        <v>507</v>
      </c>
      <c r="D55" s="58" t="s">
        <v>507</v>
      </c>
      <c r="E55" s="58" t="s">
        <v>507</v>
      </c>
      <c r="F55" s="58" t="s">
        <v>509</v>
      </c>
      <c r="G55" s="61" t="s">
        <v>508</v>
      </c>
      <c r="H55" s="58" t="s">
        <v>506</v>
      </c>
      <c r="I55" s="58" t="s">
        <v>2489</v>
      </c>
      <c r="J55" s="55" t="s">
        <v>510</v>
      </c>
      <c r="K55" s="136" t="s">
        <v>1312</v>
      </c>
      <c r="L55" s="55">
        <f t="shared" si="14"/>
        <v>4</v>
      </c>
      <c r="M55" s="74"/>
      <c r="N55" s="58" t="str">
        <f>C59</f>
        <v>onn</v>
      </c>
      <c r="O55" s="58" t="str">
        <f>D59</f>
        <v>onn</v>
      </c>
      <c r="Q55" s="122" t="str">
        <f t="shared" si="5"/>
        <v>onn(\d)</v>
      </c>
      <c r="R55" s="125" t="s">
        <v>1181</v>
      </c>
      <c r="S55" s="125" t="str">
        <f t="shared" si="6"/>
        <v/>
      </c>
      <c r="T55" s="122" t="str">
        <f t="shared" si="9"/>
        <v/>
      </c>
      <c r="U55" s="56"/>
      <c r="V55" s="57" t="str">
        <f t="shared" si="7"/>
        <v xml:space="preserve">    - xform/》onn(\d)//</v>
      </c>
    </row>
    <row r="56" spans="1:22" ht="30.75" thickBot="1">
      <c r="A56" s="185">
        <f t="shared" si="4"/>
        <v>53</v>
      </c>
      <c r="B56" s="140" t="str">
        <f xml:space="preserve"> _xlfn.CONCAT(LEFT(B55,1), MID(B55,2,1), _xlfn.UNICHAR(771), "ʔ")</f>
        <v>ɪũʔ</v>
      </c>
      <c r="C56" s="142" t="s">
        <v>1870</v>
      </c>
      <c r="D56" s="75" t="s">
        <v>2168</v>
      </c>
      <c r="E56" s="75" t="s">
        <v>2168</v>
      </c>
      <c r="F56" s="75" t="s">
        <v>2170</v>
      </c>
      <c r="G56" s="75" t="s">
        <v>2213</v>
      </c>
      <c r="H56" s="144" t="s">
        <v>2163</v>
      </c>
      <c r="I56" s="144" t="s">
        <v>2490</v>
      </c>
      <c r="J56" s="147" t="s">
        <v>2185</v>
      </c>
      <c r="K56" s="136" t="s">
        <v>1312</v>
      </c>
      <c r="L56" s="55">
        <f t="shared" si="14"/>
        <v>5</v>
      </c>
      <c r="M56" s="74"/>
      <c r="N56" s="58" t="str">
        <f>C60</f>
        <v>oh</v>
      </c>
      <c r="O56" s="58" t="str">
        <f>D60</f>
        <v>oh</v>
      </c>
      <c r="Q56" s="122" t="str">
        <f t="shared" si="5"/>
        <v>oh(\d)</v>
      </c>
      <c r="R56" s="125" t="s">
        <v>1228</v>
      </c>
      <c r="S56" s="125" t="str">
        <f t="shared" si="6"/>
        <v/>
      </c>
      <c r="T56" s="122" t="str">
        <f t="shared" si="9"/>
        <v/>
      </c>
      <c r="U56" s="56"/>
      <c r="V56" s="57" t="str">
        <f t="shared" si="7"/>
        <v xml:space="preserve">    - xform/》oh(\d)//</v>
      </c>
    </row>
    <row r="57" spans="1:22" ht="27.75" thickBot="1">
      <c r="A57" s="185">
        <f t="shared" si="4"/>
        <v>54</v>
      </c>
      <c r="B57" s="140" t="s">
        <v>2463</v>
      </c>
      <c r="C57" s="142" t="s">
        <v>171</v>
      </c>
      <c r="D57" s="58" t="s">
        <v>171</v>
      </c>
      <c r="E57" s="58" t="s">
        <v>174</v>
      </c>
      <c r="F57" s="58" t="s">
        <v>171</v>
      </c>
      <c r="G57" s="61" t="s">
        <v>171</v>
      </c>
      <c r="H57" s="58" t="s">
        <v>173</v>
      </c>
      <c r="I57" s="58" t="s">
        <v>173</v>
      </c>
      <c r="J57" s="55" t="s">
        <v>175</v>
      </c>
      <c r="K57" s="58"/>
      <c r="L57" s="55">
        <f t="shared" si="14"/>
        <v>1</v>
      </c>
      <c r="M57" s="74"/>
      <c r="N57" s="58" t="str">
        <f>C61</f>
        <v>ooh</v>
      </c>
      <c r="O57" s="58" t="str">
        <f>D61</f>
        <v>ooh</v>
      </c>
      <c r="Q57" s="122" t="str">
        <f t="shared" si="5"/>
        <v>ooh(\d)</v>
      </c>
      <c r="R57" s="125" t="s">
        <v>1228</v>
      </c>
      <c r="S57" s="125" t="str">
        <f t="shared" si="6"/>
        <v/>
      </c>
      <c r="T57" s="122" t="str">
        <f t="shared" si="9"/>
        <v/>
      </c>
      <c r="U57" s="56"/>
      <c r="V57" s="57" t="str">
        <f t="shared" si="7"/>
        <v xml:space="preserve">    - xform/》ooh(\d)//</v>
      </c>
    </row>
    <row r="58" spans="1:22" ht="27.75" thickBot="1">
      <c r="A58" s="185">
        <f t="shared" si="4"/>
        <v>55</v>
      </c>
      <c r="B58" s="140" t="s">
        <v>2389</v>
      </c>
      <c r="C58" s="142" t="s">
        <v>136</v>
      </c>
      <c r="D58" s="58" t="s">
        <v>136</v>
      </c>
      <c r="E58" s="58" t="s">
        <v>136</v>
      </c>
      <c r="F58" s="58" t="s">
        <v>136</v>
      </c>
      <c r="G58" s="61" t="s">
        <v>137</v>
      </c>
      <c r="H58" s="58" t="s">
        <v>1339</v>
      </c>
      <c r="I58" s="58" t="s">
        <v>2248</v>
      </c>
      <c r="J58" s="55" t="s">
        <v>138</v>
      </c>
      <c r="K58" s="58"/>
      <c r="L58" s="55">
        <f t="shared" si="14"/>
        <v>2</v>
      </c>
      <c r="M58" s="74"/>
      <c r="N58" s="58" t="str">
        <f>C62</f>
        <v>onnh</v>
      </c>
      <c r="O58" s="58" t="str">
        <f>D62</f>
        <v>ohnn</v>
      </c>
      <c r="Q58" s="122" t="str">
        <f t="shared" si="5"/>
        <v>onnh(\d)</v>
      </c>
      <c r="R58" s="125" t="s">
        <v>1228</v>
      </c>
      <c r="S58" s="125" t="str">
        <f t="shared" si="6"/>
        <v/>
      </c>
      <c r="T58" s="122" t="str">
        <f t="shared" si="9"/>
        <v/>
      </c>
      <c r="U58" s="56"/>
      <c r="V58" s="57" t="str">
        <f t="shared" si="7"/>
        <v xml:space="preserve">    - xform/》onnh(\d)//</v>
      </c>
    </row>
    <row r="59" spans="1:22" ht="27.75" thickBot="1">
      <c r="A59" s="185">
        <f t="shared" si="4"/>
        <v>56</v>
      </c>
      <c r="B59" s="140" t="s">
        <v>2390</v>
      </c>
      <c r="C59" s="142" t="s">
        <v>425</v>
      </c>
      <c r="D59" s="58" t="s">
        <v>425</v>
      </c>
      <c r="E59" s="58" t="s">
        <v>424</v>
      </c>
      <c r="F59" s="58" t="s">
        <v>427</v>
      </c>
      <c r="G59" s="61" t="s">
        <v>2214</v>
      </c>
      <c r="H59" s="58" t="s">
        <v>423</v>
      </c>
      <c r="I59" s="58" t="s">
        <v>2280</v>
      </c>
      <c r="J59" s="55" t="s">
        <v>428</v>
      </c>
      <c r="K59" s="58"/>
      <c r="L59" s="55">
        <f t="shared" si="14"/>
        <v>3</v>
      </c>
      <c r="M59" s="74"/>
      <c r="N59" s="58" t="str">
        <f>C63</f>
        <v>om</v>
      </c>
      <c r="O59" s="58" t="str">
        <f>D63</f>
        <v>om</v>
      </c>
      <c r="Q59" s="122" t="str">
        <f t="shared" si="5"/>
        <v>om(\d)</v>
      </c>
      <c r="R59" s="125" t="s">
        <v>1228</v>
      </c>
      <c r="S59" s="125" t="str">
        <f t="shared" si="6"/>
        <v/>
      </c>
      <c r="T59" s="122" t="str">
        <f t="shared" si="9"/>
        <v/>
      </c>
      <c r="U59" s="56"/>
      <c r="V59" s="57" t="str">
        <f t="shared" si="7"/>
        <v xml:space="preserve">    - xform/》om(\d)//</v>
      </c>
    </row>
    <row r="60" spans="1:22" ht="27.75" thickBot="1">
      <c r="A60" s="185">
        <f t="shared" si="4"/>
        <v>57</v>
      </c>
      <c r="B60" s="140" t="s">
        <v>2464</v>
      </c>
      <c r="C60" s="142" t="s">
        <v>178</v>
      </c>
      <c r="D60" s="58" t="s">
        <v>178</v>
      </c>
      <c r="E60" s="58" t="s">
        <v>179</v>
      </c>
      <c r="F60" s="58" t="s">
        <v>178</v>
      </c>
      <c r="G60" s="61" t="s">
        <v>178</v>
      </c>
      <c r="H60" s="58" t="s">
        <v>2202</v>
      </c>
      <c r="I60" s="58" t="s">
        <v>2252</v>
      </c>
      <c r="J60" s="55" t="s">
        <v>180</v>
      </c>
      <c r="K60" s="58"/>
      <c r="L60" s="55">
        <f t="shared" si="14"/>
        <v>2</v>
      </c>
      <c r="M60" s="74"/>
      <c r="N60" s="58" t="str">
        <f>C64</f>
        <v>ong</v>
      </c>
      <c r="O60" s="58" t="str">
        <f>D64</f>
        <v>ong</v>
      </c>
      <c r="Q60" s="122" t="str">
        <f t="shared" si="5"/>
        <v>ong(\d)</v>
      </c>
      <c r="R60" s="125" t="s">
        <v>1228</v>
      </c>
      <c r="S60" s="125" t="str">
        <f t="shared" si="6"/>
        <v/>
      </c>
      <c r="T60" s="122" t="str">
        <f t="shared" si="9"/>
        <v/>
      </c>
      <c r="U60" s="56"/>
      <c r="V60" s="57" t="str">
        <f t="shared" si="7"/>
        <v xml:space="preserve">    - xform/》ong(\d)//</v>
      </c>
    </row>
    <row r="61" spans="1:22" ht="30.75" thickBot="1">
      <c r="A61" s="185">
        <f t="shared" si="4"/>
        <v>58</v>
      </c>
      <c r="B61" s="140" t="s">
        <v>2391</v>
      </c>
      <c r="C61" s="142" t="s">
        <v>825</v>
      </c>
      <c r="D61" s="75" t="s">
        <v>2171</v>
      </c>
      <c r="E61" s="75" t="s">
        <v>2171</v>
      </c>
      <c r="F61" s="75" t="s">
        <v>2171</v>
      </c>
      <c r="G61" s="75" t="s">
        <v>2172</v>
      </c>
      <c r="H61" s="145" t="s">
        <v>1329</v>
      </c>
      <c r="I61" s="145" t="s">
        <v>2491</v>
      </c>
      <c r="J61" s="147" t="s">
        <v>2183</v>
      </c>
      <c r="K61" s="58"/>
      <c r="L61" s="55">
        <f t="shared" si="14"/>
        <v>3</v>
      </c>
      <c r="M61" s="74"/>
      <c r="N61" s="58" t="str">
        <f>C65</f>
        <v>op</v>
      </c>
      <c r="O61" s="58" t="str">
        <f>D65</f>
        <v>op</v>
      </c>
      <c r="Q61" s="122" t="str">
        <f t="shared" si="5"/>
        <v>op(\d)</v>
      </c>
      <c r="R61" s="125" t="s">
        <v>1228</v>
      </c>
      <c r="S61" s="125" t="str">
        <f t="shared" si="6"/>
        <v/>
      </c>
      <c r="T61" s="122" t="str">
        <f t="shared" si="9"/>
        <v/>
      </c>
      <c r="U61" s="56"/>
      <c r="V61" s="57" t="str">
        <f t="shared" si="7"/>
        <v xml:space="preserve">    - xform/》op(\d)//</v>
      </c>
    </row>
    <row r="62" spans="1:22" ht="27.75" thickBot="1">
      <c r="A62" s="185">
        <f t="shared" si="4"/>
        <v>59</v>
      </c>
      <c r="B62" s="140" t="s">
        <v>2392</v>
      </c>
      <c r="C62" s="142" t="s">
        <v>501</v>
      </c>
      <c r="D62" s="58" t="s">
        <v>500</v>
      </c>
      <c r="E62" s="58" t="s">
        <v>501</v>
      </c>
      <c r="F62" s="58" t="s">
        <v>2169</v>
      </c>
      <c r="G62" s="61" t="s">
        <v>906</v>
      </c>
      <c r="H62" s="58" t="s">
        <v>2203</v>
      </c>
      <c r="I62" s="58" t="s">
        <v>2290</v>
      </c>
      <c r="J62" s="55" t="s">
        <v>503</v>
      </c>
      <c r="K62" s="136" t="s">
        <v>1312</v>
      </c>
      <c r="L62" s="55">
        <f t="shared" si="14"/>
        <v>4</v>
      </c>
      <c r="M62" s="74"/>
      <c r="N62" s="58" t="str">
        <f>C66</f>
        <v>ok</v>
      </c>
      <c r="O62" s="58" t="str">
        <f>D66</f>
        <v>ok</v>
      </c>
      <c r="Q62" s="122" t="str">
        <f t="shared" si="5"/>
        <v>ok(\d)</v>
      </c>
      <c r="R62" s="125" t="s">
        <v>1228</v>
      </c>
      <c r="S62" s="125" t="str">
        <f t="shared" si="6"/>
        <v/>
      </c>
      <c r="T62" s="122" t="str">
        <f t="shared" si="9"/>
        <v/>
      </c>
      <c r="U62" s="56"/>
      <c r="V62" s="57" t="str">
        <f t="shared" si="7"/>
        <v xml:space="preserve">    - xform/》ok(\d)//</v>
      </c>
    </row>
    <row r="63" spans="1:22" ht="27.75" thickBot="1">
      <c r="A63" s="185">
        <f t="shared" si="4"/>
        <v>60</v>
      </c>
      <c r="B63" s="140" t="s">
        <v>2393</v>
      </c>
      <c r="C63" s="142" t="s">
        <v>479</v>
      </c>
      <c r="D63" s="58" t="s">
        <v>479</v>
      </c>
      <c r="E63" s="58" t="s">
        <v>480</v>
      </c>
      <c r="F63" s="58" t="s">
        <v>479</v>
      </c>
      <c r="G63" s="61" t="s">
        <v>479</v>
      </c>
      <c r="H63" s="58" t="s">
        <v>478</v>
      </c>
      <c r="I63" s="58" t="s">
        <v>2287</v>
      </c>
      <c r="J63" s="55" t="s">
        <v>481</v>
      </c>
      <c r="K63" s="58"/>
      <c r="L63" s="55">
        <f t="shared" si="14"/>
        <v>2</v>
      </c>
      <c r="M63" s="74"/>
      <c r="N63" s="58" t="str">
        <f>C67</f>
        <v>u</v>
      </c>
      <c r="O63" s="58" t="str">
        <f>D67</f>
        <v>u</v>
      </c>
      <c r="Q63" s="122" t="str">
        <f t="shared" si="5"/>
        <v>u(\d)</v>
      </c>
      <c r="R63" s="125" t="s">
        <v>1228</v>
      </c>
      <c r="S63" s="125" t="str">
        <f t="shared" si="6"/>
        <v/>
      </c>
      <c r="T63" s="122" t="str">
        <f t="shared" si="9"/>
        <v/>
      </c>
      <c r="U63" s="56"/>
      <c r="V63" s="57" t="str">
        <f t="shared" si="7"/>
        <v xml:space="preserve">    - xform/》u(\d)//</v>
      </c>
    </row>
    <row r="64" spans="1:22" ht="27.75" thickBot="1">
      <c r="A64" s="185">
        <f t="shared" si="4"/>
        <v>61</v>
      </c>
      <c r="B64" s="140" t="s">
        <v>2394</v>
      </c>
      <c r="C64" s="142" t="s">
        <v>84</v>
      </c>
      <c r="D64" s="58" t="s">
        <v>84</v>
      </c>
      <c r="E64" s="58" t="s">
        <v>84</v>
      </c>
      <c r="F64" s="58" t="s">
        <v>84</v>
      </c>
      <c r="G64" s="61" t="s">
        <v>84</v>
      </c>
      <c r="H64" s="58" t="s">
        <v>83</v>
      </c>
      <c r="I64" s="58" t="s">
        <v>2243</v>
      </c>
      <c r="J64" s="55" t="s">
        <v>85</v>
      </c>
      <c r="K64" s="58"/>
      <c r="L64" s="55">
        <f t="shared" si="14"/>
        <v>3</v>
      </c>
      <c r="M64" s="74"/>
      <c r="N64" s="58" t="str">
        <f>C68</f>
        <v>uh</v>
      </c>
      <c r="O64" s="58" t="str">
        <f>D68</f>
        <v>uh</v>
      </c>
      <c r="Q64" s="122" t="str">
        <f t="shared" si="5"/>
        <v>uh(\d)</v>
      </c>
      <c r="R64" s="125" t="s">
        <v>1181</v>
      </c>
      <c r="S64" s="125" t="str">
        <f t="shared" si="6"/>
        <v/>
      </c>
      <c r="T64" s="122" t="str">
        <f t="shared" si="9"/>
        <v/>
      </c>
      <c r="U64" s="56"/>
      <c r="V64" s="57" t="str">
        <f t="shared" si="7"/>
        <v xml:space="preserve">    - xform/》uh(\d)//</v>
      </c>
    </row>
    <row r="65" spans="1:22" ht="27.75" thickBot="1">
      <c r="A65" s="185">
        <f t="shared" si="4"/>
        <v>62</v>
      </c>
      <c r="B65" s="140" t="s">
        <v>2395</v>
      </c>
      <c r="C65" s="142" t="s">
        <v>485</v>
      </c>
      <c r="D65" s="58" t="s">
        <v>485</v>
      </c>
      <c r="E65" s="58" t="s">
        <v>486</v>
      </c>
      <c r="F65" s="58" t="s">
        <v>485</v>
      </c>
      <c r="G65" s="61" t="s">
        <v>485</v>
      </c>
      <c r="H65" s="58" t="s">
        <v>484</v>
      </c>
      <c r="I65" s="58" t="s">
        <v>2288</v>
      </c>
      <c r="J65" s="55" t="s">
        <v>487</v>
      </c>
      <c r="K65" s="58"/>
      <c r="L65" s="55">
        <f t="shared" si="14"/>
        <v>2</v>
      </c>
      <c r="M65" s="74"/>
      <c r="N65" s="58" t="str">
        <f>C69</f>
        <v>un</v>
      </c>
      <c r="O65" s="58" t="str">
        <f>D69</f>
        <v>un</v>
      </c>
      <c r="Q65" s="122" t="str">
        <f t="shared" si="5"/>
        <v>un(\d)</v>
      </c>
      <c r="R65" s="125" t="s">
        <v>1229</v>
      </c>
      <c r="S65" s="125" t="str">
        <f t="shared" si="6"/>
        <v/>
      </c>
      <c r="T65" s="122" t="str">
        <f t="shared" si="9"/>
        <v/>
      </c>
      <c r="U65" s="56"/>
      <c r="V65" s="57" t="str">
        <f t="shared" si="7"/>
        <v xml:space="preserve">    - xform/》un(\d)//</v>
      </c>
    </row>
    <row r="66" spans="1:22" ht="27.75" thickBot="1">
      <c r="A66" s="185">
        <f t="shared" si="4"/>
        <v>63</v>
      </c>
      <c r="B66" s="140" t="s">
        <v>2396</v>
      </c>
      <c r="C66" s="142" t="s">
        <v>90</v>
      </c>
      <c r="D66" s="58" t="s">
        <v>90</v>
      </c>
      <c r="E66" s="58" t="s">
        <v>90</v>
      </c>
      <c r="F66" s="58" t="s">
        <v>90</v>
      </c>
      <c r="G66" s="61" t="s">
        <v>90</v>
      </c>
      <c r="H66" s="58" t="s">
        <v>89</v>
      </c>
      <c r="I66" s="58" t="s">
        <v>2244</v>
      </c>
      <c r="J66" s="55" t="s">
        <v>91</v>
      </c>
      <c r="K66" s="58"/>
      <c r="L66" s="55">
        <f t="shared" si="14"/>
        <v>2</v>
      </c>
      <c r="M66" s="74"/>
      <c r="N66" s="58" t="str">
        <f>C70</f>
        <v>ut</v>
      </c>
      <c r="O66" s="58" t="str">
        <f>D70</f>
        <v>ut</v>
      </c>
      <c r="Q66" s="122" t="str">
        <f t="shared" si="5"/>
        <v>ut(\d)</v>
      </c>
      <c r="R66" s="125" t="s">
        <v>1228</v>
      </c>
      <c r="S66" s="125" t="str">
        <f t="shared" si="6"/>
        <v/>
      </c>
      <c r="T66" s="122" t="str">
        <f t="shared" si="9"/>
        <v/>
      </c>
      <c r="U66" s="56"/>
      <c r="V66" s="57" t="str">
        <f t="shared" si="7"/>
        <v xml:space="preserve">    - xform/》ut(\d)//</v>
      </c>
    </row>
    <row r="67" spans="1:22" ht="27.75" thickBot="1">
      <c r="A67" s="185">
        <f t="shared" si="4"/>
        <v>64</v>
      </c>
      <c r="B67" s="140" t="s">
        <v>2397</v>
      </c>
      <c r="C67" s="142" t="s">
        <v>308</v>
      </c>
      <c r="D67" s="58" t="s">
        <v>308</v>
      </c>
      <c r="E67" s="58" t="s">
        <v>308</v>
      </c>
      <c r="F67" s="58" t="s">
        <v>308</v>
      </c>
      <c r="G67" s="61" t="s">
        <v>308</v>
      </c>
      <c r="H67" s="58" t="s">
        <v>310</v>
      </c>
      <c r="I67" s="58" t="s">
        <v>310</v>
      </c>
      <c r="J67" s="55" t="s">
        <v>311</v>
      </c>
      <c r="K67" s="58"/>
      <c r="L67" s="55">
        <f t="shared" si="14"/>
        <v>1</v>
      </c>
      <c r="M67" s="74"/>
      <c r="N67" s="58" t="str">
        <f>C71</f>
        <v>ua</v>
      </c>
      <c r="O67" s="58" t="str">
        <f>D71</f>
        <v>ua</v>
      </c>
      <c r="Q67" s="122" t="str">
        <f t="shared" si="5"/>
        <v>ua(\d)</v>
      </c>
      <c r="R67" s="125" t="s">
        <v>1181</v>
      </c>
      <c r="S67" s="125" t="str">
        <f t="shared" si="6"/>
        <v/>
      </c>
      <c r="T67" s="122" t="str">
        <f t="shared" si="9"/>
        <v/>
      </c>
      <c r="U67" s="56"/>
      <c r="V67" s="57" t="str">
        <f t="shared" si="7"/>
        <v xml:space="preserve">    - xform/》ua(\d)//</v>
      </c>
    </row>
    <row r="68" spans="1:22" ht="27.75" thickBot="1">
      <c r="A68" s="185">
        <f t="shared" si="4"/>
        <v>65</v>
      </c>
      <c r="B68" s="140" t="s">
        <v>2398</v>
      </c>
      <c r="C68" s="142" t="s">
        <v>313</v>
      </c>
      <c r="D68" s="58" t="s">
        <v>313</v>
      </c>
      <c r="E68" s="58" t="s">
        <v>313</v>
      </c>
      <c r="F68" s="58" t="s">
        <v>313</v>
      </c>
      <c r="G68" s="61" t="s">
        <v>313</v>
      </c>
      <c r="H68" s="58" t="s">
        <v>2204</v>
      </c>
      <c r="I68" s="58" t="s">
        <v>2267</v>
      </c>
      <c r="J68" s="55" t="s">
        <v>314</v>
      </c>
      <c r="K68" s="58"/>
      <c r="L68" s="55">
        <f t="shared" si="14"/>
        <v>2</v>
      </c>
      <c r="M68" s="74"/>
      <c r="N68" s="58" t="str">
        <f>C72</f>
        <v>uann</v>
      </c>
      <c r="O68" s="58" t="str">
        <f>D72</f>
        <v>uann</v>
      </c>
      <c r="Q68" s="122" t="str">
        <f t="shared" si="5"/>
        <v>uann(\d)</v>
      </c>
      <c r="R68" s="125" t="s">
        <v>1229</v>
      </c>
      <c r="S68" s="125" t="str">
        <f t="shared" si="6"/>
        <v/>
      </c>
      <c r="T68" s="122" t="str">
        <f t="shared" si="9"/>
        <v/>
      </c>
      <c r="U68" s="56"/>
      <c r="V68" s="57" t="str">
        <f t="shared" si="7"/>
        <v xml:space="preserve">    - xform/》uann(\d)//</v>
      </c>
    </row>
    <row r="69" spans="1:22" ht="27.75" thickBot="1">
      <c r="A69" s="185">
        <f t="shared" si="4"/>
        <v>66</v>
      </c>
      <c r="B69" s="140" t="s">
        <v>2399</v>
      </c>
      <c r="C69" s="142" t="s">
        <v>14</v>
      </c>
      <c r="D69" s="58" t="s">
        <v>14</v>
      </c>
      <c r="E69" s="58" t="s">
        <v>14</v>
      </c>
      <c r="F69" s="58" t="s">
        <v>14</v>
      </c>
      <c r="G69" s="61" t="s">
        <v>14</v>
      </c>
      <c r="H69" s="58" t="s">
        <v>16</v>
      </c>
      <c r="I69" s="58" t="s">
        <v>16</v>
      </c>
      <c r="J69" s="55" t="s">
        <v>18</v>
      </c>
      <c r="K69" s="58"/>
      <c r="L69" s="55">
        <f t="shared" si="14"/>
        <v>2</v>
      </c>
      <c r="M69" s="74"/>
      <c r="N69" s="58" t="str">
        <f>C73</f>
        <v>uah</v>
      </c>
      <c r="O69" s="58" t="str">
        <f>D73</f>
        <v>uah</v>
      </c>
      <c r="Q69" s="122" t="str">
        <f t="shared" ref="Q69:Q85" si="15" xml:space="preserve"> _xlfn.CONCAT(N69, "(\d)")</f>
        <v>uah(\d)</v>
      </c>
      <c r="R69" s="125" t="s">
        <v>1229</v>
      </c>
      <c r="S69" s="125" t="str">
        <f t="shared" ref="S69:S85" si="16" xml:space="preserve"> IFERROR( IF(R69="", "", SEARCH(R69, $N69)), "")</f>
        <v/>
      </c>
      <c r="T69" s="122" t="str">
        <f t="shared" si="9"/>
        <v/>
      </c>
      <c r="U69" s="56"/>
      <c r="V69" s="57" t="str">
        <f t="shared" ref="V69:V85" si="17" xml:space="preserve"> IF(AND(O69&lt;&gt;"", N69&lt;&gt;""), "    - xform/》" &amp; Q69 &amp;  "/"  &amp; T69 &amp;  "/", "")</f>
        <v xml:space="preserve">    - xform/》uah(\d)//</v>
      </c>
    </row>
    <row r="70" spans="1:22" ht="27.75" thickBot="1">
      <c r="A70" s="185">
        <f t="shared" si="4"/>
        <v>67</v>
      </c>
      <c r="B70" s="140" t="s">
        <v>2400</v>
      </c>
      <c r="C70" s="142" t="s">
        <v>22</v>
      </c>
      <c r="D70" s="58" t="s">
        <v>22</v>
      </c>
      <c r="E70" s="58" t="s">
        <v>22</v>
      </c>
      <c r="F70" s="58" t="s">
        <v>22</v>
      </c>
      <c r="G70" s="61" t="s">
        <v>22</v>
      </c>
      <c r="H70" s="58" t="s">
        <v>21</v>
      </c>
      <c r="I70" s="58" t="s">
        <v>2237</v>
      </c>
      <c r="J70" s="55" t="s">
        <v>24</v>
      </c>
      <c r="K70" s="58"/>
      <c r="L70" s="55">
        <f t="shared" si="14"/>
        <v>2</v>
      </c>
      <c r="M70" s="74"/>
      <c r="N70" s="58" t="str">
        <f>C74</f>
        <v>uan</v>
      </c>
      <c r="O70" s="58" t="str">
        <f>D74</f>
        <v>uan</v>
      </c>
      <c r="Q70" s="122" t="str">
        <f t="shared" si="15"/>
        <v>uan(\d)</v>
      </c>
      <c r="R70" s="125" t="s">
        <v>1229</v>
      </c>
      <c r="S70" s="125" t="str">
        <f t="shared" si="16"/>
        <v/>
      </c>
      <c r="T70" s="122" t="str">
        <f t="shared" ref="T70:T85" si="18" xml:space="preserve"> IFERROR( _xlfn.CONCAT(LEFT(N70,S70-1), "》", MID(N70,S70,1), "${1}", RIGHT(N70, LEN(N70)-S70)), "" )</f>
        <v/>
      </c>
      <c r="U70" s="56"/>
      <c r="V70" s="57" t="str">
        <f t="shared" si="17"/>
        <v xml:space="preserve">    - xform/》uan(\d)//</v>
      </c>
    </row>
    <row r="71" spans="1:22" ht="27.75" thickBot="1">
      <c r="A71" s="185">
        <f t="shared" si="4"/>
        <v>68</v>
      </c>
      <c r="B71" s="140" t="s">
        <v>2423</v>
      </c>
      <c r="C71" s="142" t="s">
        <v>223</v>
      </c>
      <c r="D71" s="58" t="s">
        <v>223</v>
      </c>
      <c r="E71" s="58" t="s">
        <v>223</v>
      </c>
      <c r="F71" s="58" t="s">
        <v>223</v>
      </c>
      <c r="G71" s="61" t="s">
        <v>226</v>
      </c>
      <c r="H71" s="58" t="s">
        <v>225</v>
      </c>
      <c r="I71" s="58" t="s">
        <v>225</v>
      </c>
      <c r="J71" s="55" t="s">
        <v>227</v>
      </c>
      <c r="K71" s="58"/>
      <c r="L71" s="55">
        <f t="shared" si="14"/>
        <v>2</v>
      </c>
      <c r="M71" s="74"/>
      <c r="N71" s="58" t="str">
        <f>C75</f>
        <v>uang</v>
      </c>
      <c r="O71" s="58" t="str">
        <f>D75</f>
        <v>uang</v>
      </c>
      <c r="Q71" s="122" t="str">
        <f t="shared" si="15"/>
        <v>uang(\d)</v>
      </c>
      <c r="R71" s="125" t="s">
        <v>1229</v>
      </c>
      <c r="S71" s="125" t="str">
        <f t="shared" si="16"/>
        <v/>
      </c>
      <c r="T71" s="122" t="str">
        <f t="shared" si="18"/>
        <v/>
      </c>
      <c r="U71" s="56"/>
      <c r="V71" s="57" t="str">
        <f t="shared" si="17"/>
        <v xml:space="preserve">    - xform/》uang(\d)//</v>
      </c>
    </row>
    <row r="72" spans="1:22" ht="27.75" thickBot="1">
      <c r="A72" s="185">
        <f t="shared" si="4"/>
        <v>69</v>
      </c>
      <c r="B72" s="140" t="s">
        <v>2424</v>
      </c>
      <c r="C72" s="142" t="s">
        <v>399</v>
      </c>
      <c r="D72" s="58" t="s">
        <v>399</v>
      </c>
      <c r="E72" s="58" t="s">
        <v>399</v>
      </c>
      <c r="F72" s="58" t="s">
        <v>401</v>
      </c>
      <c r="G72" s="61" t="s">
        <v>400</v>
      </c>
      <c r="H72" s="58" t="s">
        <v>398</v>
      </c>
      <c r="I72" s="58" t="s">
        <v>2278</v>
      </c>
      <c r="J72" s="55" t="s">
        <v>402</v>
      </c>
      <c r="K72" s="58"/>
      <c r="L72" s="55">
        <f t="shared" ref="L72:L89" si="19" xml:space="preserve"> LEN(D72)</f>
        <v>4</v>
      </c>
      <c r="M72" s="74"/>
      <c r="N72" s="58" t="str">
        <f>C76</f>
        <v>uat</v>
      </c>
      <c r="O72" s="58" t="str">
        <f>D76</f>
        <v>uat</v>
      </c>
      <c r="Q72" s="122" t="str">
        <f t="shared" si="15"/>
        <v>uat(\d)</v>
      </c>
      <c r="R72" s="125" t="s">
        <v>1229</v>
      </c>
      <c r="S72" s="125" t="str">
        <f t="shared" si="16"/>
        <v/>
      </c>
      <c r="T72" s="122" t="str">
        <f t="shared" si="18"/>
        <v/>
      </c>
      <c r="U72" s="56"/>
      <c r="V72" s="57" t="str">
        <f t="shared" si="17"/>
        <v xml:space="preserve">    - xform/》uat(\d)//</v>
      </c>
    </row>
    <row r="73" spans="1:22" ht="27.75" thickBot="1">
      <c r="A73" s="185">
        <f t="shared" ref="A73:A89" si="20" xml:space="preserve"> ROW() - 3</f>
        <v>70</v>
      </c>
      <c r="B73" s="140" t="s">
        <v>2425</v>
      </c>
      <c r="C73" s="142" t="s">
        <v>230</v>
      </c>
      <c r="D73" s="58" t="s">
        <v>230</v>
      </c>
      <c r="E73" s="58" t="s">
        <v>230</v>
      </c>
      <c r="F73" s="58" t="s">
        <v>230</v>
      </c>
      <c r="G73" s="61" t="s">
        <v>231</v>
      </c>
      <c r="H73" s="58" t="s">
        <v>2205</v>
      </c>
      <c r="I73" s="58" t="s">
        <v>2257</v>
      </c>
      <c r="J73" s="55" t="s">
        <v>232</v>
      </c>
      <c r="K73" s="58"/>
      <c r="L73" s="55">
        <f t="shared" si="19"/>
        <v>3</v>
      </c>
      <c r="M73" s="74"/>
      <c r="N73" s="58" t="str">
        <f>C77</f>
        <v>uai</v>
      </c>
      <c r="O73" s="58" t="str">
        <f>D77</f>
        <v>uai</v>
      </c>
      <c r="Q73" s="122" t="str">
        <f t="shared" si="15"/>
        <v>uai(\d)</v>
      </c>
      <c r="R73" s="125" t="s">
        <v>1229</v>
      </c>
      <c r="S73" s="125">
        <f t="shared" si="16"/>
        <v>3</v>
      </c>
      <c r="T73" s="122" t="str">
        <f t="shared" si="18"/>
        <v>ua》i${1}</v>
      </c>
      <c r="U73" s="56"/>
      <c r="V73" s="57" t="str">
        <f t="shared" si="17"/>
        <v xml:space="preserve">    - xform/》uai(\d)/ua》i${1}/</v>
      </c>
    </row>
    <row r="74" spans="1:22" ht="27.75" thickBot="1">
      <c r="A74" s="185">
        <f t="shared" si="20"/>
        <v>71</v>
      </c>
      <c r="B74" s="140" t="s">
        <v>2426</v>
      </c>
      <c r="C74" s="142" t="s">
        <v>120</v>
      </c>
      <c r="D74" s="58" t="s">
        <v>120</v>
      </c>
      <c r="E74" s="58" t="s">
        <v>120</v>
      </c>
      <c r="F74" s="58" t="s">
        <v>120</v>
      </c>
      <c r="G74" s="61" t="s">
        <v>123</v>
      </c>
      <c r="H74" s="58" t="s">
        <v>122</v>
      </c>
      <c r="I74" s="58" t="s">
        <v>122</v>
      </c>
      <c r="J74" s="55" t="s">
        <v>124</v>
      </c>
      <c r="K74" s="58"/>
      <c r="L74" s="55">
        <f t="shared" si="19"/>
        <v>3</v>
      </c>
      <c r="M74" s="74"/>
      <c r="N74" s="58" t="str">
        <f>C78</f>
        <v>uainn</v>
      </c>
      <c r="O74" s="58" t="str">
        <f>D78</f>
        <v>uainn</v>
      </c>
      <c r="Q74" s="122" t="str">
        <f t="shared" si="15"/>
        <v>uainn(\d)</v>
      </c>
      <c r="R74" s="125" t="s">
        <v>1229</v>
      </c>
      <c r="S74" s="125">
        <f t="shared" si="16"/>
        <v>3</v>
      </c>
      <c r="T74" s="122" t="str">
        <f t="shared" si="18"/>
        <v>ua》i${1}nn</v>
      </c>
      <c r="U74" s="56"/>
      <c r="V74" s="57" t="str">
        <f t="shared" si="17"/>
        <v xml:space="preserve">    - xform/》uainn(\d)/ua》i${1}nn/</v>
      </c>
    </row>
    <row r="75" spans="1:22" ht="27.75" thickBot="1">
      <c r="A75" s="185">
        <f t="shared" si="20"/>
        <v>72</v>
      </c>
      <c r="B75" s="140" t="s">
        <v>2427</v>
      </c>
      <c r="C75" s="142" t="s">
        <v>437</v>
      </c>
      <c r="D75" s="58" t="s">
        <v>437</v>
      </c>
      <c r="E75" s="58" t="s">
        <v>437</v>
      </c>
      <c r="F75" s="58" t="s">
        <v>437</v>
      </c>
      <c r="G75" s="61" t="s">
        <v>438</v>
      </c>
      <c r="H75" s="58" t="s">
        <v>2206</v>
      </c>
      <c r="I75" s="58" t="s">
        <v>2206</v>
      </c>
      <c r="J75" s="55" t="s">
        <v>439</v>
      </c>
      <c r="K75" s="58"/>
      <c r="L75" s="55">
        <f t="shared" si="19"/>
        <v>4</v>
      </c>
      <c r="M75" s="74"/>
      <c r="N75" s="58" t="str">
        <f>C79</f>
        <v>uaih</v>
      </c>
      <c r="O75" s="58" t="str">
        <f>D79</f>
        <v>uaih</v>
      </c>
      <c r="Q75" s="122" t="str">
        <f t="shared" si="15"/>
        <v>uaih(\d)</v>
      </c>
      <c r="R75" s="125" t="s">
        <v>1229</v>
      </c>
      <c r="S75" s="125">
        <f t="shared" si="16"/>
        <v>3</v>
      </c>
      <c r="T75" s="122" t="str">
        <f t="shared" si="18"/>
        <v>ua》i${1}h</v>
      </c>
      <c r="U75" s="56"/>
      <c r="V75" s="57" t="str">
        <f t="shared" si="17"/>
        <v xml:space="preserve">    - xform/》uaih(\d)/ua》i${1}h/</v>
      </c>
    </row>
    <row r="76" spans="1:22" ht="27.75" thickBot="1">
      <c r="A76" s="185">
        <f t="shared" si="20"/>
        <v>73</v>
      </c>
      <c r="B76" s="140" t="s">
        <v>2428</v>
      </c>
      <c r="C76" s="142" t="s">
        <v>129</v>
      </c>
      <c r="D76" s="58" t="s">
        <v>129</v>
      </c>
      <c r="E76" s="58" t="s">
        <v>129</v>
      </c>
      <c r="F76" s="58" t="s">
        <v>129</v>
      </c>
      <c r="G76" s="61" t="s">
        <v>130</v>
      </c>
      <c r="H76" s="58" t="s">
        <v>128</v>
      </c>
      <c r="I76" s="58" t="s">
        <v>2247</v>
      </c>
      <c r="J76" s="55" t="s">
        <v>131</v>
      </c>
      <c r="K76" s="58"/>
      <c r="L76" s="55">
        <f t="shared" si="19"/>
        <v>3</v>
      </c>
      <c r="M76" s="74"/>
      <c r="N76" s="58" t="str">
        <f>C80</f>
        <v>uainnh</v>
      </c>
      <c r="O76" s="58" t="str">
        <f>D80</f>
        <v>uaihnn</v>
      </c>
      <c r="Q76" s="122" t="str">
        <f t="shared" si="15"/>
        <v>uainnh(\d)</v>
      </c>
      <c r="R76" s="125" t="s">
        <v>1306</v>
      </c>
      <c r="S76" s="125" t="str">
        <f t="shared" si="16"/>
        <v/>
      </c>
      <c r="T76" s="122" t="str">
        <f t="shared" si="18"/>
        <v/>
      </c>
      <c r="U76" s="56"/>
      <c r="V76" s="57" t="str">
        <f t="shared" si="17"/>
        <v xml:space="preserve">    - xform/》uainnh(\d)//</v>
      </c>
    </row>
    <row r="77" spans="1:22" ht="27.75" thickBot="1">
      <c r="A77" s="185">
        <f t="shared" si="20"/>
        <v>74</v>
      </c>
      <c r="B77" s="140" t="s">
        <v>2429</v>
      </c>
      <c r="C77" s="142" t="s">
        <v>94</v>
      </c>
      <c r="D77" s="58" t="s">
        <v>94</v>
      </c>
      <c r="E77" s="58" t="s">
        <v>94</v>
      </c>
      <c r="F77" s="58" t="s">
        <v>94</v>
      </c>
      <c r="G77" s="61" t="s">
        <v>97</v>
      </c>
      <c r="H77" s="58" t="s">
        <v>96</v>
      </c>
      <c r="I77" s="58" t="s">
        <v>96</v>
      </c>
      <c r="J77" s="55" t="s">
        <v>98</v>
      </c>
      <c r="K77" s="58"/>
      <c r="L77" s="55">
        <f t="shared" si="19"/>
        <v>3</v>
      </c>
      <c r="M77" s="74"/>
      <c r="N77" s="58" t="str">
        <f>C81</f>
        <v>ue</v>
      </c>
      <c r="O77" s="58" t="str">
        <f>D81</f>
        <v>ue</v>
      </c>
      <c r="Q77" s="122" t="str">
        <f t="shared" si="15"/>
        <v>ue(\d)</v>
      </c>
      <c r="R77" s="125" t="s">
        <v>1305</v>
      </c>
      <c r="S77" s="125" t="str">
        <f t="shared" si="16"/>
        <v/>
      </c>
      <c r="T77" s="122" t="str">
        <f t="shared" si="18"/>
        <v/>
      </c>
      <c r="U77" s="56"/>
      <c r="V77" s="57" t="str">
        <f t="shared" si="17"/>
        <v xml:space="preserve">    - xform/》ue(\d)//</v>
      </c>
    </row>
    <row r="78" spans="1:22" ht="27.75" thickBot="1">
      <c r="A78" s="185">
        <f t="shared" si="20"/>
        <v>75</v>
      </c>
      <c r="B78" s="140" t="s">
        <v>2430</v>
      </c>
      <c r="C78" s="142" t="s">
        <v>449</v>
      </c>
      <c r="D78" s="58" t="s">
        <v>449</v>
      </c>
      <c r="E78" s="58" t="s">
        <v>449</v>
      </c>
      <c r="F78" s="58" t="s">
        <v>451</v>
      </c>
      <c r="G78" s="61" t="s">
        <v>450</v>
      </c>
      <c r="H78" s="58" t="s">
        <v>448</v>
      </c>
      <c r="I78" s="58" t="s">
        <v>2282</v>
      </c>
      <c r="J78" s="55" t="s">
        <v>452</v>
      </c>
      <c r="K78" s="136" t="s">
        <v>1312</v>
      </c>
      <c r="L78" s="55">
        <f t="shared" si="19"/>
        <v>5</v>
      </c>
      <c r="M78" s="74"/>
      <c r="N78" s="58" t="str">
        <f>C82</f>
        <v>ueh</v>
      </c>
      <c r="O78" s="58" t="str">
        <f>D82</f>
        <v>ueh</v>
      </c>
      <c r="Q78" s="122" t="str">
        <f t="shared" si="15"/>
        <v>ueh(\d)</v>
      </c>
      <c r="R78" s="125" t="s">
        <v>1216</v>
      </c>
      <c r="S78" s="125" t="str">
        <f t="shared" si="16"/>
        <v/>
      </c>
      <c r="T78" s="122" t="str">
        <f t="shared" si="18"/>
        <v/>
      </c>
      <c r="U78" s="56"/>
      <c r="V78" s="57" t="str">
        <f t="shared" si="17"/>
        <v xml:space="preserve">    - xform/》ueh(\d)//</v>
      </c>
    </row>
    <row r="79" spans="1:22" ht="27.75" thickBot="1">
      <c r="A79" s="185">
        <f t="shared" si="20"/>
        <v>76</v>
      </c>
      <c r="B79" s="140" t="s">
        <v>2431</v>
      </c>
      <c r="C79" s="142" t="s">
        <v>101</v>
      </c>
      <c r="D79" s="58" t="s">
        <v>101</v>
      </c>
      <c r="E79" s="58" t="s">
        <v>101</v>
      </c>
      <c r="F79" s="58" t="s">
        <v>101</v>
      </c>
      <c r="G79" s="61" t="s">
        <v>102</v>
      </c>
      <c r="H79" s="58" t="s">
        <v>2207</v>
      </c>
      <c r="I79" s="58" t="s">
        <v>2245</v>
      </c>
      <c r="J79" s="55" t="s">
        <v>103</v>
      </c>
      <c r="K79" s="58"/>
      <c r="L79" s="55">
        <f t="shared" si="19"/>
        <v>4</v>
      </c>
      <c r="M79" s="74"/>
      <c r="N79" s="58" t="str">
        <f>C83</f>
        <v>ui</v>
      </c>
      <c r="O79" s="58" t="str">
        <f>D83</f>
        <v>ui</v>
      </c>
      <c r="Q79" s="122" t="str">
        <f t="shared" si="15"/>
        <v>ui(\d)</v>
      </c>
      <c r="R79" s="125" t="s">
        <v>1216</v>
      </c>
      <c r="S79" s="125" t="str">
        <f t="shared" si="16"/>
        <v/>
      </c>
      <c r="T79" s="122" t="str">
        <f t="shared" si="18"/>
        <v/>
      </c>
      <c r="U79" s="56"/>
      <c r="V79" s="57" t="str">
        <f t="shared" si="17"/>
        <v xml:space="preserve">    - xform/》ui(\d)//</v>
      </c>
    </row>
    <row r="80" spans="1:22" ht="27.75" thickBot="1">
      <c r="A80" s="185">
        <f t="shared" si="20"/>
        <v>77</v>
      </c>
      <c r="B80" s="140" t="s">
        <v>2432</v>
      </c>
      <c r="C80" s="142" t="s">
        <v>455</v>
      </c>
      <c r="D80" s="58" t="s">
        <v>454</v>
      </c>
      <c r="E80" s="58" t="s">
        <v>455</v>
      </c>
      <c r="F80" s="75" t="s">
        <v>1248</v>
      </c>
      <c r="G80" s="61" t="s">
        <v>904</v>
      </c>
      <c r="H80" s="58" t="s">
        <v>2208</v>
      </c>
      <c r="I80" s="58" t="s">
        <v>2283</v>
      </c>
      <c r="J80" s="55" t="s">
        <v>457</v>
      </c>
      <c r="K80" s="136" t="s">
        <v>1312</v>
      </c>
      <c r="L80" s="55">
        <f t="shared" si="19"/>
        <v>6</v>
      </c>
      <c r="M80" s="74"/>
      <c r="N80" s="58" t="str">
        <f>C84</f>
        <v>uinn</v>
      </c>
      <c r="O80" s="58" t="str">
        <f>D84</f>
        <v>uinn</v>
      </c>
      <c r="Q80" s="122" t="str">
        <f t="shared" si="15"/>
        <v>uinn(\d)</v>
      </c>
      <c r="R80" s="125" t="s">
        <v>1216</v>
      </c>
      <c r="S80" s="125" t="str">
        <f t="shared" si="16"/>
        <v/>
      </c>
      <c r="T80" s="122" t="str">
        <f t="shared" si="18"/>
        <v/>
      </c>
      <c r="U80" s="56"/>
      <c r="V80" s="57" t="str">
        <f t="shared" si="17"/>
        <v xml:space="preserve">    - xform/》uinn(\d)//</v>
      </c>
    </row>
    <row r="81" spans="1:22" ht="27.75" thickBot="1">
      <c r="A81" s="185">
        <f t="shared" si="20"/>
        <v>78</v>
      </c>
      <c r="B81" s="140" t="s">
        <v>2401</v>
      </c>
      <c r="C81" s="142" t="s">
        <v>285</v>
      </c>
      <c r="D81" s="58" t="s">
        <v>285</v>
      </c>
      <c r="E81" s="58" t="s">
        <v>285</v>
      </c>
      <c r="F81" s="58" t="s">
        <v>285</v>
      </c>
      <c r="G81" s="61" t="s">
        <v>286</v>
      </c>
      <c r="H81" s="58" t="s">
        <v>284</v>
      </c>
      <c r="I81" s="58" t="s">
        <v>2263</v>
      </c>
      <c r="J81" s="55" t="s">
        <v>287</v>
      </c>
      <c r="K81" s="58"/>
      <c r="L81" s="55">
        <f t="shared" si="19"/>
        <v>2</v>
      </c>
      <c r="M81" s="74"/>
      <c r="N81" s="58" t="str">
        <f>C85</f>
        <v>uih</v>
      </c>
      <c r="O81" s="58" t="str">
        <f>D85</f>
        <v>uih</v>
      </c>
      <c r="Q81" s="122" t="str">
        <f t="shared" si="15"/>
        <v>uih(\d)</v>
      </c>
      <c r="R81" s="125" t="s">
        <v>1216</v>
      </c>
      <c r="S81" s="125" t="str">
        <f t="shared" si="16"/>
        <v/>
      </c>
      <c r="T81" s="122" t="str">
        <f t="shared" si="18"/>
        <v/>
      </c>
      <c r="U81" s="56"/>
      <c r="V81" s="57" t="str">
        <f t="shared" si="17"/>
        <v xml:space="preserve">    - xform/》uih(\d)//</v>
      </c>
    </row>
    <row r="82" spans="1:22" ht="27.75" thickBot="1">
      <c r="A82" s="185">
        <f t="shared" si="20"/>
        <v>79</v>
      </c>
      <c r="B82" s="140" t="s">
        <v>2402</v>
      </c>
      <c r="C82" s="142" t="s">
        <v>290</v>
      </c>
      <c r="D82" s="58" t="s">
        <v>290</v>
      </c>
      <c r="E82" s="58" t="s">
        <v>290</v>
      </c>
      <c r="F82" s="58" t="s">
        <v>290</v>
      </c>
      <c r="G82" s="61" t="s">
        <v>291</v>
      </c>
      <c r="H82" s="58" t="s">
        <v>2209</v>
      </c>
      <c r="I82" s="58" t="s">
        <v>2264</v>
      </c>
      <c r="J82" s="55" t="s">
        <v>292</v>
      </c>
      <c r="K82" s="58"/>
      <c r="L82" s="55">
        <f t="shared" si="19"/>
        <v>3</v>
      </c>
      <c r="M82" s="74"/>
      <c r="N82" s="58" t="str">
        <f>C86</f>
        <v>m</v>
      </c>
      <c r="O82" s="58" t="str">
        <f>D86</f>
        <v>m</v>
      </c>
      <c r="Q82" s="122" t="str">
        <f t="shared" si="15"/>
        <v>m(\d)</v>
      </c>
      <c r="R82" s="125" t="s">
        <v>1227</v>
      </c>
      <c r="S82" s="125" t="str">
        <f t="shared" si="16"/>
        <v/>
      </c>
      <c r="T82" s="122" t="str">
        <f t="shared" si="18"/>
        <v/>
      </c>
      <c r="U82" s="56"/>
      <c r="V82" s="57" t="str">
        <f t="shared" si="17"/>
        <v xml:space="preserve">    - xform/》m(\d)//</v>
      </c>
    </row>
    <row r="83" spans="1:22" ht="27.75" thickBot="1">
      <c r="A83" s="185">
        <f t="shared" si="20"/>
        <v>80</v>
      </c>
      <c r="B83" s="140" t="s">
        <v>2403</v>
      </c>
      <c r="C83" s="142" t="s">
        <v>50</v>
      </c>
      <c r="D83" s="58" t="s">
        <v>50</v>
      </c>
      <c r="E83" s="58" t="s">
        <v>50</v>
      </c>
      <c r="F83" s="58" t="s">
        <v>50</v>
      </c>
      <c r="G83" s="61" t="s">
        <v>50</v>
      </c>
      <c r="H83" s="58" t="s">
        <v>52</v>
      </c>
      <c r="I83" s="58" t="s">
        <v>52</v>
      </c>
      <c r="J83" s="55" t="s">
        <v>53</v>
      </c>
      <c r="K83" s="58"/>
      <c r="L83" s="55">
        <f t="shared" si="19"/>
        <v>2</v>
      </c>
      <c r="M83" s="74"/>
      <c r="N83" s="58" t="str">
        <f>C87</f>
        <v>mh</v>
      </c>
      <c r="O83" s="58" t="str">
        <f>D87</f>
        <v>mh</v>
      </c>
      <c r="Q83" s="122" t="str">
        <f t="shared" si="15"/>
        <v>mh(\d)</v>
      </c>
      <c r="R83" s="125" t="s">
        <v>1227</v>
      </c>
      <c r="S83" s="125" t="str">
        <f t="shared" si="16"/>
        <v/>
      </c>
      <c r="T83" s="122" t="str">
        <f t="shared" si="18"/>
        <v/>
      </c>
      <c r="U83" s="56"/>
      <c r="V83" s="57" t="str">
        <f t="shared" si="17"/>
        <v xml:space="preserve">    - xform/》mh(\d)//</v>
      </c>
    </row>
    <row r="84" spans="1:22" ht="27.75" thickBot="1">
      <c r="A84" s="185">
        <f t="shared" si="20"/>
        <v>81</v>
      </c>
      <c r="B84" s="140" t="s">
        <v>2404</v>
      </c>
      <c r="C84" s="142" t="s">
        <v>351</v>
      </c>
      <c r="D84" s="58" t="s">
        <v>351</v>
      </c>
      <c r="E84" s="58" t="s">
        <v>351</v>
      </c>
      <c r="F84" s="58" t="s">
        <v>353</v>
      </c>
      <c r="G84" s="61" t="s">
        <v>352</v>
      </c>
      <c r="H84" s="58" t="s">
        <v>350</v>
      </c>
      <c r="I84" s="58" t="s">
        <v>2272</v>
      </c>
      <c r="J84" s="55" t="s">
        <v>354</v>
      </c>
      <c r="K84" s="58"/>
      <c r="L84" s="55">
        <f t="shared" si="19"/>
        <v>4</v>
      </c>
      <c r="M84" s="74"/>
      <c r="N84" s="58" t="str">
        <f>C88</f>
        <v>ng</v>
      </c>
      <c r="O84" s="58" t="str">
        <f>D88</f>
        <v>ng</v>
      </c>
      <c r="Q84" s="122" t="str">
        <f t="shared" si="15"/>
        <v>ng(\d)</v>
      </c>
      <c r="R84" s="125" t="s">
        <v>1227</v>
      </c>
      <c r="S84" s="125" t="str">
        <f t="shared" si="16"/>
        <v/>
      </c>
      <c r="T84" s="122" t="str">
        <f t="shared" si="18"/>
        <v/>
      </c>
      <c r="U84" s="56"/>
      <c r="V84" s="57" t="str">
        <f t="shared" si="17"/>
        <v xml:space="preserve">    - xform/》ng(\d)//</v>
      </c>
    </row>
    <row r="85" spans="1:22" ht="27.75" thickBot="1">
      <c r="A85" s="185">
        <f t="shared" si="20"/>
        <v>82</v>
      </c>
      <c r="B85" s="140" t="s">
        <v>2405</v>
      </c>
      <c r="C85" s="142" t="s">
        <v>2134</v>
      </c>
      <c r="D85" s="75" t="s">
        <v>2173</v>
      </c>
      <c r="E85" s="75" t="s">
        <v>2173</v>
      </c>
      <c r="F85" s="75" t="s">
        <v>2173</v>
      </c>
      <c r="G85" s="75" t="s">
        <v>2134</v>
      </c>
      <c r="H85" s="144" t="s">
        <v>2165</v>
      </c>
      <c r="I85" s="144" t="s">
        <v>2492</v>
      </c>
      <c r="J85" s="146" t="s">
        <v>2178</v>
      </c>
      <c r="K85" s="136" t="s">
        <v>1312</v>
      </c>
      <c r="L85" s="55">
        <f t="shared" si="19"/>
        <v>3</v>
      </c>
      <c r="M85" s="74"/>
      <c r="N85" s="58" t="str">
        <f>C89</f>
        <v>ngh</v>
      </c>
      <c r="O85" s="58" t="str">
        <f>D89</f>
        <v>ngh</v>
      </c>
      <c r="Q85" s="122" t="str">
        <f t="shared" si="15"/>
        <v>ngh(\d)</v>
      </c>
      <c r="R85" s="125" t="s">
        <v>1227</v>
      </c>
      <c r="S85" s="125" t="str">
        <f t="shared" si="16"/>
        <v/>
      </c>
      <c r="T85" s="122" t="str">
        <f t="shared" si="18"/>
        <v/>
      </c>
      <c r="U85" s="56"/>
      <c r="V85" s="57" t="str">
        <f t="shared" si="17"/>
        <v xml:space="preserve">    - xform/》ngh(\d)//</v>
      </c>
    </row>
    <row r="86" spans="1:22" ht="27.75" thickBot="1">
      <c r="A86" s="185">
        <f t="shared" si="20"/>
        <v>83</v>
      </c>
      <c r="B86" s="140" t="s">
        <v>2406</v>
      </c>
      <c r="C86" s="142" t="s">
        <v>432</v>
      </c>
      <c r="D86" s="58" t="s">
        <v>432</v>
      </c>
      <c r="E86" s="58" t="s">
        <v>432</v>
      </c>
      <c r="F86" s="58" t="s">
        <v>432</v>
      </c>
      <c r="G86" s="61" t="s">
        <v>432</v>
      </c>
      <c r="H86" s="58" t="s">
        <v>431</v>
      </c>
      <c r="I86" s="58" t="s">
        <v>587</v>
      </c>
      <c r="J86" s="55" t="s">
        <v>433</v>
      </c>
      <c r="K86" s="58"/>
      <c r="L86" s="55">
        <f t="shared" si="19"/>
        <v>1</v>
      </c>
    </row>
    <row r="87" spans="1:22" ht="27.75" thickBot="1">
      <c r="A87" s="185">
        <f t="shared" si="20"/>
        <v>84</v>
      </c>
      <c r="B87" s="140" t="s">
        <v>849</v>
      </c>
      <c r="C87" s="142" t="s">
        <v>850</v>
      </c>
      <c r="D87" s="75" t="s">
        <v>2174</v>
      </c>
      <c r="E87" s="75" t="s">
        <v>2174</v>
      </c>
      <c r="F87" s="75" t="s">
        <v>2174</v>
      </c>
      <c r="G87" s="75" t="s">
        <v>850</v>
      </c>
      <c r="H87" s="145" t="s">
        <v>2167</v>
      </c>
      <c r="I87" s="145" t="s">
        <v>2493</v>
      </c>
      <c r="J87" s="146" t="s">
        <v>2176</v>
      </c>
      <c r="K87" s="58"/>
      <c r="L87" s="55">
        <f t="shared" si="19"/>
        <v>2</v>
      </c>
    </row>
    <row r="88" spans="1:22" ht="27.75" thickBot="1">
      <c r="A88" s="185">
        <f t="shared" si="20"/>
        <v>85</v>
      </c>
      <c r="B88" s="140" t="s">
        <v>404</v>
      </c>
      <c r="C88" s="142" t="s">
        <v>407</v>
      </c>
      <c r="D88" s="58" t="s">
        <v>407</v>
      </c>
      <c r="E88" s="58" t="s">
        <v>407</v>
      </c>
      <c r="F88" s="58" t="s">
        <v>407</v>
      </c>
      <c r="G88" s="61" t="s">
        <v>407</v>
      </c>
      <c r="H88" s="58" t="s">
        <v>406</v>
      </c>
      <c r="I88" s="58" t="s">
        <v>1332</v>
      </c>
      <c r="J88" s="55" t="s">
        <v>408</v>
      </c>
      <c r="K88" s="58"/>
      <c r="L88" s="55">
        <f t="shared" si="19"/>
        <v>2</v>
      </c>
    </row>
    <row r="89" spans="1:22" ht="27.75" thickBot="1">
      <c r="A89" s="185">
        <f t="shared" si="20"/>
        <v>86</v>
      </c>
      <c r="B89" s="140" t="s">
        <v>819</v>
      </c>
      <c r="C89" s="142" t="s">
        <v>820</v>
      </c>
      <c r="D89" s="75" t="s">
        <v>2181</v>
      </c>
      <c r="E89" s="75" t="s">
        <v>2181</v>
      </c>
      <c r="F89" s="75" t="s">
        <v>2181</v>
      </c>
      <c r="G89" s="75" t="s">
        <v>820</v>
      </c>
      <c r="H89" s="145" t="s">
        <v>1327</v>
      </c>
      <c r="I89" s="145" t="s">
        <v>2494</v>
      </c>
      <c r="J89" s="146" t="s">
        <v>2180</v>
      </c>
      <c r="K89" s="58"/>
      <c r="L89" s="55">
        <f t="shared" si="19"/>
        <v>3</v>
      </c>
    </row>
    <row r="90" spans="1:22" ht="27" thickBot="1"/>
    <row r="91" spans="1:22" ht="48.75" thickBot="1">
      <c r="B91" s="59" t="s">
        <v>1314</v>
      </c>
      <c r="C91" s="59" t="s">
        <v>1319</v>
      </c>
      <c r="D91" s="59" t="s">
        <v>1319</v>
      </c>
    </row>
    <row r="92" spans="1:22" ht="27.75" thickBot="1">
      <c r="B92" s="58" t="s">
        <v>1315</v>
      </c>
      <c r="C92" s="58">
        <f xml:space="preserve"> HEX2DEC(VALUE(RIGHT(B92,4)))</f>
        <v>771</v>
      </c>
      <c r="D92" s="58" t="str">
        <f xml:space="preserve"> _xlfn.CONCAT("a", _xlfn.UNICHAR(HEX2DEC(RIGHT(B92,4))))</f>
        <v>ã</v>
      </c>
    </row>
    <row r="93" spans="1:22" ht="27.75" thickBot="1">
      <c r="B93" s="58" t="s">
        <v>1316</v>
      </c>
      <c r="C93" s="58">
        <f xml:space="preserve"> HEX2DEC(VALUE(RIGHT(B93,4)))</f>
        <v>660</v>
      </c>
      <c r="D93" s="58" t="str">
        <f xml:space="preserve"> _xlfn.CONCAT("a", _xlfn.UNICHAR(HEX2DEC(RIGHT(B93,4))))</f>
        <v>aʔ</v>
      </c>
    </row>
    <row r="94" spans="1:22" ht="27" thickBot="1"/>
    <row r="95" spans="1:22" ht="27" thickBot="1">
      <c r="B95" s="59" t="s">
        <v>1318</v>
      </c>
      <c r="C95" s="59">
        <f xml:space="preserve"> HEX2DEC(VALUE(RIGHT(B95,4)))</f>
        <v>2134</v>
      </c>
      <c r="D95" s="59" t="str">
        <f xml:space="preserve"> _xlfn.CONCAT("o", _xlfn.UNICHAR( RIGHT(B95,4)))</f>
        <v>o͘</v>
      </c>
    </row>
    <row r="96" spans="1:22" ht="27" thickBot="1">
      <c r="B96" s="59" t="s">
        <v>1317</v>
      </c>
      <c r="C96" s="59">
        <f xml:space="preserve"> _xlfn.UNICODE( RIGHT(B96,1) )</f>
        <v>856</v>
      </c>
      <c r="D96" s="59" t="str">
        <f xml:space="preserve"> _xlfn.CONCAT("o", _xlfn.UNICHAR(C96))</f>
        <v>o͘</v>
      </c>
    </row>
    <row r="97" spans="1:3" ht="27" thickBot="1"/>
    <row r="98" spans="1:3" ht="27" thickBot="1">
      <c r="B98" s="59" t="s">
        <v>1333</v>
      </c>
      <c r="C98" s="59" t="s">
        <v>2157</v>
      </c>
    </row>
    <row r="99" spans="1:3" ht="27" thickBot="1">
      <c r="B99" s="59" t="s">
        <v>1335</v>
      </c>
      <c r="C99" s="59" t="s">
        <v>1334</v>
      </c>
    </row>
    <row r="101" spans="1:3">
      <c r="A101" s="51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phoneticPr fontId="4" type="noConversion"/>
  <pageMargins left="0.7" right="0.7" top="0.75" bottom="0.75" header="0.3" footer="0.3"/>
  <legacyDrawing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Y102"/>
  <sheetViews>
    <sheetView showGridLines="0" workbookViewId="0">
      <pane ySplit="1" topLeftCell="A2" activePane="bottomLeft" state="frozen"/>
      <selection pane="bottomLeft" activeCell="I14" sqref="I14"/>
    </sheetView>
  </sheetViews>
  <sheetFormatPr defaultRowHeight="26.25"/>
  <cols>
    <col min="1" max="1" width="7.33203125" customWidth="1"/>
    <col min="3" max="4" width="9.1640625" customWidth="1"/>
    <col min="14" max="14" width="13.83203125" bestFit="1" customWidth="1"/>
    <col min="16" max="16" width="6.4140625" bestFit="1" customWidth="1"/>
    <col min="17" max="17" width="7.58203125" style="20" customWidth="1"/>
    <col min="18" max="19" width="7.58203125" style="165" customWidth="1"/>
    <col min="20" max="22" width="7.58203125" customWidth="1"/>
    <col min="24" max="24" width="7.58203125" style="20" customWidth="1"/>
    <col min="25" max="25" width="23.1640625" bestFit="1" customWidth="1"/>
    <col min="27" max="27" width="9.1640625" customWidth="1"/>
    <col min="31" max="32" width="9.1640625" customWidth="1"/>
    <col min="33" max="33" width="7.33203125" customWidth="1"/>
    <col min="34" max="34" width="12.83203125" customWidth="1"/>
  </cols>
  <sheetData>
    <row r="1" spans="1:25" ht="25.5">
      <c r="A1" s="70" t="s">
        <v>0</v>
      </c>
      <c r="B1" s="71" t="s">
        <v>2</v>
      </c>
      <c r="C1" s="71" t="s">
        <v>6</v>
      </c>
      <c r="D1" s="71" t="s">
        <v>5</v>
      </c>
      <c r="E1" s="71" t="s">
        <v>9</v>
      </c>
      <c r="F1" s="71" t="s">
        <v>8</v>
      </c>
      <c r="G1" s="71" t="s">
        <v>7</v>
      </c>
      <c r="H1" s="71" t="s">
        <v>4</v>
      </c>
      <c r="I1" s="71" t="s">
        <v>2231</v>
      </c>
      <c r="J1" s="71" t="s">
        <v>1</v>
      </c>
      <c r="K1" s="71" t="s">
        <v>3</v>
      </c>
      <c r="L1" s="71" t="s">
        <v>511</v>
      </c>
      <c r="M1" s="71" t="s">
        <v>10</v>
      </c>
      <c r="N1" s="72" t="s">
        <v>11</v>
      </c>
      <c r="P1" s="178" t="s">
        <v>0</v>
      </c>
      <c r="Q1" s="178" t="s">
        <v>511</v>
      </c>
      <c r="R1" s="178" t="s">
        <v>3</v>
      </c>
      <c r="S1" s="178" t="s">
        <v>10</v>
      </c>
      <c r="T1" s="178" t="s">
        <v>9</v>
      </c>
      <c r="U1" s="178" t="s">
        <v>8</v>
      </c>
      <c r="V1" s="178" t="s">
        <v>4</v>
      </c>
      <c r="W1" s="178" t="s">
        <v>1</v>
      </c>
      <c r="X1" s="180" t="s">
        <v>2357</v>
      </c>
    </row>
    <row r="2" spans="1:25" ht="29.25">
      <c r="A2" s="63">
        <v>1</v>
      </c>
      <c r="B2" s="93" t="str" cm="1">
        <f t="array" ref="B2" xml:space="preserve"> INDEX(【韻】韻母對照表!$B$4:$B$89, MATCH(TRUE, EXACT(韻母對照表[[#This Row],[台羅拼音]], 【韻】韻母對照表!$C$4:$C$89), 0))</f>
        <v>un</v>
      </c>
      <c r="C2" s="16" t="s">
        <v>14</v>
      </c>
      <c r="D2" s="1" t="s">
        <v>14</v>
      </c>
      <c r="E2" s="1" t="s">
        <v>14</v>
      </c>
      <c r="F2" s="1" t="s">
        <v>14</v>
      </c>
      <c r="G2" s="91" t="s">
        <v>14</v>
      </c>
      <c r="H2" s="1" t="s">
        <v>16</v>
      </c>
      <c r="I2" s="1" t="s">
        <v>16</v>
      </c>
      <c r="J2" s="3" t="s">
        <v>13</v>
      </c>
      <c r="K2" s="3" t="s">
        <v>15</v>
      </c>
      <c r="L2" s="1" t="s">
        <v>12</v>
      </c>
      <c r="M2" s="1" t="s">
        <v>17</v>
      </c>
      <c r="N2" s="64" t="s">
        <v>18</v>
      </c>
      <c r="P2" s="175">
        <v>1</v>
      </c>
      <c r="Q2" s="176" t="s">
        <v>12</v>
      </c>
      <c r="R2" s="176" t="s">
        <v>15</v>
      </c>
      <c r="S2" s="176" t="s">
        <v>17</v>
      </c>
      <c r="T2" s="175" t="str" cm="1">
        <f t="array" ref="T2">IFERROR( INDEX(韻母對照表[注音二式], MATCH(TRUE, EXACT( _xlfn.CONCAT(R2, LEFT(S2,1)), 韻母對照表[十五音識別碼]),0)), "")</f>
        <v>un</v>
      </c>
      <c r="U2" s="175" t="s">
        <v>14</v>
      </c>
      <c r="V2" s="175" t="s">
        <v>16</v>
      </c>
      <c r="W2" s="177" t="s">
        <v>13</v>
      </c>
      <c r="X2" s="176">
        <f>LEN(T2)</f>
        <v>2</v>
      </c>
      <c r="Y2" t="str">
        <f xml:space="preserve"> _xlfn.CONCAT("      - xform/",T2,"/",U2,"/")</f>
        <v xml:space="preserve">      - xform/un/un/</v>
      </c>
    </row>
    <row r="3" spans="1:25" ht="29.25">
      <c r="A3" s="63">
        <v>2</v>
      </c>
      <c r="B3" s="93" t="str" cm="1">
        <f t="array" ref="B3" xml:space="preserve"> INDEX(【韻】韻母對照表!$B$4:$B$89, MATCH(TRUE, EXACT(韻母對照表[[#This Row],[台羅拼音]], 【韻】韻母對照表!$C$4:$C$89), 0))</f>
        <v>ut̚</v>
      </c>
      <c r="C3" s="16" t="s">
        <v>22</v>
      </c>
      <c r="D3" s="1" t="s">
        <v>22</v>
      </c>
      <c r="E3" s="1" t="s">
        <v>22</v>
      </c>
      <c r="F3" s="1" t="s">
        <v>22</v>
      </c>
      <c r="G3" s="91" t="s">
        <v>22</v>
      </c>
      <c r="H3" s="1" t="s">
        <v>21</v>
      </c>
      <c r="I3" s="1" t="s">
        <v>2237</v>
      </c>
      <c r="J3" s="3" t="s">
        <v>20</v>
      </c>
      <c r="K3" s="3" t="s">
        <v>15</v>
      </c>
      <c r="L3" s="1" t="s">
        <v>12</v>
      </c>
      <c r="M3" s="1" t="s">
        <v>23</v>
      </c>
      <c r="N3" s="64" t="s">
        <v>24</v>
      </c>
      <c r="P3" s="166">
        <v>2</v>
      </c>
      <c r="Q3" s="167" t="s">
        <v>12</v>
      </c>
      <c r="R3" s="167" t="s">
        <v>15</v>
      </c>
      <c r="S3" s="167" t="s">
        <v>23</v>
      </c>
      <c r="T3" s="166" t="str" cm="1">
        <f t="array" ref="T3">IFERROR( INDEX(韻母對照表[注音二式], MATCH(TRUE, EXACT( _xlfn.CONCAT(R3, LEFT(S3,1)), 韻母對照表[十五音識別碼]),0)), "")</f>
        <v>ut</v>
      </c>
      <c r="U3" s="166" t="s">
        <v>22</v>
      </c>
      <c r="V3" s="166" t="s">
        <v>21</v>
      </c>
      <c r="W3" s="168" t="s">
        <v>20</v>
      </c>
      <c r="X3" s="176">
        <f t="shared" ref="X3:X66" si="0">LEN(T3)</f>
        <v>2</v>
      </c>
      <c r="Y3" t="str">
        <f t="shared" ref="Y3:Y66" si="1" xml:space="preserve"> _xlfn.CONCAT("      - xform/",T3,"/",U3,"/")</f>
        <v xml:space="preserve">      - xform/ut/ut/</v>
      </c>
    </row>
    <row r="4" spans="1:25" ht="29.25">
      <c r="A4" s="63">
        <v>3</v>
      </c>
      <c r="B4" s="93" t="str" cm="1">
        <f t="array" ref="B4" xml:space="preserve"> INDEX(【韻】韻母對照表!$B$4:$B$89, MATCH(TRUE, EXACT(韻母對照表[[#This Row],[台羅拼音]], 【韻】韻母對照表!$C$4:$C$89), 0))</f>
        <v>ɪan</v>
      </c>
      <c r="C4" s="16" t="s">
        <v>27</v>
      </c>
      <c r="D4" s="1" t="s">
        <v>27</v>
      </c>
      <c r="E4" s="1" t="s">
        <v>27</v>
      </c>
      <c r="F4" s="1" t="s">
        <v>27</v>
      </c>
      <c r="G4" s="91" t="s">
        <v>27</v>
      </c>
      <c r="H4" s="1" t="s">
        <v>29</v>
      </c>
      <c r="I4" s="1" t="s">
        <v>29</v>
      </c>
      <c r="J4" s="3" t="s">
        <v>26</v>
      </c>
      <c r="K4" s="3" t="s">
        <v>28</v>
      </c>
      <c r="L4" s="1" t="s">
        <v>19</v>
      </c>
      <c r="M4" s="1" t="s">
        <v>17</v>
      </c>
      <c r="N4" s="64" t="s">
        <v>30</v>
      </c>
      <c r="P4" s="175">
        <v>3</v>
      </c>
      <c r="Q4" s="167" t="s">
        <v>19</v>
      </c>
      <c r="R4" s="167" t="s">
        <v>28</v>
      </c>
      <c r="S4" s="167" t="s">
        <v>17</v>
      </c>
      <c r="T4" s="166" t="str" cm="1">
        <f t="array" ref="T4">IFERROR( INDEX(韻母對照表[注音二式], MATCH(TRUE, EXACT( _xlfn.CONCAT(R4, LEFT(S4,1)), 韻母對照表[十五音識別碼]),0)), "")</f>
        <v>ian</v>
      </c>
      <c r="U4" s="166" t="s">
        <v>27</v>
      </c>
      <c r="V4" s="166" t="s">
        <v>29</v>
      </c>
      <c r="W4" s="168" t="s">
        <v>26</v>
      </c>
      <c r="X4" s="176">
        <f t="shared" si="0"/>
        <v>3</v>
      </c>
      <c r="Y4" t="str">
        <f t="shared" si="1"/>
        <v xml:space="preserve">      - xform/ian/ian/</v>
      </c>
    </row>
    <row r="5" spans="1:25" ht="29.25">
      <c r="A5" s="63">
        <v>4</v>
      </c>
      <c r="B5" s="93" t="str" cm="1">
        <f t="array" ref="B5" xml:space="preserve"> INDEX(【韻】韻母對照表!$B$4:$B$89, MATCH(TRUE, EXACT(韻母對照表[[#This Row],[台羅拼音]], 【韻】韻母對照表!$C$4:$C$89), 0))</f>
        <v>ɪat̚</v>
      </c>
      <c r="C5" s="16" t="s">
        <v>34</v>
      </c>
      <c r="D5" s="1" t="s">
        <v>34</v>
      </c>
      <c r="E5" s="1" t="s">
        <v>34</v>
      </c>
      <c r="F5" s="1" t="s">
        <v>34</v>
      </c>
      <c r="G5" s="91" t="s">
        <v>34</v>
      </c>
      <c r="H5" s="1" t="s">
        <v>33</v>
      </c>
      <c r="I5" s="1" t="s">
        <v>2238</v>
      </c>
      <c r="J5" s="3" t="s">
        <v>32</v>
      </c>
      <c r="K5" s="3" t="s">
        <v>28</v>
      </c>
      <c r="L5" s="1" t="s">
        <v>19</v>
      </c>
      <c r="M5" s="1" t="s">
        <v>23</v>
      </c>
      <c r="N5" s="64" t="s">
        <v>35</v>
      </c>
      <c r="P5" s="166">
        <v>4</v>
      </c>
      <c r="Q5" s="167" t="s">
        <v>19</v>
      </c>
      <c r="R5" s="167" t="s">
        <v>28</v>
      </c>
      <c r="S5" s="167" t="s">
        <v>23</v>
      </c>
      <c r="T5" s="166" t="str" cm="1">
        <f t="array" ref="T5">IFERROR( INDEX(韻母對照表[注音二式], MATCH(TRUE, EXACT( _xlfn.CONCAT(R5, LEFT(S5,1)), 韻母對照表[十五音識別碼]),0)), "")</f>
        <v>iat</v>
      </c>
      <c r="U5" s="166" t="s">
        <v>34</v>
      </c>
      <c r="V5" s="166" t="s">
        <v>33</v>
      </c>
      <c r="W5" s="168" t="s">
        <v>32</v>
      </c>
      <c r="X5" s="176">
        <f t="shared" si="0"/>
        <v>3</v>
      </c>
      <c r="Y5" t="str">
        <f t="shared" si="1"/>
        <v xml:space="preserve">      - xform/iat/iat/</v>
      </c>
    </row>
    <row r="6" spans="1:25" ht="29.25">
      <c r="A6" s="63">
        <v>5</v>
      </c>
      <c r="B6" s="93" t="str" cm="1">
        <f t="array" ref="B6" xml:space="preserve"> INDEX(【韻】韻母對照表!$B$4:$B$89, MATCH(TRUE, EXACT(韻母對照表[[#This Row],[台羅拼音]], 【韻】韻母對照表!$C$4:$C$89), 0))</f>
        <v>im</v>
      </c>
      <c r="C6" s="16" t="s">
        <v>38</v>
      </c>
      <c r="D6" s="1" t="s">
        <v>38</v>
      </c>
      <c r="E6" s="1" t="s">
        <v>38</v>
      </c>
      <c r="F6" s="1" t="s">
        <v>38</v>
      </c>
      <c r="G6" s="91" t="s">
        <v>38</v>
      </c>
      <c r="H6" s="1" t="s">
        <v>40</v>
      </c>
      <c r="I6" s="1" t="s">
        <v>2239</v>
      </c>
      <c r="J6" s="3" t="s">
        <v>37</v>
      </c>
      <c r="K6" s="3" t="s">
        <v>39</v>
      </c>
      <c r="L6" s="1" t="s">
        <v>25</v>
      </c>
      <c r="M6" s="1" t="s">
        <v>17</v>
      </c>
      <c r="N6" s="64" t="s">
        <v>41</v>
      </c>
      <c r="P6" s="175">
        <v>5</v>
      </c>
      <c r="Q6" s="167" t="s">
        <v>25</v>
      </c>
      <c r="R6" s="167" t="s">
        <v>39</v>
      </c>
      <c r="S6" s="167" t="s">
        <v>17</v>
      </c>
      <c r="T6" s="166" t="str" cm="1">
        <f t="array" ref="T6">IFERROR( INDEX(韻母對照表[注音二式], MATCH(TRUE, EXACT( _xlfn.CONCAT(R6, LEFT(S6,1)), 韻母對照表[十五音識別碼]),0)), "")</f>
        <v>im</v>
      </c>
      <c r="U6" s="166" t="s">
        <v>38</v>
      </c>
      <c r="V6" s="166" t="s">
        <v>40</v>
      </c>
      <c r="W6" s="168" t="s">
        <v>37</v>
      </c>
      <c r="X6" s="176">
        <f t="shared" si="0"/>
        <v>2</v>
      </c>
      <c r="Y6" t="str">
        <f t="shared" si="1"/>
        <v xml:space="preserve">      - xform/im/im/</v>
      </c>
    </row>
    <row r="7" spans="1:25" ht="29.25">
      <c r="A7" s="63">
        <v>6</v>
      </c>
      <c r="B7" s="93" t="str" cm="1">
        <f t="array" ref="B7" xml:space="preserve"> INDEX(【韻】韻母對照表!$B$4:$B$89, MATCH(TRUE, EXACT(韻母對照表[[#This Row],[台羅拼音]], 【韻】韻母對照表!$C$4:$C$89), 0))</f>
        <v>ip̚</v>
      </c>
      <c r="C7" s="16" t="s">
        <v>46</v>
      </c>
      <c r="D7" s="1" t="s">
        <v>46</v>
      </c>
      <c r="E7" s="1" t="s">
        <v>46</v>
      </c>
      <c r="F7" s="1" t="s">
        <v>46</v>
      </c>
      <c r="G7" s="91" t="s">
        <v>46</v>
      </c>
      <c r="H7" s="1" t="s">
        <v>45</v>
      </c>
      <c r="I7" s="1" t="s">
        <v>2240</v>
      </c>
      <c r="J7" s="3" t="s">
        <v>43</v>
      </c>
      <c r="K7" s="3" t="s">
        <v>39</v>
      </c>
      <c r="L7" s="1" t="s">
        <v>25</v>
      </c>
      <c r="M7" s="1" t="s">
        <v>23</v>
      </c>
      <c r="N7" s="64" t="s">
        <v>47</v>
      </c>
      <c r="P7" s="166">
        <v>6</v>
      </c>
      <c r="Q7" s="167" t="s">
        <v>25</v>
      </c>
      <c r="R7" s="167" t="s">
        <v>39</v>
      </c>
      <c r="S7" s="167" t="s">
        <v>23</v>
      </c>
      <c r="T7" s="166" t="str" cm="1">
        <f t="array" ref="T7">IFERROR( INDEX(韻母對照表[注音二式], MATCH(TRUE, EXACT( _xlfn.CONCAT(R7, LEFT(S7,1)), 韻母對照表[十五音識別碼]),0)), "")</f>
        <v>ip</v>
      </c>
      <c r="U7" s="166" t="s">
        <v>46</v>
      </c>
      <c r="V7" s="166" t="s">
        <v>45</v>
      </c>
      <c r="W7" s="168" t="s">
        <v>43</v>
      </c>
      <c r="X7" s="176">
        <f t="shared" si="0"/>
        <v>2</v>
      </c>
      <c r="Y7" t="str">
        <f t="shared" si="1"/>
        <v xml:space="preserve">      - xform/ip/ip/</v>
      </c>
    </row>
    <row r="8" spans="1:25" ht="29.25">
      <c r="A8" s="63">
        <v>7</v>
      </c>
      <c r="B8" s="93" t="str" cm="1">
        <f t="array" ref="B8" xml:space="preserve"> INDEX(【韻】韻母對照表!$B$4:$B$89, MATCH(TRUE, EXACT(韻母對照表[[#This Row],[台羅拼音]], 【韻】韻母對照表!$C$4:$C$89), 0))</f>
        <v>ui</v>
      </c>
      <c r="C8" s="16" t="s">
        <v>50</v>
      </c>
      <c r="D8" s="1" t="s">
        <v>50</v>
      </c>
      <c r="E8" s="1" t="s">
        <v>50</v>
      </c>
      <c r="F8" s="1" t="s">
        <v>50</v>
      </c>
      <c r="G8" s="91" t="s">
        <v>50</v>
      </c>
      <c r="H8" s="1" t="s">
        <v>52</v>
      </c>
      <c r="I8" s="1" t="s">
        <v>52</v>
      </c>
      <c r="J8" s="3" t="s">
        <v>49</v>
      </c>
      <c r="K8" s="3" t="s">
        <v>51</v>
      </c>
      <c r="L8" s="1" t="s">
        <v>31</v>
      </c>
      <c r="M8" s="1" t="s">
        <v>17</v>
      </c>
      <c r="N8" s="64" t="s">
        <v>53</v>
      </c>
      <c r="P8" s="175">
        <v>7</v>
      </c>
      <c r="Q8" s="167" t="s">
        <v>31</v>
      </c>
      <c r="R8" s="167" t="s">
        <v>51</v>
      </c>
      <c r="S8" s="167" t="s">
        <v>17</v>
      </c>
      <c r="T8" s="166" t="str" cm="1">
        <f t="array" ref="T8">IFERROR( INDEX(韻母對照表[注音二式], MATCH(TRUE, EXACT( _xlfn.CONCAT(R8, LEFT(S8,1)), 韻母對照表[十五音識別碼]),0)), "")</f>
        <v>ui</v>
      </c>
      <c r="U8" s="166" t="s">
        <v>50</v>
      </c>
      <c r="V8" s="166" t="s">
        <v>52</v>
      </c>
      <c r="W8" s="168" t="s">
        <v>49</v>
      </c>
      <c r="X8" s="176">
        <f t="shared" si="0"/>
        <v>2</v>
      </c>
      <c r="Y8" t="str">
        <f t="shared" si="1"/>
        <v xml:space="preserve">      - xform/ui/ui/</v>
      </c>
    </row>
    <row r="9" spans="1:25" ht="29.25">
      <c r="A9" s="63">
        <v>9</v>
      </c>
      <c r="B9" s="93" t="s">
        <v>2439</v>
      </c>
      <c r="C9" s="16" t="s">
        <v>59</v>
      </c>
      <c r="D9" s="1" t="s">
        <v>59</v>
      </c>
      <c r="E9" s="1" t="s">
        <v>60</v>
      </c>
      <c r="F9" s="1" t="s">
        <v>60</v>
      </c>
      <c r="G9" s="95"/>
      <c r="H9" s="1" t="s">
        <v>58</v>
      </c>
      <c r="I9" s="1" t="s">
        <v>58</v>
      </c>
      <c r="J9" s="4" t="s">
        <v>55</v>
      </c>
      <c r="K9" s="4" t="s">
        <v>57</v>
      </c>
      <c r="L9" s="1" t="s">
        <v>36</v>
      </c>
      <c r="M9" s="1" t="s">
        <v>17</v>
      </c>
      <c r="N9" s="64" t="s">
        <v>61</v>
      </c>
      <c r="P9" s="166">
        <v>8</v>
      </c>
      <c r="Q9" s="167">
        <v>4</v>
      </c>
      <c r="R9" s="167" t="s">
        <v>51</v>
      </c>
      <c r="S9" s="167" t="s">
        <v>23</v>
      </c>
      <c r="T9" s="179" t="str">
        <f xml:space="preserve"> _xlfn.CONCAT(T8, "h")</f>
        <v>uih</v>
      </c>
      <c r="U9" s="179" t="s">
        <v>1202</v>
      </c>
      <c r="V9" s="166" t="str">
        <f xml:space="preserve"> _xlfn.CONCAT(V8, "ㆷ")</f>
        <v>ㄨㄧㆷ</v>
      </c>
      <c r="W9" s="168"/>
      <c r="X9" s="176">
        <f t="shared" si="0"/>
        <v>3</v>
      </c>
      <c r="Y9" t="str">
        <f t="shared" si="1"/>
        <v xml:space="preserve">      - xform/uih/uh/</v>
      </c>
    </row>
    <row r="10" spans="1:25" ht="29.25">
      <c r="A10" s="63">
        <v>10</v>
      </c>
      <c r="B10" s="93" t="str">
        <f xml:space="preserve"> _xlfn.CONCAT(B9, "ʔ")</f>
        <v>ɛʔ</v>
      </c>
      <c r="C10" s="16" t="s">
        <v>64</v>
      </c>
      <c r="D10" s="1" t="s">
        <v>64</v>
      </c>
      <c r="E10" s="1" t="s">
        <v>65</v>
      </c>
      <c r="F10" s="1" t="s">
        <v>65</v>
      </c>
      <c r="G10" s="95"/>
      <c r="H10" s="1" t="s">
        <v>911</v>
      </c>
      <c r="I10" s="1" t="s">
        <v>2241</v>
      </c>
      <c r="J10" s="3" t="s">
        <v>63</v>
      </c>
      <c r="K10" s="4" t="s">
        <v>57</v>
      </c>
      <c r="L10" s="1" t="s">
        <v>36</v>
      </c>
      <c r="M10" s="1" t="s">
        <v>23</v>
      </c>
      <c r="N10" s="64" t="s">
        <v>66</v>
      </c>
      <c r="P10" s="175">
        <v>9</v>
      </c>
      <c r="Q10" s="167" t="s">
        <v>36</v>
      </c>
      <c r="R10" s="167" t="s">
        <v>57</v>
      </c>
      <c r="S10" s="167" t="s">
        <v>17</v>
      </c>
      <c r="T10" s="166" t="str" cm="1">
        <f t="array" ref="T10">IFERROR( INDEX(韻母對照表[注音二式], MATCH(TRUE, EXACT( _xlfn.CONCAT(R10, LEFT(S10,1)), 韻母對照表[十五音識別碼]),0)), "")</f>
        <v>e</v>
      </c>
      <c r="U10" s="166" t="s">
        <v>1239</v>
      </c>
      <c r="V10" s="166" t="s">
        <v>58</v>
      </c>
      <c r="W10" s="169" t="s">
        <v>55</v>
      </c>
      <c r="X10" s="176">
        <f t="shared" si="0"/>
        <v>1</v>
      </c>
      <c r="Y10" t="str">
        <f t="shared" si="1"/>
        <v xml:space="preserve">      - xform/e/ee/</v>
      </c>
    </row>
    <row r="11" spans="1:25" ht="29.25">
      <c r="A11" s="63">
        <v>11</v>
      </c>
      <c r="B11" s="93" t="str" cm="1">
        <f t="array" ref="B11" xml:space="preserve"> INDEX(【韻】韻母對照表!$B$4:$B$89, MATCH(TRUE, EXACT(韻母對照表[[#This Row],[台羅拼音]], 【韻】韻母對照表!$C$4:$C$89), 0))</f>
        <v>an</v>
      </c>
      <c r="C11" s="16" t="s">
        <v>69</v>
      </c>
      <c r="D11" s="1" t="s">
        <v>69</v>
      </c>
      <c r="E11" s="1" t="s">
        <v>69</v>
      </c>
      <c r="F11" s="1" t="s">
        <v>69</v>
      </c>
      <c r="G11" s="91" t="s">
        <v>69</v>
      </c>
      <c r="H11" s="1" t="s">
        <v>71</v>
      </c>
      <c r="I11" s="1" t="s">
        <v>71</v>
      </c>
      <c r="J11" s="3" t="s">
        <v>68</v>
      </c>
      <c r="K11" s="3" t="s">
        <v>70</v>
      </c>
      <c r="L11" s="1" t="s">
        <v>42</v>
      </c>
      <c r="M11" s="1" t="s">
        <v>17</v>
      </c>
      <c r="N11" s="64" t="s">
        <v>72</v>
      </c>
      <c r="P11" s="166">
        <v>10</v>
      </c>
      <c r="Q11" s="167" t="s">
        <v>36</v>
      </c>
      <c r="R11" s="167" t="s">
        <v>57</v>
      </c>
      <c r="S11" s="167" t="s">
        <v>23</v>
      </c>
      <c r="T11" s="179" t="str" cm="1">
        <f t="array" ref="T11">IFERROR( INDEX(韻母對照表[注音二式], MATCH(TRUE, EXACT( _xlfn.CONCAT(R11, LEFT(S11,1)), 韻母對照表[十五音識別碼]),0)), "")</f>
        <v>eh</v>
      </c>
      <c r="U11" s="179" t="s">
        <v>1238</v>
      </c>
      <c r="V11" s="166" t="s">
        <v>2341</v>
      </c>
      <c r="W11" s="168" t="s">
        <v>63</v>
      </c>
      <c r="X11" s="176">
        <f t="shared" si="0"/>
        <v>2</v>
      </c>
      <c r="Y11" t="str">
        <f t="shared" si="1"/>
        <v xml:space="preserve">      - xform/eh/eeh/</v>
      </c>
    </row>
    <row r="12" spans="1:25" ht="29.25">
      <c r="A12" s="63">
        <v>12</v>
      </c>
      <c r="B12" s="93" t="str" cm="1">
        <f t="array" ref="B12" xml:space="preserve"> INDEX(【韻】韻母對照表!$B$4:$B$89, MATCH(TRUE, EXACT(韻母對照表[[#This Row],[台羅拼音]], 【韻】韻母對照表!$C$4:$C$89), 0))</f>
        <v>at̚</v>
      </c>
      <c r="C12" s="16" t="s">
        <v>77</v>
      </c>
      <c r="D12" s="1" t="s">
        <v>77</v>
      </c>
      <c r="E12" s="1" t="s">
        <v>77</v>
      </c>
      <c r="F12" s="1" t="s">
        <v>77</v>
      </c>
      <c r="G12" s="91" t="s">
        <v>77</v>
      </c>
      <c r="H12" s="1" t="s">
        <v>76</v>
      </c>
      <c r="I12" s="1" t="s">
        <v>2242</v>
      </c>
      <c r="J12" s="3" t="s">
        <v>74</v>
      </c>
      <c r="K12" s="3" t="s">
        <v>70</v>
      </c>
      <c r="L12" s="1" t="s">
        <v>42</v>
      </c>
      <c r="M12" s="1" t="s">
        <v>23</v>
      </c>
      <c r="N12" s="64" t="s">
        <v>78</v>
      </c>
      <c r="P12" s="175">
        <v>11</v>
      </c>
      <c r="Q12" s="167" t="s">
        <v>42</v>
      </c>
      <c r="R12" s="167" t="s">
        <v>70</v>
      </c>
      <c r="S12" s="167" t="s">
        <v>17</v>
      </c>
      <c r="T12" s="166" t="str" cm="1">
        <f t="array" ref="T12">IFERROR( INDEX(韻母對照表[注音二式], MATCH(TRUE, EXACT( _xlfn.CONCAT(R12, LEFT(S12,1)), 韻母對照表[十五音識別碼]),0)), "")</f>
        <v>an</v>
      </c>
      <c r="U12" s="166" t="s">
        <v>69</v>
      </c>
      <c r="V12" s="166" t="s">
        <v>71</v>
      </c>
      <c r="W12" s="168" t="s">
        <v>68</v>
      </c>
      <c r="X12" s="176">
        <f t="shared" si="0"/>
        <v>2</v>
      </c>
      <c r="Y12" t="str">
        <f t="shared" si="1"/>
        <v xml:space="preserve">      - xform/an/an/</v>
      </c>
    </row>
    <row r="13" spans="1:25" ht="29.25">
      <c r="A13" s="63">
        <v>13</v>
      </c>
      <c r="B13" s="93" t="str" cm="1">
        <f t="array" ref="B13" xml:space="preserve"> INDEX(【韻】韻母對照表!$B$4:$B$89, MATCH(TRUE, EXACT(韻母對照表[[#This Row],[台羅拼音]], 【韻】韻母對照表!$C$4:$C$89), 0))</f>
        <v>ɔŋ</v>
      </c>
      <c r="C13" s="16" t="s">
        <v>84</v>
      </c>
      <c r="D13" s="1" t="s">
        <v>84</v>
      </c>
      <c r="E13" s="1" t="s">
        <v>84</v>
      </c>
      <c r="F13" s="1" t="s">
        <v>84</v>
      </c>
      <c r="G13" s="91" t="s">
        <v>84</v>
      </c>
      <c r="H13" s="1" t="s">
        <v>83</v>
      </c>
      <c r="I13" s="1" t="s">
        <v>2243</v>
      </c>
      <c r="J13" s="3" t="s">
        <v>80</v>
      </c>
      <c r="K13" s="3" t="s">
        <v>82</v>
      </c>
      <c r="L13" s="1" t="s">
        <v>48</v>
      </c>
      <c r="M13" s="1" t="s">
        <v>17</v>
      </c>
      <c r="N13" s="64" t="s">
        <v>85</v>
      </c>
      <c r="P13" s="166">
        <v>12</v>
      </c>
      <c r="Q13" s="167" t="s">
        <v>42</v>
      </c>
      <c r="R13" s="167" t="s">
        <v>70</v>
      </c>
      <c r="S13" s="167" t="s">
        <v>23</v>
      </c>
      <c r="T13" s="166" t="str" cm="1">
        <f t="array" ref="T13">IFERROR( INDEX(韻母對照表[注音二式], MATCH(TRUE, EXACT( _xlfn.CONCAT(R13, LEFT(S13,1)), 韻母對照表[十五音識別碼]),0)), "")</f>
        <v>at</v>
      </c>
      <c r="U13" s="166" t="s">
        <v>77</v>
      </c>
      <c r="V13" s="166" t="s">
        <v>76</v>
      </c>
      <c r="W13" s="168" t="s">
        <v>74</v>
      </c>
      <c r="X13" s="176">
        <f t="shared" si="0"/>
        <v>2</v>
      </c>
      <c r="Y13" t="str">
        <f t="shared" si="1"/>
        <v xml:space="preserve">      - xform/at/at/</v>
      </c>
    </row>
    <row r="14" spans="1:25" ht="29.25">
      <c r="A14" s="63">
        <v>14</v>
      </c>
      <c r="B14" s="93" t="str" cm="1">
        <f t="array" ref="B14" xml:space="preserve"> INDEX(【韻】韻母對照表!$B$4:$B$89, MATCH(TRUE, EXACT(韻母對照表[[#This Row],[台羅拼音]], 【韻】韻母對照表!$C$4:$C$89), 0))</f>
        <v>ɔk̚</v>
      </c>
      <c r="C14" s="16" t="s">
        <v>90</v>
      </c>
      <c r="D14" s="1" t="s">
        <v>90</v>
      </c>
      <c r="E14" s="1" t="s">
        <v>90</v>
      </c>
      <c r="F14" s="1" t="s">
        <v>90</v>
      </c>
      <c r="G14" s="91" t="s">
        <v>90</v>
      </c>
      <c r="H14" s="1" t="s">
        <v>89</v>
      </c>
      <c r="I14" s="1" t="s">
        <v>2244</v>
      </c>
      <c r="J14" s="3" t="s">
        <v>87</v>
      </c>
      <c r="K14" s="3" t="s">
        <v>82</v>
      </c>
      <c r="L14" s="1" t="s">
        <v>48</v>
      </c>
      <c r="M14" s="1" t="s">
        <v>23</v>
      </c>
      <c r="N14" s="64" t="s">
        <v>91</v>
      </c>
      <c r="P14" s="175">
        <v>13</v>
      </c>
      <c r="Q14" s="167" t="s">
        <v>48</v>
      </c>
      <c r="R14" s="167" t="s">
        <v>82</v>
      </c>
      <c r="S14" s="167" t="s">
        <v>17</v>
      </c>
      <c r="T14" s="166" t="str" cm="1">
        <f t="array" ref="T14">IFERROR( INDEX(韻母對照表[注音二式], MATCH(TRUE, EXACT( _xlfn.CONCAT(R14, LEFT(S14,1)), 韻母對照表[十五音識別碼]),0)), "")</f>
        <v>ong</v>
      </c>
      <c r="U14" s="166" t="s">
        <v>84</v>
      </c>
      <c r="V14" s="166" t="s">
        <v>83</v>
      </c>
      <c r="W14" s="168" t="s">
        <v>80</v>
      </c>
      <c r="X14" s="176">
        <f t="shared" si="0"/>
        <v>3</v>
      </c>
      <c r="Y14" t="str">
        <f t="shared" si="1"/>
        <v xml:space="preserve">      - xform/ong/ong/</v>
      </c>
    </row>
    <row r="15" spans="1:25" ht="29.25">
      <c r="A15" s="63">
        <v>15</v>
      </c>
      <c r="B15" s="93" t="str" cm="1">
        <f t="array" ref="B15" xml:space="preserve"> INDEX(【韻】韻母對照表!$B$4:$B$89, MATCH(TRUE, EXACT(韻母對照表[[#This Row],[台羅拼音]], 【韻】韻母對照表!$C$4:$C$89), 0))</f>
        <v>uai</v>
      </c>
      <c r="C15" s="16" t="s">
        <v>94</v>
      </c>
      <c r="D15" s="1" t="s">
        <v>94</v>
      </c>
      <c r="E15" s="1" t="s">
        <v>94</v>
      </c>
      <c r="F15" s="1" t="s">
        <v>94</v>
      </c>
      <c r="G15" s="96" t="s">
        <v>97</v>
      </c>
      <c r="H15" s="1" t="s">
        <v>96</v>
      </c>
      <c r="I15" s="1" t="s">
        <v>96</v>
      </c>
      <c r="J15" s="3" t="s">
        <v>93</v>
      </c>
      <c r="K15" s="3" t="s">
        <v>95</v>
      </c>
      <c r="L15" s="1" t="s">
        <v>99</v>
      </c>
      <c r="M15" s="1" t="s">
        <v>17</v>
      </c>
      <c r="N15" s="64" t="s">
        <v>98</v>
      </c>
      <c r="P15" s="166">
        <v>14</v>
      </c>
      <c r="Q15" s="167" t="s">
        <v>48</v>
      </c>
      <c r="R15" s="167" t="s">
        <v>82</v>
      </c>
      <c r="S15" s="167" t="s">
        <v>23</v>
      </c>
      <c r="T15" s="166" t="str" cm="1">
        <f t="array" ref="T15">IFERROR( INDEX(韻母對照表[注音二式], MATCH(TRUE, EXACT( _xlfn.CONCAT(R15, LEFT(S15,1)), 韻母對照表[十五音識別碼]),0)), "")</f>
        <v>ok</v>
      </c>
      <c r="U15" s="166" t="s">
        <v>90</v>
      </c>
      <c r="V15" s="166" t="s">
        <v>89</v>
      </c>
      <c r="W15" s="168" t="s">
        <v>87</v>
      </c>
      <c r="X15" s="176">
        <f t="shared" si="0"/>
        <v>2</v>
      </c>
      <c r="Y15" t="str">
        <f t="shared" si="1"/>
        <v xml:space="preserve">      - xform/ok/ok/</v>
      </c>
    </row>
    <row r="16" spans="1:25" ht="39">
      <c r="A16" s="63">
        <v>16</v>
      </c>
      <c r="B16" s="93" t="str" cm="1">
        <f t="array" ref="B16" xml:space="preserve"> INDEX(【韻】韻母對照表!$B$4:$B$89, MATCH(TRUE, EXACT(韻母對照表[[#This Row],[台羅拼音]], 【韻】韻母對照表!$C$4:$C$89), 0))</f>
        <v>uaiʔ</v>
      </c>
      <c r="C16" s="16" t="s">
        <v>101</v>
      </c>
      <c r="D16" s="1" t="s">
        <v>101</v>
      </c>
      <c r="E16" s="1" t="s">
        <v>101</v>
      </c>
      <c r="F16" s="1" t="s">
        <v>101</v>
      </c>
      <c r="G16" s="96" t="s">
        <v>102</v>
      </c>
      <c r="H16" s="1" t="s">
        <v>912</v>
      </c>
      <c r="I16" s="1" t="s">
        <v>2245</v>
      </c>
      <c r="J16" s="3" t="s">
        <v>512</v>
      </c>
      <c r="K16" s="3" t="s">
        <v>95</v>
      </c>
      <c r="L16" s="1" t="s">
        <v>99</v>
      </c>
      <c r="M16" s="1" t="s">
        <v>23</v>
      </c>
      <c r="N16" s="64" t="s">
        <v>103</v>
      </c>
      <c r="P16" s="175">
        <v>15</v>
      </c>
      <c r="Q16" s="167" t="s">
        <v>99</v>
      </c>
      <c r="R16" s="167" t="s">
        <v>95</v>
      </c>
      <c r="S16" s="167" t="s">
        <v>17</v>
      </c>
      <c r="T16" s="166" t="str" cm="1">
        <f t="array" ref="T16">IFERROR( INDEX(韻母對照表[注音二式], MATCH(TRUE, EXACT( _xlfn.CONCAT(R16, LEFT(S16,1)), 韻母對照表[十五音識別碼]),0)), "")</f>
        <v>uai</v>
      </c>
      <c r="U16" s="166" t="s">
        <v>94</v>
      </c>
      <c r="V16" s="166" t="s">
        <v>96</v>
      </c>
      <c r="W16" s="168" t="s">
        <v>93</v>
      </c>
      <c r="X16" s="176">
        <f t="shared" si="0"/>
        <v>3</v>
      </c>
      <c r="Y16" t="str">
        <f t="shared" si="1"/>
        <v xml:space="preserve">      - xform/uai/uai/</v>
      </c>
    </row>
    <row r="17" spans="1:25" ht="29.25">
      <c r="A17" s="63">
        <v>17</v>
      </c>
      <c r="B17" s="93" t="str" cm="1">
        <f t="array" ref="B17" xml:space="preserve"> INDEX(【韻】韻母對照表!$B$4:$B$89, MATCH(TRUE, EXACT(韻母對照表[[#This Row],[台羅拼音]], 【韻】韻母對照表!$C$4:$C$89), 0))</f>
        <v>iŋ</v>
      </c>
      <c r="C17" s="16" t="s">
        <v>109</v>
      </c>
      <c r="D17" s="1" t="s">
        <v>109</v>
      </c>
      <c r="E17" s="1" t="s">
        <v>109</v>
      </c>
      <c r="F17" s="1" t="s">
        <v>109</v>
      </c>
      <c r="G17" s="96" t="s">
        <v>110</v>
      </c>
      <c r="H17" s="1" t="s">
        <v>108</v>
      </c>
      <c r="I17" s="1" t="s">
        <v>108</v>
      </c>
      <c r="J17" s="3" t="s">
        <v>105</v>
      </c>
      <c r="K17" s="3" t="s">
        <v>107</v>
      </c>
      <c r="L17" s="1" t="s">
        <v>54</v>
      </c>
      <c r="M17" s="1" t="s">
        <v>17</v>
      </c>
      <c r="N17" s="64" t="s">
        <v>111</v>
      </c>
      <c r="P17" s="166">
        <v>16</v>
      </c>
      <c r="Q17" s="167" t="s">
        <v>99</v>
      </c>
      <c r="R17" s="167" t="s">
        <v>95</v>
      </c>
      <c r="S17" s="167" t="s">
        <v>23</v>
      </c>
      <c r="T17" s="166" t="str" cm="1">
        <f t="array" ref="T17">IFERROR( INDEX(韻母對照表[注音二式], MATCH(TRUE, EXACT( _xlfn.CONCAT(R17, LEFT(S17,1)), 韻母對照表[十五音識別碼]),0)), "")</f>
        <v>uaih</v>
      </c>
      <c r="U17" s="166" t="s">
        <v>1196</v>
      </c>
      <c r="V17" s="166" t="s">
        <v>2207</v>
      </c>
      <c r="W17" s="168" t="s">
        <v>2344</v>
      </c>
      <c r="X17" s="176">
        <f t="shared" si="0"/>
        <v>4</v>
      </c>
      <c r="Y17" t="str">
        <f t="shared" si="1"/>
        <v xml:space="preserve">      - xform/uaih/uah/</v>
      </c>
    </row>
    <row r="18" spans="1:25" ht="29.25">
      <c r="A18" s="63">
        <v>18</v>
      </c>
      <c r="B18" s="93" t="str" cm="1">
        <f t="array" ref="B18" xml:space="preserve"> INDEX(【韻】韻母對照表!$B$4:$B$89, MATCH(TRUE, EXACT(韻母對照表[[#This Row],[台羅拼音]], 【韻】韻母對照表!$C$4:$C$89), 0))</f>
        <v>ik̚</v>
      </c>
      <c r="C18" s="16" t="s">
        <v>115</v>
      </c>
      <c r="D18" s="1" t="s">
        <v>115</v>
      </c>
      <c r="E18" s="1" t="s">
        <v>115</v>
      </c>
      <c r="F18" s="1" t="s">
        <v>115</v>
      </c>
      <c r="G18" s="96" t="s">
        <v>116</v>
      </c>
      <c r="H18" s="1" t="s">
        <v>114</v>
      </c>
      <c r="I18" s="1" t="s">
        <v>2246</v>
      </c>
      <c r="J18" s="3" t="s">
        <v>113</v>
      </c>
      <c r="K18" s="3" t="s">
        <v>107</v>
      </c>
      <c r="L18" s="1" t="s">
        <v>54</v>
      </c>
      <c r="M18" s="1" t="s">
        <v>23</v>
      </c>
      <c r="N18" s="64" t="s">
        <v>117</v>
      </c>
      <c r="P18" s="175">
        <v>17</v>
      </c>
      <c r="Q18" s="167" t="s">
        <v>54</v>
      </c>
      <c r="R18" s="167" t="s">
        <v>107</v>
      </c>
      <c r="S18" s="167" t="s">
        <v>17</v>
      </c>
      <c r="T18" s="166" t="str" cm="1">
        <f t="array" ref="T18">IFERROR( INDEX(韻母對照表[注音二式], MATCH(TRUE, EXACT( _xlfn.CONCAT(R18, LEFT(S18,1)), 韻母對照表[十五音識別碼]),0)), "")</f>
        <v>ing</v>
      </c>
      <c r="U18" s="166" t="s">
        <v>1212</v>
      </c>
      <c r="V18" s="166" t="s">
        <v>108</v>
      </c>
      <c r="W18" s="168" t="s">
        <v>105</v>
      </c>
      <c r="X18" s="176">
        <f t="shared" si="0"/>
        <v>3</v>
      </c>
      <c r="Y18" t="str">
        <f t="shared" si="1"/>
        <v xml:space="preserve">      - xform/ing/ing/</v>
      </c>
    </row>
    <row r="19" spans="1:25" ht="29.25">
      <c r="A19" s="63">
        <v>19</v>
      </c>
      <c r="B19" s="93" t="str" cm="1">
        <f t="array" ref="B19" xml:space="preserve"> INDEX(【韻】韻母對照表!$B$4:$B$89, MATCH(TRUE, EXACT(韻母對照表[[#This Row],[台羅拼音]], 【韻】韻母對照表!$C$4:$C$89), 0))</f>
        <v>uan</v>
      </c>
      <c r="C19" s="16" t="s">
        <v>120</v>
      </c>
      <c r="D19" s="1" t="s">
        <v>120</v>
      </c>
      <c r="E19" s="1" t="s">
        <v>120</v>
      </c>
      <c r="F19" s="1" t="s">
        <v>120</v>
      </c>
      <c r="G19" s="96" t="s">
        <v>123</v>
      </c>
      <c r="H19" s="1" t="s">
        <v>122</v>
      </c>
      <c r="I19" s="1" t="s">
        <v>122</v>
      </c>
      <c r="J19" s="3" t="s">
        <v>119</v>
      </c>
      <c r="K19" s="3" t="s">
        <v>121</v>
      </c>
      <c r="L19" s="1" t="s">
        <v>62</v>
      </c>
      <c r="M19" s="1" t="s">
        <v>17</v>
      </c>
      <c r="N19" s="64" t="s">
        <v>124</v>
      </c>
      <c r="P19" s="166">
        <v>18</v>
      </c>
      <c r="Q19" s="167" t="s">
        <v>54</v>
      </c>
      <c r="R19" s="167" t="s">
        <v>107</v>
      </c>
      <c r="S19" s="167" t="s">
        <v>23</v>
      </c>
      <c r="T19" s="166" t="str" cm="1">
        <f t="array" ref="T19">IFERROR( INDEX(韻母對照表[注音二式], MATCH(TRUE, EXACT( _xlfn.CONCAT(R19, LEFT(S19,1)), 韻母對照表[十五音識別碼]),0)), "")</f>
        <v>ik</v>
      </c>
      <c r="U19" s="166" t="s">
        <v>115</v>
      </c>
      <c r="V19" s="166" t="s">
        <v>114</v>
      </c>
      <c r="W19" s="168" t="s">
        <v>113</v>
      </c>
      <c r="X19" s="176">
        <f t="shared" si="0"/>
        <v>2</v>
      </c>
      <c r="Y19" t="str">
        <f t="shared" si="1"/>
        <v xml:space="preserve">      - xform/ik/ik/</v>
      </c>
    </row>
    <row r="20" spans="1:25" ht="29.25">
      <c r="A20" s="63">
        <v>20</v>
      </c>
      <c r="B20" s="93" t="str" cm="1">
        <f t="array" ref="B20" xml:space="preserve"> INDEX(【韻】韻母對照表!$B$4:$B$89, MATCH(TRUE, EXACT(韻母對照表[[#This Row],[台羅拼音]], 【韻】韻母對照表!$C$4:$C$89), 0))</f>
        <v>uat̚</v>
      </c>
      <c r="C20" s="16" t="s">
        <v>129</v>
      </c>
      <c r="D20" s="1" t="s">
        <v>129</v>
      </c>
      <c r="E20" s="1" t="s">
        <v>129</v>
      </c>
      <c r="F20" s="1" t="s">
        <v>129</v>
      </c>
      <c r="G20" s="96" t="s">
        <v>130</v>
      </c>
      <c r="H20" s="1" t="s">
        <v>128</v>
      </c>
      <c r="I20" s="1" t="s">
        <v>2247</v>
      </c>
      <c r="J20" s="3" t="s">
        <v>126</v>
      </c>
      <c r="K20" s="3" t="s">
        <v>121</v>
      </c>
      <c r="L20" s="1" t="s">
        <v>62</v>
      </c>
      <c r="M20" s="1" t="s">
        <v>23</v>
      </c>
      <c r="N20" s="64" t="s">
        <v>131</v>
      </c>
      <c r="P20" s="175">
        <v>19</v>
      </c>
      <c r="Q20" s="167" t="s">
        <v>62</v>
      </c>
      <c r="R20" s="167" t="s">
        <v>121</v>
      </c>
      <c r="S20" s="167" t="s">
        <v>17</v>
      </c>
      <c r="T20" s="166" t="str" cm="1">
        <f t="array" ref="T20">IFERROR( INDEX(韻母對照表[注音二式], MATCH(TRUE, EXACT( _xlfn.CONCAT(R20, LEFT(S20,1)), 韻母對照表[十五音識別碼]),0)), "")</f>
        <v>uan</v>
      </c>
      <c r="U20" s="166" t="s">
        <v>120</v>
      </c>
      <c r="V20" s="166" t="s">
        <v>122</v>
      </c>
      <c r="W20" s="168" t="s">
        <v>119</v>
      </c>
      <c r="X20" s="176">
        <f t="shared" si="0"/>
        <v>3</v>
      </c>
      <c r="Y20" t="str">
        <f t="shared" si="1"/>
        <v xml:space="preserve">      - xform/uan/uan/</v>
      </c>
    </row>
    <row r="21" spans="1:25" ht="29.25">
      <c r="A21" s="63">
        <v>21</v>
      </c>
      <c r="B21" s="93" t="str" cm="1">
        <f t="array" ref="B21" xml:space="preserve"> INDEX(【韻】韻母對照表!$B$4:$B$89, MATCH(TRUE, EXACT(韻母對照表[[#This Row],[台羅拼音]], 【韻】韻母對照表!$C$4:$C$89), 0))</f>
        <v>ɔ</v>
      </c>
      <c r="C21" s="16" t="s">
        <v>136</v>
      </c>
      <c r="D21" s="1" t="s">
        <v>136</v>
      </c>
      <c r="E21" s="1" t="s">
        <v>136</v>
      </c>
      <c r="F21" s="1" t="s">
        <v>136</v>
      </c>
      <c r="G21" s="96" t="str">
        <f xml:space="preserve"> _xlfn.CONCAT("o", _xlfn.UNICHAR(HEX2DEC(358)))</f>
        <v>o͘</v>
      </c>
      <c r="H21" s="1" t="s">
        <v>913</v>
      </c>
      <c r="I21" s="1" t="s">
        <v>2248</v>
      </c>
      <c r="J21" s="3" t="s">
        <v>133</v>
      </c>
      <c r="K21" s="3" t="s">
        <v>135</v>
      </c>
      <c r="L21" s="1" t="s">
        <v>67</v>
      </c>
      <c r="M21" s="1" t="s">
        <v>17</v>
      </c>
      <c r="N21" s="64" t="s">
        <v>138</v>
      </c>
      <c r="P21" s="166">
        <v>20</v>
      </c>
      <c r="Q21" s="167" t="s">
        <v>62</v>
      </c>
      <c r="R21" s="167" t="s">
        <v>121</v>
      </c>
      <c r="S21" s="167" t="s">
        <v>17</v>
      </c>
      <c r="T21" s="166" t="str" cm="1">
        <f t="array" ref="T21">IFERROR( INDEX(韻母對照表[注音二式], MATCH(TRUE, EXACT( _xlfn.CONCAT(R21, LEFT(S21,1)), 韻母對照表[十五音識別碼]),0)), "")</f>
        <v>uan</v>
      </c>
      <c r="U21" s="166" t="s">
        <v>129</v>
      </c>
      <c r="V21" s="166" t="s">
        <v>128</v>
      </c>
      <c r="W21" s="168" t="s">
        <v>126</v>
      </c>
      <c r="X21" s="176">
        <f t="shared" si="0"/>
        <v>3</v>
      </c>
      <c r="Y21" t="str">
        <f t="shared" si="1"/>
        <v xml:space="preserve">      - xform/uan/uat/</v>
      </c>
    </row>
    <row r="22" spans="1:25" ht="29.25">
      <c r="A22" s="63">
        <v>23</v>
      </c>
      <c r="B22" s="93" t="str" cm="1">
        <f t="array" ref="B22" xml:space="preserve"> INDEX(【韻】韻母對照表!$B$4:$B$89, MATCH(TRUE, EXACT(韻母對照表[[#This Row],[台羅拼音]], 【韻】韻母對照表!$C$4:$C$89), 0))</f>
        <v>ɪaʊ</v>
      </c>
      <c r="C22" s="16" t="s">
        <v>141</v>
      </c>
      <c r="D22" s="1" t="s">
        <v>141</v>
      </c>
      <c r="E22" s="1" t="s">
        <v>141</v>
      </c>
      <c r="F22" s="16" t="s">
        <v>144</v>
      </c>
      <c r="G22" s="91" t="s">
        <v>141</v>
      </c>
      <c r="H22" s="1" t="s">
        <v>143</v>
      </c>
      <c r="I22" s="1" t="s">
        <v>143</v>
      </c>
      <c r="J22" s="3" t="s">
        <v>140</v>
      </c>
      <c r="K22" s="3" t="s">
        <v>142</v>
      </c>
      <c r="L22" s="1" t="s">
        <v>73</v>
      </c>
      <c r="M22" s="1" t="s">
        <v>17</v>
      </c>
      <c r="N22" s="64" t="s">
        <v>145</v>
      </c>
      <c r="P22" s="175">
        <v>21</v>
      </c>
      <c r="Q22" s="167" t="s">
        <v>67</v>
      </c>
      <c r="R22" s="167" t="s">
        <v>135</v>
      </c>
      <c r="S22" s="167" t="s">
        <v>17</v>
      </c>
      <c r="T22" s="166" t="str" cm="1">
        <f t="array" ref="T22">IFERROR( INDEX(韻母對照表[注音二式], MATCH(TRUE, EXACT( _xlfn.CONCAT(R22, LEFT(S22,1)), 韻母對照表[十五音識別碼]),0)), "")</f>
        <v>oo</v>
      </c>
      <c r="U22" s="166" t="s">
        <v>136</v>
      </c>
      <c r="V22" s="166" t="s">
        <v>1339</v>
      </c>
      <c r="W22" s="168" t="s">
        <v>133</v>
      </c>
      <c r="X22" s="176">
        <f t="shared" si="0"/>
        <v>2</v>
      </c>
      <c r="Y22" t="str">
        <f t="shared" si="1"/>
        <v xml:space="preserve">      - xform/oo/oo/</v>
      </c>
    </row>
    <row r="23" spans="1:25" ht="29.25">
      <c r="A23" s="63">
        <v>24</v>
      </c>
      <c r="B23" s="93" t="str" cm="1">
        <f t="array" ref="B23" xml:space="preserve"> INDEX(【韻】韻母對照表!$B$4:$B$89, MATCH(TRUE, EXACT(韻母對照表[[#This Row],[台羅拼音]], 【韻】韻母對照表!$C$4:$C$89), 0))</f>
        <v>ɪaʊʔ</v>
      </c>
      <c r="C23" s="16" t="s">
        <v>148</v>
      </c>
      <c r="D23" s="1" t="s">
        <v>148</v>
      </c>
      <c r="E23" s="1" t="s">
        <v>148</v>
      </c>
      <c r="F23" s="1" t="s">
        <v>149</v>
      </c>
      <c r="G23" s="91" t="s">
        <v>148</v>
      </c>
      <c r="H23" s="1" t="s">
        <v>914</v>
      </c>
      <c r="I23" s="1" t="s">
        <v>2249</v>
      </c>
      <c r="J23" s="5" t="s">
        <v>147</v>
      </c>
      <c r="K23" s="3" t="s">
        <v>142</v>
      </c>
      <c r="L23" s="1" t="s">
        <v>73</v>
      </c>
      <c r="M23" s="1" t="s">
        <v>23</v>
      </c>
      <c r="N23" s="64" t="s">
        <v>150</v>
      </c>
      <c r="P23" s="166">
        <v>22</v>
      </c>
      <c r="Q23" s="167" t="s">
        <v>67</v>
      </c>
      <c r="R23" s="167" t="s">
        <v>135</v>
      </c>
      <c r="S23" s="167" t="s">
        <v>17</v>
      </c>
      <c r="T23" s="166" t="str" cm="1">
        <f t="array" ref="T23">IFERROR( INDEX(韻母對照表[注音二式], MATCH(TRUE, EXACT( _xlfn.CONCAT(R23, LEFT(S23,1)), 韻母對照表[十五音識別碼]),0)), "")</f>
        <v>oo</v>
      </c>
      <c r="U23" s="166" t="s">
        <v>2171</v>
      </c>
      <c r="V23" s="166" t="s">
        <v>1329</v>
      </c>
      <c r="W23" s="168"/>
      <c r="X23" s="176">
        <f t="shared" si="0"/>
        <v>2</v>
      </c>
      <c r="Y23" t="str">
        <f t="shared" si="1"/>
        <v xml:space="preserve">      - xform/oo/ooh/</v>
      </c>
    </row>
    <row r="24" spans="1:25" ht="29.25">
      <c r="A24" s="63">
        <v>25</v>
      </c>
      <c r="B24" s="93" t="str" cm="1">
        <f t="array" ref="B24" xml:space="preserve"> INDEX(【韻】韻母對照表!$B$4:$B$89, MATCH(TRUE, EXACT(韻母對照表[[#This Row],[台羅拼音]], 【韻】韻母對照表!$C$4:$C$89), 0))</f>
        <v>e</v>
      </c>
      <c r="C24" s="16" t="s">
        <v>60</v>
      </c>
      <c r="D24" s="1" t="s">
        <v>153</v>
      </c>
      <c r="E24" s="1" t="s">
        <v>60</v>
      </c>
      <c r="F24" s="1" t="s">
        <v>60</v>
      </c>
      <c r="G24" s="95"/>
      <c r="H24" s="1" t="s">
        <v>155</v>
      </c>
      <c r="I24" s="1" t="s">
        <v>58</v>
      </c>
      <c r="J24" s="3" t="s">
        <v>152</v>
      </c>
      <c r="K24" s="3" t="s">
        <v>154</v>
      </c>
      <c r="L24" s="1" t="s">
        <v>79</v>
      </c>
      <c r="M24" s="1" t="s">
        <v>17</v>
      </c>
      <c r="N24" s="64" t="s">
        <v>156</v>
      </c>
      <c r="P24" s="175">
        <v>23</v>
      </c>
      <c r="Q24" s="167" t="s">
        <v>73</v>
      </c>
      <c r="R24" s="167" t="s">
        <v>142</v>
      </c>
      <c r="S24" s="167" t="s">
        <v>17</v>
      </c>
      <c r="T24" s="166" t="str" cm="1">
        <f t="array" ref="T24">IFERROR( INDEX(韻母對照表[注音二式], MATCH(TRUE, EXACT( _xlfn.CONCAT(R24, LEFT(S24,1)), 韻母對照表[十五音識別碼]),0)), "")</f>
        <v>iau</v>
      </c>
      <c r="U24" s="166" t="s">
        <v>144</v>
      </c>
      <c r="V24" s="166" t="s">
        <v>143</v>
      </c>
      <c r="W24" s="168" t="s">
        <v>140</v>
      </c>
      <c r="X24" s="176">
        <f t="shared" si="0"/>
        <v>3</v>
      </c>
      <c r="Y24" t="str">
        <f t="shared" si="1"/>
        <v xml:space="preserve">      - xform/iau/iao/</v>
      </c>
    </row>
    <row r="25" spans="1:25" ht="29.25">
      <c r="A25" s="63">
        <v>27</v>
      </c>
      <c r="B25" s="93" t="str" cm="1">
        <f t="array" ref="B25" xml:space="preserve"> INDEX(【韻】韻母對照表!$B$4:$B$89, MATCH(TRUE, EXACT(韻母對照表[[#This Row],[台羅拼音]], 【韻】韻母對照表!$C$4:$C$89), 0))</f>
        <v>ɪɔŋ</v>
      </c>
      <c r="C25" s="16" t="s">
        <v>162</v>
      </c>
      <c r="D25" s="1" t="s">
        <v>162</v>
      </c>
      <c r="E25" s="1" t="s">
        <v>162</v>
      </c>
      <c r="F25" s="1" t="s">
        <v>162</v>
      </c>
      <c r="G25" s="91" t="s">
        <v>162</v>
      </c>
      <c r="H25" s="1" t="s">
        <v>161</v>
      </c>
      <c r="I25" s="1" t="s">
        <v>2250</v>
      </c>
      <c r="J25" s="3" t="s">
        <v>158</v>
      </c>
      <c r="K25" s="3" t="s">
        <v>160</v>
      </c>
      <c r="L25" s="1" t="s">
        <v>86</v>
      </c>
      <c r="M25" s="1" t="s">
        <v>17</v>
      </c>
      <c r="N25" s="64" t="s">
        <v>163</v>
      </c>
      <c r="P25" s="166">
        <v>24</v>
      </c>
      <c r="Q25" s="167" t="s">
        <v>73</v>
      </c>
      <c r="R25" s="167" t="s">
        <v>142</v>
      </c>
      <c r="S25" s="167" t="s">
        <v>17</v>
      </c>
      <c r="T25" s="166" t="str" cm="1">
        <f t="array" ref="T25">IFERROR( INDEX(韻母對照表[注音二式], MATCH(TRUE, EXACT( _xlfn.CONCAT(R25, LEFT(S25,1)), 韻母對照表[十五音識別碼]),0)), "")</f>
        <v>iau</v>
      </c>
      <c r="U25" s="166" t="s">
        <v>149</v>
      </c>
      <c r="V25" s="166" t="s">
        <v>2199</v>
      </c>
      <c r="W25" s="170" t="s">
        <v>147</v>
      </c>
      <c r="X25" s="176">
        <f t="shared" si="0"/>
        <v>3</v>
      </c>
      <c r="Y25" t="str">
        <f t="shared" si="1"/>
        <v xml:space="preserve">      - xform/iau/iaoh/</v>
      </c>
    </row>
    <row r="26" spans="1:25" ht="29.25">
      <c r="A26" s="63">
        <v>28</v>
      </c>
      <c r="B26" s="93" t="str" cm="1">
        <f t="array" ref="B26" xml:space="preserve"> INDEX(【韻】韻母對照表!$B$4:$B$89, MATCH(TRUE, EXACT(韻母對照表[[#This Row],[台羅拼音]], 【韻】韻母對照表!$C$4:$C$89), 0))</f>
        <v>ɪɔk̚</v>
      </c>
      <c r="C26" s="16" t="s">
        <v>167</v>
      </c>
      <c r="D26" s="1" t="s">
        <v>167</v>
      </c>
      <c r="E26" s="16" t="s">
        <v>896</v>
      </c>
      <c r="F26" s="1" t="s">
        <v>167</v>
      </c>
      <c r="G26" s="91" t="s">
        <v>167</v>
      </c>
      <c r="H26" s="1" t="s">
        <v>166</v>
      </c>
      <c r="I26" s="1" t="s">
        <v>2251</v>
      </c>
      <c r="J26" s="3" t="s">
        <v>165</v>
      </c>
      <c r="K26" s="3" t="s">
        <v>160</v>
      </c>
      <c r="L26" s="1" t="s">
        <v>86</v>
      </c>
      <c r="M26" s="1" t="s">
        <v>23</v>
      </c>
      <c r="N26" s="64" t="s">
        <v>168</v>
      </c>
      <c r="P26" s="175">
        <v>25</v>
      </c>
      <c r="Q26" s="167" t="s">
        <v>79</v>
      </c>
      <c r="R26" s="167" t="s">
        <v>154</v>
      </c>
      <c r="S26" s="167" t="s">
        <v>17</v>
      </c>
      <c r="T26" s="166" t="str" cm="1">
        <f t="array" ref="T26">IFERROR( INDEX(韻母對照表[注音二式], MATCH(TRUE, EXACT( _xlfn.CONCAT(R26, LEFT(S26,1)), 韻母對照表[十五音識別碼]),0)), "")</f>
        <v>e</v>
      </c>
      <c r="U26" s="166" t="s">
        <v>60</v>
      </c>
      <c r="V26" s="166" t="s">
        <v>155</v>
      </c>
      <c r="W26" s="168" t="s">
        <v>152</v>
      </c>
      <c r="X26" s="176">
        <f t="shared" si="0"/>
        <v>1</v>
      </c>
      <c r="Y26" t="str">
        <f t="shared" si="1"/>
        <v xml:space="preserve">      - xform/e/e/</v>
      </c>
    </row>
    <row r="27" spans="1:25" ht="29.25">
      <c r="A27" s="63">
        <v>29</v>
      </c>
      <c r="B27" s="93" t="str" cm="1">
        <f t="array" ref="B27" xml:space="preserve"> INDEX(【韻】韻母對照表!$B$4:$B$89, MATCH(TRUE, EXACT(韻母對照表[[#This Row],[台羅拼音]], 【韻】韻母對照表!$C$4:$C$89), 0))</f>
        <v>ə</v>
      </c>
      <c r="C27" s="16" t="s">
        <v>171</v>
      </c>
      <c r="D27" s="1" t="s">
        <v>171</v>
      </c>
      <c r="E27" s="16" t="s">
        <v>174</v>
      </c>
      <c r="F27" s="1" t="s">
        <v>171</v>
      </c>
      <c r="G27" s="91" t="s">
        <v>171</v>
      </c>
      <c r="H27" s="1" t="s">
        <v>173</v>
      </c>
      <c r="I27" s="1" t="s">
        <v>173</v>
      </c>
      <c r="J27" s="3" t="s">
        <v>170</v>
      </c>
      <c r="K27" s="3" t="s">
        <v>172</v>
      </c>
      <c r="L27" s="1" t="s">
        <v>92</v>
      </c>
      <c r="M27" s="1" t="s">
        <v>17</v>
      </c>
      <c r="N27" s="64" t="s">
        <v>175</v>
      </c>
      <c r="P27" s="166">
        <v>26</v>
      </c>
      <c r="Q27" s="167" t="s">
        <v>79</v>
      </c>
      <c r="R27" s="167" t="s">
        <v>154</v>
      </c>
      <c r="S27" s="167" t="s">
        <v>17</v>
      </c>
      <c r="T27" s="166" t="str" cm="1">
        <f t="array" ref="T27">IFERROR( INDEX(韻母對照表[注音二式], MATCH(TRUE, EXACT( _xlfn.CONCAT(R27, LEFT(S27,1)), 韻母對照表[十五音識別碼]),0)), "")</f>
        <v>e</v>
      </c>
      <c r="U27" s="166" t="s">
        <v>1180</v>
      </c>
      <c r="V27" s="166" t="s">
        <v>930</v>
      </c>
      <c r="W27" s="168"/>
      <c r="X27" s="176">
        <f t="shared" si="0"/>
        <v>1</v>
      </c>
      <c r="Y27" t="str">
        <f t="shared" si="1"/>
        <v xml:space="preserve">      - xform/e/eh/</v>
      </c>
    </row>
    <row r="28" spans="1:25" ht="29.25">
      <c r="A28" s="63">
        <v>30</v>
      </c>
      <c r="B28" s="93" t="str" cm="1">
        <f t="array" ref="B28" xml:space="preserve"> INDEX(【韻】韻母對照表!$B$4:$B$89, MATCH(TRUE, EXACT(韻母對照表[[#This Row],[台羅拼音]], 【韻】韻母對照表!$C$4:$C$89), 0))</f>
        <v>əʔ</v>
      </c>
      <c r="C28" s="16" t="s">
        <v>178</v>
      </c>
      <c r="D28" s="1" t="s">
        <v>178</v>
      </c>
      <c r="E28" s="16" t="s">
        <v>179</v>
      </c>
      <c r="F28" s="1" t="s">
        <v>178</v>
      </c>
      <c r="G28" s="91" t="s">
        <v>178</v>
      </c>
      <c r="H28" s="1" t="s">
        <v>915</v>
      </c>
      <c r="I28" s="1" t="s">
        <v>2252</v>
      </c>
      <c r="J28" s="4" t="s">
        <v>177</v>
      </c>
      <c r="K28" s="3" t="s">
        <v>172</v>
      </c>
      <c r="L28" s="1" t="s">
        <v>92</v>
      </c>
      <c r="M28" s="1" t="s">
        <v>23</v>
      </c>
      <c r="N28" s="64" t="s">
        <v>180</v>
      </c>
      <c r="P28" s="175">
        <v>27</v>
      </c>
      <c r="Q28" s="167" t="s">
        <v>86</v>
      </c>
      <c r="R28" s="167" t="s">
        <v>160</v>
      </c>
      <c r="S28" s="167" t="s">
        <v>17</v>
      </c>
      <c r="T28" s="166" t="str" cm="1">
        <f t="array" ref="T28">IFERROR( INDEX(韻母對照表[注音二式], MATCH(TRUE, EXACT( _xlfn.CONCAT(R28, LEFT(S28,1)), 韻母對照表[十五音識別碼]),0)), "")</f>
        <v>iong</v>
      </c>
      <c r="U28" s="166" t="s">
        <v>162</v>
      </c>
      <c r="V28" s="166" t="s">
        <v>161</v>
      </c>
      <c r="W28" s="168" t="s">
        <v>158</v>
      </c>
      <c r="X28" s="176">
        <f t="shared" si="0"/>
        <v>4</v>
      </c>
      <c r="Y28" t="str">
        <f t="shared" si="1"/>
        <v xml:space="preserve">      - xform/iong/iong/</v>
      </c>
    </row>
    <row r="29" spans="1:25" ht="29.25">
      <c r="A29" s="63">
        <v>31</v>
      </c>
      <c r="B29" s="93" t="str" cm="1">
        <f t="array" ref="B29" xml:space="preserve"> INDEX(【韻】韻母對照表!$B$4:$B$89, MATCH(TRUE, EXACT(韻母對照表[[#This Row],[台羅拼音]], 【韻】韻母對照表!$C$4:$C$89), 0))</f>
        <v>aɪ</v>
      </c>
      <c r="C29" s="16" t="s">
        <v>183</v>
      </c>
      <c r="D29" s="1" t="s">
        <v>183</v>
      </c>
      <c r="E29" s="1" t="s">
        <v>183</v>
      </c>
      <c r="F29" s="1" t="s">
        <v>183</v>
      </c>
      <c r="G29" s="91" t="s">
        <v>183</v>
      </c>
      <c r="H29" s="1" t="s">
        <v>185</v>
      </c>
      <c r="I29" s="1" t="s">
        <v>185</v>
      </c>
      <c r="J29" s="3" t="s">
        <v>182</v>
      </c>
      <c r="K29" s="3" t="s">
        <v>184</v>
      </c>
      <c r="L29" s="1" t="s">
        <v>100</v>
      </c>
      <c r="M29" s="1" t="s">
        <v>17</v>
      </c>
      <c r="N29" s="64" t="s">
        <v>186</v>
      </c>
      <c r="P29" s="166">
        <v>28</v>
      </c>
      <c r="Q29" s="167" t="s">
        <v>86</v>
      </c>
      <c r="R29" s="167" t="s">
        <v>160</v>
      </c>
      <c r="S29" s="167" t="s">
        <v>23</v>
      </c>
      <c r="T29" s="166" t="str" cm="1">
        <f t="array" ref="T29">IFERROR( INDEX(韻母對照表[注音二式], MATCH(TRUE, EXACT( _xlfn.CONCAT(R29, LEFT(S29,1)), 韻母對照表[十五音識別碼]),0)), "")</f>
        <v>iook</v>
      </c>
      <c r="U29" s="166" t="s">
        <v>167</v>
      </c>
      <c r="V29" s="166" t="s">
        <v>166</v>
      </c>
      <c r="W29" s="168" t="s">
        <v>165</v>
      </c>
      <c r="X29" s="176">
        <f t="shared" si="0"/>
        <v>4</v>
      </c>
      <c r="Y29" t="str">
        <f t="shared" si="1"/>
        <v xml:space="preserve">      - xform/iook/iok/</v>
      </c>
    </row>
    <row r="30" spans="1:25" ht="29.25">
      <c r="A30" s="63">
        <v>33</v>
      </c>
      <c r="B30" s="93" t="str" cm="1">
        <f t="array" ref="B30" xml:space="preserve"> INDEX(【韻】韻母對照表!$B$4:$B$89, MATCH(TRUE, EXACT(韻母對照表[[#This Row],[台羅拼音]], 【韻】韻母對照表!$C$4:$C$89), 0))</f>
        <v>in</v>
      </c>
      <c r="C30" s="16" t="s">
        <v>189</v>
      </c>
      <c r="D30" s="1" t="s">
        <v>189</v>
      </c>
      <c r="E30" s="1" t="s">
        <v>189</v>
      </c>
      <c r="F30" s="1" t="s">
        <v>189</v>
      </c>
      <c r="G30" s="91" t="s">
        <v>189</v>
      </c>
      <c r="H30" s="1" t="s">
        <v>191</v>
      </c>
      <c r="I30" s="1" t="s">
        <v>191</v>
      </c>
      <c r="J30" s="3" t="s">
        <v>188</v>
      </c>
      <c r="K30" s="3" t="s">
        <v>190</v>
      </c>
      <c r="L30" s="1" t="s">
        <v>104</v>
      </c>
      <c r="M30" s="1" t="s">
        <v>17</v>
      </c>
      <c r="N30" s="64" t="s">
        <v>192</v>
      </c>
      <c r="P30" s="175">
        <v>29</v>
      </c>
      <c r="Q30" s="167" t="s">
        <v>92</v>
      </c>
      <c r="R30" s="167" t="s">
        <v>172</v>
      </c>
      <c r="S30" s="167" t="s">
        <v>17</v>
      </c>
      <c r="T30" s="166" t="str" cm="1">
        <f t="array" ref="T30">IFERROR( INDEX(韻母對照表[注音二式], MATCH(TRUE, EXACT( _xlfn.CONCAT(R30, LEFT(S30,1)), 韻母對照表[十五音識別碼]),0)), "")</f>
        <v>or</v>
      </c>
      <c r="U30" s="166" t="s">
        <v>171</v>
      </c>
      <c r="V30" s="166" t="s">
        <v>173</v>
      </c>
      <c r="W30" s="168" t="s">
        <v>170</v>
      </c>
      <c r="X30" s="176">
        <f t="shared" si="0"/>
        <v>2</v>
      </c>
      <c r="Y30" t="str">
        <f t="shared" si="1"/>
        <v xml:space="preserve">      - xform/or/o/</v>
      </c>
    </row>
    <row r="31" spans="1:25" ht="29.25">
      <c r="A31" s="63">
        <v>34</v>
      </c>
      <c r="B31" s="93" t="str" cm="1">
        <f t="array" ref="B31" xml:space="preserve"> INDEX(【韻】韻母對照表!$B$4:$B$89, MATCH(TRUE, EXACT(韻母對照表[[#This Row],[台羅拼音]], 【韻】韻母對照表!$C$4:$C$89), 0))</f>
        <v>it̚</v>
      </c>
      <c r="C31" s="16" t="s">
        <v>197</v>
      </c>
      <c r="D31" s="1" t="s">
        <v>197</v>
      </c>
      <c r="E31" s="1" t="s">
        <v>197</v>
      </c>
      <c r="F31" s="1" t="s">
        <v>197</v>
      </c>
      <c r="G31" s="91" t="s">
        <v>197</v>
      </c>
      <c r="H31" s="1" t="s">
        <v>196</v>
      </c>
      <c r="I31" s="1" t="s">
        <v>2253</v>
      </c>
      <c r="J31" s="3" t="s">
        <v>194</v>
      </c>
      <c r="K31" s="3" t="s">
        <v>190</v>
      </c>
      <c r="L31" s="1" t="s">
        <v>104</v>
      </c>
      <c r="M31" s="1" t="s">
        <v>23</v>
      </c>
      <c r="N31" s="64" t="s">
        <v>198</v>
      </c>
      <c r="P31" s="166">
        <v>30</v>
      </c>
      <c r="Q31" s="167" t="s">
        <v>92</v>
      </c>
      <c r="R31" s="167" t="s">
        <v>172</v>
      </c>
      <c r="S31" s="167" t="s">
        <v>17</v>
      </c>
      <c r="T31" s="166" t="str" cm="1">
        <f t="array" ref="T31">IFERROR( INDEX(韻母對照表[注音二式], MATCH(TRUE, EXACT( _xlfn.CONCAT(R31, LEFT(S31,1)), 韻母對照表[十五音識別碼]),0)), "")</f>
        <v>or</v>
      </c>
      <c r="U31" s="166" t="s">
        <v>178</v>
      </c>
      <c r="V31" s="166" t="s">
        <v>2202</v>
      </c>
      <c r="W31" s="169" t="s">
        <v>177</v>
      </c>
      <c r="X31" s="176">
        <f t="shared" si="0"/>
        <v>2</v>
      </c>
      <c r="Y31" t="str">
        <f t="shared" si="1"/>
        <v xml:space="preserve">      - xform/or/oh/</v>
      </c>
    </row>
    <row r="32" spans="1:25" ht="29.25">
      <c r="A32" s="63">
        <v>35</v>
      </c>
      <c r="B32" s="93" t="str" cm="1">
        <f t="array" ref="B32" xml:space="preserve"> INDEX(【韻】韻母對照表!$B$4:$B$89, MATCH(TRUE, EXACT(韻母對照表[[#This Row],[台羅拼音]], 【韻】韻母對照表!$C$4:$C$89), 0))</f>
        <v>ɪaŋ</v>
      </c>
      <c r="C32" s="16" t="s">
        <v>203</v>
      </c>
      <c r="D32" s="1" t="s">
        <v>203</v>
      </c>
      <c r="E32" s="1" t="s">
        <v>203</v>
      </c>
      <c r="F32" s="1" t="s">
        <v>203</v>
      </c>
      <c r="G32" s="91" t="s">
        <v>203</v>
      </c>
      <c r="H32" s="1" t="s">
        <v>916</v>
      </c>
      <c r="I32" s="1" t="s">
        <v>2197</v>
      </c>
      <c r="J32" s="5" t="s">
        <v>200</v>
      </c>
      <c r="K32" s="5" t="s">
        <v>202</v>
      </c>
      <c r="L32" s="1" t="s">
        <v>112</v>
      </c>
      <c r="M32" s="1" t="s">
        <v>17</v>
      </c>
      <c r="N32" s="64" t="s">
        <v>204</v>
      </c>
      <c r="P32" s="175">
        <v>31</v>
      </c>
      <c r="Q32" s="167" t="s">
        <v>100</v>
      </c>
      <c r="R32" s="167" t="s">
        <v>184</v>
      </c>
      <c r="S32" s="167" t="s">
        <v>17</v>
      </c>
      <c r="T32" s="166" t="str" cm="1">
        <f t="array" ref="T32">IFERROR( INDEX(韻母對照表[注音二式], MATCH(TRUE, EXACT( _xlfn.CONCAT(R32, LEFT(S32,1)), 韻母對照表[十五音識別碼]),0)), "")</f>
        <v>ai</v>
      </c>
      <c r="U32" s="166" t="s">
        <v>183</v>
      </c>
      <c r="V32" s="166" t="s">
        <v>185</v>
      </c>
      <c r="W32" s="168" t="s">
        <v>182</v>
      </c>
      <c r="X32" s="176">
        <f t="shared" si="0"/>
        <v>2</v>
      </c>
      <c r="Y32" t="str">
        <f t="shared" si="1"/>
        <v xml:space="preserve">      - xform/ai/ai/</v>
      </c>
    </row>
    <row r="33" spans="1:25" ht="29.25">
      <c r="A33" s="63">
        <v>36</v>
      </c>
      <c r="B33" s="93" t="str" cm="1">
        <f t="array" ref="B33" xml:space="preserve"> INDEX(【韻】韻母對照表!$B$4:$B$89, MATCH(TRUE, EXACT(韻母對照表[[#This Row],[台羅拼音]], 【韻】韻母對照表!$C$4:$C$89), 0))</f>
        <v>ɪak̚</v>
      </c>
      <c r="C33" s="16" t="s">
        <v>207</v>
      </c>
      <c r="D33" s="1" t="s">
        <v>207</v>
      </c>
      <c r="E33" s="1" t="s">
        <v>207</v>
      </c>
      <c r="F33" s="1" t="s">
        <v>207</v>
      </c>
      <c r="G33" s="91" t="s">
        <v>207</v>
      </c>
      <c r="H33" s="1" t="s">
        <v>917</v>
      </c>
      <c r="I33" s="1" t="s">
        <v>2254</v>
      </c>
      <c r="J33" s="4" t="s">
        <v>206</v>
      </c>
      <c r="K33" s="5" t="s">
        <v>202</v>
      </c>
      <c r="L33" s="1" t="s">
        <v>112</v>
      </c>
      <c r="M33" s="1" t="s">
        <v>23</v>
      </c>
      <c r="N33" s="64" t="s">
        <v>208</v>
      </c>
      <c r="P33" s="166">
        <v>32</v>
      </c>
      <c r="Q33" s="167" t="s">
        <v>100</v>
      </c>
      <c r="R33" s="167" t="s">
        <v>184</v>
      </c>
      <c r="S33" s="167" t="s">
        <v>17</v>
      </c>
      <c r="T33" s="166" t="str" cm="1">
        <f t="array" ref="T33">IFERROR( INDEX(韻母對照表[注音二式], MATCH(TRUE, EXACT( _xlfn.CONCAT(R33, LEFT(S33,1)), 韻母對照表[十五音識別碼]),0)), "")</f>
        <v>ai</v>
      </c>
      <c r="U33" s="166" t="s">
        <v>2158</v>
      </c>
      <c r="V33" s="166" t="str">
        <f xml:space="preserve"> _xlfn.CONCAT(V32, "ㆷ")</f>
        <v>ㄞㆷ</v>
      </c>
      <c r="W33" s="168"/>
      <c r="X33" s="176">
        <f t="shared" si="0"/>
        <v>2</v>
      </c>
      <c r="Y33" t="str">
        <f t="shared" si="1"/>
        <v xml:space="preserve">      - xform/ai/aih/</v>
      </c>
    </row>
    <row r="34" spans="1:25" ht="29.25">
      <c r="A34" s="63">
        <v>37</v>
      </c>
      <c r="B34" s="93" t="str" cm="1">
        <f t="array" ref="B34" xml:space="preserve"> INDEX(【韻】韻母對照表!$B$4:$B$89, MATCH(TRUE, EXACT(韻母對照表[[#This Row],[台羅拼音]], 【韻】韻母對照表!$C$4:$C$89), 0))</f>
        <v>am</v>
      </c>
      <c r="C34" s="16" t="s">
        <v>211</v>
      </c>
      <c r="D34" s="1" t="s">
        <v>211</v>
      </c>
      <c r="E34" s="1" t="s">
        <v>211</v>
      </c>
      <c r="F34" s="1" t="s">
        <v>211</v>
      </c>
      <c r="G34" s="91" t="s">
        <v>211</v>
      </c>
      <c r="H34" s="1" t="s">
        <v>213</v>
      </c>
      <c r="I34" s="1" t="s">
        <v>2255</v>
      </c>
      <c r="J34" s="3" t="s">
        <v>210</v>
      </c>
      <c r="K34" s="3" t="s">
        <v>212</v>
      </c>
      <c r="L34" s="1" t="s">
        <v>118</v>
      </c>
      <c r="M34" s="1" t="s">
        <v>17</v>
      </c>
      <c r="N34" s="64" t="s">
        <v>214</v>
      </c>
      <c r="P34" s="175">
        <v>33</v>
      </c>
      <c r="Q34" s="167" t="s">
        <v>104</v>
      </c>
      <c r="R34" s="167" t="s">
        <v>190</v>
      </c>
      <c r="S34" s="167" t="s">
        <v>17</v>
      </c>
      <c r="T34" s="166" t="str" cm="1">
        <f t="array" ref="T34">IFERROR( INDEX(韻母對照表[注音二式], MATCH(TRUE, EXACT( _xlfn.CONCAT(R34, LEFT(S34,1)), 韻母對照表[十五音識別碼]),0)), "")</f>
        <v>in</v>
      </c>
      <c r="U34" s="166" t="s">
        <v>189</v>
      </c>
      <c r="V34" s="166" t="s">
        <v>191</v>
      </c>
      <c r="W34" s="168" t="s">
        <v>188</v>
      </c>
      <c r="X34" s="176">
        <f t="shared" si="0"/>
        <v>2</v>
      </c>
      <c r="Y34" t="str">
        <f t="shared" si="1"/>
        <v xml:space="preserve">      - xform/in/in/</v>
      </c>
    </row>
    <row r="35" spans="1:25" ht="29.25">
      <c r="A35" s="63">
        <v>38</v>
      </c>
      <c r="B35" s="93" t="str" cm="1">
        <f t="array" ref="B35" xml:space="preserve"> INDEX(【韻】韻母對照表!$B$4:$B$89, MATCH(TRUE, EXACT(韻母對照表[[#This Row],[台羅拼音]], 【韻】韻母對照表!$C$4:$C$89), 0))</f>
        <v>ap̚</v>
      </c>
      <c r="C35" s="16" t="s">
        <v>219</v>
      </c>
      <c r="D35" s="1" t="s">
        <v>219</v>
      </c>
      <c r="E35" s="1" t="s">
        <v>219</v>
      </c>
      <c r="F35" s="1" t="s">
        <v>219</v>
      </c>
      <c r="G35" s="91" t="s">
        <v>219</v>
      </c>
      <c r="H35" s="1" t="s">
        <v>218</v>
      </c>
      <c r="I35" s="1" t="s">
        <v>2256</v>
      </c>
      <c r="J35" s="3" t="s">
        <v>216</v>
      </c>
      <c r="K35" s="3" t="s">
        <v>212</v>
      </c>
      <c r="L35" s="1" t="s">
        <v>118</v>
      </c>
      <c r="M35" s="1" t="s">
        <v>23</v>
      </c>
      <c r="N35" s="64" t="s">
        <v>220</v>
      </c>
      <c r="P35" s="166">
        <v>34</v>
      </c>
      <c r="Q35" s="167" t="s">
        <v>104</v>
      </c>
      <c r="R35" s="167" t="s">
        <v>190</v>
      </c>
      <c r="S35" s="167" t="s">
        <v>23</v>
      </c>
      <c r="T35" s="166" t="str" cm="1">
        <f t="array" ref="T35">IFERROR( INDEX(韻母對照表[注音二式], MATCH(TRUE, EXACT( _xlfn.CONCAT(R35, LEFT(S35,1)), 韻母對照表[十五音識別碼]),0)), "")</f>
        <v>it</v>
      </c>
      <c r="U35" s="166" t="s">
        <v>197</v>
      </c>
      <c r="V35" s="166" t="s">
        <v>196</v>
      </c>
      <c r="W35" s="168" t="s">
        <v>194</v>
      </c>
      <c r="X35" s="176">
        <f t="shared" si="0"/>
        <v>2</v>
      </c>
      <c r="Y35" t="str">
        <f t="shared" si="1"/>
        <v xml:space="preserve">      - xform/it/it/</v>
      </c>
    </row>
    <row r="36" spans="1:25" ht="29.25">
      <c r="A36" s="63">
        <v>39</v>
      </c>
      <c r="B36" s="93" t="str" cm="1">
        <f t="array" ref="B36" xml:space="preserve"> INDEX(【韻】韻母對照表!$B$4:$B$89, MATCH(TRUE, EXACT(韻母對照表[[#This Row],[台羅拼音]], 【韻】韻母對照表!$C$4:$C$89), 0))</f>
        <v>ua</v>
      </c>
      <c r="C36" s="16" t="s">
        <v>223</v>
      </c>
      <c r="D36" s="1" t="s">
        <v>223</v>
      </c>
      <c r="E36" s="1" t="s">
        <v>223</v>
      </c>
      <c r="F36" s="1" t="s">
        <v>223</v>
      </c>
      <c r="G36" s="96" t="s">
        <v>226</v>
      </c>
      <c r="H36" s="1" t="s">
        <v>225</v>
      </c>
      <c r="I36" s="1" t="s">
        <v>225</v>
      </c>
      <c r="J36" s="3" t="s">
        <v>222</v>
      </c>
      <c r="K36" s="3" t="s">
        <v>224</v>
      </c>
      <c r="L36" s="1" t="s">
        <v>125</v>
      </c>
      <c r="M36" s="1" t="s">
        <v>17</v>
      </c>
      <c r="N36" s="64" t="s">
        <v>227</v>
      </c>
      <c r="P36" s="175">
        <v>35</v>
      </c>
      <c r="Q36" s="167" t="s">
        <v>112</v>
      </c>
      <c r="R36" s="167" t="s">
        <v>202</v>
      </c>
      <c r="S36" s="167" t="s">
        <v>17</v>
      </c>
      <c r="T36" s="166" t="str" cm="1">
        <f t="array" ref="T36">IFERROR( INDEX(韻母對照表[注音二式], MATCH(TRUE, EXACT( _xlfn.CONCAT(R36, LEFT(S36,1)), 韻母對照表[十五音識別碼]),0)), "")</f>
        <v>iang</v>
      </c>
      <c r="U36" s="166" t="s">
        <v>203</v>
      </c>
      <c r="V36" s="166" t="s">
        <v>2197</v>
      </c>
      <c r="W36" s="170" t="s">
        <v>200</v>
      </c>
      <c r="X36" s="176">
        <f t="shared" si="0"/>
        <v>4</v>
      </c>
      <c r="Y36" t="str">
        <f t="shared" si="1"/>
        <v xml:space="preserve">      - xform/iang/iang/</v>
      </c>
    </row>
    <row r="37" spans="1:25" ht="29.25">
      <c r="A37" s="63">
        <v>40</v>
      </c>
      <c r="B37" s="93" t="str" cm="1">
        <f t="array" ref="B37" xml:space="preserve"> INDEX(【韻】韻母對照表!$B$4:$B$89, MATCH(TRUE, EXACT(韻母對照表[[#This Row],[台羅拼音]], 【韻】韻母對照表!$C$4:$C$89), 0))</f>
        <v>uaʔ</v>
      </c>
      <c r="C37" s="16" t="s">
        <v>230</v>
      </c>
      <c r="D37" s="1" t="s">
        <v>230</v>
      </c>
      <c r="E37" s="1" t="s">
        <v>230</v>
      </c>
      <c r="F37" s="1" t="s">
        <v>230</v>
      </c>
      <c r="G37" s="96" t="s">
        <v>231</v>
      </c>
      <c r="H37" s="1" t="s">
        <v>918</v>
      </c>
      <c r="I37" s="1" t="s">
        <v>2257</v>
      </c>
      <c r="J37" s="3" t="s">
        <v>229</v>
      </c>
      <c r="K37" s="3" t="s">
        <v>224</v>
      </c>
      <c r="L37" s="1" t="s">
        <v>125</v>
      </c>
      <c r="M37" s="1" t="s">
        <v>23</v>
      </c>
      <c r="N37" s="64" t="s">
        <v>232</v>
      </c>
      <c r="P37" s="166">
        <v>36</v>
      </c>
      <c r="Q37" s="167" t="s">
        <v>112</v>
      </c>
      <c r="R37" s="167" t="s">
        <v>202</v>
      </c>
      <c r="S37" s="167" t="s">
        <v>23</v>
      </c>
      <c r="T37" s="166" t="str" cm="1">
        <f t="array" ref="T37">IFERROR( INDEX(韻母對照表[注音二式], MATCH(TRUE, EXACT( _xlfn.CONCAT(R37, LEFT(S37,1)), 韻母對照表[十五音識別碼]),0)), "")</f>
        <v>iak</v>
      </c>
      <c r="U37" s="166" t="s">
        <v>207</v>
      </c>
      <c r="V37" s="166" t="s">
        <v>2198</v>
      </c>
      <c r="W37" s="169" t="s">
        <v>206</v>
      </c>
      <c r="X37" s="176">
        <f t="shared" si="0"/>
        <v>3</v>
      </c>
      <c r="Y37" t="str">
        <f t="shared" si="1"/>
        <v xml:space="preserve">      - xform/iak/iak/</v>
      </c>
    </row>
    <row r="38" spans="1:25" ht="29.25">
      <c r="A38" s="63">
        <v>41</v>
      </c>
      <c r="B38" s="93" t="str" cm="1">
        <f t="array" ref="B38" xml:space="preserve"> INDEX(【韻】韻母對照表!$B$4:$B$89, MATCH(TRUE, EXACT(韻母對照表[[#This Row],[台羅拼音]], 【韻】韻母對照表!$C$4:$C$89), 0))</f>
        <v>aŋ</v>
      </c>
      <c r="C38" s="16" t="s">
        <v>237</v>
      </c>
      <c r="D38" s="1" t="s">
        <v>237</v>
      </c>
      <c r="E38" s="1" t="s">
        <v>237</v>
      </c>
      <c r="F38" s="1" t="s">
        <v>237</v>
      </c>
      <c r="G38" s="91" t="s">
        <v>237</v>
      </c>
      <c r="H38" s="1" t="s">
        <v>919</v>
      </c>
      <c r="I38" s="1" t="s">
        <v>2190</v>
      </c>
      <c r="J38" s="3" t="s">
        <v>234</v>
      </c>
      <c r="K38" s="3" t="s">
        <v>236</v>
      </c>
      <c r="L38" s="1" t="s">
        <v>132</v>
      </c>
      <c r="M38" s="1" t="s">
        <v>17</v>
      </c>
      <c r="N38" s="64" t="s">
        <v>238</v>
      </c>
      <c r="P38" s="175">
        <v>37</v>
      </c>
      <c r="Q38" s="167" t="s">
        <v>118</v>
      </c>
      <c r="R38" s="167" t="s">
        <v>212</v>
      </c>
      <c r="S38" s="167" t="s">
        <v>17</v>
      </c>
      <c r="T38" s="166" t="str" cm="1">
        <f t="array" ref="T38">IFERROR( INDEX(韻母對照表[注音二式], MATCH(TRUE, EXACT( _xlfn.CONCAT(R38, LEFT(S38,1)), 韻母對照表[十五音識別碼]),0)), "")</f>
        <v>am</v>
      </c>
      <c r="U38" s="166" t="s">
        <v>211</v>
      </c>
      <c r="V38" s="166" t="s">
        <v>213</v>
      </c>
      <c r="W38" s="168" t="s">
        <v>210</v>
      </c>
      <c r="X38" s="176">
        <f t="shared" si="0"/>
        <v>2</v>
      </c>
      <c r="Y38" t="str">
        <f t="shared" si="1"/>
        <v xml:space="preserve">      - xform/am/am/</v>
      </c>
    </row>
    <row r="39" spans="1:25" ht="29.25">
      <c r="A39" s="63">
        <v>42</v>
      </c>
      <c r="B39" s="93" t="str" cm="1">
        <f t="array" ref="B39" xml:space="preserve"> INDEX(【韻】韻母對照表!$B$4:$B$89, MATCH(TRUE, EXACT(韻母對照表[[#This Row],[台羅拼音]], 【韻】韻母對照表!$C$4:$C$89), 0))</f>
        <v>ak̚</v>
      </c>
      <c r="C39" s="16" t="s">
        <v>243</v>
      </c>
      <c r="D39" s="1" t="s">
        <v>243</v>
      </c>
      <c r="E39" s="1" t="s">
        <v>243</v>
      </c>
      <c r="F39" s="1" t="s">
        <v>243</v>
      </c>
      <c r="G39" s="91" t="s">
        <v>243</v>
      </c>
      <c r="H39" s="1" t="s">
        <v>242</v>
      </c>
      <c r="I39" s="1" t="s">
        <v>2258</v>
      </c>
      <c r="J39" s="3" t="s">
        <v>240</v>
      </c>
      <c r="K39" s="3" t="s">
        <v>236</v>
      </c>
      <c r="L39" s="1" t="s">
        <v>132</v>
      </c>
      <c r="M39" s="1" t="s">
        <v>23</v>
      </c>
      <c r="N39" s="64" t="s">
        <v>244</v>
      </c>
      <c r="P39" s="166">
        <v>38</v>
      </c>
      <c r="Q39" s="167" t="s">
        <v>118</v>
      </c>
      <c r="R39" s="167" t="s">
        <v>212</v>
      </c>
      <c r="S39" s="167" t="s">
        <v>23</v>
      </c>
      <c r="T39" s="166" t="str" cm="1">
        <f t="array" ref="T39">IFERROR( INDEX(韻母對照表[注音二式], MATCH(TRUE, EXACT( _xlfn.CONCAT(R39, LEFT(S39,1)), 韻母對照表[十五音識別碼]),0)), "")</f>
        <v>ap</v>
      </c>
      <c r="U39" s="166" t="s">
        <v>219</v>
      </c>
      <c r="V39" s="166" t="s">
        <v>218</v>
      </c>
      <c r="W39" s="168" t="s">
        <v>216</v>
      </c>
      <c r="X39" s="176">
        <f t="shared" si="0"/>
        <v>2</v>
      </c>
      <c r="Y39" t="str">
        <f t="shared" si="1"/>
        <v xml:space="preserve">      - xform/ap/ap/</v>
      </c>
    </row>
    <row r="40" spans="1:25" ht="29.25">
      <c r="A40" s="63">
        <v>43</v>
      </c>
      <c r="B40" s="93" t="str" cm="1">
        <f t="array" ref="B40" xml:space="preserve"> INDEX(【韻】韻母對照表!$B$4:$B$89, MATCH(TRUE, EXACT(韻母對照表[[#This Row],[台羅拼音]], 【韻】韻母對照表!$C$4:$C$89), 0))</f>
        <v>ɪam</v>
      </c>
      <c r="C40" s="16" t="s">
        <v>247</v>
      </c>
      <c r="D40" s="1" t="s">
        <v>247</v>
      </c>
      <c r="E40" s="1" t="s">
        <v>247</v>
      </c>
      <c r="F40" s="1" t="s">
        <v>247</v>
      </c>
      <c r="G40" s="91" t="s">
        <v>247</v>
      </c>
      <c r="H40" s="1" t="s">
        <v>249</v>
      </c>
      <c r="I40" s="1" t="s">
        <v>2259</v>
      </c>
      <c r="J40" s="3" t="s">
        <v>246</v>
      </c>
      <c r="K40" s="3" t="s">
        <v>248</v>
      </c>
      <c r="L40" s="1" t="s">
        <v>251</v>
      </c>
      <c r="M40" s="1" t="s">
        <v>17</v>
      </c>
      <c r="N40" s="64" t="s">
        <v>250</v>
      </c>
      <c r="P40" s="175">
        <v>39</v>
      </c>
      <c r="Q40" s="167" t="s">
        <v>125</v>
      </c>
      <c r="R40" s="167" t="s">
        <v>224</v>
      </c>
      <c r="S40" s="167" t="s">
        <v>17</v>
      </c>
      <c r="T40" s="166" t="str" cm="1">
        <f t="array" ref="T40">IFERROR( INDEX(韻母對照表[注音二式], MATCH(TRUE, EXACT( _xlfn.CONCAT(R40, LEFT(S40,1)), 韻母對照表[十五音識別碼]),0)), "")</f>
        <v>ua</v>
      </c>
      <c r="U40" s="166" t="s">
        <v>223</v>
      </c>
      <c r="V40" s="166" t="s">
        <v>225</v>
      </c>
      <c r="W40" s="168" t="s">
        <v>222</v>
      </c>
      <c r="X40" s="176">
        <f t="shared" si="0"/>
        <v>2</v>
      </c>
      <c r="Y40" t="str">
        <f t="shared" si="1"/>
        <v xml:space="preserve">      - xform/ua/ua/</v>
      </c>
    </row>
    <row r="41" spans="1:25" ht="29.25">
      <c r="A41" s="63">
        <v>44</v>
      </c>
      <c r="B41" s="93" t="str" cm="1">
        <f t="array" ref="B41" xml:space="preserve"> INDEX(【韻】韻母對照表!$B$4:$B$89, MATCH(TRUE, EXACT(韻母對照表[[#This Row],[台羅拼音]], 【韻】韻母對照表!$C$4:$C$89), 0))</f>
        <v>ɪap̚</v>
      </c>
      <c r="C41" s="16" t="s">
        <v>256</v>
      </c>
      <c r="D41" s="1" t="s">
        <v>256</v>
      </c>
      <c r="E41" s="1" t="s">
        <v>256</v>
      </c>
      <c r="F41" s="1" t="s">
        <v>256</v>
      </c>
      <c r="G41" s="91" t="s">
        <v>256</v>
      </c>
      <c r="H41" s="1" t="s">
        <v>255</v>
      </c>
      <c r="I41" s="1" t="s">
        <v>2260</v>
      </c>
      <c r="J41" s="3" t="s">
        <v>253</v>
      </c>
      <c r="K41" s="3" t="s">
        <v>248</v>
      </c>
      <c r="L41" s="1" t="s">
        <v>251</v>
      </c>
      <c r="M41" s="1" t="s">
        <v>23</v>
      </c>
      <c r="N41" s="64" t="s">
        <v>257</v>
      </c>
      <c r="P41" s="166">
        <v>40</v>
      </c>
      <c r="Q41" s="167" t="s">
        <v>125</v>
      </c>
      <c r="R41" s="167" t="s">
        <v>224</v>
      </c>
      <c r="S41" s="167" t="s">
        <v>23</v>
      </c>
      <c r="T41" s="166" t="str" cm="1">
        <f t="array" ref="T41">IFERROR( INDEX(韻母對照表[注音二式], MATCH(TRUE, EXACT( _xlfn.CONCAT(R41, LEFT(S41,1)), 韻母對照表[十五音識別碼]),0)), "")</f>
        <v>uah</v>
      </c>
      <c r="U41" s="166" t="s">
        <v>230</v>
      </c>
      <c r="V41" s="166" t="s">
        <v>2205</v>
      </c>
      <c r="W41" s="168" t="s">
        <v>229</v>
      </c>
      <c r="X41" s="176">
        <f t="shared" si="0"/>
        <v>3</v>
      </c>
      <c r="Y41" t="str">
        <f t="shared" si="1"/>
        <v xml:space="preserve">      - xform/uah/uah/</v>
      </c>
    </row>
    <row r="42" spans="1:25" ht="29.25">
      <c r="A42" s="63">
        <v>45</v>
      </c>
      <c r="B42" s="93" t="str" cm="1">
        <f t="array" ref="B42" xml:space="preserve"> INDEX(【韻】韻母對照表!$B$4:$B$89, MATCH(TRUE, EXACT(韻母對照表[[#This Row],[台羅拼音]], 【韻】韻母對照表!$C$4:$C$89), 0))</f>
        <v>aʊ</v>
      </c>
      <c r="C42" s="16" t="s">
        <v>260</v>
      </c>
      <c r="D42" s="1" t="s">
        <v>260</v>
      </c>
      <c r="E42" s="1" t="s">
        <v>260</v>
      </c>
      <c r="F42" s="16" t="s">
        <v>263</v>
      </c>
      <c r="G42" s="91" t="s">
        <v>260</v>
      </c>
      <c r="H42" s="1" t="s">
        <v>262</v>
      </c>
      <c r="I42" s="1" t="s">
        <v>262</v>
      </c>
      <c r="J42" s="3" t="s">
        <v>259</v>
      </c>
      <c r="K42" s="3" t="s">
        <v>261</v>
      </c>
      <c r="L42" s="1" t="s">
        <v>139</v>
      </c>
      <c r="M42" s="1" t="s">
        <v>17</v>
      </c>
      <c r="N42" s="64" t="s">
        <v>264</v>
      </c>
      <c r="P42" s="175">
        <v>41</v>
      </c>
      <c r="Q42" s="167" t="s">
        <v>132</v>
      </c>
      <c r="R42" s="167" t="s">
        <v>236</v>
      </c>
      <c r="S42" s="167" t="s">
        <v>17</v>
      </c>
      <c r="T42" s="166" t="str" cm="1">
        <f t="array" ref="T42">IFERROR( INDEX(韻母對照表[注音二式], MATCH(TRUE, EXACT( _xlfn.CONCAT(R42, LEFT(S42,1)), 韻母對照表[十五音識別碼]),0)), "")</f>
        <v>ang</v>
      </c>
      <c r="U42" s="166" t="s">
        <v>237</v>
      </c>
      <c r="V42" s="166" t="s">
        <v>2190</v>
      </c>
      <c r="W42" s="168" t="s">
        <v>234</v>
      </c>
      <c r="X42" s="176">
        <f t="shared" si="0"/>
        <v>3</v>
      </c>
      <c r="Y42" t="str">
        <f t="shared" si="1"/>
        <v xml:space="preserve">      - xform/ang/ang/</v>
      </c>
    </row>
    <row r="43" spans="1:25" ht="29.25">
      <c r="A43" s="63">
        <v>46</v>
      </c>
      <c r="B43" s="93" t="str" cm="1">
        <f t="array" ref="B43" xml:space="preserve"> INDEX(【韻】韻母對照表!$B$4:$B$89, MATCH(TRUE, EXACT(韻母對照表[[#This Row],[台羅拼音]], 【韻】韻母對照表!$C$4:$C$89), 0))</f>
        <v>auʔ</v>
      </c>
      <c r="C43" s="16" t="s">
        <v>267</v>
      </c>
      <c r="D43" s="1" t="s">
        <v>267</v>
      </c>
      <c r="E43" s="1" t="s">
        <v>267</v>
      </c>
      <c r="F43" s="16" t="s">
        <v>268</v>
      </c>
      <c r="G43" s="91" t="s">
        <v>267</v>
      </c>
      <c r="H43" s="1" t="s">
        <v>920</v>
      </c>
      <c r="I43" s="1" t="s">
        <v>2261</v>
      </c>
      <c r="J43" s="6" t="s">
        <v>266</v>
      </c>
      <c r="K43" s="3" t="s">
        <v>261</v>
      </c>
      <c r="L43" s="1" t="s">
        <v>139</v>
      </c>
      <c r="M43" s="1" t="s">
        <v>23</v>
      </c>
      <c r="N43" s="64" t="s">
        <v>269</v>
      </c>
      <c r="P43" s="166">
        <v>42</v>
      </c>
      <c r="Q43" s="167" t="s">
        <v>132</v>
      </c>
      <c r="R43" s="167" t="s">
        <v>236</v>
      </c>
      <c r="S43" s="167" t="s">
        <v>23</v>
      </c>
      <c r="T43" s="166" t="str" cm="1">
        <f t="array" ref="T43">IFERROR( INDEX(韻母對照表[注音二式], MATCH(TRUE, EXACT( _xlfn.CONCAT(R43, LEFT(S43,1)), 韻母對照表[十五音識別碼]),0)), "")</f>
        <v>ak</v>
      </c>
      <c r="U43" s="166" t="s">
        <v>243</v>
      </c>
      <c r="V43" s="166" t="s">
        <v>242</v>
      </c>
      <c r="W43" s="168" t="s">
        <v>240</v>
      </c>
      <c r="X43" s="176">
        <f t="shared" si="0"/>
        <v>2</v>
      </c>
      <c r="Y43" t="str">
        <f t="shared" si="1"/>
        <v xml:space="preserve">      - xform/ak/ak/</v>
      </c>
    </row>
    <row r="44" spans="1:25" ht="29.25">
      <c r="A44" s="63">
        <v>47</v>
      </c>
      <c r="B44" s="93" t="str" cm="1">
        <f t="array" ref="B44" xml:space="preserve"> INDEX(【韻】韻母對照表!$B$4:$B$89, MATCH(TRUE, EXACT(韻母對照表[[#This Row],[台羅拼音]], 【韻】韻母對照表!$C$4:$C$89), 0))</f>
        <v>ɪa</v>
      </c>
      <c r="C44" s="16" t="s">
        <v>272</v>
      </c>
      <c r="D44" s="1" t="s">
        <v>272</v>
      </c>
      <c r="E44" s="1" t="s">
        <v>272</v>
      </c>
      <c r="F44" s="1" t="s">
        <v>272</v>
      </c>
      <c r="G44" s="91" t="s">
        <v>272</v>
      </c>
      <c r="H44" s="1" t="s">
        <v>274</v>
      </c>
      <c r="I44" s="1" t="s">
        <v>274</v>
      </c>
      <c r="J44" s="3" t="s">
        <v>271</v>
      </c>
      <c r="K44" s="4" t="s">
        <v>273</v>
      </c>
      <c r="L44" s="1" t="s">
        <v>146</v>
      </c>
      <c r="M44" s="1" t="s">
        <v>17</v>
      </c>
      <c r="N44" s="64" t="s">
        <v>275</v>
      </c>
      <c r="P44" s="175">
        <v>43</v>
      </c>
      <c r="Q44" s="167" t="s">
        <v>251</v>
      </c>
      <c r="R44" s="167" t="s">
        <v>248</v>
      </c>
      <c r="S44" s="167" t="s">
        <v>17</v>
      </c>
      <c r="T44" s="166" t="str" cm="1">
        <f t="array" ref="T44">IFERROR( INDEX(韻母對照表[注音二式], MATCH(TRUE, EXACT( _xlfn.CONCAT(R44, LEFT(S44,1)), 韻母對照表[十五音識別碼]),0)), "")</f>
        <v>iam</v>
      </c>
      <c r="U44" s="166" t="s">
        <v>247</v>
      </c>
      <c r="V44" s="166" t="s">
        <v>249</v>
      </c>
      <c r="W44" s="168" t="s">
        <v>246</v>
      </c>
      <c r="X44" s="176">
        <f t="shared" si="0"/>
        <v>3</v>
      </c>
      <c r="Y44" t="str">
        <f t="shared" si="1"/>
        <v xml:space="preserve">      - xform/iam/iam/</v>
      </c>
    </row>
    <row r="45" spans="1:25" ht="29.25">
      <c r="A45" s="63">
        <v>48</v>
      </c>
      <c r="B45" s="93" t="str" cm="1">
        <f t="array" ref="B45" xml:space="preserve"> INDEX(【韻】韻母對照表!$B$4:$B$89, MATCH(TRUE, EXACT(韻母對照表[[#This Row],[台羅拼音]], 【韻】韻母對照表!$C$4:$C$89), 0))</f>
        <v>ɪaʔ</v>
      </c>
      <c r="C45" s="16" t="s">
        <v>278</v>
      </c>
      <c r="D45" s="1" t="s">
        <v>278</v>
      </c>
      <c r="E45" s="1" t="s">
        <v>278</v>
      </c>
      <c r="F45" s="1" t="s">
        <v>278</v>
      </c>
      <c r="G45" s="91" t="s">
        <v>278</v>
      </c>
      <c r="H45" s="1" t="s">
        <v>921</v>
      </c>
      <c r="I45" s="1" t="s">
        <v>2262</v>
      </c>
      <c r="J45" s="3" t="s">
        <v>277</v>
      </c>
      <c r="K45" s="4" t="s">
        <v>273</v>
      </c>
      <c r="L45" s="1" t="s">
        <v>146</v>
      </c>
      <c r="M45" s="1" t="s">
        <v>23</v>
      </c>
      <c r="N45" s="64" t="s">
        <v>279</v>
      </c>
      <c r="P45" s="166">
        <v>44</v>
      </c>
      <c r="Q45" s="167" t="s">
        <v>251</v>
      </c>
      <c r="R45" s="167" t="s">
        <v>248</v>
      </c>
      <c r="S45" s="167" t="s">
        <v>23</v>
      </c>
      <c r="T45" s="166" t="str" cm="1">
        <f t="array" ref="T45">IFERROR( INDEX(韻母對照表[注音二式], MATCH(TRUE, EXACT( _xlfn.CONCAT(R45, LEFT(S45,1)), 韻母對照表[十五音識別碼]),0)), "")</f>
        <v>iap</v>
      </c>
      <c r="U45" s="166" t="s">
        <v>256</v>
      </c>
      <c r="V45" s="166" t="s">
        <v>255</v>
      </c>
      <c r="W45" s="168" t="s">
        <v>253</v>
      </c>
      <c r="X45" s="176">
        <f t="shared" si="0"/>
        <v>3</v>
      </c>
      <c r="Y45" t="str">
        <f t="shared" si="1"/>
        <v xml:space="preserve">      - xform/iap/iap/</v>
      </c>
    </row>
    <row r="46" spans="1:25" ht="29.25">
      <c r="A46" s="63">
        <v>49</v>
      </c>
      <c r="B46" s="93" t="str" cm="1">
        <f t="array" ref="B46" xml:space="preserve"> INDEX(【韻】韻母對照表!$B$4:$B$89, MATCH(TRUE, EXACT(韻母對照表[[#This Row],[台羅拼音]], 【韻】韻母對照表!$C$4:$C$89), 0))</f>
        <v>ue</v>
      </c>
      <c r="C46" s="16" t="s">
        <v>285</v>
      </c>
      <c r="D46" s="1" t="s">
        <v>285</v>
      </c>
      <c r="E46" s="1" t="s">
        <v>285</v>
      </c>
      <c r="F46" s="1" t="s">
        <v>285</v>
      </c>
      <c r="G46" s="96" t="s">
        <v>286</v>
      </c>
      <c r="H46" s="1" t="s">
        <v>284</v>
      </c>
      <c r="I46" s="1" t="s">
        <v>2263</v>
      </c>
      <c r="J46" s="3" t="s">
        <v>281</v>
      </c>
      <c r="K46" s="3" t="s">
        <v>283</v>
      </c>
      <c r="L46" s="1" t="s">
        <v>151</v>
      </c>
      <c r="M46" s="1" t="s">
        <v>17</v>
      </c>
      <c r="N46" s="64" t="s">
        <v>287</v>
      </c>
      <c r="P46" s="175">
        <v>45</v>
      </c>
      <c r="Q46" s="167" t="s">
        <v>139</v>
      </c>
      <c r="R46" s="167" t="s">
        <v>261</v>
      </c>
      <c r="S46" s="167" t="s">
        <v>17</v>
      </c>
      <c r="T46" s="166" t="str" cm="1">
        <f t="array" ref="T46">IFERROR( INDEX(韻母對照表[注音二式], MATCH(TRUE, EXACT( _xlfn.CONCAT(R46, LEFT(S46,1)), 韻母對照表[十五音識別碼]),0)), "")</f>
        <v>au</v>
      </c>
      <c r="U46" s="166" t="s">
        <v>263</v>
      </c>
      <c r="V46" s="166" t="s">
        <v>262</v>
      </c>
      <c r="W46" s="168" t="s">
        <v>259</v>
      </c>
      <c r="X46" s="176">
        <f t="shared" si="0"/>
        <v>2</v>
      </c>
      <c r="Y46" t="str">
        <f t="shared" si="1"/>
        <v xml:space="preserve">      - xform/au/ao/</v>
      </c>
    </row>
    <row r="47" spans="1:25" ht="29.25">
      <c r="A47" s="63">
        <v>50</v>
      </c>
      <c r="B47" s="93" t="str" cm="1">
        <f t="array" ref="B47" xml:space="preserve"> INDEX(【韻】韻母對照表!$B$4:$B$89, MATCH(TRUE, EXACT(韻母對照表[[#This Row],[台羅拼音]], 【韻】韻母對照表!$C$4:$C$89), 0))</f>
        <v>ueʔ</v>
      </c>
      <c r="C47" s="16" t="s">
        <v>290</v>
      </c>
      <c r="D47" s="1" t="s">
        <v>290</v>
      </c>
      <c r="E47" s="1" t="s">
        <v>290</v>
      </c>
      <c r="F47" s="1" t="s">
        <v>290</v>
      </c>
      <c r="G47" s="96" t="s">
        <v>291</v>
      </c>
      <c r="H47" s="1" t="s">
        <v>922</v>
      </c>
      <c r="I47" s="1" t="s">
        <v>2264</v>
      </c>
      <c r="J47" s="4" t="s">
        <v>289</v>
      </c>
      <c r="K47" s="3" t="s">
        <v>283</v>
      </c>
      <c r="L47" s="1" t="s">
        <v>151</v>
      </c>
      <c r="M47" s="1" t="s">
        <v>23</v>
      </c>
      <c r="N47" s="64" t="s">
        <v>292</v>
      </c>
      <c r="P47" s="166">
        <v>46</v>
      </c>
      <c r="Q47" s="167" t="s">
        <v>139</v>
      </c>
      <c r="R47" s="167" t="s">
        <v>261</v>
      </c>
      <c r="S47" s="167" t="s">
        <v>23</v>
      </c>
      <c r="T47" s="166" t="str" cm="1">
        <f t="array" ref="T47">IFERROR( INDEX(韻母對照表[注音二式], MATCH(TRUE, EXACT( _xlfn.CONCAT(R47, LEFT(S47,1)), 韻母對照表[十五音識別碼]),0)), "")</f>
        <v>auh</v>
      </c>
      <c r="U47" s="166" t="s">
        <v>268</v>
      </c>
      <c r="V47" s="166" t="s">
        <v>2192</v>
      </c>
      <c r="W47" s="171" t="s">
        <v>266</v>
      </c>
      <c r="X47" s="176">
        <f t="shared" si="0"/>
        <v>3</v>
      </c>
      <c r="Y47" t="str">
        <f t="shared" si="1"/>
        <v xml:space="preserve">      - xform/auh/aoh/</v>
      </c>
    </row>
    <row r="48" spans="1:25" ht="29.25">
      <c r="A48" s="63">
        <v>51</v>
      </c>
      <c r="B48" s="93" t="str" cm="1">
        <f t="array" ref="B48" xml:space="preserve"> INDEX(【韻】韻母對照表!$B$4:$B$89, MATCH(TRUE, EXACT(韻母對照表[[#This Row],[台羅拼音]], 【韻】韻母對照表!$C$4:$C$89), 0))</f>
        <v>ã</v>
      </c>
      <c r="C48" s="16" t="s">
        <v>297</v>
      </c>
      <c r="D48" s="1" t="s">
        <v>297</v>
      </c>
      <c r="E48" s="1" t="s">
        <v>297</v>
      </c>
      <c r="F48" s="1" t="s">
        <v>299</v>
      </c>
      <c r="G48" s="91" t="s">
        <v>1257</v>
      </c>
      <c r="H48" s="1" t="s">
        <v>296</v>
      </c>
      <c r="I48" s="1" t="s">
        <v>2265</v>
      </c>
      <c r="J48" s="3" t="s">
        <v>293</v>
      </c>
      <c r="K48" s="3" t="s">
        <v>295</v>
      </c>
      <c r="L48" s="1" t="s">
        <v>301</v>
      </c>
      <c r="M48" s="1" t="s">
        <v>17</v>
      </c>
      <c r="N48" s="64" t="s">
        <v>300</v>
      </c>
      <c r="P48" s="175">
        <v>47</v>
      </c>
      <c r="Q48" s="167" t="s">
        <v>146</v>
      </c>
      <c r="R48" s="167" t="s">
        <v>273</v>
      </c>
      <c r="S48" s="167" t="s">
        <v>17</v>
      </c>
      <c r="T48" s="166" t="str" cm="1">
        <f t="array" ref="T48">IFERROR( INDEX(韻母對照表[注音二式], MATCH(TRUE, EXACT( _xlfn.CONCAT(R48, LEFT(S48,1)), 韻母對照表[十五音識別碼]),0)), "")</f>
        <v>ia</v>
      </c>
      <c r="U48" s="166" t="s">
        <v>272</v>
      </c>
      <c r="V48" s="166" t="s">
        <v>274</v>
      </c>
      <c r="W48" s="168" t="s">
        <v>271</v>
      </c>
      <c r="X48" s="176">
        <f t="shared" si="0"/>
        <v>2</v>
      </c>
      <c r="Y48" t="str">
        <f t="shared" si="1"/>
        <v xml:space="preserve">      - xform/ia/ia/</v>
      </c>
    </row>
    <row r="49" spans="1:25" ht="29.25">
      <c r="A49" s="63">
        <v>52</v>
      </c>
      <c r="B49" s="93" t="str" cm="1">
        <f t="array" ref="B49" xml:space="preserve"> INDEX(【韻】韻母對照表!$B$4:$B$89, MATCH(TRUE, EXACT(韻母對照表[[#This Row],[台羅拼音]], 【韻】韻母對照表!$C$4:$C$89), 0))</f>
        <v>ãʔ</v>
      </c>
      <c r="C49" s="16" t="s">
        <v>304</v>
      </c>
      <c r="D49" s="1" t="s">
        <v>303</v>
      </c>
      <c r="E49" s="1" t="s">
        <v>304</v>
      </c>
      <c r="F49" s="1" t="s">
        <v>305</v>
      </c>
      <c r="G49" s="91" t="s">
        <v>1258</v>
      </c>
      <c r="H49" s="1" t="s">
        <v>923</v>
      </c>
      <c r="I49" s="1" t="s">
        <v>2266</v>
      </c>
      <c r="J49" s="9" t="s">
        <v>302</v>
      </c>
      <c r="K49" s="3" t="s">
        <v>295</v>
      </c>
      <c r="L49" s="1" t="s">
        <v>301</v>
      </c>
      <c r="M49" s="1" t="s">
        <v>23</v>
      </c>
      <c r="N49" s="64" t="s">
        <v>306</v>
      </c>
      <c r="P49" s="166">
        <v>48</v>
      </c>
      <c r="Q49" s="167" t="s">
        <v>146</v>
      </c>
      <c r="R49" s="167" t="s">
        <v>273</v>
      </c>
      <c r="S49" s="167" t="s">
        <v>23</v>
      </c>
      <c r="T49" s="166" t="str" cm="1">
        <f t="array" ref="T49">IFERROR( INDEX(韻母對照表[注音二式], MATCH(TRUE, EXACT( _xlfn.CONCAT(R49, LEFT(S49,1)), 韻母對照表[十五音識別碼]),0)), "")</f>
        <v>iah</v>
      </c>
      <c r="U49" s="166" t="s">
        <v>278</v>
      </c>
      <c r="V49" s="166" t="s">
        <v>2195</v>
      </c>
      <c r="W49" s="168" t="s">
        <v>277</v>
      </c>
      <c r="X49" s="176">
        <f t="shared" si="0"/>
        <v>3</v>
      </c>
      <c r="Y49" t="str">
        <f t="shared" si="1"/>
        <v xml:space="preserve">      - xform/iah/iah/</v>
      </c>
    </row>
    <row r="50" spans="1:25" ht="29.25">
      <c r="A50" s="63">
        <v>53</v>
      </c>
      <c r="B50" s="93" t="str" cm="1">
        <f t="array" ref="B50" xml:space="preserve"> INDEX(【韻】韻母對照表!$B$4:$B$89, MATCH(TRUE, EXACT(韻母對照表[[#This Row],[台羅拼音]], 【韻】韻母對照表!$C$4:$C$89), 0))</f>
        <v>u</v>
      </c>
      <c r="C50" s="16" t="s">
        <v>308</v>
      </c>
      <c r="D50" s="1" t="s">
        <v>308</v>
      </c>
      <c r="E50" s="1" t="s">
        <v>308</v>
      </c>
      <c r="F50" s="1" t="s">
        <v>308</v>
      </c>
      <c r="G50" s="91" t="s">
        <v>308</v>
      </c>
      <c r="H50" s="1" t="s">
        <v>310</v>
      </c>
      <c r="I50" s="1" t="s">
        <v>310</v>
      </c>
      <c r="J50" s="3" t="s">
        <v>307</v>
      </c>
      <c r="K50" s="3" t="s">
        <v>309</v>
      </c>
      <c r="L50" s="1" t="s">
        <v>157</v>
      </c>
      <c r="M50" s="1" t="s">
        <v>17</v>
      </c>
      <c r="N50" s="64" t="s">
        <v>311</v>
      </c>
      <c r="P50" s="175">
        <v>49</v>
      </c>
      <c r="Q50" s="167" t="s">
        <v>151</v>
      </c>
      <c r="R50" s="167" t="s">
        <v>283</v>
      </c>
      <c r="S50" s="167" t="s">
        <v>17</v>
      </c>
      <c r="T50" s="166" t="str" cm="1">
        <f t="array" ref="T50">IFERROR( INDEX(韻母對照表[注音二式], MATCH(TRUE, EXACT( _xlfn.CONCAT(R50, LEFT(S50,1)), 韻母對照表[十五音識別碼]),0)), "")</f>
        <v>ue</v>
      </c>
      <c r="U50" s="166" t="s">
        <v>285</v>
      </c>
      <c r="V50" s="166" t="s">
        <v>284</v>
      </c>
      <c r="W50" s="168" t="s">
        <v>281</v>
      </c>
      <c r="X50" s="176">
        <f t="shared" si="0"/>
        <v>2</v>
      </c>
      <c r="Y50" t="str">
        <f t="shared" si="1"/>
        <v xml:space="preserve">      - xform/ue/ue/</v>
      </c>
    </row>
    <row r="51" spans="1:25" ht="29.25">
      <c r="A51" s="63">
        <v>54</v>
      </c>
      <c r="B51" s="93" t="str" cm="1">
        <f t="array" ref="B51" xml:space="preserve"> INDEX(【韻】韻母對照表!$B$4:$B$89, MATCH(TRUE, EXACT(韻母對照表[[#This Row],[台羅拼音]], 【韻】韻母對照表!$C$4:$C$89), 0))</f>
        <v>uʔ</v>
      </c>
      <c r="C51" s="16" t="s">
        <v>313</v>
      </c>
      <c r="D51" s="1" t="s">
        <v>313</v>
      </c>
      <c r="E51" s="1" t="s">
        <v>313</v>
      </c>
      <c r="F51" s="1" t="s">
        <v>313</v>
      </c>
      <c r="G51" s="91" t="s">
        <v>313</v>
      </c>
      <c r="H51" s="1" t="s">
        <v>924</v>
      </c>
      <c r="I51" s="1" t="s">
        <v>2267</v>
      </c>
      <c r="J51" s="4" t="s">
        <v>312</v>
      </c>
      <c r="K51" s="3" t="s">
        <v>309</v>
      </c>
      <c r="L51" s="1" t="s">
        <v>157</v>
      </c>
      <c r="M51" s="1" t="s">
        <v>23</v>
      </c>
      <c r="N51" s="64" t="s">
        <v>314</v>
      </c>
      <c r="P51" s="166">
        <v>50</v>
      </c>
      <c r="Q51" s="167" t="s">
        <v>151</v>
      </c>
      <c r="R51" s="167" t="s">
        <v>283</v>
      </c>
      <c r="S51" s="167" t="s">
        <v>23</v>
      </c>
      <c r="T51" s="166" t="str" cm="1">
        <f t="array" ref="T51">IFERROR( INDEX(韻母對照表[注音二式], MATCH(TRUE, EXACT( _xlfn.CONCAT(R51, LEFT(S51,1)), 韻母對照表[十五音識別碼]),0)), "")</f>
        <v>ueh</v>
      </c>
      <c r="U51" s="166" t="s">
        <v>290</v>
      </c>
      <c r="V51" s="166" t="s">
        <v>2209</v>
      </c>
      <c r="W51" s="169" t="s">
        <v>289</v>
      </c>
      <c r="X51" s="176">
        <f t="shared" si="0"/>
        <v>3</v>
      </c>
      <c r="Y51" t="str">
        <f t="shared" si="1"/>
        <v xml:space="preserve">      - xform/ueh/ueh/</v>
      </c>
    </row>
    <row r="52" spans="1:25" ht="29.25">
      <c r="A52" s="63">
        <v>55</v>
      </c>
      <c r="B52" s="93" t="str" cm="1">
        <f t="array" ref="B52" xml:space="preserve"> INDEX(【韻】韻母對照表!$B$4:$B$89, MATCH(TRUE, EXACT(韻母對照表[[#This Row],[台羅拼音]], 【韻】韻母對照表!$C$4:$C$89), 0))</f>
        <v>a</v>
      </c>
      <c r="C52" s="16" t="s">
        <v>316</v>
      </c>
      <c r="D52" s="1" t="s">
        <v>316</v>
      </c>
      <c r="E52" s="1" t="s">
        <v>316</v>
      </c>
      <c r="F52" s="1" t="s">
        <v>316</v>
      </c>
      <c r="G52" s="91" t="s">
        <v>316</v>
      </c>
      <c r="H52" s="1" t="s">
        <v>318</v>
      </c>
      <c r="I52" s="1" t="s">
        <v>318</v>
      </c>
      <c r="J52" s="3" t="s">
        <v>315</v>
      </c>
      <c r="K52" s="3" t="s">
        <v>317</v>
      </c>
      <c r="L52" s="1" t="s">
        <v>164</v>
      </c>
      <c r="M52" s="1" t="s">
        <v>17</v>
      </c>
      <c r="N52" s="64" t="s">
        <v>319</v>
      </c>
      <c r="P52" s="175">
        <v>51</v>
      </c>
      <c r="Q52" s="167" t="s">
        <v>301</v>
      </c>
      <c r="R52" s="167" t="s">
        <v>295</v>
      </c>
      <c r="S52" s="167" t="s">
        <v>17</v>
      </c>
      <c r="T52" s="166" t="str" cm="1">
        <f t="array" ref="T52">IFERROR( INDEX(韻母對照表[注音二式], MATCH(TRUE, EXACT( _xlfn.CONCAT(R52, LEFT(S52,1)), 韻母對照表[十五音識別碼]),0)), "")</f>
        <v>ann</v>
      </c>
      <c r="U52" s="166" t="s">
        <v>299</v>
      </c>
      <c r="V52" s="166" t="s">
        <v>296</v>
      </c>
      <c r="W52" s="168" t="s">
        <v>293</v>
      </c>
      <c r="X52" s="176">
        <f t="shared" si="0"/>
        <v>3</v>
      </c>
      <c r="Y52" t="str">
        <f t="shared" si="1"/>
        <v xml:space="preserve">      - xform/ann/na/</v>
      </c>
    </row>
    <row r="53" spans="1:25" ht="29.25">
      <c r="A53" s="63">
        <v>56</v>
      </c>
      <c r="B53" s="93" t="str" cm="1">
        <f t="array" ref="B53" xml:space="preserve"> INDEX(【韻】韻母對照表!$B$4:$B$89, MATCH(TRUE, EXACT(韻母對照表[[#This Row],[台羅拼音]], 【韻】韻母對照表!$C$4:$C$89), 0))</f>
        <v>aʔ</v>
      </c>
      <c r="C53" s="16" t="s">
        <v>321</v>
      </c>
      <c r="D53" s="1" t="s">
        <v>321</v>
      </c>
      <c r="E53" s="1" t="s">
        <v>321</v>
      </c>
      <c r="F53" s="1" t="s">
        <v>321</v>
      </c>
      <c r="G53" s="91" t="s">
        <v>321</v>
      </c>
      <c r="H53" s="1" t="s">
        <v>925</v>
      </c>
      <c r="I53" s="1" t="s">
        <v>2268</v>
      </c>
      <c r="J53" s="3" t="s">
        <v>320</v>
      </c>
      <c r="K53" s="3" t="s">
        <v>317</v>
      </c>
      <c r="L53" s="1" t="s">
        <v>164</v>
      </c>
      <c r="M53" s="1" t="s">
        <v>23</v>
      </c>
      <c r="N53" s="64" t="s">
        <v>322</v>
      </c>
      <c r="P53" s="166">
        <v>52</v>
      </c>
      <c r="Q53" s="167" t="s">
        <v>301</v>
      </c>
      <c r="R53" s="167" t="s">
        <v>295</v>
      </c>
      <c r="S53" s="167" t="s">
        <v>23</v>
      </c>
      <c r="T53" s="166" t="str" cm="1">
        <f t="array" ref="T53">IFERROR( INDEX(韻母對照表[注音二式], MATCH(TRUE, EXACT( _xlfn.CONCAT(R53, LEFT(S53,1)), 韻母對照表[十五音識別碼]),0)), "")</f>
        <v>annh</v>
      </c>
      <c r="U53" s="166" t="s">
        <v>305</v>
      </c>
      <c r="V53" s="166" t="s">
        <v>1321</v>
      </c>
      <c r="W53" s="172" t="s">
        <v>302</v>
      </c>
      <c r="X53" s="176">
        <f t="shared" si="0"/>
        <v>4</v>
      </c>
      <c r="Y53" t="str">
        <f t="shared" si="1"/>
        <v xml:space="preserve">      - xform/annh/nah/</v>
      </c>
    </row>
    <row r="54" spans="1:25" ht="29.25">
      <c r="A54" s="63">
        <v>57</v>
      </c>
      <c r="B54" s="93" t="str" cm="1">
        <f t="array" ref="B54" xml:space="preserve"> INDEX(【韻】韻母對照表!$B$4:$B$89, MATCH(TRUE, EXACT(韻母對照表[[#This Row],[台羅拼音]], 【韻】韻母對照表!$C$4:$C$89), 0))</f>
        <v>i</v>
      </c>
      <c r="C54" s="16" t="s">
        <v>324</v>
      </c>
      <c r="D54" s="1" t="s">
        <v>324</v>
      </c>
      <c r="E54" s="1" t="s">
        <v>324</v>
      </c>
      <c r="F54" s="1" t="s">
        <v>324</v>
      </c>
      <c r="G54" s="91" t="s">
        <v>324</v>
      </c>
      <c r="H54" s="1" t="s">
        <v>326</v>
      </c>
      <c r="I54" s="1" t="s">
        <v>326</v>
      </c>
      <c r="J54" s="3" t="s">
        <v>323</v>
      </c>
      <c r="K54" s="3" t="s">
        <v>325</v>
      </c>
      <c r="L54" s="1" t="s">
        <v>169</v>
      </c>
      <c r="M54" s="1" t="s">
        <v>17</v>
      </c>
      <c r="N54" s="64" t="s">
        <v>327</v>
      </c>
      <c r="P54" s="175">
        <v>53</v>
      </c>
      <c r="Q54" s="167" t="s">
        <v>157</v>
      </c>
      <c r="R54" s="167" t="s">
        <v>309</v>
      </c>
      <c r="S54" s="167" t="s">
        <v>17</v>
      </c>
      <c r="T54" s="166" t="str" cm="1">
        <f t="array" ref="T54">IFERROR( INDEX(韻母對照表[注音二式], MATCH(TRUE, EXACT( _xlfn.CONCAT(R54, LEFT(S54,1)), 韻母對照表[十五音識別碼]),0)), "")</f>
        <v>u</v>
      </c>
      <c r="U54" s="166" t="s">
        <v>308</v>
      </c>
      <c r="V54" s="166" t="s">
        <v>310</v>
      </c>
      <c r="W54" s="168" t="s">
        <v>307</v>
      </c>
      <c r="X54" s="176">
        <f t="shared" si="0"/>
        <v>1</v>
      </c>
      <c r="Y54" t="str">
        <f t="shared" si="1"/>
        <v xml:space="preserve">      - xform/u/u/</v>
      </c>
    </row>
    <row r="55" spans="1:25" ht="29.25">
      <c r="A55" s="63">
        <v>58</v>
      </c>
      <c r="B55" s="93" t="str" cm="1">
        <f t="array" ref="B55" xml:space="preserve"> INDEX(【韻】韻母對照表!$B$4:$B$89, MATCH(TRUE, EXACT(韻母對照表[[#This Row],[台羅拼音]], 【韻】韻母對照表!$C$4:$C$89), 0))</f>
        <v>iʔ</v>
      </c>
      <c r="C55" s="16" t="s">
        <v>329</v>
      </c>
      <c r="D55" s="1" t="s">
        <v>329</v>
      </c>
      <c r="E55" s="1" t="s">
        <v>329</v>
      </c>
      <c r="F55" s="1" t="s">
        <v>329</v>
      </c>
      <c r="G55" s="91" t="s">
        <v>329</v>
      </c>
      <c r="H55" s="1" t="s">
        <v>926</v>
      </c>
      <c r="I55" s="1" t="s">
        <v>2269</v>
      </c>
      <c r="J55" s="5" t="s">
        <v>328</v>
      </c>
      <c r="K55" s="3" t="s">
        <v>325</v>
      </c>
      <c r="L55" s="1" t="s">
        <v>169</v>
      </c>
      <c r="M55" s="1" t="s">
        <v>23</v>
      </c>
      <c r="N55" s="64" t="s">
        <v>330</v>
      </c>
      <c r="P55" s="166">
        <v>54</v>
      </c>
      <c r="Q55" s="167" t="s">
        <v>157</v>
      </c>
      <c r="R55" s="167" t="s">
        <v>309</v>
      </c>
      <c r="S55" s="167" t="s">
        <v>23</v>
      </c>
      <c r="T55" s="166" t="str" cm="1">
        <f t="array" ref="T55">IFERROR( INDEX(韻母對照表[注音二式], MATCH(TRUE, EXACT( _xlfn.CONCAT(R55, LEFT(S55,1)), 韻母對照表[十五音識別碼]),0)), "")</f>
        <v>uh</v>
      </c>
      <c r="U55" s="166" t="s">
        <v>313</v>
      </c>
      <c r="V55" s="166" t="s">
        <v>2204</v>
      </c>
      <c r="W55" s="169" t="s">
        <v>312</v>
      </c>
      <c r="X55" s="176">
        <f t="shared" si="0"/>
        <v>2</v>
      </c>
      <c r="Y55" t="str">
        <f t="shared" si="1"/>
        <v xml:space="preserve">      - xform/uh/uh/</v>
      </c>
    </row>
    <row r="56" spans="1:25" ht="29.25">
      <c r="A56" s="63">
        <v>59</v>
      </c>
      <c r="B56" s="93" t="str" cm="1">
        <f t="array" ref="B56" xml:space="preserve"> INDEX(【韻】韻母對照表!$B$4:$B$89, MATCH(TRUE, EXACT(韻母對照表[[#This Row],[台羅拼音]], 【韻】韻母對照表!$C$4:$C$89), 0))</f>
        <v>ɪu</v>
      </c>
      <c r="C56" s="16" t="s">
        <v>332</v>
      </c>
      <c r="D56" s="1" t="s">
        <v>332</v>
      </c>
      <c r="E56" s="1" t="s">
        <v>332</v>
      </c>
      <c r="F56" s="1" t="s">
        <v>332</v>
      </c>
      <c r="G56" s="91" t="s">
        <v>332</v>
      </c>
      <c r="H56" s="1" t="s">
        <v>334</v>
      </c>
      <c r="I56" s="1" t="s">
        <v>334</v>
      </c>
      <c r="J56" s="3" t="s">
        <v>331</v>
      </c>
      <c r="K56" s="3" t="s">
        <v>333</v>
      </c>
      <c r="L56" s="1" t="s">
        <v>176</v>
      </c>
      <c r="M56" s="1" t="s">
        <v>17</v>
      </c>
      <c r="N56" s="64" t="s">
        <v>335</v>
      </c>
      <c r="P56" s="175">
        <v>55</v>
      </c>
      <c r="Q56" s="167" t="s">
        <v>164</v>
      </c>
      <c r="R56" s="167" t="s">
        <v>317</v>
      </c>
      <c r="S56" s="167" t="s">
        <v>17</v>
      </c>
      <c r="T56" s="166" t="str" cm="1">
        <f t="array" ref="T56">IFERROR( INDEX(韻母對照表[注音二式], MATCH(TRUE, EXACT( _xlfn.CONCAT(R56, LEFT(S56,1)), 韻母對照表[十五音識別碼]),0)), "")</f>
        <v>a</v>
      </c>
      <c r="U56" s="166" t="s">
        <v>316</v>
      </c>
      <c r="V56" s="166" t="s">
        <v>318</v>
      </c>
      <c r="W56" s="168" t="s">
        <v>315</v>
      </c>
      <c r="X56" s="176">
        <f t="shared" si="0"/>
        <v>1</v>
      </c>
      <c r="Y56" t="str">
        <f t="shared" si="1"/>
        <v xml:space="preserve">      - xform/a/a/</v>
      </c>
    </row>
    <row r="57" spans="1:25" ht="29.25">
      <c r="A57" s="63">
        <v>61</v>
      </c>
      <c r="B57" s="93" t="str" cm="1">
        <f t="array" ref="B57" xml:space="preserve"> INDEX(【韻】韻母對照表!$B$4:$B$89, MATCH(TRUE, EXACT(韻母對照表[[#This Row],[台羅拼音]], 【韻】韻母對照表!$C$4:$C$89), 0))</f>
        <v>ẽ</v>
      </c>
      <c r="C57" s="16" t="s">
        <v>340</v>
      </c>
      <c r="D57" s="1" t="s">
        <v>340</v>
      </c>
      <c r="E57" s="1" t="s">
        <v>340</v>
      </c>
      <c r="F57" s="1" t="s">
        <v>342</v>
      </c>
      <c r="G57" s="91" t="s">
        <v>1259</v>
      </c>
      <c r="H57" s="1" t="s">
        <v>339</v>
      </c>
      <c r="I57" s="1" t="s">
        <v>2270</v>
      </c>
      <c r="J57" s="3" t="s">
        <v>336</v>
      </c>
      <c r="K57" s="8" t="s">
        <v>338</v>
      </c>
      <c r="L57" s="1" t="s">
        <v>181</v>
      </c>
      <c r="M57" s="1" t="s">
        <v>17</v>
      </c>
      <c r="N57" s="64" t="s">
        <v>343</v>
      </c>
      <c r="P57" s="166">
        <v>56</v>
      </c>
      <c r="Q57" s="167" t="s">
        <v>164</v>
      </c>
      <c r="R57" s="167" t="s">
        <v>317</v>
      </c>
      <c r="S57" s="167" t="s">
        <v>23</v>
      </c>
      <c r="T57" s="166" t="str" cm="1">
        <f t="array" ref="T57">IFERROR( INDEX(韻母對照表[注音二式], MATCH(TRUE, EXACT( _xlfn.CONCAT(R57, LEFT(S57,1)), 韻母對照表[十五音識別碼]),0)), "")</f>
        <v>ah</v>
      </c>
      <c r="U57" s="166" t="s">
        <v>321</v>
      </c>
      <c r="V57" s="166" t="s">
        <v>1298</v>
      </c>
      <c r="W57" s="168" t="s">
        <v>320</v>
      </c>
      <c r="X57" s="176">
        <f t="shared" si="0"/>
        <v>2</v>
      </c>
      <c r="Y57" t="str">
        <f t="shared" si="1"/>
        <v xml:space="preserve">      - xform/ah/ah/</v>
      </c>
    </row>
    <row r="58" spans="1:25" ht="29.25">
      <c r="A58" s="63">
        <v>62</v>
      </c>
      <c r="B58" s="93" t="str">
        <f>_xlfn.CONCAT("e", _xlfn.UNICHAR(771), "ʔ")</f>
        <v>ẽʔ</v>
      </c>
      <c r="C58" s="16" t="s">
        <v>637</v>
      </c>
      <c r="D58" s="1" t="s">
        <v>345</v>
      </c>
      <c r="E58" s="1" t="s">
        <v>346</v>
      </c>
      <c r="F58" s="1" t="s">
        <v>637</v>
      </c>
      <c r="G58" s="91" t="s">
        <v>1260</v>
      </c>
      <c r="H58" s="1" t="s">
        <v>927</v>
      </c>
      <c r="I58" s="1" t="s">
        <v>2271</v>
      </c>
      <c r="J58" s="10" t="s">
        <v>344</v>
      </c>
      <c r="K58" s="8" t="s">
        <v>338</v>
      </c>
      <c r="L58" s="1" t="s">
        <v>181</v>
      </c>
      <c r="M58" s="1" t="s">
        <v>23</v>
      </c>
      <c r="N58" s="64" t="s">
        <v>347</v>
      </c>
      <c r="P58" s="175">
        <v>57</v>
      </c>
      <c r="Q58" s="167" t="s">
        <v>169</v>
      </c>
      <c r="R58" s="167" t="s">
        <v>325</v>
      </c>
      <c r="S58" s="167" t="s">
        <v>17</v>
      </c>
      <c r="T58" s="166" t="str" cm="1">
        <f t="array" ref="T58">IFERROR( INDEX(韻母對照表[注音二式], MATCH(TRUE, EXACT( _xlfn.CONCAT(R58, LEFT(S58,1)), 韻母對照表[十五音識別碼]),0)), "")</f>
        <v>i</v>
      </c>
      <c r="U58" s="166" t="s">
        <v>324</v>
      </c>
      <c r="V58" s="166" t="s">
        <v>326</v>
      </c>
      <c r="W58" s="168" t="s">
        <v>323</v>
      </c>
      <c r="X58" s="176">
        <f t="shared" si="0"/>
        <v>1</v>
      </c>
      <c r="Y58" t="str">
        <f t="shared" si="1"/>
        <v xml:space="preserve">      - xform/i/i/</v>
      </c>
    </row>
    <row r="59" spans="1:25" ht="29.25">
      <c r="A59" s="63">
        <v>63</v>
      </c>
      <c r="B59" s="93" t="s">
        <v>2440</v>
      </c>
      <c r="C59" s="16" t="s">
        <v>351</v>
      </c>
      <c r="D59" s="1" t="s">
        <v>351</v>
      </c>
      <c r="E59" s="1" t="s">
        <v>351</v>
      </c>
      <c r="F59" s="1" t="s">
        <v>353</v>
      </c>
      <c r="G59" s="91" t="s">
        <v>1261</v>
      </c>
      <c r="H59" s="1" t="s">
        <v>350</v>
      </c>
      <c r="I59" s="1" t="s">
        <v>2272</v>
      </c>
      <c r="J59" s="5" t="s">
        <v>348</v>
      </c>
      <c r="K59" s="4" t="s">
        <v>349</v>
      </c>
      <c r="L59" s="1" t="s">
        <v>355</v>
      </c>
      <c r="M59" s="1" t="s">
        <v>17</v>
      </c>
      <c r="N59" s="64" t="s">
        <v>354</v>
      </c>
      <c r="P59" s="166">
        <v>58</v>
      </c>
      <c r="Q59" s="167" t="s">
        <v>169</v>
      </c>
      <c r="R59" s="167" t="s">
        <v>325</v>
      </c>
      <c r="S59" s="167" t="s">
        <v>17</v>
      </c>
      <c r="T59" s="166" t="str" cm="1">
        <f t="array" ref="T59">IFERROR( INDEX(韻母對照表[注音二式], MATCH(TRUE, EXACT( _xlfn.CONCAT(R59, LEFT(S59,1)), 韻母對照表[十五音識別碼]),0)), "")</f>
        <v>i</v>
      </c>
      <c r="U59" s="166" t="s">
        <v>329</v>
      </c>
      <c r="V59" s="166" t="s">
        <v>2194</v>
      </c>
      <c r="W59" s="170" t="s">
        <v>328</v>
      </c>
      <c r="X59" s="176">
        <f t="shared" si="0"/>
        <v>1</v>
      </c>
      <c r="Y59" t="str">
        <f t="shared" si="1"/>
        <v xml:space="preserve">      - xform/i/ih/</v>
      </c>
    </row>
    <row r="60" spans="1:25" ht="29.25">
      <c r="A60" s="63">
        <v>65</v>
      </c>
      <c r="B60" s="93" t="str" cm="1">
        <f t="array" ref="B60" xml:space="preserve"> INDEX(【韻】韻母對照表!$B$4:$B$89, MATCH(TRUE, EXACT(韻母對照表[[#This Row],[台羅拼音]], 【韻】韻母對照表!$C$4:$C$89), 0))</f>
        <v>ɪə</v>
      </c>
      <c r="C60" s="16" t="s">
        <v>357</v>
      </c>
      <c r="D60" s="1" t="s">
        <v>357</v>
      </c>
      <c r="E60" s="16" t="s">
        <v>360</v>
      </c>
      <c r="F60" s="1" t="s">
        <v>357</v>
      </c>
      <c r="G60" s="91" t="s">
        <v>357</v>
      </c>
      <c r="H60" s="1" t="s">
        <v>359</v>
      </c>
      <c r="I60" s="1" t="s">
        <v>359</v>
      </c>
      <c r="J60" s="3" t="s">
        <v>356</v>
      </c>
      <c r="K60" s="5" t="s">
        <v>358</v>
      </c>
      <c r="L60" s="1" t="s">
        <v>187</v>
      </c>
      <c r="M60" s="1" t="s">
        <v>17</v>
      </c>
      <c r="N60" s="64" t="s">
        <v>361</v>
      </c>
      <c r="P60" s="175">
        <v>59</v>
      </c>
      <c r="Q60" s="167" t="s">
        <v>176</v>
      </c>
      <c r="R60" s="167" t="s">
        <v>333</v>
      </c>
      <c r="S60" s="167" t="s">
        <v>17</v>
      </c>
      <c r="T60" s="166" t="str" cm="1">
        <f t="array" ref="T60">IFERROR( INDEX(韻母對照表[注音二式], MATCH(TRUE, EXACT( _xlfn.CONCAT(R60, LEFT(S60,1)), 韻母對照表[十五音識別碼]),0)), "")</f>
        <v>iu</v>
      </c>
      <c r="U60" s="166" t="s">
        <v>332</v>
      </c>
      <c r="V60" s="166" t="s">
        <v>334</v>
      </c>
      <c r="W60" s="168" t="s">
        <v>331</v>
      </c>
      <c r="X60" s="176">
        <f t="shared" si="0"/>
        <v>2</v>
      </c>
      <c r="Y60" t="str">
        <f t="shared" si="1"/>
        <v xml:space="preserve">      - xform/iu/iu/</v>
      </c>
    </row>
    <row r="61" spans="1:25" ht="29.25">
      <c r="A61" s="63">
        <v>66</v>
      </c>
      <c r="B61" s="93" t="str" cm="1">
        <f t="array" ref="B61" xml:space="preserve"> INDEX(【韻】韻母對照表!$B$4:$B$89, MATCH(TRUE, EXACT(韻母對照表[[#This Row],[台羅拼音]], 【韻】韻母對照表!$C$4:$C$89), 0))</f>
        <v>ɪəʔ</v>
      </c>
      <c r="C61" s="16" t="s">
        <v>363</v>
      </c>
      <c r="D61" s="1" t="s">
        <v>363</v>
      </c>
      <c r="E61" s="16" t="s">
        <v>364</v>
      </c>
      <c r="F61" s="1" t="s">
        <v>363</v>
      </c>
      <c r="G61" s="91" t="s">
        <v>363</v>
      </c>
      <c r="H61" s="1" t="s">
        <v>928</v>
      </c>
      <c r="I61" s="1" t="s">
        <v>2273</v>
      </c>
      <c r="J61" s="4" t="s">
        <v>362</v>
      </c>
      <c r="K61" s="3" t="s">
        <v>358</v>
      </c>
      <c r="L61" s="1" t="s">
        <v>187</v>
      </c>
      <c r="M61" s="1" t="s">
        <v>23</v>
      </c>
      <c r="N61" s="64" t="s">
        <v>365</v>
      </c>
      <c r="P61" s="166">
        <v>60</v>
      </c>
      <c r="Q61" s="167" t="s">
        <v>176</v>
      </c>
      <c r="R61" s="167" t="s">
        <v>333</v>
      </c>
      <c r="S61" s="167" t="s">
        <v>17</v>
      </c>
      <c r="T61" s="166" t="str" cm="1">
        <f t="array" ref="T61">IFERROR( INDEX(韻母對照表[注音二式], MATCH(TRUE, EXACT( _xlfn.CONCAT(R61, LEFT(S61,1)), 韻母對照表[十五音識別碼]),0)), "")</f>
        <v>iu</v>
      </c>
      <c r="U61" s="166" t="s">
        <v>2345</v>
      </c>
      <c r="V61" s="166" t="str">
        <f xml:space="preserve"> _xlfn.CONCAT(V60, "ㆷ")</f>
        <v>ㄧㄨㆷ</v>
      </c>
      <c r="W61" s="168"/>
      <c r="X61" s="176">
        <f t="shared" si="0"/>
        <v>2</v>
      </c>
      <c r="Y61" t="str">
        <f t="shared" si="1"/>
        <v xml:space="preserve">      - xform/iu/iuh/</v>
      </c>
    </row>
    <row r="62" spans="1:25" ht="29.25">
      <c r="A62" s="63">
        <v>67</v>
      </c>
      <c r="B62" s="93" t="s">
        <v>2441</v>
      </c>
      <c r="C62" s="16" t="s">
        <v>370</v>
      </c>
      <c r="D62" s="1" t="s">
        <v>370</v>
      </c>
      <c r="E62" s="1" t="s">
        <v>370</v>
      </c>
      <c r="F62" s="1" t="s">
        <v>372</v>
      </c>
      <c r="G62" s="91" t="s">
        <v>1262</v>
      </c>
      <c r="H62" s="1" t="s">
        <v>369</v>
      </c>
      <c r="I62" s="1" t="s">
        <v>2274</v>
      </c>
      <c r="J62" s="3" t="s">
        <v>366</v>
      </c>
      <c r="K62" s="3" t="s">
        <v>368</v>
      </c>
      <c r="L62" s="1" t="s">
        <v>193</v>
      </c>
      <c r="M62" s="1" t="s">
        <v>17</v>
      </c>
      <c r="N62" s="64" t="s">
        <v>373</v>
      </c>
      <c r="P62" s="175">
        <v>61</v>
      </c>
      <c r="Q62" s="167" t="s">
        <v>181</v>
      </c>
      <c r="R62" s="167" t="s">
        <v>338</v>
      </c>
      <c r="S62" s="167" t="s">
        <v>17</v>
      </c>
      <c r="T62" s="166" t="str" cm="1">
        <f t="array" ref="T62">IFERROR( INDEX(韻母對照表[注音二式], MATCH(TRUE, EXACT( _xlfn.CONCAT(R62, LEFT(S62,1)), 韻母對照表[十五音識別碼]),0)), "")</f>
        <v>enn</v>
      </c>
      <c r="U62" s="166" t="s">
        <v>342</v>
      </c>
      <c r="V62" s="166" t="s">
        <v>339</v>
      </c>
      <c r="W62" s="168" t="s">
        <v>336</v>
      </c>
      <c r="X62" s="176">
        <f t="shared" si="0"/>
        <v>3</v>
      </c>
      <c r="Y62" t="str">
        <f t="shared" si="1"/>
        <v xml:space="preserve">      - xform/enn/ne/</v>
      </c>
    </row>
    <row r="63" spans="1:25" ht="29.25">
      <c r="A63" s="63">
        <v>68</v>
      </c>
      <c r="B63" s="93" t="s">
        <v>2442</v>
      </c>
      <c r="C63" s="16" t="s">
        <v>376</v>
      </c>
      <c r="D63" s="1" t="s">
        <v>375</v>
      </c>
      <c r="E63" s="1" t="s">
        <v>376</v>
      </c>
      <c r="F63" s="1" t="s">
        <v>377</v>
      </c>
      <c r="G63" s="91" t="s">
        <v>1263</v>
      </c>
      <c r="H63" s="1" t="s">
        <v>929</v>
      </c>
      <c r="I63" s="1" t="s">
        <v>2275</v>
      </c>
      <c r="J63" s="4" t="s">
        <v>374</v>
      </c>
      <c r="K63" s="3" t="s">
        <v>368</v>
      </c>
      <c r="L63" s="1" t="s">
        <v>193</v>
      </c>
      <c r="M63" s="1" t="s">
        <v>23</v>
      </c>
      <c r="N63" s="64" t="s">
        <v>378</v>
      </c>
      <c r="P63" s="166">
        <v>62</v>
      </c>
      <c r="Q63" s="167" t="s">
        <v>181</v>
      </c>
      <c r="R63" s="167" t="s">
        <v>338</v>
      </c>
      <c r="S63" s="167" t="s">
        <v>17</v>
      </c>
      <c r="T63" s="166" t="str" cm="1">
        <f t="array" ref="T63">IFERROR( INDEX(韻母對照表[注音二式], MATCH(TRUE, EXACT( _xlfn.CONCAT(R63, LEFT(S63,1)), 韻母對照表[十五音識別碼]),0)), "")</f>
        <v>enn</v>
      </c>
      <c r="U63" s="166" t="s">
        <v>2346</v>
      </c>
      <c r="V63" s="166" t="s">
        <v>1323</v>
      </c>
      <c r="W63" s="173" t="s">
        <v>344</v>
      </c>
      <c r="X63" s="176">
        <f t="shared" si="0"/>
        <v>3</v>
      </c>
      <c r="Y63" t="str">
        <f t="shared" si="1"/>
        <v xml:space="preserve">      - xform/enn/neh/</v>
      </c>
    </row>
    <row r="64" spans="1:25" ht="29.25">
      <c r="A64" s="63">
        <v>69</v>
      </c>
      <c r="B64" s="93" t="s">
        <v>2443</v>
      </c>
      <c r="C64" s="16" t="s">
        <v>383</v>
      </c>
      <c r="D64" s="1" t="s">
        <v>383</v>
      </c>
      <c r="E64" s="1" t="s">
        <v>386</v>
      </c>
      <c r="F64" s="1" t="s">
        <v>385</v>
      </c>
      <c r="G64" s="91" t="s">
        <v>1264</v>
      </c>
      <c r="H64" s="1" t="s">
        <v>382</v>
      </c>
      <c r="I64" s="1" t="s">
        <v>2276</v>
      </c>
      <c r="J64" s="7" t="s">
        <v>379</v>
      </c>
      <c r="K64" s="6" t="s">
        <v>381</v>
      </c>
      <c r="L64" s="1" t="s">
        <v>199</v>
      </c>
      <c r="M64" s="1" t="s">
        <v>17</v>
      </c>
      <c r="N64" s="64" t="s">
        <v>387</v>
      </c>
      <c r="P64" s="175">
        <v>63</v>
      </c>
      <c r="Q64" s="167" t="s">
        <v>355</v>
      </c>
      <c r="R64" s="167" t="s">
        <v>349</v>
      </c>
      <c r="S64" s="167" t="s">
        <v>17</v>
      </c>
      <c r="T64" s="166" t="str" cm="1">
        <f t="array" ref="T64">IFERROR( INDEX(韻母對照表[注音二式], MATCH(TRUE, EXACT( _xlfn.CONCAT(R64, LEFT(S64,1)), 韻母對照表[十五音識別碼]),0)), "")</f>
        <v>uinn</v>
      </c>
      <c r="U64" s="166" t="s">
        <v>353</v>
      </c>
      <c r="V64" s="166" t="s">
        <v>350</v>
      </c>
      <c r="W64" s="170" t="s">
        <v>348</v>
      </c>
      <c r="X64" s="176">
        <f t="shared" si="0"/>
        <v>4</v>
      </c>
      <c r="Y64" t="str">
        <f t="shared" si="1"/>
        <v xml:space="preserve">      - xform/uinn/nui/</v>
      </c>
    </row>
    <row r="65" spans="1:25" ht="29.25">
      <c r="A65" s="63">
        <v>71</v>
      </c>
      <c r="B65" s="93" t="s">
        <v>2444</v>
      </c>
      <c r="C65" s="16" t="s">
        <v>391</v>
      </c>
      <c r="D65" s="1" t="s">
        <v>391</v>
      </c>
      <c r="E65" s="1" t="s">
        <v>391</v>
      </c>
      <c r="F65" s="1" t="s">
        <v>394</v>
      </c>
      <c r="G65" s="91" t="s">
        <v>1265</v>
      </c>
      <c r="H65" s="1" t="s">
        <v>390</v>
      </c>
      <c r="I65" s="1" t="s">
        <v>2277</v>
      </c>
      <c r="J65" s="3" t="s">
        <v>388</v>
      </c>
      <c r="K65" s="3" t="s">
        <v>389</v>
      </c>
      <c r="L65" s="1" t="s">
        <v>205</v>
      </c>
      <c r="M65" s="1" t="s">
        <v>17</v>
      </c>
      <c r="N65" s="64" t="s">
        <v>395</v>
      </c>
      <c r="P65" s="166">
        <v>64</v>
      </c>
      <c r="Q65" s="167" t="s">
        <v>355</v>
      </c>
      <c r="R65" s="167" t="s">
        <v>349</v>
      </c>
      <c r="S65" s="167" t="s">
        <v>17</v>
      </c>
      <c r="T65" s="166" t="str" cm="1">
        <f t="array" ref="T65">IFERROR( INDEX(韻母對照表[注音二式], MATCH(TRUE, EXACT( _xlfn.CONCAT(R65, LEFT(S65,1)), 韻母對照表[十五音識別碼]),0)), "")</f>
        <v>uinn</v>
      </c>
      <c r="U65" s="166" t="s">
        <v>2347</v>
      </c>
      <c r="V65" s="166" t="str">
        <f xml:space="preserve"> _xlfn.CONCAT(V64, "ㆷ")</f>
        <v>ㄨㆪㆷ</v>
      </c>
      <c r="W65" s="170"/>
      <c r="X65" s="176">
        <f t="shared" si="0"/>
        <v>4</v>
      </c>
      <c r="Y65" t="str">
        <f t="shared" si="1"/>
        <v xml:space="preserve">      - xform/uinn/nuih/</v>
      </c>
    </row>
    <row r="66" spans="1:25" ht="29.25">
      <c r="A66" s="63">
        <v>73</v>
      </c>
      <c r="B66" s="93" t="s">
        <v>2445</v>
      </c>
      <c r="C66" s="16" t="s">
        <v>399</v>
      </c>
      <c r="D66" s="1" t="s">
        <v>399</v>
      </c>
      <c r="E66" s="1" t="s">
        <v>399</v>
      </c>
      <c r="F66" s="1" t="s">
        <v>401</v>
      </c>
      <c r="G66" s="91" t="s">
        <v>1266</v>
      </c>
      <c r="H66" s="1" t="s">
        <v>398</v>
      </c>
      <c r="I66" s="1" t="s">
        <v>2278</v>
      </c>
      <c r="J66" s="3" t="s">
        <v>396</v>
      </c>
      <c r="K66" s="3" t="s">
        <v>397</v>
      </c>
      <c r="L66" s="1" t="s">
        <v>209</v>
      </c>
      <c r="M66" s="1" t="s">
        <v>17</v>
      </c>
      <c r="N66" s="64" t="s">
        <v>402</v>
      </c>
      <c r="P66" s="175">
        <v>65</v>
      </c>
      <c r="Q66" s="167" t="s">
        <v>187</v>
      </c>
      <c r="R66" s="167" t="s">
        <v>358</v>
      </c>
      <c r="S66" s="167" t="s">
        <v>17</v>
      </c>
      <c r="T66" s="166" t="str" cm="1">
        <f t="array" ref="T66">IFERROR( INDEX(韻母對照表[注音二式], MATCH(TRUE, EXACT( _xlfn.CONCAT(R66, LEFT(S66,1)), 韻母對照表[十五音識別碼]),0)), "")</f>
        <v>ior</v>
      </c>
      <c r="U66" s="166" t="s">
        <v>357</v>
      </c>
      <c r="V66" s="166" t="s">
        <v>359</v>
      </c>
      <c r="W66" s="168" t="s">
        <v>356</v>
      </c>
      <c r="X66" s="176">
        <f t="shared" si="0"/>
        <v>3</v>
      </c>
      <c r="Y66" t="str">
        <f t="shared" si="1"/>
        <v xml:space="preserve">      - xform/ior/io/</v>
      </c>
    </row>
    <row r="67" spans="1:25" ht="29.25">
      <c r="A67" s="63">
        <v>75</v>
      </c>
      <c r="B67" s="93" t="s">
        <v>2446</v>
      </c>
      <c r="C67" s="16" t="s">
        <v>407</v>
      </c>
      <c r="D67" s="1" t="s">
        <v>407</v>
      </c>
      <c r="E67" s="1" t="s">
        <v>407</v>
      </c>
      <c r="F67" s="1" t="s">
        <v>407</v>
      </c>
      <c r="G67" s="91" t="s">
        <v>407</v>
      </c>
      <c r="H67" s="1" t="s">
        <v>406</v>
      </c>
      <c r="I67" s="1" t="s">
        <v>1332</v>
      </c>
      <c r="J67" s="3" t="s">
        <v>403</v>
      </c>
      <c r="K67" s="3" t="s">
        <v>405</v>
      </c>
      <c r="L67" s="1" t="s">
        <v>215</v>
      </c>
      <c r="M67" s="1" t="s">
        <v>17</v>
      </c>
      <c r="N67" s="64" t="s">
        <v>408</v>
      </c>
      <c r="P67" s="166">
        <v>66</v>
      </c>
      <c r="Q67" s="167" t="s">
        <v>187</v>
      </c>
      <c r="R67" s="167" t="s">
        <v>358</v>
      </c>
      <c r="S67" s="167" t="s">
        <v>23</v>
      </c>
      <c r="T67" s="166" t="str" cm="1">
        <f t="array" ref="T67">IFERROR( INDEX(韻母對照表[注音二式], MATCH(TRUE, EXACT( _xlfn.CONCAT(R67, LEFT(S67,1)), 韻母對照表[十五音識別碼]),0)), "")</f>
        <v>iorh</v>
      </c>
      <c r="U67" s="166" t="s">
        <v>363</v>
      </c>
      <c r="V67" s="166" t="s">
        <v>2200</v>
      </c>
      <c r="W67" s="169" t="s">
        <v>362</v>
      </c>
      <c r="X67" s="176">
        <f t="shared" ref="X67:X101" si="2">LEN(T67)</f>
        <v>4</v>
      </c>
      <c r="Y67" t="str">
        <f t="shared" ref="Y67:Y101" si="3" xml:space="preserve"> _xlfn.CONCAT("      - xform/",T67,"/",U67,"/")</f>
        <v xml:space="preserve">      - xform/iorh/ioh/</v>
      </c>
    </row>
    <row r="68" spans="1:25" ht="29.25">
      <c r="A68" s="63">
        <v>77</v>
      </c>
      <c r="B68" s="93" t="s">
        <v>1181</v>
      </c>
      <c r="C68" s="16" t="s">
        <v>60</v>
      </c>
      <c r="D68" s="1" t="s">
        <v>60</v>
      </c>
      <c r="E68" s="1" t="s">
        <v>60</v>
      </c>
      <c r="F68" s="1" t="s">
        <v>60</v>
      </c>
      <c r="G68" s="91" t="s">
        <v>60</v>
      </c>
      <c r="H68" s="1" t="s">
        <v>155</v>
      </c>
      <c r="I68" s="1" t="s">
        <v>58</v>
      </c>
      <c r="J68" s="3" t="s">
        <v>409</v>
      </c>
      <c r="K68" s="3" t="s">
        <v>410</v>
      </c>
      <c r="L68" s="1" t="s">
        <v>221</v>
      </c>
      <c r="M68" s="1" t="s">
        <v>17</v>
      </c>
      <c r="N68" s="64" t="s">
        <v>411</v>
      </c>
      <c r="P68" s="175">
        <v>67</v>
      </c>
      <c r="Q68" s="167" t="s">
        <v>193</v>
      </c>
      <c r="R68" s="167" t="s">
        <v>368</v>
      </c>
      <c r="S68" s="167" t="s">
        <v>17</v>
      </c>
      <c r="T68" s="166" t="str" cm="1">
        <f t="array" ref="T68">IFERROR( INDEX(韻母對照表[注音二式], MATCH(TRUE, EXACT( _xlfn.CONCAT(R68, LEFT(S68,1)), 韻母對照表[十五音識別碼]),0)), "")</f>
        <v>inn</v>
      </c>
      <c r="U68" s="166" t="s">
        <v>372</v>
      </c>
      <c r="V68" s="166" t="s">
        <v>369</v>
      </c>
      <c r="W68" s="168" t="s">
        <v>366</v>
      </c>
      <c r="X68" s="176">
        <f t="shared" si="2"/>
        <v>3</v>
      </c>
      <c r="Y68" t="str">
        <f t="shared" si="3"/>
        <v xml:space="preserve">      - xform/inn/ni/</v>
      </c>
    </row>
    <row r="69" spans="1:25" ht="29.25">
      <c r="A69" s="63">
        <v>78</v>
      </c>
      <c r="B69" s="93" t="s">
        <v>2447</v>
      </c>
      <c r="C69" s="16" t="s">
        <v>65</v>
      </c>
      <c r="D69" s="1" t="s">
        <v>65</v>
      </c>
      <c r="E69" s="1" t="s">
        <v>65</v>
      </c>
      <c r="F69" s="1" t="s">
        <v>65</v>
      </c>
      <c r="G69" s="91" t="s">
        <v>65</v>
      </c>
      <c r="H69" s="1" t="s">
        <v>930</v>
      </c>
      <c r="I69" s="1" t="s">
        <v>2241</v>
      </c>
      <c r="J69" s="3" t="s">
        <v>412</v>
      </c>
      <c r="K69" s="3" t="s">
        <v>410</v>
      </c>
      <c r="L69" s="1" t="s">
        <v>221</v>
      </c>
      <c r="M69" s="1" t="s">
        <v>23</v>
      </c>
      <c r="N69" s="64" t="s">
        <v>413</v>
      </c>
      <c r="P69" s="166">
        <v>68</v>
      </c>
      <c r="Q69" s="167" t="s">
        <v>193</v>
      </c>
      <c r="R69" s="167" t="s">
        <v>368</v>
      </c>
      <c r="S69" s="167" t="s">
        <v>17</v>
      </c>
      <c r="T69" s="166" t="str" cm="1">
        <f t="array" ref="T69">IFERROR( INDEX(韻母對照表[注音二式], MATCH(TRUE, EXACT( _xlfn.CONCAT(R69, LEFT(S69,1)), 韻母對照表[十五音識別碼]),0)), "")</f>
        <v>inn</v>
      </c>
      <c r="U69" s="166" t="s">
        <v>377</v>
      </c>
      <c r="V69" s="166" t="s">
        <v>2342</v>
      </c>
      <c r="W69" s="169" t="s">
        <v>374</v>
      </c>
      <c r="X69" s="176">
        <f t="shared" si="2"/>
        <v>3</v>
      </c>
      <c r="Y69" t="str">
        <f t="shared" si="3"/>
        <v xml:space="preserve">      - xform/inn/nih/</v>
      </c>
    </row>
    <row r="70" spans="1:25" ht="29.25">
      <c r="A70" s="63">
        <v>79</v>
      </c>
      <c r="B70" s="93" t="s">
        <v>2448</v>
      </c>
      <c r="C70" s="16" t="s">
        <v>417</v>
      </c>
      <c r="D70" s="1" t="s">
        <v>417</v>
      </c>
      <c r="E70" s="1" t="s">
        <v>417</v>
      </c>
      <c r="F70" s="1" t="s">
        <v>419</v>
      </c>
      <c r="G70" s="91" t="s">
        <v>1267</v>
      </c>
      <c r="H70" s="1" t="s">
        <v>416</v>
      </c>
      <c r="I70" s="1" t="s">
        <v>2279</v>
      </c>
      <c r="J70" s="6" t="s">
        <v>414</v>
      </c>
      <c r="K70" s="6" t="s">
        <v>415</v>
      </c>
      <c r="L70" s="1" t="s">
        <v>228</v>
      </c>
      <c r="M70" s="1" t="s">
        <v>17</v>
      </c>
      <c r="N70" s="64" t="s">
        <v>420</v>
      </c>
      <c r="P70" s="175">
        <v>69</v>
      </c>
      <c r="Q70" s="167" t="s">
        <v>199</v>
      </c>
      <c r="R70" s="167" t="s">
        <v>381</v>
      </c>
      <c r="S70" s="167" t="s">
        <v>17</v>
      </c>
      <c r="T70" s="166" t="str" cm="1">
        <f t="array" ref="T70">IFERROR( INDEX(韻母對照表[注音二式], MATCH(TRUE, EXACT( _xlfn.CONCAT(R70, LEFT(S70,1)), 韻母對照表[十五音識別碼]),0)), "")</f>
        <v>ioonn</v>
      </c>
      <c r="U70" s="166" t="s">
        <v>2348</v>
      </c>
      <c r="V70" s="166" t="s">
        <v>382</v>
      </c>
      <c r="W70" s="174" t="s">
        <v>379</v>
      </c>
      <c r="X70" s="176">
        <f t="shared" si="2"/>
        <v>5</v>
      </c>
      <c r="Y70" t="str">
        <f t="shared" si="3"/>
        <v xml:space="preserve">      - xform/ioonn/nio/</v>
      </c>
    </row>
    <row r="71" spans="1:25" ht="29.25">
      <c r="A71" s="63">
        <v>81</v>
      </c>
      <c r="B71" s="93" t="s">
        <v>910</v>
      </c>
      <c r="C71" s="16" t="s">
        <v>425</v>
      </c>
      <c r="D71" s="1" t="s">
        <v>425</v>
      </c>
      <c r="E71" s="1" t="s">
        <v>424</v>
      </c>
      <c r="F71" s="1" t="s">
        <v>427</v>
      </c>
      <c r="G71" s="91" t="s">
        <v>1268</v>
      </c>
      <c r="H71" s="1" t="s">
        <v>931</v>
      </c>
      <c r="I71" s="1" t="s">
        <v>2280</v>
      </c>
      <c r="J71" s="6" t="s">
        <v>421</v>
      </c>
      <c r="K71" s="11" t="s">
        <v>422</v>
      </c>
      <c r="L71" s="1" t="s">
        <v>233</v>
      </c>
      <c r="M71" s="1" t="s">
        <v>17</v>
      </c>
      <c r="N71" s="64" t="s">
        <v>428</v>
      </c>
      <c r="P71" s="166">
        <v>70</v>
      </c>
      <c r="Q71" s="167" t="s">
        <v>199</v>
      </c>
      <c r="R71" s="167" t="s">
        <v>381</v>
      </c>
      <c r="S71" s="167" t="s">
        <v>17</v>
      </c>
      <c r="T71" s="166" t="str" cm="1">
        <f t="array" ref="T71">IFERROR( INDEX(韻母對照表[注音二式], MATCH(TRUE, EXACT( _xlfn.CONCAT(R71, LEFT(S71,1)), 韻母對照表[十五音識別碼]),0)), "")</f>
        <v>ioonn</v>
      </c>
      <c r="U71" s="166" t="s">
        <v>2349</v>
      </c>
      <c r="V71" s="166" t="str">
        <f xml:space="preserve"> _xlfn.CONCAT(V70, "ㆷ")</f>
        <v>ㄧㆧㆷ</v>
      </c>
      <c r="W71" s="174"/>
      <c r="X71" s="176">
        <f t="shared" si="2"/>
        <v>5</v>
      </c>
      <c r="Y71" t="str">
        <f t="shared" si="3"/>
        <v xml:space="preserve">      - xform/ioonn/nioh/</v>
      </c>
    </row>
    <row r="72" spans="1:25" ht="29.25">
      <c r="A72" s="63">
        <v>83</v>
      </c>
      <c r="B72" s="93" t="s">
        <v>2449</v>
      </c>
      <c r="C72" s="16" t="s">
        <v>432</v>
      </c>
      <c r="D72" s="1" t="s">
        <v>432</v>
      </c>
      <c r="E72" s="1" t="s">
        <v>432</v>
      </c>
      <c r="F72" s="1" t="s">
        <v>432</v>
      </c>
      <c r="G72" s="91" t="s">
        <v>432</v>
      </c>
      <c r="H72" s="1" t="s">
        <v>431</v>
      </c>
      <c r="I72" s="1" t="s">
        <v>587</v>
      </c>
      <c r="J72" s="3" t="s">
        <v>429</v>
      </c>
      <c r="K72" s="3" t="s">
        <v>429</v>
      </c>
      <c r="L72" s="1" t="s">
        <v>239</v>
      </c>
      <c r="M72" s="1" t="s">
        <v>17</v>
      </c>
      <c r="N72" s="64" t="s">
        <v>433</v>
      </c>
      <c r="P72" s="175">
        <v>71</v>
      </c>
      <c r="Q72" s="167" t="s">
        <v>205</v>
      </c>
      <c r="R72" s="167" t="s">
        <v>389</v>
      </c>
      <c r="S72" s="167" t="s">
        <v>17</v>
      </c>
      <c r="T72" s="166" t="str" cm="1">
        <f t="array" ref="T72">IFERROR( INDEX(韻母對照表[注音二式], MATCH(TRUE, EXACT( _xlfn.CONCAT(R72, LEFT(S72,1)), 韻母對照表[十五音識別碼]),0)), "")</f>
        <v>iann</v>
      </c>
      <c r="U72" s="166" t="s">
        <v>394</v>
      </c>
      <c r="V72" s="166" t="s">
        <v>390</v>
      </c>
      <c r="W72" s="168" t="s">
        <v>388</v>
      </c>
      <c r="X72" s="176">
        <f t="shared" si="2"/>
        <v>4</v>
      </c>
      <c r="Y72" t="str">
        <f t="shared" si="3"/>
        <v xml:space="preserve">      - xform/iann/nia/</v>
      </c>
    </row>
    <row r="73" spans="1:25" ht="29.25">
      <c r="A73" s="63">
        <v>85</v>
      </c>
      <c r="B73" s="93" t="s">
        <v>2450</v>
      </c>
      <c r="C73" s="16" t="s">
        <v>437</v>
      </c>
      <c r="D73" s="1" t="s">
        <v>437</v>
      </c>
      <c r="E73" s="1" t="s">
        <v>437</v>
      </c>
      <c r="F73" s="1" t="s">
        <v>437</v>
      </c>
      <c r="G73" s="91" t="s">
        <v>438</v>
      </c>
      <c r="H73" s="1" t="s">
        <v>932</v>
      </c>
      <c r="I73" s="1" t="s">
        <v>2206</v>
      </c>
      <c r="J73" s="6" t="s">
        <v>434</v>
      </c>
      <c r="K73" s="5" t="s">
        <v>436</v>
      </c>
      <c r="L73" s="1" t="s">
        <v>245</v>
      </c>
      <c r="M73" s="1" t="s">
        <v>17</v>
      </c>
      <c r="N73" s="64" t="s">
        <v>439</v>
      </c>
      <c r="P73" s="166">
        <v>72</v>
      </c>
      <c r="Q73" s="167" t="s">
        <v>205</v>
      </c>
      <c r="R73" s="167" t="s">
        <v>389</v>
      </c>
      <c r="S73" s="167" t="s">
        <v>17</v>
      </c>
      <c r="T73" s="166" t="str" cm="1">
        <f t="array" ref="T73">IFERROR( INDEX(韻母對照表[注音二式], MATCH(TRUE, EXACT( _xlfn.CONCAT(R73, LEFT(S73,1)), 韻母對照表[十五音識別碼]),0)), "")</f>
        <v>iann</v>
      </c>
      <c r="U73" s="166" t="s">
        <v>2350</v>
      </c>
      <c r="V73" s="166" t="str">
        <f xml:space="preserve"> _xlfn.CONCAT(V72, "ㆷ")</f>
        <v>ㄧㆩㆷ</v>
      </c>
      <c r="W73" s="168"/>
      <c r="X73" s="176">
        <f t="shared" si="2"/>
        <v>4</v>
      </c>
      <c r="Y73" t="str">
        <f t="shared" si="3"/>
        <v xml:space="preserve">      - xform/iann/niah/</v>
      </c>
    </row>
    <row r="74" spans="1:25" ht="29.25">
      <c r="A74" s="63">
        <v>86</v>
      </c>
      <c r="B74" s="93" t="s">
        <v>2451</v>
      </c>
      <c r="C74" s="16" t="s">
        <v>443</v>
      </c>
      <c r="D74" s="1" t="s">
        <v>443</v>
      </c>
      <c r="E74" s="1" t="s">
        <v>443</v>
      </c>
      <c r="F74" s="1" t="s">
        <v>443</v>
      </c>
      <c r="G74" s="91" t="s">
        <v>444</v>
      </c>
      <c r="H74" s="1" t="s">
        <v>442</v>
      </c>
      <c r="I74" s="1" t="s">
        <v>2281</v>
      </c>
      <c r="J74" s="6" t="s">
        <v>440</v>
      </c>
      <c r="K74" s="5" t="s">
        <v>436</v>
      </c>
      <c r="L74" s="1" t="s">
        <v>245</v>
      </c>
      <c r="M74" s="1" t="s">
        <v>23</v>
      </c>
      <c r="N74" s="64" t="s">
        <v>445</v>
      </c>
      <c r="P74" s="175">
        <v>73</v>
      </c>
      <c r="Q74" s="167" t="s">
        <v>209</v>
      </c>
      <c r="R74" s="167" t="s">
        <v>397</v>
      </c>
      <c r="S74" s="167" t="s">
        <v>17</v>
      </c>
      <c r="T74" s="166" t="str" cm="1">
        <f t="array" ref="T74">IFERROR( INDEX(韻母對照表[注音二式], MATCH(TRUE, EXACT( _xlfn.CONCAT(R74, LEFT(S74,1)), 韻母對照表[十五音識別碼]),0)), "")</f>
        <v>uann</v>
      </c>
      <c r="U74" s="166" t="s">
        <v>401</v>
      </c>
      <c r="V74" s="166" t="s">
        <v>398</v>
      </c>
      <c r="W74" s="168" t="s">
        <v>396</v>
      </c>
      <c r="X74" s="176">
        <f t="shared" si="2"/>
        <v>4</v>
      </c>
      <c r="Y74" t="str">
        <f t="shared" si="3"/>
        <v xml:space="preserve">      - xform/uann/nua/</v>
      </c>
    </row>
    <row r="75" spans="1:25" ht="29.25">
      <c r="A75" s="63">
        <v>87</v>
      </c>
      <c r="B75" s="93" t="s">
        <v>2452</v>
      </c>
      <c r="C75" s="16" t="s">
        <v>449</v>
      </c>
      <c r="D75" s="1" t="s">
        <v>449</v>
      </c>
      <c r="E75" s="1" t="s">
        <v>449</v>
      </c>
      <c r="F75" s="1" t="s">
        <v>451</v>
      </c>
      <c r="G75" s="91" t="s">
        <v>1269</v>
      </c>
      <c r="H75" s="1" t="s">
        <v>448</v>
      </c>
      <c r="I75" s="1" t="s">
        <v>2282</v>
      </c>
      <c r="J75" s="3" t="s">
        <v>446</v>
      </c>
      <c r="K75" s="7" t="s">
        <v>447</v>
      </c>
      <c r="L75" s="1" t="s">
        <v>252</v>
      </c>
      <c r="M75" s="1" t="s">
        <v>17</v>
      </c>
      <c r="N75" s="64" t="s">
        <v>452</v>
      </c>
      <c r="P75" s="166">
        <v>74</v>
      </c>
      <c r="Q75" s="167" t="s">
        <v>209</v>
      </c>
      <c r="R75" s="167" t="s">
        <v>397</v>
      </c>
      <c r="S75" s="167" t="s">
        <v>17</v>
      </c>
      <c r="T75" s="166" t="str" cm="1">
        <f t="array" ref="T75">IFERROR( INDEX(韻母對照表[注音二式], MATCH(TRUE, EXACT( _xlfn.CONCAT(R75, LEFT(S75,1)), 韻母對照表[十五音識別碼]),0)), "")</f>
        <v>uann</v>
      </c>
      <c r="U75" s="166" t="s">
        <v>2351</v>
      </c>
      <c r="V75" s="166" t="str">
        <f xml:space="preserve"> _xlfn.CONCAT(V74, "ㆷ")</f>
        <v>ㄨㆩㆷ</v>
      </c>
      <c r="W75" s="168"/>
      <c r="X75" s="176">
        <f t="shared" si="2"/>
        <v>4</v>
      </c>
      <c r="Y75" t="str">
        <f t="shared" si="3"/>
        <v xml:space="preserve">      - xform/uann/nuah/</v>
      </c>
    </row>
    <row r="76" spans="1:25" ht="29.25">
      <c r="A76" s="63">
        <v>88</v>
      </c>
      <c r="B76" s="93" t="s">
        <v>2453</v>
      </c>
      <c r="C76" s="16" t="s">
        <v>455</v>
      </c>
      <c r="D76" s="1" t="s">
        <v>454</v>
      </c>
      <c r="E76" s="1" t="s">
        <v>455</v>
      </c>
      <c r="F76" s="1" t="s">
        <v>456</v>
      </c>
      <c r="G76" s="91" t="s">
        <v>1270</v>
      </c>
      <c r="H76" s="1" t="s">
        <v>933</v>
      </c>
      <c r="I76" s="1" t="s">
        <v>2283</v>
      </c>
      <c r="J76" s="9" t="s">
        <v>453</v>
      </c>
      <c r="K76" s="7" t="s">
        <v>447</v>
      </c>
      <c r="L76" s="1" t="s">
        <v>252</v>
      </c>
      <c r="M76" s="1" t="s">
        <v>23</v>
      </c>
      <c r="N76" s="64" t="s">
        <v>457</v>
      </c>
      <c r="P76" s="175">
        <v>75</v>
      </c>
      <c r="Q76" s="167" t="s">
        <v>215</v>
      </c>
      <c r="R76" s="167" t="s">
        <v>405</v>
      </c>
      <c r="S76" s="167" t="s">
        <v>17</v>
      </c>
      <c r="T76" s="166" t="str" cm="1">
        <f t="array" ref="T76">IFERROR( INDEX(韻母對照表[注音二式], MATCH(TRUE, EXACT( _xlfn.CONCAT(R76, LEFT(S76,1)), 韻母對照表[十五音識別碼]),0)), "")</f>
        <v>ng</v>
      </c>
      <c r="U76" s="166" t="s">
        <v>407</v>
      </c>
      <c r="V76" s="166" t="s">
        <v>406</v>
      </c>
      <c r="W76" s="168" t="s">
        <v>403</v>
      </c>
      <c r="X76" s="176">
        <f t="shared" si="2"/>
        <v>2</v>
      </c>
      <c r="Y76" t="str">
        <f t="shared" si="3"/>
        <v xml:space="preserve">      - xform/ng/ng/</v>
      </c>
    </row>
    <row r="77" spans="1:25" ht="39">
      <c r="A77" s="63">
        <v>89</v>
      </c>
      <c r="B77" s="93" t="s">
        <v>2454</v>
      </c>
      <c r="C77" s="16" t="s">
        <v>460</v>
      </c>
      <c r="D77" s="1" t="s">
        <v>460</v>
      </c>
      <c r="E77" s="1" t="s">
        <v>460</v>
      </c>
      <c r="F77" s="1" t="s">
        <v>462</v>
      </c>
      <c r="G77" s="91" t="s">
        <v>1271</v>
      </c>
      <c r="H77" s="1" t="s">
        <v>459</v>
      </c>
      <c r="I77" s="1" t="s">
        <v>2284</v>
      </c>
      <c r="J77" s="3" t="s">
        <v>512</v>
      </c>
      <c r="K77" s="12" t="s">
        <v>458</v>
      </c>
      <c r="L77" s="1" t="s">
        <v>258</v>
      </c>
      <c r="M77" s="1" t="s">
        <v>17</v>
      </c>
      <c r="N77" s="64" t="s">
        <v>463</v>
      </c>
      <c r="P77" s="166">
        <v>76</v>
      </c>
      <c r="Q77" s="167" t="s">
        <v>215</v>
      </c>
      <c r="R77" s="167" t="s">
        <v>405</v>
      </c>
      <c r="S77" s="167" t="s">
        <v>17</v>
      </c>
      <c r="T77" s="166" t="str" cm="1">
        <f t="array" ref="T77">IFERROR( INDEX(韻母對照表[注音二式], MATCH(TRUE, EXACT( _xlfn.CONCAT(R77, LEFT(S77,1)), 韻母對照表[十五音識別碼]),0)), "")</f>
        <v>ng</v>
      </c>
      <c r="U77" s="166" t="s">
        <v>2181</v>
      </c>
      <c r="V77" s="166" t="str">
        <f xml:space="preserve"> _xlfn.CONCAT(V76, "ㆷ")</f>
        <v>ㆭㆷ</v>
      </c>
      <c r="W77" s="168"/>
      <c r="X77" s="176">
        <f t="shared" si="2"/>
        <v>2</v>
      </c>
      <c r="Y77" t="str">
        <f t="shared" si="3"/>
        <v xml:space="preserve">      - xform/ng/ngh/</v>
      </c>
    </row>
    <row r="78" spans="1:25" ht="29.25">
      <c r="A78" s="63">
        <v>91</v>
      </c>
      <c r="B78" s="93" t="s">
        <v>2455</v>
      </c>
      <c r="C78" s="16" t="s">
        <v>467</v>
      </c>
      <c r="D78" s="1" t="s">
        <v>467</v>
      </c>
      <c r="E78" s="1" t="s">
        <v>467</v>
      </c>
      <c r="F78" s="1" t="s">
        <v>469</v>
      </c>
      <c r="G78" s="91" t="s">
        <v>1272</v>
      </c>
      <c r="H78" s="1" t="s">
        <v>466</v>
      </c>
      <c r="I78" s="1" t="s">
        <v>2285</v>
      </c>
      <c r="J78" s="5" t="s">
        <v>464</v>
      </c>
      <c r="K78" s="11" t="s">
        <v>465</v>
      </c>
      <c r="L78" s="1" t="s">
        <v>265</v>
      </c>
      <c r="M78" s="1" t="s">
        <v>17</v>
      </c>
      <c r="N78" s="64" t="s">
        <v>470</v>
      </c>
      <c r="P78" s="175">
        <v>77</v>
      </c>
      <c r="Q78" s="167" t="s">
        <v>221</v>
      </c>
      <c r="R78" s="167" t="s">
        <v>410</v>
      </c>
      <c r="S78" s="167" t="s">
        <v>17</v>
      </c>
      <c r="T78" s="166" t="str" cm="1">
        <f t="array" ref="T78">IFERROR( INDEX(韻母對照表[注音二式], MATCH(TRUE, EXACT( _xlfn.CONCAT(R78, LEFT(S78,1)), 韻母對照表[十五音識別碼]),0)), "")</f>
        <v>e</v>
      </c>
      <c r="U78" s="166" t="s">
        <v>60</v>
      </c>
      <c r="V78" s="166" t="s">
        <v>155</v>
      </c>
      <c r="W78" s="168" t="s">
        <v>409</v>
      </c>
      <c r="X78" s="176">
        <f t="shared" si="2"/>
        <v>1</v>
      </c>
      <c r="Y78" t="str">
        <f t="shared" si="3"/>
        <v xml:space="preserve">      - xform/e/e/</v>
      </c>
    </row>
    <row r="79" spans="1:25" ht="39">
      <c r="A79" s="63">
        <v>92</v>
      </c>
      <c r="B79" s="93" t="s">
        <v>2456</v>
      </c>
      <c r="C79" s="16" t="s">
        <v>472</v>
      </c>
      <c r="D79" s="1" t="s">
        <v>471</v>
      </c>
      <c r="E79" s="1" t="s">
        <v>472</v>
      </c>
      <c r="F79" s="1" t="s">
        <v>473</v>
      </c>
      <c r="G79" s="91" t="s">
        <v>1273</v>
      </c>
      <c r="H79" s="1" t="s">
        <v>934</v>
      </c>
      <c r="I79" s="1" t="s">
        <v>2286</v>
      </c>
      <c r="J79" s="3" t="s">
        <v>512</v>
      </c>
      <c r="K79" s="3" t="s">
        <v>465</v>
      </c>
      <c r="L79" s="1" t="s">
        <v>265</v>
      </c>
      <c r="M79" s="1" t="s">
        <v>23</v>
      </c>
      <c r="N79" s="64" t="s">
        <v>474</v>
      </c>
      <c r="P79" s="166">
        <v>78</v>
      </c>
      <c r="Q79" s="167" t="s">
        <v>221</v>
      </c>
      <c r="R79" s="167" t="s">
        <v>410</v>
      </c>
      <c r="S79" s="167" t="s">
        <v>17</v>
      </c>
      <c r="T79" s="166" t="str" cm="1">
        <f t="array" ref="T79">IFERROR( INDEX(韻母對照表[注音二式], MATCH(TRUE, EXACT( _xlfn.CONCAT(R79, LEFT(S79,1)), 韻母對照表[十五音識別碼]),0)), "")</f>
        <v>e</v>
      </c>
      <c r="U79" s="166" t="s">
        <v>65</v>
      </c>
      <c r="V79" s="166" t="s">
        <v>2193</v>
      </c>
      <c r="W79" s="168" t="s">
        <v>412</v>
      </c>
      <c r="X79" s="176">
        <f t="shared" si="2"/>
        <v>1</v>
      </c>
      <c r="Y79" t="str">
        <f t="shared" si="3"/>
        <v xml:space="preserve">      - xform/e/eh/</v>
      </c>
    </row>
    <row r="80" spans="1:25" ht="29.25">
      <c r="A80" s="63">
        <v>93</v>
      </c>
      <c r="B80" s="93" t="s">
        <v>2457</v>
      </c>
      <c r="C80" s="16" t="s">
        <v>2156</v>
      </c>
      <c r="D80" s="1" t="s">
        <v>479</v>
      </c>
      <c r="E80" s="1" t="s">
        <v>480</v>
      </c>
      <c r="F80" s="1" t="s">
        <v>2156</v>
      </c>
      <c r="G80" s="91" t="s">
        <v>479</v>
      </c>
      <c r="H80" s="1" t="s">
        <v>478</v>
      </c>
      <c r="I80" s="1" t="s">
        <v>2287</v>
      </c>
      <c r="J80" s="5" t="s">
        <v>475</v>
      </c>
      <c r="K80" s="13" t="s">
        <v>477</v>
      </c>
      <c r="L80" s="1" t="s">
        <v>270</v>
      </c>
      <c r="M80" s="1" t="s">
        <v>17</v>
      </c>
      <c r="N80" s="64" t="s">
        <v>481</v>
      </c>
      <c r="P80" s="175">
        <v>79</v>
      </c>
      <c r="Q80" s="167" t="s">
        <v>228</v>
      </c>
      <c r="R80" s="167" t="s">
        <v>415</v>
      </c>
      <c r="S80" s="167" t="s">
        <v>17</v>
      </c>
      <c r="T80" s="166" t="str" cm="1">
        <f t="array" ref="T80">IFERROR( INDEX(韻母對照表[注音二式], MATCH(TRUE, EXACT( _xlfn.CONCAT(R80, LEFT(S80,1)), 韻母對照表[十五音識別碼]),0)), "")</f>
        <v>ainn</v>
      </c>
      <c r="U80" s="166" t="s">
        <v>419</v>
      </c>
      <c r="V80" s="166" t="s">
        <v>416</v>
      </c>
      <c r="W80" s="171" t="s">
        <v>414</v>
      </c>
      <c r="X80" s="176">
        <f t="shared" si="2"/>
        <v>4</v>
      </c>
      <c r="Y80" t="str">
        <f t="shared" si="3"/>
        <v xml:space="preserve">      - xform/ainn/nai/</v>
      </c>
    </row>
    <row r="81" spans="1:25" ht="29.25">
      <c r="A81" s="63">
        <v>94</v>
      </c>
      <c r="B81" s="93" t="s">
        <v>887</v>
      </c>
      <c r="C81" s="16" t="s">
        <v>485</v>
      </c>
      <c r="D81" s="1" t="s">
        <v>485</v>
      </c>
      <c r="E81" s="1" t="s">
        <v>486</v>
      </c>
      <c r="F81" s="1" t="s">
        <v>485</v>
      </c>
      <c r="G81" s="91" t="s">
        <v>485</v>
      </c>
      <c r="H81" s="1" t="s">
        <v>484</v>
      </c>
      <c r="I81" s="1" t="s">
        <v>2288</v>
      </c>
      <c r="J81" s="3" t="s">
        <v>482</v>
      </c>
      <c r="K81" s="13" t="s">
        <v>477</v>
      </c>
      <c r="L81" s="1" t="s">
        <v>270</v>
      </c>
      <c r="M81" s="1" t="s">
        <v>23</v>
      </c>
      <c r="N81" s="64" t="s">
        <v>487</v>
      </c>
      <c r="P81" s="166">
        <v>80</v>
      </c>
      <c r="Q81" s="167" t="s">
        <v>228</v>
      </c>
      <c r="R81" s="167" t="s">
        <v>415</v>
      </c>
      <c r="S81" s="167" t="s">
        <v>17</v>
      </c>
      <c r="T81" s="166" t="str" cm="1">
        <f t="array" ref="T81">IFERROR( INDEX(韻母對照表[注音二式], MATCH(TRUE, EXACT( _xlfn.CONCAT(R81, LEFT(S81,1)), 韻母對照表[十五音識別碼]),0)), "")</f>
        <v>ainn</v>
      </c>
      <c r="U81" s="166" t="s">
        <v>2352</v>
      </c>
      <c r="V81" s="166" t="str">
        <f xml:space="preserve"> _xlfn.CONCAT(V80, "ㆷ")</f>
        <v>ㆮㆷ</v>
      </c>
      <c r="W81" s="171"/>
      <c r="X81" s="176">
        <f t="shared" si="2"/>
        <v>4</v>
      </c>
      <c r="Y81" t="str">
        <f t="shared" si="3"/>
        <v xml:space="preserve">      - xform/ainn/naih/</v>
      </c>
    </row>
    <row r="82" spans="1:25" ht="29.25">
      <c r="A82" s="63">
        <v>95</v>
      </c>
      <c r="B82" s="93" t="s">
        <v>2458</v>
      </c>
      <c r="C82" s="16" t="s">
        <v>491</v>
      </c>
      <c r="D82" s="1" t="s">
        <v>491</v>
      </c>
      <c r="E82" s="1" t="s">
        <v>491</v>
      </c>
      <c r="F82" s="1" t="s">
        <v>493</v>
      </c>
      <c r="G82" s="91" t="s">
        <v>1274</v>
      </c>
      <c r="H82" s="1" t="s">
        <v>490</v>
      </c>
      <c r="I82" s="1" t="s">
        <v>2289</v>
      </c>
      <c r="J82" s="9" t="s">
        <v>488</v>
      </c>
      <c r="K82" s="13" t="s">
        <v>489</v>
      </c>
      <c r="L82" s="1" t="s">
        <v>276</v>
      </c>
      <c r="M82" s="1" t="s">
        <v>17</v>
      </c>
      <c r="N82" s="64" t="s">
        <v>494</v>
      </c>
      <c r="P82" s="175">
        <v>81</v>
      </c>
      <c r="Q82" s="167" t="s">
        <v>233</v>
      </c>
      <c r="R82" s="167" t="s">
        <v>422</v>
      </c>
      <c r="S82" s="167" t="s">
        <v>17</v>
      </c>
      <c r="T82" s="166" t="str" cm="1">
        <f t="array" ref="T82">IFERROR( INDEX(韻母對照表[注音二式], MATCH(TRUE, EXACT( _xlfn.CONCAT(R82, LEFT(S82,1)), 韻母對照表[十五音識別碼]),0)), "")</f>
        <v>oonn</v>
      </c>
      <c r="U82" s="166" t="s">
        <v>427</v>
      </c>
      <c r="V82" s="166" t="s">
        <v>423</v>
      </c>
      <c r="W82" s="171" t="s">
        <v>421</v>
      </c>
      <c r="X82" s="176">
        <f t="shared" si="2"/>
        <v>4</v>
      </c>
      <c r="Y82" t="str">
        <f t="shared" si="3"/>
        <v xml:space="preserve">      - xform/oonn/noo/</v>
      </c>
    </row>
    <row r="83" spans="1:25" ht="29.25">
      <c r="A83" s="63">
        <v>97</v>
      </c>
      <c r="B83" s="93" t="s">
        <v>910</v>
      </c>
      <c r="C83" s="16" t="s">
        <v>425</v>
      </c>
      <c r="D83" s="1" t="s">
        <v>425</v>
      </c>
      <c r="E83" s="1" t="s">
        <v>498</v>
      </c>
      <c r="F83" s="1" t="s">
        <v>427</v>
      </c>
      <c r="G83" s="91" t="s">
        <v>497</v>
      </c>
      <c r="H83" s="1" t="s">
        <v>423</v>
      </c>
      <c r="I83" s="1" t="s">
        <v>2280</v>
      </c>
      <c r="J83" s="3" t="s">
        <v>495</v>
      </c>
      <c r="K83" s="12" t="s">
        <v>496</v>
      </c>
      <c r="L83" s="1" t="s">
        <v>280</v>
      </c>
      <c r="M83" s="1" t="s">
        <v>17</v>
      </c>
      <c r="N83" s="64" t="s">
        <v>499</v>
      </c>
      <c r="P83" s="166">
        <v>82</v>
      </c>
      <c r="Q83" s="167" t="s">
        <v>233</v>
      </c>
      <c r="R83" s="167" t="s">
        <v>422</v>
      </c>
      <c r="S83" s="167" t="s">
        <v>17</v>
      </c>
      <c r="T83" s="166" t="str" cm="1">
        <f t="array" ref="T83">IFERROR( INDEX(韻母對照表[注音二式], MATCH(TRUE, EXACT( _xlfn.CONCAT(R83, LEFT(S83,1)), 韻母對照表[十五音識別碼]),0)), "")</f>
        <v>oonn</v>
      </c>
      <c r="U83" s="166"/>
      <c r="V83" s="166"/>
      <c r="W83" s="171"/>
      <c r="X83" s="176">
        <f t="shared" si="2"/>
        <v>4</v>
      </c>
      <c r="Y83" t="str">
        <f t="shared" si="3"/>
        <v xml:space="preserve">      - xform/oonn//</v>
      </c>
    </row>
    <row r="84" spans="1:25" ht="39">
      <c r="A84" s="63">
        <v>98</v>
      </c>
      <c r="B84" s="93" t="s">
        <v>909</v>
      </c>
      <c r="C84" s="16" t="s">
        <v>501</v>
      </c>
      <c r="D84" s="1" t="s">
        <v>500</v>
      </c>
      <c r="E84" s="1" t="s">
        <v>1250</v>
      </c>
      <c r="F84" s="1" t="s">
        <v>502</v>
      </c>
      <c r="G84" s="91" t="s">
        <v>1275</v>
      </c>
      <c r="H84" s="1" t="s">
        <v>935</v>
      </c>
      <c r="I84" s="1" t="s">
        <v>2290</v>
      </c>
      <c r="J84" s="3" t="s">
        <v>512</v>
      </c>
      <c r="K84" s="12" t="s">
        <v>496</v>
      </c>
      <c r="L84" s="1" t="s">
        <v>280</v>
      </c>
      <c r="M84" s="1" t="s">
        <v>23</v>
      </c>
      <c r="N84" s="64" t="s">
        <v>503</v>
      </c>
      <c r="P84" s="175">
        <v>83</v>
      </c>
      <c r="Q84" s="167" t="s">
        <v>239</v>
      </c>
      <c r="R84" s="167" t="s">
        <v>429</v>
      </c>
      <c r="S84" s="167" t="s">
        <v>17</v>
      </c>
      <c r="T84" s="166" t="str" cm="1">
        <f t="array" ref="T84">IFERROR( INDEX(韻母對照表[注音二式], MATCH(TRUE, EXACT( _xlfn.CONCAT(R84, LEFT(S84,1)), 韻母對照表[十五音識別碼]),0)), "")</f>
        <v>m</v>
      </c>
      <c r="U84" s="166" t="s">
        <v>432</v>
      </c>
      <c r="V84" s="166" t="s">
        <v>431</v>
      </c>
      <c r="W84" s="168" t="s">
        <v>429</v>
      </c>
      <c r="X84" s="176">
        <f t="shared" si="2"/>
        <v>1</v>
      </c>
      <c r="Y84" t="str">
        <f t="shared" si="3"/>
        <v xml:space="preserve">      - xform/m/m/</v>
      </c>
    </row>
    <row r="85" spans="1:25" ht="29.25">
      <c r="A85" s="65">
        <v>99</v>
      </c>
      <c r="B85" s="94" t="s">
        <v>2459</v>
      </c>
      <c r="C85" s="97" t="s">
        <v>507</v>
      </c>
      <c r="D85" s="68" t="s">
        <v>507</v>
      </c>
      <c r="E85" s="68" t="s">
        <v>507</v>
      </c>
      <c r="F85" s="68" t="s">
        <v>509</v>
      </c>
      <c r="G85" s="92" t="s">
        <v>1276</v>
      </c>
      <c r="H85" s="68" t="s">
        <v>506</v>
      </c>
      <c r="I85" s="68" t="s">
        <v>2291</v>
      </c>
      <c r="J85" s="67" t="s">
        <v>504</v>
      </c>
      <c r="K85" s="66" t="s">
        <v>505</v>
      </c>
      <c r="L85" s="68" t="s">
        <v>288</v>
      </c>
      <c r="M85" s="68" t="s">
        <v>17</v>
      </c>
      <c r="N85" s="69" t="s">
        <v>510</v>
      </c>
      <c r="P85" s="166">
        <v>84</v>
      </c>
      <c r="Q85" s="167" t="s">
        <v>239</v>
      </c>
      <c r="R85" s="167" t="s">
        <v>429</v>
      </c>
      <c r="S85" s="167" t="s">
        <v>17</v>
      </c>
      <c r="T85" s="166" t="str" cm="1">
        <f t="array" ref="T85">IFERROR( INDEX(韻母對照表[注音二式], MATCH(TRUE, EXACT( _xlfn.CONCAT(R85, LEFT(S85,1)), 韻母對照表[十五音識別碼]),0)), "")</f>
        <v>m</v>
      </c>
      <c r="U85" s="166"/>
      <c r="V85" s="166"/>
      <c r="W85" s="168"/>
      <c r="X85" s="176">
        <f t="shared" si="2"/>
        <v>1</v>
      </c>
      <c r="Y85" t="str">
        <f t="shared" si="3"/>
        <v xml:space="preserve">      - xform/m//</v>
      </c>
    </row>
    <row r="86" spans="1:25" ht="29.25">
      <c r="P86" s="175">
        <v>85</v>
      </c>
      <c r="Q86" s="167" t="s">
        <v>245</v>
      </c>
      <c r="R86" s="167" t="s">
        <v>436</v>
      </c>
      <c r="S86" s="167" t="s">
        <v>17</v>
      </c>
      <c r="T86" s="166" t="str" cm="1">
        <f t="array" ref="T86">IFERROR( INDEX(韻母對照表[注音二式], MATCH(TRUE, EXACT( _xlfn.CONCAT(R86, LEFT(S86,1)), 韻母對照表[十五音識別碼]),0)), "")</f>
        <v>uang</v>
      </c>
      <c r="U86" s="166" t="s">
        <v>437</v>
      </c>
      <c r="V86" s="166" t="s">
        <v>2206</v>
      </c>
      <c r="W86" s="171" t="s">
        <v>434</v>
      </c>
      <c r="X86" s="176">
        <f t="shared" si="2"/>
        <v>4</v>
      </c>
      <c r="Y86" t="str">
        <f t="shared" si="3"/>
        <v xml:space="preserve">      - xform/uang/uang/</v>
      </c>
    </row>
    <row r="87" spans="1:25" ht="29.25">
      <c r="P87" s="166">
        <v>86</v>
      </c>
      <c r="Q87" s="167" t="s">
        <v>245</v>
      </c>
      <c r="R87" s="167" t="s">
        <v>436</v>
      </c>
      <c r="S87" s="167" t="s">
        <v>23</v>
      </c>
      <c r="T87" s="166" t="str" cm="1">
        <f t="array" ref="T87">IFERROR( INDEX(韻母對照表[注音二式], MATCH(TRUE, EXACT( _xlfn.CONCAT(R87, LEFT(S87,1)), 韻母對照表[十五音識別碼]),0)), "")</f>
        <v>uak</v>
      </c>
      <c r="U87" s="166" t="s">
        <v>443</v>
      </c>
      <c r="V87" s="166" t="s">
        <v>442</v>
      </c>
      <c r="W87" s="171" t="s">
        <v>440</v>
      </c>
      <c r="X87" s="176">
        <f t="shared" si="2"/>
        <v>3</v>
      </c>
      <c r="Y87" t="str">
        <f t="shared" si="3"/>
        <v xml:space="preserve">      - xform/uak/uak/</v>
      </c>
    </row>
    <row r="88" spans="1:25" ht="29.25">
      <c r="P88" s="175">
        <v>87</v>
      </c>
      <c r="Q88" s="167" t="s">
        <v>252</v>
      </c>
      <c r="R88" s="167" t="s">
        <v>447</v>
      </c>
      <c r="S88" s="167" t="s">
        <v>17</v>
      </c>
      <c r="T88" s="166" t="str" cm="1">
        <f t="array" ref="T88">IFERROR( INDEX(韻母對照表[注音二式], MATCH(TRUE, EXACT( _xlfn.CONCAT(R88, LEFT(S88,1)), 韻母對照表[十五音識別碼]),0)), "")</f>
        <v>uainn</v>
      </c>
      <c r="U88" s="166" t="s">
        <v>451</v>
      </c>
      <c r="V88" s="166" t="s">
        <v>448</v>
      </c>
      <c r="W88" s="168" t="s">
        <v>446</v>
      </c>
      <c r="X88" s="176">
        <f t="shared" si="2"/>
        <v>5</v>
      </c>
      <c r="Y88" t="str">
        <f t="shared" si="3"/>
        <v xml:space="preserve">      - xform/uainn/nuai/</v>
      </c>
    </row>
    <row r="89" spans="1:25" ht="29.25">
      <c r="P89" s="166">
        <v>88</v>
      </c>
      <c r="Q89" s="167" t="s">
        <v>252</v>
      </c>
      <c r="R89" s="167" t="s">
        <v>447</v>
      </c>
      <c r="S89" s="167" t="s">
        <v>23</v>
      </c>
      <c r="T89" s="166" t="str" cm="1">
        <f t="array" ref="T89">IFERROR( INDEX(韻母對照表[注音二式], MATCH(TRUE, EXACT( _xlfn.CONCAT(R89, LEFT(S89,1)), 韻母對照表[十五音識別碼]),0)), "")</f>
        <v>uainnh</v>
      </c>
      <c r="U89" s="166" t="s">
        <v>456</v>
      </c>
      <c r="V89" s="166" t="s">
        <v>2208</v>
      </c>
      <c r="W89" s="172" t="s">
        <v>453</v>
      </c>
      <c r="X89" s="176">
        <f t="shared" si="2"/>
        <v>6</v>
      </c>
      <c r="Y89" t="str">
        <f t="shared" si="3"/>
        <v xml:space="preserve">      - xform/uainnh/nuaih/</v>
      </c>
    </row>
    <row r="90" spans="1:25" ht="29.25">
      <c r="P90" s="175">
        <v>89</v>
      </c>
      <c r="Q90" s="167" t="s">
        <v>258</v>
      </c>
      <c r="R90" s="167" t="s">
        <v>458</v>
      </c>
      <c r="S90" s="167" t="s">
        <v>17</v>
      </c>
      <c r="T90" s="166" t="str" cm="1">
        <f t="array" ref="T90">IFERROR( INDEX(韻母對照表[注音二式], MATCH(TRUE, EXACT( _xlfn.CONCAT(R90, LEFT(S90,1)), 韻母對照表[十五音識別碼]),0)), "")</f>
        <v>uenn</v>
      </c>
      <c r="U90" s="166" t="s">
        <v>462</v>
      </c>
      <c r="V90" s="166" t="s">
        <v>459</v>
      </c>
      <c r="W90" s="168" t="s">
        <v>2344</v>
      </c>
      <c r="X90" s="176">
        <f t="shared" si="2"/>
        <v>4</v>
      </c>
      <c r="Y90" t="str">
        <f t="shared" si="3"/>
        <v xml:space="preserve">      - xform/uenn/nue/</v>
      </c>
    </row>
    <row r="91" spans="1:25" ht="29.25">
      <c r="P91" s="166">
        <v>90</v>
      </c>
      <c r="Q91" s="167" t="s">
        <v>258</v>
      </c>
      <c r="R91" s="167"/>
      <c r="S91" s="167"/>
      <c r="T91" s="166" t="str" cm="1">
        <f t="array" ref="T91">IFERROR( INDEX(韻母對照表[注音二式], MATCH(TRUE, EXACT( _xlfn.CONCAT(R91, LEFT(S91,1)), 韻母對照表[十五音識別碼]),0)), "")</f>
        <v/>
      </c>
      <c r="U91" s="166"/>
      <c r="V91" s="166"/>
      <c r="W91" s="168"/>
      <c r="X91" s="176">
        <f t="shared" si="2"/>
        <v>0</v>
      </c>
      <c r="Y91" t="str">
        <f t="shared" si="3"/>
        <v xml:space="preserve">      - xform///</v>
      </c>
    </row>
    <row r="92" spans="1:25" ht="29.25">
      <c r="P92" s="175">
        <v>91</v>
      </c>
      <c r="Q92" s="167" t="s">
        <v>265</v>
      </c>
      <c r="R92" s="167" t="s">
        <v>465</v>
      </c>
      <c r="S92" s="167" t="s">
        <v>17</v>
      </c>
      <c r="T92" s="166" t="str" cm="1">
        <f t="array" ref="T92">IFERROR( INDEX(韻母對照表[注音二式], MATCH(TRUE, EXACT( _xlfn.CONCAT(R92, LEFT(S92,1)), 韻母對照表[十五音識別碼]),0)), "")</f>
        <v>iaunn</v>
      </c>
      <c r="U92" s="166" t="s">
        <v>469</v>
      </c>
      <c r="V92" s="166" t="s">
        <v>466</v>
      </c>
      <c r="W92" s="170" t="s">
        <v>464</v>
      </c>
      <c r="X92" s="176">
        <f t="shared" si="2"/>
        <v>5</v>
      </c>
      <c r="Y92" t="str">
        <f t="shared" si="3"/>
        <v xml:space="preserve">      - xform/iaunn/niao/</v>
      </c>
    </row>
    <row r="93" spans="1:25" ht="29.25">
      <c r="P93" s="166">
        <v>92</v>
      </c>
      <c r="Q93" s="167" t="s">
        <v>265</v>
      </c>
      <c r="R93" s="167" t="s">
        <v>465</v>
      </c>
      <c r="S93" s="167" t="s">
        <v>23</v>
      </c>
      <c r="T93" s="166" t="str" cm="1">
        <f t="array" ref="T93">IFERROR( INDEX(韻母對照表[注音二式], MATCH(TRUE, EXACT( _xlfn.CONCAT(R93, LEFT(S93,1)), 韻母對照表[十五音識別碼]),0)), "")</f>
        <v>iaunnh</v>
      </c>
      <c r="U93" s="166" t="s">
        <v>473</v>
      </c>
      <c r="V93" s="166" t="s">
        <v>2343</v>
      </c>
      <c r="W93" s="168" t="s">
        <v>2344</v>
      </c>
      <c r="X93" s="176">
        <f t="shared" si="2"/>
        <v>6</v>
      </c>
      <c r="Y93" t="str">
        <f t="shared" si="3"/>
        <v xml:space="preserve">      - xform/iaunnh/niaoh/</v>
      </c>
    </row>
    <row r="94" spans="1:25" ht="29.25">
      <c r="P94" s="175">
        <v>93</v>
      </c>
      <c r="Q94" s="167" t="s">
        <v>270</v>
      </c>
      <c r="R94" s="167" t="s">
        <v>477</v>
      </c>
      <c r="S94" s="167" t="s">
        <v>17</v>
      </c>
      <c r="T94" s="166" t="str" cm="1">
        <f t="array" ref="T94">IFERROR( INDEX(韻母對照表[注音二式], MATCH(TRUE, EXACT( _xlfn.CONCAT(R94, LEFT(S94,1)), 韻母對照表[十五音識別碼]),0)), "")</f>
        <v>oom</v>
      </c>
      <c r="U94" s="166" t="s">
        <v>2353</v>
      </c>
      <c r="V94" s="166" t="s">
        <v>478</v>
      </c>
      <c r="W94" s="170" t="s">
        <v>475</v>
      </c>
      <c r="X94" s="176">
        <f t="shared" si="2"/>
        <v>3</v>
      </c>
      <c r="Y94" t="str">
        <f t="shared" si="3"/>
        <v xml:space="preserve">      - xform/oom/oom/</v>
      </c>
    </row>
    <row r="95" spans="1:25" ht="29.25">
      <c r="P95" s="166">
        <v>94</v>
      </c>
      <c r="Q95" s="167" t="s">
        <v>270</v>
      </c>
      <c r="R95" s="167" t="s">
        <v>477</v>
      </c>
      <c r="S95" s="167" t="s">
        <v>23</v>
      </c>
      <c r="T95" s="166" t="str" cm="1">
        <f t="array" ref="T95">IFERROR( INDEX(韻母對照表[注音二式], MATCH(TRUE, EXACT( _xlfn.CONCAT(R95, LEFT(S95,1)), 韻母對照表[十五音識別碼]),0)), "")</f>
        <v>oop</v>
      </c>
      <c r="U95" s="166" t="s">
        <v>2354</v>
      </c>
      <c r="V95" s="166" t="s">
        <v>484</v>
      </c>
      <c r="W95" s="168" t="s">
        <v>482</v>
      </c>
      <c r="X95" s="176">
        <f t="shared" si="2"/>
        <v>3</v>
      </c>
      <c r="Y95" t="str">
        <f t="shared" si="3"/>
        <v xml:space="preserve">      - xform/oop/oop/</v>
      </c>
    </row>
    <row r="96" spans="1:25" ht="29.25">
      <c r="P96" s="175">
        <v>95</v>
      </c>
      <c r="Q96" s="167" t="s">
        <v>276</v>
      </c>
      <c r="R96" s="167" t="s">
        <v>489</v>
      </c>
      <c r="S96" s="167" t="s">
        <v>17</v>
      </c>
      <c r="T96" s="166" t="str" cm="1">
        <f t="array" ref="T96">IFERROR( INDEX(韻母對照表[注音二式], MATCH(TRUE, EXACT( _xlfn.CONCAT(R96, LEFT(S96,1)), 韻母對照表[十五音識別碼]),0)), "")</f>
        <v>aunn</v>
      </c>
      <c r="U96" s="166" t="s">
        <v>493</v>
      </c>
      <c r="V96" s="166" t="s">
        <v>490</v>
      </c>
      <c r="W96" s="172" t="s">
        <v>488</v>
      </c>
      <c r="X96" s="176">
        <f t="shared" si="2"/>
        <v>4</v>
      </c>
      <c r="Y96" t="str">
        <f t="shared" si="3"/>
        <v xml:space="preserve">      - xform/aunn/nao/</v>
      </c>
    </row>
    <row r="97" spans="13:25" ht="29.25">
      <c r="P97" s="166">
        <v>96</v>
      </c>
      <c r="Q97" s="167" t="s">
        <v>276</v>
      </c>
      <c r="R97" s="167"/>
      <c r="S97" s="167"/>
      <c r="T97" s="166" t="str" cm="1">
        <f t="array" ref="T97">IFERROR( INDEX(韻母對照表[注音二式], MATCH(TRUE, EXACT( _xlfn.CONCAT(R97, LEFT(S97,1)), 韻母對照表[十五音識別碼]),0)), "")</f>
        <v/>
      </c>
      <c r="U97" s="166"/>
      <c r="V97" s="166"/>
      <c r="W97" s="172"/>
      <c r="X97" s="176">
        <f t="shared" si="2"/>
        <v>0</v>
      </c>
      <c r="Y97" t="str">
        <f t="shared" si="3"/>
        <v xml:space="preserve">      - xform///</v>
      </c>
    </row>
    <row r="98" spans="13:25" ht="29.25">
      <c r="P98" s="175">
        <v>97</v>
      </c>
      <c r="Q98" s="167" t="s">
        <v>280</v>
      </c>
      <c r="R98" s="167" t="s">
        <v>496</v>
      </c>
      <c r="S98" s="167" t="s">
        <v>17</v>
      </c>
      <c r="T98" s="166" t="str" cm="1">
        <f t="array" ref="T98">IFERROR( INDEX(韻母對照表[注音二式], MATCH(TRUE, EXACT( _xlfn.CONCAT(R98, LEFT(S98,1)), 韻母對照表[十五音識別碼]),0)), "")</f>
        <v>ornn</v>
      </c>
      <c r="U98" s="166" t="s">
        <v>2355</v>
      </c>
      <c r="V98" s="166" t="s">
        <v>423</v>
      </c>
      <c r="W98" s="168" t="s">
        <v>495</v>
      </c>
      <c r="X98" s="176">
        <f t="shared" si="2"/>
        <v>4</v>
      </c>
      <c r="Y98" t="str">
        <f t="shared" si="3"/>
        <v xml:space="preserve">      - xform/ornn/no/</v>
      </c>
    </row>
    <row r="99" spans="13:25" ht="29.25">
      <c r="P99" s="166">
        <v>98</v>
      </c>
      <c r="Q99" s="167" t="s">
        <v>280</v>
      </c>
      <c r="R99" s="167" t="s">
        <v>496</v>
      </c>
      <c r="S99" s="167" t="s">
        <v>23</v>
      </c>
      <c r="T99" s="166" t="str" cm="1">
        <f t="array" ref="T99">IFERROR( INDEX(韻母對照表[注音二式], MATCH(TRUE, EXACT( _xlfn.CONCAT(R99, LEFT(S99,1)), 韻母對照表[十五音識別碼]),0)), "")</f>
        <v>onnh</v>
      </c>
      <c r="U99" s="166" t="s">
        <v>2356</v>
      </c>
      <c r="V99" s="166" t="s">
        <v>2203</v>
      </c>
      <c r="W99" s="168" t="s">
        <v>2344</v>
      </c>
      <c r="X99" s="176">
        <f t="shared" si="2"/>
        <v>4</v>
      </c>
      <c r="Y99" t="str">
        <f t="shared" si="3"/>
        <v xml:space="preserve">      - xform/onnh/noh/</v>
      </c>
    </row>
    <row r="100" spans="13:25" ht="29.25">
      <c r="P100" s="175">
        <v>99</v>
      </c>
      <c r="Q100" s="167" t="s">
        <v>288</v>
      </c>
      <c r="R100" s="167" t="s">
        <v>505</v>
      </c>
      <c r="S100" s="167" t="s">
        <v>17</v>
      </c>
      <c r="T100" s="166" t="str" cm="1">
        <f t="array" ref="T100">IFERROR( INDEX(韻母對照表[注音二式], MATCH(TRUE, EXACT( _xlfn.CONCAT(R100, LEFT(S100,1)), 韻母對照表[十五音識別碼]),0)), "")</f>
        <v>iunn</v>
      </c>
      <c r="U100" s="166" t="s">
        <v>509</v>
      </c>
      <c r="V100" s="166" t="s">
        <v>506</v>
      </c>
      <c r="W100" s="168" t="s">
        <v>504</v>
      </c>
      <c r="X100" s="176">
        <f t="shared" si="2"/>
        <v>4</v>
      </c>
      <c r="Y100" t="str">
        <f t="shared" si="3"/>
        <v xml:space="preserve">      - xform/iunn/niu/</v>
      </c>
    </row>
    <row r="101" spans="13:25" ht="29.25">
      <c r="P101" s="175">
        <v>100</v>
      </c>
      <c r="Q101" s="167" t="s">
        <v>288</v>
      </c>
      <c r="R101" s="167"/>
      <c r="S101" s="167"/>
      <c r="T101" s="166" t="str" cm="1">
        <f t="array" ref="T101">IFERROR( INDEX(韻母對照表[注音二式], MATCH(TRUE, EXACT( _xlfn.CONCAT(R101, LEFT(S101,1)), 韻母對照表[十五音識別碼]),0)), "")</f>
        <v/>
      </c>
      <c r="U101" s="166"/>
      <c r="V101" s="166"/>
      <c r="W101" s="168"/>
      <c r="X101" s="176">
        <f t="shared" si="2"/>
        <v>0</v>
      </c>
      <c r="Y101" t="str">
        <f t="shared" si="3"/>
        <v xml:space="preserve">      - xform///</v>
      </c>
    </row>
    <row r="102" spans="13:25">
      <c r="M102" s="165"/>
      <c r="N102" s="165"/>
      <c r="O102" s="165"/>
      <c r="P102" s="165"/>
      <c r="Q102" s="165"/>
      <c r="X102" s="165"/>
    </row>
  </sheetData>
  <phoneticPr fontId="4" type="noConversion"/>
  <conditionalFormatting sqref="P2:X101">
    <cfRule type="expression" dxfId="1" priority="1">
      <formula xml:space="preserve"> MOD($P2,2)=0</formula>
    </cfRule>
    <cfRule type="expression" dxfId="0" priority="2">
      <formula xml:space="preserve"> MOD($P2,2)=1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9FD9F1-DD5F-429F-8F70-B42990D3F146}">
  <dimension ref="A1:AU101"/>
  <sheetViews>
    <sheetView showGridLines="0" workbookViewId="0">
      <pane ySplit="3" topLeftCell="A15" activePane="bottomLeft" state="frozen"/>
      <selection pane="bottomLeft" activeCell="J19" sqref="J19:J22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customWidth="1" outlineLevel="1"/>
    <col min="9" max="10" width="10.25" style="52" customWidth="1"/>
    <col min="11" max="11" width="3.5" style="52" customWidth="1"/>
    <col min="12" max="12" width="5.164062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>
      <c r="A1" s="51" t="s">
        <v>2511</v>
      </c>
      <c r="C1" s="51"/>
      <c r="D1" s="51"/>
      <c r="H1" s="51"/>
      <c r="I1" s="51"/>
      <c r="J1" s="51"/>
      <c r="L1" s="51"/>
      <c r="Q1" s="124"/>
    </row>
    <row r="2" spans="1:47" ht="16.5" customHeight="1" thickBot="1">
      <c r="A2" s="143"/>
      <c r="C2" s="51"/>
      <c r="D2" s="51"/>
      <c r="H2" s="51"/>
      <c r="I2" s="51"/>
      <c r="J2" s="51"/>
      <c r="L2" s="51"/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141" t="s">
        <v>878</v>
      </c>
      <c r="C3" s="141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1311</v>
      </c>
      <c r="K3" s="54"/>
      <c r="L3" s="59" t="s">
        <v>899</v>
      </c>
      <c r="M3" s="59" t="str">
        <f t="shared" ref="M3:M18" si="0">E3</f>
        <v>台語注音二式</v>
      </c>
      <c r="N3" s="59" t="str">
        <f t="shared" ref="N3:N18" si="1">I3</f>
        <v>方音符號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v>1</v>
      </c>
      <c r="B4" s="140" t="s">
        <v>316</v>
      </c>
      <c r="C4" s="142" t="s">
        <v>316</v>
      </c>
      <c r="D4" s="58" t="s">
        <v>316</v>
      </c>
      <c r="E4" s="58" t="s">
        <v>316</v>
      </c>
      <c r="F4" s="58" t="s">
        <v>316</v>
      </c>
      <c r="G4" s="61" t="s">
        <v>316</v>
      </c>
      <c r="H4" s="55" t="s">
        <v>319</v>
      </c>
      <c r="I4" s="58" t="s">
        <v>318</v>
      </c>
      <c r="J4" s="58"/>
      <c r="K4" s="74"/>
      <c r="L4" s="55">
        <f t="shared" ref="L4:L35" si="2" xml:space="preserve"> LEN(M4)</f>
        <v>1</v>
      </c>
      <c r="M4" s="58" t="str">
        <f t="shared" si="0"/>
        <v>a</v>
      </c>
      <c r="N4" s="58" t="str">
        <f t="shared" si="1"/>
        <v>ㄚ</v>
      </c>
      <c r="P4" s="122" t="str">
        <f xml:space="preserve"> _xlfn.CONCAT(M4, "(\d)")</f>
        <v>a(\d)</v>
      </c>
      <c r="Q4" s="125" t="s">
        <v>316</v>
      </c>
      <c r="R4" s="125">
        <f xml:space="preserve"> IFERROR( IF(Q4="", "", SEARCH(Q4, $M4)), "")</f>
        <v>1</v>
      </c>
      <c r="S4" s="122" t="str">
        <f xml:space="preserve"> IFERROR( _xlfn.CONCAT(LEFT(M4,R4-1), "》", MID(M4,R4,1), "${1}", RIGHT(M4, LEN(M4)-R4)), "" )</f>
        <v>》a${1}</v>
      </c>
      <c r="T4" s="56"/>
      <c r="U4" s="57" t="str">
        <f xml:space="preserve"> IF(AND(N4&lt;&gt;"", M4&lt;&gt;""), "    - xform/》" &amp; P4 &amp;  "/"  &amp; S4 &amp;  "/", "")</f>
        <v xml:space="preserve">    - xform/》a(\d)/》a${1}/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3" xml:space="preserve"> _xlfn.CONCAT($W4, IF(Y$3="", "", _xlfn.UNICHAR( HEX2DEC( RIGHT(Y$3,4)))))</f>
        <v>á</v>
      </c>
      <c r="Z4" s="133" t="str">
        <f t="shared" si="3"/>
        <v>à</v>
      </c>
      <c r="AA4" s="133" t="str">
        <f t="shared" si="3"/>
        <v>a</v>
      </c>
      <c r="AB4" s="133" t="str">
        <f t="shared" si="3"/>
        <v>ǎ</v>
      </c>
      <c r="AC4" s="133" t="str">
        <f t="shared" si="3"/>
        <v>á</v>
      </c>
      <c r="AD4" s="133" t="str">
        <f t="shared" si="3"/>
        <v>ā</v>
      </c>
      <c r="AE4" s="133" t="str">
        <f t="shared" si="3"/>
        <v>a̍</v>
      </c>
      <c r="AF4" s="133" t="str">
        <f t="shared" si="3"/>
        <v>a̋</v>
      </c>
      <c r="AG4" s="133" t="str">
        <f t="shared" si="3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4" xml:space="preserve"> _xlfn.CONCAT("    - xform/》", $W4, Z$2, "/", Z4, "/")</f>
        <v xml:space="preserve">    - xform/》a3/à/</v>
      </c>
      <c r="AL4" s="135" t="str">
        <f t="shared" si="4"/>
        <v xml:space="preserve">    - xform/》a4/a/</v>
      </c>
      <c r="AM4" s="135" t="str">
        <f t="shared" si="4"/>
        <v xml:space="preserve">    - xform/》a5/ǎ/</v>
      </c>
      <c r="AN4" s="135" t="str">
        <f t="shared" si="4"/>
        <v xml:space="preserve">    - xform/》a6/á/</v>
      </c>
      <c r="AO4" s="135" t="str">
        <f t="shared" si="4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R10" si="5" xml:space="preserve"> _xlfn.CONCAT("    - xform/》", $W4, AF$2, "/", AF4, "/")</f>
        <v xml:space="preserve">    - xform/》a9/a̋/</v>
      </c>
      <c r="AR4" s="135" t="str">
        <f t="shared" si="5"/>
        <v xml:space="preserve">    - xform/》a9/å/</v>
      </c>
      <c r="AS4" s="133"/>
      <c r="AT4" s="133"/>
      <c r="AU4" s="130"/>
    </row>
    <row r="5" spans="1:47" ht="27.75" thickBot="1">
      <c r="A5" s="58">
        <v>2</v>
      </c>
      <c r="B5" s="140" t="s">
        <v>294</v>
      </c>
      <c r="C5" s="142" t="s">
        <v>297</v>
      </c>
      <c r="D5" s="58" t="s">
        <v>297</v>
      </c>
      <c r="E5" s="58" t="s">
        <v>297</v>
      </c>
      <c r="F5" s="58" t="s">
        <v>299</v>
      </c>
      <c r="G5" s="61" t="s">
        <v>298</v>
      </c>
      <c r="H5" s="55" t="s">
        <v>300</v>
      </c>
      <c r="I5" s="58" t="s">
        <v>296</v>
      </c>
      <c r="J5" s="136" t="s">
        <v>1312</v>
      </c>
      <c r="K5" s="74"/>
      <c r="L5" s="55">
        <f t="shared" si="2"/>
        <v>3</v>
      </c>
      <c r="M5" s="58" t="str">
        <f t="shared" si="0"/>
        <v>ann</v>
      </c>
      <c r="N5" s="58" t="str">
        <f t="shared" si="1"/>
        <v>ㆩ</v>
      </c>
      <c r="P5" s="122" t="str">
        <f t="shared" ref="P5:P68" si="6" xml:space="preserve"> _xlfn.CONCAT(M5, "(\d)")</f>
        <v>ann(\d)</v>
      </c>
      <c r="Q5" s="127" t="s">
        <v>316</v>
      </c>
      <c r="R5" s="125">
        <f t="shared" ref="R5:R68" si="7" xml:space="preserve"> IFERROR( IF(Q5="", "", SEARCH(Q5, $M5)), "")</f>
        <v>1</v>
      </c>
      <c r="S5" s="122" t="str">
        <f xml:space="preserve"> IFERROR( _xlfn.CONCAT(LEFT(M5,R5-1), "》", MID(M5,R5,1), "${1}", RIGHT(M5, LEN(M5)-R5)), "" )</f>
        <v>》a${1}nn</v>
      </c>
      <c r="T5" s="56"/>
      <c r="U5" s="57" t="str">
        <f t="shared" ref="U5:U68" si="8" xml:space="preserve"> IF(AND(N5&lt;&gt;"", M5&lt;&gt;""), "    - xform/》" &amp; P5 &amp;  "/"  &amp; S5 &amp;  "/", "")</f>
        <v xml:space="preserve">    - xform/》ann(\d)/》a${1}nn/</v>
      </c>
      <c r="W5" s="130" t="s">
        <v>1229</v>
      </c>
      <c r="X5" s="133" t="str">
        <f t="shared" ref="X5:AG10" si="9" xml:space="preserve"> _xlfn.CONCAT($W5, IF(X$3="", "", _xlfn.UNICHAR( HEX2DEC( RIGHT(X$3,4)))))</f>
        <v>i</v>
      </c>
      <c r="Y5" s="133" t="str">
        <f t="shared" si="9"/>
        <v>í</v>
      </c>
      <c r="Z5" s="133" t="str">
        <f t="shared" si="9"/>
        <v>ì</v>
      </c>
      <c r="AA5" s="133" t="str">
        <f t="shared" si="9"/>
        <v>i</v>
      </c>
      <c r="AB5" s="133" t="str">
        <f t="shared" si="9"/>
        <v>ǐ</v>
      </c>
      <c r="AC5" s="133" t="str">
        <f t="shared" si="9"/>
        <v>í</v>
      </c>
      <c r="AD5" s="133" t="str">
        <f t="shared" si="9"/>
        <v>ī</v>
      </c>
      <c r="AE5" s="133" t="str">
        <f t="shared" si="9"/>
        <v>i̍</v>
      </c>
      <c r="AF5" s="133" t="str">
        <f t="shared" si="9"/>
        <v>i̋</v>
      </c>
      <c r="AG5" s="133" t="str">
        <f t="shared" si="9"/>
        <v>i̊</v>
      </c>
      <c r="AI5" s="135" t="str">
        <f t="shared" ref="AI5:AJ10" si="10" xml:space="preserve"> _xlfn.CONCAT("    - xform/》", $W5, X$2, "/", X5, "/")</f>
        <v xml:space="preserve">    - xform/》i1/i/</v>
      </c>
      <c r="AJ5" s="135" t="str">
        <f t="shared" si="10"/>
        <v xml:space="preserve">    - xform/》i2/í/</v>
      </c>
      <c r="AK5" s="135" t="str">
        <f t="shared" si="4"/>
        <v xml:space="preserve">    - xform/》i3/ì/</v>
      </c>
      <c r="AL5" s="135" t="str">
        <f t="shared" si="4"/>
        <v xml:space="preserve">    - xform/》i4/i/</v>
      </c>
      <c r="AM5" s="135" t="str">
        <f t="shared" si="4"/>
        <v xml:space="preserve">    - xform/》i5/ǐ/</v>
      </c>
      <c r="AN5" s="135" t="str">
        <f t="shared" si="4"/>
        <v xml:space="preserve">    - xform/》i6/í/</v>
      </c>
      <c r="AO5" s="135" t="str">
        <f t="shared" si="4"/>
        <v xml:space="preserve">    - xform/》i7/ī/</v>
      </c>
      <c r="AP5" s="135" t="str">
        <f t="shared" si="4"/>
        <v xml:space="preserve">    - xform/》i8/i̍/</v>
      </c>
      <c r="AQ5" s="135" t="str">
        <f t="shared" si="5"/>
        <v xml:space="preserve">    - xform/》i9/i̋/</v>
      </c>
      <c r="AR5" s="135" t="str">
        <f t="shared" si="5"/>
        <v xml:space="preserve">    - xform/》i9/i̊/</v>
      </c>
      <c r="AS5" s="133"/>
      <c r="AT5" s="133"/>
      <c r="AU5" s="130"/>
    </row>
    <row r="6" spans="1:47" ht="27.75" thickBot="1">
      <c r="A6" s="58">
        <v>3</v>
      </c>
      <c r="B6" s="140" t="s">
        <v>833</v>
      </c>
      <c r="C6" s="142" t="s">
        <v>321</v>
      </c>
      <c r="D6" s="58" t="s">
        <v>321</v>
      </c>
      <c r="E6" s="58" t="s">
        <v>321</v>
      </c>
      <c r="F6" s="58" t="s">
        <v>321</v>
      </c>
      <c r="G6" s="61" t="s">
        <v>321</v>
      </c>
      <c r="H6" s="55" t="s">
        <v>322</v>
      </c>
      <c r="I6" s="58" t="s">
        <v>1298</v>
      </c>
      <c r="J6" s="58"/>
      <c r="K6" s="74"/>
      <c r="L6" s="55">
        <f t="shared" si="2"/>
        <v>2</v>
      </c>
      <c r="M6" s="58" t="str">
        <f t="shared" si="0"/>
        <v>ah</v>
      </c>
      <c r="N6" s="58" t="str">
        <f t="shared" si="1"/>
        <v>ㄚㆷ</v>
      </c>
      <c r="P6" s="122" t="str">
        <f t="shared" si="6"/>
        <v>ah(\d)</v>
      </c>
      <c r="Q6" s="125" t="s">
        <v>316</v>
      </c>
      <c r="R6" s="125">
        <f t="shared" si="7"/>
        <v>1</v>
      </c>
      <c r="S6" s="122" t="str">
        <f t="shared" ref="S6:S69" si="11" xml:space="preserve"> IFERROR( _xlfn.CONCAT(LEFT(M6,R6-1), "》", MID(M6,R6,1), "${1}", RIGHT(M6, LEN(M6)-R6)), "" )</f>
        <v>》a${1}h</v>
      </c>
      <c r="T6" s="56"/>
      <c r="U6" s="57" t="str">
        <f t="shared" si="8"/>
        <v xml:space="preserve">    - xform/》ah(\d)/》a${1}h/</v>
      </c>
      <c r="W6" s="130" t="s">
        <v>1227</v>
      </c>
      <c r="X6" s="133" t="str">
        <f t="shared" si="9"/>
        <v>u</v>
      </c>
      <c r="Y6" s="133" t="str">
        <f t="shared" si="9"/>
        <v>ú</v>
      </c>
      <c r="Z6" s="133" t="str">
        <f t="shared" si="9"/>
        <v>ù</v>
      </c>
      <c r="AA6" s="133" t="str">
        <f t="shared" si="9"/>
        <v>u</v>
      </c>
      <c r="AB6" s="133" t="str">
        <f t="shared" si="9"/>
        <v>ǔ</v>
      </c>
      <c r="AC6" s="133" t="str">
        <f t="shared" si="9"/>
        <v>ú</v>
      </c>
      <c r="AD6" s="133" t="str">
        <f t="shared" si="9"/>
        <v>ū</v>
      </c>
      <c r="AE6" s="133" t="str">
        <f t="shared" si="9"/>
        <v>u̍</v>
      </c>
      <c r="AF6" s="133" t="str">
        <f t="shared" si="9"/>
        <v>ű</v>
      </c>
      <c r="AG6" s="133" t="str">
        <f t="shared" si="9"/>
        <v>ů</v>
      </c>
      <c r="AI6" s="135" t="str">
        <f t="shared" si="10"/>
        <v xml:space="preserve">    - xform/》u1/u/</v>
      </c>
      <c r="AJ6" s="135" t="str">
        <f t="shared" si="10"/>
        <v xml:space="preserve">    - xform/》u2/ú/</v>
      </c>
      <c r="AK6" s="135" t="str">
        <f t="shared" si="4"/>
        <v xml:space="preserve">    - xform/》u3/ù/</v>
      </c>
      <c r="AL6" s="135" t="str">
        <f t="shared" si="4"/>
        <v xml:space="preserve">    - xform/》u4/u/</v>
      </c>
      <c r="AM6" s="135" t="str">
        <f t="shared" si="4"/>
        <v xml:space="preserve">    - xform/》u5/ǔ/</v>
      </c>
      <c r="AN6" s="135" t="str">
        <f t="shared" si="4"/>
        <v xml:space="preserve">    - xform/》u6/ú/</v>
      </c>
      <c r="AO6" s="135" t="str">
        <f t="shared" si="4"/>
        <v xml:space="preserve">    - xform/》u7/ū/</v>
      </c>
      <c r="AP6" s="135" t="str">
        <f t="shared" si="4"/>
        <v xml:space="preserve">    - xform/》u8/u̍/</v>
      </c>
      <c r="AQ6" s="135" t="str">
        <f t="shared" si="5"/>
        <v xml:space="preserve">    - xform/》u9/ű/</v>
      </c>
      <c r="AR6" s="135" t="str">
        <f t="shared" si="5"/>
        <v xml:space="preserve">    - xform/》u9/ů/</v>
      </c>
      <c r="AS6" s="133"/>
      <c r="AT6" s="133"/>
      <c r="AU6" s="130"/>
    </row>
    <row r="7" spans="1:47" ht="27.75" thickBot="1">
      <c r="A7" s="58">
        <v>4</v>
      </c>
      <c r="B7" s="140" t="s">
        <v>2495</v>
      </c>
      <c r="C7" s="142" t="s">
        <v>304</v>
      </c>
      <c r="D7" s="58" t="s">
        <v>303</v>
      </c>
      <c r="E7" s="58" t="s">
        <v>304</v>
      </c>
      <c r="F7" s="75" t="s">
        <v>305</v>
      </c>
      <c r="G7" s="61" t="s">
        <v>901</v>
      </c>
      <c r="H7" s="55" t="s">
        <v>306</v>
      </c>
      <c r="I7" s="58" t="s">
        <v>1321</v>
      </c>
      <c r="J7" s="136" t="s">
        <v>1312</v>
      </c>
      <c r="K7" s="74"/>
      <c r="L7" s="55">
        <f t="shared" si="2"/>
        <v>4</v>
      </c>
      <c r="M7" s="58" t="str">
        <f t="shared" si="0"/>
        <v>annh</v>
      </c>
      <c r="N7" s="58" t="str">
        <f t="shared" si="1"/>
        <v>ㆩㆷ</v>
      </c>
      <c r="P7" s="122" t="str">
        <f t="shared" si="6"/>
        <v>annh(\d)</v>
      </c>
      <c r="Q7" s="125" t="s">
        <v>316</v>
      </c>
      <c r="R7" s="125">
        <f t="shared" si="7"/>
        <v>1</v>
      </c>
      <c r="S7" s="122" t="str">
        <f t="shared" si="11"/>
        <v>》a${1}nnh</v>
      </c>
      <c r="T7" s="56"/>
      <c r="U7" s="57" t="str">
        <f t="shared" si="8"/>
        <v xml:space="preserve">    - xform/》annh(\d)/》a${1}nnh/</v>
      </c>
      <c r="W7" s="130" t="s">
        <v>1181</v>
      </c>
      <c r="X7" s="133" t="str">
        <f t="shared" si="9"/>
        <v>e</v>
      </c>
      <c r="Y7" s="133" t="str">
        <f t="shared" si="9"/>
        <v>é</v>
      </c>
      <c r="Z7" s="133" t="str">
        <f t="shared" si="9"/>
        <v>è</v>
      </c>
      <c r="AA7" s="133" t="str">
        <f t="shared" si="9"/>
        <v>e</v>
      </c>
      <c r="AB7" s="133" t="str">
        <f t="shared" si="9"/>
        <v>ě</v>
      </c>
      <c r="AC7" s="133" t="str">
        <f t="shared" si="9"/>
        <v>é</v>
      </c>
      <c r="AD7" s="133" t="str">
        <f t="shared" si="9"/>
        <v>ē</v>
      </c>
      <c r="AE7" s="133" t="str">
        <f t="shared" si="9"/>
        <v>e̍</v>
      </c>
      <c r="AF7" s="133" t="str">
        <f t="shared" si="9"/>
        <v>e̋</v>
      </c>
      <c r="AG7" s="133" t="str">
        <f t="shared" si="9"/>
        <v>e̊</v>
      </c>
      <c r="AI7" s="135" t="str">
        <f t="shared" si="10"/>
        <v xml:space="preserve">    - xform/》e1/e/</v>
      </c>
      <c r="AJ7" s="135" t="str">
        <f t="shared" si="10"/>
        <v xml:space="preserve">    - xform/》e2/é/</v>
      </c>
      <c r="AK7" s="135" t="str">
        <f t="shared" si="4"/>
        <v xml:space="preserve">    - xform/》e3/è/</v>
      </c>
      <c r="AL7" s="135" t="str">
        <f t="shared" si="4"/>
        <v xml:space="preserve">    - xform/》e4/e/</v>
      </c>
      <c r="AM7" s="135" t="str">
        <f t="shared" si="4"/>
        <v xml:space="preserve">    - xform/》e5/ě/</v>
      </c>
      <c r="AN7" s="135" t="str">
        <f t="shared" si="4"/>
        <v xml:space="preserve">    - xform/》e6/é/</v>
      </c>
      <c r="AO7" s="135" t="str">
        <f t="shared" si="4"/>
        <v xml:space="preserve">    - xform/》e7/ē/</v>
      </c>
      <c r="AP7" s="135" t="str">
        <f t="shared" si="4"/>
        <v xml:space="preserve">    - xform/》e8/e̍/</v>
      </c>
      <c r="AQ7" s="135" t="str">
        <f t="shared" si="5"/>
        <v xml:space="preserve">    - xform/》e9/e̋/</v>
      </c>
      <c r="AR7" s="135" t="str">
        <f t="shared" si="5"/>
        <v xml:space="preserve">    - xform/》e9/e̊/</v>
      </c>
      <c r="AS7" s="133"/>
      <c r="AT7" s="133"/>
      <c r="AU7" s="130"/>
    </row>
    <row r="8" spans="1:47" ht="27.75" thickBot="1">
      <c r="A8" s="58">
        <v>5</v>
      </c>
      <c r="B8" s="140" t="s">
        <v>211</v>
      </c>
      <c r="C8" s="142" t="s">
        <v>211</v>
      </c>
      <c r="D8" s="58" t="s">
        <v>211</v>
      </c>
      <c r="E8" s="58" t="s">
        <v>211</v>
      </c>
      <c r="F8" s="58" t="s">
        <v>211</v>
      </c>
      <c r="G8" s="61" t="s">
        <v>211</v>
      </c>
      <c r="H8" s="55" t="s">
        <v>214</v>
      </c>
      <c r="I8" s="58" t="s">
        <v>213</v>
      </c>
      <c r="J8" s="58"/>
      <c r="K8" s="74"/>
      <c r="L8" s="55">
        <f t="shared" si="2"/>
        <v>2</v>
      </c>
      <c r="M8" s="58" t="str">
        <f t="shared" si="0"/>
        <v>am</v>
      </c>
      <c r="N8" s="58" t="str">
        <f t="shared" si="1"/>
        <v>ㆰ</v>
      </c>
      <c r="P8" s="122" t="str">
        <f t="shared" si="6"/>
        <v>am(\d)</v>
      </c>
      <c r="Q8" s="125" t="s">
        <v>316</v>
      </c>
      <c r="R8" s="125">
        <f t="shared" si="7"/>
        <v>1</v>
      </c>
      <c r="S8" s="122" t="str">
        <f t="shared" si="11"/>
        <v>》a${1}m</v>
      </c>
      <c r="T8" s="56"/>
      <c r="U8" s="57" t="str">
        <f t="shared" si="8"/>
        <v xml:space="preserve">    - xform/》am(\d)/》a${1}m/</v>
      </c>
      <c r="W8" s="130" t="s">
        <v>1216</v>
      </c>
      <c r="X8" s="133" t="str">
        <f t="shared" si="9"/>
        <v>o</v>
      </c>
      <c r="Y8" s="133" t="str">
        <f t="shared" si="9"/>
        <v>ó</v>
      </c>
      <c r="Z8" s="133" t="str">
        <f t="shared" si="9"/>
        <v>ò</v>
      </c>
      <c r="AA8" s="133" t="str">
        <f t="shared" si="9"/>
        <v>o</v>
      </c>
      <c r="AB8" s="133" t="str">
        <f t="shared" si="9"/>
        <v>ǒ</v>
      </c>
      <c r="AC8" s="133" t="str">
        <f t="shared" si="9"/>
        <v>ó</v>
      </c>
      <c r="AD8" s="133" t="str">
        <f t="shared" si="9"/>
        <v>ō</v>
      </c>
      <c r="AE8" s="133" t="str">
        <f t="shared" si="9"/>
        <v>o̍</v>
      </c>
      <c r="AF8" s="133" t="str">
        <f t="shared" si="9"/>
        <v>ő</v>
      </c>
      <c r="AG8" s="133" t="str">
        <f t="shared" si="9"/>
        <v>o̊</v>
      </c>
      <c r="AI8" s="135" t="str">
        <f t="shared" si="10"/>
        <v xml:space="preserve">    - xform/》o1/o/</v>
      </c>
      <c r="AJ8" s="135" t="str">
        <f t="shared" si="10"/>
        <v xml:space="preserve">    - xform/》o2/ó/</v>
      </c>
      <c r="AK8" s="135" t="str">
        <f t="shared" si="4"/>
        <v xml:space="preserve">    - xform/》o3/ò/</v>
      </c>
      <c r="AL8" s="135" t="str">
        <f t="shared" si="4"/>
        <v xml:space="preserve">    - xform/》o4/o/</v>
      </c>
      <c r="AM8" s="135" t="str">
        <f t="shared" si="4"/>
        <v xml:space="preserve">    - xform/》o5/ǒ/</v>
      </c>
      <c r="AN8" s="135" t="str">
        <f t="shared" si="4"/>
        <v xml:space="preserve">    - xform/》o6/ó/</v>
      </c>
      <c r="AO8" s="135" t="str">
        <f t="shared" si="4"/>
        <v xml:space="preserve">    - xform/》o7/ō/</v>
      </c>
      <c r="AP8" s="135" t="str">
        <f t="shared" si="4"/>
        <v xml:space="preserve">    - xform/》o8/o̍/</v>
      </c>
      <c r="AQ8" s="135" t="str">
        <f t="shared" si="5"/>
        <v xml:space="preserve">    - xform/》o9/ő/</v>
      </c>
      <c r="AR8" s="135" t="str">
        <f t="shared" si="5"/>
        <v xml:space="preserve">    - xform/》o9/o̊/</v>
      </c>
      <c r="AS8" s="133"/>
      <c r="AT8" s="133"/>
      <c r="AU8" s="130"/>
    </row>
    <row r="9" spans="1:47" ht="27.75" thickBot="1">
      <c r="A9" s="58">
        <v>6</v>
      </c>
      <c r="B9" s="140" t="s">
        <v>69</v>
      </c>
      <c r="C9" s="142" t="s">
        <v>69</v>
      </c>
      <c r="D9" s="58" t="s">
        <v>69</v>
      </c>
      <c r="E9" s="58" t="s">
        <v>69</v>
      </c>
      <c r="F9" s="58" t="s">
        <v>69</v>
      </c>
      <c r="G9" s="61" t="s">
        <v>69</v>
      </c>
      <c r="H9" s="55" t="s">
        <v>72</v>
      </c>
      <c r="I9" s="58" t="s">
        <v>71</v>
      </c>
      <c r="J9" s="58"/>
      <c r="K9" s="74"/>
      <c r="L9" s="55">
        <f t="shared" si="2"/>
        <v>2</v>
      </c>
      <c r="M9" s="58" t="str">
        <f t="shared" si="0"/>
        <v>an</v>
      </c>
      <c r="N9" s="58" t="str">
        <f t="shared" si="1"/>
        <v>ㄢ</v>
      </c>
      <c r="P9" s="122" t="str">
        <f t="shared" si="6"/>
        <v>an(\d)</v>
      </c>
      <c r="Q9" s="125" t="s">
        <v>316</v>
      </c>
      <c r="R9" s="125">
        <f t="shared" si="7"/>
        <v>1</v>
      </c>
      <c r="S9" s="122" t="str">
        <f t="shared" si="11"/>
        <v>》a${1}n</v>
      </c>
      <c r="T9" s="56"/>
      <c r="U9" s="57" t="str">
        <f t="shared" si="8"/>
        <v xml:space="preserve">    - xform/》an(\d)/》a${1}n/</v>
      </c>
      <c r="W9" s="130" t="s">
        <v>1306</v>
      </c>
      <c r="X9" s="133" t="str">
        <f t="shared" si="9"/>
        <v>m</v>
      </c>
      <c r="Y9" s="133" t="str">
        <f t="shared" si="9"/>
        <v>ḿ</v>
      </c>
      <c r="Z9" s="133" t="str">
        <f t="shared" si="9"/>
        <v>m̀</v>
      </c>
      <c r="AA9" s="133" t="str">
        <f t="shared" si="9"/>
        <v>m</v>
      </c>
      <c r="AB9" s="133" t="str">
        <f t="shared" si="9"/>
        <v>m̌</v>
      </c>
      <c r="AC9" s="133" t="str">
        <f t="shared" si="9"/>
        <v>ḿ</v>
      </c>
      <c r="AD9" s="133" t="str">
        <f t="shared" si="9"/>
        <v>m̄</v>
      </c>
      <c r="AE9" s="133" t="str">
        <f t="shared" si="9"/>
        <v>m̍</v>
      </c>
      <c r="AF9" s="133" t="str">
        <f t="shared" si="9"/>
        <v>m̋</v>
      </c>
      <c r="AG9" s="133" t="str">
        <f t="shared" si="9"/>
        <v>m̊</v>
      </c>
      <c r="AI9" s="135" t="str">
        <f t="shared" si="10"/>
        <v xml:space="preserve">    - xform/》m1/m/</v>
      </c>
      <c r="AJ9" s="135" t="str">
        <f t="shared" si="10"/>
        <v xml:space="preserve">    - xform/》m2/ḿ/</v>
      </c>
      <c r="AK9" s="135" t="str">
        <f t="shared" si="4"/>
        <v xml:space="preserve">    - xform/》m3/m̀/</v>
      </c>
      <c r="AL9" s="135" t="str">
        <f t="shared" si="4"/>
        <v xml:space="preserve">    - xform/》m4/m/</v>
      </c>
      <c r="AM9" s="135" t="str">
        <f t="shared" si="4"/>
        <v xml:space="preserve">    - xform/》m5/m̌/</v>
      </c>
      <c r="AN9" s="135" t="str">
        <f t="shared" si="4"/>
        <v xml:space="preserve">    - xform/》m6/ḿ/</v>
      </c>
      <c r="AO9" s="135" t="str">
        <f t="shared" si="4"/>
        <v xml:space="preserve">    - xform/》m7/m̄/</v>
      </c>
      <c r="AP9" s="135" t="str">
        <f t="shared" si="4"/>
        <v xml:space="preserve">    - xform/》m8/m̍/</v>
      </c>
      <c r="AQ9" s="135" t="str">
        <f t="shared" si="5"/>
        <v xml:space="preserve">    - xform/》m9/m̋/</v>
      </c>
      <c r="AR9" s="135" t="str">
        <f t="shared" si="5"/>
        <v xml:space="preserve">    - xform/》m9/m̊/</v>
      </c>
      <c r="AS9" s="133"/>
      <c r="AT9" s="133"/>
      <c r="AU9" s="130"/>
    </row>
    <row r="10" spans="1:47" ht="27.75" thickBot="1">
      <c r="A10" s="58">
        <v>7</v>
      </c>
      <c r="B10" s="140" t="s">
        <v>235</v>
      </c>
      <c r="C10" s="142" t="s">
        <v>237</v>
      </c>
      <c r="D10" s="58" t="s">
        <v>237</v>
      </c>
      <c r="E10" s="58" t="s">
        <v>237</v>
      </c>
      <c r="F10" s="58" t="s">
        <v>237</v>
      </c>
      <c r="G10" s="61" t="s">
        <v>237</v>
      </c>
      <c r="H10" s="55" t="s">
        <v>238</v>
      </c>
      <c r="I10" s="58" t="s">
        <v>2190</v>
      </c>
      <c r="J10" s="58"/>
      <c r="K10" s="74"/>
      <c r="L10" s="55">
        <f t="shared" si="2"/>
        <v>3</v>
      </c>
      <c r="M10" s="58" t="str">
        <f t="shared" si="0"/>
        <v>ang</v>
      </c>
      <c r="N10" s="58" t="str">
        <f t="shared" si="1"/>
        <v>ㄤ</v>
      </c>
      <c r="P10" s="122" t="str">
        <f t="shared" si="6"/>
        <v>ang(\d)</v>
      </c>
      <c r="Q10" s="125" t="s">
        <v>316</v>
      </c>
      <c r="R10" s="125">
        <f t="shared" si="7"/>
        <v>1</v>
      </c>
      <c r="S10" s="122" t="str">
        <f t="shared" si="11"/>
        <v>》a${1}ng</v>
      </c>
      <c r="T10" s="56"/>
      <c r="U10" s="57" t="str">
        <f t="shared" si="8"/>
        <v xml:space="preserve">    - xform/》ang(\d)/》a${1}ng/</v>
      </c>
      <c r="W10" s="130" t="s">
        <v>1305</v>
      </c>
      <c r="X10" s="133" t="str">
        <f t="shared" si="9"/>
        <v>n</v>
      </c>
      <c r="Y10" s="133" t="str">
        <f t="shared" si="9"/>
        <v>ń</v>
      </c>
      <c r="Z10" s="133" t="str">
        <f t="shared" si="9"/>
        <v>ǹ</v>
      </c>
      <c r="AA10" s="133" t="str">
        <f t="shared" si="9"/>
        <v>n</v>
      </c>
      <c r="AB10" s="133" t="str">
        <f t="shared" si="9"/>
        <v>ň</v>
      </c>
      <c r="AC10" s="133" t="str">
        <f t="shared" si="9"/>
        <v>ń</v>
      </c>
      <c r="AD10" s="133" t="str">
        <f t="shared" si="9"/>
        <v>n̄</v>
      </c>
      <c r="AE10" s="133" t="str">
        <f t="shared" si="9"/>
        <v>n̍</v>
      </c>
      <c r="AF10" s="133" t="str">
        <f t="shared" si="9"/>
        <v>n̋</v>
      </c>
      <c r="AG10" s="133" t="str">
        <f t="shared" si="9"/>
        <v>n̊</v>
      </c>
      <c r="AI10" s="135" t="str">
        <f t="shared" si="10"/>
        <v xml:space="preserve">    - xform/》n1/n/</v>
      </c>
      <c r="AJ10" s="135" t="str">
        <f t="shared" si="10"/>
        <v xml:space="preserve">    - xform/》n2/ń/</v>
      </c>
      <c r="AK10" s="135" t="str">
        <f t="shared" si="4"/>
        <v xml:space="preserve">    - xform/》n3/ǹ/</v>
      </c>
      <c r="AL10" s="135" t="str">
        <f t="shared" si="4"/>
        <v xml:space="preserve">    - xform/》n4/n/</v>
      </c>
      <c r="AM10" s="135" t="str">
        <f t="shared" si="4"/>
        <v xml:space="preserve">    - xform/》n5/ň/</v>
      </c>
      <c r="AN10" s="135" t="str">
        <f t="shared" si="4"/>
        <v xml:space="preserve">    - xform/》n6/ń/</v>
      </c>
      <c r="AO10" s="135" t="str">
        <f t="shared" si="4"/>
        <v xml:space="preserve">    - xform/》n7/n̄/</v>
      </c>
      <c r="AP10" s="135" t="str">
        <f t="shared" si="4"/>
        <v xml:space="preserve">    - xform/》n8/n̍/</v>
      </c>
      <c r="AQ10" s="135" t="str">
        <f t="shared" si="5"/>
        <v xml:space="preserve">    - xform/》n9/n̋/</v>
      </c>
      <c r="AR10" s="135" t="str">
        <f t="shared" si="5"/>
        <v xml:space="preserve">    - xform/》n9/n̊/</v>
      </c>
      <c r="AS10" s="133"/>
      <c r="AT10" s="133"/>
      <c r="AU10" s="130"/>
    </row>
    <row r="11" spans="1:47" ht="27.75" thickBot="1">
      <c r="A11" s="58">
        <v>8</v>
      </c>
      <c r="B11" s="140" t="s">
        <v>217</v>
      </c>
      <c r="C11" s="142" t="s">
        <v>219</v>
      </c>
      <c r="D11" s="58" t="s">
        <v>219</v>
      </c>
      <c r="E11" s="58" t="s">
        <v>219</v>
      </c>
      <c r="F11" s="58" t="s">
        <v>219</v>
      </c>
      <c r="G11" s="61" t="s">
        <v>219</v>
      </c>
      <c r="H11" s="55" t="s">
        <v>220</v>
      </c>
      <c r="I11" s="58" t="s">
        <v>218</v>
      </c>
      <c r="J11" s="58"/>
      <c r="K11" s="74"/>
      <c r="L11" s="55">
        <f t="shared" si="2"/>
        <v>2</v>
      </c>
      <c r="M11" s="58" t="str">
        <f t="shared" si="0"/>
        <v>ap</v>
      </c>
      <c r="N11" s="58" t="str">
        <f t="shared" si="1"/>
        <v>ㄚㆴ</v>
      </c>
      <c r="P11" s="122" t="str">
        <f t="shared" si="6"/>
        <v>ap(\d)</v>
      </c>
      <c r="Q11" s="125" t="s">
        <v>316</v>
      </c>
      <c r="R11" s="125">
        <f t="shared" si="7"/>
        <v>1</v>
      </c>
      <c r="S11" s="122" t="str">
        <f t="shared" si="11"/>
        <v>》a${1}p</v>
      </c>
      <c r="T11" s="56"/>
      <c r="U11" s="57" t="str">
        <f t="shared" si="8"/>
        <v xml:space="preserve">    - xform/》ap(\d)/》a${1}p/</v>
      </c>
    </row>
    <row r="12" spans="1:47" ht="27.75" thickBot="1">
      <c r="A12" s="58">
        <v>9</v>
      </c>
      <c r="B12" s="140" t="s">
        <v>75</v>
      </c>
      <c r="C12" s="142" t="s">
        <v>77</v>
      </c>
      <c r="D12" s="58" t="s">
        <v>77</v>
      </c>
      <c r="E12" s="58" t="s">
        <v>77</v>
      </c>
      <c r="F12" s="58" t="s">
        <v>77</v>
      </c>
      <c r="G12" s="61" t="s">
        <v>77</v>
      </c>
      <c r="H12" s="55" t="s">
        <v>78</v>
      </c>
      <c r="I12" s="58" t="s">
        <v>76</v>
      </c>
      <c r="J12" s="58"/>
      <c r="K12" s="74"/>
      <c r="L12" s="55">
        <f t="shared" si="2"/>
        <v>2</v>
      </c>
      <c r="M12" s="58" t="str">
        <f t="shared" si="0"/>
        <v>at</v>
      </c>
      <c r="N12" s="58" t="str">
        <f t="shared" si="1"/>
        <v>ㄚㆵ</v>
      </c>
      <c r="P12" s="122" t="str">
        <f t="shared" si="6"/>
        <v>at(\d)</v>
      </c>
      <c r="Q12" s="125" t="s">
        <v>316</v>
      </c>
      <c r="R12" s="125">
        <f t="shared" si="7"/>
        <v>1</v>
      </c>
      <c r="S12" s="122" t="str">
        <f t="shared" si="11"/>
        <v>》a${1}t</v>
      </c>
      <c r="T12" s="56"/>
      <c r="U12" s="57" t="str">
        <f t="shared" si="8"/>
        <v xml:space="preserve">    - xform/》at(\d)/》a${1}t/</v>
      </c>
    </row>
    <row r="13" spans="1:47" ht="27.75" thickBot="1">
      <c r="A13" s="58">
        <v>10</v>
      </c>
      <c r="B13" s="140" t="s">
        <v>241</v>
      </c>
      <c r="C13" s="142" t="s">
        <v>243</v>
      </c>
      <c r="D13" s="58" t="s">
        <v>243</v>
      </c>
      <c r="E13" s="58" t="s">
        <v>243</v>
      </c>
      <c r="F13" s="58" t="s">
        <v>243</v>
      </c>
      <c r="G13" s="61" t="s">
        <v>243</v>
      </c>
      <c r="H13" s="55" t="s">
        <v>244</v>
      </c>
      <c r="I13" s="58" t="s">
        <v>242</v>
      </c>
      <c r="J13" s="58"/>
      <c r="K13" s="74"/>
      <c r="L13" s="55">
        <f t="shared" si="2"/>
        <v>2</v>
      </c>
      <c r="M13" s="58" t="str">
        <f t="shared" si="0"/>
        <v>ak</v>
      </c>
      <c r="N13" s="58" t="str">
        <f t="shared" si="1"/>
        <v>ㄚㆻ</v>
      </c>
      <c r="P13" s="122" t="str">
        <f t="shared" si="6"/>
        <v>ak(\d)</v>
      </c>
      <c r="Q13" s="125" t="s">
        <v>316</v>
      </c>
      <c r="R13" s="125">
        <f t="shared" si="7"/>
        <v>1</v>
      </c>
      <c r="S13" s="122" t="str">
        <f t="shared" si="11"/>
        <v>》a${1}k</v>
      </c>
      <c r="T13" s="56"/>
      <c r="U13" s="57" t="str">
        <f t="shared" si="8"/>
        <v xml:space="preserve">    - xform/》ak(\d)/》a${1}k/</v>
      </c>
    </row>
    <row r="14" spans="1:47" ht="27.75" thickBot="1">
      <c r="A14" s="58">
        <v>11</v>
      </c>
      <c r="B14" s="140" t="s">
        <v>1145</v>
      </c>
      <c r="C14" s="142" t="s">
        <v>183</v>
      </c>
      <c r="D14" s="58" t="s">
        <v>183</v>
      </c>
      <c r="E14" s="58" t="s">
        <v>183</v>
      </c>
      <c r="F14" s="58" t="s">
        <v>183</v>
      </c>
      <c r="G14" s="61" t="s">
        <v>183</v>
      </c>
      <c r="H14" s="55" t="s">
        <v>186</v>
      </c>
      <c r="I14" s="58" t="s">
        <v>185</v>
      </c>
      <c r="J14" s="58"/>
      <c r="K14" s="74"/>
      <c r="L14" s="55">
        <f t="shared" si="2"/>
        <v>2</v>
      </c>
      <c r="M14" s="58" t="str">
        <f t="shared" si="0"/>
        <v>ai</v>
      </c>
      <c r="N14" s="58" t="str">
        <f t="shared" si="1"/>
        <v>ㄞ</v>
      </c>
      <c r="P14" s="122" t="str">
        <f t="shared" si="6"/>
        <v>ai(\d)</v>
      </c>
      <c r="Q14" s="125" t="s">
        <v>316</v>
      </c>
      <c r="R14" s="125">
        <f t="shared" si="7"/>
        <v>1</v>
      </c>
      <c r="S14" s="122" t="str">
        <f t="shared" si="11"/>
        <v>》a${1}i</v>
      </c>
      <c r="T14" s="56"/>
      <c r="U14" s="57" t="str">
        <f t="shared" si="8"/>
        <v xml:space="preserve">    - xform/》ai(\d)/》a${1}i/</v>
      </c>
    </row>
    <row r="15" spans="1:47" ht="27.75" thickBot="1">
      <c r="A15" s="58">
        <v>12</v>
      </c>
      <c r="B15" s="140" t="s">
        <v>2496</v>
      </c>
      <c r="C15" s="142" t="s">
        <v>417</v>
      </c>
      <c r="D15" s="58" t="s">
        <v>417</v>
      </c>
      <c r="E15" s="58" t="s">
        <v>417</v>
      </c>
      <c r="F15" s="58" t="s">
        <v>419</v>
      </c>
      <c r="G15" s="61" t="s">
        <v>418</v>
      </c>
      <c r="H15" s="55" t="s">
        <v>420</v>
      </c>
      <c r="I15" s="58" t="s">
        <v>416</v>
      </c>
      <c r="J15" s="136" t="s">
        <v>1312</v>
      </c>
      <c r="K15" s="74"/>
      <c r="L15" s="55">
        <f t="shared" si="2"/>
        <v>4</v>
      </c>
      <c r="M15" s="58" t="str">
        <f t="shared" si="0"/>
        <v>ainn</v>
      </c>
      <c r="N15" s="58" t="str">
        <f t="shared" si="1"/>
        <v>ㆮ</v>
      </c>
      <c r="P15" s="122" t="str">
        <f t="shared" si="6"/>
        <v>ainn(\d)</v>
      </c>
      <c r="Q15" s="125" t="s">
        <v>316</v>
      </c>
      <c r="R15" s="125">
        <f t="shared" si="7"/>
        <v>1</v>
      </c>
      <c r="S15" s="122" t="str">
        <f t="shared" si="11"/>
        <v>》a${1}inn</v>
      </c>
      <c r="T15" s="56"/>
      <c r="U15" s="57" t="str">
        <f t="shared" si="8"/>
        <v xml:space="preserve">    - xform/》ainn(\d)/》a${1}inn/</v>
      </c>
    </row>
    <row r="16" spans="1:47" ht="30.75" thickBot="1">
      <c r="A16" s="58">
        <v>13</v>
      </c>
      <c r="B16" s="140" t="s">
        <v>1478</v>
      </c>
      <c r="C16" s="142" t="s">
        <v>1479</v>
      </c>
      <c r="D16" s="75" t="s">
        <v>1479</v>
      </c>
      <c r="E16" s="75" t="s">
        <v>1479</v>
      </c>
      <c r="F16" s="75" t="s">
        <v>1479</v>
      </c>
      <c r="G16" s="75" t="s">
        <v>1479</v>
      </c>
      <c r="H16" s="147" t="s">
        <v>2188</v>
      </c>
      <c r="I16" s="144" t="s">
        <v>2191</v>
      </c>
      <c r="J16" s="58"/>
      <c r="K16" s="74"/>
      <c r="L16" s="55">
        <f t="shared" si="2"/>
        <v>3</v>
      </c>
      <c r="M16" s="58" t="str">
        <f t="shared" si="0"/>
        <v>aih</v>
      </c>
      <c r="N16" s="58" t="str">
        <f t="shared" si="1"/>
        <v>ㄞㆷ</v>
      </c>
      <c r="P16" s="122" t="str">
        <f t="shared" si="6"/>
        <v>aih(\d)</v>
      </c>
      <c r="Q16" s="125" t="s">
        <v>316</v>
      </c>
      <c r="R16" s="125">
        <f t="shared" si="7"/>
        <v>1</v>
      </c>
      <c r="S16" s="122" t="str">
        <f t="shared" si="11"/>
        <v>》a${1}ih</v>
      </c>
      <c r="T16" s="56"/>
      <c r="U16" s="57" t="str">
        <f t="shared" si="8"/>
        <v xml:space="preserve">    - xform/》aih(\d)/》a${1}ih/</v>
      </c>
    </row>
    <row r="17" spans="1:21" ht="27.75" thickBot="1">
      <c r="A17" s="58">
        <v>14</v>
      </c>
      <c r="B17" s="140" t="s">
        <v>1172</v>
      </c>
      <c r="C17" s="142" t="s">
        <v>260</v>
      </c>
      <c r="D17" s="58" t="s">
        <v>260</v>
      </c>
      <c r="E17" s="58" t="s">
        <v>260</v>
      </c>
      <c r="F17" s="58" t="s">
        <v>263</v>
      </c>
      <c r="G17" s="61" t="s">
        <v>260</v>
      </c>
      <c r="H17" s="55" t="s">
        <v>264</v>
      </c>
      <c r="I17" s="58" t="s">
        <v>262</v>
      </c>
      <c r="J17" s="58"/>
      <c r="K17" s="74"/>
      <c r="L17" s="55">
        <f t="shared" si="2"/>
        <v>2</v>
      </c>
      <c r="M17" s="58" t="str">
        <f t="shared" si="0"/>
        <v>au</v>
      </c>
      <c r="N17" s="58" t="str">
        <f t="shared" si="1"/>
        <v>ㄠ</v>
      </c>
      <c r="P17" s="122" t="str">
        <f t="shared" si="6"/>
        <v>au(\d)</v>
      </c>
      <c r="Q17" s="125" t="s">
        <v>316</v>
      </c>
      <c r="R17" s="125">
        <f t="shared" si="7"/>
        <v>1</v>
      </c>
      <c r="S17" s="122" t="str">
        <f t="shared" si="11"/>
        <v>》a${1}u</v>
      </c>
      <c r="T17" s="56"/>
      <c r="U17" s="57" t="str">
        <f t="shared" si="8"/>
        <v xml:space="preserve">    - xform/》au(\d)/》a${1}u/</v>
      </c>
    </row>
    <row r="18" spans="1:21" ht="27.75" thickBot="1">
      <c r="A18" s="58">
        <v>15</v>
      </c>
      <c r="B18" s="140" t="s">
        <v>798</v>
      </c>
      <c r="C18" s="142" t="s">
        <v>267</v>
      </c>
      <c r="D18" s="58" t="s">
        <v>267</v>
      </c>
      <c r="E18" s="58" t="s">
        <v>267</v>
      </c>
      <c r="F18" s="58" t="s">
        <v>268</v>
      </c>
      <c r="G18" s="61" t="s">
        <v>267</v>
      </c>
      <c r="H18" s="55" t="s">
        <v>269</v>
      </c>
      <c r="I18" s="58" t="s">
        <v>2192</v>
      </c>
      <c r="J18" s="58"/>
      <c r="K18" s="74"/>
      <c r="L18" s="55">
        <f t="shared" si="2"/>
        <v>3</v>
      </c>
      <c r="M18" s="58" t="str">
        <f t="shared" si="0"/>
        <v>auh</v>
      </c>
      <c r="N18" s="58" t="str">
        <f t="shared" si="1"/>
        <v>ㄠㆷ</v>
      </c>
      <c r="P18" s="122" t="str">
        <f t="shared" si="6"/>
        <v>auh(\d)</v>
      </c>
      <c r="Q18" s="125" t="s">
        <v>316</v>
      </c>
      <c r="R18" s="125">
        <f t="shared" si="7"/>
        <v>1</v>
      </c>
      <c r="S18" s="122" t="str">
        <f t="shared" si="11"/>
        <v>》a${1}uh</v>
      </c>
      <c r="T18" s="56"/>
      <c r="U18" s="57" t="str">
        <f t="shared" si="8"/>
        <v xml:space="preserve">    - xform/》auh(\d)/》a${1}uh/</v>
      </c>
    </row>
    <row r="19" spans="1:21" ht="27.75" thickBot="1">
      <c r="A19" s="58">
        <v>16</v>
      </c>
      <c r="B19" s="192" t="s">
        <v>2467</v>
      </c>
      <c r="C19" s="193" t="s">
        <v>2468</v>
      </c>
      <c r="D19" s="194" t="s">
        <v>2468</v>
      </c>
      <c r="E19" s="195"/>
      <c r="F19" s="195"/>
      <c r="G19" s="195"/>
      <c r="H19" s="197" t="s">
        <v>2472</v>
      </c>
      <c r="I19" s="196" t="s">
        <v>2476</v>
      </c>
      <c r="J19" s="196"/>
      <c r="K19" s="74"/>
      <c r="L19" s="55">
        <f t="shared" si="2"/>
        <v>1</v>
      </c>
      <c r="M19" s="58" t="str">
        <f>E23</f>
        <v>e</v>
      </c>
      <c r="N19" s="58" t="str">
        <f>I23</f>
        <v>ㆤ</v>
      </c>
      <c r="P19" s="122" t="str">
        <f t="shared" si="6"/>
        <v>e(\d)</v>
      </c>
      <c r="Q19" s="125" t="s">
        <v>316</v>
      </c>
      <c r="R19" s="125" t="str">
        <f xml:space="preserve"> IFERROR( IF(Q19="", "", SEARCH(Q19, $M19)), "")</f>
        <v/>
      </c>
      <c r="S19" s="122" t="str">
        <f t="shared" si="11"/>
        <v/>
      </c>
      <c r="T19" s="56"/>
      <c r="U19" s="57" t="str">
        <f t="shared" si="8"/>
        <v xml:space="preserve">    - xform/》e(\d)//</v>
      </c>
    </row>
    <row r="20" spans="1:21" ht="27.75" thickBot="1">
      <c r="A20" s="58">
        <v>17</v>
      </c>
      <c r="B20" s="192" t="str">
        <f xml:space="preserve"> _xlfn.CONCAT(B19, "ʔ")</f>
        <v>ɛʔ</v>
      </c>
      <c r="C20" s="193" t="s">
        <v>2469</v>
      </c>
      <c r="D20" s="194" t="s">
        <v>2469</v>
      </c>
      <c r="E20" s="195"/>
      <c r="F20" s="195"/>
      <c r="G20" s="195"/>
      <c r="H20" s="197" t="s">
        <v>2473</v>
      </c>
      <c r="I20" s="196" t="s">
        <v>2478</v>
      </c>
      <c r="J20" s="196"/>
      <c r="K20" s="74"/>
      <c r="L20" s="55">
        <f t="shared" si="2"/>
        <v>3</v>
      </c>
      <c r="M20" s="58" t="str">
        <f>E24</f>
        <v>enn</v>
      </c>
      <c r="N20" s="58" t="str">
        <f>I24</f>
        <v>ㆥ</v>
      </c>
      <c r="P20" s="122" t="str">
        <f t="shared" si="6"/>
        <v>enn(\d)</v>
      </c>
      <c r="Q20" s="125" t="s">
        <v>60</v>
      </c>
      <c r="R20" s="125">
        <f xml:space="preserve"> IFERROR( IF(Q20="", "", SEARCH(Q20, $M20)), "")</f>
        <v>1</v>
      </c>
      <c r="S20" s="122" t="str">
        <f t="shared" si="11"/>
        <v>》e${1}nn</v>
      </c>
      <c r="T20" s="56"/>
      <c r="U20" s="57" t="str">
        <f t="shared" si="8"/>
        <v xml:space="preserve">    - xform/》enn(\d)/》e${1}nn/</v>
      </c>
    </row>
    <row r="21" spans="1:21" ht="27.75" thickBot="1">
      <c r="A21" s="58">
        <v>18</v>
      </c>
      <c r="B21" s="192" t="str">
        <f xml:space="preserve"> _xlfn.CONCAT(B19, "ŋ")</f>
        <v>ɛŋ</v>
      </c>
      <c r="C21" s="193" t="s">
        <v>2470</v>
      </c>
      <c r="D21" s="194" t="s">
        <v>2470</v>
      </c>
      <c r="E21" s="195"/>
      <c r="F21" s="195"/>
      <c r="G21" s="195"/>
      <c r="H21" s="197" t="s">
        <v>2474</v>
      </c>
      <c r="I21" s="198" t="s">
        <v>2479</v>
      </c>
      <c r="J21" s="198"/>
      <c r="K21" s="74"/>
      <c r="L21" s="55">
        <f t="shared" si="2"/>
        <v>2</v>
      </c>
      <c r="M21" s="58" t="str">
        <f>E25</f>
        <v>eh</v>
      </c>
      <c r="N21" s="58" t="str">
        <f>I25</f>
        <v>ㆤㆷ</v>
      </c>
      <c r="P21" s="122" t="str">
        <f t="shared" si="6"/>
        <v>eh(\d)</v>
      </c>
      <c r="Q21" s="125" t="s">
        <v>60</v>
      </c>
      <c r="R21" s="125">
        <f xml:space="preserve"> IFERROR( IF(Q21="", "", SEARCH(Q21, $M21)), "")</f>
        <v>1</v>
      </c>
      <c r="S21" s="122" t="str">
        <f t="shared" si="11"/>
        <v>》e${1}h</v>
      </c>
      <c r="T21" s="56"/>
      <c r="U21" s="57" t="str">
        <f t="shared" si="8"/>
        <v xml:space="preserve">    - xform/》eh(\d)/》e${1}h/</v>
      </c>
    </row>
    <row r="22" spans="1:21" ht="27.75" thickBot="1">
      <c r="A22" s="58">
        <v>19</v>
      </c>
      <c r="B22" s="192" t="str">
        <f xml:space="preserve"> _xlfn.CONCAT(B19, "k")</f>
        <v>ɛk</v>
      </c>
      <c r="C22" s="193" t="s">
        <v>2471</v>
      </c>
      <c r="D22" s="194" t="s">
        <v>2471</v>
      </c>
      <c r="E22" s="195"/>
      <c r="F22" s="195"/>
      <c r="G22" s="195"/>
      <c r="H22" s="197" t="s">
        <v>2475</v>
      </c>
      <c r="I22" s="198" t="s">
        <v>2481</v>
      </c>
      <c r="J22" s="198"/>
      <c r="K22" s="74"/>
      <c r="L22" s="55">
        <f t="shared" si="2"/>
        <v>4</v>
      </c>
      <c r="M22" s="58" t="str">
        <f>E26</f>
        <v>ennh</v>
      </c>
      <c r="N22" s="58" t="str">
        <f>I26</f>
        <v>ㆥㆷ</v>
      </c>
      <c r="P22" s="122" t="str">
        <f t="shared" si="6"/>
        <v>ennh(\d)</v>
      </c>
      <c r="Q22" s="125" t="s">
        <v>60</v>
      </c>
      <c r="R22" s="125">
        <f xml:space="preserve"> IFERROR( IF(Q22="", "", SEARCH(Q22, $M22)), "")</f>
        <v>1</v>
      </c>
      <c r="S22" s="122" t="str">
        <f t="shared" si="11"/>
        <v>》e${1}nnh</v>
      </c>
      <c r="T22" s="56"/>
      <c r="U22" s="57" t="str">
        <f t="shared" si="8"/>
        <v xml:space="preserve">    - xform/》ennh(\d)/》e${1}nnh/</v>
      </c>
    </row>
    <row r="23" spans="1:21" ht="27.75" thickBot="1">
      <c r="A23" s="58">
        <v>20</v>
      </c>
      <c r="B23" s="140" t="s">
        <v>60</v>
      </c>
      <c r="C23" s="142" t="s">
        <v>60</v>
      </c>
      <c r="D23" s="58" t="s">
        <v>153</v>
      </c>
      <c r="E23" s="58" t="s">
        <v>60</v>
      </c>
      <c r="F23" s="58" t="s">
        <v>60</v>
      </c>
      <c r="G23" s="61" t="s">
        <v>2210</v>
      </c>
      <c r="H23" s="55" t="s">
        <v>156</v>
      </c>
      <c r="I23" s="58" t="s">
        <v>155</v>
      </c>
      <c r="J23" s="58"/>
      <c r="K23" s="74"/>
      <c r="L23" s="55">
        <f t="shared" si="2"/>
        <v>1</v>
      </c>
      <c r="M23" s="58" t="str">
        <f>E27</f>
        <v>i</v>
      </c>
      <c r="N23" s="58" t="str">
        <f>I27</f>
        <v>ㄧ</v>
      </c>
      <c r="P23" s="122" t="str">
        <f t="shared" si="6"/>
        <v>i(\d)</v>
      </c>
      <c r="Q23" s="125" t="s">
        <v>324</v>
      </c>
      <c r="R23" s="125">
        <f t="shared" si="7"/>
        <v>1</v>
      </c>
      <c r="S23" s="122" t="str">
        <f t="shared" si="11"/>
        <v>》i${1}</v>
      </c>
      <c r="T23" s="56"/>
      <c r="U23" s="57" t="str">
        <f t="shared" si="8"/>
        <v xml:space="preserve">    - xform/》i(\d)/》i${1}/</v>
      </c>
    </row>
    <row r="24" spans="1:21" ht="27.75" thickBot="1">
      <c r="A24" s="58">
        <v>21</v>
      </c>
      <c r="B24" s="140" t="s">
        <v>1154</v>
      </c>
      <c r="C24" s="142" t="s">
        <v>340</v>
      </c>
      <c r="D24" s="58" t="s">
        <v>340</v>
      </c>
      <c r="E24" s="58" t="s">
        <v>340</v>
      </c>
      <c r="F24" s="58" t="s">
        <v>342</v>
      </c>
      <c r="G24" s="61" t="s">
        <v>341</v>
      </c>
      <c r="H24" s="55" t="s">
        <v>343</v>
      </c>
      <c r="I24" s="58" t="s">
        <v>339</v>
      </c>
      <c r="J24" s="136" t="s">
        <v>1312</v>
      </c>
      <c r="K24" s="74"/>
      <c r="L24" s="55">
        <f t="shared" si="2"/>
        <v>3</v>
      </c>
      <c r="M24" s="58" t="str">
        <f>E28</f>
        <v>inn</v>
      </c>
      <c r="N24" s="58" t="str">
        <f>I28</f>
        <v>ㆪ</v>
      </c>
      <c r="P24" s="122" t="str">
        <f t="shared" si="6"/>
        <v>inn(\d)</v>
      </c>
      <c r="Q24" s="125" t="s">
        <v>324</v>
      </c>
      <c r="R24" s="125">
        <f t="shared" si="7"/>
        <v>1</v>
      </c>
      <c r="S24" s="122" t="str">
        <f t="shared" si="11"/>
        <v>》i${1}nn</v>
      </c>
      <c r="T24" s="56"/>
      <c r="U24" s="57" t="str">
        <f t="shared" si="8"/>
        <v xml:space="preserve">    - xform/》inn(\d)/》i${1}nn/</v>
      </c>
    </row>
    <row r="25" spans="1:21" ht="27.75" thickBot="1">
      <c r="A25" s="58">
        <v>22</v>
      </c>
      <c r="B25" s="140" t="s">
        <v>840</v>
      </c>
      <c r="C25" s="142" t="s">
        <v>65</v>
      </c>
      <c r="D25" s="58" t="s">
        <v>65</v>
      </c>
      <c r="E25" s="58" t="s">
        <v>65</v>
      </c>
      <c r="F25" s="58" t="s">
        <v>65</v>
      </c>
      <c r="G25" s="61" t="s">
        <v>65</v>
      </c>
      <c r="H25" s="55" t="s">
        <v>413</v>
      </c>
      <c r="I25" s="58" t="s">
        <v>2193</v>
      </c>
      <c r="J25" s="58"/>
      <c r="K25" s="74"/>
      <c r="L25" s="55">
        <f t="shared" si="2"/>
        <v>2</v>
      </c>
      <c r="M25" s="58" t="str">
        <f>E29</f>
        <v>ih</v>
      </c>
      <c r="N25" s="58" t="str">
        <f>I29</f>
        <v>ㄧㆷ</v>
      </c>
      <c r="P25" s="122" t="str">
        <f t="shared" si="6"/>
        <v>ih(\d)</v>
      </c>
      <c r="Q25" s="125" t="s">
        <v>324</v>
      </c>
      <c r="R25" s="125">
        <f t="shared" si="7"/>
        <v>1</v>
      </c>
      <c r="S25" s="122" t="str">
        <f t="shared" si="11"/>
        <v>》i${1}h</v>
      </c>
      <c r="T25" s="56"/>
      <c r="U25" s="57" t="str">
        <f t="shared" si="8"/>
        <v xml:space="preserve">    - xform/》ih(\d)/》i${1}h/</v>
      </c>
    </row>
    <row r="26" spans="1:21" ht="30.75" thickBot="1">
      <c r="A26" s="58">
        <v>23</v>
      </c>
      <c r="B26" s="140" t="s">
        <v>1548</v>
      </c>
      <c r="C26" s="142" t="s">
        <v>346</v>
      </c>
      <c r="D26" s="75" t="s">
        <v>346</v>
      </c>
      <c r="E26" s="75" t="s">
        <v>346</v>
      </c>
      <c r="F26" s="75" t="s">
        <v>346</v>
      </c>
      <c r="G26" s="75" t="s">
        <v>2211</v>
      </c>
      <c r="H26" s="147" t="s">
        <v>347</v>
      </c>
      <c r="I26" s="145" t="s">
        <v>1323</v>
      </c>
      <c r="J26" s="136" t="s">
        <v>1312</v>
      </c>
      <c r="K26" s="74"/>
      <c r="L26" s="55">
        <f t="shared" si="2"/>
        <v>2</v>
      </c>
      <c r="M26" s="58" t="str">
        <f>E30</f>
        <v>im</v>
      </c>
      <c r="N26" s="58" t="str">
        <f>I30</f>
        <v>ㄧㆬ</v>
      </c>
      <c r="P26" s="122" t="str">
        <f t="shared" si="6"/>
        <v>im(\d)</v>
      </c>
      <c r="Q26" s="125" t="s">
        <v>324</v>
      </c>
      <c r="R26" s="125">
        <f t="shared" si="7"/>
        <v>1</v>
      </c>
      <c r="S26" s="122" t="str">
        <f t="shared" si="11"/>
        <v>》i${1}m</v>
      </c>
      <c r="T26" s="56"/>
      <c r="U26" s="57" t="str">
        <f t="shared" si="8"/>
        <v xml:space="preserve">    - xform/》im(\d)/》i${1}m/</v>
      </c>
    </row>
    <row r="27" spans="1:21" ht="27.75" thickBot="1">
      <c r="A27" s="58">
        <v>24</v>
      </c>
      <c r="B27" s="140" t="s">
        <v>324</v>
      </c>
      <c r="C27" s="142" t="s">
        <v>324</v>
      </c>
      <c r="D27" s="58" t="s">
        <v>324</v>
      </c>
      <c r="E27" s="58" t="s">
        <v>324</v>
      </c>
      <c r="F27" s="58" t="s">
        <v>324</v>
      </c>
      <c r="G27" s="61" t="s">
        <v>324</v>
      </c>
      <c r="H27" s="55" t="s">
        <v>327</v>
      </c>
      <c r="I27" s="58" t="s">
        <v>326</v>
      </c>
      <c r="J27" s="58"/>
      <c r="K27" s="74"/>
      <c r="L27" s="55">
        <f t="shared" si="2"/>
        <v>2</v>
      </c>
      <c r="M27" s="58" t="str">
        <f>E31</f>
        <v>in</v>
      </c>
      <c r="N27" s="58" t="str">
        <f>I31</f>
        <v>ㄧㄣ</v>
      </c>
      <c r="P27" s="122" t="str">
        <f t="shared" si="6"/>
        <v>in(\d)</v>
      </c>
      <c r="Q27" s="125" t="s">
        <v>324</v>
      </c>
      <c r="R27" s="125">
        <f t="shared" si="7"/>
        <v>1</v>
      </c>
      <c r="S27" s="122" t="str">
        <f t="shared" si="11"/>
        <v>》i${1}n</v>
      </c>
      <c r="T27" s="56"/>
      <c r="U27" s="57" t="str">
        <f t="shared" si="8"/>
        <v xml:space="preserve">    - xform/》in(\d)/》i${1}n/</v>
      </c>
    </row>
    <row r="28" spans="1:21" ht="27.75" thickBot="1">
      <c r="A28" s="58">
        <v>25</v>
      </c>
      <c r="B28" s="140" t="s">
        <v>367</v>
      </c>
      <c r="C28" s="142" t="s">
        <v>370</v>
      </c>
      <c r="D28" s="58" t="s">
        <v>370</v>
      </c>
      <c r="E28" s="58" t="s">
        <v>370</v>
      </c>
      <c r="F28" s="58" t="s">
        <v>372</v>
      </c>
      <c r="G28" s="61" t="s">
        <v>371</v>
      </c>
      <c r="H28" s="55" t="s">
        <v>373</v>
      </c>
      <c r="I28" s="58" t="s">
        <v>369</v>
      </c>
      <c r="J28" s="136" t="s">
        <v>1312</v>
      </c>
      <c r="K28" s="74"/>
      <c r="L28" s="55">
        <f t="shared" si="2"/>
        <v>3</v>
      </c>
      <c r="M28" s="58" t="str">
        <f>E32</f>
        <v>ing</v>
      </c>
      <c r="N28" s="58" t="str">
        <f>I32</f>
        <v>ㄧㄥ</v>
      </c>
      <c r="P28" s="122" t="str">
        <f t="shared" si="6"/>
        <v>ing(\d)</v>
      </c>
      <c r="Q28" s="125" t="s">
        <v>324</v>
      </c>
      <c r="R28" s="125">
        <f t="shared" si="7"/>
        <v>1</v>
      </c>
      <c r="S28" s="122" t="str">
        <f t="shared" si="11"/>
        <v>》i${1}ng</v>
      </c>
      <c r="T28" s="56"/>
      <c r="U28" s="57" t="str">
        <f t="shared" si="8"/>
        <v xml:space="preserve">    - xform/》ing(\d)/》i${1}ng/</v>
      </c>
    </row>
    <row r="29" spans="1:21" ht="27.75" thickBot="1">
      <c r="A29" s="58">
        <v>26</v>
      </c>
      <c r="B29" s="140" t="s">
        <v>848</v>
      </c>
      <c r="C29" s="142" t="s">
        <v>329</v>
      </c>
      <c r="D29" s="58" t="s">
        <v>329</v>
      </c>
      <c r="E29" s="58" t="s">
        <v>329</v>
      </c>
      <c r="F29" s="58" t="s">
        <v>329</v>
      </c>
      <c r="G29" s="61" t="s">
        <v>329</v>
      </c>
      <c r="H29" s="55" t="s">
        <v>330</v>
      </c>
      <c r="I29" s="58" t="s">
        <v>2194</v>
      </c>
      <c r="J29" s="58"/>
      <c r="K29" s="74"/>
      <c r="L29" s="55">
        <f t="shared" si="2"/>
        <v>2</v>
      </c>
      <c r="M29" s="58" t="str">
        <f>E33</f>
        <v>ip</v>
      </c>
      <c r="N29" s="58" t="str">
        <f>I33</f>
        <v>一ㆴ</v>
      </c>
      <c r="P29" s="122" t="str">
        <f t="shared" si="6"/>
        <v>ip(\d)</v>
      </c>
      <c r="Q29" s="125" t="s">
        <v>324</v>
      </c>
      <c r="R29" s="125">
        <f t="shared" si="7"/>
        <v>1</v>
      </c>
      <c r="S29" s="122" t="str">
        <f t="shared" si="11"/>
        <v>》i${1}p</v>
      </c>
      <c r="T29" s="56"/>
      <c r="U29" s="57" t="str">
        <f t="shared" si="8"/>
        <v xml:space="preserve">    - xform/》ip(\d)/》i${1}p/</v>
      </c>
    </row>
    <row r="30" spans="1:21" ht="27.75" thickBot="1">
      <c r="A30" s="58">
        <v>27</v>
      </c>
      <c r="B30" s="140" t="s">
        <v>38</v>
      </c>
      <c r="C30" s="142" t="s">
        <v>38</v>
      </c>
      <c r="D30" s="58" t="s">
        <v>38</v>
      </c>
      <c r="E30" s="58" t="s">
        <v>38</v>
      </c>
      <c r="F30" s="58" t="s">
        <v>38</v>
      </c>
      <c r="G30" s="61" t="s">
        <v>38</v>
      </c>
      <c r="H30" s="55" t="s">
        <v>41</v>
      </c>
      <c r="I30" s="58" t="s">
        <v>40</v>
      </c>
      <c r="J30" s="58"/>
      <c r="K30" s="74"/>
      <c r="L30" s="55">
        <f t="shared" si="2"/>
        <v>2</v>
      </c>
      <c r="M30" s="58" t="str">
        <f>E34</f>
        <v>it</v>
      </c>
      <c r="N30" s="58" t="str">
        <f>I34</f>
        <v>ㄧㆵ</v>
      </c>
      <c r="P30" s="122" t="str">
        <f t="shared" si="6"/>
        <v>it(\d)</v>
      </c>
      <c r="Q30" s="125" t="s">
        <v>324</v>
      </c>
      <c r="R30" s="125">
        <f t="shared" si="7"/>
        <v>1</v>
      </c>
      <c r="S30" s="122" t="str">
        <f t="shared" si="11"/>
        <v>》i${1}t</v>
      </c>
      <c r="T30" s="56"/>
      <c r="U30" s="57" t="str">
        <f t="shared" si="8"/>
        <v xml:space="preserve">    - xform/》it(\d)/》i${1}t/</v>
      </c>
    </row>
    <row r="31" spans="1:21" ht="27.75" thickBot="1">
      <c r="A31" s="58">
        <v>28</v>
      </c>
      <c r="B31" s="140" t="s">
        <v>189</v>
      </c>
      <c r="C31" s="142" t="s">
        <v>189</v>
      </c>
      <c r="D31" s="58" t="s">
        <v>189</v>
      </c>
      <c r="E31" s="58" t="s">
        <v>189</v>
      </c>
      <c r="F31" s="58" t="s">
        <v>189</v>
      </c>
      <c r="G31" s="61" t="s">
        <v>189</v>
      </c>
      <c r="H31" s="55" t="s">
        <v>192</v>
      </c>
      <c r="I31" s="58" t="s">
        <v>191</v>
      </c>
      <c r="J31" s="58"/>
      <c r="K31" s="74"/>
      <c r="L31" s="55">
        <f t="shared" si="2"/>
        <v>2</v>
      </c>
      <c r="M31" s="58" t="str">
        <f>E35</f>
        <v>ik</v>
      </c>
      <c r="N31" s="58" t="str">
        <f>I35</f>
        <v>ㄧㆻ</v>
      </c>
      <c r="P31" s="122" t="str">
        <f t="shared" si="6"/>
        <v>ik(\d)</v>
      </c>
      <c r="Q31" s="125" t="s">
        <v>324</v>
      </c>
      <c r="R31" s="125">
        <f t="shared" si="7"/>
        <v>1</v>
      </c>
      <c r="S31" s="122" t="str">
        <f t="shared" si="11"/>
        <v>》i${1}k</v>
      </c>
      <c r="T31" s="56"/>
      <c r="U31" s="57" t="str">
        <f t="shared" si="8"/>
        <v xml:space="preserve">    - xform/》ik(\d)/》i${1}k/</v>
      </c>
    </row>
    <row r="32" spans="1:21" ht="27.75" thickBot="1">
      <c r="A32" s="58">
        <v>29</v>
      </c>
      <c r="B32" s="140" t="s">
        <v>106</v>
      </c>
      <c r="C32" s="142" t="s">
        <v>109</v>
      </c>
      <c r="D32" s="58" t="s">
        <v>109</v>
      </c>
      <c r="E32" s="58" t="s">
        <v>109</v>
      </c>
      <c r="F32" s="58" t="s">
        <v>109</v>
      </c>
      <c r="G32" s="61" t="s">
        <v>110</v>
      </c>
      <c r="H32" s="55" t="s">
        <v>111</v>
      </c>
      <c r="I32" s="58" t="s">
        <v>108</v>
      </c>
      <c r="J32" s="58"/>
      <c r="K32" s="74"/>
      <c r="L32" s="55">
        <f t="shared" si="2"/>
        <v>2</v>
      </c>
      <c r="M32" s="58" t="str">
        <f>E36</f>
        <v>ia</v>
      </c>
      <c r="N32" s="58" t="str">
        <f>I36</f>
        <v>ㄧㄚ</v>
      </c>
      <c r="P32" s="122" t="str">
        <f t="shared" si="6"/>
        <v>ia(\d)</v>
      </c>
      <c r="Q32" s="125" t="s">
        <v>316</v>
      </c>
      <c r="R32" s="125">
        <f t="shared" si="7"/>
        <v>2</v>
      </c>
      <c r="S32" s="122" t="str">
        <f t="shared" si="11"/>
        <v>i》a${1}</v>
      </c>
      <c r="T32" s="56"/>
      <c r="U32" s="57" t="str">
        <f t="shared" si="8"/>
        <v xml:space="preserve">    - xform/》ia(\d)/i》a${1}/</v>
      </c>
    </row>
    <row r="33" spans="1:21" ht="27.75" thickBot="1">
      <c r="A33" s="58">
        <v>30</v>
      </c>
      <c r="B33" s="140" t="s">
        <v>44</v>
      </c>
      <c r="C33" s="142" t="s">
        <v>46</v>
      </c>
      <c r="D33" s="58" t="s">
        <v>46</v>
      </c>
      <c r="E33" s="58" t="s">
        <v>46</v>
      </c>
      <c r="F33" s="58" t="s">
        <v>46</v>
      </c>
      <c r="G33" s="61" t="s">
        <v>46</v>
      </c>
      <c r="H33" s="55" t="s">
        <v>47</v>
      </c>
      <c r="I33" s="58" t="s">
        <v>45</v>
      </c>
      <c r="J33" s="58"/>
      <c r="K33" s="74"/>
      <c r="L33" s="55">
        <f t="shared" si="2"/>
        <v>4</v>
      </c>
      <c r="M33" s="58" t="str">
        <f>E37</f>
        <v>iann</v>
      </c>
      <c r="N33" s="58" t="str">
        <f>I37</f>
        <v>ㄧㆩ</v>
      </c>
      <c r="P33" s="122" t="str">
        <f t="shared" si="6"/>
        <v>iann(\d)</v>
      </c>
      <c r="Q33" s="125" t="s">
        <v>316</v>
      </c>
      <c r="R33" s="125">
        <f t="shared" si="7"/>
        <v>2</v>
      </c>
      <c r="S33" s="122" t="str">
        <f t="shared" si="11"/>
        <v>i》a${1}nn</v>
      </c>
      <c r="T33" s="56"/>
      <c r="U33" s="57" t="str">
        <f t="shared" si="8"/>
        <v xml:space="preserve">    - xform/》iann(\d)/i》a${1}nn/</v>
      </c>
    </row>
    <row r="34" spans="1:21" ht="27.75" thickBot="1">
      <c r="A34" s="58">
        <v>31</v>
      </c>
      <c r="B34" s="140" t="s">
        <v>195</v>
      </c>
      <c r="C34" s="142" t="s">
        <v>197</v>
      </c>
      <c r="D34" s="58" t="s">
        <v>197</v>
      </c>
      <c r="E34" s="58" t="s">
        <v>197</v>
      </c>
      <c r="F34" s="58" t="s">
        <v>197</v>
      </c>
      <c r="G34" s="61" t="s">
        <v>197</v>
      </c>
      <c r="H34" s="55" t="s">
        <v>198</v>
      </c>
      <c r="I34" s="58" t="s">
        <v>196</v>
      </c>
      <c r="J34" s="58"/>
      <c r="K34" s="74"/>
      <c r="L34" s="55">
        <f t="shared" si="2"/>
        <v>3</v>
      </c>
      <c r="M34" s="58" t="str">
        <f>E38</f>
        <v>iah</v>
      </c>
      <c r="N34" s="58" t="str">
        <f>I38</f>
        <v>ㄧㄚㆷ</v>
      </c>
      <c r="P34" s="122" t="str">
        <f t="shared" si="6"/>
        <v>iah(\d)</v>
      </c>
      <c r="Q34" s="125" t="s">
        <v>316</v>
      </c>
      <c r="R34" s="125">
        <f t="shared" si="7"/>
        <v>2</v>
      </c>
      <c r="S34" s="122" t="str">
        <f t="shared" si="11"/>
        <v>i》a${1}h</v>
      </c>
      <c r="T34" s="56"/>
      <c r="U34" s="57" t="str">
        <f t="shared" si="8"/>
        <v xml:space="preserve">    - xform/》iah(\d)/i》a${1}h/</v>
      </c>
    </row>
    <row r="35" spans="1:21" ht="27.75" thickBot="1">
      <c r="A35" s="58">
        <v>32</v>
      </c>
      <c r="B35" s="140" t="s">
        <v>2497</v>
      </c>
      <c r="C35" s="142" t="s">
        <v>115</v>
      </c>
      <c r="D35" s="58" t="s">
        <v>115</v>
      </c>
      <c r="E35" s="58" t="s">
        <v>115</v>
      </c>
      <c r="F35" s="58" t="s">
        <v>115</v>
      </c>
      <c r="G35" s="61" t="s">
        <v>116</v>
      </c>
      <c r="H35" s="55" t="s">
        <v>117</v>
      </c>
      <c r="I35" s="58" t="s">
        <v>114</v>
      </c>
      <c r="J35" s="58"/>
      <c r="K35" s="74"/>
      <c r="L35" s="55">
        <f t="shared" si="2"/>
        <v>5</v>
      </c>
      <c r="M35" s="58" t="str">
        <f>E39</f>
        <v>iannh</v>
      </c>
      <c r="N35" s="58" t="str">
        <f>I39</f>
        <v>ㄧㆩㆷ</v>
      </c>
      <c r="P35" s="122" t="str">
        <f t="shared" si="6"/>
        <v>iannh(\d)</v>
      </c>
      <c r="Q35" s="125" t="s">
        <v>316</v>
      </c>
      <c r="R35" s="125">
        <f t="shared" si="7"/>
        <v>2</v>
      </c>
      <c r="S35" s="122" t="str">
        <f t="shared" si="11"/>
        <v>i》a${1}nnh</v>
      </c>
      <c r="T35" s="56"/>
      <c r="U35" s="57" t="str">
        <f t="shared" si="8"/>
        <v xml:space="preserve">    - xform/》iannh(\d)/i》a${1}nnh/</v>
      </c>
    </row>
    <row r="36" spans="1:21" ht="27.75" thickBot="1">
      <c r="A36" s="58">
        <v>33</v>
      </c>
      <c r="B36" s="140" t="s">
        <v>1174</v>
      </c>
      <c r="C36" s="142" t="s">
        <v>272</v>
      </c>
      <c r="D36" s="58" t="s">
        <v>272</v>
      </c>
      <c r="E36" s="58" t="s">
        <v>272</v>
      </c>
      <c r="F36" s="58" t="s">
        <v>272</v>
      </c>
      <c r="G36" s="61" t="s">
        <v>272</v>
      </c>
      <c r="H36" s="55" t="s">
        <v>275</v>
      </c>
      <c r="I36" s="58" t="s">
        <v>274</v>
      </c>
      <c r="J36" s="58"/>
      <c r="K36" s="74"/>
      <c r="L36" s="55">
        <f t="shared" ref="L36:L67" si="12" xml:space="preserve"> LEN(M36)</f>
        <v>3</v>
      </c>
      <c r="M36" s="58" t="str">
        <f>E40</f>
        <v>iam</v>
      </c>
      <c r="N36" s="58" t="str">
        <f>I40</f>
        <v>ㄧㆰ</v>
      </c>
      <c r="P36" s="122" t="str">
        <f t="shared" si="6"/>
        <v>iam(\d)</v>
      </c>
      <c r="Q36" s="125" t="s">
        <v>316</v>
      </c>
      <c r="R36" s="125">
        <f t="shared" si="7"/>
        <v>2</v>
      </c>
      <c r="S36" s="122" t="str">
        <f t="shared" si="11"/>
        <v>i》a${1}m</v>
      </c>
      <c r="T36" s="56"/>
      <c r="U36" s="57" t="str">
        <f t="shared" si="8"/>
        <v xml:space="preserve">    - xform/》iam(\d)/i》a${1}m/</v>
      </c>
    </row>
    <row r="37" spans="1:21" ht="27.75" thickBot="1">
      <c r="A37" s="58">
        <v>34</v>
      </c>
      <c r="B37" s="140" t="s">
        <v>2498</v>
      </c>
      <c r="C37" s="142" t="s">
        <v>391</v>
      </c>
      <c r="D37" s="58" t="s">
        <v>391</v>
      </c>
      <c r="E37" s="58" t="s">
        <v>391</v>
      </c>
      <c r="F37" s="58" t="s">
        <v>394</v>
      </c>
      <c r="G37" s="61" t="s">
        <v>393</v>
      </c>
      <c r="H37" s="55" t="s">
        <v>395</v>
      </c>
      <c r="I37" s="58" t="s">
        <v>390</v>
      </c>
      <c r="J37" s="136" t="s">
        <v>1312</v>
      </c>
      <c r="K37" s="74"/>
      <c r="L37" s="55">
        <f t="shared" si="12"/>
        <v>3</v>
      </c>
      <c r="M37" s="58" t="str">
        <f>E41</f>
        <v>ian</v>
      </c>
      <c r="N37" s="58" t="str">
        <f>I41</f>
        <v>ㄧㄢ</v>
      </c>
      <c r="P37" s="122" t="str">
        <f t="shared" si="6"/>
        <v>ian(\d)</v>
      </c>
      <c r="Q37" s="125" t="s">
        <v>316</v>
      </c>
      <c r="R37" s="125">
        <f t="shared" si="7"/>
        <v>2</v>
      </c>
      <c r="S37" s="122" t="str">
        <f t="shared" si="11"/>
        <v>i》a${1}n</v>
      </c>
      <c r="T37" s="56"/>
      <c r="U37" s="57" t="str">
        <f t="shared" si="8"/>
        <v xml:space="preserve">    - xform/》ian(\d)/i》a${1}n/</v>
      </c>
    </row>
    <row r="38" spans="1:21" ht="27.75" thickBot="1">
      <c r="A38" s="58">
        <v>35</v>
      </c>
      <c r="B38" s="140" t="s">
        <v>1682</v>
      </c>
      <c r="C38" s="142" t="s">
        <v>278</v>
      </c>
      <c r="D38" s="58" t="s">
        <v>278</v>
      </c>
      <c r="E38" s="58" t="s">
        <v>278</v>
      </c>
      <c r="F38" s="58" t="s">
        <v>278</v>
      </c>
      <c r="G38" s="61" t="s">
        <v>278</v>
      </c>
      <c r="H38" s="55" t="s">
        <v>279</v>
      </c>
      <c r="I38" s="58" t="s">
        <v>2195</v>
      </c>
      <c r="J38" s="58"/>
      <c r="K38" s="74"/>
      <c r="L38" s="55">
        <f t="shared" si="12"/>
        <v>4</v>
      </c>
      <c r="M38" s="58" t="str">
        <f>E42</f>
        <v>iang</v>
      </c>
      <c r="N38" s="58" t="str">
        <f>I42</f>
        <v>ㄧㄤ</v>
      </c>
      <c r="P38" s="122" t="str">
        <f t="shared" si="6"/>
        <v>iang(\d)</v>
      </c>
      <c r="Q38" s="125" t="s">
        <v>316</v>
      </c>
      <c r="R38" s="125">
        <f t="shared" si="7"/>
        <v>2</v>
      </c>
      <c r="S38" s="122" t="str">
        <f t="shared" si="11"/>
        <v>i》a${1}ng</v>
      </c>
      <c r="T38" s="56"/>
      <c r="U38" s="57" t="str">
        <f t="shared" si="8"/>
        <v xml:space="preserve">    - xform/》iang(\d)/i》a${1}ng/</v>
      </c>
    </row>
    <row r="39" spans="1:21" ht="30.75" thickBot="1">
      <c r="A39" s="58">
        <v>36</v>
      </c>
      <c r="B39" s="140" t="s">
        <v>2499</v>
      </c>
      <c r="C39" s="142" t="s">
        <v>392</v>
      </c>
      <c r="D39" s="75" t="s">
        <v>392</v>
      </c>
      <c r="E39" s="75" t="s">
        <v>392</v>
      </c>
      <c r="F39" s="75" t="s">
        <v>392</v>
      </c>
      <c r="G39" s="75" t="s">
        <v>2212</v>
      </c>
      <c r="H39" s="147" t="s">
        <v>279</v>
      </c>
      <c r="I39" s="144" t="s">
        <v>2196</v>
      </c>
      <c r="J39" s="136" t="s">
        <v>1312</v>
      </c>
      <c r="K39" s="74"/>
      <c r="L39" s="55">
        <f t="shared" si="12"/>
        <v>3</v>
      </c>
      <c r="M39" s="58" t="str">
        <f>E43</f>
        <v>iap</v>
      </c>
      <c r="N39" s="58" t="str">
        <f>I43</f>
        <v>ㄧㄚㆴ</v>
      </c>
      <c r="P39" s="122" t="str">
        <f t="shared" si="6"/>
        <v>iap(\d)</v>
      </c>
      <c r="Q39" s="125" t="s">
        <v>316</v>
      </c>
      <c r="R39" s="125">
        <f t="shared" si="7"/>
        <v>2</v>
      </c>
      <c r="S39" s="122" t="str">
        <f t="shared" si="11"/>
        <v>i》a${1}p</v>
      </c>
      <c r="T39" s="56"/>
      <c r="U39" s="57" t="str">
        <f t="shared" si="8"/>
        <v xml:space="preserve">    - xform/》iap(\d)/i》a${1}p/</v>
      </c>
    </row>
    <row r="40" spans="1:21" ht="27.75" thickBot="1">
      <c r="A40" s="58">
        <v>37</v>
      </c>
      <c r="B40" s="140" t="s">
        <v>1698</v>
      </c>
      <c r="C40" s="142" t="s">
        <v>247</v>
      </c>
      <c r="D40" s="58" t="s">
        <v>247</v>
      </c>
      <c r="E40" s="58" t="s">
        <v>247</v>
      </c>
      <c r="F40" s="58" t="s">
        <v>247</v>
      </c>
      <c r="G40" s="61" t="s">
        <v>247</v>
      </c>
      <c r="H40" s="55" t="s">
        <v>250</v>
      </c>
      <c r="I40" s="58" t="s">
        <v>249</v>
      </c>
      <c r="J40" s="58"/>
      <c r="K40" s="74"/>
      <c r="L40" s="55">
        <f t="shared" si="12"/>
        <v>3</v>
      </c>
      <c r="M40" s="58" t="str">
        <f>E44</f>
        <v>iat</v>
      </c>
      <c r="N40" s="58" t="str">
        <f>I44</f>
        <v>ㄧㄚㆵ</v>
      </c>
      <c r="P40" s="122" t="str">
        <f t="shared" si="6"/>
        <v>iat(\d)</v>
      </c>
      <c r="Q40" s="125" t="s">
        <v>316</v>
      </c>
      <c r="R40" s="125">
        <f t="shared" si="7"/>
        <v>2</v>
      </c>
      <c r="S40" s="122" t="str">
        <f t="shared" si="11"/>
        <v>i》a${1}t</v>
      </c>
      <c r="T40" s="56"/>
      <c r="U40" s="57" t="str">
        <f t="shared" si="8"/>
        <v xml:space="preserve">    - xform/》iat(\d)/i》a${1}t/</v>
      </c>
    </row>
    <row r="41" spans="1:21" ht="27.75" thickBot="1">
      <c r="A41" s="58">
        <v>38</v>
      </c>
      <c r="B41" s="140" t="s">
        <v>1162</v>
      </c>
      <c r="C41" s="142" t="s">
        <v>27</v>
      </c>
      <c r="D41" s="58" t="s">
        <v>27</v>
      </c>
      <c r="E41" s="58" t="s">
        <v>27</v>
      </c>
      <c r="F41" s="58" t="s">
        <v>27</v>
      </c>
      <c r="G41" s="61" t="s">
        <v>27</v>
      </c>
      <c r="H41" s="55" t="s">
        <v>30</v>
      </c>
      <c r="I41" s="58" t="s">
        <v>29</v>
      </c>
      <c r="J41" s="58"/>
      <c r="K41" s="74"/>
      <c r="L41" s="55">
        <f t="shared" si="12"/>
        <v>3</v>
      </c>
      <c r="M41" s="58" t="str">
        <f>E45</f>
        <v>iak</v>
      </c>
      <c r="N41" s="58" t="str">
        <f>I45</f>
        <v>ㄧㄚㆻ</v>
      </c>
      <c r="P41" s="122" t="str">
        <f t="shared" si="6"/>
        <v>iak(\d)</v>
      </c>
      <c r="Q41" s="125" t="s">
        <v>316</v>
      </c>
      <c r="R41" s="125">
        <f t="shared" si="7"/>
        <v>2</v>
      </c>
      <c r="S41" s="122" t="str">
        <f t="shared" si="11"/>
        <v>i》a${1}k</v>
      </c>
      <c r="T41" s="56"/>
      <c r="U41" s="57" t="str">
        <f t="shared" si="8"/>
        <v xml:space="preserve">    - xform/》iak(\d)/i》a${1}k/</v>
      </c>
    </row>
    <row r="42" spans="1:21" ht="27.75" thickBot="1">
      <c r="A42" s="58">
        <v>39</v>
      </c>
      <c r="B42" s="140" t="s">
        <v>1170</v>
      </c>
      <c r="C42" s="142" t="s">
        <v>203</v>
      </c>
      <c r="D42" s="58" t="s">
        <v>203</v>
      </c>
      <c r="E42" s="58" t="s">
        <v>203</v>
      </c>
      <c r="F42" s="58" t="s">
        <v>203</v>
      </c>
      <c r="G42" s="61" t="s">
        <v>203</v>
      </c>
      <c r="H42" s="55" t="s">
        <v>204</v>
      </c>
      <c r="I42" s="58" t="s">
        <v>2197</v>
      </c>
      <c r="J42" s="58"/>
      <c r="K42" s="74"/>
      <c r="L42" s="55">
        <f t="shared" si="12"/>
        <v>3</v>
      </c>
      <c r="M42" s="58" t="str">
        <f>E46</f>
        <v>iau</v>
      </c>
      <c r="N42" s="58" t="str">
        <f>I46</f>
        <v>ㄧㄠ</v>
      </c>
      <c r="P42" s="122" t="str">
        <f t="shared" si="6"/>
        <v>iau(\d)</v>
      </c>
      <c r="Q42" s="125" t="s">
        <v>316</v>
      </c>
      <c r="R42" s="125">
        <f t="shared" si="7"/>
        <v>2</v>
      </c>
      <c r="S42" s="122" t="str">
        <f t="shared" si="11"/>
        <v>i》a${1}u</v>
      </c>
      <c r="T42" s="56"/>
      <c r="U42" s="57" t="str">
        <f t="shared" si="8"/>
        <v xml:space="preserve">    - xform/》iau(\d)/i》a${1}u/</v>
      </c>
    </row>
    <row r="43" spans="1:21" ht="27.75" thickBot="1">
      <c r="A43" s="58">
        <v>40</v>
      </c>
      <c r="B43" s="140" t="s">
        <v>1736</v>
      </c>
      <c r="C43" s="142" t="s">
        <v>256</v>
      </c>
      <c r="D43" s="58" t="s">
        <v>256</v>
      </c>
      <c r="E43" s="58" t="s">
        <v>256</v>
      </c>
      <c r="F43" s="58" t="s">
        <v>256</v>
      </c>
      <c r="G43" s="61" t="s">
        <v>256</v>
      </c>
      <c r="H43" s="55" t="s">
        <v>257</v>
      </c>
      <c r="I43" s="58" t="s">
        <v>255</v>
      </c>
      <c r="J43" s="58"/>
      <c r="K43" s="74"/>
      <c r="L43" s="55">
        <f t="shared" si="12"/>
        <v>5</v>
      </c>
      <c r="M43" s="58" t="str">
        <f>E47</f>
        <v>iaunn</v>
      </c>
      <c r="N43" s="58" t="str">
        <f>I47</f>
        <v>ㄧㆯ</v>
      </c>
      <c r="P43" s="122" t="str">
        <f t="shared" si="6"/>
        <v>iaunn(\d)</v>
      </c>
      <c r="Q43" s="125" t="s">
        <v>316</v>
      </c>
      <c r="R43" s="125">
        <f t="shared" si="7"/>
        <v>2</v>
      </c>
      <c r="S43" s="122" t="str">
        <f t="shared" si="11"/>
        <v>i》a${1}unn</v>
      </c>
      <c r="T43" s="56"/>
      <c r="U43" s="57" t="str">
        <f t="shared" si="8"/>
        <v xml:space="preserve">    - xform/》iaunn(\d)/i》a${1}unn/</v>
      </c>
    </row>
    <row r="44" spans="1:21" ht="27.75" thickBot="1">
      <c r="A44" s="58">
        <v>41</v>
      </c>
      <c r="B44" s="140" t="s">
        <v>1163</v>
      </c>
      <c r="C44" s="142" t="s">
        <v>34</v>
      </c>
      <c r="D44" s="58" t="s">
        <v>34</v>
      </c>
      <c r="E44" s="58" t="s">
        <v>34</v>
      </c>
      <c r="F44" s="58" t="s">
        <v>34</v>
      </c>
      <c r="G44" s="61" t="s">
        <v>34</v>
      </c>
      <c r="H44" s="55" t="s">
        <v>35</v>
      </c>
      <c r="I44" s="58" t="s">
        <v>33</v>
      </c>
      <c r="J44" s="58"/>
      <c r="K44" s="74"/>
      <c r="L44" s="55">
        <f t="shared" si="12"/>
        <v>4</v>
      </c>
      <c r="M44" s="58" t="str">
        <f>E48</f>
        <v>iauh</v>
      </c>
      <c r="N44" s="58" t="str">
        <f>I48</f>
        <v>ㄧㄠㆷ</v>
      </c>
      <c r="P44" s="122" t="str">
        <f t="shared" si="6"/>
        <v>iauh(\d)</v>
      </c>
      <c r="Q44" s="125" t="s">
        <v>316</v>
      </c>
      <c r="R44" s="125">
        <f t="shared" si="7"/>
        <v>2</v>
      </c>
      <c r="S44" s="122" t="str">
        <f t="shared" si="11"/>
        <v>i》a${1}uh</v>
      </c>
      <c r="T44" s="56"/>
      <c r="U44" s="57" t="str">
        <f t="shared" si="8"/>
        <v xml:space="preserve">    - xform/》iauh(\d)/i》a${1}uh/</v>
      </c>
    </row>
    <row r="45" spans="1:21" ht="27.75" thickBot="1">
      <c r="A45" s="58">
        <v>42</v>
      </c>
      <c r="B45" s="140" t="s">
        <v>1171</v>
      </c>
      <c r="C45" s="142" t="s">
        <v>207</v>
      </c>
      <c r="D45" s="58" t="s">
        <v>207</v>
      </c>
      <c r="E45" s="58" t="s">
        <v>207</v>
      </c>
      <c r="F45" s="58" t="s">
        <v>207</v>
      </c>
      <c r="G45" s="61" t="s">
        <v>207</v>
      </c>
      <c r="H45" s="55" t="s">
        <v>208</v>
      </c>
      <c r="I45" s="58" t="s">
        <v>2198</v>
      </c>
      <c r="J45" s="58"/>
      <c r="K45" s="74"/>
      <c r="L45" s="55">
        <f t="shared" si="12"/>
        <v>3</v>
      </c>
      <c r="M45" s="58" t="str">
        <f>E49</f>
        <v>ior</v>
      </c>
      <c r="N45" s="58" t="str">
        <f>I49</f>
        <v>ㄧㄜ</v>
      </c>
      <c r="P45" s="122" t="str">
        <f t="shared" si="6"/>
        <v>ior(\d)</v>
      </c>
      <c r="Q45" s="125" t="s">
        <v>171</v>
      </c>
      <c r="R45" s="125">
        <f t="shared" si="7"/>
        <v>2</v>
      </c>
      <c r="S45" s="122" t="str">
        <f t="shared" si="11"/>
        <v>i》o${1}r</v>
      </c>
      <c r="T45" s="56"/>
      <c r="U45" s="57" t="str">
        <f t="shared" si="8"/>
        <v xml:space="preserve">    - xform/》ior(\d)/i》o${1}r/</v>
      </c>
    </row>
    <row r="46" spans="1:21" ht="27.75" thickBot="1">
      <c r="A46" s="58">
        <v>43</v>
      </c>
      <c r="B46" s="140" t="s">
        <v>1166</v>
      </c>
      <c r="C46" s="142" t="s">
        <v>141</v>
      </c>
      <c r="D46" s="58" t="s">
        <v>141</v>
      </c>
      <c r="E46" s="58" t="s">
        <v>141</v>
      </c>
      <c r="F46" s="58" t="s">
        <v>144</v>
      </c>
      <c r="G46" s="61" t="s">
        <v>141</v>
      </c>
      <c r="H46" s="55" t="s">
        <v>145</v>
      </c>
      <c r="I46" s="58" t="s">
        <v>143</v>
      </c>
      <c r="J46" s="58"/>
      <c r="K46" s="74"/>
      <c r="L46" s="55">
        <f t="shared" si="12"/>
        <v>5</v>
      </c>
      <c r="M46" s="58" t="str">
        <f>E50</f>
        <v>ioonn</v>
      </c>
      <c r="N46" s="58" t="str">
        <f>I50</f>
        <v>ㄧㆧ</v>
      </c>
      <c r="P46" s="122" t="str">
        <f t="shared" si="6"/>
        <v>ioonn(\d)</v>
      </c>
      <c r="Q46" s="125" t="s">
        <v>171</v>
      </c>
      <c r="R46" s="125">
        <f t="shared" si="7"/>
        <v>2</v>
      </c>
      <c r="S46" s="122" t="str">
        <f t="shared" si="11"/>
        <v>i》o${1}onn</v>
      </c>
      <c r="T46" s="56"/>
      <c r="U46" s="57" t="str">
        <f t="shared" si="8"/>
        <v xml:space="preserve">    - xform/》ioonn(\d)/i》o${1}onn/</v>
      </c>
    </row>
    <row r="47" spans="1:21" ht="27.75" thickBot="1">
      <c r="A47" s="58">
        <v>44</v>
      </c>
      <c r="B47" s="140" t="s">
        <v>2500</v>
      </c>
      <c r="C47" s="142" t="s">
        <v>467</v>
      </c>
      <c r="D47" s="58" t="s">
        <v>467</v>
      </c>
      <c r="E47" s="58" t="s">
        <v>467</v>
      </c>
      <c r="F47" s="58" t="s">
        <v>469</v>
      </c>
      <c r="G47" s="61" t="s">
        <v>468</v>
      </c>
      <c r="H47" s="55" t="s">
        <v>470</v>
      </c>
      <c r="I47" s="58" t="s">
        <v>466</v>
      </c>
      <c r="J47" s="136" t="s">
        <v>1312</v>
      </c>
      <c r="K47" s="74"/>
      <c r="L47" s="55">
        <f t="shared" si="12"/>
        <v>4</v>
      </c>
      <c r="M47" s="58" t="str">
        <f>E51</f>
        <v>iorh</v>
      </c>
      <c r="N47" s="58" t="str">
        <f>I51</f>
        <v>ㄧㄜㆷ</v>
      </c>
      <c r="P47" s="122" t="str">
        <f t="shared" si="6"/>
        <v>iorh(\d)</v>
      </c>
      <c r="Q47" s="125" t="s">
        <v>171</v>
      </c>
      <c r="R47" s="125">
        <f t="shared" si="7"/>
        <v>2</v>
      </c>
      <c r="S47" s="122" t="str">
        <f t="shared" si="11"/>
        <v>i》o${1}rh</v>
      </c>
      <c r="T47" s="56"/>
      <c r="U47" s="57" t="str">
        <f t="shared" si="8"/>
        <v xml:space="preserve">    - xform/》iorh(\d)/i》o${1}rh/</v>
      </c>
    </row>
    <row r="48" spans="1:21" ht="27.75" thickBot="1">
      <c r="A48" s="58">
        <v>45</v>
      </c>
      <c r="B48" s="140" t="s">
        <v>1167</v>
      </c>
      <c r="C48" s="142" t="s">
        <v>148</v>
      </c>
      <c r="D48" s="58" t="s">
        <v>148</v>
      </c>
      <c r="E48" s="58" t="s">
        <v>148</v>
      </c>
      <c r="F48" s="58" t="s">
        <v>149</v>
      </c>
      <c r="G48" s="61" t="s">
        <v>148</v>
      </c>
      <c r="H48" s="55" t="s">
        <v>150</v>
      </c>
      <c r="I48" s="58" t="s">
        <v>2199</v>
      </c>
      <c r="J48" s="58"/>
      <c r="K48" s="74"/>
      <c r="L48" s="55">
        <f t="shared" si="12"/>
        <v>4</v>
      </c>
      <c r="M48" s="58" t="str">
        <f>E52</f>
        <v>iong</v>
      </c>
      <c r="N48" s="58" t="str">
        <f>I52</f>
        <v>ㄧㆲ</v>
      </c>
      <c r="P48" s="122" t="str">
        <f t="shared" si="6"/>
        <v>iong(\d)</v>
      </c>
      <c r="Q48" s="125" t="s">
        <v>171</v>
      </c>
      <c r="R48" s="125">
        <f t="shared" si="7"/>
        <v>2</v>
      </c>
      <c r="S48" s="122" t="str">
        <f t="shared" si="11"/>
        <v>i》o${1}ng</v>
      </c>
      <c r="T48" s="56"/>
      <c r="U48" s="57" t="str">
        <f t="shared" si="8"/>
        <v xml:space="preserve">    - xform/》iong(\d)/i》o${1}ng/</v>
      </c>
    </row>
    <row r="49" spans="1:21" ht="27.75" thickBot="1">
      <c r="A49" s="58">
        <v>46</v>
      </c>
      <c r="B49" s="140" t="s">
        <v>2501</v>
      </c>
      <c r="C49" s="142" t="s">
        <v>357</v>
      </c>
      <c r="D49" s="58" t="s">
        <v>357</v>
      </c>
      <c r="E49" s="58" t="s">
        <v>360</v>
      </c>
      <c r="F49" s="58" t="s">
        <v>357</v>
      </c>
      <c r="G49" s="61" t="s">
        <v>357</v>
      </c>
      <c r="H49" s="55" t="s">
        <v>361</v>
      </c>
      <c r="I49" s="58" t="s">
        <v>359</v>
      </c>
      <c r="J49" s="58"/>
      <c r="K49" s="74"/>
      <c r="L49" s="55">
        <f t="shared" si="12"/>
        <v>4</v>
      </c>
      <c r="M49" s="58" t="str">
        <f>E53</f>
        <v>iook</v>
      </c>
      <c r="N49" s="58" t="str">
        <f>I53</f>
        <v>ㄧㆦㆻ</v>
      </c>
      <c r="P49" s="122" t="str">
        <f t="shared" si="6"/>
        <v>iook(\d)</v>
      </c>
      <c r="Q49" s="125" t="s">
        <v>171</v>
      </c>
      <c r="R49" s="125">
        <f t="shared" si="7"/>
        <v>2</v>
      </c>
      <c r="S49" s="122" t="str">
        <f t="shared" si="11"/>
        <v>i》o${1}ok</v>
      </c>
      <c r="T49" s="56"/>
      <c r="U49" s="57" t="str">
        <f t="shared" si="8"/>
        <v xml:space="preserve">    - xform/》iook(\d)/i》o${1}ok/</v>
      </c>
    </row>
    <row r="50" spans="1:21" ht="27.75" thickBot="1">
      <c r="A50" s="58">
        <v>47</v>
      </c>
      <c r="B50" s="140" t="s">
        <v>1807</v>
      </c>
      <c r="C50" s="142" t="s">
        <v>383</v>
      </c>
      <c r="D50" s="58" t="s">
        <v>383</v>
      </c>
      <c r="E50" s="58" t="s">
        <v>386</v>
      </c>
      <c r="F50" s="58" t="s">
        <v>385</v>
      </c>
      <c r="G50" s="61" t="s">
        <v>384</v>
      </c>
      <c r="H50" s="55" t="s">
        <v>387</v>
      </c>
      <c r="I50" s="58" t="s">
        <v>382</v>
      </c>
      <c r="J50" s="136" t="s">
        <v>1312</v>
      </c>
      <c r="K50" s="74"/>
      <c r="L50" s="55">
        <f t="shared" si="12"/>
        <v>2</v>
      </c>
      <c r="M50" s="58" t="str">
        <f>E54</f>
        <v>iu</v>
      </c>
      <c r="N50" s="58" t="str">
        <f>I54</f>
        <v>ㄧㄨ</v>
      </c>
      <c r="P50" s="122" t="str">
        <f t="shared" si="6"/>
        <v>iu(\d)</v>
      </c>
      <c r="Q50" s="125" t="s">
        <v>324</v>
      </c>
      <c r="R50" s="125">
        <f t="shared" si="7"/>
        <v>1</v>
      </c>
      <c r="S50" s="122" t="str">
        <f t="shared" si="11"/>
        <v>》i${1}u</v>
      </c>
      <c r="T50" s="56"/>
      <c r="U50" s="57" t="str">
        <f t="shared" si="8"/>
        <v xml:space="preserve">    - xform/》iu(\d)/》i${1}u/</v>
      </c>
    </row>
    <row r="51" spans="1:21" ht="27.75" thickBot="1">
      <c r="A51" s="58">
        <v>48</v>
      </c>
      <c r="B51" s="140" t="s">
        <v>2502</v>
      </c>
      <c r="C51" s="142" t="s">
        <v>363</v>
      </c>
      <c r="D51" s="58" t="s">
        <v>363</v>
      </c>
      <c r="E51" s="58" t="s">
        <v>364</v>
      </c>
      <c r="F51" s="58" t="s">
        <v>363</v>
      </c>
      <c r="G51" s="61" t="s">
        <v>363</v>
      </c>
      <c r="H51" s="55" t="s">
        <v>365</v>
      </c>
      <c r="I51" s="58" t="s">
        <v>2200</v>
      </c>
      <c r="J51" s="58"/>
      <c r="K51" s="74"/>
      <c r="L51" s="55">
        <f t="shared" si="12"/>
        <v>4</v>
      </c>
      <c r="M51" s="58" t="str">
        <f>E55</f>
        <v>iunn</v>
      </c>
      <c r="N51" s="58" t="str">
        <f>I55</f>
        <v>ㄧㆫ</v>
      </c>
      <c r="P51" s="122" t="str">
        <f t="shared" si="6"/>
        <v>iunn(\d)</v>
      </c>
      <c r="Q51" s="125" t="s">
        <v>324</v>
      </c>
      <c r="R51" s="125">
        <f t="shared" si="7"/>
        <v>1</v>
      </c>
      <c r="S51" s="122" t="str">
        <f t="shared" si="11"/>
        <v>》i${1}unn</v>
      </c>
      <c r="T51" s="56"/>
      <c r="U51" s="57" t="str">
        <f t="shared" si="8"/>
        <v xml:space="preserve">    - xform/》iunn(\d)/》i${1}unn/</v>
      </c>
    </row>
    <row r="52" spans="1:21" ht="27.75" thickBot="1">
      <c r="A52" s="58">
        <v>49</v>
      </c>
      <c r="B52" s="140" t="s">
        <v>1168</v>
      </c>
      <c r="C52" s="142" t="s">
        <v>162</v>
      </c>
      <c r="D52" s="58" t="s">
        <v>162</v>
      </c>
      <c r="E52" s="58" t="s">
        <v>162</v>
      </c>
      <c r="F52" s="58" t="s">
        <v>162</v>
      </c>
      <c r="G52" s="61" t="s">
        <v>162</v>
      </c>
      <c r="H52" s="55" t="s">
        <v>163</v>
      </c>
      <c r="I52" s="58" t="s">
        <v>161</v>
      </c>
      <c r="J52" s="58"/>
      <c r="K52" s="74"/>
      <c r="L52" s="55">
        <f t="shared" si="12"/>
        <v>5</v>
      </c>
      <c r="M52" s="58" t="str">
        <f>E56</f>
        <v>iunnh</v>
      </c>
      <c r="N52" s="58" t="str">
        <f>I56</f>
        <v>ㄧㆫㆷ</v>
      </c>
      <c r="P52" s="122" t="str">
        <f t="shared" si="6"/>
        <v>iunnh(\d)</v>
      </c>
      <c r="Q52" s="125" t="s">
        <v>324</v>
      </c>
      <c r="R52" s="125">
        <f t="shared" si="7"/>
        <v>1</v>
      </c>
      <c r="S52" s="122" t="str">
        <f t="shared" si="11"/>
        <v>》i${1}unnh</v>
      </c>
      <c r="T52" s="56"/>
      <c r="U52" s="57" t="str">
        <f t="shared" si="8"/>
        <v xml:space="preserve">    - xform/》iunnh(\d)/》i${1}unnh/</v>
      </c>
    </row>
    <row r="53" spans="1:21" ht="27.75" thickBot="1">
      <c r="A53" s="58">
        <v>50</v>
      </c>
      <c r="B53" s="140" t="s">
        <v>1169</v>
      </c>
      <c r="C53" s="142" t="s">
        <v>167</v>
      </c>
      <c r="D53" s="58" t="s">
        <v>167</v>
      </c>
      <c r="E53" s="58" t="s">
        <v>895</v>
      </c>
      <c r="F53" s="58" t="s">
        <v>167</v>
      </c>
      <c r="G53" s="61" t="s">
        <v>167</v>
      </c>
      <c r="H53" s="55" t="s">
        <v>168</v>
      </c>
      <c r="I53" s="58" t="s">
        <v>166</v>
      </c>
      <c r="J53" s="58"/>
      <c r="K53" s="74"/>
      <c r="L53" s="55">
        <f t="shared" si="12"/>
        <v>2</v>
      </c>
      <c r="M53" s="58" t="str">
        <f>E57</f>
        <v>or</v>
      </c>
      <c r="N53" s="58" t="str">
        <f>I57</f>
        <v>ㄜ</v>
      </c>
      <c r="P53" s="122" t="str">
        <f t="shared" si="6"/>
        <v>or(\d)</v>
      </c>
      <c r="Q53" s="125" t="s">
        <v>171</v>
      </c>
      <c r="R53" s="125">
        <f t="shared" si="7"/>
        <v>1</v>
      </c>
      <c r="S53" s="122" t="str">
        <f t="shared" si="11"/>
        <v>》o${1}r</v>
      </c>
      <c r="T53" s="56"/>
      <c r="U53" s="57" t="str">
        <f t="shared" si="8"/>
        <v xml:space="preserve">    - xform/》or(\d)/》o${1}r/</v>
      </c>
    </row>
    <row r="54" spans="1:21" ht="27.75" thickBot="1">
      <c r="A54" s="58">
        <v>51</v>
      </c>
      <c r="B54" s="140" t="s">
        <v>2503</v>
      </c>
      <c r="C54" s="142" t="s">
        <v>332</v>
      </c>
      <c r="D54" s="58" t="s">
        <v>332</v>
      </c>
      <c r="E54" s="58" t="s">
        <v>332</v>
      </c>
      <c r="F54" s="58" t="s">
        <v>332</v>
      </c>
      <c r="G54" s="61" t="s">
        <v>332</v>
      </c>
      <c r="H54" s="55" t="s">
        <v>335</v>
      </c>
      <c r="I54" s="58" t="s">
        <v>334</v>
      </c>
      <c r="J54" s="58"/>
      <c r="K54" s="74"/>
      <c r="L54" s="55">
        <f t="shared" si="12"/>
        <v>2</v>
      </c>
      <c r="M54" s="58" t="str">
        <f>E58</f>
        <v>oo</v>
      </c>
      <c r="N54" s="58" t="str">
        <f>I58</f>
        <v>ㆦ</v>
      </c>
      <c r="P54" s="122" t="str">
        <f t="shared" si="6"/>
        <v>oo(\d)</v>
      </c>
      <c r="Q54" s="125" t="s">
        <v>171</v>
      </c>
      <c r="R54" s="125">
        <f t="shared" si="7"/>
        <v>1</v>
      </c>
      <c r="S54" s="122" t="str">
        <f t="shared" si="11"/>
        <v>》o${1}o</v>
      </c>
      <c r="T54" s="56"/>
      <c r="U54" s="57" t="str">
        <f t="shared" si="8"/>
        <v xml:space="preserve">    - xform/》oo(\d)/》o${1}o/</v>
      </c>
    </row>
    <row r="55" spans="1:21" ht="27.75" thickBot="1">
      <c r="A55" s="58">
        <v>52</v>
      </c>
      <c r="B55" s="140" t="s">
        <v>2504</v>
      </c>
      <c r="C55" s="142" t="s">
        <v>507</v>
      </c>
      <c r="D55" s="58" t="s">
        <v>507</v>
      </c>
      <c r="E55" s="58" t="s">
        <v>507</v>
      </c>
      <c r="F55" s="58" t="s">
        <v>509</v>
      </c>
      <c r="G55" s="61" t="s">
        <v>508</v>
      </c>
      <c r="H55" s="55" t="s">
        <v>510</v>
      </c>
      <c r="I55" s="58" t="s">
        <v>506</v>
      </c>
      <c r="J55" s="136" t="s">
        <v>1312</v>
      </c>
      <c r="K55" s="74"/>
      <c r="L55" s="55">
        <f t="shared" si="12"/>
        <v>4</v>
      </c>
      <c r="M55" s="58" t="str">
        <f>E59</f>
        <v>oonn</v>
      </c>
      <c r="N55" s="58" t="str">
        <f>I59</f>
        <v>ㆧ</v>
      </c>
      <c r="P55" s="122" t="str">
        <f t="shared" si="6"/>
        <v>oonn(\d)</v>
      </c>
      <c r="Q55" s="125" t="s">
        <v>171</v>
      </c>
      <c r="R55" s="125">
        <f t="shared" si="7"/>
        <v>1</v>
      </c>
      <c r="S55" s="122" t="str">
        <f t="shared" si="11"/>
        <v>》o${1}onn</v>
      </c>
      <c r="T55" s="56"/>
      <c r="U55" s="57" t="str">
        <f t="shared" si="8"/>
        <v xml:space="preserve">    - xform/》oonn(\d)/》o${1}onn/</v>
      </c>
    </row>
    <row r="56" spans="1:21" ht="30.75" thickBot="1">
      <c r="A56" s="58">
        <v>53</v>
      </c>
      <c r="B56" s="140" t="s">
        <v>2505</v>
      </c>
      <c r="C56" s="142" t="s">
        <v>1870</v>
      </c>
      <c r="D56" s="75" t="s">
        <v>1870</v>
      </c>
      <c r="E56" s="75" t="s">
        <v>1870</v>
      </c>
      <c r="F56" s="75" t="s">
        <v>2169</v>
      </c>
      <c r="G56" s="75" t="s">
        <v>2213</v>
      </c>
      <c r="H56" s="147" t="s">
        <v>2184</v>
      </c>
      <c r="I56" s="144" t="s">
        <v>2201</v>
      </c>
      <c r="J56" s="136" t="s">
        <v>1312</v>
      </c>
      <c r="K56" s="74"/>
      <c r="L56" s="55">
        <f t="shared" si="12"/>
        <v>3</v>
      </c>
      <c r="M56" s="58" t="str">
        <f>E60</f>
        <v>orh</v>
      </c>
      <c r="N56" s="58" t="str">
        <f>I60</f>
        <v>ㄜㆷ</v>
      </c>
      <c r="P56" s="122" t="str">
        <f t="shared" si="6"/>
        <v>orh(\d)</v>
      </c>
      <c r="Q56" s="125" t="s">
        <v>171</v>
      </c>
      <c r="R56" s="125">
        <f t="shared" si="7"/>
        <v>1</v>
      </c>
      <c r="S56" s="122" t="str">
        <f t="shared" si="11"/>
        <v>》o${1}rh</v>
      </c>
      <c r="T56" s="56"/>
      <c r="U56" s="57" t="str">
        <f t="shared" si="8"/>
        <v xml:space="preserve">    - xform/》orh(\d)/》o${1}rh/</v>
      </c>
    </row>
    <row r="57" spans="1:21" ht="27.75" thickBot="1">
      <c r="A57" s="58">
        <v>54</v>
      </c>
      <c r="B57" s="140" t="s">
        <v>2506</v>
      </c>
      <c r="C57" s="142" t="s">
        <v>171</v>
      </c>
      <c r="D57" s="58" t="s">
        <v>171</v>
      </c>
      <c r="E57" s="58" t="s">
        <v>174</v>
      </c>
      <c r="F57" s="58" t="s">
        <v>171</v>
      </c>
      <c r="G57" s="61" t="s">
        <v>171</v>
      </c>
      <c r="H57" s="55" t="s">
        <v>175</v>
      </c>
      <c r="I57" s="58" t="s">
        <v>173</v>
      </c>
      <c r="J57" s="58"/>
      <c r="K57" s="74"/>
      <c r="L57" s="55">
        <f t="shared" si="12"/>
        <v>3</v>
      </c>
      <c r="M57" s="58" t="str">
        <f>E61</f>
        <v>ooh</v>
      </c>
      <c r="N57" s="58" t="str">
        <f>I61</f>
        <v>ㆦㆷ</v>
      </c>
      <c r="P57" s="122" t="str">
        <f t="shared" si="6"/>
        <v>ooh(\d)</v>
      </c>
      <c r="Q57" s="125" t="s">
        <v>171</v>
      </c>
      <c r="R57" s="125">
        <f t="shared" si="7"/>
        <v>1</v>
      </c>
      <c r="S57" s="122" t="str">
        <f t="shared" si="11"/>
        <v>》o${1}oh</v>
      </c>
      <c r="T57" s="56"/>
      <c r="U57" s="57" t="str">
        <f t="shared" si="8"/>
        <v xml:space="preserve">    - xform/》ooh(\d)/》o${1}oh/</v>
      </c>
    </row>
    <row r="58" spans="1:21" ht="27.75" thickBot="1">
      <c r="A58" s="58">
        <v>55</v>
      </c>
      <c r="B58" s="140" t="s">
        <v>854</v>
      </c>
      <c r="C58" s="142" t="s">
        <v>136</v>
      </c>
      <c r="D58" s="58" t="s">
        <v>136</v>
      </c>
      <c r="E58" s="58" t="s">
        <v>136</v>
      </c>
      <c r="F58" s="58" t="s">
        <v>136</v>
      </c>
      <c r="G58" s="61" t="s">
        <v>137</v>
      </c>
      <c r="H58" s="55" t="s">
        <v>138</v>
      </c>
      <c r="I58" s="58" t="s">
        <v>1339</v>
      </c>
      <c r="J58" s="58"/>
      <c r="K58" s="74"/>
      <c r="L58" s="55">
        <f t="shared" si="12"/>
        <v>4</v>
      </c>
      <c r="M58" s="58" t="str">
        <f>E62</f>
        <v>onnh</v>
      </c>
      <c r="N58" s="58" t="str">
        <f>I62</f>
        <v>ㆧㆷ</v>
      </c>
      <c r="P58" s="122" t="str">
        <f t="shared" si="6"/>
        <v>onnh(\d)</v>
      </c>
      <c r="Q58" s="125" t="s">
        <v>171</v>
      </c>
      <c r="R58" s="125">
        <f t="shared" si="7"/>
        <v>1</v>
      </c>
      <c r="S58" s="122" t="str">
        <f t="shared" si="11"/>
        <v>》o${1}nnh</v>
      </c>
      <c r="T58" s="56"/>
      <c r="U58" s="57" t="str">
        <f t="shared" si="8"/>
        <v xml:space="preserve">    - xform/》onnh(\d)/》o${1}nnh/</v>
      </c>
    </row>
    <row r="59" spans="1:21" ht="27.75" thickBot="1">
      <c r="A59" s="58">
        <v>56</v>
      </c>
      <c r="B59" s="140" t="s">
        <v>822</v>
      </c>
      <c r="C59" s="142" t="s">
        <v>425</v>
      </c>
      <c r="D59" s="58" t="s">
        <v>425</v>
      </c>
      <c r="E59" s="58" t="s">
        <v>424</v>
      </c>
      <c r="F59" s="58" t="s">
        <v>427</v>
      </c>
      <c r="G59" s="61" t="s">
        <v>2214</v>
      </c>
      <c r="H59" s="55" t="s">
        <v>428</v>
      </c>
      <c r="I59" s="58" t="s">
        <v>423</v>
      </c>
      <c r="J59" s="58"/>
      <c r="K59" s="74"/>
      <c r="L59" s="55">
        <f t="shared" si="12"/>
        <v>3</v>
      </c>
      <c r="M59" s="58" t="str">
        <f>E63</f>
        <v>oom</v>
      </c>
      <c r="N59" s="58" t="str">
        <f>I63</f>
        <v>ㆱ</v>
      </c>
      <c r="P59" s="122" t="str">
        <f t="shared" si="6"/>
        <v>oom(\d)</v>
      </c>
      <c r="Q59" s="125" t="s">
        <v>171</v>
      </c>
      <c r="R59" s="125">
        <f t="shared" si="7"/>
        <v>1</v>
      </c>
      <c r="S59" s="122" t="str">
        <f t="shared" si="11"/>
        <v>》o${1}om</v>
      </c>
      <c r="T59" s="56"/>
      <c r="U59" s="57" t="str">
        <f t="shared" si="8"/>
        <v xml:space="preserve">    - xform/》oom(\d)/》o${1}om/</v>
      </c>
    </row>
    <row r="60" spans="1:21" ht="27.75" thickBot="1">
      <c r="A60" s="58">
        <v>57</v>
      </c>
      <c r="B60" s="140" t="s">
        <v>2507</v>
      </c>
      <c r="C60" s="142" t="s">
        <v>178</v>
      </c>
      <c r="D60" s="58" t="s">
        <v>178</v>
      </c>
      <c r="E60" s="58" t="s">
        <v>179</v>
      </c>
      <c r="F60" s="58" t="s">
        <v>178</v>
      </c>
      <c r="G60" s="61" t="s">
        <v>178</v>
      </c>
      <c r="H60" s="55" t="s">
        <v>180</v>
      </c>
      <c r="I60" s="58" t="s">
        <v>2202</v>
      </c>
      <c r="J60" s="58"/>
      <c r="K60" s="74"/>
      <c r="L60" s="55">
        <f t="shared" si="12"/>
        <v>3</v>
      </c>
      <c r="M60" s="58" t="str">
        <f>E64</f>
        <v>ong</v>
      </c>
      <c r="N60" s="58" t="str">
        <f>I64</f>
        <v>ㆲ</v>
      </c>
      <c r="P60" s="122" t="str">
        <f t="shared" si="6"/>
        <v>ong(\d)</v>
      </c>
      <c r="Q60" s="125" t="s">
        <v>171</v>
      </c>
      <c r="R60" s="125">
        <f t="shared" si="7"/>
        <v>1</v>
      </c>
      <c r="S60" s="122" t="str">
        <f t="shared" si="11"/>
        <v>》o${1}ng</v>
      </c>
      <c r="T60" s="56"/>
      <c r="U60" s="57" t="str">
        <f t="shared" si="8"/>
        <v xml:space="preserve">    - xform/》ong(\d)/》o${1}ng/</v>
      </c>
    </row>
    <row r="61" spans="1:21" ht="30.75" thickBot="1">
      <c r="A61" s="58">
        <v>58</v>
      </c>
      <c r="B61" s="140" t="s">
        <v>824</v>
      </c>
      <c r="C61" s="142" t="s">
        <v>825</v>
      </c>
      <c r="D61" s="75" t="s">
        <v>825</v>
      </c>
      <c r="E61" s="75" t="s">
        <v>825</v>
      </c>
      <c r="F61" s="75" t="s">
        <v>825</v>
      </c>
      <c r="G61" s="75" t="s">
        <v>2172</v>
      </c>
      <c r="H61" s="147" t="s">
        <v>2182</v>
      </c>
      <c r="I61" s="145" t="s">
        <v>1328</v>
      </c>
      <c r="J61" s="58"/>
      <c r="K61" s="74"/>
      <c r="L61" s="55">
        <f t="shared" si="12"/>
        <v>3</v>
      </c>
      <c r="M61" s="58" t="str">
        <f>E65</f>
        <v>oop</v>
      </c>
      <c r="N61" s="58" t="str">
        <f>I65</f>
        <v>ㆦㆴ</v>
      </c>
      <c r="P61" s="122" t="str">
        <f t="shared" si="6"/>
        <v>oop(\d)</v>
      </c>
      <c r="Q61" s="125" t="s">
        <v>171</v>
      </c>
      <c r="R61" s="125">
        <f t="shared" si="7"/>
        <v>1</v>
      </c>
      <c r="S61" s="122" t="str">
        <f t="shared" si="11"/>
        <v>》o${1}op</v>
      </c>
      <c r="T61" s="56"/>
      <c r="U61" s="57" t="str">
        <f t="shared" si="8"/>
        <v xml:space="preserve">    - xform/》oop(\d)/》o${1}op/</v>
      </c>
    </row>
    <row r="62" spans="1:21" ht="27.75" thickBot="1">
      <c r="A62" s="58">
        <v>59</v>
      </c>
      <c r="B62" s="140" t="s">
        <v>794</v>
      </c>
      <c r="C62" s="142" t="s">
        <v>501</v>
      </c>
      <c r="D62" s="58" t="s">
        <v>500</v>
      </c>
      <c r="E62" s="58" t="s">
        <v>501</v>
      </c>
      <c r="F62" s="58" t="s">
        <v>2169</v>
      </c>
      <c r="G62" s="61" t="s">
        <v>906</v>
      </c>
      <c r="H62" s="55" t="s">
        <v>503</v>
      </c>
      <c r="I62" s="58" t="s">
        <v>2203</v>
      </c>
      <c r="J62" s="136" t="s">
        <v>1312</v>
      </c>
      <c r="K62" s="74"/>
      <c r="L62" s="55">
        <f t="shared" si="12"/>
        <v>2</v>
      </c>
      <c r="M62" s="58" t="str">
        <f>E66</f>
        <v>ok</v>
      </c>
      <c r="N62" s="58" t="str">
        <f>I66</f>
        <v>ㆦㆻ</v>
      </c>
      <c r="P62" s="122" t="str">
        <f t="shared" si="6"/>
        <v>ok(\d)</v>
      </c>
      <c r="Q62" s="125" t="s">
        <v>171</v>
      </c>
      <c r="R62" s="125">
        <f t="shared" si="7"/>
        <v>1</v>
      </c>
      <c r="S62" s="122" t="str">
        <f t="shared" si="11"/>
        <v>》o${1}k</v>
      </c>
      <c r="T62" s="56"/>
      <c r="U62" s="57" t="str">
        <f t="shared" si="8"/>
        <v xml:space="preserve">    - xform/》ok(\d)/》o${1}k/</v>
      </c>
    </row>
    <row r="63" spans="1:21" ht="27.75" thickBot="1">
      <c r="A63" s="58">
        <v>60</v>
      </c>
      <c r="B63" s="140" t="s">
        <v>476</v>
      </c>
      <c r="C63" s="142" t="s">
        <v>479</v>
      </c>
      <c r="D63" s="58" t="s">
        <v>479</v>
      </c>
      <c r="E63" s="58" t="s">
        <v>480</v>
      </c>
      <c r="F63" s="58" t="s">
        <v>479</v>
      </c>
      <c r="G63" s="61" t="s">
        <v>479</v>
      </c>
      <c r="H63" s="55" t="s">
        <v>481</v>
      </c>
      <c r="I63" s="58" t="s">
        <v>478</v>
      </c>
      <c r="J63" s="58"/>
      <c r="K63" s="74"/>
      <c r="L63" s="55">
        <f t="shared" si="12"/>
        <v>1</v>
      </c>
      <c r="M63" s="58" t="str">
        <f>E67</f>
        <v>u</v>
      </c>
      <c r="N63" s="58" t="str">
        <f>I67</f>
        <v>ㄨ</v>
      </c>
      <c r="P63" s="122" t="str">
        <f t="shared" si="6"/>
        <v>u(\d)</v>
      </c>
      <c r="Q63" s="125" t="s">
        <v>308</v>
      </c>
      <c r="R63" s="125">
        <f t="shared" si="7"/>
        <v>1</v>
      </c>
      <c r="S63" s="122" t="str">
        <f t="shared" si="11"/>
        <v>》u${1}</v>
      </c>
      <c r="T63" s="56"/>
      <c r="U63" s="57" t="str">
        <f t="shared" si="8"/>
        <v xml:space="preserve">    - xform/》u(\d)/》u${1}/</v>
      </c>
    </row>
    <row r="64" spans="1:21" ht="27.75" thickBot="1">
      <c r="A64" s="58">
        <v>61</v>
      </c>
      <c r="B64" s="140" t="s">
        <v>81</v>
      </c>
      <c r="C64" s="142" t="s">
        <v>84</v>
      </c>
      <c r="D64" s="58" t="s">
        <v>84</v>
      </c>
      <c r="E64" s="58" t="s">
        <v>84</v>
      </c>
      <c r="F64" s="58" t="s">
        <v>84</v>
      </c>
      <c r="G64" s="61" t="s">
        <v>84</v>
      </c>
      <c r="H64" s="55" t="s">
        <v>85</v>
      </c>
      <c r="I64" s="58" t="s">
        <v>83</v>
      </c>
      <c r="J64" s="58"/>
      <c r="K64" s="74"/>
      <c r="L64" s="55">
        <f t="shared" si="12"/>
        <v>2</v>
      </c>
      <c r="M64" s="58" t="str">
        <f>E68</f>
        <v>uh</v>
      </c>
      <c r="N64" s="58" t="str">
        <f>I68</f>
        <v>ㄨㆷ</v>
      </c>
      <c r="P64" s="122" t="str">
        <f t="shared" si="6"/>
        <v>uh(\d)</v>
      </c>
      <c r="Q64" s="125" t="s">
        <v>308</v>
      </c>
      <c r="R64" s="125">
        <f t="shared" si="7"/>
        <v>1</v>
      </c>
      <c r="S64" s="122" t="str">
        <f t="shared" si="11"/>
        <v>》u${1}h</v>
      </c>
      <c r="T64" s="56"/>
      <c r="U64" s="57" t="str">
        <f t="shared" si="8"/>
        <v xml:space="preserve">    - xform/》uh(\d)/》u${1}h/</v>
      </c>
    </row>
    <row r="65" spans="1:21" ht="27.75" thickBot="1">
      <c r="A65" s="58">
        <v>62</v>
      </c>
      <c r="B65" s="140" t="s">
        <v>483</v>
      </c>
      <c r="C65" s="142" t="s">
        <v>485</v>
      </c>
      <c r="D65" s="58" t="s">
        <v>485</v>
      </c>
      <c r="E65" s="58" t="s">
        <v>486</v>
      </c>
      <c r="F65" s="58" t="s">
        <v>485</v>
      </c>
      <c r="G65" s="61" t="s">
        <v>485</v>
      </c>
      <c r="H65" s="55" t="s">
        <v>487</v>
      </c>
      <c r="I65" s="58" t="s">
        <v>484</v>
      </c>
      <c r="J65" s="58"/>
      <c r="K65" s="74"/>
      <c r="L65" s="55">
        <f t="shared" si="12"/>
        <v>2</v>
      </c>
      <c r="M65" s="58" t="str">
        <f>E69</f>
        <v>un</v>
      </c>
      <c r="N65" s="58" t="str">
        <f>I69</f>
        <v>ㄨㄣ</v>
      </c>
      <c r="P65" s="122" t="str">
        <f t="shared" si="6"/>
        <v>un(\d)</v>
      </c>
      <c r="Q65" s="125" t="s">
        <v>308</v>
      </c>
      <c r="R65" s="125">
        <f t="shared" si="7"/>
        <v>1</v>
      </c>
      <c r="S65" s="122" t="str">
        <f t="shared" si="11"/>
        <v>》u${1}n</v>
      </c>
      <c r="T65" s="56"/>
      <c r="U65" s="57" t="str">
        <f t="shared" si="8"/>
        <v xml:space="preserve">    - xform/》un(\d)/》u${1}n/</v>
      </c>
    </row>
    <row r="66" spans="1:21" ht="27.75" thickBot="1">
      <c r="A66" s="58">
        <v>63</v>
      </c>
      <c r="B66" s="140" t="s">
        <v>88</v>
      </c>
      <c r="C66" s="142" t="s">
        <v>90</v>
      </c>
      <c r="D66" s="58" t="s">
        <v>90</v>
      </c>
      <c r="E66" s="58" t="s">
        <v>90</v>
      </c>
      <c r="F66" s="58" t="s">
        <v>90</v>
      </c>
      <c r="G66" s="61" t="s">
        <v>90</v>
      </c>
      <c r="H66" s="55" t="s">
        <v>91</v>
      </c>
      <c r="I66" s="58" t="s">
        <v>89</v>
      </c>
      <c r="J66" s="58"/>
      <c r="K66" s="74"/>
      <c r="L66" s="55">
        <f t="shared" si="12"/>
        <v>2</v>
      </c>
      <c r="M66" s="58" t="str">
        <f>E70</f>
        <v>ut</v>
      </c>
      <c r="N66" s="58" t="str">
        <f>I70</f>
        <v>ㄨㆵ</v>
      </c>
      <c r="P66" s="122" t="str">
        <f t="shared" si="6"/>
        <v>ut(\d)</v>
      </c>
      <c r="Q66" s="125" t="s">
        <v>308</v>
      </c>
      <c r="R66" s="125">
        <f t="shared" si="7"/>
        <v>1</v>
      </c>
      <c r="S66" s="122" t="str">
        <f t="shared" si="11"/>
        <v>》u${1}t</v>
      </c>
      <c r="T66" s="56"/>
      <c r="U66" s="57" t="str">
        <f t="shared" si="8"/>
        <v xml:space="preserve">    - xform/》ut(\d)/》u${1}t/</v>
      </c>
    </row>
    <row r="67" spans="1:21" ht="27.75" thickBot="1">
      <c r="A67" s="58">
        <v>64</v>
      </c>
      <c r="B67" s="140" t="s">
        <v>308</v>
      </c>
      <c r="C67" s="142" t="s">
        <v>308</v>
      </c>
      <c r="D67" s="58" t="s">
        <v>308</v>
      </c>
      <c r="E67" s="58" t="s">
        <v>308</v>
      </c>
      <c r="F67" s="58" t="s">
        <v>308</v>
      </c>
      <c r="G67" s="61" t="s">
        <v>308</v>
      </c>
      <c r="H67" s="55" t="s">
        <v>311</v>
      </c>
      <c r="I67" s="58" t="s">
        <v>310</v>
      </c>
      <c r="J67" s="58"/>
      <c r="K67" s="74"/>
      <c r="L67" s="55">
        <f t="shared" si="12"/>
        <v>2</v>
      </c>
      <c r="M67" s="58" t="str">
        <f>E71</f>
        <v>ua</v>
      </c>
      <c r="N67" s="58" t="str">
        <f>I71</f>
        <v>ㄨㄚ</v>
      </c>
      <c r="P67" s="122" t="str">
        <f t="shared" si="6"/>
        <v>ua(\d)</v>
      </c>
      <c r="Q67" s="125" t="s">
        <v>316</v>
      </c>
      <c r="R67" s="125">
        <f t="shared" si="7"/>
        <v>2</v>
      </c>
      <c r="S67" s="122" t="str">
        <f t="shared" si="11"/>
        <v>u》a${1}</v>
      </c>
      <c r="T67" s="56"/>
      <c r="U67" s="57" t="str">
        <f t="shared" si="8"/>
        <v xml:space="preserve">    - xform/》ua(\d)/u》a${1}/</v>
      </c>
    </row>
    <row r="68" spans="1:21" ht="27.75" thickBot="1">
      <c r="A68" s="58">
        <v>65</v>
      </c>
      <c r="B68" s="140" t="s">
        <v>857</v>
      </c>
      <c r="C68" s="142" t="s">
        <v>313</v>
      </c>
      <c r="D68" s="58" t="s">
        <v>313</v>
      </c>
      <c r="E68" s="58" t="s">
        <v>313</v>
      </c>
      <c r="F68" s="58" t="s">
        <v>313</v>
      </c>
      <c r="G68" s="61" t="s">
        <v>313</v>
      </c>
      <c r="H68" s="55" t="s">
        <v>314</v>
      </c>
      <c r="I68" s="58" t="s">
        <v>2204</v>
      </c>
      <c r="J68" s="58"/>
      <c r="K68" s="74"/>
      <c r="L68" s="55">
        <f t="shared" ref="L68:L85" si="13" xml:space="preserve"> LEN(M68)</f>
        <v>4</v>
      </c>
      <c r="M68" s="58" t="str">
        <f>E72</f>
        <v>uann</v>
      </c>
      <c r="N68" s="58" t="str">
        <f>I72</f>
        <v>ㄨㆩ</v>
      </c>
      <c r="P68" s="122" t="str">
        <f t="shared" si="6"/>
        <v>uann(\d)</v>
      </c>
      <c r="Q68" s="125" t="s">
        <v>316</v>
      </c>
      <c r="R68" s="125">
        <f t="shared" si="7"/>
        <v>2</v>
      </c>
      <c r="S68" s="122" t="str">
        <f t="shared" si="11"/>
        <v>u》a${1}nn</v>
      </c>
      <c r="T68" s="56"/>
      <c r="U68" s="57" t="str">
        <f t="shared" si="8"/>
        <v xml:space="preserve">    - xform/》uann(\d)/u》a${1}nn/</v>
      </c>
    </row>
    <row r="69" spans="1:21" ht="27.75" thickBot="1">
      <c r="A69" s="58">
        <v>66</v>
      </c>
      <c r="B69" s="140" t="s">
        <v>14</v>
      </c>
      <c r="C69" s="142" t="s">
        <v>14</v>
      </c>
      <c r="D69" s="58" t="s">
        <v>14</v>
      </c>
      <c r="E69" s="58" t="s">
        <v>14</v>
      </c>
      <c r="F69" s="58" t="s">
        <v>14</v>
      </c>
      <c r="G69" s="61" t="s">
        <v>14</v>
      </c>
      <c r="H69" s="55" t="s">
        <v>18</v>
      </c>
      <c r="I69" s="58" t="s">
        <v>16</v>
      </c>
      <c r="J69" s="58"/>
      <c r="K69" s="74"/>
      <c r="L69" s="55">
        <f t="shared" si="13"/>
        <v>3</v>
      </c>
      <c r="M69" s="58" t="str">
        <f>E73</f>
        <v>uah</v>
      </c>
      <c r="N69" s="58" t="str">
        <f>I73</f>
        <v>ㄨㄚㆷ</v>
      </c>
      <c r="P69" s="122" t="str">
        <f t="shared" ref="P69:P85" si="14" xml:space="preserve"> _xlfn.CONCAT(M69, "(\d)")</f>
        <v>uah(\d)</v>
      </c>
      <c r="Q69" s="125" t="s">
        <v>316</v>
      </c>
      <c r="R69" s="125">
        <f t="shared" ref="R69:R85" si="15" xml:space="preserve"> IFERROR( IF(Q69="", "", SEARCH(Q69, $M69)), "")</f>
        <v>2</v>
      </c>
      <c r="S69" s="122" t="str">
        <f t="shared" si="11"/>
        <v>u》a${1}h</v>
      </c>
      <c r="T69" s="56"/>
      <c r="U69" s="57" t="str">
        <f t="shared" ref="U69:U85" si="16" xml:space="preserve"> IF(AND(N69&lt;&gt;"", M69&lt;&gt;""), "    - xform/》" &amp; P69 &amp;  "/"  &amp; S69 &amp;  "/", "")</f>
        <v xml:space="preserve">    - xform/》uah(\d)/u》a${1}h/</v>
      </c>
    </row>
    <row r="70" spans="1:21" ht="27.75" thickBot="1">
      <c r="A70" s="58">
        <v>67</v>
      </c>
      <c r="B70" s="140" t="s">
        <v>1990</v>
      </c>
      <c r="C70" s="142" t="s">
        <v>22</v>
      </c>
      <c r="D70" s="58" t="s">
        <v>22</v>
      </c>
      <c r="E70" s="58" t="s">
        <v>22</v>
      </c>
      <c r="F70" s="58" t="s">
        <v>22</v>
      </c>
      <c r="G70" s="61" t="s">
        <v>22</v>
      </c>
      <c r="H70" s="55" t="s">
        <v>24</v>
      </c>
      <c r="I70" s="58" t="s">
        <v>21</v>
      </c>
      <c r="J70" s="58"/>
      <c r="K70" s="74"/>
      <c r="L70" s="55">
        <f t="shared" si="13"/>
        <v>3</v>
      </c>
      <c r="M70" s="58" t="str">
        <f>E74</f>
        <v>uan</v>
      </c>
      <c r="N70" s="58" t="str">
        <f>I74</f>
        <v>ㄨㄢ</v>
      </c>
      <c r="P70" s="122" t="str">
        <f t="shared" si="14"/>
        <v>uan(\d)</v>
      </c>
      <c r="Q70" s="125" t="s">
        <v>316</v>
      </c>
      <c r="R70" s="125">
        <f t="shared" si="15"/>
        <v>2</v>
      </c>
      <c r="S70" s="122" t="str">
        <f t="shared" ref="S70:S85" si="17" xml:space="preserve"> IFERROR( _xlfn.CONCAT(LEFT(M70,R70-1), "》", MID(M70,R70,1), "${1}", RIGHT(M70, LEN(M70)-R70)), "" )</f>
        <v>u》a${1}n</v>
      </c>
      <c r="T70" s="56"/>
      <c r="U70" s="57" t="str">
        <f t="shared" si="16"/>
        <v xml:space="preserve">    - xform/》uan(\d)/u》a${1}n/</v>
      </c>
    </row>
    <row r="71" spans="1:21" ht="27.75" thickBot="1">
      <c r="A71" s="58">
        <v>68</v>
      </c>
      <c r="B71" s="140" t="s">
        <v>223</v>
      </c>
      <c r="C71" s="142" t="s">
        <v>223</v>
      </c>
      <c r="D71" s="58" t="s">
        <v>223</v>
      </c>
      <c r="E71" s="58" t="s">
        <v>223</v>
      </c>
      <c r="F71" s="58" t="s">
        <v>223</v>
      </c>
      <c r="G71" s="61" t="s">
        <v>226</v>
      </c>
      <c r="H71" s="55" t="s">
        <v>227</v>
      </c>
      <c r="I71" s="58" t="s">
        <v>225</v>
      </c>
      <c r="J71" s="58"/>
      <c r="K71" s="74"/>
      <c r="L71" s="55">
        <f t="shared" si="13"/>
        <v>4</v>
      </c>
      <c r="M71" s="58" t="str">
        <f>E75</f>
        <v>uang</v>
      </c>
      <c r="N71" s="58" t="str">
        <f>I75</f>
        <v>ㄨㄤ</v>
      </c>
      <c r="P71" s="122" t="str">
        <f t="shared" si="14"/>
        <v>uang(\d)</v>
      </c>
      <c r="Q71" s="125" t="s">
        <v>316</v>
      </c>
      <c r="R71" s="125">
        <f t="shared" si="15"/>
        <v>2</v>
      </c>
      <c r="S71" s="122" t="str">
        <f t="shared" si="17"/>
        <v>u》a${1}ng</v>
      </c>
      <c r="T71" s="56"/>
      <c r="U71" s="57" t="str">
        <f t="shared" si="16"/>
        <v xml:space="preserve">    - xform/》uang(\d)/u》a${1}ng/</v>
      </c>
    </row>
    <row r="72" spans="1:21" ht="27.75" thickBot="1">
      <c r="A72" s="58">
        <v>69</v>
      </c>
      <c r="B72" s="140" t="s">
        <v>2508</v>
      </c>
      <c r="C72" s="142" t="s">
        <v>399</v>
      </c>
      <c r="D72" s="58" t="s">
        <v>399</v>
      </c>
      <c r="E72" s="58" t="s">
        <v>399</v>
      </c>
      <c r="F72" s="58" t="s">
        <v>401</v>
      </c>
      <c r="G72" s="61" t="s">
        <v>400</v>
      </c>
      <c r="H72" s="55" t="s">
        <v>402</v>
      </c>
      <c r="I72" s="58" t="s">
        <v>398</v>
      </c>
      <c r="J72" s="58"/>
      <c r="K72" s="74"/>
      <c r="L72" s="55">
        <f t="shared" si="13"/>
        <v>3</v>
      </c>
      <c r="M72" s="58" t="str">
        <f>E76</f>
        <v>uat</v>
      </c>
      <c r="N72" s="58" t="str">
        <f>I76</f>
        <v>ㄨㄚㆵ</v>
      </c>
      <c r="P72" s="122" t="str">
        <f t="shared" si="14"/>
        <v>uat(\d)</v>
      </c>
      <c r="Q72" s="125" t="s">
        <v>316</v>
      </c>
      <c r="R72" s="125">
        <f t="shared" si="15"/>
        <v>2</v>
      </c>
      <c r="S72" s="122" t="str">
        <f t="shared" si="17"/>
        <v>u》a${1}t</v>
      </c>
      <c r="T72" s="56"/>
      <c r="U72" s="57" t="str">
        <f t="shared" si="16"/>
        <v xml:space="preserve">    - xform/》uat(\d)/u》a${1}t/</v>
      </c>
    </row>
    <row r="73" spans="1:21" ht="27.75" thickBot="1">
      <c r="A73" s="58">
        <v>70</v>
      </c>
      <c r="B73" s="140" t="s">
        <v>826</v>
      </c>
      <c r="C73" s="142" t="s">
        <v>230</v>
      </c>
      <c r="D73" s="58" t="s">
        <v>230</v>
      </c>
      <c r="E73" s="58" t="s">
        <v>230</v>
      </c>
      <c r="F73" s="58" t="s">
        <v>230</v>
      </c>
      <c r="G73" s="61" t="s">
        <v>231</v>
      </c>
      <c r="H73" s="55" t="s">
        <v>232</v>
      </c>
      <c r="I73" s="58" t="s">
        <v>2205</v>
      </c>
      <c r="J73" s="58"/>
      <c r="K73" s="74"/>
      <c r="L73" s="55">
        <f t="shared" si="13"/>
        <v>3</v>
      </c>
      <c r="M73" s="58" t="str">
        <f>E77</f>
        <v>uai</v>
      </c>
      <c r="N73" s="58" t="str">
        <f>I77</f>
        <v>ㄨㄞ</v>
      </c>
      <c r="P73" s="122" t="str">
        <f t="shared" si="14"/>
        <v>uai(\d)</v>
      </c>
      <c r="Q73" s="125" t="s">
        <v>316</v>
      </c>
      <c r="R73" s="125">
        <f t="shared" si="15"/>
        <v>2</v>
      </c>
      <c r="S73" s="122" t="str">
        <f t="shared" si="17"/>
        <v>u》a${1}i</v>
      </c>
      <c r="T73" s="56"/>
      <c r="U73" s="57" t="str">
        <f t="shared" si="16"/>
        <v xml:space="preserve">    - xform/》uai(\d)/u》a${1}i/</v>
      </c>
    </row>
    <row r="74" spans="1:21" ht="27.75" thickBot="1">
      <c r="A74" s="58">
        <v>71</v>
      </c>
      <c r="B74" s="140" t="s">
        <v>120</v>
      </c>
      <c r="C74" s="142" t="s">
        <v>120</v>
      </c>
      <c r="D74" s="58" t="s">
        <v>120</v>
      </c>
      <c r="E74" s="58" t="s">
        <v>120</v>
      </c>
      <c r="F74" s="58" t="s">
        <v>120</v>
      </c>
      <c r="G74" s="61" t="s">
        <v>123</v>
      </c>
      <c r="H74" s="55" t="s">
        <v>124</v>
      </c>
      <c r="I74" s="58" t="s">
        <v>122</v>
      </c>
      <c r="J74" s="58"/>
      <c r="K74" s="74"/>
      <c r="L74" s="55">
        <f t="shared" si="13"/>
        <v>5</v>
      </c>
      <c r="M74" s="58" t="str">
        <f>E78</f>
        <v>uainn</v>
      </c>
      <c r="N74" s="58" t="str">
        <f>I78</f>
        <v>ㄨㆮ</v>
      </c>
      <c r="P74" s="122" t="str">
        <f t="shared" si="14"/>
        <v>uainn(\d)</v>
      </c>
      <c r="Q74" s="125" t="s">
        <v>316</v>
      </c>
      <c r="R74" s="125">
        <f t="shared" si="15"/>
        <v>2</v>
      </c>
      <c r="S74" s="122" t="str">
        <f t="shared" si="17"/>
        <v>u》a${1}inn</v>
      </c>
      <c r="T74" s="56"/>
      <c r="U74" s="57" t="str">
        <f t="shared" si="16"/>
        <v xml:space="preserve">    - xform/》uainn(\d)/u》a${1}inn/</v>
      </c>
    </row>
    <row r="75" spans="1:21" ht="27.75" thickBot="1">
      <c r="A75" s="58">
        <v>72</v>
      </c>
      <c r="B75" s="140" t="s">
        <v>435</v>
      </c>
      <c r="C75" s="142" t="s">
        <v>437</v>
      </c>
      <c r="D75" s="58" t="s">
        <v>437</v>
      </c>
      <c r="E75" s="58" t="s">
        <v>437</v>
      </c>
      <c r="F75" s="58" t="s">
        <v>437</v>
      </c>
      <c r="G75" s="61" t="s">
        <v>438</v>
      </c>
      <c r="H75" s="55" t="s">
        <v>439</v>
      </c>
      <c r="I75" s="58" t="s">
        <v>2206</v>
      </c>
      <c r="J75" s="58"/>
      <c r="K75" s="74"/>
      <c r="L75" s="55">
        <f t="shared" si="13"/>
        <v>4</v>
      </c>
      <c r="M75" s="58" t="str">
        <f>E79</f>
        <v>uaih</v>
      </c>
      <c r="N75" s="58" t="str">
        <f>I79</f>
        <v>ㄨㄞㆷ</v>
      </c>
      <c r="P75" s="122" t="str">
        <f t="shared" si="14"/>
        <v>uaih(\d)</v>
      </c>
      <c r="Q75" s="125" t="s">
        <v>316</v>
      </c>
      <c r="R75" s="125">
        <f t="shared" si="15"/>
        <v>2</v>
      </c>
      <c r="S75" s="122" t="str">
        <f t="shared" si="17"/>
        <v>u》a${1}ih</v>
      </c>
      <c r="T75" s="56"/>
      <c r="U75" s="57" t="str">
        <f t="shared" si="16"/>
        <v xml:space="preserve">    - xform/》uaih(\d)/u》a${1}ih/</v>
      </c>
    </row>
    <row r="76" spans="1:21" ht="27.75" thickBot="1">
      <c r="A76" s="58">
        <v>73</v>
      </c>
      <c r="B76" s="140" t="s">
        <v>127</v>
      </c>
      <c r="C76" s="142" t="s">
        <v>129</v>
      </c>
      <c r="D76" s="58" t="s">
        <v>129</v>
      </c>
      <c r="E76" s="58" t="s">
        <v>129</v>
      </c>
      <c r="F76" s="58" t="s">
        <v>129</v>
      </c>
      <c r="G76" s="61" t="s">
        <v>130</v>
      </c>
      <c r="H76" s="55" t="s">
        <v>131</v>
      </c>
      <c r="I76" s="58" t="s">
        <v>128</v>
      </c>
      <c r="J76" s="58"/>
      <c r="K76" s="74"/>
      <c r="L76" s="55">
        <f t="shared" si="13"/>
        <v>6</v>
      </c>
      <c r="M76" s="58" t="str">
        <f>E80</f>
        <v>uainnh</v>
      </c>
      <c r="N76" s="58" t="str">
        <f>I80</f>
        <v>ㄨㆮㆷ</v>
      </c>
      <c r="P76" s="122" t="str">
        <f t="shared" si="14"/>
        <v>uainnh(\d)</v>
      </c>
      <c r="Q76" s="125" t="s">
        <v>316</v>
      </c>
      <c r="R76" s="125">
        <f t="shared" si="15"/>
        <v>2</v>
      </c>
      <c r="S76" s="122" t="str">
        <f t="shared" si="17"/>
        <v>u》a${1}innh</v>
      </c>
      <c r="T76" s="56"/>
      <c r="U76" s="57" t="str">
        <f t="shared" si="16"/>
        <v xml:space="preserve">    - xform/》uainnh(\d)/u》a${1}innh/</v>
      </c>
    </row>
    <row r="77" spans="1:21" ht="27.75" thickBot="1">
      <c r="A77" s="58">
        <v>74</v>
      </c>
      <c r="B77" s="140" t="s">
        <v>94</v>
      </c>
      <c r="C77" s="142" t="s">
        <v>94</v>
      </c>
      <c r="D77" s="58" t="s">
        <v>94</v>
      </c>
      <c r="E77" s="58" t="s">
        <v>94</v>
      </c>
      <c r="F77" s="58" t="s">
        <v>94</v>
      </c>
      <c r="G77" s="61" t="s">
        <v>97</v>
      </c>
      <c r="H77" s="55" t="s">
        <v>98</v>
      </c>
      <c r="I77" s="58" t="s">
        <v>96</v>
      </c>
      <c r="J77" s="58"/>
      <c r="K77" s="74"/>
      <c r="L77" s="55">
        <f t="shared" si="13"/>
        <v>2</v>
      </c>
      <c r="M77" s="58" t="str">
        <f>E81</f>
        <v>ue</v>
      </c>
      <c r="N77" s="58" t="str">
        <f>I81</f>
        <v>ㄨㆤ</v>
      </c>
      <c r="P77" s="122" t="str">
        <f t="shared" si="14"/>
        <v>ue(\d)</v>
      </c>
      <c r="Q77" s="125" t="s">
        <v>308</v>
      </c>
      <c r="R77" s="125">
        <f t="shared" si="15"/>
        <v>1</v>
      </c>
      <c r="S77" s="122" t="str">
        <f t="shared" si="17"/>
        <v>》u${1}e</v>
      </c>
      <c r="T77" s="56"/>
      <c r="U77" s="57" t="str">
        <f t="shared" si="16"/>
        <v xml:space="preserve">    - xform/》ue(\d)/》u${1}e/</v>
      </c>
    </row>
    <row r="78" spans="1:21" ht="27.75" thickBot="1">
      <c r="A78" s="58">
        <v>75</v>
      </c>
      <c r="B78" s="140" t="s">
        <v>2509</v>
      </c>
      <c r="C78" s="142" t="s">
        <v>449</v>
      </c>
      <c r="D78" s="58" t="s">
        <v>449</v>
      </c>
      <c r="E78" s="58" t="s">
        <v>449</v>
      </c>
      <c r="F78" s="58" t="s">
        <v>451</v>
      </c>
      <c r="G78" s="61" t="s">
        <v>450</v>
      </c>
      <c r="H78" s="55" t="s">
        <v>452</v>
      </c>
      <c r="I78" s="58" t="s">
        <v>448</v>
      </c>
      <c r="J78" s="136" t="s">
        <v>1312</v>
      </c>
      <c r="K78" s="74"/>
      <c r="L78" s="55">
        <f t="shared" si="13"/>
        <v>3</v>
      </c>
      <c r="M78" s="58" t="str">
        <f>E82</f>
        <v>ueh</v>
      </c>
      <c r="N78" s="58" t="str">
        <f>I82</f>
        <v>ㄨㆤㆷ</v>
      </c>
      <c r="P78" s="122" t="str">
        <f t="shared" si="14"/>
        <v>ueh(\d)</v>
      </c>
      <c r="Q78" s="125" t="s">
        <v>308</v>
      </c>
      <c r="R78" s="125">
        <f t="shared" si="15"/>
        <v>1</v>
      </c>
      <c r="S78" s="122" t="str">
        <f t="shared" si="17"/>
        <v>》u${1}eh</v>
      </c>
      <c r="T78" s="56"/>
      <c r="U78" s="57" t="str">
        <f t="shared" si="16"/>
        <v xml:space="preserve">    - xform/》ueh(\d)/》u${1}eh/</v>
      </c>
    </row>
    <row r="79" spans="1:21" ht="27.75" thickBot="1">
      <c r="A79" s="58">
        <v>76</v>
      </c>
      <c r="B79" s="140" t="s">
        <v>1121</v>
      </c>
      <c r="C79" s="142" t="s">
        <v>101</v>
      </c>
      <c r="D79" s="58" t="s">
        <v>101</v>
      </c>
      <c r="E79" s="58" t="s">
        <v>101</v>
      </c>
      <c r="F79" s="58" t="s">
        <v>101</v>
      </c>
      <c r="G79" s="61" t="s">
        <v>102</v>
      </c>
      <c r="H79" s="55" t="s">
        <v>103</v>
      </c>
      <c r="I79" s="58" t="s">
        <v>2207</v>
      </c>
      <c r="J79" s="58"/>
      <c r="K79" s="74"/>
      <c r="L79" s="55">
        <f t="shared" si="13"/>
        <v>2</v>
      </c>
      <c r="M79" s="58" t="str">
        <f>E83</f>
        <v>ui</v>
      </c>
      <c r="N79" s="58" t="str">
        <f>I83</f>
        <v>ㄨㄧ</v>
      </c>
      <c r="P79" s="122" t="str">
        <f t="shared" si="14"/>
        <v>ui(\d)</v>
      </c>
      <c r="Q79" s="125" t="s">
        <v>308</v>
      </c>
      <c r="R79" s="125">
        <f t="shared" si="15"/>
        <v>1</v>
      </c>
      <c r="S79" s="122" t="str">
        <f t="shared" si="17"/>
        <v>》u${1}i</v>
      </c>
      <c r="T79" s="56"/>
      <c r="U79" s="57" t="str">
        <f t="shared" si="16"/>
        <v xml:space="preserve">    - xform/》ui(\d)/》u${1}i/</v>
      </c>
    </row>
    <row r="80" spans="1:21" ht="27.75" thickBot="1">
      <c r="A80" s="58">
        <v>77</v>
      </c>
      <c r="B80" s="140" t="s">
        <v>2510</v>
      </c>
      <c r="C80" s="142" t="s">
        <v>455</v>
      </c>
      <c r="D80" s="58" t="s">
        <v>454</v>
      </c>
      <c r="E80" s="58" t="s">
        <v>455</v>
      </c>
      <c r="F80" s="75" t="s">
        <v>455</v>
      </c>
      <c r="G80" s="61" t="s">
        <v>904</v>
      </c>
      <c r="H80" s="55" t="s">
        <v>457</v>
      </c>
      <c r="I80" s="58" t="s">
        <v>2208</v>
      </c>
      <c r="J80" s="136" t="s">
        <v>1312</v>
      </c>
      <c r="K80" s="74"/>
      <c r="L80" s="55">
        <f t="shared" si="13"/>
        <v>4</v>
      </c>
      <c r="M80" s="58" t="str">
        <f>E84</f>
        <v>uinn</v>
      </c>
      <c r="N80" s="58" t="str">
        <f>I84</f>
        <v>ㄨㆪ</v>
      </c>
      <c r="P80" s="122" t="str">
        <f t="shared" si="14"/>
        <v>uinn(\d)</v>
      </c>
      <c r="Q80" s="125" t="s">
        <v>308</v>
      </c>
      <c r="R80" s="125">
        <f t="shared" si="15"/>
        <v>1</v>
      </c>
      <c r="S80" s="122" t="str">
        <f t="shared" si="17"/>
        <v>》u${1}inn</v>
      </c>
      <c r="T80" s="56"/>
      <c r="U80" s="57" t="str">
        <f t="shared" si="16"/>
        <v xml:space="preserve">    - xform/》uinn(\d)/》u${1}inn/</v>
      </c>
    </row>
    <row r="81" spans="1:21" ht="27.75" thickBot="1">
      <c r="A81" s="58">
        <v>78</v>
      </c>
      <c r="B81" s="140" t="s">
        <v>285</v>
      </c>
      <c r="C81" s="142" t="s">
        <v>285</v>
      </c>
      <c r="D81" s="58" t="s">
        <v>285</v>
      </c>
      <c r="E81" s="58" t="s">
        <v>285</v>
      </c>
      <c r="F81" s="58" t="s">
        <v>285</v>
      </c>
      <c r="G81" s="61" t="s">
        <v>286</v>
      </c>
      <c r="H81" s="55" t="s">
        <v>287</v>
      </c>
      <c r="I81" s="58" t="s">
        <v>284</v>
      </c>
      <c r="J81" s="58"/>
      <c r="K81" s="74"/>
      <c r="L81" s="55">
        <f t="shared" si="13"/>
        <v>3</v>
      </c>
      <c r="M81" s="58" t="str">
        <f>E85</f>
        <v>uih</v>
      </c>
      <c r="N81" s="58" t="str">
        <f>I85</f>
        <v>ㄨㄧㆷ</v>
      </c>
      <c r="P81" s="122" t="str">
        <f t="shared" si="14"/>
        <v>uih(\d)</v>
      </c>
      <c r="Q81" s="125" t="s">
        <v>308</v>
      </c>
      <c r="R81" s="125">
        <f t="shared" si="15"/>
        <v>1</v>
      </c>
      <c r="S81" s="122" t="str">
        <f t="shared" si="17"/>
        <v>》u${1}ih</v>
      </c>
      <c r="T81" s="56"/>
      <c r="U81" s="57" t="str">
        <f t="shared" si="16"/>
        <v xml:space="preserve">    - xform/》uih(\d)/》u${1}ih/</v>
      </c>
    </row>
    <row r="82" spans="1:21" ht="27.75" thickBot="1">
      <c r="A82" s="58">
        <v>79</v>
      </c>
      <c r="B82" s="140" t="s">
        <v>831</v>
      </c>
      <c r="C82" s="142" t="s">
        <v>290</v>
      </c>
      <c r="D82" s="58" t="s">
        <v>290</v>
      </c>
      <c r="E82" s="58" t="s">
        <v>290</v>
      </c>
      <c r="F82" s="58" t="s">
        <v>290</v>
      </c>
      <c r="G82" s="61" t="s">
        <v>291</v>
      </c>
      <c r="H82" s="55" t="s">
        <v>292</v>
      </c>
      <c r="I82" s="58" t="s">
        <v>2209</v>
      </c>
      <c r="J82" s="58"/>
      <c r="K82" s="74"/>
      <c r="L82" s="55">
        <f t="shared" si="13"/>
        <v>1</v>
      </c>
      <c r="M82" s="58" t="str">
        <f>E86</f>
        <v>m</v>
      </c>
      <c r="N82" s="58" t="str">
        <f>I86</f>
        <v>ㆬ</v>
      </c>
      <c r="P82" s="122" t="str">
        <f t="shared" si="14"/>
        <v>m(\d)</v>
      </c>
      <c r="Q82" s="125" t="s">
        <v>432</v>
      </c>
      <c r="R82" s="125">
        <f t="shared" si="15"/>
        <v>1</v>
      </c>
      <c r="S82" s="122" t="str">
        <f t="shared" si="17"/>
        <v>》m${1}</v>
      </c>
      <c r="T82" s="56"/>
      <c r="U82" s="57" t="str">
        <f t="shared" si="16"/>
        <v xml:space="preserve">    - xform/》m(\d)/》m${1}/</v>
      </c>
    </row>
    <row r="83" spans="1:21" ht="27.75" thickBot="1">
      <c r="A83" s="58">
        <v>80</v>
      </c>
      <c r="B83" s="140" t="s">
        <v>50</v>
      </c>
      <c r="C83" s="142" t="s">
        <v>50</v>
      </c>
      <c r="D83" s="58" t="s">
        <v>50</v>
      </c>
      <c r="E83" s="58" t="s">
        <v>50</v>
      </c>
      <c r="F83" s="58" t="s">
        <v>50</v>
      </c>
      <c r="G83" s="61" t="s">
        <v>50</v>
      </c>
      <c r="H83" s="55" t="s">
        <v>53</v>
      </c>
      <c r="I83" s="58" t="s">
        <v>52</v>
      </c>
      <c r="J83" s="58"/>
      <c r="K83" s="74"/>
      <c r="L83" s="55">
        <f t="shared" si="13"/>
        <v>2</v>
      </c>
      <c r="M83" s="58" t="str">
        <f>E87</f>
        <v>mh</v>
      </c>
      <c r="N83" s="58" t="str">
        <f>I87</f>
        <v>ㆬㆷ</v>
      </c>
      <c r="P83" s="122" t="str">
        <f t="shared" si="14"/>
        <v>mh(\d)</v>
      </c>
      <c r="Q83" s="125" t="s">
        <v>432</v>
      </c>
      <c r="R83" s="125">
        <f t="shared" si="15"/>
        <v>1</v>
      </c>
      <c r="S83" s="122" t="str">
        <f t="shared" si="17"/>
        <v>》m${1}h</v>
      </c>
      <c r="T83" s="56"/>
      <c r="U83" s="57" t="str">
        <f t="shared" si="16"/>
        <v xml:space="preserve">    - xform/》mh(\d)/》m${1}h/</v>
      </c>
    </row>
    <row r="84" spans="1:21" ht="27.75" thickBot="1">
      <c r="A84" s="58">
        <v>81</v>
      </c>
      <c r="B84" s="140" t="s">
        <v>2126</v>
      </c>
      <c r="C84" s="142" t="s">
        <v>351</v>
      </c>
      <c r="D84" s="58" t="s">
        <v>351</v>
      </c>
      <c r="E84" s="58" t="s">
        <v>351</v>
      </c>
      <c r="F84" s="58" t="s">
        <v>353</v>
      </c>
      <c r="G84" s="61" t="s">
        <v>352</v>
      </c>
      <c r="H84" s="55" t="s">
        <v>354</v>
      </c>
      <c r="I84" s="58" t="s">
        <v>350</v>
      </c>
      <c r="J84" s="58"/>
      <c r="K84" s="74"/>
      <c r="L84" s="55">
        <f t="shared" si="13"/>
        <v>2</v>
      </c>
      <c r="M84" s="58" t="str">
        <f>E88</f>
        <v>ng</v>
      </c>
      <c r="N84" s="58" t="str">
        <f>I88</f>
        <v>ㆭ</v>
      </c>
      <c r="P84" s="122" t="str">
        <f t="shared" si="14"/>
        <v>ng(\d)</v>
      </c>
      <c r="Q84" s="125" t="s">
        <v>591</v>
      </c>
      <c r="R84" s="125">
        <f t="shared" si="15"/>
        <v>1</v>
      </c>
      <c r="S84" s="122" t="str">
        <f t="shared" si="17"/>
        <v>》n${1}g</v>
      </c>
      <c r="T84" s="56"/>
      <c r="U84" s="57" t="str">
        <f t="shared" si="16"/>
        <v xml:space="preserve">    - xform/》ng(\d)/》n${1}g/</v>
      </c>
    </row>
    <row r="85" spans="1:21" ht="27.75" thickBot="1">
      <c r="A85" s="58">
        <v>82</v>
      </c>
      <c r="B85" s="140" t="s">
        <v>2133</v>
      </c>
      <c r="C85" s="142" t="s">
        <v>2134</v>
      </c>
      <c r="D85" s="75" t="s">
        <v>2134</v>
      </c>
      <c r="E85" s="75" t="s">
        <v>2134</v>
      </c>
      <c r="F85" s="75" t="s">
        <v>2134</v>
      </c>
      <c r="G85" s="75" t="s">
        <v>2134</v>
      </c>
      <c r="H85" s="146" t="s">
        <v>2177</v>
      </c>
      <c r="I85" s="144" t="s">
        <v>2164</v>
      </c>
      <c r="J85" s="136" t="s">
        <v>1312</v>
      </c>
      <c r="K85" s="74"/>
      <c r="L85" s="55">
        <f t="shared" si="13"/>
        <v>3</v>
      </c>
      <c r="M85" s="58" t="str">
        <f>E89</f>
        <v>ngh</v>
      </c>
      <c r="N85" s="58" t="str">
        <f>I89</f>
        <v>ㆭㆷ</v>
      </c>
      <c r="P85" s="122" t="str">
        <f t="shared" si="14"/>
        <v>ngh(\d)</v>
      </c>
      <c r="Q85" s="125" t="s">
        <v>591</v>
      </c>
      <c r="R85" s="125">
        <f t="shared" si="15"/>
        <v>1</v>
      </c>
      <c r="S85" s="122" t="str">
        <f t="shared" si="17"/>
        <v>》n${1}gh</v>
      </c>
      <c r="T85" s="56"/>
      <c r="U85" s="57" t="str">
        <f t="shared" si="16"/>
        <v xml:space="preserve">    - xform/》ngh(\d)/》n${1}gh/</v>
      </c>
    </row>
    <row r="86" spans="1:21" ht="27.75" thickBot="1">
      <c r="A86" s="58">
        <v>83</v>
      </c>
      <c r="B86" s="140" t="s">
        <v>430</v>
      </c>
      <c r="C86" s="142" t="s">
        <v>432</v>
      </c>
      <c r="D86" s="58" t="s">
        <v>432</v>
      </c>
      <c r="E86" s="58" t="s">
        <v>432</v>
      </c>
      <c r="F86" s="58" t="s">
        <v>432</v>
      </c>
      <c r="G86" s="61" t="s">
        <v>432</v>
      </c>
      <c r="H86" s="55" t="s">
        <v>433</v>
      </c>
      <c r="I86" s="58" t="s">
        <v>431</v>
      </c>
      <c r="J86" s="58"/>
    </row>
    <row r="87" spans="1:21" ht="27.75" thickBot="1">
      <c r="A87" s="58">
        <v>84</v>
      </c>
      <c r="B87" s="140" t="s">
        <v>849</v>
      </c>
      <c r="C87" s="142" t="s">
        <v>850</v>
      </c>
      <c r="D87" s="75" t="s">
        <v>850</v>
      </c>
      <c r="E87" s="75" t="s">
        <v>850</v>
      </c>
      <c r="F87" s="75" t="s">
        <v>850</v>
      </c>
      <c r="G87" s="75" t="s">
        <v>850</v>
      </c>
      <c r="H87" s="146" t="s">
        <v>2175</v>
      </c>
      <c r="I87" s="145" t="s">
        <v>2166</v>
      </c>
      <c r="J87" s="58"/>
    </row>
    <row r="88" spans="1:21" ht="27.75" thickBot="1">
      <c r="A88" s="58">
        <v>85</v>
      </c>
      <c r="B88" s="140" t="s">
        <v>404</v>
      </c>
      <c r="C88" s="142" t="s">
        <v>407</v>
      </c>
      <c r="D88" s="58" t="s">
        <v>407</v>
      </c>
      <c r="E88" s="58" t="s">
        <v>407</v>
      </c>
      <c r="F88" s="58" t="s">
        <v>407</v>
      </c>
      <c r="G88" s="61" t="s">
        <v>407</v>
      </c>
      <c r="H88" s="55" t="s">
        <v>408</v>
      </c>
      <c r="I88" s="58" t="s">
        <v>406</v>
      </c>
      <c r="J88" s="58"/>
    </row>
    <row r="89" spans="1:21" ht="27.75" thickBot="1">
      <c r="A89" s="58">
        <v>86</v>
      </c>
      <c r="B89" s="140" t="s">
        <v>819</v>
      </c>
      <c r="C89" s="142" t="s">
        <v>820</v>
      </c>
      <c r="D89" s="75" t="s">
        <v>820</v>
      </c>
      <c r="E89" s="75" t="s">
        <v>820</v>
      </c>
      <c r="F89" s="75" t="s">
        <v>820</v>
      </c>
      <c r="G89" s="75" t="s">
        <v>820</v>
      </c>
      <c r="H89" s="146" t="s">
        <v>2179</v>
      </c>
      <c r="I89" s="145" t="s">
        <v>1326</v>
      </c>
      <c r="J89" s="58"/>
    </row>
    <row r="90" spans="1:21" ht="27" thickBot="1"/>
    <row r="91" spans="1:21" ht="48.75" thickBot="1">
      <c r="B91" s="59" t="s">
        <v>1314</v>
      </c>
      <c r="C91" s="59" t="s">
        <v>1319</v>
      </c>
      <c r="D91" s="59" t="s">
        <v>1319</v>
      </c>
    </row>
    <row r="92" spans="1:21" ht="27.75" thickBot="1">
      <c r="B92" s="58" t="s">
        <v>1315</v>
      </c>
      <c r="C92" s="58">
        <f xml:space="preserve"> HEX2DEC(VALUE(RIGHT(B92,4)))</f>
        <v>771</v>
      </c>
      <c r="D92" s="58" t="str">
        <f xml:space="preserve"> _xlfn.CONCAT("a", _xlfn.UNICHAR(HEX2DEC(RIGHT(B92,4))))</f>
        <v>ã</v>
      </c>
    </row>
    <row r="93" spans="1:21" ht="27.75" thickBot="1">
      <c r="B93" s="58" t="s">
        <v>1316</v>
      </c>
      <c r="C93" s="58">
        <f xml:space="preserve"> HEX2DEC(VALUE(RIGHT(B93,4)))</f>
        <v>660</v>
      </c>
      <c r="D93" s="58" t="str">
        <f xml:space="preserve"> _xlfn.CONCAT("a", _xlfn.UNICHAR(HEX2DEC(RIGHT(B93,4))))</f>
        <v>aʔ</v>
      </c>
    </row>
    <row r="94" spans="1:21" ht="27" thickBot="1"/>
    <row r="95" spans="1:21" ht="27" thickBot="1">
      <c r="B95" s="59" t="s">
        <v>1318</v>
      </c>
      <c r="C95" s="59">
        <f xml:space="preserve"> HEX2DEC(VALUE(RIGHT(B95,4)))</f>
        <v>2134</v>
      </c>
      <c r="D95" s="59" t="str">
        <f xml:space="preserve"> _xlfn.CONCAT("o", _xlfn.UNICHAR( RIGHT(B95,4)))</f>
        <v>o͘</v>
      </c>
    </row>
    <row r="96" spans="1:21" ht="27" thickBot="1">
      <c r="B96" s="59" t="s">
        <v>1317</v>
      </c>
      <c r="C96" s="59">
        <f xml:space="preserve"> _xlfn.UNICODE( RIGHT(B96,1) )</f>
        <v>856</v>
      </c>
      <c r="D96" s="59" t="str">
        <f xml:space="preserve"> _xlfn.CONCAT("o", _xlfn.UNICHAR(C96))</f>
        <v>o͘</v>
      </c>
    </row>
    <row r="97" spans="1:3" ht="27" thickBot="1"/>
    <row r="98" spans="1:3" ht="27" thickBot="1">
      <c r="B98" s="59" t="s">
        <v>1333</v>
      </c>
      <c r="C98" s="59" t="s">
        <v>2157</v>
      </c>
    </row>
    <row r="99" spans="1:3" ht="27" thickBot="1">
      <c r="B99" s="59" t="s">
        <v>1335</v>
      </c>
      <c r="C99" s="59" t="s">
        <v>1334</v>
      </c>
    </row>
    <row r="101" spans="1:3">
      <c r="A101" s="51" t="str">
        <f xml:space="preserve"> "(""" &amp; _xlfn.TEXTJOIN(""",""",TRUE,F4:F89) &amp; """)"</f>
        <v>("a","na","ah","nah","am","an","ang","ap","at","ak","ai","nai","aih","ao","aoh","e","ne","eh","ennh","i","ni","ih","im","in","ing","ip","it","ik","ia","nia","iah","iannh","iam","ian","iang","iap","iat","iak","iao","niao","iaoh","io","nioo","ioh","iong","iok","iu","niu","niuh","o","oo","noo","oh","ooh","niuh","om","ong","op","ok","u","uh","un","ut","ua","nua","uah","uan","uang","uat","uai","nuai","uaih","uainnh","ue","ueh","ui","nui","uih","m","mh","ng","ngh")</v>
      </c>
    </row>
  </sheetData>
  <sortState xmlns:xlrd2="http://schemas.microsoft.com/office/spreadsheetml/2017/richdata2" ref="L4:N85">
    <sortCondition descending="1" ref="L4:L85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W73"/>
  <sheetViews>
    <sheetView topLeftCell="D1" zoomScale="96" zoomScaleNormal="96" workbookViewId="0">
      <selection activeCell="P2" sqref="P2"/>
    </sheetView>
  </sheetViews>
  <sheetFormatPr defaultRowHeight="25.5"/>
  <cols>
    <col min="1" max="5" width="7.33203125" customWidth="1"/>
    <col min="6" max="6" width="11.83203125" bestFit="1" customWidth="1"/>
    <col min="7" max="7" width="12.08203125" style="20" bestFit="1" customWidth="1"/>
    <col min="8" max="8" width="12.4140625" style="20" customWidth="1"/>
    <col min="9" max="15" width="12.4140625" customWidth="1"/>
    <col min="16" max="16" width="11.83203125" customWidth="1"/>
    <col min="17" max="17" width="10.9140625" bestFit="1" customWidth="1"/>
    <col min="23" max="23" width="31.9140625" customWidth="1"/>
  </cols>
  <sheetData>
    <row r="1" spans="1:16" s="20" customFormat="1">
      <c r="A1" s="49" t="s">
        <v>0</v>
      </c>
      <c r="B1" s="49" t="s">
        <v>630</v>
      </c>
      <c r="C1" s="49" t="s">
        <v>629</v>
      </c>
      <c r="D1" s="49" t="s">
        <v>628</v>
      </c>
      <c r="E1" s="49" t="s">
        <v>633</v>
      </c>
      <c r="F1" s="49" t="s">
        <v>668</v>
      </c>
      <c r="G1" s="49" t="s">
        <v>666</v>
      </c>
      <c r="H1" s="49" t="s">
        <v>664</v>
      </c>
      <c r="I1" s="49" t="s">
        <v>665</v>
      </c>
      <c r="J1" s="49" t="s">
        <v>667</v>
      </c>
      <c r="K1" s="49" t="s">
        <v>632</v>
      </c>
      <c r="L1" s="49" t="s">
        <v>760</v>
      </c>
      <c r="M1" s="49" t="s">
        <v>631</v>
      </c>
      <c r="N1" s="49" t="s">
        <v>663</v>
      </c>
      <c r="O1" s="49" t="s">
        <v>2371</v>
      </c>
      <c r="P1" s="49" t="s">
        <v>2369</v>
      </c>
    </row>
    <row r="2" spans="1:16" ht="39">
      <c r="A2" s="1">
        <v>1</v>
      </c>
      <c r="B2" s="14" t="s">
        <v>636</v>
      </c>
      <c r="C2" s="14" t="s">
        <v>634</v>
      </c>
      <c r="D2" s="106">
        <v>44</v>
      </c>
      <c r="E2" s="14">
        <v>1</v>
      </c>
      <c r="F2" s="106"/>
      <c r="G2" s="158" t="str">
        <f xml:space="preserve"> _xlfn.CONCAT("a", IF($F2="", "", _xlfn.UNICHAR(HEX2DEC(RIGHT($F2,4)))))</f>
        <v>a</v>
      </c>
      <c r="H2" s="105" t="s">
        <v>635</v>
      </c>
      <c r="I2" s="157" t="str">
        <f>IFERROR( _xlfn.CONCAT("t", "o", IF($F2="", "", _xlfn.UNICHAR(HEX2DEC(RIGHT($F2,4)))), IF(RIGHT($C2,1)&lt;&gt;"入", "ng", "k")), "")</f>
        <v>tong</v>
      </c>
      <c r="J2" s="14" t="s">
        <v>637</v>
      </c>
      <c r="K2" s="107" t="str">
        <f xml:space="preserve"> _xlfn.CONCAT("ㄚ", IF($J2="", "", _xlfn.UNICHAR(HEX2DEC(RIGHT($J2,4)))))</f>
        <v>ㄚ</v>
      </c>
      <c r="L2" s="157" t="str">
        <f>IFERROR( _xlfn.CONCAT("ㄉ", IF(RIGHT($C2,1)&lt;&gt;"入", "ㆲ", "ㆦㆻ"),  IF($J2="", "", _xlfn.UNICHAR(HEX2DEC(RIGHT($J2,4)))),), "")</f>
        <v>ㄉㆲ</v>
      </c>
      <c r="M2" s="108" t="s">
        <v>1278</v>
      </c>
      <c r="N2" s="14">
        <v>1</v>
      </c>
      <c r="O2" s="181" t="s">
        <v>2362</v>
      </c>
      <c r="P2" s="181" t="s">
        <v>2362</v>
      </c>
    </row>
    <row r="3" spans="1:16" ht="39">
      <c r="A3" s="1">
        <v>2</v>
      </c>
      <c r="B3" s="14" t="s">
        <v>640</v>
      </c>
      <c r="C3" s="14" t="s">
        <v>638</v>
      </c>
      <c r="D3" s="106">
        <v>22</v>
      </c>
      <c r="E3" s="14">
        <v>7</v>
      </c>
      <c r="F3" s="106" t="s">
        <v>669</v>
      </c>
      <c r="G3" s="158" t="str">
        <f t="shared" ref="G3:G6" si="0" xml:space="preserve"> _xlfn.CONCAT("a", IF($F3="", "", _xlfn.UNICHAR(HEX2DEC(RIGHT($F3,4)))))</f>
        <v>ā</v>
      </c>
      <c r="H3" s="105" t="s">
        <v>639</v>
      </c>
      <c r="I3" s="157" t="str">
        <f t="shared" ref="I3:I8" si="1">IFERROR( _xlfn.CONCAT("t", "o", IF($F3="", "", _xlfn.UNICHAR(HEX2DEC(RIGHT($F3,4)))), IF(RIGHT($C3,1)&lt;&gt;"入", "ng", "k")), "")</f>
        <v>tōng</v>
      </c>
      <c r="J3" s="14" t="s">
        <v>2219</v>
      </c>
      <c r="K3" s="107" t="str">
        <f t="shared" ref="K3:K6" si="2" xml:space="preserve"> _xlfn.CONCAT("ㄚ", IF($J3="", "", _xlfn.UNICHAR(HEX2DEC(RIGHT($J3,4)))))</f>
        <v>ㄚ˫</v>
      </c>
      <c r="L3" s="157" t="str">
        <f t="shared" ref="L3:L8" si="3">IFERROR( _xlfn.CONCAT("ㄉ", IF(RIGHT($C3,1)&lt;&gt;"入", "ㆲ", "ㆦㆻ"),  IF($J3="", "", _xlfn.UNICHAR(HEX2DEC(RIGHT($J3,4)))),), "")</f>
        <v>ㄉㆲ˫</v>
      </c>
      <c r="M3" s="107" t="s">
        <v>641</v>
      </c>
      <c r="N3" s="14">
        <v>6</v>
      </c>
      <c r="O3" s="181" t="s">
        <v>2363</v>
      </c>
      <c r="P3" s="181" t="s">
        <v>2367</v>
      </c>
    </row>
    <row r="4" spans="1:16" ht="39">
      <c r="A4" s="1">
        <v>3</v>
      </c>
      <c r="B4" s="14" t="s">
        <v>645</v>
      </c>
      <c r="C4" s="14" t="s">
        <v>643</v>
      </c>
      <c r="D4" s="106">
        <v>21</v>
      </c>
      <c r="E4" s="14">
        <v>3</v>
      </c>
      <c r="F4" s="106" t="s">
        <v>755</v>
      </c>
      <c r="G4" s="158" t="str">
        <f t="shared" si="0"/>
        <v>à</v>
      </c>
      <c r="H4" s="105" t="s">
        <v>644</v>
      </c>
      <c r="I4" s="157" t="str">
        <f t="shared" si="1"/>
        <v>tòng</v>
      </c>
      <c r="J4" s="14" t="s">
        <v>2218</v>
      </c>
      <c r="K4" s="107" t="str">
        <f t="shared" si="2"/>
        <v>ㄚ˪</v>
      </c>
      <c r="L4" s="157" t="str">
        <f t="shared" si="3"/>
        <v>ㄉㆲ˪</v>
      </c>
      <c r="M4" s="107" t="s">
        <v>646</v>
      </c>
      <c r="N4" s="14">
        <v>5</v>
      </c>
      <c r="O4" s="181" t="s">
        <v>2364</v>
      </c>
      <c r="P4" s="181" t="s">
        <v>2365</v>
      </c>
    </row>
    <row r="5" spans="1:16" ht="39">
      <c r="A5" s="1">
        <v>4</v>
      </c>
      <c r="B5" s="14" t="s">
        <v>649</v>
      </c>
      <c r="C5" s="14" t="s">
        <v>2217</v>
      </c>
      <c r="D5" s="106">
        <v>53</v>
      </c>
      <c r="E5" s="14">
        <v>2</v>
      </c>
      <c r="F5" s="106" t="s">
        <v>757</v>
      </c>
      <c r="G5" s="158" t="str">
        <f t="shared" si="0"/>
        <v>á</v>
      </c>
      <c r="H5" s="105" t="s">
        <v>648</v>
      </c>
      <c r="I5" s="157" t="str">
        <f t="shared" si="1"/>
        <v>tóng</v>
      </c>
      <c r="J5" s="14" t="s">
        <v>1309</v>
      </c>
      <c r="K5" s="107" t="str">
        <f t="shared" si="2"/>
        <v>ㄚ̀</v>
      </c>
      <c r="L5" s="157" t="str">
        <f t="shared" si="3"/>
        <v>ㄉㆲ̀</v>
      </c>
      <c r="M5" s="107" t="s">
        <v>650</v>
      </c>
      <c r="N5" s="14">
        <v>3</v>
      </c>
      <c r="O5" s="181" t="s">
        <v>2365</v>
      </c>
      <c r="P5" s="181" t="s">
        <v>2366</v>
      </c>
    </row>
    <row r="6" spans="1:16" ht="39">
      <c r="A6" s="1">
        <v>5</v>
      </c>
      <c r="B6" s="14" t="s">
        <v>653</v>
      </c>
      <c r="C6" s="14" t="s">
        <v>651</v>
      </c>
      <c r="D6" s="106">
        <v>13</v>
      </c>
      <c r="E6" s="14">
        <v>5</v>
      </c>
      <c r="F6" s="106" t="s">
        <v>763</v>
      </c>
      <c r="G6" s="158" t="str">
        <f t="shared" si="0"/>
        <v>ǎ</v>
      </c>
      <c r="H6" s="105" t="s">
        <v>652</v>
      </c>
      <c r="I6" s="157" t="str">
        <f t="shared" si="1"/>
        <v>tǒng</v>
      </c>
      <c r="J6" s="14" t="s">
        <v>670</v>
      </c>
      <c r="K6" s="107" t="str">
        <f t="shared" si="2"/>
        <v>ㄚ́</v>
      </c>
      <c r="L6" s="157" t="str">
        <f t="shared" si="3"/>
        <v>ㄉㆲ́</v>
      </c>
      <c r="M6" s="107" t="s">
        <v>654</v>
      </c>
      <c r="N6" s="14">
        <v>2</v>
      </c>
      <c r="O6" s="181" t="s">
        <v>2366</v>
      </c>
      <c r="P6" s="181" t="s">
        <v>2364</v>
      </c>
    </row>
    <row r="7" spans="1:16" ht="39">
      <c r="A7" s="1">
        <v>6</v>
      </c>
      <c r="B7" s="14" t="s">
        <v>657</v>
      </c>
      <c r="C7" s="14" t="s">
        <v>655</v>
      </c>
      <c r="D7" s="106">
        <v>32</v>
      </c>
      <c r="E7" s="14">
        <v>4</v>
      </c>
      <c r="F7" s="106"/>
      <c r="G7" s="158" t="str">
        <f xml:space="preserve"> _xlfn.CONCAT("a", IF($F7="", "", _xlfn.UNICHAR(HEX2DEC(RIGHT($F7,4)))), "h")</f>
        <v>ah</v>
      </c>
      <c r="H7" s="105" t="s">
        <v>656</v>
      </c>
      <c r="I7" s="157" t="str">
        <f t="shared" si="1"/>
        <v>tok</v>
      </c>
      <c r="J7" s="14" t="s">
        <v>637</v>
      </c>
      <c r="K7" s="107" t="str">
        <f xml:space="preserve"> _xlfn.CONCAT("ㄚ", "ㆷ", IF($J7="", "", _xlfn.UNICHAR(HEX2DEC(RIGHT($J7,4)))))</f>
        <v>ㄚㆷ</v>
      </c>
      <c r="L7" s="157" t="str">
        <f t="shared" si="3"/>
        <v>ㄉㆦㆻ</v>
      </c>
      <c r="M7" s="107" t="s">
        <v>658</v>
      </c>
      <c r="N7" s="14">
        <v>7</v>
      </c>
      <c r="O7" s="181" t="s">
        <v>2367</v>
      </c>
      <c r="P7" s="181" t="s">
        <v>2370</v>
      </c>
    </row>
    <row r="8" spans="1:16" ht="39">
      <c r="A8" s="1">
        <v>7</v>
      </c>
      <c r="B8" s="14" t="s">
        <v>661</v>
      </c>
      <c r="C8" s="14" t="s">
        <v>659</v>
      </c>
      <c r="D8" s="106">
        <v>121</v>
      </c>
      <c r="E8" s="14">
        <v>8</v>
      </c>
      <c r="F8" s="106" t="s">
        <v>778</v>
      </c>
      <c r="G8" s="158" t="str">
        <f xml:space="preserve"> _xlfn.CONCAT("a", IF($F8="", "", _xlfn.UNICHAR(HEX2DEC(RIGHT($F8,4)))), "h")</f>
        <v>a̍h</v>
      </c>
      <c r="H8" s="105" t="s">
        <v>660</v>
      </c>
      <c r="I8" s="157" t="str">
        <f t="shared" si="1"/>
        <v>to̍k</v>
      </c>
      <c r="J8" s="14" t="s">
        <v>2220</v>
      </c>
      <c r="K8" s="107" t="str">
        <f xml:space="preserve"> _xlfn.CONCAT("ㄚ", "ㆷ", IF($J8="", "", _xlfn.UNICHAR(HEX2DEC(RIGHT($J8,4)))))</f>
        <v>ㄚㆷ˙</v>
      </c>
      <c r="L8" s="157" t="str">
        <f t="shared" si="3"/>
        <v>ㄉㆦㆻ˙</v>
      </c>
      <c r="M8" s="107" t="s">
        <v>662</v>
      </c>
      <c r="N8" s="14">
        <v>8</v>
      </c>
      <c r="O8" s="181" t="s">
        <v>2368</v>
      </c>
      <c r="P8" s="181" t="s">
        <v>2368</v>
      </c>
    </row>
    <row r="11" spans="1:16">
      <c r="A11" s="14" t="s">
        <v>0</v>
      </c>
      <c r="B11" s="14" t="s">
        <v>630</v>
      </c>
      <c r="C11" s="14" t="s">
        <v>629</v>
      </c>
      <c r="D11" s="14" t="s">
        <v>628</v>
      </c>
      <c r="E11" s="14" t="s">
        <v>633</v>
      </c>
      <c r="F11" s="14" t="s">
        <v>2222</v>
      </c>
      <c r="G11" s="14" t="s">
        <v>632</v>
      </c>
      <c r="H11" s="14" t="s">
        <v>4</v>
      </c>
      <c r="I11" s="14" t="s">
        <v>2221</v>
      </c>
      <c r="J11" s="14" t="s">
        <v>631</v>
      </c>
    </row>
    <row r="12" spans="1:16">
      <c r="A12" s="1">
        <v>1</v>
      </c>
      <c r="B12" s="1" t="s">
        <v>636</v>
      </c>
      <c r="C12" s="1" t="s">
        <v>634</v>
      </c>
      <c r="D12" s="1">
        <v>44</v>
      </c>
      <c r="E12" s="1">
        <v>1</v>
      </c>
      <c r="F12" s="1" t="s">
        <v>637</v>
      </c>
      <c r="G12" s="1" t="s">
        <v>318</v>
      </c>
      <c r="H12" s="1" t="s">
        <v>2223</v>
      </c>
      <c r="I12" s="14" t="s">
        <v>635</v>
      </c>
      <c r="J12" s="14" t="s">
        <v>2230</v>
      </c>
    </row>
    <row r="13" spans="1:16">
      <c r="A13" s="1">
        <v>2</v>
      </c>
      <c r="B13" s="1" t="s">
        <v>640</v>
      </c>
      <c r="C13" s="1" t="s">
        <v>638</v>
      </c>
      <c r="D13" s="1">
        <v>22</v>
      </c>
      <c r="E13" s="1">
        <v>7</v>
      </c>
      <c r="F13" s="1" t="s">
        <v>2219</v>
      </c>
      <c r="G13" s="1" t="s">
        <v>642</v>
      </c>
      <c r="H13" s="1" t="s">
        <v>2224</v>
      </c>
      <c r="I13" s="14" t="s">
        <v>639</v>
      </c>
      <c r="J13" s="14">
        <v>5</v>
      </c>
    </row>
    <row r="14" spans="1:16">
      <c r="A14" s="1">
        <v>3</v>
      </c>
      <c r="B14" s="1" t="s">
        <v>645</v>
      </c>
      <c r="C14" s="1" t="s">
        <v>643</v>
      </c>
      <c r="D14" s="1">
        <v>21</v>
      </c>
      <c r="E14" s="1">
        <v>3</v>
      </c>
      <c r="F14" s="1" t="s">
        <v>2218</v>
      </c>
      <c r="G14" s="1" t="s">
        <v>647</v>
      </c>
      <c r="H14" s="1" t="s">
        <v>2225</v>
      </c>
      <c r="I14" s="14" t="s">
        <v>644</v>
      </c>
      <c r="J14" s="14">
        <v>3</v>
      </c>
    </row>
    <row r="15" spans="1:16">
      <c r="A15" s="1">
        <v>4</v>
      </c>
      <c r="B15" s="1" t="s">
        <v>649</v>
      </c>
      <c r="C15" s="1" t="s">
        <v>2216</v>
      </c>
      <c r="D15" s="1">
        <v>53</v>
      </c>
      <c r="E15" s="1">
        <v>2</v>
      </c>
      <c r="F15" s="1" t="s">
        <v>1309</v>
      </c>
      <c r="G15" s="1" t="s">
        <v>1297</v>
      </c>
      <c r="H15" s="1" t="s">
        <v>2226</v>
      </c>
      <c r="I15" s="14" t="s">
        <v>648</v>
      </c>
      <c r="J15" s="14">
        <v>4</v>
      </c>
    </row>
    <row r="16" spans="1:16">
      <c r="A16" s="1">
        <v>5</v>
      </c>
      <c r="B16" s="1" t="s">
        <v>653</v>
      </c>
      <c r="C16" s="1" t="s">
        <v>651</v>
      </c>
      <c r="D16" s="1">
        <v>13</v>
      </c>
      <c r="E16" s="1">
        <v>5</v>
      </c>
      <c r="F16" s="1" t="s">
        <v>670</v>
      </c>
      <c r="G16" s="1" t="s">
        <v>1296</v>
      </c>
      <c r="H16" s="1" t="s">
        <v>2227</v>
      </c>
      <c r="I16" s="14" t="s">
        <v>652</v>
      </c>
      <c r="J16" s="14">
        <v>6</v>
      </c>
    </row>
    <row r="17" spans="1:23">
      <c r="A17" s="1">
        <v>6</v>
      </c>
      <c r="B17" s="1" t="s">
        <v>657</v>
      </c>
      <c r="C17" s="1" t="s">
        <v>655</v>
      </c>
      <c r="D17" s="1">
        <v>32</v>
      </c>
      <c r="E17" s="1">
        <v>4</v>
      </c>
      <c r="F17" s="1" t="s">
        <v>637</v>
      </c>
      <c r="G17" s="1" t="s">
        <v>1298</v>
      </c>
      <c r="H17" s="1" t="s">
        <v>2228</v>
      </c>
      <c r="I17" s="14" t="s">
        <v>656</v>
      </c>
      <c r="J17" s="14" t="s">
        <v>658</v>
      </c>
    </row>
    <row r="18" spans="1:23">
      <c r="A18" s="1">
        <v>7</v>
      </c>
      <c r="B18" s="1" t="s">
        <v>661</v>
      </c>
      <c r="C18" s="1" t="s">
        <v>659</v>
      </c>
      <c r="D18" s="1">
        <v>121</v>
      </c>
      <c r="E18" s="1">
        <v>8</v>
      </c>
      <c r="F18" s="1" t="s">
        <v>2220</v>
      </c>
      <c r="G18" s="1" t="s">
        <v>697</v>
      </c>
      <c r="H18" s="1" t="s">
        <v>2229</v>
      </c>
      <c r="I18" s="14" t="s">
        <v>660</v>
      </c>
      <c r="J18" s="14" t="s">
        <v>662</v>
      </c>
    </row>
    <row r="22" spans="1:23">
      <c r="Q22" t="s">
        <v>779</v>
      </c>
    </row>
    <row r="23" spans="1:23" ht="30">
      <c r="A23" s="49" t="s">
        <v>0</v>
      </c>
      <c r="B23" s="49" t="s">
        <v>776</v>
      </c>
      <c r="C23" s="49"/>
      <c r="D23" s="49"/>
      <c r="E23" s="49"/>
      <c r="F23" s="49"/>
      <c r="G23" s="49" t="s">
        <v>671</v>
      </c>
      <c r="H23" s="49" t="s">
        <v>631</v>
      </c>
      <c r="I23" s="49" t="s">
        <v>773</v>
      </c>
      <c r="J23" s="49" t="s">
        <v>759</v>
      </c>
      <c r="K23" s="49" t="s">
        <v>775</v>
      </c>
      <c r="L23" s="49" t="s">
        <v>761</v>
      </c>
      <c r="M23" s="49" t="s">
        <v>631</v>
      </c>
      <c r="N23" s="49" t="s">
        <v>774</v>
      </c>
      <c r="O23" s="49" t="s">
        <v>760</v>
      </c>
      <c r="Q23" s="49" t="s">
        <v>759</v>
      </c>
      <c r="U23" s="148" t="str">
        <f xml:space="preserve"> _xlfn.CONCAT("o", _xlfn.UNICHAR(HEX2DEC(RIGHT("U+0358",4))))</f>
        <v>o͘</v>
      </c>
      <c r="V23" s="49" t="s">
        <v>873</v>
      </c>
    </row>
    <row r="24" spans="1:23" ht="30">
      <c r="A24" s="1">
        <v>1</v>
      </c>
      <c r="B24" s="14" t="s">
        <v>765</v>
      </c>
      <c r="C24" s="14"/>
      <c r="D24" s="14"/>
      <c r="E24" s="14"/>
      <c r="F24" s="14"/>
      <c r="G24" s="14">
        <v>1</v>
      </c>
      <c r="H24" s="101" t="s">
        <v>1278</v>
      </c>
      <c r="I24" s="113"/>
      <c r="J24" s="98" t="str">
        <f xml:space="preserve"> IFERROR( _xlfn.CONCAT("a"), "")</f>
        <v>a</v>
      </c>
      <c r="K24" s="111" t="s">
        <v>669</v>
      </c>
      <c r="L24" s="117" t="str">
        <f t="shared" ref="L24:L26" si="4" xml:space="preserve"> IFERROR( _xlfn.CONCAT("a", _xlfn.UNICHAR(HEX2DEC(RIGHT(K24,4)))), "")</f>
        <v>ā</v>
      </c>
      <c r="M24" s="103" t="s">
        <v>1277</v>
      </c>
      <c r="N24" s="115"/>
      <c r="O24" s="119" t="str">
        <f xml:space="preserve"> IFERROR( _xlfn.CONCAT("ㄚ"), "")</f>
        <v>ㄚ</v>
      </c>
      <c r="Q24" s="50" t="str">
        <f xml:space="preserve"> IFERROR( _xlfn.CONCAT("a"), "")</f>
        <v>a</v>
      </c>
      <c r="S24" t="str">
        <f t="shared" ref="S24:S31" si="5" xml:space="preserve"> IFERROR( _xlfn.CONCAT("l", "u", _xlfn.UNICHAR(HEX2DEC(RIGHT($K24,4))), "n"), "")</f>
        <v>lūn</v>
      </c>
      <c r="T24" t="str">
        <f t="shared" ref="T24:T31" si="6" xml:space="preserve"> IFERROR( _xlfn.CONCAT("n", "g", "o", _xlfn.UNICHAR(HEX2DEC(RIGHT($K24,4))), "o"), "")</f>
        <v>ngōo</v>
      </c>
      <c r="U24">
        <v>1</v>
      </c>
      <c r="V24" s="148" t="str">
        <f>IFERROR( _xlfn.CONCAT("o", _xlfn.UNICHAR(HEX2DEC(RIGHT("U+0358",4))), _xlfn.UNICHAR(HEX2DEC(RIGHT(I24,4)))), $U$23)</f>
        <v>o͘</v>
      </c>
      <c r="W24" s="149" t="str">
        <f xml:space="preserve"> _xlfn.CONCAT("    - xform/", $U$23, U24, "/", V24, "/")</f>
        <v xml:space="preserve">    - xform/o͘1/o͘/</v>
      </c>
    </row>
    <row r="25" spans="1:23" ht="30">
      <c r="A25" s="1">
        <v>2</v>
      </c>
      <c r="B25" s="14" t="s">
        <v>766</v>
      </c>
      <c r="C25" s="14"/>
      <c r="D25" s="14"/>
      <c r="E25" s="14"/>
      <c r="F25" s="14"/>
      <c r="G25" s="14">
        <v>2</v>
      </c>
      <c r="H25" s="102" t="s">
        <v>1279</v>
      </c>
      <c r="I25" s="113" t="s">
        <v>670</v>
      </c>
      <c r="J25" s="98" t="str">
        <f xml:space="preserve"> IFERROR( _xlfn.CONCAT("a", _xlfn.UNICHAR(HEX2DEC(RIGHT($I25,4)))), "")</f>
        <v>á</v>
      </c>
      <c r="K25" s="111" t="s">
        <v>763</v>
      </c>
      <c r="L25" s="117" t="str">
        <f t="shared" si="4"/>
        <v>ǎ</v>
      </c>
      <c r="M25" s="104">
        <v>4</v>
      </c>
      <c r="N25" s="115" t="s">
        <v>755</v>
      </c>
      <c r="O25" s="119" t="str">
        <f xml:space="preserve"> IFERROR( _xlfn.CONCAT("ㄚ", _xlfn.UNICHAR(HEX2DEC(RIGHT(N25,4)))), "")</f>
        <v>ㄚ̀</v>
      </c>
      <c r="Q25" s="50" t="str">
        <f xml:space="preserve"> IFERROR( _xlfn.CONCAT("a", _xlfn.UNICHAR(HEX2DEC(RIGHT($I25,4)))), "")</f>
        <v>á</v>
      </c>
      <c r="S25" t="str">
        <f t="shared" si="5"/>
        <v>lǔn</v>
      </c>
      <c r="T25" t="str">
        <f t="shared" si="6"/>
        <v>ngǒo</v>
      </c>
      <c r="U25">
        <v>2</v>
      </c>
      <c r="V25" s="148" t="str">
        <f>IFERROR( _xlfn.CONCAT("o", _xlfn.UNICHAR(HEX2DEC(RIGHT("U+0358",4))), _xlfn.UNICHAR(HEX2DEC(RIGHT(I25,4)))), $U$23)</f>
        <v>ó͘</v>
      </c>
      <c r="W25" s="149" t="str">
        <f t="shared" ref="W25:W33" si="7" xml:space="preserve"> _xlfn.CONCAT("    - xform/", $U$23, U25, "/", V25, "/")</f>
        <v xml:space="preserve">    - xform/o͘2/ó͘/</v>
      </c>
    </row>
    <row r="26" spans="1:23" ht="30">
      <c r="A26" s="1">
        <v>3</v>
      </c>
      <c r="B26" s="14" t="s">
        <v>767</v>
      </c>
      <c r="C26" s="14"/>
      <c r="D26" s="14"/>
      <c r="E26" s="14"/>
      <c r="F26" s="14"/>
      <c r="G26" s="14">
        <v>3</v>
      </c>
      <c r="H26" s="102" t="s">
        <v>646</v>
      </c>
      <c r="I26" s="113" t="s">
        <v>755</v>
      </c>
      <c r="J26" s="98" t="str">
        <f t="shared" ref="J26:J33" si="8" xml:space="preserve"> IFERROR( _xlfn.CONCAT("a", _xlfn.UNICHAR(HEX2DEC(RIGHT($I26,4)))), "")</f>
        <v>à</v>
      </c>
      <c r="K26" s="111" t="s">
        <v>755</v>
      </c>
      <c r="L26" s="117" t="str">
        <f t="shared" si="4"/>
        <v>à</v>
      </c>
      <c r="M26" s="104">
        <v>3</v>
      </c>
      <c r="N26" s="115" t="s">
        <v>756</v>
      </c>
      <c r="O26" s="119" t="str">
        <f xml:space="preserve"> IFERROR( _xlfn.CONCAT("ㄚ", _xlfn.UNICHAR(HEX2DEC(RIGHT(N26,4)))), "")</f>
        <v>ㄚ˪</v>
      </c>
      <c r="Q26" s="50" t="str">
        <f t="shared" ref="Q26:Q33" si="9" xml:space="preserve"> IFERROR( _xlfn.CONCAT("a", _xlfn.UNICHAR(HEX2DEC(RIGHT($I26,4)))), "")</f>
        <v>à</v>
      </c>
      <c r="S26" t="str">
        <f t="shared" si="5"/>
        <v>lùn</v>
      </c>
      <c r="T26" t="str">
        <f t="shared" si="6"/>
        <v>ngòo</v>
      </c>
      <c r="U26">
        <v>3</v>
      </c>
      <c r="V26" s="148" t="str">
        <f>IFERROR( _xlfn.CONCAT("o", _xlfn.UNICHAR(HEX2DEC(RIGHT("U+0358",4))), _xlfn.UNICHAR(HEX2DEC(RIGHT(I26,4)))), $U$23)</f>
        <v>ò͘</v>
      </c>
      <c r="W26" s="149" t="str">
        <f t="shared" si="7"/>
        <v xml:space="preserve">    - xform/o͘3/ò͘/</v>
      </c>
    </row>
    <row r="27" spans="1:23" ht="30">
      <c r="A27" s="1">
        <v>4</v>
      </c>
      <c r="B27" s="14" t="s">
        <v>768</v>
      </c>
      <c r="C27" s="14"/>
      <c r="D27" s="14"/>
      <c r="E27" s="14"/>
      <c r="F27" s="14"/>
      <c r="G27" s="14">
        <v>4</v>
      </c>
      <c r="H27" s="102" t="s">
        <v>1280</v>
      </c>
      <c r="I27" s="113"/>
      <c r="J27" s="98" t="str">
        <f t="shared" si="8"/>
        <v/>
      </c>
      <c r="K27" s="111" t="s">
        <v>772</v>
      </c>
      <c r="L27" s="117" t="str">
        <f xml:space="preserve"> IFERROR( _xlfn.CONCAT("a", _xlfn.UNICHAR(HEX2DEC(RIGHT(K27,4))), "h"), "")</f>
        <v>āh</v>
      </c>
      <c r="M27" s="104" t="s">
        <v>1280</v>
      </c>
      <c r="N27" s="115"/>
      <c r="O27" s="119" t="str">
        <f xml:space="preserve"> IFERROR( _xlfn.CONCAT("ㄚ", "ㆷ"), "")</f>
        <v>ㄚㆷ</v>
      </c>
      <c r="Q27" s="50" t="str">
        <f t="shared" si="9"/>
        <v/>
      </c>
      <c r="S27" t="str">
        <f t="shared" si="5"/>
        <v>lūn</v>
      </c>
      <c r="T27" t="str">
        <f t="shared" si="6"/>
        <v>ngōo</v>
      </c>
      <c r="U27">
        <v>4</v>
      </c>
      <c r="V27" s="148" t="str">
        <f>IFERROR( _xlfn.CONCAT("o", _xlfn.UNICHAR(HEX2DEC(RIGHT("U+0358",4))), _xlfn.UNICHAR(HEX2DEC(RIGHT(I27,4)))), $U$23)</f>
        <v>o͘</v>
      </c>
      <c r="W27" s="149" t="str">
        <f t="shared" si="7"/>
        <v xml:space="preserve">    - xform/o͘4/o͘/</v>
      </c>
    </row>
    <row r="28" spans="1:23" ht="30">
      <c r="A28" s="1">
        <v>5</v>
      </c>
      <c r="B28" s="14" t="s">
        <v>769</v>
      </c>
      <c r="C28" s="14"/>
      <c r="D28" s="14"/>
      <c r="E28" s="14"/>
      <c r="F28" s="14"/>
      <c r="G28" s="14">
        <v>5</v>
      </c>
      <c r="H28" s="102" t="s">
        <v>654</v>
      </c>
      <c r="I28" s="113" t="s">
        <v>763</v>
      </c>
      <c r="J28" s="98" t="str">
        <f t="shared" si="8"/>
        <v>ǎ</v>
      </c>
      <c r="K28" s="111" t="s">
        <v>757</v>
      </c>
      <c r="L28" s="117" t="str">
        <f t="shared" ref="L28:L29" si="10" xml:space="preserve"> IFERROR( _xlfn.CONCAT("a", _xlfn.UNICHAR(HEX2DEC(RIGHT(K28,4)))), "")</f>
        <v>á</v>
      </c>
      <c r="M28" s="104">
        <v>6</v>
      </c>
      <c r="N28" s="115" t="s">
        <v>757</v>
      </c>
      <c r="O28" s="119" t="str">
        <f xml:space="preserve"> IFERROR( _xlfn.CONCAT("ㄚ", _xlfn.UNICHAR(HEX2DEC(RIGHT(N28,4)))), "")</f>
        <v>ㄚ́</v>
      </c>
      <c r="Q28" s="50" t="str">
        <f t="shared" si="9"/>
        <v>ǎ</v>
      </c>
      <c r="S28" t="str">
        <f t="shared" si="5"/>
        <v>lún</v>
      </c>
      <c r="T28" t="str">
        <f t="shared" si="6"/>
        <v>ngóo</v>
      </c>
      <c r="U28">
        <v>5</v>
      </c>
      <c r="V28" s="148" t="str">
        <f t="shared" ref="V28:V33" si="11">IFERROR( _xlfn.CONCAT("o", _xlfn.UNICHAR(HEX2DEC(RIGHT("U+0358",4))), _xlfn.UNICHAR(HEX2DEC(RIGHT(I28,4)))), "")</f>
        <v>ǒ͘</v>
      </c>
      <c r="W28" s="149" t="str">
        <f t="shared" si="7"/>
        <v xml:space="preserve">    - xform/o͘5/ǒ͘/</v>
      </c>
    </row>
    <row r="29" spans="1:23" ht="30">
      <c r="A29" s="1">
        <v>6</v>
      </c>
      <c r="B29" s="14" t="s">
        <v>766</v>
      </c>
      <c r="C29" s="14"/>
      <c r="D29" s="14"/>
      <c r="E29" s="14"/>
      <c r="F29" s="14"/>
      <c r="G29" s="109">
        <v>6</v>
      </c>
      <c r="H29" s="102"/>
      <c r="I29" s="114" t="s">
        <v>757</v>
      </c>
      <c r="J29" s="98" t="str">
        <f t="shared" si="8"/>
        <v>á</v>
      </c>
      <c r="K29" s="112" t="s">
        <v>763</v>
      </c>
      <c r="L29" s="118" t="str">
        <f t="shared" si="10"/>
        <v>ǎ</v>
      </c>
      <c r="M29" s="104"/>
      <c r="N29" s="116" t="s">
        <v>755</v>
      </c>
      <c r="O29" s="120" t="str">
        <f xml:space="preserve"> IFERROR( _xlfn.CONCAT("ㄚ", _xlfn.UNICHAR(HEX2DEC(RIGHT(N29,4)))), "")</f>
        <v>ㄚ̀</v>
      </c>
      <c r="Q29" s="50" t="str">
        <f t="shared" si="9"/>
        <v>á</v>
      </c>
      <c r="S29" t="str">
        <f t="shared" si="5"/>
        <v>lǔn</v>
      </c>
      <c r="T29" t="str">
        <f t="shared" si="6"/>
        <v>ngǒo</v>
      </c>
      <c r="U29">
        <v>6</v>
      </c>
      <c r="V29" s="148" t="str">
        <f t="shared" si="11"/>
        <v>ó͘</v>
      </c>
      <c r="W29" s="149" t="str">
        <f t="shared" si="7"/>
        <v xml:space="preserve">    - xform/o͘6/ó͘/</v>
      </c>
    </row>
    <row r="30" spans="1:23" ht="30">
      <c r="A30" s="1">
        <v>7</v>
      </c>
      <c r="B30" s="14" t="s">
        <v>770</v>
      </c>
      <c r="C30" s="14"/>
      <c r="D30" s="14"/>
      <c r="E30" s="14"/>
      <c r="F30" s="14"/>
      <c r="G30" s="14">
        <v>7</v>
      </c>
      <c r="H30" s="101" t="s">
        <v>1281</v>
      </c>
      <c r="I30" s="113" t="s">
        <v>669</v>
      </c>
      <c r="J30" s="98" t="str">
        <f t="shared" si="8"/>
        <v>ā</v>
      </c>
      <c r="K30" s="111" t="s">
        <v>762</v>
      </c>
      <c r="L30" s="117" t="str">
        <f t="shared" ref="L30" si="12" xml:space="preserve"> IFERROR( _xlfn.CONCAT("a", _xlfn.UNICHAR(HEX2DEC(RIGHT(K30,4)))), "")</f>
        <v>â</v>
      </c>
      <c r="M30" s="103">
        <v>5</v>
      </c>
      <c r="N30" s="115" t="s">
        <v>758</v>
      </c>
      <c r="O30" s="119" t="str">
        <f xml:space="preserve"> IFERROR( _xlfn.CONCAT("ㄚ", _xlfn.UNICHAR(HEX2DEC(RIGHT(N30,4)))), "")</f>
        <v>ㄚ˫</v>
      </c>
      <c r="Q30" s="50" t="str">
        <f t="shared" si="9"/>
        <v>ā</v>
      </c>
      <c r="S30" t="str">
        <f t="shared" si="5"/>
        <v>lûn</v>
      </c>
      <c r="T30" t="str">
        <f t="shared" si="6"/>
        <v>ngôo</v>
      </c>
      <c r="U30">
        <v>7</v>
      </c>
      <c r="V30" s="148" t="str">
        <f t="shared" si="11"/>
        <v>ō͘</v>
      </c>
      <c r="W30" s="149" t="str">
        <f t="shared" si="7"/>
        <v xml:space="preserve">    - xform/o͘7/ō͘/</v>
      </c>
    </row>
    <row r="31" spans="1:23" ht="30">
      <c r="A31" s="1">
        <v>8</v>
      </c>
      <c r="B31" s="14" t="s">
        <v>771</v>
      </c>
      <c r="C31" s="14"/>
      <c r="D31" s="14"/>
      <c r="E31" s="14"/>
      <c r="F31" s="14"/>
      <c r="G31" s="14">
        <v>8</v>
      </c>
      <c r="H31" s="102" t="s">
        <v>662</v>
      </c>
      <c r="I31" s="113" t="s">
        <v>778</v>
      </c>
      <c r="J31" s="98" t="str">
        <f t="shared" si="8"/>
        <v>a̍</v>
      </c>
      <c r="K31" s="111" t="s">
        <v>757</v>
      </c>
      <c r="L31" s="117" t="str">
        <f xml:space="preserve"> IFERROR( _xlfn.CONCAT("a", _xlfn.UNICHAR(HEX2DEC(RIGHT(K31,4))), "h"), "")</f>
        <v>áh</v>
      </c>
      <c r="M31" s="104" t="s">
        <v>1282</v>
      </c>
      <c r="N31" s="115" t="s">
        <v>754</v>
      </c>
      <c r="O31" s="119" t="str">
        <f xml:space="preserve"> IFERROR( _xlfn.CONCAT("ㄚ", "ㆷ", _xlfn.UNICHAR(HEX2DEC(RIGHT(N31,4)))), "")</f>
        <v>ㄚㆷ˙</v>
      </c>
      <c r="Q31" s="50" t="str">
        <f t="shared" si="9"/>
        <v>a̍</v>
      </c>
      <c r="S31" t="str">
        <f t="shared" si="5"/>
        <v>lún</v>
      </c>
      <c r="T31" t="str">
        <f t="shared" si="6"/>
        <v>ngóo</v>
      </c>
      <c r="U31">
        <v>8</v>
      </c>
      <c r="V31" s="148" t="str">
        <f t="shared" si="11"/>
        <v>o̍͘</v>
      </c>
      <c r="W31" s="149" t="str">
        <f t="shared" si="7"/>
        <v xml:space="preserve">    - xform/o͘8/o̍͘/</v>
      </c>
    </row>
    <row r="32" spans="1:23" ht="30">
      <c r="A32" s="1">
        <v>9</v>
      </c>
      <c r="B32" s="14" t="s">
        <v>764</v>
      </c>
      <c r="C32" s="14"/>
      <c r="D32" s="14"/>
      <c r="E32" s="14"/>
      <c r="F32" s="14"/>
      <c r="G32" s="14">
        <v>9</v>
      </c>
      <c r="H32" s="102"/>
      <c r="I32" s="113" t="s">
        <v>673</v>
      </c>
      <c r="J32" s="98" t="str">
        <f t="shared" si="8"/>
        <v>a̋</v>
      </c>
      <c r="K32" s="111"/>
      <c r="L32" s="110"/>
      <c r="M32" s="104"/>
      <c r="N32" s="115"/>
      <c r="O32" s="119"/>
      <c r="Q32" s="50" t="str">
        <f t="shared" si="9"/>
        <v>a̋</v>
      </c>
      <c r="S32" t="str">
        <f xml:space="preserve"> IFERROR( _xlfn.CONCAT("l", "u", _xlfn.UNICHAR(HEX2DEC(RIGHT(K32,4))), "n"), "")</f>
        <v/>
      </c>
      <c r="U32">
        <v>9</v>
      </c>
      <c r="V32" s="148" t="str">
        <f t="shared" si="11"/>
        <v>ő͘</v>
      </c>
      <c r="W32" s="149" t="str">
        <f t="shared" si="7"/>
        <v xml:space="preserve">    - xform/o͘9/ő͘/</v>
      </c>
    </row>
    <row r="33" spans="1:23" ht="30">
      <c r="A33" s="1">
        <v>10</v>
      </c>
      <c r="B33" s="14" t="s">
        <v>764</v>
      </c>
      <c r="C33" s="14"/>
      <c r="D33" s="14"/>
      <c r="E33" s="14"/>
      <c r="F33" s="14"/>
      <c r="G33" s="14">
        <v>0</v>
      </c>
      <c r="H33" s="102"/>
      <c r="I33" s="113" t="s">
        <v>672</v>
      </c>
      <c r="J33" s="98" t="str">
        <f t="shared" si="8"/>
        <v>å</v>
      </c>
      <c r="K33" s="111"/>
      <c r="L33" s="110"/>
      <c r="M33" s="104">
        <v>7</v>
      </c>
      <c r="N33" s="115" t="s">
        <v>672</v>
      </c>
      <c r="O33" s="119" t="str">
        <f xml:space="preserve"> IFERROR( _xlfn.CONCAT("ㄚ", _xlfn.UNICHAR(HEX2DEC(RIGHT(N33,4)))), "")</f>
        <v>ㄚ̊</v>
      </c>
      <c r="Q33" s="50" t="str">
        <f t="shared" si="9"/>
        <v>å</v>
      </c>
      <c r="S33" t="str">
        <f xml:space="preserve"> IFERROR( _xlfn.CONCAT("l", "u", _xlfn.UNICHAR(HEX2DEC(RIGHT(K33,4))), "n"), "")</f>
        <v/>
      </c>
      <c r="U33">
        <v>0</v>
      </c>
      <c r="V33" s="148" t="str">
        <f t="shared" si="11"/>
        <v>o̊͘</v>
      </c>
      <c r="W33" s="149" t="str">
        <f t="shared" si="7"/>
        <v xml:space="preserve">    - xform/o͘0/o̊͘/</v>
      </c>
    </row>
    <row r="36" spans="1:23" ht="30">
      <c r="U36" s="148" t="s">
        <v>137</v>
      </c>
      <c r="V36" s="49" t="s">
        <v>873</v>
      </c>
    </row>
    <row r="37" spans="1:23" ht="30">
      <c r="U37">
        <v>1</v>
      </c>
      <c r="V37" s="148" t="s">
        <v>137</v>
      </c>
      <c r="W37" s="149" t="s">
        <v>2292</v>
      </c>
    </row>
    <row r="38" spans="1:23" ht="30">
      <c r="U38">
        <v>2</v>
      </c>
      <c r="V38" s="148" t="s">
        <v>2293</v>
      </c>
      <c r="W38" s="149" t="s">
        <v>2294</v>
      </c>
    </row>
    <row r="39" spans="1:23" ht="30">
      <c r="U39">
        <v>3</v>
      </c>
      <c r="V39" s="148" t="s">
        <v>2295</v>
      </c>
      <c r="W39" s="149" t="s">
        <v>2296</v>
      </c>
    </row>
    <row r="40" spans="1:23" ht="30">
      <c r="U40">
        <v>4</v>
      </c>
      <c r="V40" s="148" t="s">
        <v>137</v>
      </c>
      <c r="W40" s="149" t="s">
        <v>2297</v>
      </c>
    </row>
    <row r="41" spans="1:23" ht="30">
      <c r="U41">
        <v>5</v>
      </c>
      <c r="V41" s="148" t="s">
        <v>2298</v>
      </c>
      <c r="W41" s="149" t="s">
        <v>2299</v>
      </c>
    </row>
    <row r="42" spans="1:23" ht="30">
      <c r="U42">
        <v>6</v>
      </c>
      <c r="V42" s="148" t="s">
        <v>2293</v>
      </c>
      <c r="W42" s="149" t="s">
        <v>2300</v>
      </c>
    </row>
    <row r="43" spans="1:23" ht="30">
      <c r="U43">
        <v>7</v>
      </c>
      <c r="V43" s="148" t="s">
        <v>2301</v>
      </c>
      <c r="W43" s="149" t="s">
        <v>2302</v>
      </c>
    </row>
    <row r="44" spans="1:23" ht="30">
      <c r="U44">
        <v>8</v>
      </c>
      <c r="V44" s="148" t="s">
        <v>2303</v>
      </c>
      <c r="W44" s="149" t="s">
        <v>2304</v>
      </c>
    </row>
    <row r="45" spans="1:23" ht="30">
      <c r="U45">
        <v>9</v>
      </c>
      <c r="V45" s="148" t="s">
        <v>2305</v>
      </c>
      <c r="W45" s="149" t="s">
        <v>2306</v>
      </c>
    </row>
    <row r="46" spans="1:23" ht="30">
      <c r="U46">
        <v>0</v>
      </c>
      <c r="V46" s="148" t="s">
        <v>2307</v>
      </c>
      <c r="W46" s="149" t="s">
        <v>2308</v>
      </c>
    </row>
    <row r="51" spans="10:15">
      <c r="J51" s="49" t="s">
        <v>1295</v>
      </c>
      <c r="K51" s="49" t="s">
        <v>1284</v>
      </c>
      <c r="L51" s="49" t="s">
        <v>671</v>
      </c>
      <c r="M51" s="49" t="s">
        <v>776</v>
      </c>
      <c r="N51" s="49" t="s">
        <v>760</v>
      </c>
      <c r="O51" s="49" t="s">
        <v>1285</v>
      </c>
    </row>
    <row r="52" spans="10:15" ht="30">
      <c r="J52" s="14">
        <v>1</v>
      </c>
      <c r="K52" s="103" t="s">
        <v>1277</v>
      </c>
      <c r="L52" s="14" t="s">
        <v>1286</v>
      </c>
      <c r="M52" s="14" t="s">
        <v>765</v>
      </c>
      <c r="N52" s="99" t="str">
        <f xml:space="preserve"> IFERROR( _xlfn.CONCAT("ㄚ"), "")</f>
        <v>ㄚ</v>
      </c>
      <c r="O52" s="99" t="s">
        <v>772</v>
      </c>
    </row>
    <row r="53" spans="10:15" ht="30">
      <c r="J53" s="14">
        <v>2</v>
      </c>
      <c r="K53" s="104">
        <v>4</v>
      </c>
      <c r="L53" s="14" t="s">
        <v>1287</v>
      </c>
      <c r="M53" s="14" t="s">
        <v>766</v>
      </c>
      <c r="N53" s="99" t="str">
        <f xml:space="preserve"> IFERROR( _xlfn.CONCAT("ㄚ", _xlfn.UNICHAR(HEX2DEC(RIGHT(O53,4)))), "")</f>
        <v>ㄚ̀</v>
      </c>
      <c r="O53" s="99" t="s">
        <v>755</v>
      </c>
    </row>
    <row r="54" spans="10:15" ht="30">
      <c r="J54" s="14">
        <v>3</v>
      </c>
      <c r="K54" s="104">
        <v>3</v>
      </c>
      <c r="L54" s="14" t="s">
        <v>1288</v>
      </c>
      <c r="M54" s="14" t="s">
        <v>767</v>
      </c>
      <c r="N54" s="99" t="str">
        <f xml:space="preserve"> IFERROR( _xlfn.CONCAT("ㄚ", _xlfn.UNICHAR(HEX2DEC(RIGHT(O54,4)))), "")</f>
        <v>ㄚ˪</v>
      </c>
      <c r="O54" s="99" t="s">
        <v>756</v>
      </c>
    </row>
    <row r="55" spans="10:15" ht="30">
      <c r="J55" s="14">
        <v>4</v>
      </c>
      <c r="K55" s="104" t="s">
        <v>1280</v>
      </c>
      <c r="L55" s="14" t="s">
        <v>1289</v>
      </c>
      <c r="M55" s="14" t="s">
        <v>768</v>
      </c>
      <c r="N55" s="99" t="str">
        <f xml:space="preserve"> IFERROR( _xlfn.CONCAT("ㄚ", "ㆷ"), "")</f>
        <v>ㄚㆷ</v>
      </c>
      <c r="O55" s="99"/>
    </row>
    <row r="56" spans="10:15" ht="30">
      <c r="J56" s="14">
        <v>5</v>
      </c>
      <c r="K56" s="104">
        <v>6</v>
      </c>
      <c r="L56" s="14" t="s">
        <v>1290</v>
      </c>
      <c r="M56" s="14" t="s">
        <v>769</v>
      </c>
      <c r="N56" s="99" t="str">
        <f xml:space="preserve"> IFERROR( _xlfn.CONCAT("ㄚ", _xlfn.UNICHAR(HEX2DEC(RIGHT(O56,4)))), "")</f>
        <v>ㄚ́</v>
      </c>
      <c r="O56" s="99" t="s">
        <v>757</v>
      </c>
    </row>
    <row r="57" spans="10:15" ht="30">
      <c r="J57" s="14">
        <v>6</v>
      </c>
      <c r="K57" s="104"/>
      <c r="L57" s="109" t="s">
        <v>1291</v>
      </c>
      <c r="M57" s="14" t="s">
        <v>766</v>
      </c>
      <c r="N57" s="100" t="str">
        <f xml:space="preserve"> IFERROR( _xlfn.CONCAT("ㄚ", _xlfn.UNICHAR(HEX2DEC(RIGHT(O57,4)))), "")</f>
        <v>ㄚ̀</v>
      </c>
      <c r="O57" s="100" t="s">
        <v>755</v>
      </c>
    </row>
    <row r="58" spans="10:15" ht="30">
      <c r="J58" s="14">
        <v>7</v>
      </c>
      <c r="K58" s="103">
        <v>5</v>
      </c>
      <c r="L58" s="14" t="s">
        <v>1292</v>
      </c>
      <c r="M58" s="14" t="s">
        <v>770</v>
      </c>
      <c r="N58" s="99" t="str">
        <f xml:space="preserve"> IFERROR( _xlfn.CONCAT("ㄚ", _xlfn.UNICHAR(HEX2DEC(RIGHT(O58,4)))), "")</f>
        <v>ㄚ˫</v>
      </c>
      <c r="O58" s="99" t="s">
        <v>758</v>
      </c>
    </row>
    <row r="59" spans="10:15" ht="30">
      <c r="J59" s="14">
        <v>8</v>
      </c>
      <c r="K59" s="104" t="s">
        <v>1282</v>
      </c>
      <c r="L59" s="14" t="s">
        <v>1293</v>
      </c>
      <c r="M59" s="14" t="s">
        <v>771</v>
      </c>
      <c r="N59" s="99" t="str">
        <f xml:space="preserve"> IFERROR( _xlfn.CONCAT("ㄚ", "ㆷ", _xlfn.UNICHAR(HEX2DEC(RIGHT(O59,4)))), "")</f>
        <v>ㄚㆷ˙</v>
      </c>
      <c r="O59" s="99" t="s">
        <v>754</v>
      </c>
    </row>
    <row r="60" spans="10:15" ht="30">
      <c r="J60" s="14">
        <v>9</v>
      </c>
      <c r="K60" s="104">
        <v>7</v>
      </c>
      <c r="L60" s="14" t="s">
        <v>1294</v>
      </c>
      <c r="M60" s="14" t="s">
        <v>1283</v>
      </c>
      <c r="N60" s="99" t="str">
        <f xml:space="preserve"> IFERROR( _xlfn.CONCAT("ㄚ", _xlfn.UNICHAR(HEX2DEC(RIGHT(O60,4)))), "")</f>
        <v>ㄚ̊</v>
      </c>
      <c r="O60" s="99" t="s">
        <v>672</v>
      </c>
    </row>
    <row r="63" spans="10:15">
      <c r="J63" s="49" t="s">
        <v>1295</v>
      </c>
      <c r="K63" s="49" t="s">
        <v>4</v>
      </c>
      <c r="L63" s="49" t="s">
        <v>1285</v>
      </c>
      <c r="M63" s="49" t="s">
        <v>1299</v>
      </c>
      <c r="N63" s="49" t="s">
        <v>1300</v>
      </c>
    </row>
    <row r="64" spans="10:15">
      <c r="J64" s="14">
        <v>1</v>
      </c>
      <c r="K64" s="99" t="s">
        <v>318</v>
      </c>
      <c r="L64" s="99" t="s">
        <v>772</v>
      </c>
      <c r="M64" s="14" t="s">
        <v>1286</v>
      </c>
      <c r="N64" s="14" t="s">
        <v>765</v>
      </c>
    </row>
    <row r="65" spans="10:14">
      <c r="J65" s="14">
        <v>2</v>
      </c>
      <c r="K65" s="99" t="s">
        <v>1297</v>
      </c>
      <c r="L65" s="99" t="s">
        <v>755</v>
      </c>
      <c r="M65" s="14" t="s">
        <v>1287</v>
      </c>
      <c r="N65" s="14" t="s">
        <v>766</v>
      </c>
    </row>
    <row r="66" spans="10:14">
      <c r="J66" s="14">
        <v>3</v>
      </c>
      <c r="K66" s="99" t="s">
        <v>647</v>
      </c>
      <c r="L66" s="99" t="s">
        <v>756</v>
      </c>
      <c r="M66" s="14" t="s">
        <v>1288</v>
      </c>
      <c r="N66" s="14" t="s">
        <v>767</v>
      </c>
    </row>
    <row r="67" spans="10:14">
      <c r="J67" s="14">
        <v>4</v>
      </c>
      <c r="K67" s="99" t="s">
        <v>1298</v>
      </c>
      <c r="L67" s="99"/>
      <c r="M67" s="14" t="s">
        <v>1289</v>
      </c>
      <c r="N67" s="14" t="s">
        <v>768</v>
      </c>
    </row>
    <row r="68" spans="10:14">
      <c r="J68" s="14">
        <v>5</v>
      </c>
      <c r="K68" s="99" t="s">
        <v>1296</v>
      </c>
      <c r="L68" s="99" t="s">
        <v>757</v>
      </c>
      <c r="M68" s="14" t="s">
        <v>1290</v>
      </c>
      <c r="N68" s="14" t="s">
        <v>769</v>
      </c>
    </row>
    <row r="69" spans="10:14">
      <c r="J69" s="14">
        <v>6</v>
      </c>
      <c r="K69" s="100" t="s">
        <v>1297</v>
      </c>
      <c r="L69" s="100" t="s">
        <v>755</v>
      </c>
      <c r="M69" s="109" t="s">
        <v>1291</v>
      </c>
      <c r="N69" s="14" t="s">
        <v>766</v>
      </c>
    </row>
    <row r="70" spans="10:14">
      <c r="J70" s="14">
        <v>7</v>
      </c>
      <c r="K70" s="99" t="s">
        <v>642</v>
      </c>
      <c r="L70" s="99" t="s">
        <v>758</v>
      </c>
      <c r="M70" s="14" t="s">
        <v>1292</v>
      </c>
      <c r="N70" s="14" t="s">
        <v>770</v>
      </c>
    </row>
    <row r="71" spans="10:14">
      <c r="J71" s="14">
        <v>8</v>
      </c>
      <c r="K71" s="99" t="s">
        <v>697</v>
      </c>
      <c r="L71" s="99" t="s">
        <v>754</v>
      </c>
      <c r="M71" s="14" t="s">
        <v>1293</v>
      </c>
      <c r="N71" s="14" t="s">
        <v>771</v>
      </c>
    </row>
    <row r="73" spans="10:14">
      <c r="K73" t="str">
        <f xml:space="preserve"> _xlfn.UNICHAR( HEX2DEC( RIGHT(L73,4)))</f>
        <v>¯</v>
      </c>
      <c r="L73" s="121" t="s">
        <v>1301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38C6B9-E1AD-4791-BA27-C166B65963CB}">
  <dimension ref="A3:R37"/>
  <sheetViews>
    <sheetView topLeftCell="C1" workbookViewId="0">
      <selection activeCell="I30" sqref="I30"/>
    </sheetView>
  </sheetViews>
  <sheetFormatPr defaultRowHeight="25.5"/>
  <cols>
    <col min="1" max="3" width="7.33203125" customWidth="1"/>
    <col min="4" max="4" width="11.83203125" bestFit="1" customWidth="1"/>
    <col min="5" max="5" width="7.33203125" customWidth="1"/>
    <col min="6" max="6" width="8.08203125" customWidth="1"/>
    <col min="7" max="7" width="8.08203125" style="20" customWidth="1"/>
    <col min="8" max="8" width="12.4140625" style="20" customWidth="1"/>
    <col min="9" max="9" width="12.4140625" customWidth="1"/>
    <col min="10" max="10" width="2.1640625" bestFit="1" customWidth="1"/>
    <col min="11" max="19" width="7.08203125" customWidth="1"/>
  </cols>
  <sheetData>
    <row r="3" spans="1:18" ht="30">
      <c r="A3" s="49" t="s">
        <v>671</v>
      </c>
      <c r="B3" s="49" t="s">
        <v>776</v>
      </c>
      <c r="C3" s="49" t="s">
        <v>631</v>
      </c>
      <c r="D3" s="49" t="s">
        <v>773</v>
      </c>
      <c r="E3" s="49" t="s">
        <v>759</v>
      </c>
      <c r="F3" s="49" t="s">
        <v>775</v>
      </c>
      <c r="G3" s="49" t="s">
        <v>761</v>
      </c>
      <c r="H3" s="49" t="s">
        <v>759</v>
      </c>
      <c r="K3" s="155" t="str">
        <f xml:space="preserve"> _xlfn.CONCAT("o", _xlfn.UNICHAR(HEX2DEC(RIGHT("U+0358",4))))</f>
        <v>o͘</v>
      </c>
      <c r="L3" s="49" t="s">
        <v>1228</v>
      </c>
      <c r="M3" s="49" t="s">
        <v>1229</v>
      </c>
      <c r="N3" s="49" t="s">
        <v>1227</v>
      </c>
      <c r="O3" s="49" t="s">
        <v>1181</v>
      </c>
      <c r="P3" s="49" t="s">
        <v>1216</v>
      </c>
      <c r="Q3" s="49" t="s">
        <v>1306</v>
      </c>
      <c r="R3" s="49" t="s">
        <v>1305</v>
      </c>
    </row>
    <row r="4" spans="1:18" ht="30">
      <c r="A4" s="14">
        <v>1</v>
      </c>
      <c r="B4" s="14" t="s">
        <v>765</v>
      </c>
      <c r="C4" s="101" t="s">
        <v>1278</v>
      </c>
      <c r="D4" s="150"/>
      <c r="E4" s="98" t="str">
        <f xml:space="preserve"> IFERROR( _xlfn.CONCAT("a"), "")</f>
        <v>a</v>
      </c>
      <c r="F4" s="152" t="s">
        <v>669</v>
      </c>
      <c r="G4" s="117" t="str">
        <f t="shared" ref="G4:G6" si="0" xml:space="preserve"> IFERROR( _xlfn.CONCAT("a", _xlfn.UNICHAR(HEX2DEC(RIGHT(F4,4)))), "")</f>
        <v>ā</v>
      </c>
      <c r="H4" s="50" t="str">
        <f xml:space="preserve"> IFERROR( _xlfn.CONCAT("a"), "")</f>
        <v>a</v>
      </c>
      <c r="J4">
        <v>1</v>
      </c>
      <c r="K4" s="148" t="str">
        <f>IFERROR( _xlfn.CONCAT("o", _xlfn.UNICHAR(HEX2DEC(RIGHT("U+0358",4))), _xlfn.UNICHAR(HEX2DEC(RIGHT(D4,4)))), $K$3)</f>
        <v>o͘</v>
      </c>
      <c r="L4" s="148" t="str">
        <f>IFERROR( _xlfn.CONCAT(L$3, IF($D4="", "", _xlfn.UNICHAR(HEX2DEC(RIGHT($D4,4))))), "")</f>
        <v>a</v>
      </c>
      <c r="M4" s="148" t="str">
        <f t="shared" ref="M4:R4" si="1">IFERROR( _xlfn.CONCAT(M$3, IF($D4="", "", _xlfn.UNICHAR(HEX2DEC(RIGHT($D4,4))))), "")</f>
        <v>i</v>
      </c>
      <c r="N4" s="148" t="str">
        <f t="shared" si="1"/>
        <v>u</v>
      </c>
      <c r="O4" s="148" t="str">
        <f t="shared" si="1"/>
        <v>e</v>
      </c>
      <c r="P4" s="148" t="str">
        <f t="shared" si="1"/>
        <v>o</v>
      </c>
      <c r="Q4" s="148" t="str">
        <f t="shared" si="1"/>
        <v>m</v>
      </c>
      <c r="R4" s="148" t="str">
        <f t="shared" si="1"/>
        <v>n</v>
      </c>
    </row>
    <row r="5" spans="1:18" ht="30">
      <c r="A5" s="14">
        <v>2</v>
      </c>
      <c r="B5" s="14" t="s">
        <v>766</v>
      </c>
      <c r="C5" s="102" t="s">
        <v>1279</v>
      </c>
      <c r="D5" s="150" t="s">
        <v>670</v>
      </c>
      <c r="E5" s="98" t="str">
        <f xml:space="preserve"> IFERROR( _xlfn.CONCAT("a", _xlfn.UNICHAR(HEX2DEC(RIGHT($D5,4)))), "")</f>
        <v>á</v>
      </c>
      <c r="F5" s="152" t="s">
        <v>763</v>
      </c>
      <c r="G5" s="117" t="str">
        <f t="shared" si="0"/>
        <v>ǎ</v>
      </c>
      <c r="H5" s="50" t="str">
        <f xml:space="preserve"> IFERROR( _xlfn.CONCAT("a", _xlfn.UNICHAR(HEX2DEC(RIGHT($D5,4)))), "")</f>
        <v>á</v>
      </c>
      <c r="J5">
        <v>2</v>
      </c>
      <c r="K5" s="148" t="str">
        <f>IFERROR( _xlfn.CONCAT("o", _xlfn.UNICHAR(HEX2DEC(RIGHT("U+0358",4))), _xlfn.UNICHAR(HEX2DEC(RIGHT(D5,4)))), $K$3)</f>
        <v>ó͘</v>
      </c>
      <c r="L5" s="148" t="str">
        <f t="shared" ref="L5:R13" si="2">IFERROR( _xlfn.CONCAT(L$3, IF($D5="", "", _xlfn.UNICHAR(HEX2DEC(RIGHT($D5,4))))), "")</f>
        <v>á</v>
      </c>
      <c r="M5" s="148" t="str">
        <f t="shared" si="2"/>
        <v>í</v>
      </c>
      <c r="N5" s="148" t="str">
        <f t="shared" si="2"/>
        <v>ú</v>
      </c>
      <c r="O5" s="148" t="str">
        <f t="shared" si="2"/>
        <v>é</v>
      </c>
      <c r="P5" s="148" t="str">
        <f t="shared" si="2"/>
        <v>ó</v>
      </c>
      <c r="Q5" s="148" t="str">
        <f t="shared" si="2"/>
        <v>ḿ</v>
      </c>
      <c r="R5" s="148" t="str">
        <f t="shared" si="2"/>
        <v>ń</v>
      </c>
    </row>
    <row r="6" spans="1:18" ht="30">
      <c r="A6" s="14">
        <v>3</v>
      </c>
      <c r="B6" s="14" t="s">
        <v>767</v>
      </c>
      <c r="C6" s="102" t="s">
        <v>646</v>
      </c>
      <c r="D6" s="150" t="s">
        <v>755</v>
      </c>
      <c r="E6" s="98" t="str">
        <f t="shared" ref="E6:E13" si="3" xml:space="preserve"> IFERROR( _xlfn.CONCAT("a", _xlfn.UNICHAR(HEX2DEC(RIGHT($D6,4)))), "")</f>
        <v>à</v>
      </c>
      <c r="F6" s="152" t="s">
        <v>755</v>
      </c>
      <c r="G6" s="117" t="str">
        <f t="shared" si="0"/>
        <v>à</v>
      </c>
      <c r="H6" s="50" t="str">
        <f t="shared" ref="H6:H13" si="4" xml:space="preserve"> IFERROR( _xlfn.CONCAT("a", _xlfn.UNICHAR(HEX2DEC(RIGHT($D6,4)))), "")</f>
        <v>à</v>
      </c>
      <c r="J6">
        <v>3</v>
      </c>
      <c r="K6" s="148" t="str">
        <f>IFERROR( _xlfn.CONCAT("o", _xlfn.UNICHAR(HEX2DEC(RIGHT("U+0358",4))), _xlfn.UNICHAR(HEX2DEC(RIGHT(D6,4)))), $K$3)</f>
        <v>ò͘</v>
      </c>
      <c r="L6" s="148" t="str">
        <f t="shared" si="2"/>
        <v>à</v>
      </c>
      <c r="M6" s="148" t="str">
        <f t="shared" si="2"/>
        <v>ì</v>
      </c>
      <c r="N6" s="148" t="str">
        <f t="shared" si="2"/>
        <v>ù</v>
      </c>
      <c r="O6" s="148" t="str">
        <f t="shared" si="2"/>
        <v>è</v>
      </c>
      <c r="P6" s="148" t="str">
        <f t="shared" si="2"/>
        <v>ò</v>
      </c>
      <c r="Q6" s="148" t="str">
        <f t="shared" si="2"/>
        <v>m̀</v>
      </c>
      <c r="R6" s="148" t="str">
        <f t="shared" si="2"/>
        <v>ǹ</v>
      </c>
    </row>
    <row r="7" spans="1:18" ht="30">
      <c r="A7" s="14">
        <v>4</v>
      </c>
      <c r="B7" s="14" t="s">
        <v>768</v>
      </c>
      <c r="C7" s="102" t="s">
        <v>1280</v>
      </c>
      <c r="D7" s="150"/>
      <c r="E7" s="98" t="str">
        <f t="shared" si="3"/>
        <v/>
      </c>
      <c r="F7" s="152" t="s">
        <v>772</v>
      </c>
      <c r="G7" s="117" t="str">
        <f xml:space="preserve"> IFERROR( _xlfn.CONCAT("a", _xlfn.UNICHAR(HEX2DEC(RIGHT(F7,4))), "h"), "")</f>
        <v>āh</v>
      </c>
      <c r="H7" s="50" t="str">
        <f t="shared" si="4"/>
        <v/>
      </c>
      <c r="J7">
        <v>4</v>
      </c>
      <c r="K7" s="148" t="str">
        <f>IFERROR( _xlfn.CONCAT("o", _xlfn.UNICHAR(HEX2DEC(RIGHT("U+0358",4))), _xlfn.UNICHAR(HEX2DEC(RIGHT(D7,4)))), $K$3)</f>
        <v>o͘</v>
      </c>
      <c r="L7" s="148" t="str">
        <f t="shared" si="2"/>
        <v>a</v>
      </c>
      <c r="M7" s="148" t="str">
        <f t="shared" si="2"/>
        <v>i</v>
      </c>
      <c r="N7" s="148" t="str">
        <f t="shared" si="2"/>
        <v>u</v>
      </c>
      <c r="O7" s="148" t="str">
        <f t="shared" si="2"/>
        <v>e</v>
      </c>
      <c r="P7" s="148" t="str">
        <f t="shared" si="2"/>
        <v>o</v>
      </c>
      <c r="Q7" s="148" t="str">
        <f t="shared" si="2"/>
        <v>m</v>
      </c>
      <c r="R7" s="148" t="str">
        <f t="shared" si="2"/>
        <v>n</v>
      </c>
    </row>
    <row r="8" spans="1:18" ht="30">
      <c r="A8" s="14">
        <v>5</v>
      </c>
      <c r="B8" s="14" t="s">
        <v>769</v>
      </c>
      <c r="C8" s="102" t="s">
        <v>654</v>
      </c>
      <c r="D8" s="150" t="s">
        <v>763</v>
      </c>
      <c r="E8" s="98" t="str">
        <f t="shared" si="3"/>
        <v>ǎ</v>
      </c>
      <c r="F8" s="152" t="s">
        <v>757</v>
      </c>
      <c r="G8" s="117" t="str">
        <f t="shared" ref="G8:G10" si="5" xml:space="preserve"> IFERROR( _xlfn.CONCAT("a", _xlfn.UNICHAR(HEX2DEC(RIGHT(F8,4)))), "")</f>
        <v>á</v>
      </c>
      <c r="H8" s="50" t="str">
        <f t="shared" si="4"/>
        <v>ǎ</v>
      </c>
      <c r="J8">
        <v>5</v>
      </c>
      <c r="K8" s="148" t="str">
        <f t="shared" ref="K8:K13" si="6">IFERROR( _xlfn.CONCAT("o", _xlfn.UNICHAR(HEX2DEC(RIGHT("U+0358",4))), _xlfn.UNICHAR(HEX2DEC(RIGHT(D8,4)))), "")</f>
        <v>ǒ͘</v>
      </c>
      <c r="L8" s="148" t="str">
        <f t="shared" si="2"/>
        <v>ǎ</v>
      </c>
      <c r="M8" s="148" t="str">
        <f t="shared" si="2"/>
        <v>ǐ</v>
      </c>
      <c r="N8" s="148" t="str">
        <f t="shared" si="2"/>
        <v>ǔ</v>
      </c>
      <c r="O8" s="148" t="str">
        <f t="shared" si="2"/>
        <v>ě</v>
      </c>
      <c r="P8" s="148" t="str">
        <f t="shared" si="2"/>
        <v>ǒ</v>
      </c>
      <c r="Q8" s="148" t="str">
        <f t="shared" si="2"/>
        <v>m̌</v>
      </c>
      <c r="R8" s="148" t="str">
        <f t="shared" si="2"/>
        <v>ň</v>
      </c>
    </row>
    <row r="9" spans="1:18" ht="30">
      <c r="A9" s="109">
        <v>6</v>
      </c>
      <c r="B9" s="14" t="s">
        <v>766</v>
      </c>
      <c r="C9" s="102"/>
      <c r="D9" s="151" t="s">
        <v>757</v>
      </c>
      <c r="E9" s="98" t="str">
        <f t="shared" si="3"/>
        <v>á</v>
      </c>
      <c r="F9" s="153" t="s">
        <v>763</v>
      </c>
      <c r="G9" s="118" t="str">
        <f t="shared" si="5"/>
        <v>ǎ</v>
      </c>
      <c r="H9" s="50" t="str">
        <f t="shared" si="4"/>
        <v>á</v>
      </c>
      <c r="J9">
        <v>6</v>
      </c>
      <c r="K9" s="148" t="str">
        <f t="shared" si="6"/>
        <v>ó͘</v>
      </c>
      <c r="L9" s="148" t="str">
        <f t="shared" si="2"/>
        <v>á</v>
      </c>
      <c r="M9" s="148" t="str">
        <f t="shared" si="2"/>
        <v>í</v>
      </c>
      <c r="N9" s="148" t="str">
        <f t="shared" si="2"/>
        <v>ú</v>
      </c>
      <c r="O9" s="148" t="str">
        <f t="shared" si="2"/>
        <v>é</v>
      </c>
      <c r="P9" s="148" t="str">
        <f t="shared" si="2"/>
        <v>ó</v>
      </c>
      <c r="Q9" s="148" t="str">
        <f t="shared" si="2"/>
        <v>ḿ</v>
      </c>
      <c r="R9" s="148" t="str">
        <f t="shared" si="2"/>
        <v>ń</v>
      </c>
    </row>
    <row r="10" spans="1:18" ht="30">
      <c r="A10" s="14">
        <v>7</v>
      </c>
      <c r="B10" s="14" t="s">
        <v>770</v>
      </c>
      <c r="C10" s="101" t="s">
        <v>1281</v>
      </c>
      <c r="D10" s="150" t="s">
        <v>669</v>
      </c>
      <c r="E10" s="98" t="str">
        <f t="shared" si="3"/>
        <v>ā</v>
      </c>
      <c r="F10" s="152" t="s">
        <v>762</v>
      </c>
      <c r="G10" s="117" t="str">
        <f t="shared" si="5"/>
        <v>â</v>
      </c>
      <c r="H10" s="50" t="str">
        <f t="shared" si="4"/>
        <v>ā</v>
      </c>
      <c r="J10">
        <v>7</v>
      </c>
      <c r="K10" s="148" t="str">
        <f t="shared" si="6"/>
        <v>ō͘</v>
      </c>
      <c r="L10" s="148" t="str">
        <f t="shared" si="2"/>
        <v>ā</v>
      </c>
      <c r="M10" s="148" t="str">
        <f t="shared" si="2"/>
        <v>ī</v>
      </c>
      <c r="N10" s="148" t="str">
        <f t="shared" si="2"/>
        <v>ū</v>
      </c>
      <c r="O10" s="148" t="str">
        <f t="shared" si="2"/>
        <v>ē</v>
      </c>
      <c r="P10" s="148" t="str">
        <f t="shared" si="2"/>
        <v>ō</v>
      </c>
      <c r="Q10" s="148" t="str">
        <f t="shared" si="2"/>
        <v>m̄</v>
      </c>
      <c r="R10" s="148" t="str">
        <f t="shared" si="2"/>
        <v>n̄</v>
      </c>
    </row>
    <row r="11" spans="1:18" ht="30">
      <c r="A11" s="14">
        <v>8</v>
      </c>
      <c r="B11" s="14" t="s">
        <v>771</v>
      </c>
      <c r="C11" s="102" t="s">
        <v>662</v>
      </c>
      <c r="D11" s="150" t="s">
        <v>778</v>
      </c>
      <c r="E11" s="98" t="str">
        <f t="shared" si="3"/>
        <v>a̍</v>
      </c>
      <c r="F11" s="152" t="s">
        <v>757</v>
      </c>
      <c r="G11" s="117" t="str">
        <f xml:space="preserve"> IFERROR( _xlfn.CONCAT("a", _xlfn.UNICHAR(HEX2DEC(RIGHT(F11,4))), "h"), "")</f>
        <v>áh</v>
      </c>
      <c r="H11" s="50" t="str">
        <f t="shared" si="4"/>
        <v>a̍</v>
      </c>
      <c r="J11">
        <v>8</v>
      </c>
      <c r="K11" s="148" t="str">
        <f t="shared" si="6"/>
        <v>o̍͘</v>
      </c>
      <c r="L11" s="148" t="str">
        <f t="shared" si="2"/>
        <v>a̍</v>
      </c>
      <c r="M11" s="148" t="str">
        <f t="shared" si="2"/>
        <v>i̍</v>
      </c>
      <c r="N11" s="148" t="str">
        <f t="shared" si="2"/>
        <v>u̍</v>
      </c>
      <c r="O11" s="148" t="str">
        <f t="shared" si="2"/>
        <v>e̍</v>
      </c>
      <c r="P11" s="148" t="str">
        <f t="shared" si="2"/>
        <v>o̍</v>
      </c>
      <c r="Q11" s="148" t="str">
        <f t="shared" si="2"/>
        <v>m̍</v>
      </c>
      <c r="R11" s="148" t="str">
        <f t="shared" si="2"/>
        <v>n̍</v>
      </c>
    </row>
    <row r="12" spans="1:18" ht="30">
      <c r="A12" s="14">
        <v>9</v>
      </c>
      <c r="B12" s="14" t="s">
        <v>764</v>
      </c>
      <c r="C12" s="102"/>
      <c r="D12" s="150" t="s">
        <v>673</v>
      </c>
      <c r="E12" s="98" t="str">
        <f t="shared" si="3"/>
        <v>a̋</v>
      </c>
      <c r="F12" s="152"/>
      <c r="G12" s="110"/>
      <c r="H12" s="50" t="str">
        <f t="shared" si="4"/>
        <v>a̋</v>
      </c>
      <c r="J12">
        <v>9</v>
      </c>
      <c r="K12" s="148" t="str">
        <f t="shared" si="6"/>
        <v>ő͘</v>
      </c>
      <c r="L12" s="148" t="str">
        <f t="shared" si="2"/>
        <v>a̋</v>
      </c>
      <c r="M12" s="148" t="str">
        <f t="shared" si="2"/>
        <v>i̋</v>
      </c>
      <c r="N12" s="148" t="str">
        <f t="shared" si="2"/>
        <v>ű</v>
      </c>
      <c r="O12" s="148" t="str">
        <f t="shared" si="2"/>
        <v>e̋</v>
      </c>
      <c r="P12" s="148" t="str">
        <f t="shared" si="2"/>
        <v>ő</v>
      </c>
      <c r="Q12" s="148" t="str">
        <f t="shared" si="2"/>
        <v>m̋</v>
      </c>
      <c r="R12" s="148" t="str">
        <f t="shared" si="2"/>
        <v>n̋</v>
      </c>
    </row>
    <row r="13" spans="1:18" ht="30">
      <c r="A13" s="14">
        <v>0</v>
      </c>
      <c r="B13" s="14" t="s">
        <v>764</v>
      </c>
      <c r="C13" s="102"/>
      <c r="D13" s="150" t="s">
        <v>672</v>
      </c>
      <c r="E13" s="98" t="str">
        <f t="shared" si="3"/>
        <v>å</v>
      </c>
      <c r="F13" s="152"/>
      <c r="G13" s="110"/>
      <c r="H13" s="50" t="str">
        <f t="shared" si="4"/>
        <v>å</v>
      </c>
      <c r="J13">
        <v>0</v>
      </c>
      <c r="K13" s="148" t="str">
        <f t="shared" si="6"/>
        <v>o̊͘</v>
      </c>
      <c r="L13" s="148" t="str">
        <f t="shared" si="2"/>
        <v>å</v>
      </c>
      <c r="M13" s="148" t="str">
        <f t="shared" si="2"/>
        <v>i̊</v>
      </c>
      <c r="N13" s="148" t="str">
        <f t="shared" si="2"/>
        <v>ů</v>
      </c>
      <c r="O13" s="148" t="str">
        <f t="shared" si="2"/>
        <v>e̊</v>
      </c>
      <c r="P13" s="148" t="str">
        <f t="shared" si="2"/>
        <v>o̊</v>
      </c>
      <c r="Q13" s="148" t="str">
        <f t="shared" si="2"/>
        <v>m̊</v>
      </c>
      <c r="R13" s="148" t="str">
        <f t="shared" si="2"/>
        <v>n̊</v>
      </c>
    </row>
    <row r="16" spans="1:18">
      <c r="A16" s="49" t="s">
        <v>671</v>
      </c>
      <c r="B16" s="49" t="s">
        <v>776</v>
      </c>
      <c r="C16" s="49" t="s">
        <v>631</v>
      </c>
      <c r="D16" s="49" t="s">
        <v>2215</v>
      </c>
      <c r="E16" s="49" t="s">
        <v>8</v>
      </c>
      <c r="G16"/>
      <c r="H16"/>
      <c r="K16" s="49" t="s">
        <v>1228</v>
      </c>
      <c r="L16" s="49" t="s">
        <v>1229</v>
      </c>
      <c r="M16" s="49" t="s">
        <v>1227</v>
      </c>
      <c r="N16" s="49" t="s">
        <v>1181</v>
      </c>
      <c r="O16" s="49" t="s">
        <v>1216</v>
      </c>
      <c r="P16" s="49" t="s">
        <v>1306</v>
      </c>
      <c r="Q16" s="49" t="s">
        <v>1305</v>
      </c>
    </row>
    <row r="17" spans="1:17" ht="30">
      <c r="A17" s="14">
        <v>1</v>
      </c>
      <c r="B17" s="14" t="s">
        <v>765</v>
      </c>
      <c r="C17" s="101" t="s">
        <v>1278</v>
      </c>
      <c r="D17" s="152" t="s">
        <v>669</v>
      </c>
      <c r="E17" s="111" t="str">
        <f t="shared" ref="E17:E21" si="7" xml:space="preserve"> IFERROR( _xlfn.CONCAT("a", _xlfn.UNICHAR(HEX2DEC(RIGHT(D17,4)))), "")</f>
        <v>ā</v>
      </c>
      <c r="G17"/>
      <c r="H17" t="str">
        <f t="shared" ref="H17:H24" si="8" xml:space="preserve"> IFERROR( _xlfn.CONCAT("l", "u", _xlfn.UNICHAR(HEX2DEC(RIGHT($F4,4))), "n"), "")</f>
        <v>lūn</v>
      </c>
      <c r="I17" t="str">
        <f t="shared" ref="I17:I24" si="9" xml:space="preserve"> IFERROR( _xlfn.CONCAT("n", "g", "o", _xlfn.UNICHAR(HEX2DEC(RIGHT($F4,4))), "o"), "")</f>
        <v>ngōo</v>
      </c>
      <c r="J17">
        <v>1</v>
      </c>
      <c r="K17" s="148" t="str">
        <f t="shared" ref="K17:Q24" si="10">IFERROR( _xlfn.CONCAT(L$3, IF($D17="", "", _xlfn.UNICHAR(HEX2DEC(RIGHT($D17,4))))), "")</f>
        <v>ā</v>
      </c>
      <c r="L17" s="148" t="str">
        <f t="shared" si="10"/>
        <v>ī</v>
      </c>
      <c r="M17" s="148" t="str">
        <f t="shared" si="10"/>
        <v>ū</v>
      </c>
      <c r="N17" s="148" t="str">
        <f t="shared" si="10"/>
        <v>ē</v>
      </c>
      <c r="O17" s="148" t="str">
        <f t="shared" si="10"/>
        <v>ō</v>
      </c>
      <c r="P17" s="148" t="str">
        <f t="shared" si="10"/>
        <v>m̄</v>
      </c>
      <c r="Q17" s="148" t="str">
        <f t="shared" si="10"/>
        <v>n̄</v>
      </c>
    </row>
    <row r="18" spans="1:17" ht="30">
      <c r="A18" s="14">
        <v>2</v>
      </c>
      <c r="B18" s="14" t="s">
        <v>769</v>
      </c>
      <c r="C18" s="102" t="s">
        <v>654</v>
      </c>
      <c r="D18" s="152" t="s">
        <v>757</v>
      </c>
      <c r="E18" s="111" t="str">
        <f xml:space="preserve"> IFERROR( _xlfn.CONCAT("a", _xlfn.UNICHAR(HEX2DEC(RIGHT(D18,4)))), "")</f>
        <v>á</v>
      </c>
      <c r="G18"/>
      <c r="H18" t="str">
        <f t="shared" si="8"/>
        <v>lǔn</v>
      </c>
      <c r="I18" t="str">
        <f t="shared" si="9"/>
        <v>ngǒo</v>
      </c>
      <c r="J18">
        <v>2</v>
      </c>
      <c r="K18" s="148" t="str">
        <f t="shared" si="10"/>
        <v>á</v>
      </c>
      <c r="L18" s="148" t="str">
        <f t="shared" si="10"/>
        <v>í</v>
      </c>
      <c r="M18" s="148" t="str">
        <f t="shared" si="10"/>
        <v>ú</v>
      </c>
      <c r="N18" s="148" t="str">
        <f t="shared" si="10"/>
        <v>é</v>
      </c>
      <c r="O18" s="148" t="str">
        <f t="shared" si="10"/>
        <v>ó</v>
      </c>
      <c r="P18" s="148" t="str">
        <f t="shared" si="10"/>
        <v>ḿ</v>
      </c>
      <c r="Q18" s="148" t="str">
        <f t="shared" si="10"/>
        <v>ń</v>
      </c>
    </row>
    <row r="19" spans="1:17" ht="30">
      <c r="A19" s="14">
        <v>3</v>
      </c>
      <c r="B19" s="14" t="s">
        <v>766</v>
      </c>
      <c r="C19" s="102" t="s">
        <v>1279</v>
      </c>
      <c r="D19" s="152" t="s">
        <v>763</v>
      </c>
      <c r="E19" s="111" t="str">
        <f t="shared" si="7"/>
        <v>ǎ</v>
      </c>
      <c r="G19"/>
      <c r="H19" t="str">
        <f t="shared" si="8"/>
        <v>lùn</v>
      </c>
      <c r="I19" t="str">
        <f t="shared" si="9"/>
        <v>ngòo</v>
      </c>
      <c r="J19">
        <v>3</v>
      </c>
      <c r="K19" s="148" t="str">
        <f t="shared" si="10"/>
        <v>ǎ</v>
      </c>
      <c r="L19" s="148" t="str">
        <f t="shared" si="10"/>
        <v>ǐ</v>
      </c>
      <c r="M19" s="148" t="str">
        <f t="shared" si="10"/>
        <v>ǔ</v>
      </c>
      <c r="N19" s="148" t="str">
        <f t="shared" si="10"/>
        <v>ě</v>
      </c>
      <c r="O19" s="148" t="str">
        <f t="shared" si="10"/>
        <v>ǒ</v>
      </c>
      <c r="P19" s="148" t="str">
        <f t="shared" si="10"/>
        <v>m̌</v>
      </c>
      <c r="Q19" s="148" t="str">
        <f t="shared" si="10"/>
        <v>ň</v>
      </c>
    </row>
    <row r="20" spans="1:17" ht="30">
      <c r="A20" s="14">
        <v>4</v>
      </c>
      <c r="B20" s="14" t="s">
        <v>766</v>
      </c>
      <c r="C20" s="102"/>
      <c r="D20" s="153" t="s">
        <v>763</v>
      </c>
      <c r="E20" s="154" t="str">
        <f xml:space="preserve"> IFERROR( _xlfn.CONCAT("a", _xlfn.UNICHAR(HEX2DEC(RIGHT(D20,4)))), "")</f>
        <v>ǎ</v>
      </c>
      <c r="G20"/>
      <c r="H20" t="str">
        <f t="shared" si="8"/>
        <v>lūn</v>
      </c>
      <c r="I20" t="str">
        <f t="shared" si="9"/>
        <v>ngōo</v>
      </c>
      <c r="J20">
        <v>4</v>
      </c>
      <c r="K20" s="148" t="str">
        <f t="shared" si="10"/>
        <v>ǎ</v>
      </c>
      <c r="L20" s="148" t="str">
        <f t="shared" si="10"/>
        <v>ǐ</v>
      </c>
      <c r="M20" s="148" t="str">
        <f t="shared" si="10"/>
        <v>ǔ</v>
      </c>
      <c r="N20" s="148" t="str">
        <f t="shared" si="10"/>
        <v>ě</v>
      </c>
      <c r="O20" s="148" t="str">
        <f t="shared" si="10"/>
        <v>ǒ</v>
      </c>
      <c r="P20" s="148" t="str">
        <f t="shared" si="10"/>
        <v>m̌</v>
      </c>
      <c r="Q20" s="148" t="str">
        <f t="shared" si="10"/>
        <v>ň</v>
      </c>
    </row>
    <row r="21" spans="1:17" ht="30">
      <c r="A21" s="14">
        <v>5</v>
      </c>
      <c r="B21" s="14" t="s">
        <v>767</v>
      </c>
      <c r="C21" s="102" t="s">
        <v>646</v>
      </c>
      <c r="D21" s="152" t="s">
        <v>755</v>
      </c>
      <c r="E21" s="111" t="str">
        <f t="shared" si="7"/>
        <v>à</v>
      </c>
      <c r="G21"/>
      <c r="H21" t="str">
        <f t="shared" si="8"/>
        <v>lún</v>
      </c>
      <c r="I21" t="str">
        <f t="shared" si="9"/>
        <v>ngóo</v>
      </c>
      <c r="J21">
        <v>5</v>
      </c>
      <c r="K21" s="148" t="str">
        <f t="shared" si="10"/>
        <v>à</v>
      </c>
      <c r="L21" s="148" t="str">
        <f t="shared" si="10"/>
        <v>ì</v>
      </c>
      <c r="M21" s="148" t="str">
        <f t="shared" si="10"/>
        <v>ù</v>
      </c>
      <c r="N21" s="148" t="str">
        <f t="shared" si="10"/>
        <v>è</v>
      </c>
      <c r="O21" s="148" t="str">
        <f t="shared" si="10"/>
        <v>ò</v>
      </c>
      <c r="P21" s="148" t="str">
        <f t="shared" si="10"/>
        <v>m̀</v>
      </c>
      <c r="Q21" s="148" t="str">
        <f t="shared" si="10"/>
        <v>ǹ</v>
      </c>
    </row>
    <row r="22" spans="1:17" ht="30">
      <c r="A22" s="109">
        <v>6</v>
      </c>
      <c r="B22" s="14" t="s">
        <v>770</v>
      </c>
      <c r="C22" s="101" t="s">
        <v>1281</v>
      </c>
      <c r="D22" s="152" t="s">
        <v>762</v>
      </c>
      <c r="E22" s="111" t="str">
        <f t="shared" ref="E22" si="11" xml:space="preserve"> IFERROR( _xlfn.CONCAT("a", _xlfn.UNICHAR(HEX2DEC(RIGHT(D22,4)))), "")</f>
        <v>â</v>
      </c>
      <c r="G22"/>
      <c r="H22" t="str">
        <f t="shared" si="8"/>
        <v>lǔn</v>
      </c>
      <c r="I22" t="str">
        <f t="shared" si="9"/>
        <v>ngǒo</v>
      </c>
      <c r="J22">
        <v>6</v>
      </c>
      <c r="K22" s="148" t="str">
        <f t="shared" si="10"/>
        <v>â</v>
      </c>
      <c r="L22" s="148" t="str">
        <f t="shared" si="10"/>
        <v>î</v>
      </c>
      <c r="M22" s="148" t="str">
        <f t="shared" si="10"/>
        <v>û</v>
      </c>
      <c r="N22" s="148" t="str">
        <f t="shared" si="10"/>
        <v>ê</v>
      </c>
      <c r="O22" s="148" t="str">
        <f t="shared" si="10"/>
        <v>ô</v>
      </c>
      <c r="P22" s="148" t="str">
        <f t="shared" si="10"/>
        <v>m̂</v>
      </c>
      <c r="Q22" s="148" t="str">
        <f t="shared" si="10"/>
        <v>n̂</v>
      </c>
    </row>
    <row r="23" spans="1:17" ht="30">
      <c r="A23" s="14">
        <v>7</v>
      </c>
      <c r="B23" s="14" t="s">
        <v>768</v>
      </c>
      <c r="C23" s="102" t="s">
        <v>1280</v>
      </c>
      <c r="D23" s="152" t="s">
        <v>772</v>
      </c>
      <c r="E23" s="111" t="str">
        <f xml:space="preserve"> IFERROR( _xlfn.CONCAT("a", _xlfn.UNICHAR(HEX2DEC(RIGHT(D23,4))), "h"), "")</f>
        <v>āh</v>
      </c>
      <c r="G23"/>
      <c r="H23" t="str">
        <f t="shared" si="8"/>
        <v>lûn</v>
      </c>
      <c r="I23" t="str">
        <f t="shared" si="9"/>
        <v>ngôo</v>
      </c>
      <c r="J23">
        <v>7</v>
      </c>
      <c r="K23" s="148" t="str">
        <f t="shared" si="10"/>
        <v>ā</v>
      </c>
      <c r="L23" s="148" t="str">
        <f t="shared" si="10"/>
        <v>ī</v>
      </c>
      <c r="M23" s="148" t="str">
        <f t="shared" si="10"/>
        <v>ū</v>
      </c>
      <c r="N23" s="148" t="str">
        <f t="shared" si="10"/>
        <v>ē</v>
      </c>
      <c r="O23" s="148" t="str">
        <f t="shared" si="10"/>
        <v>ō</v>
      </c>
      <c r="P23" s="148" t="str">
        <f t="shared" si="10"/>
        <v>m̄</v>
      </c>
      <c r="Q23" s="148" t="str">
        <f t="shared" si="10"/>
        <v>n̄</v>
      </c>
    </row>
    <row r="24" spans="1:17" ht="30">
      <c r="A24" s="14">
        <v>8</v>
      </c>
      <c r="B24" s="14" t="s">
        <v>771</v>
      </c>
      <c r="C24" s="102" t="s">
        <v>662</v>
      </c>
      <c r="D24" s="152" t="s">
        <v>757</v>
      </c>
      <c r="E24" s="111" t="str">
        <f xml:space="preserve"> IFERROR( _xlfn.CONCAT("a", _xlfn.UNICHAR(HEX2DEC(RIGHT(D24,4))), "h"), "")</f>
        <v>áh</v>
      </c>
      <c r="G24"/>
      <c r="H24" t="str">
        <f t="shared" si="8"/>
        <v>lún</v>
      </c>
      <c r="I24" t="str">
        <f t="shared" si="9"/>
        <v>ngóo</v>
      </c>
      <c r="J24">
        <v>8</v>
      </c>
      <c r="K24" s="148" t="str">
        <f t="shared" si="10"/>
        <v>á</v>
      </c>
      <c r="L24" s="148" t="str">
        <f t="shared" si="10"/>
        <v>í</v>
      </c>
      <c r="M24" s="148" t="str">
        <f t="shared" si="10"/>
        <v>ú</v>
      </c>
      <c r="N24" s="148" t="str">
        <f t="shared" si="10"/>
        <v>é</v>
      </c>
      <c r="O24" s="148" t="str">
        <f t="shared" si="10"/>
        <v>ó</v>
      </c>
      <c r="P24" s="148" t="str">
        <f t="shared" si="10"/>
        <v>ḿ</v>
      </c>
      <c r="Q24" s="148" t="str">
        <f t="shared" si="10"/>
        <v>ń</v>
      </c>
    </row>
    <row r="25" spans="1:17" ht="30">
      <c r="A25" s="14">
        <v>9</v>
      </c>
      <c r="B25" s="14" t="s">
        <v>764</v>
      </c>
      <c r="C25" s="102"/>
      <c r="D25" s="152"/>
      <c r="E25" s="111"/>
      <c r="G25"/>
      <c r="H25" t="str">
        <f xml:space="preserve"> IFERROR( _xlfn.CONCAT("l", "u", _xlfn.UNICHAR(HEX2DEC(RIGHT(F12,4))), "n"), "")</f>
        <v/>
      </c>
    </row>
    <row r="26" spans="1:17" ht="30">
      <c r="A26" s="14">
        <v>0</v>
      </c>
      <c r="B26" s="14" t="s">
        <v>764</v>
      </c>
      <c r="C26" s="102"/>
      <c r="D26" s="152"/>
      <c r="E26" s="111"/>
      <c r="G26"/>
      <c r="H26" t="str">
        <f xml:space="preserve"> IFERROR( _xlfn.CONCAT("l", "u", _xlfn.UNICHAR(HEX2DEC(RIGHT(F13,4))), "n"), "")</f>
        <v/>
      </c>
    </row>
    <row r="29" spans="1:17">
      <c r="A29" s="49" t="s">
        <v>671</v>
      </c>
      <c r="B29" s="49" t="s">
        <v>776</v>
      </c>
      <c r="C29" s="49" t="s">
        <v>631</v>
      </c>
      <c r="D29" s="49" t="s">
        <v>773</v>
      </c>
      <c r="E29" s="49" t="s">
        <v>759</v>
      </c>
      <c r="H29" t="s">
        <v>1216</v>
      </c>
      <c r="I29" t="s">
        <v>1216</v>
      </c>
      <c r="K29" s="49" t="s">
        <v>1228</v>
      </c>
      <c r="L29" s="49" t="s">
        <v>1229</v>
      </c>
      <c r="M29" s="49" t="s">
        <v>1227</v>
      </c>
      <c r="N29" s="49" t="s">
        <v>1181</v>
      </c>
      <c r="O29" s="49" t="s">
        <v>1216</v>
      </c>
      <c r="P29" s="49" t="s">
        <v>1306</v>
      </c>
      <c r="Q29" s="49" t="s">
        <v>1305</v>
      </c>
    </row>
    <row r="30" spans="1:17" ht="30">
      <c r="A30" s="14">
        <v>1</v>
      </c>
      <c r="B30" s="14" t="s">
        <v>765</v>
      </c>
      <c r="C30" s="101" t="s">
        <v>1278</v>
      </c>
      <c r="D30" s="150"/>
      <c r="E30" s="98" t="str">
        <f xml:space="preserve"> IFERROR( _xlfn.CONCAT("a", IF($D30="", "", _xlfn.UNICHAR(HEX2DEC(RIGHT($D30,4))))), "")</f>
        <v>a</v>
      </c>
      <c r="H30" s="156" t="str">
        <f>IFERROR( _xlfn.CONCAT("l", "o", IF($D30="", "", _xlfn.UNICHAR(HEX2DEC(RIGHT($D30,4))))), "")</f>
        <v>lo</v>
      </c>
      <c r="I30" s="156" t="str">
        <f>IFERROR( _xlfn.CONCAT("l", "o", IF($D30="", "", _xlfn.UNICHAR(HEX2DEC(RIGHT($D30,4)))), "r", IF(OR(J30=4, J30=8), "k", "")), "")</f>
        <v>lor</v>
      </c>
      <c r="J30">
        <v>1</v>
      </c>
      <c r="K30" s="148" t="str">
        <f t="shared" ref="K30:Q37" si="12">IFERROR( _xlfn.CONCAT(L$3, IF($D28="", "", _xlfn.UNICHAR(HEX2DEC(RIGHT($D28,4))))), "")</f>
        <v>a</v>
      </c>
      <c r="L30" s="148" t="str">
        <f t="shared" si="12"/>
        <v>i</v>
      </c>
      <c r="M30" s="148" t="str">
        <f t="shared" si="12"/>
        <v>u</v>
      </c>
      <c r="N30" s="148" t="str">
        <f t="shared" si="12"/>
        <v>e</v>
      </c>
      <c r="O30" s="148" t="str">
        <f t="shared" si="12"/>
        <v>o</v>
      </c>
      <c r="P30" s="148" t="str">
        <f t="shared" si="12"/>
        <v>m</v>
      </c>
      <c r="Q30" s="148" t="str">
        <f t="shared" si="12"/>
        <v>n</v>
      </c>
    </row>
    <row r="31" spans="1:17" ht="30">
      <c r="A31" s="14">
        <v>2</v>
      </c>
      <c r="B31" s="14" t="s">
        <v>769</v>
      </c>
      <c r="C31" s="102" t="s">
        <v>654</v>
      </c>
      <c r="D31" s="150" t="s">
        <v>670</v>
      </c>
      <c r="E31" s="98" t="str">
        <f xml:space="preserve"> IFERROR( _xlfn.CONCAT("a", IF($D31="", "", _xlfn.UNICHAR(HEX2DEC(RIGHT($D31,4))))), "")</f>
        <v>á</v>
      </c>
      <c r="H31" s="156" t="str">
        <f t="shared" ref="H31:H36" si="13">IFERROR( _xlfn.CONCAT("l", "o", IF($D31="", "", _xlfn.UNICHAR(HEX2DEC(RIGHT($D31,4))))), "")</f>
        <v>ló</v>
      </c>
      <c r="I31" s="156" t="str">
        <f t="shared" ref="I31:I37" si="14">IFERROR( _xlfn.CONCAT("l", "o", IF($D31="", "", _xlfn.UNICHAR(HEX2DEC(RIGHT($D31,4)))), "r", IF(OR(J31=4, J31=8), "k", "")), "")</f>
        <v>lór</v>
      </c>
      <c r="J31">
        <v>2</v>
      </c>
      <c r="K31" s="148" t="str">
        <f t="shared" si="12"/>
        <v/>
      </c>
      <c r="L31" s="148" t="str">
        <f t="shared" si="12"/>
        <v/>
      </c>
      <c r="M31" s="148" t="str">
        <f t="shared" si="12"/>
        <v/>
      </c>
      <c r="N31" s="148" t="str">
        <f t="shared" si="12"/>
        <v/>
      </c>
      <c r="O31" s="148" t="str">
        <f t="shared" si="12"/>
        <v/>
      </c>
      <c r="P31" s="148" t="str">
        <f t="shared" si="12"/>
        <v/>
      </c>
      <c r="Q31" s="148" t="str">
        <f t="shared" si="12"/>
        <v/>
      </c>
    </row>
    <row r="32" spans="1:17" ht="30">
      <c r="A32" s="14">
        <v>3</v>
      </c>
      <c r="B32" s="14" t="s">
        <v>766</v>
      </c>
      <c r="C32" s="102" t="s">
        <v>1279</v>
      </c>
      <c r="D32" s="150" t="s">
        <v>755</v>
      </c>
      <c r="E32" s="98" t="str">
        <f t="shared" ref="E32:E37" si="15" xml:space="preserve"> IFERROR( _xlfn.CONCAT("a", IF($D32="", "", _xlfn.UNICHAR(HEX2DEC(RIGHT($D32,4))))), "")</f>
        <v>à</v>
      </c>
      <c r="H32" s="156" t="str">
        <f t="shared" si="13"/>
        <v>lò</v>
      </c>
      <c r="I32" s="156" t="str">
        <f t="shared" si="14"/>
        <v>lòr</v>
      </c>
      <c r="J32">
        <v>3</v>
      </c>
      <c r="K32" s="148" t="str">
        <f t="shared" si="12"/>
        <v>a</v>
      </c>
      <c r="L32" s="148" t="str">
        <f t="shared" si="12"/>
        <v>i</v>
      </c>
      <c r="M32" s="148" t="str">
        <f t="shared" si="12"/>
        <v>u</v>
      </c>
      <c r="N32" s="148" t="str">
        <f t="shared" si="12"/>
        <v>e</v>
      </c>
      <c r="O32" s="148" t="str">
        <f t="shared" si="12"/>
        <v>o</v>
      </c>
      <c r="P32" s="148" t="str">
        <f t="shared" si="12"/>
        <v>m</v>
      </c>
      <c r="Q32" s="148" t="str">
        <f t="shared" si="12"/>
        <v>n</v>
      </c>
    </row>
    <row r="33" spans="1:17" ht="30">
      <c r="A33" s="14">
        <v>4</v>
      </c>
      <c r="B33" s="14" t="s">
        <v>766</v>
      </c>
      <c r="C33" s="102"/>
      <c r="D33" s="150"/>
      <c r="E33" s="98" t="str">
        <f t="shared" si="15"/>
        <v>a</v>
      </c>
      <c r="H33" s="156" t="str">
        <f>IFERROR( _xlfn.CONCAT("l", "o", IF($D33="", "", _xlfn.UNICHAR(HEX2DEC(RIGHT($D33,4)))), "k"), "")</f>
        <v>lok</v>
      </c>
      <c r="I33" s="156" t="str">
        <f t="shared" si="14"/>
        <v>lork</v>
      </c>
      <c r="J33">
        <v>4</v>
      </c>
      <c r="K33" s="148" t="str">
        <f t="shared" si="12"/>
        <v>á</v>
      </c>
      <c r="L33" s="148" t="str">
        <f t="shared" si="12"/>
        <v>í</v>
      </c>
      <c r="M33" s="148" t="str">
        <f t="shared" si="12"/>
        <v>ú</v>
      </c>
      <c r="N33" s="148" t="str">
        <f t="shared" si="12"/>
        <v>é</v>
      </c>
      <c r="O33" s="148" t="str">
        <f t="shared" si="12"/>
        <v>ó</v>
      </c>
      <c r="P33" s="148" t="str">
        <f t="shared" si="12"/>
        <v>ḿ</v>
      </c>
      <c r="Q33" s="148" t="str">
        <f t="shared" si="12"/>
        <v>ń</v>
      </c>
    </row>
    <row r="34" spans="1:17" ht="30">
      <c r="A34" s="14">
        <v>5</v>
      </c>
      <c r="B34" s="14" t="s">
        <v>767</v>
      </c>
      <c r="C34" s="102" t="s">
        <v>646</v>
      </c>
      <c r="D34" s="150" t="s">
        <v>763</v>
      </c>
      <c r="E34" s="98" t="str">
        <f t="shared" si="15"/>
        <v>ǎ</v>
      </c>
      <c r="H34" s="156" t="str">
        <f t="shared" si="13"/>
        <v>lǒ</v>
      </c>
      <c r="I34" s="156" t="str">
        <f t="shared" si="14"/>
        <v>lǒr</v>
      </c>
      <c r="J34">
        <v>5</v>
      </c>
      <c r="K34" s="148" t="str">
        <f t="shared" si="12"/>
        <v>à</v>
      </c>
      <c r="L34" s="148" t="str">
        <f t="shared" si="12"/>
        <v>ì</v>
      </c>
      <c r="M34" s="148" t="str">
        <f t="shared" si="12"/>
        <v>ù</v>
      </c>
      <c r="N34" s="148" t="str">
        <f t="shared" si="12"/>
        <v>è</v>
      </c>
      <c r="O34" s="148" t="str">
        <f t="shared" si="12"/>
        <v>ò</v>
      </c>
      <c r="P34" s="148" t="str">
        <f t="shared" si="12"/>
        <v>m̀</v>
      </c>
      <c r="Q34" s="148" t="str">
        <f t="shared" si="12"/>
        <v>ǹ</v>
      </c>
    </row>
    <row r="35" spans="1:17" ht="30">
      <c r="A35" s="109">
        <v>6</v>
      </c>
      <c r="B35" s="14" t="s">
        <v>770</v>
      </c>
      <c r="C35" s="101" t="s">
        <v>1281</v>
      </c>
      <c r="D35" s="151" t="s">
        <v>757</v>
      </c>
      <c r="E35" s="98" t="str">
        <f t="shared" si="15"/>
        <v>á</v>
      </c>
      <c r="H35" s="156" t="str">
        <f t="shared" si="13"/>
        <v>ló</v>
      </c>
      <c r="I35" s="156" t="str">
        <f t="shared" si="14"/>
        <v>lór</v>
      </c>
      <c r="J35">
        <v>6</v>
      </c>
      <c r="K35" s="148" t="str">
        <f t="shared" si="12"/>
        <v>a</v>
      </c>
      <c r="L35" s="148" t="str">
        <f t="shared" si="12"/>
        <v>i</v>
      </c>
      <c r="M35" s="148" t="str">
        <f t="shared" si="12"/>
        <v>u</v>
      </c>
      <c r="N35" s="148" t="str">
        <f t="shared" si="12"/>
        <v>e</v>
      </c>
      <c r="O35" s="148" t="str">
        <f t="shared" si="12"/>
        <v>o</v>
      </c>
      <c r="P35" s="148" t="str">
        <f t="shared" si="12"/>
        <v>m</v>
      </c>
      <c r="Q35" s="148" t="str">
        <f t="shared" si="12"/>
        <v>n</v>
      </c>
    </row>
    <row r="36" spans="1:17" ht="30">
      <c r="A36" s="14">
        <v>7</v>
      </c>
      <c r="B36" s="14" t="s">
        <v>768</v>
      </c>
      <c r="C36" s="102" t="s">
        <v>1280</v>
      </c>
      <c r="D36" s="150" t="s">
        <v>669</v>
      </c>
      <c r="E36" s="98" t="str">
        <f t="shared" si="15"/>
        <v>ā</v>
      </c>
      <c r="H36" s="156" t="str">
        <f t="shared" si="13"/>
        <v>lō</v>
      </c>
      <c r="I36" s="156" t="str">
        <f t="shared" si="14"/>
        <v>lōr</v>
      </c>
      <c r="J36">
        <v>7</v>
      </c>
      <c r="K36" s="148" t="str">
        <f t="shared" si="12"/>
        <v>ǎ</v>
      </c>
      <c r="L36" s="148" t="str">
        <f t="shared" si="12"/>
        <v>ǐ</v>
      </c>
      <c r="M36" s="148" t="str">
        <f t="shared" si="12"/>
        <v>ǔ</v>
      </c>
      <c r="N36" s="148" t="str">
        <f t="shared" si="12"/>
        <v>ě</v>
      </c>
      <c r="O36" s="148" t="str">
        <f t="shared" si="12"/>
        <v>ǒ</v>
      </c>
      <c r="P36" s="148" t="str">
        <f t="shared" si="12"/>
        <v>m̌</v>
      </c>
      <c r="Q36" s="148" t="str">
        <f t="shared" si="12"/>
        <v>ň</v>
      </c>
    </row>
    <row r="37" spans="1:17" ht="30">
      <c r="A37" s="14">
        <v>8</v>
      </c>
      <c r="B37" s="14" t="s">
        <v>771</v>
      </c>
      <c r="C37" s="102" t="s">
        <v>662</v>
      </c>
      <c r="D37" s="150" t="s">
        <v>778</v>
      </c>
      <c r="E37" s="98" t="str">
        <f t="shared" si="15"/>
        <v>a̍</v>
      </c>
      <c r="H37" s="156" t="str">
        <f>IFERROR( _xlfn.CONCAT("l", "o", IF($D37="", "", _xlfn.UNICHAR(HEX2DEC(RIGHT($D37,4)))), "k"), "")</f>
        <v>lo̍k</v>
      </c>
      <c r="I37" s="156" t="str">
        <f t="shared" si="14"/>
        <v>lo̍rk</v>
      </c>
      <c r="J37">
        <v>8</v>
      </c>
      <c r="K37" s="148" t="str">
        <f t="shared" si="12"/>
        <v>á</v>
      </c>
      <c r="L37" s="148" t="str">
        <f t="shared" si="12"/>
        <v>í</v>
      </c>
      <c r="M37" s="148" t="str">
        <f t="shared" si="12"/>
        <v>ú</v>
      </c>
      <c r="N37" s="148" t="str">
        <f t="shared" si="12"/>
        <v>é</v>
      </c>
      <c r="O37" s="148" t="str">
        <f t="shared" si="12"/>
        <v>ó</v>
      </c>
      <c r="P37" s="148" t="str">
        <f t="shared" si="12"/>
        <v>ḿ</v>
      </c>
      <c r="Q37" s="148" t="str">
        <f t="shared" si="12"/>
        <v>ń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81195-1B02-4A55-86CE-D92DBBE7945B}">
  <dimension ref="A1:AU109"/>
  <sheetViews>
    <sheetView showGridLines="0" workbookViewId="0">
      <pane ySplit="3" topLeftCell="A4" activePane="bottomLeft" state="frozen"/>
      <selection pane="bottomLeft" activeCell="B27" sqref="B27"/>
    </sheetView>
  </sheetViews>
  <sheetFormatPr defaultRowHeight="26.25" outlineLevelCol="1"/>
  <cols>
    <col min="1" max="1" width="5.58203125" style="52" customWidth="1"/>
    <col min="2" max="4" width="10.25" style="52" customWidth="1"/>
    <col min="5" max="8" width="10.25" style="52" hidden="1" customWidth="1" outlineLevel="1"/>
    <col min="9" max="9" width="10.25" style="52" customWidth="1" collapsed="1"/>
    <col min="10" max="10" width="10.25" style="52" customWidth="1"/>
    <col min="11" max="11" width="5.1640625" style="52" customWidth="1"/>
    <col min="12" max="12" width="3.5" style="52" customWidth="1"/>
    <col min="13" max="14" width="10.08203125" style="52" customWidth="1"/>
    <col min="15" max="15" width="1.9140625" style="52" customWidth="1"/>
    <col min="16" max="16" width="9.1640625" style="122" bestFit="1" customWidth="1"/>
    <col min="17" max="17" width="6" style="125" customWidth="1" outlineLevel="1"/>
    <col min="18" max="18" width="6.1640625" style="125" customWidth="1" outlineLevel="1"/>
    <col min="19" max="19" width="11.1640625" style="122" customWidth="1"/>
    <col min="20" max="20" width="3" style="52" customWidth="1"/>
    <col min="21" max="21" width="34.5" style="123" customWidth="1"/>
    <col min="22" max="22" width="8.6640625" style="52"/>
    <col min="23" max="34" width="5" style="130" customWidth="1"/>
    <col min="35" max="40" width="12.9140625" style="134" bestFit="1" customWidth="1"/>
    <col min="41" max="43" width="13.25" style="134" customWidth="1"/>
    <col min="44" max="44" width="13.25" style="52" customWidth="1"/>
    <col min="45" max="16384" width="8.6640625" style="52"/>
  </cols>
  <sheetData>
    <row r="1" spans="1:47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K1" s="51"/>
      <c r="Q1" s="124"/>
    </row>
    <row r="2" spans="1:47" ht="27" thickBot="1">
      <c r="A2" s="51"/>
      <c r="B2" s="51" t="s">
        <v>1313</v>
      </c>
      <c r="D2" s="51"/>
      <c r="H2" s="51"/>
      <c r="I2" s="51"/>
      <c r="J2" s="51"/>
      <c r="K2" s="51"/>
      <c r="Q2" s="125" t="s">
        <v>1303</v>
      </c>
      <c r="U2" s="126"/>
      <c r="X2" s="130">
        <v>1</v>
      </c>
      <c r="Y2" s="130">
        <v>2</v>
      </c>
      <c r="Z2" s="130">
        <v>3</v>
      </c>
      <c r="AA2" s="130">
        <v>4</v>
      </c>
      <c r="AB2" s="130">
        <v>5</v>
      </c>
      <c r="AC2" s="130">
        <v>6</v>
      </c>
      <c r="AD2" s="130">
        <v>7</v>
      </c>
      <c r="AE2" s="130">
        <v>8</v>
      </c>
      <c r="AF2" s="130">
        <v>9</v>
      </c>
      <c r="AG2" s="130">
        <v>9</v>
      </c>
    </row>
    <row r="3" spans="1:47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1311</v>
      </c>
      <c r="K3" s="59" t="s">
        <v>899</v>
      </c>
      <c r="L3" s="54"/>
      <c r="M3" s="59" t="s">
        <v>759</v>
      </c>
      <c r="N3" s="59" t="s">
        <v>665</v>
      </c>
      <c r="P3" s="59" t="s">
        <v>759</v>
      </c>
      <c r="Q3" s="53" t="s">
        <v>1304</v>
      </c>
      <c r="R3" s="128" t="s">
        <v>1302</v>
      </c>
      <c r="S3" s="59" t="s">
        <v>665</v>
      </c>
      <c r="U3" s="53"/>
      <c r="W3" s="129"/>
      <c r="Y3" s="132" t="s">
        <v>670</v>
      </c>
      <c r="Z3" s="132" t="s">
        <v>1309</v>
      </c>
      <c r="AA3" s="132"/>
      <c r="AB3" s="132" t="s">
        <v>763</v>
      </c>
      <c r="AC3" s="132" t="s">
        <v>757</v>
      </c>
      <c r="AD3" s="132" t="s">
        <v>669</v>
      </c>
      <c r="AE3" s="132" t="s">
        <v>1310</v>
      </c>
      <c r="AF3" s="132" t="s">
        <v>673</v>
      </c>
      <c r="AG3" s="132" t="s">
        <v>672</v>
      </c>
      <c r="AH3" s="131"/>
    </row>
    <row r="4" spans="1:47" ht="27.75" thickBot="1">
      <c r="A4" s="58">
        <f xml:space="preserve"> ROW() - 3</f>
        <v>1</v>
      </c>
      <c r="B4" s="75" t="str" cm="1">
        <f t="array" ref="B4" xml:space="preserve"> IFERROR( INDEX(韻母對照表[國際音標], MATCH(TRUE, EXACT('【韻】韻母清單（台語音標）'!$C4, 韻母對照表[台羅拼音]), 0)), "")</f>
        <v>iãuʔ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EXACT('【韻】韻母清單（台語音標）'!$C4,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EXACT('【韻】韻母清單（台語音標）'!$C4, 韻母對照表[台羅拼音]), 0)), "")</f>
        <v>iauhⁿ</v>
      </c>
      <c r="H4" s="55" t="str" cm="1">
        <f t="array" ref="H4" xml:space="preserve"> IFERROR( INDEX(韻母對照表[十五音識別碼], MATCH(TRUE, EXACT('【韻】韻母清單（台語音標）'!$C4, 韻母對照表[台羅拼音]), 0)), "")</f>
        <v>嘄促</v>
      </c>
      <c r="I4" s="58" t="str" cm="1">
        <f t="array" ref="I4" xml:space="preserve"> IFERROR( INDEX(韻母對照表[方音符號], MATCH(TRUE, EXACT('【韻】韻母清單（台語音標）'!$C4, 韻母對照表[台羅拼音]), 0)), "")</f>
        <v>ㄧㆯㆷ</v>
      </c>
      <c r="J4" s="136" t="s">
        <v>1312</v>
      </c>
      <c r="K4" s="55">
        <f t="shared" ref="K4:K35" si="0" xml:space="preserve"> LEN(D4)</f>
        <v>6</v>
      </c>
      <c r="L4" s="74"/>
      <c r="M4" s="58" t="str">
        <f>C4</f>
        <v>iaunnh</v>
      </c>
      <c r="N4" s="58" t="str">
        <f>D4</f>
        <v>iaunnh</v>
      </c>
      <c r="P4" s="122" t="str">
        <f xml:space="preserve"> _xlfn.CONCAT(M4, "(\d)")</f>
        <v>iaunnh(\d)</v>
      </c>
      <c r="Q4" s="125" t="s">
        <v>1228</v>
      </c>
      <c r="R4" s="125">
        <f xml:space="preserve"> IFERROR( IF(Q4="", "", SEARCH(Q4, $M4)), "")</f>
        <v>2</v>
      </c>
      <c r="S4" s="122" t="str">
        <f xml:space="preserve"> IFERROR( _xlfn.CONCAT(LEFT(M4,R4-1), "》", MID(M4,R4,1), "${1}", RIGHT(M4, LEN(M4)-R4)), "" )</f>
        <v>i》a${1}unnh</v>
      </c>
      <c r="T4" s="56"/>
      <c r="U4" s="57" t="str">
        <f xml:space="preserve"> IF(AND(N4&lt;&gt;"", M4&lt;&gt;""), "    - xform/》" &amp; P4 &amp;  "/"  &amp; S4 &amp;  "/", "")</f>
        <v xml:space="preserve">    - xform/》iaunnh(\d)/i》a${1}unnh/</v>
      </c>
      <c r="W4" s="130" t="s">
        <v>1228</v>
      </c>
      <c r="X4" s="133" t="str">
        <f xml:space="preserve"> _xlfn.CONCAT($W4, IF(X$3="", "", _xlfn.UNICHAR( HEX2DEC( RIGHT(X$3,4)))))</f>
        <v>a</v>
      </c>
      <c r="Y4" s="133" t="str">
        <f t="shared" ref="Y4:AG4" si="1" xml:space="preserve"> _xlfn.CONCAT($W4, IF(Y$3="", "", _xlfn.UNICHAR( HEX2DEC( RIGHT(Y$3,4)))))</f>
        <v>á</v>
      </c>
      <c r="Z4" s="133" t="str">
        <f t="shared" si="1"/>
        <v>à</v>
      </c>
      <c r="AA4" s="133" t="str">
        <f t="shared" si="1"/>
        <v>a</v>
      </c>
      <c r="AB4" s="133" t="str">
        <f t="shared" si="1"/>
        <v>ǎ</v>
      </c>
      <c r="AC4" s="133" t="str">
        <f t="shared" si="1"/>
        <v>á</v>
      </c>
      <c r="AD4" s="133" t="str">
        <f t="shared" si="1"/>
        <v>ā</v>
      </c>
      <c r="AE4" s="133" t="str">
        <f t="shared" si="1"/>
        <v>a̍</v>
      </c>
      <c r="AF4" s="133" t="str">
        <f t="shared" si="1"/>
        <v>a̋</v>
      </c>
      <c r="AG4" s="133" t="str">
        <f t="shared" si="1"/>
        <v>å</v>
      </c>
      <c r="AI4" s="135" t="str">
        <f xml:space="preserve"> _xlfn.CONCAT("    - xform/》", $W4, X$2, "/", X4, "/")</f>
        <v xml:space="preserve">    - xform/》a1/a/</v>
      </c>
      <c r="AJ4" s="135" t="str">
        <f xml:space="preserve"> _xlfn.CONCAT("    - xform/》", $W4, Y$2, "/", Y4, "/")</f>
        <v xml:space="preserve">    - xform/》a2/á/</v>
      </c>
      <c r="AK4" s="135" t="str">
        <f t="shared" ref="AK4:AP10" si="2" xml:space="preserve"> _xlfn.CONCAT("    - xform/》", $W4, Z$2, "/", Z4, "/")</f>
        <v xml:space="preserve">    - xform/》a3/à/</v>
      </c>
      <c r="AL4" s="135" t="str">
        <f t="shared" si="2"/>
        <v xml:space="preserve">    - xform/》a4/a/</v>
      </c>
      <c r="AM4" s="135" t="str">
        <f t="shared" si="2"/>
        <v xml:space="preserve">    - xform/》a5/ǎ/</v>
      </c>
      <c r="AN4" s="135" t="str">
        <f t="shared" si="2"/>
        <v xml:space="preserve">    - xform/》a6/á/</v>
      </c>
      <c r="AO4" s="135" t="str">
        <f t="shared" si="2"/>
        <v xml:space="preserve">    - xform/》a7/ā/</v>
      </c>
      <c r="AP4" s="135" t="str">
        <f xml:space="preserve"> _xlfn.CONCAT("    - xform/》", $W4, AE$2, "/", AE4, "/")</f>
        <v xml:space="preserve">    - xform/》a8/a̍/</v>
      </c>
      <c r="AQ4" s="135" t="str">
        <f t="shared" ref="AQ4:AQ10" si="3" xml:space="preserve"> _xlfn.CONCAT("    - xform/》", $W4, AF$2, "/", AF4, "/")</f>
        <v xml:space="preserve">    - xform/》a9/a̋/</v>
      </c>
      <c r="AR4" s="135" t="str">
        <f t="shared" ref="AR4:AR10" si="4" xml:space="preserve"> _xlfn.CONCAT("    - xform/》", $W4, AG$2, "/", AG4, "/")</f>
        <v xml:space="preserve">    - xform/》a9/å/</v>
      </c>
      <c r="AS4" s="133"/>
      <c r="AT4" s="133"/>
      <c r="AU4" s="130"/>
    </row>
    <row r="5" spans="1:47" ht="27.75" thickBot="1">
      <c r="A5" s="58">
        <f t="shared" ref="A5:A68" si="5" xml:space="preserve"> ROW() - 3</f>
        <v>2</v>
      </c>
      <c r="B5" s="75" t="str" cm="1">
        <f t="array" ref="B5" xml:space="preserve"> IFERROR( INDEX(韻母對照表[國際音標], MATCH(TRUE, EXACT('【韻】韻母清單（台語音標）'!$C5, 韻母對照表[台羅拼音]), 0)), "")</f>
        <v>uãiʔ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EXACT('【韻】韻母清單（台語音標）'!$C5,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EXACT('【韻】韻母清單（台語音標）'!$C5, 韻母對照表[台羅拼音]), 0)), "")</f>
        <v>oaihⁿ</v>
      </c>
      <c r="H5" s="55" t="str" cm="1">
        <f t="array" ref="H5" xml:space="preserve"> IFERROR( INDEX(韻母對照表[十五音識別碼], MATCH(TRUE, EXACT('【韻】韻母清單（台語音標）'!$C5, 韻母對照表[台羅拼音]), 0)), "")</f>
        <v>閂促</v>
      </c>
      <c r="I5" s="58" t="str" cm="1">
        <f t="array" ref="I5" xml:space="preserve"> IFERROR( INDEX(韻母對照表[方音符號], MATCH(TRUE, EXACT('【韻】韻母清單（台語音標）'!$C5, 韻母對照表[台羅拼音]), 0)), "")</f>
        <v>ㄨㆮㆷ</v>
      </c>
      <c r="J5" s="58"/>
      <c r="K5" s="55">
        <f t="shared" si="0"/>
        <v>6</v>
      </c>
      <c r="L5" s="74"/>
      <c r="M5" s="58" t="str">
        <f t="shared" ref="M5:M68" si="6">C5</f>
        <v>uainnh</v>
      </c>
      <c r="N5" s="58" t="str">
        <f t="shared" ref="N5:N68" si="7">D5</f>
        <v>uainnh</v>
      </c>
      <c r="P5" s="122" t="str">
        <f t="shared" ref="P5:P68" si="8" xml:space="preserve"> _xlfn.CONCAT(M5, "(\d)")</f>
        <v>uainnh(\d)</v>
      </c>
      <c r="Q5" s="127" t="s">
        <v>1228</v>
      </c>
      <c r="R5" s="125">
        <f t="shared" ref="R5:R68" si="9" xml:space="preserve"> IFERROR( IF(Q5="", "", SEARCH(Q5, $M5)), "")</f>
        <v>2</v>
      </c>
      <c r="S5" s="122" t="str">
        <f xml:space="preserve"> IFERROR( _xlfn.CONCAT(LEFT(M5,R5-1), "》", MID(M5,R5,1), "${1}", RIGHT(M5, LEN(M5)-R5)), "" )</f>
        <v>u》a${1}innh</v>
      </c>
      <c r="T5" s="56"/>
      <c r="U5" s="57" t="str">
        <f t="shared" ref="U5:U68" si="10" xml:space="preserve"> IF(AND(N5&lt;&gt;"", M5&lt;&gt;""), "    - xform/》" &amp; P5 &amp;  "/"  &amp; S5 &amp;  "/", "")</f>
        <v xml:space="preserve">    - xform/》uainnh(\d)/u》a${1}innh/</v>
      </c>
      <c r="W5" s="130" t="s">
        <v>1229</v>
      </c>
      <c r="X5" s="133" t="str">
        <f t="shared" ref="X5:AG10" si="11" xml:space="preserve"> _xlfn.CONCAT($W5, IF(X$3="", "", _xlfn.UNICHAR( HEX2DEC( RIGHT(X$3,4)))))</f>
        <v>i</v>
      </c>
      <c r="Y5" s="133" t="str">
        <f t="shared" si="11"/>
        <v>í</v>
      </c>
      <c r="Z5" s="133" t="str">
        <f t="shared" si="11"/>
        <v>ì</v>
      </c>
      <c r="AA5" s="133" t="str">
        <f t="shared" si="11"/>
        <v>i</v>
      </c>
      <c r="AB5" s="133" t="str">
        <f t="shared" si="11"/>
        <v>ǐ</v>
      </c>
      <c r="AC5" s="133" t="str">
        <f t="shared" si="11"/>
        <v>í</v>
      </c>
      <c r="AD5" s="133" t="str">
        <f t="shared" si="11"/>
        <v>ī</v>
      </c>
      <c r="AE5" s="133" t="str">
        <f t="shared" si="11"/>
        <v>i̍</v>
      </c>
      <c r="AF5" s="133" t="str">
        <f t="shared" si="11"/>
        <v>i̋</v>
      </c>
      <c r="AG5" s="133" t="str">
        <f t="shared" si="11"/>
        <v>i̊</v>
      </c>
      <c r="AI5" s="135" t="str">
        <f t="shared" ref="AI5:AJ10" si="12" xml:space="preserve"> _xlfn.CONCAT("    - xform/》", $W5, X$2, "/", X5, "/")</f>
        <v xml:space="preserve">    - xform/》i1/i/</v>
      </c>
      <c r="AJ5" s="135" t="str">
        <f t="shared" si="12"/>
        <v xml:space="preserve">    - xform/》i2/í/</v>
      </c>
      <c r="AK5" s="135" t="str">
        <f t="shared" si="2"/>
        <v xml:space="preserve">    - xform/》i3/ì/</v>
      </c>
      <c r="AL5" s="135" t="str">
        <f t="shared" si="2"/>
        <v xml:space="preserve">    - xform/》i4/i/</v>
      </c>
      <c r="AM5" s="135" t="str">
        <f t="shared" si="2"/>
        <v xml:space="preserve">    - xform/》i5/ǐ/</v>
      </c>
      <c r="AN5" s="135" t="str">
        <f t="shared" si="2"/>
        <v xml:space="preserve">    - xform/》i6/í/</v>
      </c>
      <c r="AO5" s="135" t="str">
        <f t="shared" si="2"/>
        <v xml:space="preserve">    - xform/》i7/ī/</v>
      </c>
      <c r="AP5" s="135" t="str">
        <f t="shared" si="2"/>
        <v xml:space="preserve">    - xform/》i8/i̍/</v>
      </c>
      <c r="AQ5" s="135" t="str">
        <f t="shared" si="3"/>
        <v xml:space="preserve">    - xform/》i9/i̋/</v>
      </c>
      <c r="AR5" s="135" t="str">
        <f t="shared" si="4"/>
        <v xml:space="preserve">    - xform/》i9/i̊/</v>
      </c>
      <c r="AS5" s="133"/>
      <c r="AT5" s="133"/>
      <c r="AU5" s="130"/>
    </row>
    <row r="6" spans="1:47" ht="27.75" thickBot="1">
      <c r="A6" s="58">
        <f t="shared" si="5"/>
        <v>3</v>
      </c>
      <c r="B6" s="75" t="str">
        <f xml:space="preserve"> _xlfn.CONCAT("ã", "u", _xlfn.UNICHAR(771), "ʔ")</f>
        <v>ãũʔ</v>
      </c>
      <c r="C6" s="58" t="s">
        <v>789</v>
      </c>
      <c r="D6" s="58" t="s">
        <v>789</v>
      </c>
      <c r="E6" s="58" t="str" cm="1">
        <f t="array" ref="E6" xml:space="preserve"> IFERROR( INDEX(韻母對照表[注音二式], MATCH(TRUE, EXACT('【韻】韻母清單（台語音標）'!$C6, 韻母對照表[台羅拼音]), 0)), "")</f>
        <v/>
      </c>
      <c r="F6" s="58" t="s">
        <v>790</v>
      </c>
      <c r="G6" s="62" t="str" cm="1">
        <f t="array" ref="G6" xml:space="preserve"> IFERROR( INDEX(韻母對照表[白話字], MATCH(TRUE, EXACT('【韻】韻母清單（台語音標）'!$C10, 韻母對照表[台羅拼音]), 0)), "")</f>
        <v>iang</v>
      </c>
      <c r="H6" s="55" t="str" cm="1">
        <f t="array" ref="H6" xml:space="preserve"> IFERROR( INDEX(韻母對照表[十五音識別碼], MATCH(TRUE, EXACT('【韻】韻母清單（台語音標）'!$C10, 韻母對照表[台羅拼音]), 0)), "")</f>
        <v>姜舒</v>
      </c>
      <c r="I6" s="137" t="s">
        <v>1320</v>
      </c>
      <c r="J6" s="58"/>
      <c r="K6" s="55">
        <f t="shared" si="0"/>
        <v>5</v>
      </c>
      <c r="L6" s="74"/>
      <c r="M6" s="58" t="str">
        <f t="shared" si="6"/>
        <v>aunnh</v>
      </c>
      <c r="N6" s="58" t="str">
        <f t="shared" si="7"/>
        <v>aunnh</v>
      </c>
      <c r="P6" s="122" t="str">
        <f t="shared" si="8"/>
        <v>aunnh(\d)</v>
      </c>
      <c r="Q6" s="125" t="s">
        <v>1228</v>
      </c>
      <c r="R6" s="125">
        <f t="shared" si="9"/>
        <v>1</v>
      </c>
      <c r="S6" s="122" t="str">
        <f t="shared" ref="S6:S69" si="13" xml:space="preserve"> IFERROR( _xlfn.CONCAT(LEFT(M6,R6-1), "》", MID(M6,R6,1), "${1}", RIGHT(M6, LEN(M6)-R6)), "" )</f>
        <v>》a${1}unnh</v>
      </c>
      <c r="T6" s="56"/>
      <c r="U6" s="57" t="str">
        <f t="shared" si="10"/>
        <v xml:space="preserve">    - xform/》aunnh(\d)/》a${1}unnh/</v>
      </c>
      <c r="W6" s="130" t="s">
        <v>1227</v>
      </c>
      <c r="X6" s="133" t="str">
        <f t="shared" si="11"/>
        <v>u</v>
      </c>
      <c r="Y6" s="133" t="str">
        <f t="shared" si="11"/>
        <v>ú</v>
      </c>
      <c r="Z6" s="133" t="str">
        <f t="shared" si="11"/>
        <v>ù</v>
      </c>
      <c r="AA6" s="133" t="str">
        <f t="shared" si="11"/>
        <v>u</v>
      </c>
      <c r="AB6" s="133" t="str">
        <f t="shared" si="11"/>
        <v>ǔ</v>
      </c>
      <c r="AC6" s="133" t="str">
        <f t="shared" si="11"/>
        <v>ú</v>
      </c>
      <c r="AD6" s="133" t="str">
        <f t="shared" si="11"/>
        <v>ū</v>
      </c>
      <c r="AE6" s="133" t="str">
        <f t="shared" si="11"/>
        <v>u̍</v>
      </c>
      <c r="AF6" s="133" t="str">
        <f t="shared" si="11"/>
        <v>ű</v>
      </c>
      <c r="AG6" s="133" t="str">
        <f t="shared" si="11"/>
        <v>ů</v>
      </c>
      <c r="AI6" s="135" t="str">
        <f t="shared" si="12"/>
        <v xml:space="preserve">    - xform/》u1/u/</v>
      </c>
      <c r="AJ6" s="135" t="str">
        <f t="shared" si="12"/>
        <v xml:space="preserve">    - xform/》u2/ú/</v>
      </c>
      <c r="AK6" s="135" t="str">
        <f t="shared" si="2"/>
        <v xml:space="preserve">    - xform/》u3/ù/</v>
      </c>
      <c r="AL6" s="135" t="str">
        <f t="shared" si="2"/>
        <v xml:space="preserve">    - xform/》u4/u/</v>
      </c>
      <c r="AM6" s="135" t="str">
        <f t="shared" si="2"/>
        <v xml:space="preserve">    - xform/》u5/ǔ/</v>
      </c>
      <c r="AN6" s="135" t="str">
        <f t="shared" si="2"/>
        <v xml:space="preserve">    - xform/》u6/ú/</v>
      </c>
      <c r="AO6" s="135" t="str">
        <f t="shared" si="2"/>
        <v xml:space="preserve">    - xform/》u7/ū/</v>
      </c>
      <c r="AP6" s="135" t="str">
        <f t="shared" si="2"/>
        <v xml:space="preserve">    - xform/》u8/u̍/</v>
      </c>
      <c r="AQ6" s="135" t="str">
        <f t="shared" si="3"/>
        <v xml:space="preserve">    - xform/》u9/ű/</v>
      </c>
      <c r="AR6" s="135" t="str">
        <f t="shared" si="4"/>
        <v xml:space="preserve">    - xform/》u9/ů/</v>
      </c>
      <c r="AS6" s="133"/>
      <c r="AT6" s="133"/>
      <c r="AU6" s="130"/>
    </row>
    <row r="7" spans="1:47" ht="27.75" thickBot="1">
      <c r="A7" s="58">
        <f t="shared" si="5"/>
        <v>4</v>
      </c>
      <c r="B7" s="75" t="str">
        <f xml:space="preserve"> _xlfn.CONCAT("i", _xlfn.UNICHAR(771), "ãʔ")</f>
        <v>ĩãʔ</v>
      </c>
      <c r="C7" s="58" t="s">
        <v>392</v>
      </c>
      <c r="D7" s="58" t="s">
        <v>392</v>
      </c>
      <c r="E7" s="58" t="str" cm="1">
        <f t="array" ref="E7" xml:space="preserve"> IFERROR( INDEX(韻母對照表[注音二式], MATCH(TRUE, EXACT('【韻】韻母清單（台語音標）'!$C7, 韻母對照表[台羅拼音]), 0)), "")</f>
        <v/>
      </c>
      <c r="F7" s="58" t="s">
        <v>792</v>
      </c>
      <c r="G7" s="73" t="str" cm="1">
        <f t="array" ref="G7" xml:space="preserve"> IFERROR( INDEX(韻母對照表[白話字], MATCH(TRUE, EXACT('【韻】韻母清單（台語音標）'!$C11, 韻母對照表[台羅拼音]), 0)), "")</f>
        <v>iauh</v>
      </c>
      <c r="H7" s="55" t="str" cm="1">
        <f t="array" ref="H7" xml:space="preserve"> IFERROR( INDEX(韻母對照表[十五音識別碼], MATCH(TRUE, EXACT('【韻】韻母清單（台語音標）'!$C11, 韻母對照表[台羅拼音]), 0)), "")</f>
        <v>嬌促</v>
      </c>
      <c r="I7" s="137" t="s">
        <v>1322</v>
      </c>
      <c r="J7" s="58"/>
      <c r="K7" s="55">
        <f t="shared" si="0"/>
        <v>5</v>
      </c>
      <c r="L7" s="74"/>
      <c r="M7" s="58" t="str">
        <f t="shared" si="6"/>
        <v>iannh</v>
      </c>
      <c r="N7" s="58" t="str">
        <f t="shared" si="7"/>
        <v>iannh</v>
      </c>
      <c r="P7" s="122" t="str">
        <f t="shared" si="8"/>
        <v>iannh(\d)</v>
      </c>
      <c r="Q7" s="125" t="s">
        <v>1228</v>
      </c>
      <c r="R7" s="125">
        <f t="shared" si="9"/>
        <v>2</v>
      </c>
      <c r="S7" s="122" t="str">
        <f t="shared" si="13"/>
        <v>i》a${1}nnh</v>
      </c>
      <c r="T7" s="56"/>
      <c r="U7" s="57" t="str">
        <f t="shared" si="10"/>
        <v xml:space="preserve">    - xform/》iannh(\d)/i》a${1}nnh/</v>
      </c>
      <c r="W7" s="130" t="s">
        <v>1181</v>
      </c>
      <c r="X7" s="133" t="str">
        <f t="shared" si="11"/>
        <v>e</v>
      </c>
      <c r="Y7" s="133" t="str">
        <f t="shared" si="11"/>
        <v>é</v>
      </c>
      <c r="Z7" s="133" t="str">
        <f t="shared" si="11"/>
        <v>è</v>
      </c>
      <c r="AA7" s="133" t="str">
        <f t="shared" si="11"/>
        <v>e</v>
      </c>
      <c r="AB7" s="133" t="str">
        <f t="shared" si="11"/>
        <v>ě</v>
      </c>
      <c r="AC7" s="133" t="str">
        <f t="shared" si="11"/>
        <v>é</v>
      </c>
      <c r="AD7" s="133" t="str">
        <f t="shared" si="11"/>
        <v>ē</v>
      </c>
      <c r="AE7" s="133" t="str">
        <f t="shared" si="11"/>
        <v>e̍</v>
      </c>
      <c r="AF7" s="133" t="str">
        <f t="shared" si="11"/>
        <v>e̋</v>
      </c>
      <c r="AG7" s="133" t="str">
        <f t="shared" si="11"/>
        <v>e̊</v>
      </c>
      <c r="AI7" s="135" t="str">
        <f t="shared" si="12"/>
        <v xml:space="preserve">    - xform/》e1/e/</v>
      </c>
      <c r="AJ7" s="135" t="str">
        <f t="shared" si="12"/>
        <v xml:space="preserve">    - xform/》e2/é/</v>
      </c>
      <c r="AK7" s="135" t="str">
        <f t="shared" si="2"/>
        <v xml:space="preserve">    - xform/》e3/è/</v>
      </c>
      <c r="AL7" s="135" t="str">
        <f t="shared" si="2"/>
        <v xml:space="preserve">    - xform/》e4/e/</v>
      </c>
      <c r="AM7" s="135" t="str">
        <f t="shared" si="2"/>
        <v xml:space="preserve">    - xform/》e5/ě/</v>
      </c>
      <c r="AN7" s="135" t="str">
        <f t="shared" si="2"/>
        <v xml:space="preserve">    - xform/》e6/é/</v>
      </c>
      <c r="AO7" s="135" t="str">
        <f t="shared" si="2"/>
        <v xml:space="preserve">    - xform/》e7/ē/</v>
      </c>
      <c r="AP7" s="135" t="str">
        <f t="shared" si="2"/>
        <v xml:space="preserve">    - xform/》e8/e̍/</v>
      </c>
      <c r="AQ7" s="135" t="str">
        <f t="shared" si="3"/>
        <v xml:space="preserve">    - xform/》e9/e̋/</v>
      </c>
      <c r="AR7" s="135" t="str">
        <f t="shared" si="4"/>
        <v xml:space="preserve">    - xform/》e9/e̊/</v>
      </c>
      <c r="AS7" s="133"/>
      <c r="AT7" s="133"/>
      <c r="AU7" s="130"/>
    </row>
    <row r="8" spans="1:47" ht="27.75" thickBot="1">
      <c r="A8" s="58">
        <f t="shared" si="5"/>
        <v>5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EXACT('【韻】韻母清單（台語音標）'!$C8, 韻母對照表[台羅拼音]), 0)), "")</f>
        <v>iaunn</v>
      </c>
      <c r="F8" s="58" t="s">
        <v>793</v>
      </c>
      <c r="G8" s="60" t="str" cm="1">
        <f t="array" ref="G8" xml:space="preserve"> IFERROR( INDEX(韻母對照表[白話字], MATCH(TRUE, EXACT('【韻】韻母清單（台語音標）'!$C12, 韻母對照表[台羅拼音]), 0)), "")</f>
        <v>iong</v>
      </c>
      <c r="H8" s="55" t="str" cm="1">
        <f t="array" ref="H8" xml:space="preserve"> IFERROR( INDEX(韻母對照表[十五音識別碼], MATCH(TRUE, EXACT('【韻】韻母清單（台語音標）'!$C12, 韻母對照表[台羅拼音]), 0)), "")</f>
        <v>恭舒</v>
      </c>
      <c r="I8" s="58" t="str" cm="1">
        <f t="array" ref="I8" xml:space="preserve"> IFERROR( INDEX(韻母對照表[方音符號], MATCH(TRUE, EXACT('【韻】韻母清單（台語音標）'!$C8, 韻母對照表[台羅拼音]), 0)), "")</f>
        <v>ㄧㆯ</v>
      </c>
      <c r="J8" s="58"/>
      <c r="K8" s="55">
        <f t="shared" si="0"/>
        <v>5</v>
      </c>
      <c r="L8" s="74"/>
      <c r="M8" s="58" t="str">
        <f t="shared" si="6"/>
        <v>iaunn</v>
      </c>
      <c r="N8" s="58" t="str">
        <f t="shared" si="7"/>
        <v>iaunn</v>
      </c>
      <c r="P8" s="122" t="str">
        <f t="shared" si="8"/>
        <v>iaunn(\d)</v>
      </c>
      <c r="Q8" s="125" t="s">
        <v>1228</v>
      </c>
      <c r="R8" s="125">
        <f t="shared" si="9"/>
        <v>2</v>
      </c>
      <c r="S8" s="122" t="str">
        <f t="shared" si="13"/>
        <v>i》a${1}unn</v>
      </c>
      <c r="T8" s="56"/>
      <c r="U8" s="57" t="str">
        <f t="shared" si="10"/>
        <v xml:space="preserve">    - xform/》iaunn(\d)/i》a${1}unn/</v>
      </c>
      <c r="W8" s="130" t="s">
        <v>1216</v>
      </c>
      <c r="X8" s="133" t="str">
        <f t="shared" si="11"/>
        <v>o</v>
      </c>
      <c r="Y8" s="133" t="str">
        <f t="shared" si="11"/>
        <v>ó</v>
      </c>
      <c r="Z8" s="133" t="str">
        <f t="shared" si="11"/>
        <v>ò</v>
      </c>
      <c r="AA8" s="133" t="str">
        <f t="shared" si="11"/>
        <v>o</v>
      </c>
      <c r="AB8" s="133" t="str">
        <f t="shared" si="11"/>
        <v>ǒ</v>
      </c>
      <c r="AC8" s="133" t="str">
        <f t="shared" si="11"/>
        <v>ó</v>
      </c>
      <c r="AD8" s="133" t="str">
        <f t="shared" si="11"/>
        <v>ō</v>
      </c>
      <c r="AE8" s="133" t="str">
        <f t="shared" si="11"/>
        <v>o̍</v>
      </c>
      <c r="AF8" s="133" t="str">
        <f t="shared" si="11"/>
        <v>ő</v>
      </c>
      <c r="AG8" s="133" t="str">
        <f t="shared" si="11"/>
        <v>o̊</v>
      </c>
      <c r="AI8" s="135" t="str">
        <f t="shared" si="12"/>
        <v xml:space="preserve">    - xform/》o1/o/</v>
      </c>
      <c r="AJ8" s="135" t="str">
        <f t="shared" si="12"/>
        <v xml:space="preserve">    - xform/》o2/ó/</v>
      </c>
      <c r="AK8" s="135" t="str">
        <f t="shared" si="2"/>
        <v xml:space="preserve">    - xform/》o3/ò/</v>
      </c>
      <c r="AL8" s="135" t="str">
        <f t="shared" si="2"/>
        <v xml:space="preserve">    - xform/》o4/o/</v>
      </c>
      <c r="AM8" s="135" t="str">
        <f t="shared" si="2"/>
        <v xml:space="preserve">    - xform/》o5/ǒ/</v>
      </c>
      <c r="AN8" s="135" t="str">
        <f t="shared" si="2"/>
        <v xml:space="preserve">    - xform/》o6/ó/</v>
      </c>
      <c r="AO8" s="135" t="str">
        <f t="shared" si="2"/>
        <v xml:space="preserve">    - xform/》o7/ō/</v>
      </c>
      <c r="AP8" s="135" t="str">
        <f t="shared" si="2"/>
        <v xml:space="preserve">    - xform/》o8/o̍/</v>
      </c>
      <c r="AQ8" s="135" t="str">
        <f t="shared" si="3"/>
        <v xml:space="preserve">    - xform/》o9/ő/</v>
      </c>
      <c r="AR8" s="135" t="str">
        <f t="shared" si="4"/>
        <v xml:space="preserve">    - xform/》o9/o̊/</v>
      </c>
      <c r="AS8" s="133"/>
      <c r="AT8" s="133"/>
      <c r="AU8" s="130"/>
    </row>
    <row r="9" spans="1:47" ht="27.75" thickBot="1">
      <c r="A9" s="58">
        <f t="shared" si="5"/>
        <v>6</v>
      </c>
      <c r="B9" s="58" t="str" cm="1">
        <f t="array" ref="B9" xml:space="preserve"> IFERROR( INDEX(韻母對照表[國際音標], MATCH(TRUE, EXACT('【韻】韻母清單（台語音標）'!$C43,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EXACT('【韻】韻母清單（台語音標）'!$C9, 韻母對照表[台羅拼音]), 0)), "")</f>
        <v>uainn</v>
      </c>
      <c r="F9" s="58" t="s">
        <v>828</v>
      </c>
      <c r="G9" s="60" t="str" cm="1">
        <f t="array" ref="G9" xml:space="preserve"> IFERROR( INDEX(韻母對照表[白話字], MATCH(TRUE, EXACT('【韻】韻母清單（台語音標）'!$C43, 韻母對照表[台羅拼音]), 0)), "")</f>
        <v>ong</v>
      </c>
      <c r="H9" s="55" t="str" cm="1">
        <f t="array" ref="H9" xml:space="preserve"> IFERROR( INDEX(韻母對照表[十五音識別碼], MATCH(TRUE, EXACT('【韻】韻母清單（台語音標）'!$C43, 韻母對照表[台羅拼音]), 0)), "")</f>
        <v>公舒</v>
      </c>
      <c r="I9" s="58" t="str" cm="1">
        <f t="array" ref="I9" xml:space="preserve"> IFERROR( INDEX(韻母對照表[方音符號], MATCH(TRUE, EXACT('【韻】韻母清單（台語音標）'!$C9, 韻母對照表[台羅拼音]), 0)), "")</f>
        <v>ㄨㆮ</v>
      </c>
      <c r="J9" s="58"/>
      <c r="K9" s="55">
        <f t="shared" si="0"/>
        <v>5</v>
      </c>
      <c r="L9" s="74"/>
      <c r="M9" s="58" t="str">
        <f t="shared" si="6"/>
        <v>uainn</v>
      </c>
      <c r="N9" s="58" t="str">
        <f t="shared" si="7"/>
        <v>uainn</v>
      </c>
      <c r="P9" s="122" t="str">
        <f t="shared" si="8"/>
        <v>uainn(\d)</v>
      </c>
      <c r="Q9" s="125" t="s">
        <v>1228</v>
      </c>
      <c r="R9" s="125">
        <f t="shared" si="9"/>
        <v>2</v>
      </c>
      <c r="S9" s="122" t="str">
        <f t="shared" si="13"/>
        <v>u》a${1}inn</v>
      </c>
      <c r="T9" s="56"/>
      <c r="U9" s="57" t="str">
        <f t="shared" si="10"/>
        <v xml:space="preserve">    - xform/》uainn(\d)/u》a${1}inn/</v>
      </c>
      <c r="W9" s="130" t="s">
        <v>1306</v>
      </c>
      <c r="X9" s="133" t="str">
        <f t="shared" si="11"/>
        <v>m</v>
      </c>
      <c r="Y9" s="133" t="str">
        <f t="shared" si="11"/>
        <v>ḿ</v>
      </c>
      <c r="Z9" s="133" t="str">
        <f t="shared" si="11"/>
        <v>m̀</v>
      </c>
      <c r="AA9" s="133" t="str">
        <f t="shared" si="11"/>
        <v>m</v>
      </c>
      <c r="AB9" s="133" t="str">
        <f t="shared" si="11"/>
        <v>m̌</v>
      </c>
      <c r="AC9" s="133" t="str">
        <f t="shared" si="11"/>
        <v>ḿ</v>
      </c>
      <c r="AD9" s="133" t="str">
        <f t="shared" si="11"/>
        <v>m̄</v>
      </c>
      <c r="AE9" s="133" t="str">
        <f t="shared" si="11"/>
        <v>m̍</v>
      </c>
      <c r="AF9" s="133" t="str">
        <f t="shared" si="11"/>
        <v>m̋</v>
      </c>
      <c r="AG9" s="133" t="str">
        <f t="shared" si="11"/>
        <v>m̊</v>
      </c>
      <c r="AI9" s="135" t="str">
        <f t="shared" si="12"/>
        <v xml:space="preserve">    - xform/》m1/m/</v>
      </c>
      <c r="AJ9" s="135" t="str">
        <f t="shared" si="12"/>
        <v xml:space="preserve">    - xform/》m2/ḿ/</v>
      </c>
      <c r="AK9" s="135" t="str">
        <f t="shared" si="2"/>
        <v xml:space="preserve">    - xform/》m3/m̀/</v>
      </c>
      <c r="AL9" s="135" t="str">
        <f t="shared" si="2"/>
        <v xml:space="preserve">    - xform/》m4/m/</v>
      </c>
      <c r="AM9" s="135" t="str">
        <f t="shared" si="2"/>
        <v xml:space="preserve">    - xform/》m5/m̌/</v>
      </c>
      <c r="AN9" s="135" t="str">
        <f t="shared" si="2"/>
        <v xml:space="preserve">    - xform/》m6/ḿ/</v>
      </c>
      <c r="AO9" s="135" t="str">
        <f t="shared" si="2"/>
        <v xml:space="preserve">    - xform/》m7/m̄/</v>
      </c>
      <c r="AP9" s="135" t="str">
        <f t="shared" si="2"/>
        <v xml:space="preserve">    - xform/》m8/m̍/</v>
      </c>
      <c r="AQ9" s="135" t="str">
        <f t="shared" si="3"/>
        <v xml:space="preserve">    - xform/》m9/m̋/</v>
      </c>
      <c r="AR9" s="135" t="str">
        <f t="shared" si="4"/>
        <v xml:space="preserve">    - xform/》m9/m̊/</v>
      </c>
      <c r="AS9" s="133"/>
      <c r="AT9" s="133"/>
      <c r="AU9" s="130"/>
    </row>
    <row r="10" spans="1:47" ht="27.75" thickBot="1">
      <c r="A10" s="58">
        <f t="shared" si="5"/>
        <v>7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EXACT('【韻】韻母清單（台語音標）'!$C10, 韻母對照表[台羅拼音]), 0)), "")</f>
        <v>iang</v>
      </c>
      <c r="F10" s="58" t="s">
        <v>783</v>
      </c>
      <c r="G10" s="61" t="str" cm="1">
        <f t="array" ref="G10" xml:space="preserve"> IFERROR( INDEX(韻母對照表[白話字], MATCH(TRUE, EXACT('【韻】韻母清單（台語音標）'!$C6, 韻母對照表[台羅拼音]), 0)), "")</f>
        <v/>
      </c>
      <c r="H10" s="55" t="str" cm="1">
        <f t="array" ref="H10" xml:space="preserve"> IFERROR( INDEX(韻母對照表[十五音識別碼], MATCH(TRUE, EXACT('【韻】韻母清單（台語音標）'!$C6, 韻母對照表[台羅拼音]), 0)), "")</f>
        <v/>
      </c>
      <c r="I10" s="58" t="str" cm="1">
        <f t="array" ref="I10" xml:space="preserve"> IFERROR( INDEX(韻母對照表[方音符號], MATCH(TRUE, EXACT('【韻】韻母清單（台語音標）'!$C10, 韻母對照表[台羅拼音]), 0)), "")</f>
        <v>ㄧㄤ</v>
      </c>
      <c r="J10" s="58"/>
      <c r="K10" s="55">
        <f t="shared" si="0"/>
        <v>4</v>
      </c>
      <c r="L10" s="74"/>
      <c r="M10" s="58" t="str">
        <f t="shared" si="6"/>
        <v>iang</v>
      </c>
      <c r="N10" s="58" t="str">
        <f t="shared" si="7"/>
        <v>iang</v>
      </c>
      <c r="P10" s="122" t="str">
        <f t="shared" si="8"/>
        <v>iang(\d)</v>
      </c>
      <c r="Q10" s="125" t="s">
        <v>1228</v>
      </c>
      <c r="R10" s="125">
        <f t="shared" si="9"/>
        <v>2</v>
      </c>
      <c r="S10" s="122" t="str">
        <f t="shared" si="13"/>
        <v>i》a${1}ng</v>
      </c>
      <c r="T10" s="56"/>
      <c r="U10" s="57" t="str">
        <f t="shared" si="10"/>
        <v xml:space="preserve">    - xform/》iang(\d)/i》a${1}ng/</v>
      </c>
      <c r="W10" s="130" t="s">
        <v>1305</v>
      </c>
      <c r="X10" s="133" t="str">
        <f t="shared" si="11"/>
        <v>n</v>
      </c>
      <c r="Y10" s="133" t="str">
        <f t="shared" si="11"/>
        <v>ń</v>
      </c>
      <c r="Z10" s="133" t="str">
        <f t="shared" si="11"/>
        <v>ǹ</v>
      </c>
      <c r="AA10" s="133" t="str">
        <f t="shared" si="11"/>
        <v>n</v>
      </c>
      <c r="AB10" s="133" t="str">
        <f t="shared" si="11"/>
        <v>ň</v>
      </c>
      <c r="AC10" s="133" t="str">
        <f t="shared" si="11"/>
        <v>ń</v>
      </c>
      <c r="AD10" s="133" t="str">
        <f t="shared" si="11"/>
        <v>n̄</v>
      </c>
      <c r="AE10" s="133" t="str">
        <f t="shared" si="11"/>
        <v>n̍</v>
      </c>
      <c r="AF10" s="133" t="str">
        <f t="shared" si="11"/>
        <v>n̋</v>
      </c>
      <c r="AG10" s="133" t="str">
        <f t="shared" si="11"/>
        <v>n̊</v>
      </c>
      <c r="AI10" s="135" t="str">
        <f t="shared" si="12"/>
        <v xml:space="preserve">    - xform/》n1/n/</v>
      </c>
      <c r="AJ10" s="135" t="str">
        <f t="shared" si="12"/>
        <v xml:space="preserve">    - xform/》n2/ń/</v>
      </c>
      <c r="AK10" s="135" t="str">
        <f t="shared" si="2"/>
        <v xml:space="preserve">    - xform/》n3/ǹ/</v>
      </c>
      <c r="AL10" s="135" t="str">
        <f t="shared" si="2"/>
        <v xml:space="preserve">    - xform/》n4/n/</v>
      </c>
      <c r="AM10" s="135" t="str">
        <f t="shared" si="2"/>
        <v xml:space="preserve">    - xform/》n5/ň/</v>
      </c>
      <c r="AN10" s="135" t="str">
        <f t="shared" si="2"/>
        <v xml:space="preserve">    - xform/》n6/ń/</v>
      </c>
      <c r="AO10" s="135" t="str">
        <f t="shared" si="2"/>
        <v xml:space="preserve">    - xform/》n7/n̄/</v>
      </c>
      <c r="AP10" s="135" t="str">
        <f t="shared" si="2"/>
        <v xml:space="preserve">    - xform/》n8/n̍/</v>
      </c>
      <c r="AQ10" s="135" t="str">
        <f t="shared" si="3"/>
        <v xml:space="preserve">    - xform/》n9/n̋/</v>
      </c>
      <c r="AR10" s="135" t="str">
        <f t="shared" si="4"/>
        <v xml:space="preserve">    - xform/》n9/n̊/</v>
      </c>
      <c r="AS10" s="133"/>
      <c r="AT10" s="133"/>
      <c r="AU10" s="130"/>
    </row>
    <row r="11" spans="1:47" ht="27.75" thickBot="1">
      <c r="A11" s="58">
        <f t="shared" si="5"/>
        <v>8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EXACT('【韻】韻母清單（台語音標）'!$C11, 韻母對照表[台羅拼音]), 0)), "")</f>
        <v>iauh</v>
      </c>
      <c r="F11" s="58" t="s">
        <v>149</v>
      </c>
      <c r="G11" s="60" t="str" cm="1">
        <f t="array" ref="G11" xml:space="preserve"> IFERROR( INDEX(韻母對照表[白話字], MATCH(TRUE, EXACT('【韻】韻母清單（台語音標）'!$C7, 韻母對照表[台羅拼音]), 0)), "")</f>
        <v/>
      </c>
      <c r="H11" s="55" t="str" cm="1">
        <f t="array" ref="H11" xml:space="preserve"> IFERROR( INDEX(韻母對照表[十五音識別碼], MATCH(TRUE, EXACT('【韻】韻母清單（台語音標）'!$C7, 韻母對照表[台羅拼音]), 0)), "")</f>
        <v/>
      </c>
      <c r="I11" s="58" t="str" cm="1">
        <f t="array" ref="I11" xml:space="preserve"> IFERROR( INDEX(韻母對照表[方音符號], MATCH(TRUE, EXACT('【韻】韻母清單（台語音標）'!$C11, 韻母對照表[台羅拼音]), 0)), "")</f>
        <v>ㄧㄠㆷ</v>
      </c>
      <c r="J11" s="58"/>
      <c r="K11" s="55">
        <f t="shared" si="0"/>
        <v>4</v>
      </c>
      <c r="L11" s="74"/>
      <c r="M11" s="58" t="str">
        <f t="shared" si="6"/>
        <v>iauh</v>
      </c>
      <c r="N11" s="58" t="str">
        <f t="shared" si="7"/>
        <v>iauh</v>
      </c>
      <c r="P11" s="122" t="str">
        <f t="shared" si="8"/>
        <v>iauh(\d)</v>
      </c>
      <c r="Q11" s="125" t="s">
        <v>1228</v>
      </c>
      <c r="R11" s="125">
        <f t="shared" si="9"/>
        <v>2</v>
      </c>
      <c r="S11" s="122" t="str">
        <f t="shared" si="13"/>
        <v>i》a${1}uh</v>
      </c>
      <c r="T11" s="56"/>
      <c r="U11" s="57" t="str">
        <f t="shared" si="10"/>
        <v xml:space="preserve">    - xform/》iauh(\d)/i》a${1}uh/</v>
      </c>
    </row>
    <row r="12" spans="1:47" ht="27.75" thickBot="1">
      <c r="A12" s="58">
        <f t="shared" si="5"/>
        <v>9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EXACT('【韻】韻母清單（台語音標）'!$C12, 韻母對照表[台羅拼音]), 0)), "")</f>
        <v>iong</v>
      </c>
      <c r="F12" s="58" t="s">
        <v>785</v>
      </c>
      <c r="G12" s="61" t="str" cm="1">
        <f t="array" ref="G12" xml:space="preserve"> IFERROR( INDEX(韻母對照表[白話字], MATCH(TRUE, EXACT('【韻】韻母清單（台語音標）'!$C8, 韻母對照表[台羅拼音]), 0)), "")</f>
        <v>iauⁿ</v>
      </c>
      <c r="H12" s="55" t="str" cm="1">
        <f t="array" ref="H12" xml:space="preserve"> IFERROR( INDEX(韻母對照表[十五音識別碼], MATCH(TRUE, EXACT('【韻】韻母清單（台語音標）'!$C8, 韻母對照表[台羅拼音]), 0)), "")</f>
        <v>嘄舒</v>
      </c>
      <c r="I12" s="58" t="str" cm="1">
        <f t="array" ref="I12" xml:space="preserve"> IFERROR( INDEX(韻母對照表[方音符號], MATCH(TRUE, EXACT('【韻】韻母清單（台語音標）'!$C12, 韻母對照表[台羅拼音]), 0)), "")</f>
        <v>ㄧㆲ</v>
      </c>
      <c r="J12" s="58"/>
      <c r="K12" s="55">
        <f t="shared" si="0"/>
        <v>4</v>
      </c>
      <c r="L12" s="74"/>
      <c r="M12" s="58" t="str">
        <f t="shared" si="6"/>
        <v>iong</v>
      </c>
      <c r="N12" s="58" t="str">
        <f t="shared" si="7"/>
        <v>iong</v>
      </c>
      <c r="P12" s="122" t="str">
        <f t="shared" si="8"/>
        <v>iong(\d)</v>
      </c>
      <c r="Q12" s="125" t="s">
        <v>1216</v>
      </c>
      <c r="R12" s="125">
        <f t="shared" si="9"/>
        <v>2</v>
      </c>
      <c r="S12" s="122" t="str">
        <f t="shared" si="13"/>
        <v>i》o${1}ng</v>
      </c>
      <c r="T12" s="56"/>
      <c r="U12" s="57" t="str">
        <f t="shared" si="10"/>
        <v xml:space="preserve">    - xform/》iong(\d)/i》o${1}ng/</v>
      </c>
    </row>
    <row r="13" spans="1:47" ht="27.75" thickBot="1">
      <c r="A13" s="58">
        <f t="shared" si="5"/>
        <v>10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EXACT('【韻】韻母清單（台語音標）'!$C13, 韻母對照表[台羅拼音]), 0)), "")</f>
        <v/>
      </c>
      <c r="F13" s="58" t="s">
        <v>787</v>
      </c>
      <c r="G13" s="73" t="str" cm="1">
        <f t="array" ref="G13" xml:space="preserve"> IFERROR( INDEX(韻母對照表[白話字], MATCH(TRUE, EXACT('【韻】韻母清單（台語音標）'!$C9, 韻母對照表[台羅拼音]), 0)), "")</f>
        <v>oaiⁿ</v>
      </c>
      <c r="H13" s="55" t="str" cm="1">
        <f t="array" ref="H13" xml:space="preserve"> IFERROR( INDEX(韻母對照表[十五音識別碼], MATCH(TRUE, EXACT('【韻】韻母清單（台語音標）'!$C9, 韻母對照表[台羅拼音]), 0)), "")</f>
        <v>閂舒</v>
      </c>
      <c r="I13" s="137" t="s">
        <v>927</v>
      </c>
      <c r="J13" s="58"/>
      <c r="K13" s="55">
        <f t="shared" si="0"/>
        <v>4</v>
      </c>
      <c r="L13" s="74"/>
      <c r="M13" s="58" t="str">
        <f t="shared" si="6"/>
        <v>ennh</v>
      </c>
      <c r="N13" s="58" t="str">
        <f t="shared" si="7"/>
        <v>ennh</v>
      </c>
      <c r="P13" s="122" t="str">
        <f t="shared" si="8"/>
        <v>ennh(\d)</v>
      </c>
      <c r="Q13" s="125" t="s">
        <v>1181</v>
      </c>
      <c r="R13" s="125">
        <f t="shared" si="9"/>
        <v>1</v>
      </c>
      <c r="S13" s="122" t="str">
        <f t="shared" si="13"/>
        <v>》e${1}nnh</v>
      </c>
      <c r="T13" s="56"/>
      <c r="U13" s="57" t="str">
        <f t="shared" si="10"/>
        <v xml:space="preserve">    - xform/》ennh(\d)/》e${1}nnh/</v>
      </c>
    </row>
    <row r="14" spans="1:47" ht="27.75" thickBot="1">
      <c r="A14" s="58">
        <f t="shared" si="5"/>
        <v>11</v>
      </c>
      <c r="B14" s="75" t="str">
        <f xml:space="preserve"> _xlfn.CONCAT("ɔ", _xlfn.UNICHAR(771), "ʔ")</f>
        <v>ɔ̃ʔ</v>
      </c>
      <c r="C14" s="58" t="s">
        <v>501</v>
      </c>
      <c r="D14" s="58" t="s">
        <v>501</v>
      </c>
      <c r="E14" s="58" t="str" cm="1">
        <f t="array" ref="E14" xml:space="preserve"> IFERROR( INDEX(韻母對照表[注音二式], MATCH(TRUE, EXACT('【韻】韻母清單（台語音標）'!$C14, 韻母對照表[台羅拼音]), 0)), "")</f>
        <v>onnh</v>
      </c>
      <c r="F14" s="58" t="s">
        <v>502</v>
      </c>
      <c r="G14" s="73" t="str" cm="1">
        <f t="array" ref="G14" xml:space="preserve"> IFERROR( INDEX(韻母對照表[白話字], MATCH(TRUE, EXACT('【韻】韻母清單（台語音標）'!$C13, 韻母對照表[台羅拼音]), 0)), "")</f>
        <v/>
      </c>
      <c r="H14" s="55" t="str" cm="1">
        <f t="array" ref="H14" xml:space="preserve"> IFERROR( INDEX(韻母對照表[十五音識別碼], MATCH(TRUE, EXACT('【韻】韻母清單（台語音標）'!$C13, 韻母對照表[台羅拼音]), 0)), "")</f>
        <v/>
      </c>
      <c r="I14" s="58" t="str" cm="1">
        <f t="array" ref="I14" xml:space="preserve"> IFERROR( INDEX(韻母對照表[方音符號], MATCH(TRUE, EXACT('【韻】韻母清單（台語音標）'!$C14, 韻母對照表[台羅拼音]), 0)), "")</f>
        <v>ㆧㆷ</v>
      </c>
      <c r="J14" s="58"/>
      <c r="K14" s="55">
        <f t="shared" si="0"/>
        <v>4</v>
      </c>
      <c r="L14" s="74"/>
      <c r="M14" s="58" t="str">
        <f t="shared" si="6"/>
        <v>onnh</v>
      </c>
      <c r="N14" s="58" t="str">
        <f t="shared" si="7"/>
        <v>onnh</v>
      </c>
      <c r="P14" s="122" t="str">
        <f t="shared" si="8"/>
        <v>onnh(\d)</v>
      </c>
      <c r="Q14" s="125" t="s">
        <v>1216</v>
      </c>
      <c r="R14" s="125">
        <f t="shared" si="9"/>
        <v>1</v>
      </c>
      <c r="S14" s="122" t="str">
        <f t="shared" si="13"/>
        <v>》o${1}nnh</v>
      </c>
      <c r="T14" s="56"/>
      <c r="U14" s="57" t="str">
        <f t="shared" si="10"/>
        <v xml:space="preserve">    - xform/》onnh(\d)/》o${1}nnh/</v>
      </c>
    </row>
    <row r="15" spans="1:47" ht="27.75" thickBot="1">
      <c r="A15" s="58">
        <f t="shared" si="5"/>
        <v>12</v>
      </c>
      <c r="B15" s="75" t="s">
        <v>813</v>
      </c>
      <c r="C15" s="58" t="s">
        <v>304</v>
      </c>
      <c r="D15" s="58" t="s">
        <v>304</v>
      </c>
      <c r="E15" s="58" t="str" cm="1">
        <f t="array" ref="E15" xml:space="preserve"> IFERROR( INDEX(韻母對照表[注音二式], MATCH(TRUE, EXACT('【韻】韻母清單（台語音標）'!$C15, 韻母對照表[台羅拼音]), 0)), "")</f>
        <v>annh</v>
      </c>
      <c r="F15" s="58" t="s">
        <v>814</v>
      </c>
      <c r="G15" s="73" t="str" cm="1">
        <f t="array" ref="G15" xml:space="preserve"> IFERROR( INDEX(韻母對照表[白話字], MATCH(TRUE, EXACT('【韻】韻母清單（台語音標）'!$C29, 韻母對照表[台羅拼音]), 0)), "")</f>
        <v>iah</v>
      </c>
      <c r="H15" s="55" t="str" cm="1">
        <f t="array" ref="H15" xml:space="preserve"> IFERROR( INDEX(韻母對照表[十五音識別碼], MATCH(TRUE, EXACT('【韻】韻母清單（台語音標）'!$C29, 韻母對照表[台羅拼音]), 0)), "")</f>
        <v>迦促</v>
      </c>
      <c r="I15" s="58" t="str" cm="1">
        <f t="array" ref="I15" xml:space="preserve"> IFERROR( INDEX(韻母對照表[方音符號], MATCH(TRUE, EXACT('【韻】韻母清單（台語音標）'!$C15, 韻母對照表[台羅拼音]), 0)), "")</f>
        <v>ㆩㆷ</v>
      </c>
      <c r="J15" s="58"/>
      <c r="K15" s="55">
        <f t="shared" si="0"/>
        <v>4</v>
      </c>
      <c r="L15" s="74"/>
      <c r="M15" s="58" t="str">
        <f t="shared" si="6"/>
        <v>annh</v>
      </c>
      <c r="N15" s="58" t="str">
        <f t="shared" si="7"/>
        <v>annh</v>
      </c>
      <c r="P15" s="122" t="str">
        <f t="shared" si="8"/>
        <v>annh(\d)</v>
      </c>
      <c r="Q15" s="125" t="s">
        <v>1228</v>
      </c>
      <c r="R15" s="125">
        <f t="shared" si="9"/>
        <v>1</v>
      </c>
      <c r="S15" s="122" t="str">
        <f t="shared" si="13"/>
        <v>》a${1}nnh</v>
      </c>
      <c r="T15" s="56"/>
      <c r="U15" s="57" t="str">
        <f t="shared" si="10"/>
        <v xml:space="preserve">    - xform/》annh(\d)/》a${1}nnh/</v>
      </c>
    </row>
    <row r="16" spans="1:47" ht="27.75" thickBot="1">
      <c r="A16" s="58">
        <f t="shared" si="5"/>
        <v>13</v>
      </c>
      <c r="B16" s="58" t="str">
        <f xml:space="preserve"> _xlfn.CONCAT("a", _xlfn.UNICHAR(771), "i", _xlfn.UNICHAR(771))</f>
        <v>ãĩ</v>
      </c>
      <c r="C16" s="58" t="s">
        <v>417</v>
      </c>
      <c r="D16" s="58" t="s">
        <v>417</v>
      </c>
      <c r="E16" s="58" t="str" cm="1">
        <f t="array" ref="E16" xml:space="preserve"> IFERROR( INDEX(韻母對照表[注音二式], MATCH(TRUE, EXACT('【韻】韻母清單（台語音標）'!$C16, 韻母對照表[台羅拼音]), 0)), "")</f>
        <v>ainn</v>
      </c>
      <c r="F16" s="58" t="s">
        <v>816</v>
      </c>
      <c r="G16" s="61" t="str" cm="1">
        <f t="array" ref="G16" xml:space="preserve"> IFERROR( INDEX(韻母對照表[白話字], MATCH(TRUE, EXACT('【韻】韻母清單（台語音標）'!$C30, 韻母對照表[台羅拼音]), 0)), "")</f>
        <v>iak</v>
      </c>
      <c r="H16" s="55" t="str" cm="1">
        <f t="array" ref="H16" xml:space="preserve"> IFERROR( INDEX(韻母對照表[十五音識別碼], MATCH(TRUE, EXACT('【韻】韻母清單（台語音標）'!$C30, 韻母對照表[台羅拼音]), 0)), "")</f>
        <v>姜促</v>
      </c>
      <c r="I16" s="58" t="str" cm="1">
        <f t="array" ref="I16" xml:space="preserve"> IFERROR( INDEX(韻母對照表[方音符號], MATCH(TRUE, EXACT('【韻】韻母清單（台語音標）'!$C16, 韻母對照表[台羅拼音]), 0)), "")</f>
        <v>ㆮ</v>
      </c>
      <c r="J16" s="58"/>
      <c r="K16" s="55">
        <f t="shared" si="0"/>
        <v>4</v>
      </c>
      <c r="L16" s="74"/>
      <c r="M16" s="58" t="str">
        <f t="shared" si="6"/>
        <v>ainn</v>
      </c>
      <c r="N16" s="58" t="str">
        <f t="shared" si="7"/>
        <v>ainn</v>
      </c>
      <c r="P16" s="122" t="str">
        <f t="shared" si="8"/>
        <v>ainn(\d)</v>
      </c>
      <c r="Q16" s="125" t="s">
        <v>1228</v>
      </c>
      <c r="R16" s="125">
        <f t="shared" si="9"/>
        <v>1</v>
      </c>
      <c r="S16" s="122" t="str">
        <f t="shared" si="13"/>
        <v>》a${1}inn</v>
      </c>
      <c r="T16" s="56"/>
      <c r="U16" s="57" t="str">
        <f t="shared" si="10"/>
        <v xml:space="preserve">    - xform/》ainn(\d)/》a${1}inn/</v>
      </c>
    </row>
    <row r="17" spans="1:21" ht="27.75" thickBot="1">
      <c r="A17" s="58">
        <f t="shared" si="5"/>
        <v>14</v>
      </c>
      <c r="B17" s="58" t="str">
        <f xml:space="preserve"> _xlfn.CONCAT("a", _xlfn.UNICHAR(771), "u", _xlfn.UNICHAR(771))</f>
        <v>ãũ</v>
      </c>
      <c r="C17" s="58" t="s">
        <v>491</v>
      </c>
      <c r="D17" s="58" t="s">
        <v>491</v>
      </c>
      <c r="E17" s="58" t="str" cm="1">
        <f t="array" ref="E17" xml:space="preserve"> IFERROR( INDEX(韻母對照表[注音二式], MATCH(TRUE, EXACT('【韻】韻母清單（台語音標）'!$C17, 韻母對照表[台羅拼音]), 0)), "")</f>
        <v>aunn</v>
      </c>
      <c r="F17" s="58" t="s">
        <v>818</v>
      </c>
      <c r="G17" s="60" t="str" cm="1">
        <f t="array" ref="G17" xml:space="preserve"> IFERROR( INDEX(韻母對照表[白話字], MATCH(TRUE, EXACT('【韻】韻母清單（台語音標）'!$C31, 韻母對照表[台羅拼音]), 0)), "")</f>
        <v>iam</v>
      </c>
      <c r="H17" s="55" t="str" cm="1">
        <f t="array" ref="H17" xml:space="preserve"> IFERROR( INDEX(韻母對照表[十五音識別碼], MATCH(TRUE, EXACT('【韻】韻母清單（台語音標）'!$C31, 韻母對照表[台羅拼音]), 0)), "")</f>
        <v>兼舒</v>
      </c>
      <c r="I17" s="58" t="str" cm="1">
        <f t="array" ref="I17" xml:space="preserve"> IFERROR( INDEX(韻母對照表[方音符號], MATCH(TRUE, EXACT('【韻】韻母清單（台語音標）'!$C17, 韻母對照表[台羅拼音]), 0)), "")</f>
        <v>ㆯ</v>
      </c>
      <c r="J17" s="58"/>
      <c r="K17" s="55">
        <f t="shared" si="0"/>
        <v>4</v>
      </c>
      <c r="L17" s="74"/>
      <c r="M17" s="58" t="str">
        <f t="shared" si="6"/>
        <v>aunn</v>
      </c>
      <c r="N17" s="58" t="str">
        <f t="shared" si="7"/>
        <v>aunn</v>
      </c>
      <c r="P17" s="122" t="str">
        <f t="shared" si="8"/>
        <v>aunn(\d)</v>
      </c>
      <c r="Q17" s="125" t="s">
        <v>1228</v>
      </c>
      <c r="R17" s="125">
        <f t="shared" si="9"/>
        <v>1</v>
      </c>
      <c r="S17" s="122" t="str">
        <f t="shared" si="13"/>
        <v>》a${1}unn</v>
      </c>
      <c r="T17" s="56"/>
      <c r="U17" s="57" t="str">
        <f t="shared" si="10"/>
        <v xml:space="preserve">    - xform/》aunn(\d)/》a${1}unn/</v>
      </c>
    </row>
    <row r="18" spans="1:21" ht="27.75" thickBot="1">
      <c r="A18" s="58">
        <f t="shared" si="5"/>
        <v>15</v>
      </c>
      <c r="B18" s="75" t="str">
        <f xml:space="preserve"> _xlfn.CONCAT("i", _xlfn.UNICHAR(771), "a", _xlfn.UNICHAR(771), )</f>
        <v>ĩã</v>
      </c>
      <c r="C18" s="58" t="s">
        <v>391</v>
      </c>
      <c r="D18" s="58" t="s">
        <v>391</v>
      </c>
      <c r="E18" s="58" t="str" cm="1">
        <f t="array" ref="E18" xml:space="preserve"> IFERROR( INDEX(韻母對照表[注音二式], MATCH(TRUE, EXACT('【韻】韻母清單（台語音標）'!$C18, 韻母對照表[台羅拼音]), 0)), "")</f>
        <v>iann</v>
      </c>
      <c r="F18" s="58" t="s">
        <v>394</v>
      </c>
      <c r="G18" s="61" t="str" cm="1">
        <f t="array" ref="G18" xml:space="preserve"> IFERROR( INDEX(韻母對照表[白話字], MATCH(TRUE, EXACT('【韻】韻母清單（台語音標）'!$C33, 韻母對照表[台羅拼音]), 0)), "")</f>
        <v>iau</v>
      </c>
      <c r="H18" s="55" t="str" cm="1">
        <f t="array" ref="H18" xml:space="preserve"> IFERROR( INDEX(韻母對照表[十五音識別碼], MATCH(TRUE, EXACT('【韻】韻母清單（台語音標）'!$C33, 韻母對照表[台羅拼音]), 0)), "")</f>
        <v>嬌舒</v>
      </c>
      <c r="I18" s="58" t="str" cm="1">
        <f t="array" ref="I18" xml:space="preserve"> IFERROR( INDEX(韻母對照表[方音符號], MATCH(TRUE, EXACT('【韻】韻母清單（台語音標）'!$C18, 韻母對照表[台羅拼音]), 0)), "")</f>
        <v>ㄧㆩ</v>
      </c>
      <c r="J18" s="58"/>
      <c r="K18" s="55">
        <f t="shared" si="0"/>
        <v>4</v>
      </c>
      <c r="L18" s="74"/>
      <c r="M18" s="58" t="str">
        <f t="shared" si="6"/>
        <v>iann</v>
      </c>
      <c r="N18" s="58" t="str">
        <f t="shared" si="7"/>
        <v>iann</v>
      </c>
      <c r="P18" s="122" t="str">
        <f t="shared" si="8"/>
        <v>iann(\d)</v>
      </c>
      <c r="Q18" s="125" t="s">
        <v>1228</v>
      </c>
      <c r="R18" s="125">
        <f t="shared" si="9"/>
        <v>2</v>
      </c>
      <c r="S18" s="122" t="str">
        <f t="shared" si="13"/>
        <v>i》a${1}nn</v>
      </c>
      <c r="T18" s="56"/>
      <c r="U18" s="57" t="str">
        <f t="shared" si="10"/>
        <v xml:space="preserve">    - xform/》iann(\d)/i》a${1}nn/</v>
      </c>
    </row>
    <row r="19" spans="1:21" ht="27.75" thickBot="1">
      <c r="A19" s="58">
        <f t="shared" si="5"/>
        <v>16</v>
      </c>
      <c r="B19" s="75" t="str">
        <f xml:space="preserve"> _xlfn.CONCAT("i", _xlfn.UNICHAR(771), _xlfn.UNICHAR(660))</f>
        <v>ĩʔ</v>
      </c>
      <c r="C19" s="58" t="s">
        <v>376</v>
      </c>
      <c r="D19" s="58" t="s">
        <v>376</v>
      </c>
      <c r="E19" s="58" t="str" cm="1">
        <f t="array" ref="E19" xml:space="preserve"> IFERROR( INDEX(韻母對照表[注音二式], MATCH(TRUE, EXACT('【韻】韻母清單（台語音標）'!$C19, 韻母對照表[台羅拼音]), 0)), "")</f>
        <v>innh</v>
      </c>
      <c r="F19" s="58" t="s">
        <v>377</v>
      </c>
      <c r="G19" s="73" t="str" cm="1">
        <f t="array" ref="G19" xml:space="preserve"> IFERROR( INDEX(韻母對照表[白話字], MATCH(TRUE, EXACT('【韻】韻母清單（台語音標）'!$C34, 韻母對照表[台羅拼音]), 0)), "")</f>
        <v>iap</v>
      </c>
      <c r="H19" s="55" t="str" cm="1">
        <f t="array" ref="H19" xml:space="preserve"> IFERROR( INDEX(韻母對照表[十五音識別碼], MATCH(TRUE, EXACT('【韻】韻母清單（台語音標）'!$C34, 韻母對照表[台羅拼音]), 0)), "")</f>
        <v>兼促</v>
      </c>
      <c r="I19" s="58" t="str" cm="1">
        <f t="array" ref="I19" xml:space="preserve"> IFERROR( INDEX(韻母對照表[方音符號], MATCH(TRUE, EXACT('【韻】韻母清單（台語音標）'!$C19, 韻母對照表[台羅拼音]), 0)), "")</f>
        <v>ㆪㆷ</v>
      </c>
      <c r="J19" s="58"/>
      <c r="K19" s="55">
        <f t="shared" si="0"/>
        <v>4</v>
      </c>
      <c r="L19" s="74"/>
      <c r="M19" s="58" t="str">
        <f t="shared" si="6"/>
        <v>innh</v>
      </c>
      <c r="N19" s="58" t="str">
        <f t="shared" si="7"/>
        <v>innh</v>
      </c>
      <c r="P19" s="122" t="str">
        <f t="shared" si="8"/>
        <v>innh(\d)</v>
      </c>
      <c r="Q19" s="125" t="s">
        <v>1229</v>
      </c>
      <c r="R19" s="125">
        <f t="shared" si="9"/>
        <v>1</v>
      </c>
      <c r="S19" s="122" t="str">
        <f t="shared" si="13"/>
        <v>》i${1}nnh</v>
      </c>
      <c r="T19" s="56"/>
      <c r="U19" s="57" t="str">
        <f t="shared" si="10"/>
        <v xml:space="preserve">    - xform/》innh(\d)/》i${1}nnh/</v>
      </c>
    </row>
    <row r="20" spans="1:21" ht="27.75" thickBot="1">
      <c r="A20" s="58">
        <f t="shared" si="5"/>
        <v>17</v>
      </c>
      <c r="B20" s="75" t="str">
        <f xml:space="preserve"> _xlfn.CONCAT("i", _xlfn.UNICHAR(771), "u", _xlfn.UNICHAR(771))</f>
        <v>ĩũ</v>
      </c>
      <c r="C20" s="58" t="s">
        <v>507</v>
      </c>
      <c r="D20" s="58" t="s">
        <v>507</v>
      </c>
      <c r="E20" s="58" t="str" cm="1">
        <f t="array" ref="E20" xml:space="preserve"> IFERROR( INDEX(韻母對照表[注音二式], MATCH(TRUE, EXACT('【韻】韻母清單（台語音標）'!$C20, 韻母對照表[台羅拼音]), 0)), "")</f>
        <v>iunn</v>
      </c>
      <c r="F20" s="58" t="s">
        <v>509</v>
      </c>
      <c r="G20" s="61" t="str" cm="1">
        <f t="array" ref="G20" xml:space="preserve"> IFERROR( INDEX(韻母對照表[白話字], MATCH(TRUE, EXACT('【韻】韻母清單（台語音標）'!$C35, 韻母對照表[台羅拼音]), 0)), "")</f>
        <v>iat</v>
      </c>
      <c r="H20" s="55" t="str" cm="1">
        <f t="array" ref="H20" xml:space="preserve"> IFERROR( INDEX(韻母對照表[十五音識別碼], MATCH(TRUE, EXACT('【韻】韻母清單（台語音標）'!$C35, 韻母對照表[台羅拼音]), 0)), "")</f>
        <v>堅促</v>
      </c>
      <c r="I20" s="58" t="str" cm="1">
        <f t="array" ref="I20" xml:space="preserve"> IFERROR( INDEX(韻母對照表[方音符號], MATCH(TRUE, EXACT('【韻】韻母清單（台語音標）'!$C20, 韻母對照表[台羅拼音]), 0)), "")</f>
        <v>ㄧㆫ</v>
      </c>
      <c r="J20" s="58"/>
      <c r="K20" s="55">
        <f t="shared" si="0"/>
        <v>4</v>
      </c>
      <c r="L20" s="74"/>
      <c r="M20" s="58" t="str">
        <f t="shared" si="6"/>
        <v>iunn</v>
      </c>
      <c r="N20" s="58" t="str">
        <f t="shared" si="7"/>
        <v>iunn</v>
      </c>
      <c r="P20" s="122" t="str">
        <f t="shared" si="8"/>
        <v>iunn(\d)</v>
      </c>
      <c r="Q20" s="125" t="s">
        <v>1229</v>
      </c>
      <c r="R20" s="125">
        <f t="shared" si="9"/>
        <v>1</v>
      </c>
      <c r="S20" s="122" t="str">
        <f t="shared" si="13"/>
        <v>》i${1}unn</v>
      </c>
      <c r="T20" s="56"/>
      <c r="U20" s="57" t="str">
        <f t="shared" si="10"/>
        <v xml:space="preserve">    - xform/》iunn(\d)/》i${1}unn/</v>
      </c>
    </row>
    <row r="21" spans="1:21" ht="27.75" thickBot="1">
      <c r="A21" s="58">
        <f t="shared" si="5"/>
        <v>18</v>
      </c>
      <c r="B21" s="75" t="str">
        <f xml:space="preserve"> _xlfn.CONCAT("u", _xlfn.UNICHAR(771), "a", _xlfn.UNICHAR(771))</f>
        <v>ũã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EXACT('【韻】韻母清單（台語音標）'!$C21, 韻母對照表[台羅拼音]), 0)), "")</f>
        <v>uann</v>
      </c>
      <c r="F21" s="58" t="s">
        <v>401</v>
      </c>
      <c r="G21" s="61" t="str" cm="1">
        <f t="array" ref="G21" xml:space="preserve"> IFERROR( INDEX(韻母對照表[白話字], MATCH(TRUE, EXACT('【韻】韻母清單（台語音標）'!$C37, 韻母對照表[台羅拼音]), 0)), "")</f>
        <v>ioh</v>
      </c>
      <c r="H21" s="55" t="str" cm="1">
        <f t="array" ref="H21" xml:space="preserve"> IFERROR( INDEX(韻母對照表[十五音識別碼], MATCH(TRUE, EXACT('【韻】韻母清單（台語音標）'!$C37, 韻母對照表[台羅拼音]), 0)), "")</f>
        <v>茄促</v>
      </c>
      <c r="I21" s="58" t="str" cm="1">
        <f t="array" ref="I21" xml:space="preserve"> IFERROR( INDEX(韻母對照表[方音符號], MATCH(TRUE, EXACT('【韻】韻母清單（台語音標）'!$C21, 韻母對照表[台羅拼音]), 0)), "")</f>
        <v>ㄨㆩ</v>
      </c>
      <c r="J21" s="58"/>
      <c r="K21" s="55">
        <f t="shared" si="0"/>
        <v>4</v>
      </c>
      <c r="L21" s="74"/>
      <c r="M21" s="58" t="str">
        <f t="shared" si="6"/>
        <v>uann</v>
      </c>
      <c r="N21" s="58" t="str">
        <f t="shared" si="7"/>
        <v>uann</v>
      </c>
      <c r="P21" s="122" t="str">
        <f t="shared" si="8"/>
        <v>uann(\d)</v>
      </c>
      <c r="Q21" s="125" t="s">
        <v>1228</v>
      </c>
      <c r="R21" s="125">
        <f t="shared" si="9"/>
        <v>2</v>
      </c>
      <c r="S21" s="122" t="str">
        <f t="shared" si="13"/>
        <v>u》a${1}nn</v>
      </c>
      <c r="T21" s="56"/>
      <c r="U21" s="57" t="str">
        <f t="shared" si="10"/>
        <v xml:space="preserve">    - xform/》uann(\d)/u》a${1}nn/</v>
      </c>
    </row>
    <row r="22" spans="1:21" ht="27.75" thickBot="1">
      <c r="A22" s="58">
        <f t="shared" si="5"/>
        <v>19</v>
      </c>
      <c r="B22" s="75" t="str">
        <f xml:space="preserve"> _xlfn.CONCAT("u", _xlfn.UNICHAR(771), "i", _xlfn.UNICHAR(771))</f>
        <v>ũĩ</v>
      </c>
      <c r="C22" s="58" t="s">
        <v>351</v>
      </c>
      <c r="D22" s="58" t="s">
        <v>351</v>
      </c>
      <c r="E22" s="58" t="str" cm="1">
        <f t="array" ref="E22" xml:space="preserve"> IFERROR( INDEX(韻母對照表[注音二式], MATCH(TRUE, EXACT('【韻】韻母清單（台語音標）'!$C22, 韻母對照表[台羅拼音]), 0)), "")</f>
        <v>uinn</v>
      </c>
      <c r="F22" s="58" t="s">
        <v>353</v>
      </c>
      <c r="G22" s="61" t="str" cm="1">
        <f t="array" ref="G22" xml:space="preserve"> IFERROR( INDEX(韻母對照表[白話字], MATCH(TRUE, EXACT('【韻】韻母清單（台語音標）'!$C38, 韻母對照表[台羅拼音]), 0)), "")</f>
        <v>iok</v>
      </c>
      <c r="H22" s="55" t="str" cm="1">
        <f t="array" ref="H22" xml:space="preserve"> IFERROR( INDEX(韻母對照表[十五音識別碼], MATCH(TRUE, EXACT('【韻】韻母清單（台語音標）'!$C38, 韻母對照表[台羅拼音]), 0)), "")</f>
        <v>恭促</v>
      </c>
      <c r="I22" s="58" t="str" cm="1">
        <f t="array" ref="I22" xml:space="preserve"> IFERROR( INDEX(韻母對照表[方音符號], MATCH(TRUE, EXACT('【韻】韻母清單（台語音標）'!$C22, 韻母對照表[台羅拼音]), 0)), "")</f>
        <v>ㄨㆪ</v>
      </c>
      <c r="J22" s="58"/>
      <c r="K22" s="55">
        <f t="shared" si="0"/>
        <v>4</v>
      </c>
      <c r="L22" s="74"/>
      <c r="M22" s="58" t="str">
        <f t="shared" si="6"/>
        <v>uinn</v>
      </c>
      <c r="N22" s="58" t="str">
        <f t="shared" si="7"/>
        <v>uinn</v>
      </c>
      <c r="P22" s="122" t="str">
        <f t="shared" si="8"/>
        <v>uinn(\d)</v>
      </c>
      <c r="Q22" s="125" t="s">
        <v>1229</v>
      </c>
      <c r="R22" s="125">
        <f t="shared" si="9"/>
        <v>2</v>
      </c>
      <c r="S22" s="122" t="str">
        <f t="shared" si="13"/>
        <v>u》i${1}nn</v>
      </c>
      <c r="T22" s="56"/>
      <c r="U22" s="57" t="str">
        <f t="shared" si="10"/>
        <v xml:space="preserve">    - xform/》uinn(\d)/u》i${1}nn/</v>
      </c>
    </row>
    <row r="23" spans="1:21" ht="27.75" thickBot="1">
      <c r="A23" s="58">
        <f t="shared" si="5"/>
        <v>20</v>
      </c>
      <c r="B23" s="75" t="str">
        <f xml:space="preserve"> _xlfn.CONCAT("i", _xlfn.UNICHAR(771), "ɔ", _xlfn.UNICHAR(771))</f>
        <v>ĩɔ̃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EXACT('【韻】韻母清單（台語音標）'!$C23, 韻母對照表[台羅拼音]), 0)), "")</f>
        <v>ioonn</v>
      </c>
      <c r="F23" s="58" t="s">
        <v>641</v>
      </c>
      <c r="G23" s="60" t="str" cm="1">
        <f t="array" ref="G23" xml:space="preserve"> IFERROR( INDEX(韻母對照表[白話字], MATCH(TRUE, EXACT('【韻】韻母清單（台語音標）'!$C89, 韻母對照表[台羅拼音]), 0)), "")</f>
        <v/>
      </c>
      <c r="H23" s="55" t="str" cm="1">
        <f t="array" ref="H23" xml:space="preserve"> IFERROR( INDEX(韻母對照表[十五音識別碼], MATCH(TRUE, EXACT('【韻】韻母清單（台語音標）'!$C89, 韻母對照表[台羅拼音]), 0)), "")</f>
        <v/>
      </c>
      <c r="I23" s="58" t="str" cm="1">
        <f t="array" ref="I23" xml:space="preserve"> IFERROR( INDEX(韻母對照表[方音符號], MATCH(TRUE, EXACT('【韻】韻母清單（台語音標）'!$C23, 韻母對照表[台羅拼音]), 0)), "")</f>
        <v>ㄧㆧ</v>
      </c>
      <c r="J23" s="58"/>
      <c r="K23" s="55">
        <f t="shared" si="0"/>
        <v>4</v>
      </c>
      <c r="L23" s="74"/>
      <c r="M23" s="58" t="str">
        <f t="shared" si="6"/>
        <v>ionn</v>
      </c>
      <c r="N23" s="58" t="str">
        <f t="shared" si="7"/>
        <v>ionn</v>
      </c>
      <c r="P23" s="122" t="str">
        <f t="shared" si="8"/>
        <v>ionn(\d)</v>
      </c>
      <c r="Q23" s="125" t="s">
        <v>1216</v>
      </c>
      <c r="R23" s="125">
        <f t="shared" si="9"/>
        <v>2</v>
      </c>
      <c r="S23" s="122" t="str">
        <f t="shared" si="13"/>
        <v>i》o${1}nn</v>
      </c>
      <c r="T23" s="56"/>
      <c r="U23" s="57" t="str">
        <f t="shared" si="10"/>
        <v xml:space="preserve">    - xform/》ionn(\d)/i》o${1}nn/</v>
      </c>
    </row>
    <row r="24" spans="1:21" ht="27.75" thickBot="1">
      <c r="A24" s="58">
        <f t="shared" si="5"/>
        <v>21</v>
      </c>
      <c r="B24" s="75" t="s">
        <v>859</v>
      </c>
      <c r="C24" s="58" t="s">
        <v>860</v>
      </c>
      <c r="D24" s="58" t="s">
        <v>860</v>
      </c>
      <c r="E24" s="58" t="str" cm="1">
        <f t="array" ref="E24" xml:space="preserve"> IFERROR( INDEX(韻母對照表[注音二式], MATCH(TRUE, EXACT('【韻】韻母清單（台語音標）'!$C24, 韻母對照表[台羅拼音]), 0)), "")</f>
        <v/>
      </c>
      <c r="F24" s="58" t="str" cm="1">
        <f t="array" ref="F24" xml:space="preserve"> IFERROR( INDEX(韻母對照表[閩拼方案], MATCH(TRUE, EXACT('【韻】韻母清單（台語音標）'!$B90, 韻母對照表[國際音標]), 0)), "")</f>
        <v/>
      </c>
      <c r="G24" s="60" t="str" cm="1">
        <f t="array" ref="G24" xml:space="preserve"> IFERROR( INDEX(韻母對照表[白話字], MATCH(TRUE, EXACT('【韻】韻母清單（台語音標）'!$C90, 韻母對照表[台羅拼音]), 0)), "")</f>
        <v/>
      </c>
      <c r="H24" s="55" t="str" cm="1">
        <f t="array" ref="H24" xml:space="preserve"> IFERROR( INDEX(韻母對照表[十五音識別碼], MATCH(TRUE, EXACT('【韻】韻母清單（台語音標）'!$C90, 韻母對照表[台羅拼音]), 0)), "")</f>
        <v/>
      </c>
      <c r="I24" s="137" t="s">
        <v>1324</v>
      </c>
      <c r="J24" s="58"/>
      <c r="K24" s="55">
        <f t="shared" si="0"/>
        <v>4</v>
      </c>
      <c r="L24" s="74"/>
      <c r="M24" s="58" t="str">
        <f t="shared" si="6"/>
        <v>iooh</v>
      </c>
      <c r="N24" s="58" t="str">
        <f t="shared" si="7"/>
        <v>iooh</v>
      </c>
      <c r="P24" s="122" t="str">
        <f t="shared" si="8"/>
        <v>iooh(\d)</v>
      </c>
      <c r="Q24" s="125" t="s">
        <v>1216</v>
      </c>
      <c r="R24" s="125">
        <f t="shared" si="9"/>
        <v>2</v>
      </c>
      <c r="S24" s="122" t="str">
        <f t="shared" si="13"/>
        <v>i》o${1}oh</v>
      </c>
      <c r="T24" s="56"/>
      <c r="U24" s="57" t="str">
        <f t="shared" si="10"/>
        <v xml:space="preserve">    - xform/》iooh(\d)/i》o${1}oh/</v>
      </c>
    </row>
    <row r="25" spans="1:21" ht="27.75" thickBot="1">
      <c r="A25" s="58">
        <f t="shared" si="5"/>
        <v>22</v>
      </c>
      <c r="B25" s="75"/>
      <c r="C25" s="58" t="s">
        <v>867</v>
      </c>
      <c r="D25" s="58" t="s">
        <v>867</v>
      </c>
      <c r="E25" s="58" t="str" cm="1">
        <f t="array" ref="E25" xml:space="preserve"> IFERROR( INDEX(韻母對照表[注音二式], MATCH(TRUE, EXACT('【韻】韻母清單（台語音標）'!$C25, 韻母對照表[台羅拼音]), 0)), "")</f>
        <v/>
      </c>
      <c r="F25" s="58" t="str" cm="1">
        <f t="array" ref="F25" xml:space="preserve"> IFERROR( INDEX(韻母對照表[閩拼方案], MATCH(TRUE, EXACT('【韻】韻母清單（台語音標）'!$B95, 韻母對照表[國際音標]), 0)), "")</f>
        <v>e</v>
      </c>
      <c r="G25" s="62" cm="1">
        <f t="array" ref="G25" xml:space="preserve"> IFERROR( INDEX(韻母對照表[白話字], MATCH(TRUE, EXACT('【韻】韻母清單（台語音標）'!$C95, 韻母對照表[台羅拼音]), 0)), "")</f>
        <v>0</v>
      </c>
      <c r="H25" s="55" t="str" cm="1">
        <f t="array" ref="H25" xml:space="preserve"> IFERROR( INDEX(韻母對照表[十五音識別碼], MATCH(TRUE, EXACT('【韻】韻母清單（台語音標）'!$C95, 韻母對照表[台羅拼音]), 0)), "")</f>
        <v>稽舒</v>
      </c>
      <c r="I25" s="58" t="str" cm="1">
        <f t="array" ref="I25" xml:space="preserve"> IFERROR( INDEX(韻母對照表[方音符號], MATCH(TRUE, EXACT('【韻】韻母清單（台語音標）'!$C25, 韻母對照表[台羅拼音]), 0)), "")</f>
        <v/>
      </c>
      <c r="J25" s="58"/>
      <c r="K25" s="55">
        <f t="shared" si="0"/>
        <v>4</v>
      </c>
      <c r="L25" s="74"/>
      <c r="M25" s="58" t="str">
        <f t="shared" si="6"/>
        <v>aenn</v>
      </c>
      <c r="N25" s="58" t="str">
        <f t="shared" si="7"/>
        <v>aenn</v>
      </c>
      <c r="P25" s="122" t="str">
        <f t="shared" si="8"/>
        <v>aenn(\d)</v>
      </c>
      <c r="Q25" s="125" t="s">
        <v>1228</v>
      </c>
      <c r="R25" s="125">
        <f t="shared" si="9"/>
        <v>1</v>
      </c>
      <c r="S25" s="122" t="str">
        <f t="shared" si="13"/>
        <v>》a${1}enn</v>
      </c>
      <c r="T25" s="56"/>
      <c r="U25" s="57" t="str">
        <f t="shared" si="10"/>
        <v xml:space="preserve">    - xform/》aenn(\d)/》a${1}enn/</v>
      </c>
    </row>
    <row r="26" spans="1:21" ht="27.75" thickBot="1">
      <c r="A26" s="58">
        <f t="shared" si="5"/>
        <v>23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EXACT('【韻】韻母清單（台語音標）'!$C26, 韻母對照表[台羅拼音]), 0)), "")</f>
        <v>eh</v>
      </c>
      <c r="F26" s="58" t="s">
        <v>795</v>
      </c>
      <c r="G26" s="62"/>
      <c r="H26" s="55" t="str" cm="1">
        <f t="array" ref="H26" xml:space="preserve"> IFERROR( INDEX(韻母對照表[十五音識別碼], MATCH(TRUE, EXACT('【韻】韻母清單（台語音標）'!$C14, 韻母對照表[台羅拼音]), 0)), "")</f>
        <v>扛促</v>
      </c>
      <c r="I26" s="58" t="str" cm="1">
        <f t="array" ref="I26" xml:space="preserve"> IFERROR( INDEX(韻母對照表[方音符號], MATCH(TRUE, EXACT('【韻】韻母清單（台語音標）'!$C26, 韻母對照表[台羅拼音]), 0)), "")</f>
        <v>ㄝㆷ</v>
      </c>
      <c r="J26" s="58"/>
      <c r="K26" s="55">
        <f t="shared" si="0"/>
        <v>3</v>
      </c>
      <c r="L26" s="74"/>
      <c r="M26" s="58" t="str">
        <f t="shared" si="6"/>
        <v>eeh</v>
      </c>
      <c r="N26" s="58" t="str">
        <f t="shared" si="7"/>
        <v>eeh</v>
      </c>
      <c r="P26" s="122" t="str">
        <f t="shared" si="8"/>
        <v>eeh(\d)</v>
      </c>
      <c r="Q26" s="125" t="s">
        <v>1181</v>
      </c>
      <c r="R26" s="125">
        <f t="shared" si="9"/>
        <v>1</v>
      </c>
      <c r="S26" s="122" t="str">
        <f t="shared" si="13"/>
        <v>》e${1}eh</v>
      </c>
      <c r="T26" s="56"/>
      <c r="U26" s="57" t="str">
        <f t="shared" si="10"/>
        <v xml:space="preserve">    - xform/》eeh(\d)/》e${1}eh/</v>
      </c>
    </row>
    <row r="27" spans="1:21" ht="27.75" thickBot="1">
      <c r="A27" s="58">
        <f t="shared" si="5"/>
        <v>24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EXACT('【韻】韻母清單（台語音標）'!$C27, 韻母對照表[台羅拼音]), 0)), "")</f>
        <v>ang</v>
      </c>
      <c r="F27" s="58" t="s">
        <v>797</v>
      </c>
      <c r="G27" s="61" t="str" cm="1">
        <f t="array" ref="G27" xml:space="preserve"> IFERROR( INDEX(韻母對照表[白話字], MATCH(TRUE, EXACT('【韻】韻母清單（台語音標）'!$C15, 韻母對照表[台羅拼音]), 0)), "")</f>
        <v>ahⁿ</v>
      </c>
      <c r="H27" s="55" t="str" cm="1">
        <f t="array" ref="H27" xml:space="preserve"> IFERROR( INDEX(韻母對照表[十五音識別碼], MATCH(TRUE, EXACT('【韻】韻母清單（台語音標）'!$C15, 韻母對照表[台羅拼音]), 0)), "")</f>
        <v>監促</v>
      </c>
      <c r="I27" s="58" t="str" cm="1">
        <f t="array" ref="I27" xml:space="preserve"> IFERROR( INDEX(韻母對照表[方音符號], MATCH(TRUE, EXACT('【韻】韻母清單（台語音標）'!$C27, 韻母對照表[台羅拼音]), 0)), "")</f>
        <v>ㄤ</v>
      </c>
      <c r="J27" s="58"/>
      <c r="K27" s="55">
        <f t="shared" si="0"/>
        <v>3</v>
      </c>
      <c r="L27" s="74"/>
      <c r="M27" s="58" t="str">
        <f t="shared" si="6"/>
        <v>ang</v>
      </c>
      <c r="N27" s="58" t="str">
        <f t="shared" si="7"/>
        <v>ang</v>
      </c>
      <c r="P27" s="122" t="str">
        <f t="shared" si="8"/>
        <v>ang(\d)</v>
      </c>
      <c r="Q27" s="125" t="s">
        <v>1228</v>
      </c>
      <c r="R27" s="125">
        <f t="shared" si="9"/>
        <v>1</v>
      </c>
      <c r="S27" s="122" t="str">
        <f t="shared" si="13"/>
        <v>》a${1}ng</v>
      </c>
      <c r="T27" s="56"/>
      <c r="U27" s="57" t="str">
        <f t="shared" si="10"/>
        <v xml:space="preserve">    - xform/》ang(\d)/》a${1}ng/</v>
      </c>
    </row>
    <row r="28" spans="1:21" ht="27.75" thickBot="1">
      <c r="A28" s="58">
        <f t="shared" si="5"/>
        <v>25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EXACT('【韻】韻母清單（台語音標）'!$C28, 韻母對照表[台羅拼音]), 0)), "")</f>
        <v>auh</v>
      </c>
      <c r="F28" s="58" t="s">
        <v>799</v>
      </c>
      <c r="G28" s="61" t="str" cm="1">
        <f t="array" ref="G28" xml:space="preserve"> IFERROR( INDEX(韻母對照表[白話字], MATCH(TRUE, EXACT('【韻】韻母清單（台語音標）'!$C16, 韻母對照表[台羅拼音]), 0)), "")</f>
        <v>aiⁿ</v>
      </c>
      <c r="H28" s="55" t="str" cm="1">
        <f t="array" ref="H28" xml:space="preserve"> IFERROR( INDEX(韻母對照表[十五音識別碼], MATCH(TRUE, EXACT('【韻】韻母清單（台語音標）'!$C16, 韻母對照表[台羅拼音]), 0)), "")</f>
        <v>閒舒</v>
      </c>
      <c r="I28" s="58" t="str" cm="1">
        <f t="array" ref="I28" xml:space="preserve"> IFERROR( INDEX(韻母對照表[方音符號], MATCH(TRUE, EXACT('【韻】韻母清單（台語音標）'!$C28, 韻母對照表[台羅拼音]), 0)), "")</f>
        <v>ㄠㆷ</v>
      </c>
      <c r="J28" s="58"/>
      <c r="K28" s="55">
        <f t="shared" si="0"/>
        <v>3</v>
      </c>
      <c r="L28" s="74"/>
      <c r="M28" s="58" t="str">
        <f t="shared" si="6"/>
        <v>auh</v>
      </c>
      <c r="N28" s="58" t="str">
        <f t="shared" si="7"/>
        <v>auh</v>
      </c>
      <c r="P28" s="122" t="str">
        <f t="shared" si="8"/>
        <v>auh(\d)</v>
      </c>
      <c r="Q28" s="125" t="s">
        <v>1228</v>
      </c>
      <c r="R28" s="125">
        <f t="shared" si="9"/>
        <v>1</v>
      </c>
      <c r="S28" s="122" t="str">
        <f t="shared" si="13"/>
        <v>》a${1}uh</v>
      </c>
      <c r="T28" s="56"/>
      <c r="U28" s="57" t="str">
        <f t="shared" si="10"/>
        <v xml:space="preserve">    - xform/》auh(\d)/》a${1}uh/</v>
      </c>
    </row>
    <row r="29" spans="1:21" ht="27.75" thickBot="1">
      <c r="A29" s="58">
        <f t="shared" si="5"/>
        <v>26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EXACT('【韻】韻母清單（台語音標）'!$C29, 韻母對照表[台羅拼音]), 0)), "")</f>
        <v>iah</v>
      </c>
      <c r="F29" s="58" t="s">
        <v>801</v>
      </c>
      <c r="G29" s="61" t="str" cm="1">
        <f t="array" ref="G29" xml:space="preserve"> IFERROR( INDEX(韻母對照表[白話字], MATCH(TRUE, EXACT('【韻】韻母清單（台語音標）'!$C17, 韻母對照表[台羅拼音]), 0)), "")</f>
        <v>auⁿ</v>
      </c>
      <c r="H29" s="55" t="str" cm="1">
        <f t="array" ref="H29" xml:space="preserve"> IFERROR( INDEX(韻母對照表[十五音識別碼], MATCH(TRUE, EXACT('【韻】韻母清單（台語音標）'!$C17, 韻母對照表[台羅拼音]), 0)), "")</f>
        <v>爻舒</v>
      </c>
      <c r="I29" s="58" t="str" cm="1">
        <f t="array" ref="I29" xml:space="preserve"> IFERROR( INDEX(韻母對照表[方音符號], MATCH(TRUE, EXACT('【韻】韻母清單（台語音標）'!$C29, 韻母對照表[台羅拼音]), 0)), "")</f>
        <v>ㄧㄚㆷ</v>
      </c>
      <c r="J29" s="58"/>
      <c r="K29" s="55">
        <f t="shared" si="0"/>
        <v>3</v>
      </c>
      <c r="L29" s="74"/>
      <c r="M29" s="58" t="str">
        <f t="shared" si="6"/>
        <v>iah</v>
      </c>
      <c r="N29" s="58" t="str">
        <f t="shared" si="7"/>
        <v>iah</v>
      </c>
      <c r="P29" s="122" t="str">
        <f t="shared" si="8"/>
        <v>iah(\d)</v>
      </c>
      <c r="Q29" s="125" t="s">
        <v>1228</v>
      </c>
      <c r="R29" s="125">
        <f t="shared" si="9"/>
        <v>2</v>
      </c>
      <c r="S29" s="122" t="str">
        <f t="shared" si="13"/>
        <v>i》a${1}h</v>
      </c>
      <c r="T29" s="56"/>
      <c r="U29" s="57" t="str">
        <f t="shared" si="10"/>
        <v xml:space="preserve">    - xform/》iah(\d)/i》a${1}h/</v>
      </c>
    </row>
    <row r="30" spans="1:21" ht="27.75" thickBot="1">
      <c r="A30" s="58">
        <f t="shared" si="5"/>
        <v>27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EXACT('【韻】韻母清單（台語音標）'!$C30, 韻母對照表[台羅拼音]), 0)), "")</f>
        <v>iak</v>
      </c>
      <c r="F30" s="58" t="s">
        <v>802</v>
      </c>
      <c r="G30" s="61" t="str" cm="1">
        <f t="array" ref="G30" xml:space="preserve"> IFERROR( INDEX(韻母對照表[白話字], MATCH(TRUE, EXACT('【韻】韻母清單（台語音標）'!$C18, 韻母對照表[台羅拼音]), 0)), "")</f>
        <v>iaⁿ</v>
      </c>
      <c r="H30" s="55" t="str" cm="1">
        <f t="array" ref="H30" xml:space="preserve"> IFERROR( INDEX(韻母對照表[十五音識別碼], MATCH(TRUE, EXACT('【韻】韻母清單（台語音標）'!$C18, 韻母對照表[台羅拼音]), 0)), "")</f>
        <v>驚舒</v>
      </c>
      <c r="I30" s="58" t="str" cm="1">
        <f t="array" ref="I30" xml:space="preserve"> IFERROR( INDEX(韻母對照表[方音符號], MATCH(TRUE, EXACT('【韻】韻母清單（台語音標）'!$C30, 韻母對照表[台羅拼音]), 0)), "")</f>
        <v>ㄧㄚㆻ</v>
      </c>
      <c r="J30" s="58"/>
      <c r="K30" s="55">
        <f t="shared" si="0"/>
        <v>3</v>
      </c>
      <c r="L30" s="74"/>
      <c r="M30" s="58" t="str">
        <f t="shared" si="6"/>
        <v>iak</v>
      </c>
      <c r="N30" s="58" t="str">
        <f t="shared" si="7"/>
        <v>iak</v>
      </c>
      <c r="P30" s="122" t="str">
        <f t="shared" si="8"/>
        <v>iak(\d)</v>
      </c>
      <c r="Q30" s="125" t="s">
        <v>1228</v>
      </c>
      <c r="R30" s="125">
        <f t="shared" si="9"/>
        <v>2</v>
      </c>
      <c r="S30" s="122" t="str">
        <f t="shared" si="13"/>
        <v>i》a${1}k</v>
      </c>
      <c r="T30" s="56"/>
      <c r="U30" s="57" t="str">
        <f t="shared" si="10"/>
        <v xml:space="preserve">    - xform/》iak(\d)/i》a${1}k/</v>
      </c>
    </row>
    <row r="31" spans="1:21" ht="27.75" thickBot="1">
      <c r="A31" s="58">
        <f t="shared" si="5"/>
        <v>28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EXACT('【韻】韻母清單（台語音標）'!$C31, 韻母對照表[台羅拼音]), 0)), "")</f>
        <v>iam</v>
      </c>
      <c r="F31" s="58" t="s">
        <v>803</v>
      </c>
      <c r="G31" s="61" t="str" cm="1">
        <f t="array" ref="G31" xml:space="preserve"> IFERROR( INDEX(韻母對照表[白話字], MATCH(TRUE, EXACT('【韻】韻母清單（台語音標）'!$C19, 韻母對照表[台羅拼音]), 0)), "")</f>
        <v>ihⁿ</v>
      </c>
      <c r="H31" s="55" t="str" cm="1">
        <f t="array" ref="H31" xml:space="preserve"> IFERROR( INDEX(韻母對照表[十五音識別碼], MATCH(TRUE, EXACT('【韻】韻母清單（台語音標）'!$C19, 韻母對照表[台羅拼音]), 0)), "")</f>
        <v>梔促</v>
      </c>
      <c r="I31" s="58" t="str" cm="1">
        <f t="array" ref="I31" xml:space="preserve"> IFERROR( INDEX(韻母對照表[方音符號], MATCH(TRUE, EXACT('【韻】韻母清單（台語音標）'!$C31, 韻母對照表[台羅拼音]), 0)), "")</f>
        <v>ㄧㆰ</v>
      </c>
      <c r="J31" s="58"/>
      <c r="K31" s="55">
        <f t="shared" si="0"/>
        <v>3</v>
      </c>
      <c r="L31" s="74"/>
      <c r="M31" s="58" t="str">
        <f t="shared" si="6"/>
        <v>iam</v>
      </c>
      <c r="N31" s="58" t="str">
        <f t="shared" si="7"/>
        <v>iam</v>
      </c>
      <c r="P31" s="122" t="str">
        <f t="shared" si="8"/>
        <v>iam(\d)</v>
      </c>
      <c r="Q31" s="125" t="s">
        <v>1228</v>
      </c>
      <c r="R31" s="125">
        <f t="shared" si="9"/>
        <v>2</v>
      </c>
      <c r="S31" s="122" t="str">
        <f t="shared" si="13"/>
        <v>i》a${1}m</v>
      </c>
      <c r="T31" s="56"/>
      <c r="U31" s="57" t="str">
        <f t="shared" si="10"/>
        <v xml:space="preserve">    - xform/》iam(\d)/i》a${1}m/</v>
      </c>
    </row>
    <row r="32" spans="1:21" ht="27.75" thickBot="1">
      <c r="A32" s="58">
        <f t="shared" si="5"/>
        <v>29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EXACT('【韻】韻母清單（台語音標）'!$C32, 韻母對照表[台羅拼音]), 0)), "")</f>
        <v>ian</v>
      </c>
      <c r="F32" s="58" t="s">
        <v>804</v>
      </c>
      <c r="G32" s="61" t="str" cm="1">
        <f t="array" ref="G32" xml:space="preserve"> IFERROR( INDEX(韻母對照表[白話字], MATCH(TRUE, EXACT('【韻】韻母清單（台語音標）'!$C20, 韻母對照表[台羅拼音]), 0)), "")</f>
        <v>iuⁿ</v>
      </c>
      <c r="H32" s="55" t="str" cm="1">
        <f t="array" ref="H32" xml:space="preserve"> IFERROR( INDEX(韻母對照表[十五音識別碼], MATCH(TRUE, EXACT('【韻】韻母清單（台語音標）'!$C20, 韻母對照表[台羅拼音]), 0)), "")</f>
        <v>牛舒</v>
      </c>
      <c r="I32" s="58" t="str" cm="1">
        <f t="array" ref="I32" xml:space="preserve"> IFERROR( INDEX(韻母對照表[方音符號], MATCH(TRUE, EXACT('【韻】韻母清單（台語音標）'!$C32, 韻母對照表[台羅拼音]), 0)), "")</f>
        <v>ㄧㄢ</v>
      </c>
      <c r="J32" s="58"/>
      <c r="K32" s="55">
        <f t="shared" si="0"/>
        <v>3</v>
      </c>
      <c r="L32" s="74"/>
      <c r="M32" s="58" t="str">
        <f t="shared" si="6"/>
        <v>ian</v>
      </c>
      <c r="N32" s="58" t="str">
        <f t="shared" si="7"/>
        <v>ian</v>
      </c>
      <c r="P32" s="122" t="str">
        <f t="shared" si="8"/>
        <v>ian(\d)</v>
      </c>
      <c r="Q32" s="125" t="s">
        <v>1228</v>
      </c>
      <c r="R32" s="125">
        <f t="shared" si="9"/>
        <v>2</v>
      </c>
      <c r="S32" s="122" t="str">
        <f t="shared" si="13"/>
        <v>i》a${1}n</v>
      </c>
      <c r="T32" s="56"/>
      <c r="U32" s="57" t="str">
        <f t="shared" si="10"/>
        <v xml:space="preserve">    - xform/》ian(\d)/i》a${1}n/</v>
      </c>
    </row>
    <row r="33" spans="1:21" ht="27.75" thickBot="1">
      <c r="A33" s="58">
        <f t="shared" si="5"/>
        <v>30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EXACT('【韻】韻母清單（台語音標）'!$C33, 韻母對照表[台羅拼音]), 0)), "")</f>
        <v>iau</v>
      </c>
      <c r="F33" s="58" t="s">
        <v>805</v>
      </c>
      <c r="G33" s="60" t="str" cm="1">
        <f t="array" ref="G33" xml:space="preserve"> IFERROR( INDEX(韻母對照表[白話字], MATCH(TRUE, EXACT('【韻】韻母清單（台語音標）'!$C21, 韻母對照表[台羅拼音]), 0)), "")</f>
        <v>oaⁿ</v>
      </c>
      <c r="H33" s="55" t="str" cm="1">
        <f t="array" ref="H33" xml:space="preserve"> IFERROR( INDEX(韻母對照表[十五音識別碼], MATCH(TRUE, EXACT('【韻】韻母清單（台語音標）'!$C21, 韻母對照表[台羅拼音]), 0)), "")</f>
        <v>官舒</v>
      </c>
      <c r="I33" s="58" t="str" cm="1">
        <f t="array" ref="I33" xml:space="preserve"> IFERROR( INDEX(韻母對照表[方音符號], MATCH(TRUE, EXACT('【韻】韻母清單（台語音標）'!$C33, 韻母對照表[台羅拼音]), 0)), "")</f>
        <v>ㄧㄠ</v>
      </c>
      <c r="J33" s="58"/>
      <c r="K33" s="55">
        <f t="shared" si="0"/>
        <v>3</v>
      </c>
      <c r="L33" s="74"/>
      <c r="M33" s="58" t="str">
        <f t="shared" si="6"/>
        <v>iau</v>
      </c>
      <c r="N33" s="58" t="str">
        <f t="shared" si="7"/>
        <v>iau</v>
      </c>
      <c r="P33" s="122" t="str">
        <f t="shared" si="8"/>
        <v>iau(\d)</v>
      </c>
      <c r="Q33" s="125" t="s">
        <v>1228</v>
      </c>
      <c r="R33" s="125">
        <f t="shared" si="9"/>
        <v>2</v>
      </c>
      <c r="S33" s="122" t="str">
        <f t="shared" si="13"/>
        <v>i》a${1}u</v>
      </c>
      <c r="T33" s="56"/>
      <c r="U33" s="57" t="str">
        <f t="shared" si="10"/>
        <v xml:space="preserve">    - xform/》iau(\d)/i》a${1}u/</v>
      </c>
    </row>
    <row r="34" spans="1:21" ht="27.75" thickBot="1">
      <c r="A34" s="58">
        <f t="shared" si="5"/>
        <v>31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EXACT('【韻】韻母清單（台語音標）'!$C34, 韻母對照表[台羅拼音]), 0)), "")</f>
        <v>iap</v>
      </c>
      <c r="F34" s="58" t="s">
        <v>806</v>
      </c>
      <c r="G34" s="61" t="str" cm="1">
        <f t="array" ref="G34" xml:space="preserve"> IFERROR( INDEX(韻母對照表[白話字], MATCH(TRUE, EXACT('【韻】韻母清單（台語音標）'!$C22, 韻母對照表[台羅拼音]), 0)), "")</f>
        <v>uiⁿ</v>
      </c>
      <c r="H34" s="55" t="str" cm="1">
        <f t="array" ref="H34" xml:space="preserve"> IFERROR( INDEX(韻母對照表[十五音識別碼], MATCH(TRUE, EXACT('【韻】韻母清單（台語音標）'!$C22, 韻母對照表[台羅拼音]), 0)), "")</f>
        <v>褌舒</v>
      </c>
      <c r="I34" s="58" t="str" cm="1">
        <f t="array" ref="I34" xml:space="preserve"> IFERROR( INDEX(韻母對照表[方音符號], MATCH(TRUE, EXACT('【韻】韻母清單（台語音標）'!$C34, 韻母對照表[台羅拼音]), 0)), "")</f>
        <v>ㄧㄚㆴ</v>
      </c>
      <c r="J34" s="58"/>
      <c r="K34" s="55">
        <f t="shared" si="0"/>
        <v>3</v>
      </c>
      <c r="L34" s="74"/>
      <c r="M34" s="58" t="str">
        <f t="shared" si="6"/>
        <v>iap</v>
      </c>
      <c r="N34" s="58" t="str">
        <f t="shared" si="7"/>
        <v>iap</v>
      </c>
      <c r="P34" s="122" t="str">
        <f t="shared" si="8"/>
        <v>iap(\d)</v>
      </c>
      <c r="Q34" s="125" t="s">
        <v>1228</v>
      </c>
      <c r="R34" s="125">
        <f t="shared" si="9"/>
        <v>2</v>
      </c>
      <c r="S34" s="122" t="str">
        <f t="shared" si="13"/>
        <v>i》a${1}p</v>
      </c>
      <c r="T34" s="56"/>
      <c r="U34" s="57" t="str">
        <f t="shared" si="10"/>
        <v xml:space="preserve">    - xform/》iap(\d)/i》a${1}p/</v>
      </c>
    </row>
    <row r="35" spans="1:21" ht="27.75" thickBot="1">
      <c r="A35" s="58">
        <f t="shared" si="5"/>
        <v>32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EXACT('【韻】韻母清單（台語音標）'!$C35, 韻母對照表[台羅拼音]), 0)), "")</f>
        <v>iat</v>
      </c>
      <c r="F35" s="58" t="s">
        <v>807</v>
      </c>
      <c r="G35" s="61" t="str" cm="1">
        <f t="array" ref="G35" xml:space="preserve"> IFERROR( INDEX(韻母對照表[白話字], MATCH(TRUE, EXACT('【韻】韻母清單（台語音標）'!$C23, 韻母對照表[台羅拼音]), 0)), "")</f>
        <v>ioⁿ</v>
      </c>
      <c r="H35" s="55" t="str" cm="1">
        <f t="array" ref="H35" xml:space="preserve"> IFERROR( INDEX(韻母對照表[十五音識別碼], MATCH(TRUE, EXACT('【韻】韻母清單（台語音標）'!$C23, 韻母對照表[台羅拼音]), 0)), "")</f>
        <v>薑舒</v>
      </c>
      <c r="I35" s="58" t="str" cm="1">
        <f t="array" ref="I35" xml:space="preserve"> IFERROR( INDEX(韻母對照表[方音符號], MATCH(TRUE, EXACT('【韻】韻母清單（台語音標）'!$C35, 韻母對照表[台羅拼音]), 0)), "")</f>
        <v>ㄧㄚㆵ</v>
      </c>
      <c r="J35" s="58"/>
      <c r="K35" s="55">
        <f t="shared" si="0"/>
        <v>3</v>
      </c>
      <c r="L35" s="74"/>
      <c r="M35" s="58" t="str">
        <f t="shared" si="6"/>
        <v>iat</v>
      </c>
      <c r="N35" s="58" t="str">
        <f t="shared" si="7"/>
        <v>iat</v>
      </c>
      <c r="P35" s="122" t="str">
        <f t="shared" si="8"/>
        <v>iat(\d)</v>
      </c>
      <c r="Q35" s="125" t="s">
        <v>1228</v>
      </c>
      <c r="R35" s="125">
        <f t="shared" si="9"/>
        <v>2</v>
      </c>
      <c r="S35" s="122" t="str">
        <f t="shared" si="13"/>
        <v>i》a${1}t</v>
      </c>
      <c r="T35" s="56"/>
      <c r="U35" s="57" t="str">
        <f t="shared" si="10"/>
        <v xml:space="preserve">    - xform/》iat(\d)/i》a${1}t/</v>
      </c>
    </row>
    <row r="36" spans="1:21" ht="27.75" thickBot="1">
      <c r="A36" s="58">
        <f t="shared" si="5"/>
        <v>33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EXACT('【韻】韻母清單（台語音標）'!$C36, 韻母對照表[台羅拼音]), 0)), "")</f>
        <v>ing</v>
      </c>
      <c r="F36" s="58" t="s">
        <v>808</v>
      </c>
      <c r="G36" s="60" t="str" cm="1">
        <f t="array" ref="G36" xml:space="preserve"> IFERROR( INDEX(韻母對照表[白話字], MATCH(TRUE, EXACT('【韻】韻母清單（台語音標）'!$C24, 韻母對照表[台羅拼音]), 0)), "")</f>
        <v/>
      </c>
      <c r="H36" s="55" t="str" cm="1">
        <f t="array" ref="H36" xml:space="preserve"> IFERROR( INDEX(韻母對照表[十五音識別碼], MATCH(TRUE, EXACT('【韻】韻母清單（台語音標）'!$C24, 韻母對照表[台羅拼音]), 0)), "")</f>
        <v/>
      </c>
      <c r="I36" s="58" t="str" cm="1">
        <f t="array" ref="I36" xml:space="preserve"> IFERROR( INDEX(韻母對照表[方音符號], MATCH(TRUE, EXACT('【韻】韻母清單（台語音標）'!$C36, 韻母對照表[台羅拼音]), 0)), "")</f>
        <v>ㄧㄥ</v>
      </c>
      <c r="J36" s="58"/>
      <c r="K36" s="55">
        <f t="shared" ref="K36:K67" si="14" xml:space="preserve"> LEN(D36)</f>
        <v>3</v>
      </c>
      <c r="L36" s="74"/>
      <c r="M36" s="58" t="str">
        <f t="shared" si="6"/>
        <v>ing</v>
      </c>
      <c r="N36" s="58" t="str">
        <f t="shared" si="7"/>
        <v>ing</v>
      </c>
      <c r="P36" s="122" t="str">
        <f t="shared" si="8"/>
        <v>ing(\d)</v>
      </c>
      <c r="Q36" s="125" t="s">
        <v>1229</v>
      </c>
      <c r="R36" s="125">
        <f t="shared" si="9"/>
        <v>1</v>
      </c>
      <c r="S36" s="122" t="str">
        <f t="shared" si="13"/>
        <v>》i${1}ng</v>
      </c>
      <c r="T36" s="56"/>
      <c r="U36" s="57" t="str">
        <f t="shared" si="10"/>
        <v xml:space="preserve">    - xform/》ing(\d)/》i${1}ng/</v>
      </c>
    </row>
    <row r="37" spans="1:21" ht="27.75" thickBot="1">
      <c r="A37" s="58">
        <f t="shared" si="5"/>
        <v>34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EXACT('【韻】韻母清單（台語音標）'!$C37, 韻母對照表[台羅拼音]), 0)), "")</f>
        <v>iorh</v>
      </c>
      <c r="F37" s="58" t="s">
        <v>363</v>
      </c>
      <c r="G37" s="61" t="str" cm="1">
        <f t="array" ref="G37" xml:space="preserve"> IFERROR( INDEX(韻母對照表[白話字], MATCH(TRUE, EXACT('【韻】韻母清單（台語音標）'!$C25, 韻母對照表[台羅拼音]), 0)), "")</f>
        <v/>
      </c>
      <c r="H37" s="55" t="str" cm="1">
        <f t="array" ref="H37" xml:space="preserve"> IFERROR( INDEX(韻母對照表[十五音識別碼], MATCH(TRUE, EXACT('【韻】韻母清單（台語音標）'!$C25, 韻母對照表[台羅拼音]), 0)), "")</f>
        <v/>
      </c>
      <c r="I37" s="58" t="str" cm="1">
        <f t="array" ref="I37" xml:space="preserve"> IFERROR( INDEX(韻母對照表[方音符號], MATCH(TRUE, EXACT('【韻】韻母清單（台語音標）'!$C37, 韻母對照表[台羅拼音]), 0)), "")</f>
        <v>ㄧㄜㆷ</v>
      </c>
      <c r="J37" s="58"/>
      <c r="K37" s="55">
        <f t="shared" si="14"/>
        <v>3</v>
      </c>
      <c r="L37" s="74"/>
      <c r="M37" s="58" t="str">
        <f t="shared" si="6"/>
        <v>ioh</v>
      </c>
      <c r="N37" s="58" t="str">
        <f t="shared" si="7"/>
        <v>ioh</v>
      </c>
      <c r="P37" s="122" t="str">
        <f t="shared" si="8"/>
        <v>ioh(\d)</v>
      </c>
      <c r="Q37" s="125" t="s">
        <v>1229</v>
      </c>
      <c r="R37" s="125">
        <f t="shared" si="9"/>
        <v>1</v>
      </c>
      <c r="S37" s="122" t="str">
        <f t="shared" si="13"/>
        <v>》i${1}oh</v>
      </c>
      <c r="T37" s="56"/>
      <c r="U37" s="57" t="str">
        <f t="shared" si="10"/>
        <v xml:space="preserve">    - xform/》ioh(\d)/》i${1}oh/</v>
      </c>
    </row>
    <row r="38" spans="1:21" ht="27.75" thickBot="1">
      <c r="A38" s="58">
        <f t="shared" si="5"/>
        <v>35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EXACT('【韻】韻母清單（台語音標）'!$C38, 韻母對照表[台羅拼音]), 0)), "")</f>
        <v>iook</v>
      </c>
      <c r="F38" s="58" t="s">
        <v>167</v>
      </c>
      <c r="G38" s="61" cm="1">
        <f t="array" ref="G38" xml:space="preserve"> IFERROR( INDEX(韻母對照表[白話字], MATCH(TRUE, EXACT('【韻】韻母清單（台語音標）'!$C26, 韻母對照表[台羅拼音]), 0)), "")</f>
        <v>0</v>
      </c>
      <c r="H38" s="55" t="str" cm="1">
        <f t="array" ref="H38" xml:space="preserve"> IFERROR( INDEX(韻母對照表[十五音識別碼], MATCH(TRUE, EXACT('【韻】韻母清單（台語音標）'!$C26, 韻母對照表[台羅拼音]), 0)), "")</f>
        <v>嘉促</v>
      </c>
      <c r="I38" s="58" t="str" cm="1">
        <f t="array" ref="I38" xml:space="preserve"> IFERROR( INDEX(韻母對照表[方音符號], MATCH(TRUE, EXACT('【韻】韻母清單（台語音標）'!$C38, 韻母對照表[台羅拼音]), 0)), "")</f>
        <v>ㄧㆦㆻ</v>
      </c>
      <c r="J38" s="58"/>
      <c r="K38" s="55">
        <f t="shared" si="14"/>
        <v>3</v>
      </c>
      <c r="L38" s="74"/>
      <c r="M38" s="58" t="str">
        <f t="shared" si="6"/>
        <v>iok</v>
      </c>
      <c r="N38" s="58" t="str">
        <f t="shared" si="7"/>
        <v>iok</v>
      </c>
      <c r="P38" s="122" t="str">
        <f t="shared" si="8"/>
        <v>iok(\d)</v>
      </c>
      <c r="Q38" s="125" t="s">
        <v>1229</v>
      </c>
      <c r="R38" s="125">
        <f t="shared" si="9"/>
        <v>1</v>
      </c>
      <c r="S38" s="122" t="str">
        <f t="shared" si="13"/>
        <v>》i${1}ok</v>
      </c>
      <c r="T38" s="56"/>
      <c r="U38" s="57" t="str">
        <f t="shared" si="10"/>
        <v xml:space="preserve">    - xform/》iok(\d)/》i${1}ok/</v>
      </c>
    </row>
    <row r="39" spans="1:21" ht="27.75" thickBot="1">
      <c r="A39" s="58">
        <f t="shared" si="5"/>
        <v>36</v>
      </c>
      <c r="B39" s="75" t="s">
        <v>810</v>
      </c>
      <c r="C39" s="58" t="s">
        <v>811</v>
      </c>
      <c r="D39" s="58" t="s">
        <v>811</v>
      </c>
      <c r="E39" s="58" t="str" cm="1">
        <f t="array" ref="E39" xml:space="preserve"> IFERROR( INDEX(韻母對照表[注音二式], MATCH(TRUE, EXACT('【韻】韻母清單（台語音標）'!$C39, 韻母對照表[台羅拼音]), 0)), "")</f>
        <v/>
      </c>
      <c r="F39" s="58" t="s">
        <v>811</v>
      </c>
      <c r="G39" s="61" t="str" cm="1">
        <f t="array" ref="G39" xml:space="preserve"> IFERROR( INDEX(韻母對照表[白話字], MATCH(TRUE, EXACT('【韻】韻母清單（台語音標）'!$C27, 韻母對照表[台羅拼音]), 0)), "")</f>
        <v>ang</v>
      </c>
      <c r="H39" s="55" t="str" cm="1">
        <f t="array" ref="H39" xml:space="preserve"> IFERROR( INDEX(韻母對照表[十五音識別碼], MATCH(TRUE, EXACT('【韻】韻母清單（台語音標）'!$C27, 韻母對照表[台羅拼音]), 0)), "")</f>
        <v>江舒</v>
      </c>
      <c r="I39" s="137" t="s">
        <v>1325</v>
      </c>
      <c r="J39" s="58"/>
      <c r="K39" s="55">
        <f t="shared" si="14"/>
        <v>3</v>
      </c>
      <c r="L39" s="74"/>
      <c r="M39" s="58" t="str">
        <f t="shared" si="6"/>
        <v>iuh</v>
      </c>
      <c r="N39" s="58" t="str">
        <f t="shared" si="7"/>
        <v>iuh</v>
      </c>
      <c r="P39" s="122" t="str">
        <f t="shared" si="8"/>
        <v>iuh(\d)</v>
      </c>
      <c r="Q39" s="125" t="s">
        <v>1229</v>
      </c>
      <c r="R39" s="125">
        <f t="shared" si="9"/>
        <v>1</v>
      </c>
      <c r="S39" s="122" t="str">
        <f t="shared" si="13"/>
        <v>》i${1}uh</v>
      </c>
      <c r="T39" s="56"/>
      <c r="U39" s="57" t="str">
        <f t="shared" si="10"/>
        <v xml:space="preserve">    - xform/》iuh(\d)/》i${1}uh/</v>
      </c>
    </row>
    <row r="40" spans="1:21" ht="27.75" thickBot="1">
      <c r="A40" s="58">
        <f t="shared" si="5"/>
        <v>37</v>
      </c>
      <c r="B40" s="75" t="str">
        <f xml:space="preserve"> _xlfn.CONCAT("e", _xlfn.UNICHAR(771))</f>
        <v>ẽ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EXACT('【韻】韻母清單（台語音標）'!$C40, 韻母對照表[台羅拼音]), 0)), "")</f>
        <v>enn</v>
      </c>
      <c r="F40" s="58" t="s">
        <v>812</v>
      </c>
      <c r="G40" s="61" t="str" cm="1">
        <f t="array" ref="G40" xml:space="preserve"> IFERROR( INDEX(韻母對照表[白話字], MATCH(TRUE, EXACT('【韻】韻母清單（台語音標）'!$C28, 韻母對照表[台羅拼音]), 0)), "")</f>
        <v>auh</v>
      </c>
      <c r="H40" s="55" t="str" cm="1">
        <f t="array" ref="H40" xml:space="preserve"> IFERROR( INDEX(韻母對照表[十五音識別碼], MATCH(TRUE, EXACT('【韻】韻母清單（台語音標）'!$C28, 韻母對照表[台羅拼音]), 0)), "")</f>
        <v>交促</v>
      </c>
      <c r="I40" s="58" t="str" cm="1">
        <f t="array" ref="I40" xml:space="preserve"> IFERROR( INDEX(韻母對照表[方音符號], MATCH(TRUE, EXACT('【韻】韻母清單（台語音標）'!$C40, 韻母對照表[台羅拼音]), 0)), "")</f>
        <v>ㆥ</v>
      </c>
      <c r="J40" s="58"/>
      <c r="K40" s="55">
        <f t="shared" si="14"/>
        <v>3</v>
      </c>
      <c r="L40" s="74"/>
      <c r="M40" s="58" t="str">
        <f t="shared" si="6"/>
        <v>enn</v>
      </c>
      <c r="N40" s="58" t="str">
        <f t="shared" si="7"/>
        <v>enn</v>
      </c>
      <c r="P40" s="122" t="str">
        <f t="shared" si="8"/>
        <v>enn(\d)</v>
      </c>
      <c r="Q40" s="125" t="s">
        <v>1181</v>
      </c>
      <c r="R40" s="125">
        <f t="shared" si="9"/>
        <v>1</v>
      </c>
      <c r="S40" s="122" t="str">
        <f t="shared" si="13"/>
        <v>》e${1}nn</v>
      </c>
      <c r="T40" s="56"/>
      <c r="U40" s="57" t="str">
        <f t="shared" si="10"/>
        <v xml:space="preserve">    - xform/》enn(\d)/》e${1}nn/</v>
      </c>
    </row>
    <row r="41" spans="1:21" ht="27.75" thickBot="1">
      <c r="A41" s="58">
        <f t="shared" si="5"/>
        <v>38</v>
      </c>
      <c r="B41" s="75" t="s">
        <v>819</v>
      </c>
      <c r="C41" s="58" t="s">
        <v>820</v>
      </c>
      <c r="D41" s="58" t="s">
        <v>820</v>
      </c>
      <c r="E41" s="58" t="str" cm="1">
        <f t="array" ref="E41" xml:space="preserve"> IFERROR( INDEX(韻母對照表[注音二式], MATCH(TRUE, EXACT('【韻】韻母清單（台語音標）'!$C41, 韻母對照表[台羅拼音]), 0)), "")</f>
        <v/>
      </c>
      <c r="F41" s="58" t="s">
        <v>820</v>
      </c>
      <c r="G41" s="61" t="str" cm="1">
        <f t="array" ref="G41" xml:space="preserve"> IFERROR( INDEX(韻母對照表[白話字], MATCH(TRUE, EXACT('【韻】韻母清單（台語音標）'!$C32, 韻母對照表[台羅拼音]), 0)), "")</f>
        <v>ian</v>
      </c>
      <c r="H41" s="55" t="str" cm="1">
        <f t="array" ref="H41" xml:space="preserve"> IFERROR( INDEX(韻母對照表[十五音識別碼], MATCH(TRUE, EXACT('【韻】韻母清單（台語音標）'!$C32, 韻母對照表[台羅拼音]), 0)), "")</f>
        <v>堅舒</v>
      </c>
      <c r="I41" s="137" t="s">
        <v>1327</v>
      </c>
      <c r="J41" s="58"/>
      <c r="K41" s="55">
        <f t="shared" si="14"/>
        <v>3</v>
      </c>
      <c r="L41" s="74"/>
      <c r="M41" s="58" t="str">
        <f t="shared" si="6"/>
        <v>ngh</v>
      </c>
      <c r="N41" s="58" t="str">
        <f t="shared" si="7"/>
        <v>ngh</v>
      </c>
      <c r="P41" s="122" t="str">
        <f t="shared" si="8"/>
        <v>ngh(\d)</v>
      </c>
      <c r="Q41" s="125" t="s">
        <v>1305</v>
      </c>
      <c r="R41" s="125">
        <f t="shared" si="9"/>
        <v>1</v>
      </c>
      <c r="S41" s="122" t="str">
        <f t="shared" si="13"/>
        <v>》n${1}gh</v>
      </c>
      <c r="T41" s="56"/>
      <c r="U41" s="57" t="str">
        <f t="shared" si="10"/>
        <v xml:space="preserve">    - xform/》ngh(\d)/》n${1}gh/</v>
      </c>
    </row>
    <row r="42" spans="1:21" ht="27.75" thickBot="1">
      <c r="A42" s="58">
        <f t="shared" si="5"/>
        <v>39</v>
      </c>
      <c r="B42" s="58" t="s">
        <v>910</v>
      </c>
      <c r="C42" s="58" t="s">
        <v>425</v>
      </c>
      <c r="D42" s="58" t="s">
        <v>425</v>
      </c>
      <c r="E42" s="58" t="str" cm="1">
        <f t="array" ref="E42" xml:space="preserve"> IFERROR( INDEX(韻母對照表[注音二式], MATCH(TRUE, EXACT('【韻】韻母清單（台語音標）'!$C42, 韻母對照表[台羅拼音]), 0)), "")</f>
        <v>oonn</v>
      </c>
      <c r="F42" s="58" t="s">
        <v>427</v>
      </c>
      <c r="G42" s="60" t="str" cm="1">
        <f t="array" ref="G42" xml:space="preserve"> IFERROR( INDEX(韻母對照表[白話字], MATCH(TRUE, EXACT('【韻】韻母清單（台語音標）'!$C36, 韻母對照表[台羅拼音]), 0)), "")</f>
        <v>eng</v>
      </c>
      <c r="H42" s="55" t="str" cm="1">
        <f t="array" ref="H42" xml:space="preserve"> IFERROR( INDEX(韻母對照表[十五音識別碼], MATCH(TRUE, EXACT('【韻】韻母清單（台語音標）'!$C36, 韻母對照表[台羅拼音]), 0)), "")</f>
        <v>經舒</v>
      </c>
      <c r="I42" s="58" t="str" cm="1">
        <f t="array" ref="I42" xml:space="preserve"> IFERROR( INDEX(韻母對照表[方音符號], MATCH(TRUE, EXACT('【韻】韻母清單（台語音標）'!$C42, 韻母對照表[台羅拼音]), 0)), "")</f>
        <v>ㆧ</v>
      </c>
      <c r="J42" s="58"/>
      <c r="K42" s="55">
        <f t="shared" si="14"/>
        <v>3</v>
      </c>
      <c r="L42" s="74"/>
      <c r="M42" s="58" t="str">
        <f t="shared" si="6"/>
        <v>onn</v>
      </c>
      <c r="N42" s="58" t="str">
        <f t="shared" si="7"/>
        <v>onn</v>
      </c>
      <c r="P42" s="122" t="str">
        <f t="shared" si="8"/>
        <v>onn(\d)</v>
      </c>
      <c r="Q42" s="125" t="s">
        <v>1216</v>
      </c>
      <c r="R42" s="125">
        <f t="shared" si="9"/>
        <v>1</v>
      </c>
      <c r="S42" s="122" t="str">
        <f t="shared" si="13"/>
        <v>》o${1}nn</v>
      </c>
      <c r="T42" s="56"/>
      <c r="U42" s="57" t="str">
        <f t="shared" si="10"/>
        <v xml:space="preserve">    - xform/》onn(\d)/》o${1}nn/</v>
      </c>
    </row>
    <row r="43" spans="1:21" ht="27.75" thickBot="1">
      <c r="A43" s="58">
        <f t="shared" si="5"/>
        <v>40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EXACT('【韻】韻母清單（台語音標）'!$C43, 韻母對照表[台羅拼音]), 0)), "")</f>
        <v>ong</v>
      </c>
      <c r="F43" s="58" t="s">
        <v>823</v>
      </c>
      <c r="G43" s="61" t="str" cm="1">
        <f t="array" ref="G43" xml:space="preserve"> IFERROR( INDEX(韻母對照表[白話字], MATCH(TRUE, EXACT('【韻】韻母清單（台語音標）'!$C39, 韻母對照表[台羅拼音]), 0)), "")</f>
        <v/>
      </c>
      <c r="H43" s="55" t="str" cm="1">
        <f t="array" ref="H43" xml:space="preserve"> IFERROR( INDEX(韻母對照表[十五音識別碼], MATCH(TRUE, EXACT('【韻】韻母清單（台語音標）'!$C39, 韻母對照表[台羅拼音]), 0)), "")</f>
        <v/>
      </c>
      <c r="I43" s="58" t="str" cm="1">
        <f t="array" ref="I43" xml:space="preserve"> IFERROR( INDEX(韻母對照表[方音符號], MATCH(TRUE, EXACT('【韻】韻母清單（台語音標）'!$C43, 韻母對照表[台羅拼音]), 0)), "")</f>
        <v>ㆲ</v>
      </c>
      <c r="J43" s="58"/>
      <c r="K43" s="55">
        <f t="shared" si="14"/>
        <v>3</v>
      </c>
      <c r="L43" s="74"/>
      <c r="M43" s="58" t="str">
        <f t="shared" si="6"/>
        <v>ong</v>
      </c>
      <c r="N43" s="58" t="str">
        <f t="shared" si="7"/>
        <v>ong</v>
      </c>
      <c r="P43" s="122" t="str">
        <f t="shared" si="8"/>
        <v>ong(\d)</v>
      </c>
      <c r="Q43" s="125" t="s">
        <v>1216</v>
      </c>
      <c r="R43" s="125">
        <f t="shared" si="9"/>
        <v>1</v>
      </c>
      <c r="S43" s="122" t="str">
        <f t="shared" si="13"/>
        <v>》o${1}ng</v>
      </c>
      <c r="T43" s="56"/>
      <c r="U43" s="57" t="str">
        <f t="shared" si="10"/>
        <v xml:space="preserve">    - xform/》ong(\d)/》o${1}ng/</v>
      </c>
    </row>
    <row r="44" spans="1:21" ht="27.75" thickBot="1">
      <c r="A44" s="58">
        <f t="shared" si="5"/>
        <v>41</v>
      </c>
      <c r="B44" s="75" t="s">
        <v>824</v>
      </c>
      <c r="C44" s="58" t="s">
        <v>825</v>
      </c>
      <c r="D44" s="58" t="s">
        <v>825</v>
      </c>
      <c r="E44" s="58" t="str" cm="1">
        <f t="array" ref="E44" xml:space="preserve"> IFERROR( INDEX(韻母對照表[注音二式], MATCH(TRUE, EXACT('【韻】韻母清單（台語音標）'!$C44, 韻母對照表[台羅拼音]), 0)), "")</f>
        <v/>
      </c>
      <c r="F44" s="58" t="s">
        <v>825</v>
      </c>
      <c r="G44" s="60" t="str" cm="1">
        <f t="array" ref="G44" xml:space="preserve"> IFERROR( INDEX(韻母對照表[白話字], MATCH(TRUE, EXACT('【韻】韻母清單（台語音標）'!$C40, 韻母對照表[台羅拼音]), 0)), "")</f>
        <v>eⁿ</v>
      </c>
      <c r="H44" s="55" t="str" cm="1">
        <f t="array" ref="H44" xml:space="preserve"> IFERROR( INDEX(韻母對照表[十五音識別碼], MATCH(TRUE, EXACT('【韻】韻母清單（台語音標）'!$C40, 韻母對照表[台羅拼音]), 0)), "")</f>
        <v>更舒</v>
      </c>
      <c r="I44" s="137" t="s">
        <v>1329</v>
      </c>
      <c r="J44" s="58"/>
      <c r="K44" s="55">
        <f t="shared" si="14"/>
        <v>3</v>
      </c>
      <c r="L44" s="74"/>
      <c r="M44" s="58" t="str">
        <f t="shared" si="6"/>
        <v>ooh</v>
      </c>
      <c r="N44" s="58" t="str">
        <f t="shared" si="7"/>
        <v>ooh</v>
      </c>
      <c r="P44" s="122" t="str">
        <f t="shared" si="8"/>
        <v>ooh(\d)</v>
      </c>
      <c r="Q44" s="125" t="s">
        <v>1216</v>
      </c>
      <c r="R44" s="125">
        <f t="shared" si="9"/>
        <v>1</v>
      </c>
      <c r="S44" s="122" t="str">
        <f t="shared" si="13"/>
        <v>》o${1}oh</v>
      </c>
      <c r="T44" s="56"/>
      <c r="U44" s="57" t="str">
        <f t="shared" si="10"/>
        <v xml:space="preserve">    - xform/》ooh(\d)/》o${1}oh/</v>
      </c>
    </row>
    <row r="45" spans="1:21" ht="27.75" thickBot="1">
      <c r="A45" s="58">
        <f t="shared" si="5"/>
        <v>42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EXACT('【韻】韻母清單（台語音標）'!$C45, 韻母對照表[台羅拼音]), 0)), "")</f>
        <v>uah</v>
      </c>
      <c r="F45" s="58" t="s">
        <v>827</v>
      </c>
      <c r="G45" s="60" t="str" cm="1">
        <f t="array" ref="G45" xml:space="preserve"> IFERROR( INDEX(韻母對照表[白話字], MATCH(TRUE, EXACT('【韻】韻母清單（台語音標）'!$C41, 韻母對照表[台羅拼音]), 0)), "")</f>
        <v/>
      </c>
      <c r="H45" s="55" t="str" cm="1">
        <f t="array" ref="H45" xml:space="preserve"> IFERROR( INDEX(韻母對照表[十五音識別碼], MATCH(TRUE, EXACT('【韻】韻母清單（台語音標）'!$C41, 韻母對照表[台羅拼音]), 0)), "")</f>
        <v/>
      </c>
      <c r="I45" s="58" t="str" cm="1">
        <f t="array" ref="I45" xml:space="preserve"> IFERROR( INDEX(韻母對照表[方音符號], MATCH(TRUE, EXACT('【韻】韻母清單（台語音標）'!$C45, 韻母對照表[台羅拼音]), 0)), "")</f>
        <v>ㄨㄚㆷ</v>
      </c>
      <c r="J45" s="58"/>
      <c r="K45" s="55">
        <f t="shared" si="14"/>
        <v>3</v>
      </c>
      <c r="L45" s="74"/>
      <c r="M45" s="58" t="str">
        <f t="shared" si="6"/>
        <v>uah</v>
      </c>
      <c r="N45" s="58" t="str">
        <f t="shared" si="7"/>
        <v>uah</v>
      </c>
      <c r="P45" s="122" t="str">
        <f t="shared" si="8"/>
        <v>uah(\d)</v>
      </c>
      <c r="Q45" s="125" t="s">
        <v>1228</v>
      </c>
      <c r="R45" s="125">
        <f t="shared" si="9"/>
        <v>2</v>
      </c>
      <c r="S45" s="122" t="str">
        <f t="shared" si="13"/>
        <v>u》a${1}h</v>
      </c>
      <c r="T45" s="56"/>
      <c r="U45" s="57" t="str">
        <f t="shared" si="10"/>
        <v xml:space="preserve">    - xform/》uah(\d)/u》a${1}h/</v>
      </c>
    </row>
    <row r="46" spans="1:21" ht="27.75" thickBot="1">
      <c r="A46" s="58">
        <f t="shared" si="5"/>
        <v>43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EXACT('【韻】韻母清單（台語音標）'!$C46, 韻母對照表[台羅拼音]), 0)), "")</f>
        <v>uai</v>
      </c>
      <c r="F46" s="58" t="s">
        <v>94</v>
      </c>
      <c r="G46" s="60" t="str" cm="1">
        <f t="array" ref="G46" xml:space="preserve"> IFERROR( INDEX(韻母對照表[白話字], MATCH(TRUE, EXACT('【韻】韻母清單（台語音標）'!$C42, 韻母對照表[台羅拼音]), 0)), "")</f>
        <v>oⁿ</v>
      </c>
      <c r="H46" s="55" t="str" cm="1">
        <f t="array" ref="H46" xml:space="preserve"> IFERROR( INDEX(韻母對照表[十五音識別碼], MATCH(TRUE, EXACT('【韻】韻母清單（台語音標）'!$C42, 韻母對照表[台羅拼音]), 0)), "")</f>
        <v>姑舒</v>
      </c>
      <c r="I46" s="58" t="str" cm="1">
        <f t="array" ref="I46" xml:space="preserve"> IFERROR( INDEX(韻母對照表[方音符號], MATCH(TRUE, EXACT('【韻】韻母清單（台語音標）'!$C46, 韻母對照表[台羅拼音]), 0)), "")</f>
        <v>ㄨㄞ</v>
      </c>
      <c r="J46" s="58"/>
      <c r="K46" s="55">
        <f t="shared" si="14"/>
        <v>3</v>
      </c>
      <c r="L46" s="74"/>
      <c r="M46" s="58" t="str">
        <f t="shared" si="6"/>
        <v>uai</v>
      </c>
      <c r="N46" s="58" t="str">
        <f t="shared" si="7"/>
        <v>uai</v>
      </c>
      <c r="P46" s="122" t="str">
        <f t="shared" si="8"/>
        <v>uai(\d)</v>
      </c>
      <c r="Q46" s="125" t="s">
        <v>1228</v>
      </c>
      <c r="R46" s="125">
        <f t="shared" si="9"/>
        <v>2</v>
      </c>
      <c r="S46" s="122" t="str">
        <f t="shared" si="13"/>
        <v>u》a${1}i</v>
      </c>
      <c r="T46" s="56"/>
      <c r="U46" s="57" t="str">
        <f t="shared" si="10"/>
        <v xml:space="preserve">    - xform/》uai(\d)/u》a${1}i/</v>
      </c>
    </row>
    <row r="47" spans="1:21" ht="27.75" thickBot="1">
      <c r="A47" s="58">
        <f t="shared" si="5"/>
        <v>44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EXACT('【韻】韻母清單（台語音標）'!$C47, 韻母對照表[台羅拼音]), 0)), "")</f>
        <v>uan</v>
      </c>
      <c r="F47" s="58" t="s">
        <v>829</v>
      </c>
      <c r="G47" s="60" t="str" cm="1">
        <f t="array" ref="G47" xml:space="preserve"> IFERROR( INDEX(韻母對照表[白話字], MATCH(TRUE, EXACT('【韻】韻母清單（台語音標）'!$C44, 韻母對照表[台羅拼音]), 0)), "")</f>
        <v/>
      </c>
      <c r="H47" s="55" t="str" cm="1">
        <f t="array" ref="H47" xml:space="preserve"> IFERROR( INDEX(韻母對照表[十五音識別碼], MATCH(TRUE, EXACT('【韻】韻母清單（台語音標）'!$C44, 韻母對照表[台羅拼音]), 0)), "")</f>
        <v/>
      </c>
      <c r="I47" s="58" t="str" cm="1">
        <f t="array" ref="I47" xml:space="preserve"> IFERROR( INDEX(韻母對照表[方音符號], MATCH(TRUE, EXACT('【韻】韻母清單（台語音標）'!$C47, 韻母對照表[台羅拼音]), 0)), "")</f>
        <v>ㄨㄢ</v>
      </c>
      <c r="J47" s="58"/>
      <c r="K47" s="55">
        <f t="shared" si="14"/>
        <v>3</v>
      </c>
      <c r="L47" s="74"/>
      <c r="M47" s="58" t="str">
        <f t="shared" si="6"/>
        <v>uan</v>
      </c>
      <c r="N47" s="58" t="str">
        <f t="shared" si="7"/>
        <v>uan</v>
      </c>
      <c r="P47" s="122" t="str">
        <f t="shared" si="8"/>
        <v>uan(\d)</v>
      </c>
      <c r="Q47" s="125" t="s">
        <v>1228</v>
      </c>
      <c r="R47" s="125">
        <f t="shared" si="9"/>
        <v>2</v>
      </c>
      <c r="S47" s="122" t="str">
        <f t="shared" si="13"/>
        <v>u》a${1}n</v>
      </c>
      <c r="T47" s="56"/>
      <c r="U47" s="57" t="str">
        <f t="shared" si="10"/>
        <v xml:space="preserve">    - xform/》uan(\d)/u》a${1}n/</v>
      </c>
    </row>
    <row r="48" spans="1:21" ht="27.75" thickBot="1">
      <c r="A48" s="58">
        <f t="shared" si="5"/>
        <v>45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EXACT('【韻】韻母清單（台語音標）'!$C48, 韻母對照表[台羅拼音]), 0)), "")</f>
        <v>uat</v>
      </c>
      <c r="F48" s="58" t="s">
        <v>830</v>
      </c>
      <c r="G48" s="60" t="str" cm="1">
        <f t="array" ref="G48" xml:space="preserve"> IFERROR( INDEX(韻母對照表[白話字], MATCH(TRUE, EXACT('【韻】韻母清單（台語音標）'!$C45, 韻母對照表[台羅拼音]), 0)), "")</f>
        <v>oah</v>
      </c>
      <c r="H48" s="55" t="str" cm="1">
        <f t="array" ref="H48" xml:space="preserve"> IFERROR( INDEX(韻母對照表[十五音識別碼], MATCH(TRUE, EXACT('【韻】韻母清單（台語音標）'!$C45, 韻母對照表[台羅拼音]), 0)), "")</f>
        <v>瓜促</v>
      </c>
      <c r="I48" s="58" t="str" cm="1">
        <f t="array" ref="I48" xml:space="preserve"> IFERROR( INDEX(韻母對照表[方音符號], MATCH(TRUE, EXACT('【韻】韻母清單（台語音標）'!$C48, 韻母對照表[台羅拼音]), 0)), "")</f>
        <v>ㄨㄚㆵ</v>
      </c>
      <c r="J48" s="58"/>
      <c r="K48" s="55">
        <f t="shared" si="14"/>
        <v>3</v>
      </c>
      <c r="L48" s="74"/>
      <c r="M48" s="58" t="str">
        <f t="shared" si="6"/>
        <v>uat</v>
      </c>
      <c r="N48" s="58" t="str">
        <f t="shared" si="7"/>
        <v>uat</v>
      </c>
      <c r="P48" s="122" t="str">
        <f t="shared" si="8"/>
        <v>uat(\d)</v>
      </c>
      <c r="Q48" s="125" t="s">
        <v>1228</v>
      </c>
      <c r="R48" s="125">
        <f t="shared" si="9"/>
        <v>2</v>
      </c>
      <c r="S48" s="122" t="str">
        <f t="shared" si="13"/>
        <v>u》a${1}t</v>
      </c>
      <c r="T48" s="56"/>
      <c r="U48" s="57" t="str">
        <f t="shared" si="10"/>
        <v xml:space="preserve">    - xform/》uat(\d)/u》a${1}t/</v>
      </c>
    </row>
    <row r="49" spans="1:21" ht="27.75" thickBot="1">
      <c r="A49" s="58">
        <f t="shared" si="5"/>
        <v>46</v>
      </c>
      <c r="B49" s="58" t="s">
        <v>831</v>
      </c>
      <c r="C49" s="58" t="s">
        <v>290</v>
      </c>
      <c r="D49" s="58" t="s">
        <v>290</v>
      </c>
      <c r="E49" s="58" t="str" cm="1">
        <f t="array" ref="E49" xml:space="preserve"> IFERROR( INDEX(韻母對照表[注音二式], MATCH(TRUE, EXACT('【韻】韻母清單（台語音標）'!$C49, 韻母對照表[台羅拼音]), 0)), "")</f>
        <v>ueh</v>
      </c>
      <c r="F49" s="58" t="s">
        <v>290</v>
      </c>
      <c r="G49" s="60" t="str" cm="1">
        <f t="array" ref="G49" xml:space="preserve"> IFERROR( INDEX(韻母對照表[白話字], MATCH(TRUE, EXACT('【韻】韻母清單（台語音標）'!$C46, 韻母對照表[台羅拼音]), 0)), "")</f>
        <v>oai</v>
      </c>
      <c r="H49" s="55" t="str" cm="1">
        <f t="array" ref="H49" xml:space="preserve"> IFERROR( INDEX(韻母對照表[十五音識別碼], MATCH(TRUE, EXACT('【韻】韻母清單（台語音標）'!$C46, 韻母對照表[台羅拼音]), 0)), "")</f>
        <v>乖舒</v>
      </c>
      <c r="I49" s="58" t="str" cm="1">
        <f t="array" ref="I49" xml:space="preserve"> IFERROR( INDEX(韻母對照表[方音符號], MATCH(TRUE, EXACT('【韻】韻母清單（台語音標）'!$C49, 韻母對照表[台羅拼音]), 0)), "")</f>
        <v>ㄨㆤㆷ</v>
      </c>
      <c r="J49" s="58"/>
      <c r="K49" s="55">
        <f t="shared" si="14"/>
        <v>3</v>
      </c>
      <c r="L49" s="74"/>
      <c r="M49" s="58" t="str">
        <f t="shared" si="6"/>
        <v>ueh</v>
      </c>
      <c r="N49" s="58" t="str">
        <f t="shared" si="7"/>
        <v>ueh</v>
      </c>
      <c r="P49" s="122" t="str">
        <f t="shared" si="8"/>
        <v>ueh(\d)</v>
      </c>
      <c r="Q49" s="125" t="s">
        <v>1181</v>
      </c>
      <c r="R49" s="125">
        <f t="shared" si="9"/>
        <v>2</v>
      </c>
      <c r="S49" s="122" t="str">
        <f t="shared" si="13"/>
        <v>u》e${1}h</v>
      </c>
      <c r="T49" s="56"/>
      <c r="U49" s="57" t="str">
        <f t="shared" si="10"/>
        <v xml:space="preserve">    - xform/》ueh(\d)/u》e${1}h/</v>
      </c>
    </row>
    <row r="50" spans="1:21" ht="27.75" thickBot="1">
      <c r="A50" s="58">
        <f t="shared" si="5"/>
        <v>47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EXACT('【韻】韻母清單（台語音標）'!$C50, 韻母對照表[台羅拼音]), 0)), "")</f>
        <v>ann</v>
      </c>
      <c r="F50" s="58" t="s">
        <v>299</v>
      </c>
      <c r="G50" s="61" t="str" cm="1">
        <f t="array" ref="G50" xml:space="preserve"> IFERROR( INDEX(韻母對照表[白話字], MATCH(TRUE, EXACT('【韻】韻母清單（台語音標）'!$C69, 韻母對照表[台羅拼音]), 0)), "")</f>
        <v>ek</v>
      </c>
      <c r="H50" s="55" t="str" cm="1">
        <f t="array" ref="H50" xml:space="preserve"> IFERROR( INDEX(韻母對照表[十五音識別碼], MATCH(TRUE, EXACT('【韻】韻母清單（台語音標）'!$C69, 韻母對照表[台羅拼音]), 0)), "")</f>
        <v>經促</v>
      </c>
      <c r="I50" s="58" t="str" cm="1">
        <f t="array" ref="I50" xml:space="preserve"> IFERROR( INDEX(韻母對照表[方音符號], MATCH(TRUE, EXACT('【韻】韻母清單（台語音標）'!$C50, 韻母對照表[台羅拼音]), 0)), "")</f>
        <v>ㆩ</v>
      </c>
      <c r="J50" s="58"/>
      <c r="K50" s="55">
        <f t="shared" si="14"/>
        <v>3</v>
      </c>
      <c r="L50" s="74"/>
      <c r="M50" s="58" t="str">
        <f t="shared" si="6"/>
        <v>ann</v>
      </c>
      <c r="N50" s="58" t="str">
        <f t="shared" si="7"/>
        <v>ann</v>
      </c>
      <c r="P50" s="122" t="str">
        <f t="shared" si="8"/>
        <v>ann(\d)</v>
      </c>
      <c r="Q50" s="125" t="s">
        <v>1228</v>
      </c>
      <c r="R50" s="125">
        <f t="shared" si="9"/>
        <v>1</v>
      </c>
      <c r="S50" s="122" t="str">
        <f t="shared" si="13"/>
        <v>》a${1}nn</v>
      </c>
      <c r="T50" s="56"/>
      <c r="U50" s="57" t="str">
        <f t="shared" si="10"/>
        <v xml:space="preserve">    - xform/》ann(\d)/》a${1}nn/</v>
      </c>
    </row>
    <row r="51" spans="1:21" ht="27.75" thickBot="1">
      <c r="A51" s="58">
        <f t="shared" si="5"/>
        <v>48</v>
      </c>
      <c r="B51" s="58" t="s">
        <v>851</v>
      </c>
      <c r="C51" s="58" t="s">
        <v>370</v>
      </c>
      <c r="D51" s="58" t="s">
        <v>370</v>
      </c>
      <c r="E51" s="58" t="str" cm="1">
        <f t="array" ref="E51" xml:space="preserve"> IFERROR( INDEX(韻母對照表[注音二式], MATCH(TRUE, EXACT('【韻】韻母清單（台語音標）'!$C51, 韻母對照表[台羅拼音]), 0)), "")</f>
        <v>inn</v>
      </c>
      <c r="F51" s="58" t="s">
        <v>372</v>
      </c>
      <c r="G51" s="61" t="str" cm="1">
        <f t="array" ref="G51" xml:space="preserve"> IFERROR( INDEX(韻母對照表[白話字], MATCH(TRUE, EXACT('【韻】韻母清單（台語音標）'!$C71, 韻母對照表[台羅拼音]), 0)), "")</f>
        <v>in</v>
      </c>
      <c r="H51" s="55" t="str" cm="1">
        <f t="array" ref="H51" xml:space="preserve"> IFERROR( INDEX(韻母對照表[十五音識別碼], MATCH(TRUE, EXACT('【韻】韻母清單（台語音標）'!$C71, 韻母對照表[台羅拼音]), 0)), "")</f>
        <v>巾舒</v>
      </c>
      <c r="I51" s="58" t="str" cm="1">
        <f t="array" ref="I51" xml:space="preserve"> IFERROR( INDEX(韻母對照表[方音符號], MATCH(TRUE, EXACT('【韻】韻母清單（台語音標）'!$C51, 韻母對照表[台羅拼音]), 0)), "")</f>
        <v>ㆪ</v>
      </c>
      <c r="J51" s="58"/>
      <c r="K51" s="55">
        <f t="shared" si="14"/>
        <v>3</v>
      </c>
      <c r="L51" s="74"/>
      <c r="M51" s="58" t="str">
        <f t="shared" si="6"/>
        <v>inn</v>
      </c>
      <c r="N51" s="58" t="str">
        <f t="shared" si="7"/>
        <v>inn</v>
      </c>
      <c r="P51" s="122" t="str">
        <f t="shared" si="8"/>
        <v>inn(\d)</v>
      </c>
      <c r="Q51" s="125" t="s">
        <v>1229</v>
      </c>
      <c r="R51" s="125">
        <f t="shared" si="9"/>
        <v>1</v>
      </c>
      <c r="S51" s="122" t="str">
        <f t="shared" si="13"/>
        <v>》i${1}nn</v>
      </c>
      <c r="T51" s="56"/>
      <c r="U51" s="57" t="str">
        <f t="shared" si="10"/>
        <v xml:space="preserve">    - xform/》inn(\d)/》i${1}nn/</v>
      </c>
    </row>
    <row r="52" spans="1:21" ht="27.75" thickBot="1">
      <c r="A52" s="58">
        <f t="shared" si="5"/>
        <v>49</v>
      </c>
      <c r="B52" s="75" t="s">
        <v>864</v>
      </c>
      <c r="C52" s="58" t="s">
        <v>865</v>
      </c>
      <c r="D52" s="58" t="s">
        <v>865</v>
      </c>
      <c r="E52" s="58" t="str" cm="1">
        <f t="array" ref="E52" xml:space="preserve"> IFERROR( INDEX(韻母對照表[注音二式], MATCH(TRUE, EXACT('【韻】韻母清單（台語音標）'!$C52, 韻母對照表[台羅拼音]), 0)), "")</f>
        <v/>
      </c>
      <c r="F52" s="58" t="str" cm="1">
        <f t="array" ref="F52" xml:space="preserve"> IFERROR( INDEX(韻母對照表[閩拼方案], MATCH(TRUE, EXACT('【韻】韻母清單（台語音標）'!$B94, 韻母對照表[國際音標]), 0)), "")</f>
        <v>a</v>
      </c>
      <c r="G52" s="62" t="str" cm="1">
        <f t="array" ref="G52" xml:space="preserve"> IFERROR( INDEX(韻母對照表[白話字], MATCH(TRUE, EXACT('【韻】韻母清單（台語音標）'!$C94, 韻母對照表[台羅拼音]), 0)), "")</f>
        <v>a</v>
      </c>
      <c r="H52" s="55" t="str" cm="1">
        <f t="array" ref="H52" xml:space="preserve"> IFERROR( INDEX(韻母對照表[十五音識別碼], MATCH(TRUE, EXACT('【韻】韻母清單（台語音標）'!$C94, 韻母對照表[台羅拼音]), 0)), "")</f>
        <v>膠舒</v>
      </c>
      <c r="I52" s="58" t="str" cm="1">
        <f t="array" ref="I52" xml:space="preserve"> IFERROR( INDEX(韻母對照表[方音符號], MATCH(TRUE, EXACT('【韻】韻母清單（台語音標）'!$C52, 韻母對照表[台羅拼音]), 0)), "")</f>
        <v/>
      </c>
      <c r="J52" s="58"/>
      <c r="K52" s="55">
        <f t="shared" si="14"/>
        <v>3</v>
      </c>
      <c r="L52" s="74"/>
      <c r="M52" s="58" t="str">
        <f t="shared" si="6"/>
        <v>uae</v>
      </c>
      <c r="N52" s="58" t="str">
        <f t="shared" si="7"/>
        <v>uae</v>
      </c>
      <c r="P52" s="122" t="str">
        <f t="shared" si="8"/>
        <v>uae(\d)</v>
      </c>
      <c r="Q52" s="125" t="s">
        <v>1228</v>
      </c>
      <c r="R52" s="125">
        <f t="shared" si="9"/>
        <v>2</v>
      </c>
      <c r="S52" s="122" t="str">
        <f t="shared" si="13"/>
        <v>u》a${1}e</v>
      </c>
      <c r="T52" s="56"/>
      <c r="U52" s="57" t="str">
        <f t="shared" si="10"/>
        <v xml:space="preserve">    - xform/》uae(\d)/u》a${1}e/</v>
      </c>
    </row>
    <row r="53" spans="1:21" ht="27.75" thickBot="1">
      <c r="A53" s="58">
        <f t="shared" si="5"/>
        <v>50</v>
      </c>
      <c r="B53" s="75" t="s">
        <v>869</v>
      </c>
      <c r="C53" s="58" t="s">
        <v>870</v>
      </c>
      <c r="D53" s="58" t="s">
        <v>870</v>
      </c>
      <c r="E53" s="58" t="str" cm="1">
        <f t="array" ref="E53" xml:space="preserve"> IFERROR( INDEX(韻母對照表[注音二式], MATCH(TRUE, EXACT('【韻】韻母清單（台語音標）'!$C53, 韻母對照表[台羅拼音]), 0)), "")</f>
        <v/>
      </c>
      <c r="F53" s="58" t="str" cm="1">
        <f t="array" ref="F53" xml:space="preserve"> IFERROR( INDEX(韻母對照表[閩拼方案], MATCH(TRUE, EXACT('【韻】韻母清單（台語音標）'!$B97, 韻母對照表[國際音標]), 0)), "")</f>
        <v>m</v>
      </c>
      <c r="G53" s="62" t="str" cm="1">
        <f t="array" ref="G53" xml:space="preserve"> IFERROR( INDEX(韻母對照表[白話字], MATCH(TRUE, EXACT('【韻】韻母清單（台語音標）'!$C97, 韻母對照表[台羅拼音]), 0)), "")</f>
        <v>m</v>
      </c>
      <c r="H53" s="55" t="str" cm="1">
        <f t="array" ref="H53" xml:space="preserve"> IFERROR( INDEX(韻母對照表[十五音識別碼], MATCH(TRUE, EXACT('【韻】韻母清單（台語音標）'!$C97, 韻母對照表[台羅拼音]), 0)), "")</f>
        <v>姆舒</v>
      </c>
      <c r="I53" s="137" t="s">
        <v>1330</v>
      </c>
      <c r="J53" s="58"/>
      <c r="K53" s="55">
        <f t="shared" si="14"/>
        <v>3</v>
      </c>
      <c r="L53" s="74"/>
      <c r="M53" s="58" t="str">
        <f t="shared" si="6"/>
        <v>ioo</v>
      </c>
      <c r="N53" s="58" t="str">
        <f t="shared" si="7"/>
        <v>ioo</v>
      </c>
      <c r="P53" s="122" t="str">
        <f t="shared" si="8"/>
        <v>ioo(\d)</v>
      </c>
      <c r="Q53" s="125" t="s">
        <v>1229</v>
      </c>
      <c r="R53" s="125">
        <f t="shared" si="9"/>
        <v>1</v>
      </c>
      <c r="S53" s="122" t="str">
        <f t="shared" si="13"/>
        <v>》i${1}oo</v>
      </c>
      <c r="T53" s="56"/>
      <c r="U53" s="57" t="str">
        <f t="shared" si="10"/>
        <v xml:space="preserve">    - xform/》ioo(\d)/》i${1}oo/</v>
      </c>
    </row>
    <row r="54" spans="1:21" ht="27.75" thickBot="1">
      <c r="A54" s="58">
        <f t="shared" si="5"/>
        <v>51</v>
      </c>
      <c r="B54" s="75" t="s">
        <v>871</v>
      </c>
      <c r="C54" s="58" t="s">
        <v>110</v>
      </c>
      <c r="D54" s="58" t="s">
        <v>110</v>
      </c>
      <c r="E54" s="58" t="str" cm="1">
        <f t="array" ref="E54" xml:space="preserve"> IFERROR( INDEX(韻母對照表[注音二式], MATCH(TRUE, EXACT('【韻】韻母清單（台語音標）'!$C54, 韻母對照表[台羅拼音]), 0)), "")</f>
        <v/>
      </c>
      <c r="F54" s="58" t="str" cm="1">
        <f t="array" ref="F54" xml:space="preserve"> IFERROR( INDEX(韻母對照表[閩拼方案], MATCH(TRUE, EXACT('【韻】韻母清單（台語音標）'!$B98, 韻母對照表[國際音標]), 0)), "")</f>
        <v/>
      </c>
      <c r="G54" s="60" t="str" cm="1">
        <f t="array" ref="G54" xml:space="preserve"> IFERROR( INDEX(韻母對照表[白話字], MATCH(TRUE, EXACT('【韻】韻母清單（台語音標）'!$C98, 韻母對照表[台羅拼音]), 0)), "")</f>
        <v>o</v>
      </c>
      <c r="H54" s="55" t="str" cm="1">
        <f t="array" ref="H54" xml:space="preserve"> IFERROR( INDEX(韻母對照表[十五音識別碼], MATCH(TRUE, EXACT('【韻】韻母清單（台語音標）'!$C98, 韻母對照表[台羅拼音]), 0)), "")</f>
        <v>高舒</v>
      </c>
      <c r="I54" s="137" t="s">
        <v>1331</v>
      </c>
      <c r="J54" s="58"/>
      <c r="K54" s="55">
        <f t="shared" si="14"/>
        <v>3</v>
      </c>
      <c r="L54" s="74"/>
      <c r="M54" s="58" t="str">
        <f t="shared" si="6"/>
        <v>eng</v>
      </c>
      <c r="N54" s="58" t="str">
        <f t="shared" si="7"/>
        <v>eng</v>
      </c>
      <c r="P54" s="122" t="str">
        <f t="shared" si="8"/>
        <v>eng(\d)</v>
      </c>
      <c r="Q54" s="125" t="s">
        <v>1181</v>
      </c>
      <c r="R54" s="125">
        <f t="shared" si="9"/>
        <v>1</v>
      </c>
      <c r="S54" s="122" t="str">
        <f t="shared" si="13"/>
        <v>》e${1}ng</v>
      </c>
      <c r="T54" s="56"/>
      <c r="U54" s="57" t="str">
        <f t="shared" si="10"/>
        <v xml:space="preserve">    - xform/》eng(\d)/》e${1}ng/</v>
      </c>
    </row>
    <row r="55" spans="1:21" ht="27.75" thickBot="1">
      <c r="A55" s="58">
        <f t="shared" si="5"/>
        <v>52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EXACT('【韻】韻母清單（台語音標）'!$C55, 韻母對照表[台羅拼音]), 0)), "")</f>
        <v>e</v>
      </c>
      <c r="F55" s="58" t="s">
        <v>832</v>
      </c>
      <c r="G55" s="62"/>
      <c r="H55" s="55" t="str" cm="1">
        <f t="array" ref="H55" xml:space="preserve"> IFERROR( INDEX(韻母對照表[十五音識別碼], MATCH(TRUE, EXACT('【韻】韻母清單（台語音標）'!$C47, 韻母對照表[台羅拼音]), 0)), "")</f>
        <v>觀舒</v>
      </c>
      <c r="I55" s="58" t="str" cm="1">
        <f t="array" ref="I55" xml:space="preserve"> IFERROR( INDEX(韻母對照表[方音符號], MATCH(TRUE, EXACT('【韻】韻母清單（台語音標）'!$C55, 韻母對照表[台羅拼音]), 0)), "")</f>
        <v>ㄝ</v>
      </c>
      <c r="J55" s="58"/>
      <c r="K55" s="55">
        <f t="shared" si="14"/>
        <v>2</v>
      </c>
      <c r="L55" s="74"/>
      <c r="M55" s="58" t="str">
        <f t="shared" si="6"/>
        <v>ee</v>
      </c>
      <c r="N55" s="58" t="str">
        <f t="shared" si="7"/>
        <v>ee</v>
      </c>
      <c r="P55" s="122" t="str">
        <f t="shared" si="8"/>
        <v>ee(\d)</v>
      </c>
      <c r="Q55" s="125" t="s">
        <v>1181</v>
      </c>
      <c r="R55" s="125">
        <f t="shared" si="9"/>
        <v>1</v>
      </c>
      <c r="S55" s="122" t="str">
        <f t="shared" si="13"/>
        <v>》e${1}e</v>
      </c>
      <c r="T55" s="56"/>
      <c r="U55" s="57" t="str">
        <f t="shared" si="10"/>
        <v xml:space="preserve">    - xform/》ee(\d)/》e${1}e/</v>
      </c>
    </row>
    <row r="56" spans="1:21" ht="27.75" thickBot="1">
      <c r="A56" s="58">
        <f t="shared" si="5"/>
        <v>53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EXACT('【韻】韻母清單（台語音標）'!$C56, 韻母對照表[台羅拼音]), 0)), "")</f>
        <v>ah</v>
      </c>
      <c r="F56" s="58" t="s">
        <v>834</v>
      </c>
      <c r="G56" s="61" t="str" cm="1">
        <f t="array" ref="G56" xml:space="preserve"> IFERROR( INDEX(韻母對照表[白話字], MATCH(TRUE, EXACT('【韻】韻母清單（台語音標）'!$C48, 韻母對照表[台羅拼音]), 0)), "")</f>
        <v>oat</v>
      </c>
      <c r="H56" s="55" t="str" cm="1">
        <f t="array" ref="H56" xml:space="preserve"> IFERROR( INDEX(韻母對照表[十五音識別碼], MATCH(TRUE, EXACT('【韻】韻母清單（台語音標）'!$C48, 韻母對照表[台羅拼音]), 0)), "")</f>
        <v>觀促</v>
      </c>
      <c r="I56" s="58" t="str" cm="1">
        <f t="array" ref="I56" xml:space="preserve"> IFERROR( INDEX(韻母對照表[方音符號], MATCH(TRUE, EXACT('【韻】韻母清單（台語音標）'!$C56, 韻母對照表[台羅拼音]), 0)), "")</f>
        <v>ㄚㆷ</v>
      </c>
      <c r="J56" s="58"/>
      <c r="K56" s="55">
        <f t="shared" si="14"/>
        <v>2</v>
      </c>
      <c r="L56" s="74"/>
      <c r="M56" s="58" t="str">
        <f t="shared" si="6"/>
        <v>ah</v>
      </c>
      <c r="N56" s="58" t="str">
        <f t="shared" si="7"/>
        <v>ah</v>
      </c>
      <c r="P56" s="122" t="str">
        <f t="shared" si="8"/>
        <v>ah(\d)</v>
      </c>
      <c r="Q56" s="125" t="s">
        <v>1228</v>
      </c>
      <c r="R56" s="125">
        <f t="shared" si="9"/>
        <v>1</v>
      </c>
      <c r="S56" s="122" t="str">
        <f t="shared" si="13"/>
        <v>》a${1}h</v>
      </c>
      <c r="T56" s="56"/>
      <c r="U56" s="57" t="str">
        <f t="shared" si="10"/>
        <v xml:space="preserve">    - xform/》ah(\d)/》a${1}h/</v>
      </c>
    </row>
    <row r="57" spans="1:21" ht="27.75" thickBot="1">
      <c r="A57" s="58">
        <f t="shared" si="5"/>
        <v>54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EXACT('【韻】韻母清單（台語音標）'!$C57, 韻母對照表[台羅拼音]), 0)), "")</f>
        <v>ai</v>
      </c>
      <c r="F57" s="58" t="s">
        <v>183</v>
      </c>
      <c r="G57" s="61" t="str" cm="1">
        <f t="array" ref="G57" xml:space="preserve"> IFERROR( INDEX(韻母對照表[白話字], MATCH(TRUE, EXACT('【韻】韻母清單（台語音標）'!$C49, 韻母對照表[台羅拼音]), 0)), "")</f>
        <v>oeh</v>
      </c>
      <c r="H57" s="55" t="str" cm="1">
        <f t="array" ref="H57" xml:space="preserve"> IFERROR( INDEX(韻母對照表[十五音識別碼], MATCH(TRUE, EXACT('【韻】韻母清單（台語音標）'!$C49, 韻母對照表[台羅拼音]), 0)), "")</f>
        <v>檜促</v>
      </c>
      <c r="I57" s="58" t="str" cm="1">
        <f t="array" ref="I57" xml:space="preserve"> IFERROR( INDEX(韻母對照表[方音符號], MATCH(TRUE, EXACT('【韻】韻母清單（台語音標）'!$C57, 韻母對照表[台羅拼音]), 0)), "")</f>
        <v>ㄞ</v>
      </c>
      <c r="J57" s="58"/>
      <c r="K57" s="55">
        <f t="shared" si="14"/>
        <v>2</v>
      </c>
      <c r="L57" s="74"/>
      <c r="M57" s="58" t="str">
        <f t="shared" si="6"/>
        <v>ai</v>
      </c>
      <c r="N57" s="58" t="str">
        <f t="shared" si="7"/>
        <v>ai</v>
      </c>
      <c r="P57" s="122" t="str">
        <f t="shared" si="8"/>
        <v>ai(\d)</v>
      </c>
      <c r="Q57" s="125" t="s">
        <v>1228</v>
      </c>
      <c r="R57" s="125">
        <f t="shared" si="9"/>
        <v>1</v>
      </c>
      <c r="S57" s="122" t="str">
        <f t="shared" si="13"/>
        <v>》a${1}i</v>
      </c>
      <c r="T57" s="56"/>
      <c r="U57" s="57" t="str">
        <f t="shared" si="10"/>
        <v xml:space="preserve">    - xform/》ai(\d)/》a${1}i/</v>
      </c>
    </row>
    <row r="58" spans="1:21" ht="27.75" thickBot="1">
      <c r="A58" s="58">
        <f t="shared" si="5"/>
        <v>55</v>
      </c>
      <c r="B58" s="58" t="s">
        <v>889</v>
      </c>
      <c r="C58" s="58" t="s">
        <v>243</v>
      </c>
      <c r="D58" s="58" t="s">
        <v>243</v>
      </c>
      <c r="E58" s="58" t="str" cm="1">
        <f t="array" ref="E58" xml:space="preserve"> IFERROR( INDEX(韻母對照表[注音二式], MATCH(TRUE, EXACT('【韻】韻母清單（台語音標）'!$C58, 韻母對照表[台羅拼音]), 0)), "")</f>
        <v>ak</v>
      </c>
      <c r="F58" s="58" t="s">
        <v>835</v>
      </c>
      <c r="G58" s="61" t="str" cm="1">
        <f t="array" ref="G58" xml:space="preserve"> IFERROR( INDEX(韻母對照表[白話字], MATCH(TRUE, EXACT('【韻】韻母清單（台語音標）'!$C50, 韻母對照表[台羅拼音]), 0)), "")</f>
        <v>aⁿ</v>
      </c>
      <c r="H58" s="55" t="str" cm="1">
        <f t="array" ref="H58" xml:space="preserve"> IFERROR( INDEX(韻母對照表[十五音識別碼], MATCH(TRUE, EXACT('【韻】韻母清單（台語音標）'!$C50, 韻母對照表[台羅拼音]), 0)), "")</f>
        <v>監舒</v>
      </c>
      <c r="I58" s="58" t="str" cm="1">
        <f t="array" ref="I58" xml:space="preserve"> IFERROR( INDEX(韻母對照表[方音符號], MATCH(TRUE, EXACT('【韻】韻母清單（台語音標）'!$C58, 韻母對照表[台羅拼音]), 0)), "")</f>
        <v>ㄚㆻ</v>
      </c>
      <c r="J58" s="58"/>
      <c r="K58" s="55">
        <f t="shared" si="14"/>
        <v>2</v>
      </c>
      <c r="L58" s="74"/>
      <c r="M58" s="58" t="str">
        <f t="shared" si="6"/>
        <v>ak</v>
      </c>
      <c r="N58" s="58" t="str">
        <f t="shared" si="7"/>
        <v>ak</v>
      </c>
      <c r="P58" s="122" t="str">
        <f t="shared" si="8"/>
        <v>ak(\d)</v>
      </c>
      <c r="Q58" s="125" t="s">
        <v>1228</v>
      </c>
      <c r="R58" s="125">
        <f t="shared" si="9"/>
        <v>1</v>
      </c>
      <c r="S58" s="122" t="str">
        <f t="shared" si="13"/>
        <v>》a${1}k</v>
      </c>
      <c r="T58" s="56"/>
      <c r="U58" s="57" t="str">
        <f t="shared" si="10"/>
        <v xml:space="preserve">    - xform/》ak(\d)/》a${1}k/</v>
      </c>
    </row>
    <row r="59" spans="1:21" ht="27.75" thickBot="1">
      <c r="A59" s="58">
        <f t="shared" si="5"/>
        <v>56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EXACT('【韻】韻母清單（台語音標）'!$C59, 韻母對照表[台羅拼音]), 0)), "")</f>
        <v>am</v>
      </c>
      <c r="F59" s="58" t="s">
        <v>836</v>
      </c>
      <c r="G59" s="61" t="str" cm="1">
        <f t="array" ref="G59" xml:space="preserve"> IFERROR( INDEX(韻母對照表[白話字], MATCH(TRUE, EXACT('【韻】韻母清單（台語音標）'!$C51, 韻母對照表[台羅拼音]), 0)), "")</f>
        <v>iⁿ</v>
      </c>
      <c r="H59" s="55" t="str" cm="1">
        <f t="array" ref="H59" xml:space="preserve"> IFERROR( INDEX(韻母對照表[十五音識別碼], MATCH(TRUE, EXACT('【韻】韻母清單（台語音標）'!$C51, 韻母對照表[台羅拼音]), 0)), "")</f>
        <v>梔舒</v>
      </c>
      <c r="I59" s="58" t="str" cm="1">
        <f t="array" ref="I59" xml:space="preserve"> IFERROR( INDEX(韻母對照表[方音符號], MATCH(TRUE, EXACT('【韻】韻母清單（台語音標）'!$C59, 韻母對照表[台羅拼音]), 0)), "")</f>
        <v>ㆰ</v>
      </c>
      <c r="J59" s="58"/>
      <c r="K59" s="55">
        <f t="shared" si="14"/>
        <v>2</v>
      </c>
      <c r="L59" s="74"/>
      <c r="M59" s="58" t="str">
        <f t="shared" si="6"/>
        <v>am</v>
      </c>
      <c r="N59" s="58" t="str">
        <f t="shared" si="7"/>
        <v>am</v>
      </c>
      <c r="P59" s="122" t="str">
        <f t="shared" si="8"/>
        <v>am(\d)</v>
      </c>
      <c r="Q59" s="125" t="s">
        <v>1228</v>
      </c>
      <c r="R59" s="125">
        <f t="shared" si="9"/>
        <v>1</v>
      </c>
      <c r="S59" s="122" t="str">
        <f t="shared" si="13"/>
        <v>》a${1}m</v>
      </c>
      <c r="T59" s="56"/>
      <c r="U59" s="57" t="str">
        <f t="shared" si="10"/>
        <v xml:space="preserve">    - xform/》am(\d)/》a${1}m/</v>
      </c>
    </row>
    <row r="60" spans="1:21" ht="27.75" thickBot="1">
      <c r="A60" s="58">
        <f t="shared" si="5"/>
        <v>57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EXACT('【韻】韻母清單（台語音標）'!$C60, 韻母對照表[台羅拼音]), 0)), "")</f>
        <v>an</v>
      </c>
      <c r="F60" s="58" t="s">
        <v>837</v>
      </c>
      <c r="G60" s="61" t="str" cm="1">
        <f t="array" ref="G60" xml:space="preserve"> IFERROR( INDEX(韻母對照表[白話字], MATCH(TRUE, EXACT('【韻】韻母清單（台語音標）'!$C52, 韻母對照表[台羅拼音]), 0)), "")</f>
        <v/>
      </c>
      <c r="H60" s="55" t="str" cm="1">
        <f t="array" ref="H60" xml:space="preserve"> IFERROR( INDEX(韻母對照表[十五音識別碼], MATCH(TRUE, EXACT('【韻】韻母清單（台語音標）'!$C52, 韻母對照表[台羅拼音]), 0)), "")</f>
        <v/>
      </c>
      <c r="I60" s="58" t="str" cm="1">
        <f t="array" ref="I60" xml:space="preserve"> IFERROR( INDEX(韻母對照表[方音符號], MATCH(TRUE, EXACT('【韻】韻母清單（台語音標）'!$C60, 韻母對照表[台羅拼音]), 0)), "")</f>
        <v>ㄢ</v>
      </c>
      <c r="J60" s="58"/>
      <c r="K60" s="55">
        <f t="shared" si="14"/>
        <v>2</v>
      </c>
      <c r="L60" s="74"/>
      <c r="M60" s="58" t="str">
        <f t="shared" si="6"/>
        <v>an</v>
      </c>
      <c r="N60" s="58" t="str">
        <f t="shared" si="7"/>
        <v>an</v>
      </c>
      <c r="P60" s="122" t="str">
        <f t="shared" si="8"/>
        <v>an(\d)</v>
      </c>
      <c r="Q60" s="125" t="s">
        <v>1228</v>
      </c>
      <c r="R60" s="125">
        <f t="shared" si="9"/>
        <v>1</v>
      </c>
      <c r="S60" s="122" t="str">
        <f t="shared" si="13"/>
        <v>》a${1}n</v>
      </c>
      <c r="T60" s="56"/>
      <c r="U60" s="57" t="str">
        <f t="shared" si="10"/>
        <v xml:space="preserve">    - xform/》an(\d)/》a${1}n/</v>
      </c>
    </row>
    <row r="61" spans="1:21" ht="27.75" thickBot="1">
      <c r="A61" s="58">
        <f t="shared" si="5"/>
        <v>58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EXACT('【韻】韻母清單（台語音標）'!$C61, 韻母對照表[台羅拼音]), 0)), "")</f>
        <v>au</v>
      </c>
      <c r="F61" s="58" t="s">
        <v>263</v>
      </c>
      <c r="G61" s="60" t="str" cm="1">
        <f t="array" ref="G61" xml:space="preserve"> IFERROR( INDEX(韻母對照表[白話字], MATCH(TRUE, EXACT('【韻】韻母清單（台語音標）'!$C53, 韻母對照表[台羅拼音]), 0)), "")</f>
        <v/>
      </c>
      <c r="H61" s="55" t="str" cm="1">
        <f t="array" ref="H61" xml:space="preserve"> IFERROR( INDEX(韻母對照表[十五音識別碼], MATCH(TRUE, EXACT('【韻】韻母清單（台語音標）'!$C53, 韻母對照表[台羅拼音]), 0)), "")</f>
        <v/>
      </c>
      <c r="I61" s="58" t="str" cm="1">
        <f t="array" ref="I61" xml:space="preserve"> IFERROR( INDEX(韻母對照表[方音符號], MATCH(TRUE, EXACT('【韻】韻母清單（台語音標）'!$C61, 韻母對照表[台羅拼音]), 0)), "")</f>
        <v>ㄠ</v>
      </c>
      <c r="J61" s="58"/>
      <c r="K61" s="55">
        <f t="shared" si="14"/>
        <v>2</v>
      </c>
      <c r="L61" s="74"/>
      <c r="M61" s="58" t="str">
        <f t="shared" si="6"/>
        <v>au</v>
      </c>
      <c r="N61" s="58" t="str">
        <f t="shared" si="7"/>
        <v>au</v>
      </c>
      <c r="P61" s="122" t="str">
        <f t="shared" si="8"/>
        <v>au(\d)</v>
      </c>
      <c r="Q61" s="125" t="s">
        <v>1228</v>
      </c>
      <c r="R61" s="125">
        <f t="shared" si="9"/>
        <v>1</v>
      </c>
      <c r="S61" s="122" t="str">
        <f t="shared" si="13"/>
        <v>》a${1}u</v>
      </c>
      <c r="T61" s="56"/>
      <c r="U61" s="57" t="str">
        <f t="shared" si="10"/>
        <v xml:space="preserve">    - xform/》au(\d)/》a${1}u/</v>
      </c>
    </row>
    <row r="62" spans="1:21" ht="27.75" thickBot="1">
      <c r="A62" s="58">
        <f t="shared" si="5"/>
        <v>59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EXACT('【韻】韻母清單（台語音標）'!$C62, 韻母對照表[台羅拼音]), 0)), "")</f>
        <v>ap</v>
      </c>
      <c r="F62" s="58" t="s">
        <v>838</v>
      </c>
      <c r="G62" s="61" t="str" cm="1">
        <f t="array" ref="G62" xml:space="preserve"> IFERROR( INDEX(韻母對照表[白話字], MATCH(TRUE, EXACT('【韻】韻母清單（台語音標）'!$C54, 韻母對照表[台羅拼音]), 0)), "")</f>
        <v/>
      </c>
      <c r="H62" s="55" t="str" cm="1">
        <f t="array" ref="H62" xml:space="preserve"> IFERROR( INDEX(韻母對照表[十五音識別碼], MATCH(TRUE, EXACT('【韻】韻母清單（台語音標）'!$C54, 韻母對照表[台羅拼音]), 0)), "")</f>
        <v/>
      </c>
      <c r="I62" s="58" t="str" cm="1">
        <f t="array" ref="I62" xml:space="preserve"> IFERROR( INDEX(韻母對照表[方音符號], MATCH(TRUE, EXACT('【韻】韻母清單（台語音標）'!$C62, 韻母對照表[台羅拼音]), 0)), "")</f>
        <v>ㄚㆴ</v>
      </c>
      <c r="J62" s="58"/>
      <c r="K62" s="55">
        <f t="shared" si="14"/>
        <v>2</v>
      </c>
      <c r="L62" s="74"/>
      <c r="M62" s="58" t="str">
        <f t="shared" si="6"/>
        <v>ap</v>
      </c>
      <c r="N62" s="58" t="str">
        <f t="shared" si="7"/>
        <v>ap</v>
      </c>
      <c r="P62" s="122" t="str">
        <f t="shared" si="8"/>
        <v>ap(\d)</v>
      </c>
      <c r="Q62" s="125" t="s">
        <v>1228</v>
      </c>
      <c r="R62" s="125">
        <f t="shared" si="9"/>
        <v>1</v>
      </c>
      <c r="S62" s="122" t="str">
        <f t="shared" si="13"/>
        <v>》a${1}p</v>
      </c>
      <c r="T62" s="56"/>
      <c r="U62" s="57" t="str">
        <f t="shared" si="10"/>
        <v xml:space="preserve">    - xform/》ap(\d)/》a${1}p/</v>
      </c>
    </row>
    <row r="63" spans="1:21" ht="27.75" thickBot="1">
      <c r="A63" s="58">
        <f t="shared" si="5"/>
        <v>60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EXACT('【韻】韻母清單（台語音標）'!$C63, 韻母對照表[台羅拼音]), 0)), "")</f>
        <v>at</v>
      </c>
      <c r="F63" s="58" t="s">
        <v>839</v>
      </c>
      <c r="G63" s="61" cm="1">
        <f t="array" ref="G63" xml:space="preserve"> IFERROR( INDEX(韻母對照表[白話字], MATCH(TRUE, EXACT('【韻】韻母清單（台語音標）'!$C55, 韻母對照表[台羅拼音]), 0)), "")</f>
        <v>0</v>
      </c>
      <c r="H63" s="55" t="str" cm="1">
        <f t="array" ref="H63" xml:space="preserve"> IFERROR( INDEX(韻母對照表[十五音識別碼], MATCH(TRUE, EXACT('【韻】韻母清單（台語音標）'!$C55, 韻母對照表[台羅拼音]), 0)), "")</f>
        <v>嘉舒</v>
      </c>
      <c r="I63" s="58" t="str" cm="1">
        <f t="array" ref="I63" xml:space="preserve"> IFERROR( INDEX(韻母對照表[方音符號], MATCH(TRUE, EXACT('【韻】韻母清單（台語音標）'!$C63, 韻母對照表[台羅拼音]), 0)), "")</f>
        <v>ㄚㆵ</v>
      </c>
      <c r="J63" s="58"/>
      <c r="K63" s="55">
        <f t="shared" si="14"/>
        <v>2</v>
      </c>
      <c r="L63" s="74"/>
      <c r="M63" s="58" t="str">
        <f t="shared" si="6"/>
        <v>at</v>
      </c>
      <c r="N63" s="58" t="str">
        <f t="shared" si="7"/>
        <v>at</v>
      </c>
      <c r="P63" s="122" t="str">
        <f t="shared" si="8"/>
        <v>at(\d)</v>
      </c>
      <c r="Q63" s="125" t="s">
        <v>1228</v>
      </c>
      <c r="R63" s="125">
        <f t="shared" si="9"/>
        <v>1</v>
      </c>
      <c r="S63" s="122" t="str">
        <f t="shared" si="13"/>
        <v>》a${1}t</v>
      </c>
      <c r="T63" s="56"/>
      <c r="U63" s="57" t="str">
        <f t="shared" si="10"/>
        <v xml:space="preserve">    - xform/》at(\d)/》a${1}t/</v>
      </c>
    </row>
    <row r="64" spans="1:21" ht="27.75" thickBot="1">
      <c r="A64" s="58">
        <f t="shared" si="5"/>
        <v>61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EXACT('【韻】韻母清單（台語音標）'!$C64, 韻母對照表[台羅拼音]), 0)), "")</f>
        <v>eh</v>
      </c>
      <c r="F64" s="58" t="s">
        <v>65</v>
      </c>
      <c r="G64" s="61" t="str" cm="1">
        <f t="array" ref="G64" xml:space="preserve"> IFERROR( INDEX(韻母對照表[白話字], MATCH(TRUE, EXACT('【韻】韻母清單（台語音標）'!$C56, 韻母對照表[台羅拼音]), 0)), "")</f>
        <v>ah</v>
      </c>
      <c r="H64" s="55" t="str" cm="1">
        <f t="array" ref="H64" xml:space="preserve"> IFERROR( INDEX(韻母對照表[十五音識別碼], MATCH(TRUE, EXACT('【韻】韻母清單（台語音標）'!$C56, 韻母對照表[台羅拼音]), 0)), "")</f>
        <v>膠促</v>
      </c>
      <c r="I64" s="58" t="str" cm="1">
        <f t="array" ref="I64" xml:space="preserve"> IFERROR( INDEX(韻母對照表[方音符號], MATCH(TRUE, EXACT('【韻】韻母清單（台語音標）'!$C64, 韻母對照表[台羅拼音]), 0)), "")</f>
        <v>ㆤㆷ</v>
      </c>
      <c r="J64" s="58"/>
      <c r="K64" s="55">
        <f t="shared" si="14"/>
        <v>2</v>
      </c>
      <c r="L64" s="74"/>
      <c r="M64" s="58" t="str">
        <f t="shared" si="6"/>
        <v>eh</v>
      </c>
      <c r="N64" s="58" t="str">
        <f t="shared" si="7"/>
        <v>eh</v>
      </c>
      <c r="P64" s="122" t="str">
        <f t="shared" si="8"/>
        <v>eh(\d)</v>
      </c>
      <c r="Q64" s="125" t="s">
        <v>1181</v>
      </c>
      <c r="R64" s="125">
        <f t="shared" si="9"/>
        <v>1</v>
      </c>
      <c r="S64" s="122" t="str">
        <f t="shared" si="13"/>
        <v>》e${1}h</v>
      </c>
      <c r="T64" s="56"/>
      <c r="U64" s="57" t="str">
        <f t="shared" si="10"/>
        <v xml:space="preserve">    - xform/》eh(\d)/》e${1}h/</v>
      </c>
    </row>
    <row r="65" spans="1:21" ht="27.75" thickBot="1">
      <c r="A65" s="58">
        <f t="shared" si="5"/>
        <v>62</v>
      </c>
      <c r="B65" s="75" t="s">
        <v>841</v>
      </c>
      <c r="C65" s="58" t="s">
        <v>842</v>
      </c>
      <c r="D65" s="58" t="s">
        <v>842</v>
      </c>
      <c r="E65" s="58" t="str" cm="1">
        <f t="array" ref="E65" xml:space="preserve"> IFERROR( INDEX(韻母對照表[注音二式], MATCH(TRUE, EXACT('【韻】韻母清單（台語音標）'!$C65, 韻母對照表[台羅拼音]), 0)), "")</f>
        <v/>
      </c>
      <c r="F65" s="58" t="s">
        <v>843</v>
      </c>
      <c r="G65" s="62" t="str" cm="1">
        <f t="array" ref="G65" xml:space="preserve"> IFERROR( INDEX(韻母對照表[白話字], MATCH(TRUE, EXACT('【韻】韻母清單（台語音標）'!$C57, 韻母對照表[台羅拼音]), 0)), "")</f>
        <v>ai</v>
      </c>
      <c r="H65" s="55" t="str" cm="1">
        <f t="array" ref="H65" xml:space="preserve"> IFERROR( INDEX(韻母對照表[十五音識別碼], MATCH(TRUE, EXACT('【韻】韻母清單（台語音標）'!$C57, 韻母對照表[台羅拼音]), 0)), "")</f>
        <v>皆舒</v>
      </c>
      <c r="I65" s="137" t="s">
        <v>1336</v>
      </c>
      <c r="J65" s="58"/>
      <c r="K65" s="55">
        <f t="shared" si="14"/>
        <v>2</v>
      </c>
      <c r="L65" s="74"/>
      <c r="M65" s="58" t="str">
        <f t="shared" si="6"/>
        <v>ir</v>
      </c>
      <c r="N65" s="58" t="str">
        <f t="shared" si="7"/>
        <v>ir</v>
      </c>
      <c r="P65" s="122" t="str">
        <f t="shared" si="8"/>
        <v>ir(\d)</v>
      </c>
      <c r="Q65" s="125" t="s">
        <v>1229</v>
      </c>
      <c r="R65" s="125">
        <f t="shared" si="9"/>
        <v>1</v>
      </c>
      <c r="S65" s="122" t="str">
        <f t="shared" si="13"/>
        <v>》i${1}r</v>
      </c>
      <c r="T65" s="56"/>
      <c r="U65" s="57" t="str">
        <f t="shared" si="10"/>
        <v xml:space="preserve">    - xform/》ir(\d)/》i${1}r/</v>
      </c>
    </row>
    <row r="66" spans="1:21" ht="27.75" thickBot="1">
      <c r="A66" s="58">
        <f t="shared" si="5"/>
        <v>63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EXACT('【韻】韻母清單（台語音標）'!$C66, 韻母對照表[台羅拼音]), 0)), "")</f>
        <v>ia</v>
      </c>
      <c r="F66" s="58" t="s">
        <v>844</v>
      </c>
      <c r="G66" s="61" t="str" cm="1">
        <f t="array" ref="G66" xml:space="preserve"> IFERROR( INDEX(韻母對照表[白話字], MATCH(TRUE, EXACT('【韻】韻母清單（台語音標）'!$C58, 韻母對照表[台羅拼音]), 0)), "")</f>
        <v>ak</v>
      </c>
      <c r="H66" s="55" t="str" cm="1">
        <f t="array" ref="H66" xml:space="preserve"> IFERROR( INDEX(韻母對照表[十五音識別碼], MATCH(TRUE, EXACT('【韻】韻母清單（台語音標）'!$C58, 韻母對照表[台羅拼音]), 0)), "")</f>
        <v>江促</v>
      </c>
      <c r="I66" s="58" t="str" cm="1">
        <f t="array" ref="I66" xml:space="preserve"> IFERROR( INDEX(韻母對照表[方音符號], MATCH(TRUE, EXACT('【韻】韻母清單（台語音標）'!$C66, 韻母對照表[台羅拼音]), 0)), "")</f>
        <v>ㄧㄚ</v>
      </c>
      <c r="J66" s="58"/>
      <c r="K66" s="55">
        <f t="shared" si="14"/>
        <v>2</v>
      </c>
      <c r="L66" s="74"/>
      <c r="M66" s="58" t="str">
        <f t="shared" si="6"/>
        <v>ia</v>
      </c>
      <c r="N66" s="58" t="str">
        <f t="shared" si="7"/>
        <v>ia</v>
      </c>
      <c r="P66" s="122" t="str">
        <f t="shared" si="8"/>
        <v>ia(\d)</v>
      </c>
      <c r="Q66" s="125" t="s">
        <v>1228</v>
      </c>
      <c r="R66" s="125">
        <f t="shared" si="9"/>
        <v>2</v>
      </c>
      <c r="S66" s="122" t="str">
        <f t="shared" si="13"/>
        <v>i》a${1}</v>
      </c>
      <c r="T66" s="56"/>
      <c r="U66" s="57" t="str">
        <f t="shared" si="10"/>
        <v xml:space="preserve">    - xform/》ia(\d)/i》a${1}/</v>
      </c>
    </row>
    <row r="67" spans="1:21" ht="27.75" thickBot="1">
      <c r="A67" s="58">
        <f t="shared" si="5"/>
        <v>64</v>
      </c>
      <c r="B67" s="75" t="s">
        <v>845</v>
      </c>
      <c r="C67" s="58" t="s">
        <v>846</v>
      </c>
      <c r="D67" s="58" t="s">
        <v>846</v>
      </c>
      <c r="E67" s="58" t="str" cm="1">
        <f t="array" ref="E67" xml:space="preserve"> IFERROR( INDEX(韻母對照表[注音二式], MATCH(TRUE, EXACT('【韻】韻母清單（台語音標）'!$C67, 韻母對照表[台羅拼音]), 0)), "")</f>
        <v/>
      </c>
      <c r="F67" s="58" t="s">
        <v>847</v>
      </c>
      <c r="G67" s="62" t="str" cm="1">
        <f t="array" ref="G67" xml:space="preserve"> IFERROR( INDEX(韻母對照表[白話字], MATCH(TRUE, EXACT('【韻】韻母清單（台語音標）'!$C59, 韻母對照表[台羅拼音]), 0)), "")</f>
        <v>am</v>
      </c>
      <c r="H67" s="55" t="str" cm="1">
        <f t="array" ref="H67" xml:space="preserve"> IFERROR( INDEX(韻母對照表[十五音識別碼], MATCH(TRUE, EXACT('【韻】韻母清單（台語音標）'!$C59, 韻母對照表[台羅拼音]), 0)), "")</f>
        <v>甘舒</v>
      </c>
      <c r="I67" s="58" t="str" cm="1">
        <f t="array" ref="I67" xml:space="preserve"> IFERROR( INDEX(韻母對照表[方音符號], MATCH(TRUE, EXACT('【韻】韻母清單（台語音標）'!$C67, 韻母對照表[台羅拼音]), 0)), "")</f>
        <v/>
      </c>
      <c r="J67" s="58"/>
      <c r="K67" s="55">
        <f t="shared" si="14"/>
        <v>2</v>
      </c>
      <c r="L67" s="74"/>
      <c r="M67" s="58" t="str">
        <f t="shared" si="6"/>
        <v>er</v>
      </c>
      <c r="N67" s="58" t="str">
        <f t="shared" si="7"/>
        <v>er</v>
      </c>
      <c r="P67" s="122" t="str">
        <f t="shared" si="8"/>
        <v>er(\d)</v>
      </c>
      <c r="Q67" s="125" t="s">
        <v>1181</v>
      </c>
      <c r="R67" s="125">
        <f t="shared" si="9"/>
        <v>1</v>
      </c>
      <c r="S67" s="122" t="str">
        <f t="shared" si="13"/>
        <v>》e${1}r</v>
      </c>
      <c r="T67" s="56"/>
      <c r="U67" s="57" t="str">
        <f t="shared" si="10"/>
        <v xml:space="preserve">    - xform/》er(\d)/》e${1}r/</v>
      </c>
    </row>
    <row r="68" spans="1:21" ht="27.75" thickBot="1">
      <c r="A68" s="58">
        <f t="shared" si="5"/>
        <v>65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EXACT('【韻】韻母清單（台語音標）'!$C68, 韻母對照表[台羅拼音]), 0)), "")</f>
        <v>ih</v>
      </c>
      <c r="F68" s="58" t="s">
        <v>329</v>
      </c>
      <c r="G68" s="61" t="str" cm="1">
        <f t="array" ref="G68" xml:space="preserve"> IFERROR( INDEX(韻母對照表[白話字], MATCH(TRUE, EXACT('【韻】韻母清單（台語音標）'!$C60, 韻母對照表[台羅拼音]), 0)), "")</f>
        <v>an</v>
      </c>
      <c r="H68" s="55" t="str" cm="1">
        <f t="array" ref="H68" xml:space="preserve"> IFERROR( INDEX(韻母對照表[十五音識別碼], MATCH(TRUE, EXACT('【韻】韻母清單（台語音標）'!$C60, 韻母對照表[台羅拼音]), 0)), "")</f>
        <v>干舒</v>
      </c>
      <c r="I68" s="58" t="str" cm="1">
        <f t="array" ref="I68" xml:space="preserve"> IFERROR( INDEX(韻母對照表[方音符號], MATCH(TRUE, EXACT('【韻】韻母清單（台語音標）'!$C68, 韻母對照表[台羅拼音]), 0)), "")</f>
        <v>ㄧㆷ</v>
      </c>
      <c r="J68" s="58"/>
      <c r="K68" s="55">
        <f t="shared" ref="K68:K99" si="15" xml:space="preserve"> LEN(D68)</f>
        <v>2</v>
      </c>
      <c r="L68" s="74"/>
      <c r="M68" s="58" t="str">
        <f t="shared" si="6"/>
        <v>ih</v>
      </c>
      <c r="N68" s="58" t="str">
        <f t="shared" si="7"/>
        <v>ih</v>
      </c>
      <c r="P68" s="122" t="str">
        <f t="shared" si="8"/>
        <v>ih(\d)</v>
      </c>
      <c r="Q68" s="125" t="s">
        <v>1229</v>
      </c>
      <c r="R68" s="125">
        <f t="shared" si="9"/>
        <v>1</v>
      </c>
      <c r="S68" s="122" t="str">
        <f t="shared" si="13"/>
        <v>》i${1}h</v>
      </c>
      <c r="T68" s="56"/>
      <c r="U68" s="57" t="str">
        <f t="shared" si="10"/>
        <v xml:space="preserve">    - xform/》ih(\d)/》i${1}h/</v>
      </c>
    </row>
    <row r="69" spans="1:21" ht="27.75" thickBot="1">
      <c r="A69" s="58">
        <f t="shared" ref="A69:A99" si="16" xml:space="preserve"> ROW() - 3</f>
        <v>66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EXACT('【韻】韻母清單（台語音標）'!$C69, 韻母對照表[台羅拼音]), 0)), "")</f>
        <v>ik</v>
      </c>
      <c r="F69" s="58" t="s">
        <v>115</v>
      </c>
      <c r="G69" s="60" t="str" cm="1">
        <f t="array" ref="G69" xml:space="preserve"> IFERROR( INDEX(韻母對照表[白話字], MATCH(TRUE, EXACT('【韻】韻母清單（台語音標）'!$C61, 韻母對照表[台羅拼音]), 0)), "")</f>
        <v>au</v>
      </c>
      <c r="H69" s="55" t="str" cm="1">
        <f t="array" ref="H69" xml:space="preserve"> IFERROR( INDEX(韻母對照表[十五音識別碼], MATCH(TRUE, EXACT('【韻】韻母清單（台語音標）'!$C61, 韻母對照表[台羅拼音]), 0)), "")</f>
        <v>交舒</v>
      </c>
      <c r="I69" s="58" t="str" cm="1">
        <f t="array" ref="I69" xml:space="preserve"> IFERROR( INDEX(韻母對照表[方音符號], MATCH(TRUE, EXACT('【韻】韻母清單（台語音標）'!$C69, 韻母對照表[台羅拼音]), 0)), "")</f>
        <v>ㄧㆻ</v>
      </c>
      <c r="J69" s="58"/>
      <c r="K69" s="55">
        <f t="shared" si="15"/>
        <v>2</v>
      </c>
      <c r="L69" s="74"/>
      <c r="M69" s="58" t="str">
        <f t="shared" ref="M69:M99" si="17">C69</f>
        <v>ik</v>
      </c>
      <c r="N69" s="58" t="str">
        <f t="shared" ref="N69:N99" si="18">D69</f>
        <v>ik</v>
      </c>
      <c r="P69" s="122" t="str">
        <f t="shared" ref="P69:P99" si="19" xml:space="preserve"> _xlfn.CONCAT(M69, "(\d)")</f>
        <v>ik(\d)</v>
      </c>
      <c r="Q69" s="125" t="s">
        <v>1229</v>
      </c>
      <c r="R69" s="125">
        <f t="shared" ref="R69:R99" si="20" xml:space="preserve"> IFERROR( IF(Q69="", "", SEARCH(Q69, $M69)), "")</f>
        <v>1</v>
      </c>
      <c r="S69" s="122" t="str">
        <f t="shared" si="13"/>
        <v>》i${1}k</v>
      </c>
      <c r="T69" s="56"/>
      <c r="U69" s="57" t="str">
        <f t="shared" ref="U69:U99" si="21" xml:space="preserve"> IF(AND(N69&lt;&gt;"", M69&lt;&gt;""), "    - xform/》" &amp; P69 &amp;  "/"  &amp; S69 &amp;  "/", "")</f>
        <v xml:space="preserve">    - xform/》ik(\d)/》i${1}k/</v>
      </c>
    </row>
    <row r="70" spans="1:21" ht="27.75" thickBot="1">
      <c r="A70" s="58">
        <f t="shared" si="16"/>
        <v>67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EXACT('【韻】韻母清單（台語音標）'!$C70, 韻母對照表[台羅拼音]), 0)), "")</f>
        <v>im</v>
      </c>
      <c r="F70" s="58" t="s">
        <v>38</v>
      </c>
      <c r="G70" s="61" t="str" cm="1">
        <f t="array" ref="G70" xml:space="preserve"> IFERROR( INDEX(韻母對照表[白話字], MATCH(TRUE, EXACT('【韻】韻母清單（台語音標）'!$C62, 韻母對照表[台羅拼音]), 0)), "")</f>
        <v>ap</v>
      </c>
      <c r="H70" s="55" t="str" cm="1">
        <f t="array" ref="H70" xml:space="preserve"> IFERROR( INDEX(韻母對照表[十五音識別碼], MATCH(TRUE, EXACT('【韻】韻母清單（台語音標）'!$C62, 韻母對照表[台羅拼音]), 0)), "")</f>
        <v>甘促</v>
      </c>
      <c r="I70" s="58" t="str" cm="1">
        <f t="array" ref="I70" xml:space="preserve"> IFERROR( INDEX(韻母對照表[方音符號], MATCH(TRUE, EXACT('【韻】韻母清單（台語音標）'!$C70, 韻母對照表[台羅拼音]), 0)), "")</f>
        <v>ㄧㆬ</v>
      </c>
      <c r="J70" s="58"/>
      <c r="K70" s="55">
        <f t="shared" si="15"/>
        <v>2</v>
      </c>
      <c r="L70" s="74"/>
      <c r="M70" s="58" t="str">
        <f t="shared" si="17"/>
        <v>im</v>
      </c>
      <c r="N70" s="58" t="str">
        <f t="shared" si="18"/>
        <v>im</v>
      </c>
      <c r="P70" s="122" t="str">
        <f t="shared" si="19"/>
        <v>im(\d)</v>
      </c>
      <c r="Q70" s="125" t="s">
        <v>1229</v>
      </c>
      <c r="R70" s="125">
        <f t="shared" si="20"/>
        <v>1</v>
      </c>
      <c r="S70" s="122" t="str">
        <f t="shared" ref="S70:S99" si="22" xml:space="preserve"> IFERROR( _xlfn.CONCAT(LEFT(M70,R70-1), "》", MID(M70,R70,1), "${1}", RIGHT(M70, LEN(M70)-R70)), "" )</f>
        <v>》i${1}m</v>
      </c>
      <c r="T70" s="56"/>
      <c r="U70" s="57" t="str">
        <f t="shared" si="21"/>
        <v xml:space="preserve">    - xform/》im(\d)/》i${1}m/</v>
      </c>
    </row>
    <row r="71" spans="1:21" ht="27.75" thickBot="1">
      <c r="A71" s="58">
        <f t="shared" si="16"/>
        <v>68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EXACT('【韻】韻母清單（台語音標）'!$C71, 韻母對照表[台羅拼音]), 0)), "")</f>
        <v>in</v>
      </c>
      <c r="F71" s="58" t="s">
        <v>189</v>
      </c>
      <c r="G71" s="61" t="str" cm="1">
        <f t="array" ref="G71" xml:space="preserve"> IFERROR( INDEX(韻母對照表[白話字], MATCH(TRUE, EXACT('【韻】韻母清單（台語音標）'!$C63, 韻母對照表[台羅拼音]), 0)), "")</f>
        <v>at</v>
      </c>
      <c r="H71" s="55" t="str" cm="1">
        <f t="array" ref="H71" xml:space="preserve"> IFERROR( INDEX(韻母對照表[十五音識別碼], MATCH(TRUE, EXACT('【韻】韻母清單（台語音標）'!$C63, 韻母對照表[台羅拼音]), 0)), "")</f>
        <v>干促</v>
      </c>
      <c r="I71" s="58" t="str" cm="1">
        <f t="array" ref="I71" xml:space="preserve"> IFERROR( INDEX(韻母對照表[方音符號], MATCH(TRUE, EXACT('【韻】韻母清單（台語音標）'!$C71, 韻母對照表[台羅拼音]), 0)), "")</f>
        <v>ㄧㄣ</v>
      </c>
      <c r="J71" s="58"/>
      <c r="K71" s="55">
        <f t="shared" si="15"/>
        <v>2</v>
      </c>
      <c r="L71" s="74"/>
      <c r="M71" s="58" t="str">
        <f t="shared" si="17"/>
        <v>in</v>
      </c>
      <c r="N71" s="58" t="str">
        <f t="shared" si="18"/>
        <v>in</v>
      </c>
      <c r="P71" s="122" t="str">
        <f t="shared" si="19"/>
        <v>in(\d)</v>
      </c>
      <c r="Q71" s="125" t="s">
        <v>1229</v>
      </c>
      <c r="R71" s="125">
        <f t="shared" si="20"/>
        <v>1</v>
      </c>
      <c r="S71" s="122" t="str">
        <f t="shared" si="22"/>
        <v>》i${1}n</v>
      </c>
      <c r="T71" s="56"/>
      <c r="U71" s="57" t="str">
        <f t="shared" si="21"/>
        <v xml:space="preserve">    - xform/》in(\d)/》i${1}n/</v>
      </c>
    </row>
    <row r="72" spans="1:21" ht="27.75" thickBot="1">
      <c r="A72" s="58">
        <f t="shared" si="16"/>
        <v>69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EXACT('【韻】韻母清單（台語音標）'!$C72, 韻母對照表[台羅拼音]), 0)), "")</f>
        <v>ior</v>
      </c>
      <c r="F72" s="58" t="s">
        <v>357</v>
      </c>
      <c r="G72" s="61" t="str" cm="1">
        <f t="array" ref="G72" xml:space="preserve"> IFERROR( INDEX(韻母對照表[白話字], MATCH(TRUE, EXACT('【韻】韻母清單（台語音標）'!$C64, 韻母對照表[台羅拼音]), 0)), "")</f>
        <v>eh</v>
      </c>
      <c r="H72" s="55" t="str" cm="1">
        <f t="array" ref="H72" xml:space="preserve"> IFERROR( INDEX(韻母對照表[十五音識別碼], MATCH(TRUE, EXACT('【韻】韻母清單（台語音標）'!$C64, 韻母對照表[台羅拼音]), 0)), "")</f>
        <v>伽促</v>
      </c>
      <c r="I72" s="58" t="str" cm="1">
        <f t="array" ref="I72" xml:space="preserve"> IFERROR( INDEX(韻母對照表[方音符號], MATCH(TRUE, EXACT('【韻】韻母清單（台語音標）'!$C72, 韻母對照表[台羅拼音]), 0)), "")</f>
        <v>ㄧㄜ</v>
      </c>
      <c r="J72" s="58"/>
      <c r="K72" s="55">
        <f t="shared" si="15"/>
        <v>2</v>
      </c>
      <c r="L72" s="74"/>
      <c r="M72" s="58" t="str">
        <f t="shared" si="17"/>
        <v>io</v>
      </c>
      <c r="N72" s="58" t="str">
        <f t="shared" si="18"/>
        <v>io</v>
      </c>
      <c r="P72" s="122" t="str">
        <f t="shared" si="19"/>
        <v>io(\d)</v>
      </c>
      <c r="Q72" s="125" t="s">
        <v>1229</v>
      </c>
      <c r="R72" s="125">
        <f t="shared" si="20"/>
        <v>1</v>
      </c>
      <c r="S72" s="122" t="str">
        <f t="shared" si="22"/>
        <v>》i${1}o</v>
      </c>
      <c r="T72" s="56"/>
      <c r="U72" s="57" t="str">
        <f t="shared" si="21"/>
        <v xml:space="preserve">    - xform/》io(\d)/》i${1}o/</v>
      </c>
    </row>
    <row r="73" spans="1:21" ht="27.75" thickBot="1">
      <c r="A73" s="58">
        <f t="shared" si="16"/>
        <v>70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EXACT('【韻】韻母清單（台語音標）'!$C73, 韻母對照表[台羅拼音]), 0)), "")</f>
        <v>ip</v>
      </c>
      <c r="F73" s="58" t="s">
        <v>46</v>
      </c>
      <c r="G73" s="61" t="str" cm="1">
        <f t="array" ref="G73" xml:space="preserve"> IFERROR( INDEX(韻母對照表[白話字], MATCH(TRUE, EXACT('【韻】韻母清單（台語音標）'!$C65, 韻母對照表[台羅拼音]), 0)), "")</f>
        <v/>
      </c>
      <c r="H73" s="55" t="str" cm="1">
        <f t="array" ref="H73" xml:space="preserve"> IFERROR( INDEX(韻母對照表[十五音識別碼], MATCH(TRUE, EXACT('【韻】韻母清單（台語音標）'!$C65, 韻母對照表[台羅拼音]), 0)), "")</f>
        <v/>
      </c>
      <c r="I73" s="58" t="str" cm="1">
        <f t="array" ref="I73" xml:space="preserve"> IFERROR( INDEX(韻母對照表[方音符號], MATCH(TRUE, EXACT('【韻】韻母清單（台語音標）'!$C73, 韻母對照表[台羅拼音]), 0)), "")</f>
        <v>一ㆴ</v>
      </c>
      <c r="J73" s="58"/>
      <c r="K73" s="55">
        <f t="shared" si="15"/>
        <v>2</v>
      </c>
      <c r="L73" s="74"/>
      <c r="M73" s="58" t="str">
        <f t="shared" si="17"/>
        <v>ip</v>
      </c>
      <c r="N73" s="58" t="str">
        <f t="shared" si="18"/>
        <v>ip</v>
      </c>
      <c r="P73" s="122" t="str">
        <f t="shared" si="19"/>
        <v>ip(\d)</v>
      </c>
      <c r="Q73" s="125" t="s">
        <v>1229</v>
      </c>
      <c r="R73" s="125">
        <f t="shared" si="20"/>
        <v>1</v>
      </c>
      <c r="S73" s="122" t="str">
        <f t="shared" si="22"/>
        <v>》i${1}p</v>
      </c>
      <c r="T73" s="56"/>
      <c r="U73" s="57" t="str">
        <f t="shared" si="21"/>
        <v xml:space="preserve">    - xform/》ip(\d)/》i${1}p/</v>
      </c>
    </row>
    <row r="74" spans="1:21" ht="27.75" thickBot="1">
      <c r="A74" s="58">
        <f t="shared" si="16"/>
        <v>71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EXACT('【韻】韻母清單（台語音標）'!$C74, 韻母對照表[台羅拼音]), 0)), "")</f>
        <v>it</v>
      </c>
      <c r="F74" s="58" t="s">
        <v>197</v>
      </c>
      <c r="G74" s="61" t="str" cm="1">
        <f t="array" ref="G74" xml:space="preserve"> IFERROR( INDEX(韻母對照表[白話字], MATCH(TRUE, EXACT('【韻】韻母清單（台語音標）'!$C66, 韻母對照表[台羅拼音]), 0)), "")</f>
        <v>ia</v>
      </c>
      <c r="H74" s="55" t="str" cm="1">
        <f t="array" ref="H74" xml:space="preserve"> IFERROR( INDEX(韻母對照表[十五音識別碼], MATCH(TRUE, EXACT('【韻】韻母清單（台語音標）'!$C66, 韻母對照表[台羅拼音]), 0)), "")</f>
        <v>迦舒</v>
      </c>
      <c r="I74" s="58" t="str" cm="1">
        <f t="array" ref="I74" xml:space="preserve"> IFERROR( INDEX(韻母對照表[方音符號], MATCH(TRUE, EXACT('【韻】韻母清單（台語音標）'!$C74, 韻母對照表[台羅拼音]), 0)), "")</f>
        <v>ㄧㆵ</v>
      </c>
      <c r="J74" s="58"/>
      <c r="K74" s="55">
        <f t="shared" si="15"/>
        <v>2</v>
      </c>
      <c r="L74" s="74"/>
      <c r="M74" s="58" t="str">
        <f t="shared" si="17"/>
        <v>it</v>
      </c>
      <c r="N74" s="58" t="str">
        <f t="shared" si="18"/>
        <v>it</v>
      </c>
      <c r="P74" s="122" t="str">
        <f t="shared" si="19"/>
        <v>it(\d)</v>
      </c>
      <c r="Q74" s="125" t="s">
        <v>1229</v>
      </c>
      <c r="R74" s="125">
        <f t="shared" si="20"/>
        <v>1</v>
      </c>
      <c r="S74" s="122" t="str">
        <f t="shared" si="22"/>
        <v>》i${1}t</v>
      </c>
      <c r="T74" s="56"/>
      <c r="U74" s="57" t="str">
        <f t="shared" si="21"/>
        <v xml:space="preserve">    - xform/》it(\d)/》i${1}t/</v>
      </c>
    </row>
    <row r="75" spans="1:21" ht="27.75" thickBot="1">
      <c r="A75" s="58">
        <f t="shared" si="16"/>
        <v>72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EXACT('【韻】韻母清單（台語音標）'!$C75, 韻母對照表[台羅拼音]), 0)), "")</f>
        <v>iu</v>
      </c>
      <c r="F75" s="58" t="s">
        <v>332</v>
      </c>
      <c r="G75" s="61" t="str" cm="1">
        <f t="array" ref="G75" xml:space="preserve"> IFERROR( INDEX(韻母對照表[白話字], MATCH(TRUE, EXACT('【韻】韻母清單（台語音標）'!$C67, 韻母對照表[台羅拼音]), 0)), "")</f>
        <v/>
      </c>
      <c r="H75" s="55" t="str" cm="1">
        <f t="array" ref="H75" xml:space="preserve"> IFERROR( INDEX(韻母對照表[十五音識別碼], MATCH(TRUE, EXACT('【韻】韻母清單（台語音標）'!$C67, 韻母對照表[台羅拼音]), 0)), "")</f>
        <v/>
      </c>
      <c r="I75" s="58" t="str" cm="1">
        <f t="array" ref="I75" xml:space="preserve"> IFERROR( INDEX(韻母對照表[方音符號], MATCH(TRUE, EXACT('【韻】韻母清單（台語音標）'!$C75, 韻母對照表[台羅拼音]), 0)), "")</f>
        <v>ㄧㄨ</v>
      </c>
      <c r="J75" s="58"/>
      <c r="K75" s="55">
        <f t="shared" si="15"/>
        <v>2</v>
      </c>
      <c r="L75" s="74"/>
      <c r="M75" s="58" t="str">
        <f t="shared" si="17"/>
        <v>iu</v>
      </c>
      <c r="N75" s="58" t="str">
        <f t="shared" si="18"/>
        <v>iu</v>
      </c>
      <c r="P75" s="122" t="str">
        <f t="shared" si="19"/>
        <v>iu(\d)</v>
      </c>
      <c r="Q75" s="125" t="s">
        <v>1229</v>
      </c>
      <c r="R75" s="125">
        <f t="shared" si="20"/>
        <v>1</v>
      </c>
      <c r="S75" s="122" t="str">
        <f t="shared" si="22"/>
        <v>》i${1}u</v>
      </c>
      <c r="T75" s="56"/>
      <c r="U75" s="57" t="str">
        <f t="shared" si="21"/>
        <v xml:space="preserve">    - xform/》iu(\d)/》i${1}u/</v>
      </c>
    </row>
    <row r="76" spans="1:21" ht="27.75" thickBot="1">
      <c r="A76" s="58">
        <f t="shared" si="16"/>
        <v>73</v>
      </c>
      <c r="B76" s="75" t="s">
        <v>849</v>
      </c>
      <c r="C76" s="58" t="s">
        <v>850</v>
      </c>
      <c r="D76" s="58" t="s">
        <v>850</v>
      </c>
      <c r="E76" s="58" t="str" cm="1">
        <f t="array" ref="E76" xml:space="preserve"> IFERROR( INDEX(韻母對照表[注音二式], MATCH(TRUE, EXACT('【韻】韻母清單（台語音標）'!$C76, 韻母對照表[台羅拼音]), 0)), "")</f>
        <v/>
      </c>
      <c r="F76" s="58" t="s">
        <v>850</v>
      </c>
      <c r="G76" s="61" t="str" cm="1">
        <f t="array" ref="G76" xml:space="preserve"> IFERROR( INDEX(韻母對照表[白話字], MATCH(TRUE, EXACT('【韻】韻母清單（台語音標）'!$C68, 韻母對照表[台羅拼音]), 0)), "")</f>
        <v>ih</v>
      </c>
      <c r="H76" s="55" t="str" cm="1">
        <f t="array" ref="H76" xml:space="preserve"> IFERROR( INDEX(韻母對照表[十五音識別碼], MATCH(TRUE, EXACT('【韻】韻母清單（台語音標）'!$C68, 韻母對照表[台羅拼音]), 0)), "")</f>
        <v>居促</v>
      </c>
      <c r="I76" s="137" t="s">
        <v>1337</v>
      </c>
      <c r="J76" s="58"/>
      <c r="K76" s="55">
        <f t="shared" si="15"/>
        <v>2</v>
      </c>
      <c r="L76" s="74"/>
      <c r="M76" s="58" t="str">
        <f t="shared" si="17"/>
        <v>mh</v>
      </c>
      <c r="N76" s="58" t="str">
        <f t="shared" si="18"/>
        <v>mh</v>
      </c>
      <c r="P76" s="122" t="str">
        <f t="shared" si="19"/>
        <v>mh(\d)</v>
      </c>
      <c r="Q76" s="125" t="s">
        <v>1306</v>
      </c>
      <c r="R76" s="125">
        <f t="shared" si="20"/>
        <v>1</v>
      </c>
      <c r="S76" s="122" t="str">
        <f t="shared" si="22"/>
        <v>》m${1}h</v>
      </c>
      <c r="T76" s="56"/>
      <c r="U76" s="57" t="str">
        <f t="shared" si="21"/>
        <v xml:space="preserve">    - xform/》mh(\d)/》m${1}h/</v>
      </c>
    </row>
    <row r="77" spans="1:21" ht="27.75" thickBot="1">
      <c r="A77" s="58">
        <f t="shared" si="16"/>
        <v>74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EXACT('【韻】韻母清單（台語音標）'!$C77, 韻母對照表[台羅拼音]), 0)), "")</f>
        <v>ng</v>
      </c>
      <c r="F77" s="58" t="s">
        <v>407</v>
      </c>
      <c r="G77" s="61" t="str" cm="1">
        <f t="array" ref="G77" xml:space="preserve"> IFERROR( INDEX(韻母對照表[白話字], MATCH(TRUE, EXACT('【韻】韻母清單（台語音標）'!$C70, 韻母對照表[台羅拼音]), 0)), "")</f>
        <v>im</v>
      </c>
      <c r="H77" s="55" t="str" cm="1">
        <f t="array" ref="H77" xml:space="preserve"> IFERROR( INDEX(韻母對照表[十五音識別碼], MATCH(TRUE, EXACT('【韻】韻母清單（台語音標）'!$C70, 韻母對照表[台羅拼音]), 0)), "")</f>
        <v>金舒</v>
      </c>
      <c r="I77" s="58" t="str" cm="1">
        <f t="array" ref="I77" xml:space="preserve"> IFERROR( INDEX(韻母對照表[方音符號], MATCH(TRUE, EXACT('【韻】韻母清單（台語音標）'!$C77, 韻母對照表[台羅拼音]), 0)), "")</f>
        <v>ㆭ</v>
      </c>
      <c r="J77" s="58"/>
      <c r="K77" s="55">
        <f t="shared" si="15"/>
        <v>2</v>
      </c>
      <c r="L77" s="74"/>
      <c r="M77" s="58" t="str">
        <f t="shared" si="17"/>
        <v>ng</v>
      </c>
      <c r="N77" s="58" t="str">
        <f t="shared" si="18"/>
        <v>ng</v>
      </c>
      <c r="P77" s="122" t="str">
        <f t="shared" si="19"/>
        <v>ng(\d)</v>
      </c>
      <c r="Q77" s="125" t="s">
        <v>1305</v>
      </c>
      <c r="R77" s="125">
        <f t="shared" si="20"/>
        <v>1</v>
      </c>
      <c r="S77" s="122" t="str">
        <f t="shared" si="22"/>
        <v>》n${1}g</v>
      </c>
      <c r="T77" s="56"/>
      <c r="U77" s="57" t="str">
        <f t="shared" si="21"/>
        <v xml:space="preserve">    - xform/》ng(\d)/》n${1}g/</v>
      </c>
    </row>
    <row r="78" spans="1:21" ht="27.75" thickBot="1">
      <c r="A78" s="58">
        <f t="shared" si="16"/>
        <v>75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EXACT('【韻】韻母清單（台語音標）'!$C78, 韻母對照表[台羅拼音]), 0)), "")</f>
        <v>orh</v>
      </c>
      <c r="F78" s="58" t="s">
        <v>178</v>
      </c>
      <c r="G78" s="61" t="str" cm="1">
        <f t="array" ref="G78" xml:space="preserve"> IFERROR( INDEX(韻母對照表[白話字], MATCH(TRUE, EXACT('【韻】韻母清單（台語音標）'!$C72, 韻母對照表[台羅拼音]), 0)), "")</f>
        <v>io</v>
      </c>
      <c r="H78" s="55" t="str" cm="1">
        <f t="array" ref="H78" xml:space="preserve"> IFERROR( INDEX(韻母對照表[十五音識別碼], MATCH(TRUE, EXACT('【韻】韻母清單（台語音標）'!$C72, 韻母對照表[台羅拼音]), 0)), "")</f>
        <v>茄舒</v>
      </c>
      <c r="I78" s="58" t="str" cm="1">
        <f t="array" ref="I78" xml:space="preserve"> IFERROR( INDEX(韻母對照表[方音符號], MATCH(TRUE, EXACT('【韻】韻母清單（台語音標）'!$C78, 韻母對照表[台羅拼音]), 0)), "")</f>
        <v>ㄜㆷ</v>
      </c>
      <c r="J78" s="58"/>
      <c r="K78" s="55">
        <f t="shared" si="15"/>
        <v>2</v>
      </c>
      <c r="L78" s="74"/>
      <c r="M78" s="58" t="str">
        <f t="shared" si="17"/>
        <v>oh</v>
      </c>
      <c r="N78" s="58" t="str">
        <f t="shared" si="18"/>
        <v>oh</v>
      </c>
      <c r="P78" s="122" t="str">
        <f t="shared" si="19"/>
        <v>oh(\d)</v>
      </c>
      <c r="Q78" s="125" t="s">
        <v>1216</v>
      </c>
      <c r="R78" s="125">
        <f t="shared" si="20"/>
        <v>1</v>
      </c>
      <c r="S78" s="122" t="str">
        <f t="shared" si="22"/>
        <v>》o${1}h</v>
      </c>
      <c r="T78" s="56"/>
      <c r="U78" s="57" t="str">
        <f t="shared" si="21"/>
        <v xml:space="preserve">    - xform/》oh(\d)/》o${1}h/</v>
      </c>
    </row>
    <row r="79" spans="1:21" ht="27.75" thickBot="1">
      <c r="A79" s="58">
        <f t="shared" si="16"/>
        <v>76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EXACT('【韻】韻母清單（台語音標）'!$C79, 韻母對照表[台羅拼音]), 0)), "")</f>
        <v>ok</v>
      </c>
      <c r="F79" s="58" t="s">
        <v>90</v>
      </c>
      <c r="G79" s="61" t="str" cm="1">
        <f t="array" ref="G79" xml:space="preserve"> IFERROR( INDEX(韻母對照表[白話字], MATCH(TRUE, EXACT('【韻】韻母清單（台語音標）'!$C73, 韻母對照表[台羅拼音]), 0)), "")</f>
        <v>ip</v>
      </c>
      <c r="H79" s="55" t="str" cm="1">
        <f t="array" ref="H79" xml:space="preserve"> IFERROR( INDEX(韻母對照表[十五音識別碼], MATCH(TRUE, EXACT('【韻】韻母清單（台語音標）'!$C73, 韻母對照表[台羅拼音]), 0)), "")</f>
        <v>金促</v>
      </c>
      <c r="I79" s="58" t="str" cm="1">
        <f t="array" ref="I79" xml:space="preserve"> IFERROR( INDEX(韻母對照表[方音符號], MATCH(TRUE, EXACT('【韻】韻母清單（台語音標）'!$C79, 韻母對照表[台羅拼音]), 0)), "")</f>
        <v>ㆦㆻ</v>
      </c>
      <c r="J79" s="58"/>
      <c r="K79" s="55">
        <f t="shared" si="15"/>
        <v>2</v>
      </c>
      <c r="L79" s="74"/>
      <c r="M79" s="58" t="str">
        <f t="shared" si="17"/>
        <v>ok</v>
      </c>
      <c r="N79" s="58" t="str">
        <f t="shared" si="18"/>
        <v>ok</v>
      </c>
      <c r="P79" s="122" t="str">
        <f t="shared" si="19"/>
        <v>ok(\d)</v>
      </c>
      <c r="Q79" s="125" t="s">
        <v>1216</v>
      </c>
      <c r="R79" s="125">
        <f t="shared" si="20"/>
        <v>1</v>
      </c>
      <c r="S79" s="122" t="str">
        <f t="shared" si="22"/>
        <v>》o${1}k</v>
      </c>
      <c r="T79" s="56"/>
      <c r="U79" s="57" t="str">
        <f t="shared" si="21"/>
        <v xml:space="preserve">    - xform/》ok(\d)/》o${1}k/</v>
      </c>
    </row>
    <row r="80" spans="1:21" ht="27.75" thickBot="1">
      <c r="A80" s="58">
        <f t="shared" si="16"/>
        <v>77</v>
      </c>
      <c r="B80" s="58" t="s">
        <v>854</v>
      </c>
      <c r="C80" s="58" t="s">
        <v>136</v>
      </c>
      <c r="D80" s="58" t="s">
        <v>136</v>
      </c>
      <c r="E80" s="58" t="str" cm="1">
        <f t="array" ref="E80" xml:space="preserve"> IFERROR( INDEX(韻母對照表[注音二式], MATCH(TRUE, EXACT('【韻】韻母清單（台語音標）'!$C80, 韻母對照表[台羅拼音]), 0)), "")</f>
        <v>oo</v>
      </c>
      <c r="F80" s="58" t="s">
        <v>136</v>
      </c>
      <c r="G80" s="60" t="str" cm="1">
        <f t="array" ref="G80" xml:space="preserve"> IFERROR( INDEX(韻母對照表[白話字], MATCH(TRUE, EXACT('【韻】韻母清單（台語音標）'!$C74, 韻母對照表[台羅拼音]), 0)), "")</f>
        <v>it</v>
      </c>
      <c r="H80" s="55" t="str" cm="1">
        <f t="array" ref="H80" xml:space="preserve"> IFERROR( INDEX(韻母對照表[十五音識別碼], MATCH(TRUE, EXACT('【韻】韻母清單（台語音標）'!$C74, 韻母對照表[台羅拼音]), 0)), "")</f>
        <v>巾促</v>
      </c>
      <c r="I80" s="58" t="str" cm="1">
        <f t="array" ref="I80" xml:space="preserve"> IFERROR( INDEX(韻母對照表[方音符號], MATCH(TRUE, EXACT('【韻】韻母清單（台語音標）'!$C80, 韻母對照表[台羅拼音]), 0)), "")</f>
        <v>ㆦ</v>
      </c>
      <c r="J80" s="58"/>
      <c r="K80" s="55">
        <f t="shared" si="15"/>
        <v>2</v>
      </c>
      <c r="L80" s="74"/>
      <c r="M80" s="58" t="str">
        <f t="shared" si="17"/>
        <v>oo</v>
      </c>
      <c r="N80" s="58" t="str">
        <f t="shared" si="18"/>
        <v>oo</v>
      </c>
      <c r="P80" s="122" t="str">
        <f t="shared" si="19"/>
        <v>oo(\d)</v>
      </c>
      <c r="Q80" s="125" t="s">
        <v>1216</v>
      </c>
      <c r="R80" s="125">
        <f t="shared" si="20"/>
        <v>1</v>
      </c>
      <c r="S80" s="122" t="str">
        <f t="shared" si="22"/>
        <v>》o${1}o</v>
      </c>
      <c r="T80" s="56"/>
      <c r="U80" s="57" t="str">
        <f t="shared" si="21"/>
        <v xml:space="preserve">    - xform/》oo(\d)/》o${1}o/</v>
      </c>
    </row>
    <row r="81" spans="1:21" ht="27.75" thickBot="1">
      <c r="A81" s="58">
        <f t="shared" si="16"/>
        <v>78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EXACT('【韻】韻母清單（台語音標）'!$C81, 韻母對照表[台羅拼音]), 0)), "")</f>
        <v>oop</v>
      </c>
      <c r="F81" s="58" t="s">
        <v>485</v>
      </c>
      <c r="G81" s="61" t="str" cm="1">
        <f t="array" ref="G81" xml:space="preserve"> IFERROR( INDEX(韻母對照表[白話字], MATCH(TRUE, EXACT('【韻】韻母清單（台語音標）'!$C75, 韻母對照表[台羅拼音]), 0)), "")</f>
        <v>iu</v>
      </c>
      <c r="H81" s="55" t="str" cm="1">
        <f t="array" ref="H81" xml:space="preserve"> IFERROR( INDEX(韻母對照表[十五音識別碼], MATCH(TRUE, EXACT('【韻】韻母清單（台語音標）'!$C75, 韻母對照表[台羅拼音]), 0)), "")</f>
        <v>丩舒</v>
      </c>
      <c r="I81" s="58" t="str" cm="1">
        <f t="array" ref="I81" xml:space="preserve"> IFERROR( INDEX(韻母對照表[方音符號], MATCH(TRUE, EXACT('【韻】韻母清單（台語音標）'!$C81, 韻母對照表[台羅拼音]), 0)), "")</f>
        <v>ㆦㆴ</v>
      </c>
      <c r="J81" s="58"/>
      <c r="K81" s="55">
        <f t="shared" si="15"/>
        <v>2</v>
      </c>
      <c r="L81" s="74"/>
      <c r="M81" s="58" t="str">
        <f t="shared" si="17"/>
        <v>op</v>
      </c>
      <c r="N81" s="58" t="str">
        <f t="shared" si="18"/>
        <v>op</v>
      </c>
      <c r="P81" s="122" t="str">
        <f t="shared" si="19"/>
        <v>op(\d)</v>
      </c>
      <c r="Q81" s="125" t="s">
        <v>1216</v>
      </c>
      <c r="R81" s="125">
        <f t="shared" si="20"/>
        <v>1</v>
      </c>
      <c r="S81" s="122" t="str">
        <f t="shared" si="22"/>
        <v>》o${1}p</v>
      </c>
      <c r="T81" s="56"/>
      <c r="U81" s="57" t="str">
        <f t="shared" si="21"/>
        <v xml:space="preserve">    - xform/》op(\d)/》o${1}p/</v>
      </c>
    </row>
    <row r="82" spans="1:21" ht="27.75" thickBot="1">
      <c r="A82" s="58">
        <f t="shared" si="16"/>
        <v>79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EXACT('【韻】韻母清單（台語音標）'!$C82, 韻母對照表[台羅拼音]), 0)), "")</f>
        <v>ua</v>
      </c>
      <c r="F82" s="58" t="s">
        <v>856</v>
      </c>
      <c r="G82" s="60" t="str" cm="1">
        <f t="array" ref="G82" xml:space="preserve"> IFERROR( INDEX(韻母對照表[白話字], MATCH(TRUE, EXACT('【韻】韻母清單（台語音標）'!$C76, 韻母對照表[台羅拼音]), 0)), "")</f>
        <v/>
      </c>
      <c r="H82" s="55" t="str" cm="1">
        <f t="array" ref="H82" xml:space="preserve"> IFERROR( INDEX(韻母對照表[十五音識別碼], MATCH(TRUE, EXACT('【韻】韻母清單（台語音標）'!$C76, 韻母對照表[台羅拼音]), 0)), "")</f>
        <v/>
      </c>
      <c r="I82" s="58" t="str" cm="1">
        <f t="array" ref="I82" xml:space="preserve"> IFERROR( INDEX(韻母對照表[方音符號], MATCH(TRUE, EXACT('【韻】韻母清單（台語音標）'!$C82, 韻母對照表[台羅拼音]), 0)), "")</f>
        <v>ㄨㄚ</v>
      </c>
      <c r="J82" s="58"/>
      <c r="K82" s="55">
        <f t="shared" si="15"/>
        <v>2</v>
      </c>
      <c r="L82" s="74"/>
      <c r="M82" s="58" t="str">
        <f t="shared" si="17"/>
        <v>ua</v>
      </c>
      <c r="N82" s="58" t="str">
        <f t="shared" si="18"/>
        <v>ua</v>
      </c>
      <c r="P82" s="122" t="str">
        <f t="shared" si="19"/>
        <v>ua(\d)</v>
      </c>
      <c r="Q82" s="125" t="s">
        <v>1227</v>
      </c>
      <c r="R82" s="125">
        <f t="shared" si="20"/>
        <v>1</v>
      </c>
      <c r="S82" s="122" t="str">
        <f t="shared" si="22"/>
        <v>》u${1}a</v>
      </c>
      <c r="T82" s="56"/>
      <c r="U82" s="57" t="str">
        <f t="shared" si="21"/>
        <v xml:space="preserve">    - xform/》ua(\d)/》u${1}a/</v>
      </c>
    </row>
    <row r="83" spans="1:21" ht="27.75" thickBot="1">
      <c r="A83" s="58">
        <f t="shared" si="16"/>
        <v>80</v>
      </c>
      <c r="B83" s="58" t="s">
        <v>285</v>
      </c>
      <c r="C83" s="58" t="s">
        <v>285</v>
      </c>
      <c r="D83" s="58" t="s">
        <v>285</v>
      </c>
      <c r="E83" s="58" t="str" cm="1">
        <f t="array" ref="E83" xml:space="preserve"> IFERROR( INDEX(韻母對照表[注音二式], MATCH(TRUE, EXACT('【韻】韻母清單（台語音標）'!$C83, 韻母對照表[台羅拼音]), 0)), "")</f>
        <v>ue</v>
      </c>
      <c r="F83" s="58" t="s">
        <v>285</v>
      </c>
      <c r="G83" s="60" t="str" cm="1">
        <f t="array" ref="G83" xml:space="preserve"> IFERROR( INDEX(韻母對照表[白話字], MATCH(TRUE, EXACT('【韻】韻母清單（台語音標）'!$C77, 韻母對照表[台羅拼音]), 0)), "")</f>
        <v>ng</v>
      </c>
      <c r="H83" s="55" t="str" cm="1">
        <f t="array" ref="H83" xml:space="preserve"> IFERROR( INDEX(韻母對照表[十五音識別碼], MATCH(TRUE, EXACT('【韻】韻母清單（台語音標）'!$C77, 韻母對照表[台羅拼音]), 0)), "")</f>
        <v>鋼舒</v>
      </c>
      <c r="I83" s="58" t="str" cm="1">
        <f t="array" ref="I83" xml:space="preserve"> IFERROR( INDEX(韻母對照表[方音符號], MATCH(TRUE, EXACT('【韻】韻母清單（台語音標）'!$C83, 韻母對照表[台羅拼音]), 0)), "")</f>
        <v>ㄨㆤ</v>
      </c>
      <c r="J83" s="58"/>
      <c r="K83" s="55">
        <f t="shared" si="15"/>
        <v>2</v>
      </c>
      <c r="L83" s="74"/>
      <c r="M83" s="58" t="str">
        <f t="shared" si="17"/>
        <v>ue</v>
      </c>
      <c r="N83" s="58" t="str">
        <f t="shared" si="18"/>
        <v>ue</v>
      </c>
      <c r="P83" s="122" t="str">
        <f t="shared" si="19"/>
        <v>ue(\d)</v>
      </c>
      <c r="Q83" s="125" t="s">
        <v>1227</v>
      </c>
      <c r="R83" s="125">
        <f t="shared" si="20"/>
        <v>1</v>
      </c>
      <c r="S83" s="122" t="str">
        <f t="shared" si="22"/>
        <v>》u${1}e</v>
      </c>
      <c r="T83" s="56"/>
      <c r="U83" s="57" t="str">
        <f t="shared" si="21"/>
        <v xml:space="preserve">    - xform/》ue(\d)/》u${1}e/</v>
      </c>
    </row>
    <row r="84" spans="1:21" ht="27.75" thickBot="1">
      <c r="A84" s="58">
        <f t="shared" si="16"/>
        <v>81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EXACT('【韻】韻母清單（台語音標）'!$C84, 韻母對照表[台羅拼音]), 0)), "")</f>
        <v>uh</v>
      </c>
      <c r="F84" s="58" t="s">
        <v>313</v>
      </c>
      <c r="G84" s="61" t="str" cm="1">
        <f t="array" ref="G84" xml:space="preserve"> IFERROR( INDEX(韻母對照表[白話字], MATCH(TRUE, EXACT('【韻】韻母清單（台語音標）'!$C78, 韻母對照表[台羅拼音]), 0)), "")</f>
        <v>oh</v>
      </c>
      <c r="H84" s="55" t="str" cm="1">
        <f t="array" ref="H84" xml:space="preserve"> IFERROR( INDEX(韻母對照表[十五音識別碼], MATCH(TRUE, EXACT('【韻】韻母清單（台語音標）'!$C78, 韻母對照表[台羅拼音]), 0)), "")</f>
        <v>高促</v>
      </c>
      <c r="I84" s="58" t="str" cm="1">
        <f t="array" ref="I84" xml:space="preserve"> IFERROR( INDEX(韻母對照表[方音符號], MATCH(TRUE, EXACT('【韻】韻母清單（台語音標）'!$C84, 韻母對照表[台羅拼音]), 0)), "")</f>
        <v>ㄨㆷ</v>
      </c>
      <c r="J84" s="58"/>
      <c r="K84" s="55">
        <f t="shared" si="15"/>
        <v>2</v>
      </c>
      <c r="L84" s="74"/>
      <c r="M84" s="58" t="str">
        <f t="shared" si="17"/>
        <v>uh</v>
      </c>
      <c r="N84" s="58" t="str">
        <f t="shared" si="18"/>
        <v>uh</v>
      </c>
      <c r="P84" s="122" t="str">
        <f t="shared" si="19"/>
        <v>uh(\d)</v>
      </c>
      <c r="Q84" s="125" t="s">
        <v>1227</v>
      </c>
      <c r="R84" s="125">
        <f t="shared" si="20"/>
        <v>1</v>
      </c>
      <c r="S84" s="122" t="str">
        <f t="shared" si="22"/>
        <v>》u${1}h</v>
      </c>
      <c r="T84" s="56"/>
      <c r="U84" s="57" t="str">
        <f t="shared" si="21"/>
        <v xml:space="preserve">    - xform/》uh(\d)/》u${1}h/</v>
      </c>
    </row>
    <row r="85" spans="1:21" ht="27.75" thickBot="1">
      <c r="A85" s="58">
        <f t="shared" si="16"/>
        <v>82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EXACT('【韻】韻母清單（台語音標）'!$C85, 韻母對照表[台羅拼音]), 0)), "")</f>
        <v>ui</v>
      </c>
      <c r="F85" s="58" t="s">
        <v>50</v>
      </c>
      <c r="G85" s="61" t="str" cm="1">
        <f t="array" ref="G85" xml:space="preserve"> IFERROR( INDEX(韻母對照表[白話字], MATCH(TRUE, EXACT('【韻】韻母清單（台語音標）'!$C79, 韻母對照表[台羅拼音]), 0)), "")</f>
        <v>ok</v>
      </c>
      <c r="H85" s="55" t="str" cm="1">
        <f t="array" ref="H85" xml:space="preserve"> IFERROR( INDEX(韻母對照表[十五音識別碼], MATCH(TRUE, EXACT('【韻】韻母清單（台語音標）'!$C79, 韻母對照表[台羅拼音]), 0)), "")</f>
        <v>公促</v>
      </c>
      <c r="I85" s="58" t="str" cm="1">
        <f t="array" ref="I85" xml:space="preserve"> IFERROR( INDEX(韻母對照表[方音符號], MATCH(TRUE, EXACT('【韻】韻母清單（台語音標）'!$C85, 韻母對照表[台羅拼音]), 0)), "")</f>
        <v>ㄨㄧ</v>
      </c>
      <c r="J85" s="58"/>
      <c r="K85" s="55">
        <f t="shared" si="15"/>
        <v>2</v>
      </c>
      <c r="L85" s="74"/>
      <c r="M85" s="58" t="str">
        <f t="shared" si="17"/>
        <v>ui</v>
      </c>
      <c r="N85" s="58" t="str">
        <f t="shared" si="18"/>
        <v>ui</v>
      </c>
      <c r="P85" s="122" t="str">
        <f t="shared" si="19"/>
        <v>ui(\d)</v>
      </c>
      <c r="Q85" s="125" t="s">
        <v>1227</v>
      </c>
      <c r="R85" s="125">
        <f t="shared" si="20"/>
        <v>1</v>
      </c>
      <c r="S85" s="122" t="str">
        <f t="shared" si="22"/>
        <v>》u${1}i</v>
      </c>
      <c r="T85" s="56"/>
      <c r="U85" s="57" t="str">
        <f t="shared" si="21"/>
        <v xml:space="preserve">    - xform/》ui(\d)/》u${1}i/</v>
      </c>
    </row>
    <row r="86" spans="1:21" ht="27.75" thickBot="1">
      <c r="A86" s="58">
        <f t="shared" si="16"/>
        <v>83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EXACT('【韻】韻母清單（台語音標）'!$C86, 韻母對照表[台羅拼音]), 0)), "")</f>
        <v>un</v>
      </c>
      <c r="F86" s="58" t="s">
        <v>14</v>
      </c>
      <c r="G86" s="61" t="str" cm="1">
        <f t="array" ref="G86" xml:space="preserve"> IFERROR( INDEX(韻母對照表[白話字], MATCH(TRUE, EXACT('【韻】韻母清單（台語音標）'!$C80, 韻母對照表[台羅拼音]), 0)), "")</f>
        <v>o͘</v>
      </c>
      <c r="H86" s="55" t="str" cm="1">
        <f t="array" ref="H86" xml:space="preserve"> IFERROR( INDEX(韻母對照表[十五音識別碼], MATCH(TRUE, EXACT('【韻】韻母清單（台語音標）'!$C80, 韻母對照表[台羅拼音]), 0)), "")</f>
        <v>沽舒</v>
      </c>
      <c r="I86" s="58" t="str" cm="1">
        <f t="array" ref="I86" xml:space="preserve"> IFERROR( INDEX(韻母對照表[方音符號], MATCH(TRUE, EXACT('【韻】韻母清單（台語音標）'!$C86, 韻母對照表[台羅拼音]), 0)), "")</f>
        <v>ㄨㄣ</v>
      </c>
      <c r="J86" s="58"/>
      <c r="K86" s="55">
        <f t="shared" si="15"/>
        <v>2</v>
      </c>
      <c r="L86" s="74"/>
      <c r="M86" s="58" t="str">
        <f t="shared" si="17"/>
        <v>un</v>
      </c>
      <c r="N86" s="58" t="str">
        <f t="shared" si="18"/>
        <v>un</v>
      </c>
      <c r="P86" s="122" t="str">
        <f t="shared" si="19"/>
        <v>un(\d)</v>
      </c>
      <c r="Q86" s="125" t="s">
        <v>1227</v>
      </c>
      <c r="R86" s="125">
        <f t="shared" si="20"/>
        <v>1</v>
      </c>
      <c r="S86" s="122" t="str">
        <f t="shared" si="22"/>
        <v>》u${1}n</v>
      </c>
      <c r="T86" s="56"/>
      <c r="U86" s="57" t="str">
        <f t="shared" si="21"/>
        <v xml:space="preserve">    - xform/》un(\d)/》u${1}n/</v>
      </c>
    </row>
    <row r="87" spans="1:21" ht="27.75" thickBot="1">
      <c r="A87" s="58">
        <f t="shared" si="16"/>
        <v>84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EXACT('【韻】韻母清單（台語音標）'!$C87, 韻母對照表[台羅拼音]), 0)), "")</f>
        <v>ut</v>
      </c>
      <c r="F87" s="58" t="s">
        <v>22</v>
      </c>
      <c r="G87" s="61" t="str" cm="1">
        <f t="array" ref="G87" xml:space="preserve"> IFERROR( INDEX(韻母對照表[白話字], MATCH(TRUE, EXACT('【韻】韻母清單（台語音標）'!$C81, 韻母對照表[台羅拼音]), 0)), "")</f>
        <v>op</v>
      </c>
      <c r="H87" s="55" t="str" cm="1">
        <f t="array" ref="H87" xml:space="preserve"> IFERROR( INDEX(韻母對照表[十五音識別碼], MATCH(TRUE, EXACT('【韻】韻母清單（台語音標）'!$C81, 韻母對照表[台羅拼音]), 0)), "")</f>
        <v>箴促</v>
      </c>
      <c r="I87" s="58" t="str" cm="1">
        <f t="array" ref="I87" xml:space="preserve"> IFERROR( INDEX(韻母對照表[方音符號], MATCH(TRUE, EXACT('【韻】韻母清單（台語音標）'!$C87, 韻母對照表[台羅拼音]), 0)), "")</f>
        <v>ㄨㆵ</v>
      </c>
      <c r="J87" s="58"/>
      <c r="K87" s="55">
        <f t="shared" si="15"/>
        <v>2</v>
      </c>
      <c r="L87" s="74"/>
      <c r="M87" s="58" t="str">
        <f t="shared" si="17"/>
        <v>ut</v>
      </c>
      <c r="N87" s="58" t="str">
        <f t="shared" si="18"/>
        <v>ut</v>
      </c>
      <c r="P87" s="122" t="str">
        <f t="shared" si="19"/>
        <v>ut(\d)</v>
      </c>
      <c r="Q87" s="125" t="s">
        <v>1227</v>
      </c>
      <c r="R87" s="125">
        <f t="shared" si="20"/>
        <v>1</v>
      </c>
      <c r="S87" s="122" t="str">
        <f t="shared" si="22"/>
        <v>》u${1}t</v>
      </c>
      <c r="T87" s="56"/>
      <c r="U87" s="57" t="str">
        <f t="shared" si="21"/>
        <v xml:space="preserve">    - xform/》ut(\d)/》u${1}t/</v>
      </c>
    </row>
    <row r="88" spans="1:21" ht="27.75" thickBot="1">
      <c r="A88" s="58">
        <f t="shared" si="16"/>
        <v>85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EXACT('【韻】韻母清單（台語音標）'!$C88,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EXACT('【韻】韻母清單（台語音標）'!$C88, 韻母對照表[台羅拼音]), 0)), "")</f>
        <v>om</v>
      </c>
      <c r="H88" s="55" t="str" cm="1">
        <f t="array" ref="H88" xml:space="preserve"> IFERROR( INDEX(韻母對照表[十五音識別碼], MATCH(TRUE, EXACT('【韻】韻母清單（台語音標）'!$C88, 韻母對照表[台羅拼音]), 0)), "")</f>
        <v>箴舒</v>
      </c>
      <c r="I88" s="137" t="s">
        <v>1338</v>
      </c>
      <c r="J88" s="58"/>
      <c r="K88" s="55">
        <f t="shared" si="15"/>
        <v>2</v>
      </c>
      <c r="L88" s="74"/>
      <c r="M88" s="58" t="str">
        <f t="shared" si="17"/>
        <v>om</v>
      </c>
      <c r="N88" s="58" t="str">
        <f t="shared" si="18"/>
        <v>om</v>
      </c>
      <c r="P88" s="122" t="str">
        <f t="shared" si="19"/>
        <v>om(\d)</v>
      </c>
      <c r="Q88" s="125" t="s">
        <v>1216</v>
      </c>
      <c r="R88" s="125">
        <f t="shared" si="20"/>
        <v>1</v>
      </c>
      <c r="S88" s="122" t="str">
        <f t="shared" si="22"/>
        <v>》o${1}m</v>
      </c>
      <c r="T88" s="56"/>
      <c r="U88" s="57" t="str">
        <f t="shared" si="21"/>
        <v xml:space="preserve">    - xform/》om(\d)/》o${1}m/</v>
      </c>
    </row>
    <row r="89" spans="1:21" ht="27.75" thickBot="1">
      <c r="A89" s="58">
        <f t="shared" si="16"/>
        <v>86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EXACT('【韻】韻母清單（台語音標）'!$C89, 韻母對照表[台羅拼音]), 0)), "")</f>
        <v/>
      </c>
      <c r="F89" s="58" t="str" cm="1">
        <f t="array" ref="F89" xml:space="preserve"> IFERROR( INDEX(韻母對照表[閩拼方案], MATCH(TRUE, EXACT('【韻】韻母清單（台語音標）'!$B91, 韻母對照表[國際音標]), 0)), "")</f>
        <v/>
      </c>
      <c r="G89" s="62" t="str" cm="1">
        <f t="array" ref="G89" xml:space="preserve"> IFERROR( INDEX(韻母對照表[白話字], MATCH(TRUE, EXACT('【韻】韻母清單（台語音標）'!$C91, 韻母對照表[台羅拼音]), 0)), "")</f>
        <v/>
      </c>
      <c r="H89" s="55" t="str" cm="1">
        <f t="array" ref="H89" xml:space="preserve"> IFERROR( INDEX(韻母對照表[十五音識別碼], MATCH(TRUE, EXACT('【韻】韻母清單（台語音標）'!$C91, 韻母對照表[台羅拼音]), 0)), "")</f>
        <v/>
      </c>
      <c r="I89" s="137" t="s">
        <v>1340</v>
      </c>
      <c r="J89" s="58"/>
      <c r="K89" s="55">
        <f t="shared" si="15"/>
        <v>2</v>
      </c>
      <c r="L89" s="74"/>
      <c r="M89" s="58" t="str">
        <f t="shared" si="17"/>
        <v>ei</v>
      </c>
      <c r="N89" s="58" t="str">
        <f t="shared" si="18"/>
        <v>ei</v>
      </c>
      <c r="P89" s="122" t="str">
        <f t="shared" si="19"/>
        <v>ei(\d)</v>
      </c>
      <c r="Q89" s="125" t="s">
        <v>1181</v>
      </c>
      <c r="R89" s="125">
        <f t="shared" si="20"/>
        <v>1</v>
      </c>
      <c r="S89" s="122" t="s">
        <v>1307</v>
      </c>
      <c r="T89" s="56"/>
      <c r="U89" s="57" t="str">
        <f t="shared" si="21"/>
        <v xml:space="preserve">    - xform/》ei(\d)/》e${1}i/</v>
      </c>
    </row>
    <row r="90" spans="1:21" ht="27.75" thickBot="1">
      <c r="A90" s="58">
        <f t="shared" si="16"/>
        <v>87</v>
      </c>
      <c r="B90" s="75" t="s">
        <v>907</v>
      </c>
      <c r="C90" s="58" t="s">
        <v>134</v>
      </c>
      <c r="D90" s="58" t="s">
        <v>134</v>
      </c>
      <c r="E90" s="58" t="str" cm="1">
        <f t="array" ref="E90" xml:space="preserve"> IFERROR( INDEX(韻母對照表[注音二式], MATCH(TRUE, EXACT('【韻】韻母清單（台語音標）'!$C90, 韻母對照表[台羅拼音]), 0)), "")</f>
        <v/>
      </c>
      <c r="F90" s="58" t="str" cm="1">
        <f t="array" ref="F90" xml:space="preserve"> IFERROR( INDEX(韻母對照表[閩拼方案], MATCH(TRUE, EXACT('【韻】韻母清單（台語音標）'!$B92, 韻母對照表[國際音標]), 0)), "")</f>
        <v/>
      </c>
      <c r="G90" s="62" t="str" cm="1">
        <f t="array" ref="G90" xml:space="preserve"> IFERROR( INDEX(韻母對照表[白話字], MATCH(TRUE, EXACT('【韻】韻母清單（台語音標）'!$C92, 韻母對照表[台羅拼音]), 0)), "")</f>
        <v/>
      </c>
      <c r="H90" s="55" t="str" cm="1">
        <f t="array" ref="H90" xml:space="preserve"> IFERROR( INDEX(韻母對照表[十五音識別碼], MATCH(TRUE, EXACT('【韻】韻母清單（台語音標）'!$C92, 韻母對照表[台羅拼音]), 0)), "")</f>
        <v/>
      </c>
      <c r="I90" s="137" t="s">
        <v>913</v>
      </c>
      <c r="J90" s="58"/>
      <c r="K90" s="55">
        <f t="shared" si="15"/>
        <v>2</v>
      </c>
      <c r="L90" s="74"/>
      <c r="M90" s="58" t="str">
        <f t="shared" si="17"/>
        <v>ou</v>
      </c>
      <c r="N90" s="58" t="str">
        <f t="shared" si="18"/>
        <v>ou</v>
      </c>
      <c r="P90" s="122" t="str">
        <f t="shared" si="19"/>
        <v>ou(\d)</v>
      </c>
      <c r="Q90" s="125" t="s">
        <v>1216</v>
      </c>
      <c r="R90" s="125">
        <f t="shared" si="20"/>
        <v>1</v>
      </c>
      <c r="S90" s="122" t="s">
        <v>1308</v>
      </c>
      <c r="T90" s="56"/>
      <c r="U90" s="57" t="str">
        <f t="shared" si="21"/>
        <v xml:space="preserve">    - xform/》ou(\d)/》o${1}u/</v>
      </c>
    </row>
    <row r="91" spans="1:21" ht="27.75" thickBot="1">
      <c r="A91" s="58">
        <f t="shared" si="16"/>
        <v>88</v>
      </c>
      <c r="B91" s="75" t="s">
        <v>862</v>
      </c>
      <c r="C91" s="58" t="s">
        <v>863</v>
      </c>
      <c r="D91" s="58" t="s">
        <v>863</v>
      </c>
      <c r="E91" s="58" t="str" cm="1">
        <f t="array" ref="E91" xml:space="preserve"> IFERROR( INDEX(韻母對照表[注音二式], MATCH(TRUE, EXACT('【韻】韻母清單（台語音標）'!$C91, 韻母對照表[台羅拼音]), 0)), "")</f>
        <v/>
      </c>
      <c r="F91" s="58" t="str" cm="1">
        <f t="array" ref="F91" xml:space="preserve"> IFERROR( INDEX(韻母對照表[閩拼方案], MATCH(TRUE, EXACT('【韻】韻母清單（台語音標）'!$B93, 韻母對照表[國際音標]), 0)), "")</f>
        <v/>
      </c>
      <c r="G91" s="62" t="str" cm="1">
        <f t="array" ref="G91" xml:space="preserve"> IFERROR( INDEX(韻母對照表[白話字], MATCH(TRUE, EXACT('【韻】韻母清單（台語音標）'!$C93, 韻母對照表[台羅拼音]), 0)), "")</f>
        <v/>
      </c>
      <c r="H91" s="55" t="str" cm="1">
        <f t="array" ref="H91" xml:space="preserve"> IFERROR( INDEX(韻母對照表[十五音識別碼], MATCH(TRUE, EXACT('【韻】韻母清單（台語音標）'!$C93, 韻母對照表[台羅拼音]), 0)), "")</f>
        <v/>
      </c>
      <c r="I91" s="138"/>
      <c r="J91" s="58"/>
      <c r="K91" s="55">
        <f t="shared" si="15"/>
        <v>2</v>
      </c>
      <c r="L91" s="74"/>
      <c r="M91" s="58" t="str">
        <f t="shared" si="17"/>
        <v>ae</v>
      </c>
      <c r="N91" s="58" t="str">
        <f t="shared" si="18"/>
        <v>ae</v>
      </c>
      <c r="P91" s="122" t="str">
        <f t="shared" si="19"/>
        <v>ae(\d)</v>
      </c>
      <c r="Q91" s="125" t="s">
        <v>1228</v>
      </c>
      <c r="R91" s="125">
        <f t="shared" si="20"/>
        <v>1</v>
      </c>
      <c r="S91" s="122" t="str">
        <f t="shared" si="22"/>
        <v>》a${1}e</v>
      </c>
      <c r="T91" s="56"/>
      <c r="U91" s="57" t="str">
        <f t="shared" si="21"/>
        <v xml:space="preserve">    - xform/》ae(\d)/》a${1}e/</v>
      </c>
    </row>
    <row r="92" spans="1:21" ht="27.75" thickBot="1">
      <c r="A92" s="58">
        <f t="shared" si="16"/>
        <v>89</v>
      </c>
      <c r="B92" s="75" t="s">
        <v>868</v>
      </c>
      <c r="C92" s="58" t="s">
        <v>843</v>
      </c>
      <c r="D92" s="58" t="s">
        <v>843</v>
      </c>
      <c r="E92" s="58" t="str" cm="1">
        <f t="array" ref="E92" xml:space="preserve"> IFERROR( INDEX(韻母對照表[注音二式], MATCH(TRUE, EXACT('【韻】韻母清單（台語音標）'!$C92, 韻母對照表[台羅拼音]), 0)), "")</f>
        <v/>
      </c>
      <c r="F92" s="58" t="str" cm="1">
        <f t="array" ref="F92" xml:space="preserve"> IFERROR( INDEX(韻母對照表[閩拼方案], MATCH(TRUE, EXACT('【韻】韻母清單（台語音標）'!$B96, 韻母對照表[國際音標]), 0)), "")</f>
        <v>i</v>
      </c>
      <c r="G92" s="62" t="str" cm="1">
        <f t="array" ref="G92" xml:space="preserve"> IFERROR( INDEX(韻母對照表[白話字], MATCH(TRUE, EXACT('【韻】韻母清單（台語音標）'!$C96, 韻母對照表[台羅拼音]), 0)), "")</f>
        <v>i</v>
      </c>
      <c r="H92" s="55" t="str" cm="1">
        <f t="array" ref="H92" xml:space="preserve"> IFERROR( INDEX(韻母對照表[十五音識別碼], MATCH(TRUE, EXACT('【韻】韻母清單（台語音標）'!$C96, 韻母對照表[台羅拼音]), 0)), "")</f>
        <v>居舒</v>
      </c>
      <c r="I92" s="138"/>
      <c r="J92" s="58"/>
      <c r="K92" s="55">
        <f t="shared" si="15"/>
        <v>2</v>
      </c>
      <c r="L92" s="74"/>
      <c r="M92" s="58" t="str">
        <f t="shared" si="17"/>
        <v>eu</v>
      </c>
      <c r="N92" s="58" t="str">
        <f t="shared" si="18"/>
        <v>eu</v>
      </c>
      <c r="P92" s="122" t="str">
        <f t="shared" si="19"/>
        <v>eu(\d)</v>
      </c>
      <c r="Q92" s="125" t="s">
        <v>1181</v>
      </c>
      <c r="R92" s="125">
        <f t="shared" si="20"/>
        <v>1</v>
      </c>
      <c r="S92" s="122" t="str">
        <f t="shared" si="22"/>
        <v>》e${1}u</v>
      </c>
      <c r="T92" s="56"/>
      <c r="U92" s="57" t="str">
        <f t="shared" si="21"/>
        <v xml:space="preserve">    - xform/》eu(\d)/》e${1}u/</v>
      </c>
    </row>
    <row r="93" spans="1:21" ht="27.75" thickBot="1">
      <c r="A93" s="58">
        <f t="shared" si="16"/>
        <v>90</v>
      </c>
      <c r="B93" s="75" t="s">
        <v>892</v>
      </c>
      <c r="C93" s="58" t="s">
        <v>116</v>
      </c>
      <c r="D93" s="58" t="s">
        <v>116</v>
      </c>
      <c r="E93" s="58" t="str" cm="1">
        <f t="array" ref="E93" xml:space="preserve"> IFERROR( INDEX(韻母對照表[注音二式], MATCH(TRUE, EXACT('【韻】韻母清單（台語音標）'!$C93, 韻母對照表[台羅拼音]), 0)), "")</f>
        <v/>
      </c>
      <c r="F93" s="58" t="str" cm="1">
        <f t="array" ref="F93" xml:space="preserve"> IFERROR( INDEX(韻母對照表[閩拼方案], MATCH(TRUE, EXACT('【韻】韻母清單（台語音標）'!$B99, 韻母對照表[國際音標]), 0)), "")</f>
        <v>u</v>
      </c>
      <c r="G93" s="60" t="str" cm="1">
        <f t="array" ref="G93" xml:space="preserve"> IFERROR( INDEX(韻母對照表[白話字], MATCH(TRUE, EXACT('【韻】韻母清單（台語音標）'!$C99, 韻母對照表[台羅拼音]), 0)), "")</f>
        <v>u</v>
      </c>
      <c r="H93" s="55" t="str" cm="1">
        <f t="array" ref="H93" xml:space="preserve"> IFERROR( INDEX(韻母對照表[十五音識別碼], MATCH(TRUE, EXACT('【韻】韻母清單（台語音標）'!$C99, 韻母對照表[台羅拼音]), 0)), "")</f>
        <v>艍舒</v>
      </c>
      <c r="I93" s="137" t="s">
        <v>1341</v>
      </c>
      <c r="J93" s="58"/>
      <c r="K93" s="55">
        <f t="shared" si="15"/>
        <v>2</v>
      </c>
      <c r="L93" s="74"/>
      <c r="M93" s="58" t="str">
        <f t="shared" si="17"/>
        <v>ek</v>
      </c>
      <c r="N93" s="58" t="str">
        <f t="shared" si="18"/>
        <v>ek</v>
      </c>
      <c r="P93" s="122" t="str">
        <f t="shared" si="19"/>
        <v>ek(\d)</v>
      </c>
      <c r="Q93" s="125" t="s">
        <v>1181</v>
      </c>
      <c r="R93" s="125">
        <f t="shared" si="20"/>
        <v>1</v>
      </c>
      <c r="S93" s="122" t="str">
        <f t="shared" si="22"/>
        <v>》e${1}k</v>
      </c>
      <c r="T93" s="56"/>
      <c r="U93" s="57" t="str">
        <f t="shared" si="21"/>
        <v xml:space="preserve">    - xform/》ek(\d)/》e${1}k/</v>
      </c>
    </row>
    <row r="94" spans="1:21" ht="27.75" thickBot="1">
      <c r="A94" s="58">
        <f t="shared" si="16"/>
        <v>91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EXACT('【韻】韻母清單（台語音標）'!$C94, 韻母對照表[台羅拼音]), 0)), "")</f>
        <v>a</v>
      </c>
      <c r="F94" s="58" t="s">
        <v>858</v>
      </c>
      <c r="G94" s="61" t="str" cm="1">
        <f t="array" ref="G94" xml:space="preserve"> IFERROR( INDEX(韻母對照表[白話字], MATCH(TRUE, EXACT('【韻】韻母清單（台語音標）'!$C82, 韻母對照表[台羅拼音]), 0)), "")</f>
        <v>oa</v>
      </c>
      <c r="H94" s="55" t="str" cm="1">
        <f t="array" ref="H94" xml:space="preserve"> IFERROR( INDEX(韻母對照表[十五音識別碼], MATCH(TRUE, EXACT('【韻】韻母清單（台語音標）'!$C82, 韻母對照表[台羅拼音]), 0)), "")</f>
        <v>瓜舒</v>
      </c>
      <c r="I94" s="58" t="str" cm="1">
        <f t="array" ref="I94" xml:space="preserve"> IFERROR( INDEX(韻母對照表[方音符號], MATCH(TRUE, EXACT('【韻】韻母清單（台語音標）'!$C94, 韻母對照表[台羅拼音]), 0)), "")</f>
        <v>ㄚ</v>
      </c>
      <c r="J94" s="58"/>
      <c r="K94" s="55">
        <f t="shared" si="15"/>
        <v>1</v>
      </c>
      <c r="L94" s="74"/>
      <c r="M94" s="58" t="str">
        <f t="shared" si="17"/>
        <v>a</v>
      </c>
      <c r="N94" s="58" t="str">
        <f t="shared" si="18"/>
        <v>a</v>
      </c>
      <c r="P94" s="122" t="str">
        <f t="shared" si="19"/>
        <v>a(\d)</v>
      </c>
      <c r="Q94" s="125" t="s">
        <v>1228</v>
      </c>
      <c r="R94" s="125">
        <f t="shared" si="20"/>
        <v>1</v>
      </c>
      <c r="S94" s="122" t="str">
        <f t="shared" si="22"/>
        <v>》a${1}</v>
      </c>
      <c r="T94" s="56"/>
      <c r="U94" s="57" t="str">
        <f t="shared" si="21"/>
        <v xml:space="preserve">    - xform/》a(\d)/》a${1}/</v>
      </c>
    </row>
    <row r="95" spans="1:21" ht="27.75" thickBot="1">
      <c r="A95" s="58">
        <f t="shared" si="16"/>
        <v>92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EXACT('【韻】韻母清單（台語音標）'!$C95, 韻母對照表[台羅拼音]), 0)), "")</f>
        <v>e</v>
      </c>
      <c r="F95" s="58" t="s">
        <v>60</v>
      </c>
      <c r="G95" s="61" t="str" cm="1">
        <f t="array" ref="G95" xml:space="preserve"> IFERROR( INDEX(韻母對照表[白話字], MATCH(TRUE, EXACT('【韻】韻母清單（台語音標）'!$C83, 韻母對照表[台羅拼音]), 0)), "")</f>
        <v>oe</v>
      </c>
      <c r="H95" s="55" t="str" cm="1">
        <f t="array" ref="H95" xml:space="preserve"> IFERROR( INDEX(韻母對照表[十五音識別碼], MATCH(TRUE, EXACT('【韻】韻母清單（台語音標）'!$C83, 韻母對照表[台羅拼音]), 0)), "")</f>
        <v>檜舒</v>
      </c>
      <c r="I95" s="58" t="str" cm="1">
        <f t="array" ref="I95" xml:space="preserve"> IFERROR( INDEX(韻母對照表[方音符號], MATCH(TRUE, EXACT('【韻】韻母清單（台語音標）'!$C95, 韻母對照表[台羅拼音]), 0)), "")</f>
        <v>ㆤ</v>
      </c>
      <c r="J95" s="58"/>
      <c r="K95" s="55">
        <f t="shared" si="15"/>
        <v>1</v>
      </c>
      <c r="L95" s="74"/>
      <c r="M95" s="58" t="str">
        <f t="shared" si="17"/>
        <v>e</v>
      </c>
      <c r="N95" s="58" t="str">
        <f t="shared" si="18"/>
        <v>e</v>
      </c>
      <c r="P95" s="122" t="str">
        <f t="shared" si="19"/>
        <v>e(\d)</v>
      </c>
      <c r="Q95" s="125" t="s">
        <v>1181</v>
      </c>
      <c r="R95" s="125">
        <f t="shared" si="20"/>
        <v>1</v>
      </c>
      <c r="S95" s="122" t="str">
        <f t="shared" si="22"/>
        <v>》e${1}</v>
      </c>
      <c r="T95" s="56"/>
      <c r="U95" s="57" t="str">
        <f t="shared" si="21"/>
        <v xml:space="preserve">    - xform/》e(\d)/》e${1}/</v>
      </c>
    </row>
    <row r="96" spans="1:21" ht="27.75" thickBot="1">
      <c r="A96" s="58">
        <f t="shared" si="16"/>
        <v>93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EXACT('【韻】韻母清單（台語音標）'!$C96, 韻母對照表[台羅拼音]), 0)), "")</f>
        <v>i</v>
      </c>
      <c r="F96" s="58" t="s">
        <v>324</v>
      </c>
      <c r="G96" s="61" t="str" cm="1">
        <f t="array" ref="G96" xml:space="preserve"> IFERROR( INDEX(韻母對照表[白話字], MATCH(TRUE, EXACT('【韻】韻母清單（台語音標）'!$C84, 韻母對照表[台羅拼音]), 0)), "")</f>
        <v>uh</v>
      </c>
      <c r="H96" s="55" t="str" cm="1">
        <f t="array" ref="H96" xml:space="preserve"> IFERROR( INDEX(韻母對照表[十五音識別碼], MATCH(TRUE, EXACT('【韻】韻母清單（台語音標）'!$C84, 韻母對照表[台羅拼音]), 0)), "")</f>
        <v>艍促</v>
      </c>
      <c r="I96" s="58" t="str" cm="1">
        <f t="array" ref="I96" xml:space="preserve"> IFERROR( INDEX(韻母對照表[方音符號], MATCH(TRUE, EXACT('【韻】韻母清單（台語音標）'!$C96, 韻母對照表[台羅拼音]), 0)), "")</f>
        <v>ㄧ</v>
      </c>
      <c r="J96" s="58"/>
      <c r="K96" s="55">
        <f t="shared" si="15"/>
        <v>1</v>
      </c>
      <c r="L96" s="74"/>
      <c r="M96" s="58" t="str">
        <f t="shared" si="17"/>
        <v>i</v>
      </c>
      <c r="N96" s="58" t="str">
        <f t="shared" si="18"/>
        <v>i</v>
      </c>
      <c r="P96" s="122" t="str">
        <f t="shared" si="19"/>
        <v>i(\d)</v>
      </c>
      <c r="Q96" s="125" t="s">
        <v>1229</v>
      </c>
      <c r="R96" s="125">
        <f t="shared" si="20"/>
        <v>1</v>
      </c>
      <c r="S96" s="122" t="str">
        <f t="shared" si="22"/>
        <v>》i${1}</v>
      </c>
      <c r="T96" s="56"/>
      <c r="U96" s="57" t="str">
        <f t="shared" si="21"/>
        <v xml:space="preserve">    - xform/》i(\d)/》i${1}/</v>
      </c>
    </row>
    <row r="97" spans="1:21" ht="27.75" thickBot="1">
      <c r="A97" s="58">
        <f t="shared" si="16"/>
        <v>94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EXACT('【韻】韻母清單（台語音標）'!$C97, 韻母對照表[台羅拼音]), 0)), "")</f>
        <v>m</v>
      </c>
      <c r="F97" s="58" t="s">
        <v>432</v>
      </c>
      <c r="G97" s="61" t="str" cm="1">
        <f t="array" ref="G97" xml:space="preserve"> IFERROR( INDEX(韻母對照表[白話字], MATCH(TRUE, EXACT('【韻】韻母清單（台語音標）'!$C85, 韻母對照表[台羅拼音]), 0)), "")</f>
        <v>ui</v>
      </c>
      <c r="H97" s="55" t="str" cm="1">
        <f t="array" ref="H97" xml:space="preserve"> IFERROR( INDEX(韻母對照表[十五音識別碼], MATCH(TRUE, EXACT('【韻】韻母清單（台語音標）'!$C85, 韻母對照表[台羅拼音]), 0)), "")</f>
        <v>規舒</v>
      </c>
      <c r="I97" s="58" t="str" cm="1">
        <f t="array" ref="I97" xml:space="preserve"> IFERROR( INDEX(韻母對照表[方音符號], MATCH(TRUE, EXACT('【韻】韻母清單（台語音標）'!$C97, 韻母對照表[台羅拼音]), 0)), "")</f>
        <v>ㆬ</v>
      </c>
      <c r="J97" s="58"/>
      <c r="K97" s="55">
        <f t="shared" si="15"/>
        <v>1</v>
      </c>
      <c r="L97" s="74"/>
      <c r="M97" s="58" t="str">
        <f t="shared" si="17"/>
        <v>m</v>
      </c>
      <c r="N97" s="58" t="str">
        <f t="shared" si="18"/>
        <v>m</v>
      </c>
      <c r="P97" s="122" t="str">
        <f t="shared" si="19"/>
        <v>m(\d)</v>
      </c>
      <c r="Q97" s="125" t="s">
        <v>1306</v>
      </c>
      <c r="R97" s="125">
        <f t="shared" si="20"/>
        <v>1</v>
      </c>
      <c r="S97" s="122" t="str">
        <f t="shared" si="22"/>
        <v>》m${1}</v>
      </c>
      <c r="T97" s="56"/>
      <c r="U97" s="57" t="str">
        <f t="shared" si="21"/>
        <v xml:space="preserve">    - xform/》m(\d)/》m${1}/</v>
      </c>
    </row>
    <row r="98" spans="1:21" ht="27.75" thickBot="1">
      <c r="A98" s="58">
        <f t="shared" si="16"/>
        <v>95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EXACT('【韻】韻母清單（台語音標）'!$C98, 韻母對照表[台羅拼音]), 0)), "")</f>
        <v>or</v>
      </c>
      <c r="F98" s="58" t="s">
        <v>171</v>
      </c>
      <c r="G98" s="61" t="str" cm="1">
        <f t="array" ref="G98" xml:space="preserve"> IFERROR( INDEX(韻母對照表[白話字], MATCH(TRUE, EXACT('【韻】韻母清單（台語音標）'!$C86, 韻母對照表[台羅拼音]), 0)), "")</f>
        <v>un</v>
      </c>
      <c r="H98" s="55" t="str" cm="1">
        <f t="array" ref="H98" xml:space="preserve"> IFERROR( INDEX(韻母對照表[十五音識別碼], MATCH(TRUE, EXACT('【韻】韻母清單（台語音標）'!$C86, 韻母對照表[台羅拼音]), 0)), "")</f>
        <v>君舒</v>
      </c>
      <c r="I98" s="58" t="str" cm="1">
        <f t="array" ref="I98" xml:space="preserve"> IFERROR( INDEX(韻母對照表[方音符號], MATCH(TRUE, EXACT('【韻】韻母清單（台語音標）'!$C98, 韻母對照表[台羅拼音]), 0)), "")</f>
        <v>ㄜ</v>
      </c>
      <c r="J98" s="58"/>
      <c r="K98" s="55">
        <f t="shared" si="15"/>
        <v>1</v>
      </c>
      <c r="L98" s="74"/>
      <c r="M98" s="58" t="str">
        <f t="shared" si="17"/>
        <v>o</v>
      </c>
      <c r="N98" s="58" t="str">
        <f t="shared" si="18"/>
        <v>o</v>
      </c>
      <c r="P98" s="122" t="str">
        <f t="shared" si="19"/>
        <v>o(\d)</v>
      </c>
      <c r="Q98" s="125" t="s">
        <v>1216</v>
      </c>
      <c r="R98" s="125">
        <f t="shared" si="20"/>
        <v>1</v>
      </c>
      <c r="S98" s="122" t="str">
        <f t="shared" si="22"/>
        <v>》o${1}</v>
      </c>
      <c r="T98" s="56"/>
      <c r="U98" s="57" t="str">
        <f t="shared" si="21"/>
        <v xml:space="preserve">    - xform/》o(\d)/》o${1}/</v>
      </c>
    </row>
    <row r="99" spans="1:21" ht="27.75" thickBot="1">
      <c r="A99" s="58">
        <f t="shared" si="16"/>
        <v>96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EXACT('【韻】韻母清單（台語音標）'!$C99, 韻母對照表[台羅拼音]), 0)), "")</f>
        <v>u</v>
      </c>
      <c r="F99" s="58" t="s">
        <v>308</v>
      </c>
      <c r="G99" s="61" t="str" cm="1">
        <f t="array" ref="G99" xml:space="preserve"> IFERROR( INDEX(韻母對照表[白話字], MATCH(TRUE, EXACT('【韻】韻母清單（台語音標）'!$C87, 韻母對照表[台羅拼音]), 0)), "")</f>
        <v>ut</v>
      </c>
      <c r="H99" s="55" t="str" cm="1">
        <f t="array" ref="H99" xml:space="preserve"> IFERROR( INDEX(韻母對照表[十五音識別碼], MATCH(TRUE, EXACT('【韻】韻母清單（台語音標）'!$C87, 韻母對照表[台羅拼音]), 0)), "")</f>
        <v>君促</v>
      </c>
      <c r="I99" s="58" t="str" cm="1">
        <f t="array" ref="I99" xml:space="preserve"> IFERROR( INDEX(韻母對照表[方音符號], MATCH(TRUE, EXACT('【韻】韻母清單（台語音標）'!$C99, 韻母對照表[台羅拼音]), 0)), "")</f>
        <v>ㄨ</v>
      </c>
      <c r="J99" s="58"/>
      <c r="K99" s="55">
        <f t="shared" si="15"/>
        <v>1</v>
      </c>
      <c r="L99" s="74"/>
      <c r="M99" s="58" t="str">
        <f t="shared" si="17"/>
        <v>u</v>
      </c>
      <c r="N99" s="58" t="str">
        <f t="shared" si="18"/>
        <v>u</v>
      </c>
      <c r="P99" s="122" t="str">
        <f t="shared" si="19"/>
        <v>u(\d)</v>
      </c>
      <c r="Q99" s="125" t="s">
        <v>1227</v>
      </c>
      <c r="R99" s="125">
        <f t="shared" si="20"/>
        <v>1</v>
      </c>
      <c r="S99" s="122" t="str">
        <f t="shared" si="22"/>
        <v>》u${1}</v>
      </c>
      <c r="T99" s="56"/>
      <c r="U99" s="57" t="str">
        <f t="shared" si="21"/>
        <v xml:space="preserve">    - xform/》u(\d)/》u${1}/</v>
      </c>
    </row>
    <row r="100" spans="1:21" ht="27" thickBot="1"/>
    <row r="101" spans="1:21" ht="48.75" thickBot="1">
      <c r="B101" s="59" t="s">
        <v>1314</v>
      </c>
      <c r="C101" s="59" t="s">
        <v>1319</v>
      </c>
      <c r="D101" s="59" t="s">
        <v>1319</v>
      </c>
    </row>
    <row r="102" spans="1:21" ht="27.75" thickBot="1">
      <c r="B102" s="58" t="s">
        <v>1315</v>
      </c>
      <c r="C102" s="58">
        <f xml:space="preserve"> HEX2DEC(VALUE(RIGHT(B102,4)))</f>
        <v>771</v>
      </c>
      <c r="D102" s="58" t="str">
        <f xml:space="preserve"> _xlfn.CONCAT("a", _xlfn.UNICHAR(HEX2DEC(RIGHT(B102,4))))</f>
        <v>ã</v>
      </c>
    </row>
    <row r="103" spans="1:21" ht="27.75" thickBot="1">
      <c r="B103" s="58" t="s">
        <v>1316</v>
      </c>
      <c r="C103" s="58">
        <f xml:space="preserve"> HEX2DEC(VALUE(RIGHT(B103,4)))</f>
        <v>660</v>
      </c>
      <c r="D103" s="58" t="str">
        <f xml:space="preserve"> _xlfn.CONCAT("a", _xlfn.UNICHAR(HEX2DEC(RIGHT(B103,4))))</f>
        <v>aʔ</v>
      </c>
    </row>
    <row r="104" spans="1:21" ht="27" thickBot="1"/>
    <row r="105" spans="1:21" ht="27.75" thickBot="1">
      <c r="B105" s="59" t="s">
        <v>1318</v>
      </c>
      <c r="C105" s="58">
        <f xml:space="preserve"> HEX2DEC(VALUE(RIGHT(B105,4)))</f>
        <v>2134</v>
      </c>
      <c r="D105" s="59" t="str">
        <f xml:space="preserve"> _xlfn.CONCAT("o", _xlfn.UNICHAR( RIGHT(B105,4)))</f>
        <v>o͘</v>
      </c>
    </row>
    <row r="106" spans="1:21" ht="27" thickBot="1">
      <c r="B106" s="59" t="s">
        <v>1317</v>
      </c>
      <c r="C106" s="59">
        <f xml:space="preserve"> _xlfn.UNICODE( RIGHT(B106,1) )</f>
        <v>856</v>
      </c>
      <c r="D106" s="59" t="str">
        <f xml:space="preserve"> _xlfn.CONCAT("o", _xlfn.UNICHAR(C106))</f>
        <v>o͘</v>
      </c>
    </row>
    <row r="107" spans="1:21" ht="27" thickBot="1"/>
    <row r="108" spans="1:21" ht="27.75" thickBot="1">
      <c r="B108" s="59" t="s">
        <v>1333</v>
      </c>
      <c r="C108" s="58" t="s">
        <v>1332</v>
      </c>
    </row>
    <row r="109" spans="1:21" ht="27.75" thickBot="1">
      <c r="B109" s="59" t="s">
        <v>1335</v>
      </c>
      <c r="C109" s="58" t="s">
        <v>1334</v>
      </c>
    </row>
  </sheetData>
  <autoFilter ref="B3:L99" xr:uid="{1D918839-8279-4205-A1C9-3667D2078600}"/>
  <sortState xmlns:xlrd2="http://schemas.microsoft.com/office/spreadsheetml/2017/richdata2" ref="A4:K99">
    <sortCondition ref="A4:A99"/>
  </sortState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3244F8-C6AC-4FDD-ADA9-DDCEF8FB7AC7}">
  <dimension ref="A1:S84"/>
  <sheetViews>
    <sheetView workbookViewId="0">
      <selection activeCell="A3" sqref="A3:B84"/>
    </sheetView>
  </sheetViews>
  <sheetFormatPr defaultRowHeight="25.5"/>
  <sheetData>
    <row r="1" spans="1:19">
      <c r="A1" t="s">
        <v>1342</v>
      </c>
    </row>
    <row r="2" spans="1:19">
      <c r="B2" t="s">
        <v>567</v>
      </c>
      <c r="C2" t="s">
        <v>584</v>
      </c>
      <c r="D2" t="s">
        <v>519</v>
      </c>
      <c r="E2" t="s">
        <v>539</v>
      </c>
      <c r="F2" t="s">
        <v>522</v>
      </c>
      <c r="G2" t="s">
        <v>432</v>
      </c>
      <c r="H2" t="s">
        <v>534</v>
      </c>
      <c r="I2" t="s">
        <v>544</v>
      </c>
      <c r="J2" t="s">
        <v>591</v>
      </c>
      <c r="K2" t="s">
        <v>515</v>
      </c>
      <c r="L2" t="s">
        <v>1343</v>
      </c>
      <c r="M2" t="s">
        <v>1344</v>
      </c>
      <c r="N2" t="s">
        <v>1345</v>
      </c>
      <c r="O2" t="s">
        <v>1346</v>
      </c>
      <c r="P2" t="s">
        <v>524</v>
      </c>
      <c r="Q2" t="s">
        <v>529</v>
      </c>
      <c r="R2" t="s">
        <v>527</v>
      </c>
      <c r="S2" t="s">
        <v>596</v>
      </c>
    </row>
    <row r="3" spans="1:19">
      <c r="A3" t="s">
        <v>316</v>
      </c>
      <c r="B3" t="s">
        <v>316</v>
      </c>
      <c r="C3" t="s">
        <v>1347</v>
      </c>
      <c r="D3" t="s">
        <v>1348</v>
      </c>
      <c r="E3" t="s">
        <v>1349</v>
      </c>
      <c r="F3" t="s">
        <v>1350</v>
      </c>
      <c r="G3" t="s">
        <v>1351</v>
      </c>
      <c r="H3" t="s">
        <v>1352</v>
      </c>
      <c r="I3" t="s">
        <v>1353</v>
      </c>
      <c r="J3" t="s">
        <v>299</v>
      </c>
      <c r="K3" t="s">
        <v>1354</v>
      </c>
      <c r="L3" t="s">
        <v>1355</v>
      </c>
      <c r="M3" t="s">
        <v>1356</v>
      </c>
      <c r="O3" t="s">
        <v>1357</v>
      </c>
      <c r="P3" t="s">
        <v>1358</v>
      </c>
      <c r="Q3" t="s">
        <v>1359</v>
      </c>
      <c r="R3" t="s">
        <v>1360</v>
      </c>
      <c r="S3" t="s">
        <v>1361</v>
      </c>
    </row>
    <row r="4" spans="1:19">
      <c r="A4" t="s">
        <v>1126</v>
      </c>
      <c r="B4" t="s">
        <v>297</v>
      </c>
      <c r="C4" t="s">
        <v>1362</v>
      </c>
      <c r="E4" t="s">
        <v>1363</v>
      </c>
      <c r="H4" t="s">
        <v>1364</v>
      </c>
      <c r="I4" t="s">
        <v>1365</v>
      </c>
      <c r="L4" t="s">
        <v>1366</v>
      </c>
      <c r="M4" t="s">
        <v>1367</v>
      </c>
      <c r="O4" t="s">
        <v>1368</v>
      </c>
      <c r="P4" t="s">
        <v>1369</v>
      </c>
      <c r="Q4" t="s">
        <v>1370</v>
      </c>
    </row>
    <row r="5" spans="1:19">
      <c r="A5" t="s">
        <v>833</v>
      </c>
      <c r="B5" t="s">
        <v>321</v>
      </c>
      <c r="C5" t="s">
        <v>1371</v>
      </c>
      <c r="D5" t="s">
        <v>1372</v>
      </c>
      <c r="E5" t="s">
        <v>1373</v>
      </c>
      <c r="F5" t="s">
        <v>1374</v>
      </c>
      <c r="G5" t="s">
        <v>1375</v>
      </c>
      <c r="H5" t="s">
        <v>1376</v>
      </c>
      <c r="I5" t="s">
        <v>1377</v>
      </c>
      <c r="J5" t="s">
        <v>305</v>
      </c>
      <c r="K5" t="s">
        <v>1378</v>
      </c>
      <c r="L5" t="s">
        <v>1379</v>
      </c>
      <c r="M5" t="s">
        <v>1380</v>
      </c>
      <c r="O5" t="s">
        <v>1381</v>
      </c>
      <c r="P5" t="s">
        <v>1382</v>
      </c>
      <c r="Q5" t="s">
        <v>1383</v>
      </c>
    </row>
    <row r="6" spans="1:19">
      <c r="A6" t="s">
        <v>813</v>
      </c>
      <c r="B6" t="s">
        <v>304</v>
      </c>
      <c r="C6" t="s">
        <v>1384</v>
      </c>
      <c r="O6" t="s">
        <v>1385</v>
      </c>
    </row>
    <row r="7" spans="1:19">
      <c r="A7" t="s">
        <v>211</v>
      </c>
      <c r="B7" t="s">
        <v>211</v>
      </c>
      <c r="C7" t="s">
        <v>1386</v>
      </c>
      <c r="H7" t="s">
        <v>1387</v>
      </c>
      <c r="I7" t="s">
        <v>1388</v>
      </c>
      <c r="K7" t="s">
        <v>1389</v>
      </c>
      <c r="L7" t="s">
        <v>1390</v>
      </c>
      <c r="M7" t="s">
        <v>1391</v>
      </c>
      <c r="O7" t="s">
        <v>1392</v>
      </c>
      <c r="P7" t="s">
        <v>1393</v>
      </c>
      <c r="Q7" t="s">
        <v>1394</v>
      </c>
      <c r="R7" t="s">
        <v>1395</v>
      </c>
    </row>
    <row r="8" spans="1:19">
      <c r="A8" t="s">
        <v>69</v>
      </c>
      <c r="B8" t="s">
        <v>69</v>
      </c>
      <c r="C8" t="s">
        <v>1396</v>
      </c>
      <c r="D8" t="s">
        <v>1397</v>
      </c>
      <c r="E8" t="s">
        <v>1398</v>
      </c>
      <c r="F8" t="s">
        <v>1399</v>
      </c>
      <c r="H8" t="s">
        <v>1400</v>
      </c>
      <c r="I8" t="s">
        <v>1401</v>
      </c>
      <c r="K8" t="s">
        <v>1402</v>
      </c>
      <c r="L8" t="s">
        <v>1403</v>
      </c>
      <c r="M8" t="s">
        <v>1404</v>
      </c>
      <c r="O8" t="s">
        <v>1405</v>
      </c>
      <c r="P8" t="s">
        <v>1406</v>
      </c>
      <c r="Q8" t="s">
        <v>1407</v>
      </c>
      <c r="R8" t="s">
        <v>1408</v>
      </c>
    </row>
    <row r="9" spans="1:19">
      <c r="A9" t="s">
        <v>235</v>
      </c>
      <c r="B9" t="s">
        <v>237</v>
      </c>
      <c r="C9" t="s">
        <v>1409</v>
      </c>
      <c r="D9" t="s">
        <v>1410</v>
      </c>
      <c r="E9" t="s">
        <v>1411</v>
      </c>
      <c r="F9" t="s">
        <v>1412</v>
      </c>
      <c r="H9" t="s">
        <v>1413</v>
      </c>
      <c r="I9" t="s">
        <v>1414</v>
      </c>
      <c r="K9" t="s">
        <v>1415</v>
      </c>
      <c r="L9" t="s">
        <v>1416</v>
      </c>
      <c r="M9" t="s">
        <v>1417</v>
      </c>
      <c r="O9" t="s">
        <v>1418</v>
      </c>
      <c r="P9" t="s">
        <v>1419</v>
      </c>
      <c r="Q9" t="s">
        <v>1420</v>
      </c>
      <c r="R9" t="s">
        <v>1421</v>
      </c>
    </row>
    <row r="10" spans="1:19">
      <c r="A10" t="s">
        <v>217</v>
      </c>
      <c r="B10" t="s">
        <v>219</v>
      </c>
      <c r="C10" t="s">
        <v>1422</v>
      </c>
      <c r="H10" t="s">
        <v>1423</v>
      </c>
      <c r="I10" t="s">
        <v>1424</v>
      </c>
      <c r="K10" t="s">
        <v>1425</v>
      </c>
      <c r="L10" t="s">
        <v>1426</v>
      </c>
      <c r="M10" t="s">
        <v>1427</v>
      </c>
      <c r="O10" t="s">
        <v>1428</v>
      </c>
      <c r="P10" t="s">
        <v>1429</v>
      </c>
      <c r="Q10" t="s">
        <v>1430</v>
      </c>
    </row>
    <row r="11" spans="1:19">
      <c r="A11" t="s">
        <v>75</v>
      </c>
      <c r="B11" t="s">
        <v>77</v>
      </c>
      <c r="C11" t="s">
        <v>1431</v>
      </c>
      <c r="D11" t="s">
        <v>1432</v>
      </c>
      <c r="E11" t="s">
        <v>1433</v>
      </c>
      <c r="F11" t="s">
        <v>1434</v>
      </c>
      <c r="H11" t="s">
        <v>1435</v>
      </c>
      <c r="I11" t="s">
        <v>1436</v>
      </c>
      <c r="K11" t="s">
        <v>1437</v>
      </c>
      <c r="L11" t="s">
        <v>1438</v>
      </c>
      <c r="M11" t="s">
        <v>1439</v>
      </c>
      <c r="O11" t="s">
        <v>1440</v>
      </c>
      <c r="P11" t="s">
        <v>1441</v>
      </c>
      <c r="Q11" t="s">
        <v>1442</v>
      </c>
    </row>
    <row r="12" spans="1:19">
      <c r="A12" t="s">
        <v>241</v>
      </c>
      <c r="B12" t="s">
        <v>243</v>
      </c>
      <c r="C12" t="s">
        <v>1443</v>
      </c>
      <c r="D12" t="s">
        <v>1444</v>
      </c>
      <c r="E12" t="s">
        <v>1445</v>
      </c>
      <c r="F12" t="s">
        <v>1446</v>
      </c>
      <c r="H12" t="s">
        <v>1447</v>
      </c>
      <c r="I12" t="s">
        <v>1448</v>
      </c>
      <c r="K12" t="s">
        <v>1449</v>
      </c>
      <c r="L12" t="s">
        <v>1450</v>
      </c>
      <c r="M12" t="s">
        <v>1451</v>
      </c>
      <c r="O12" t="s">
        <v>1452</v>
      </c>
      <c r="P12" t="s">
        <v>1453</v>
      </c>
      <c r="Q12" t="s">
        <v>1454</v>
      </c>
      <c r="R12" t="s">
        <v>1455</v>
      </c>
    </row>
    <row r="13" spans="1:19">
      <c r="A13" t="s">
        <v>1145</v>
      </c>
      <c r="B13" t="s">
        <v>183</v>
      </c>
      <c r="C13" t="s">
        <v>1456</v>
      </c>
      <c r="D13" t="s">
        <v>1457</v>
      </c>
      <c r="E13" t="s">
        <v>1458</v>
      </c>
      <c r="F13" t="s">
        <v>1459</v>
      </c>
      <c r="G13" t="s">
        <v>1460</v>
      </c>
      <c r="H13" t="s">
        <v>1461</v>
      </c>
      <c r="I13" t="s">
        <v>1462</v>
      </c>
      <c r="J13" t="s">
        <v>419</v>
      </c>
      <c r="K13" t="s">
        <v>1463</v>
      </c>
      <c r="L13" t="s">
        <v>1464</v>
      </c>
      <c r="M13" t="s">
        <v>1465</v>
      </c>
      <c r="O13" t="s">
        <v>1466</v>
      </c>
      <c r="P13" t="s">
        <v>1467</v>
      </c>
      <c r="Q13" t="s">
        <v>1468</v>
      </c>
      <c r="R13" t="s">
        <v>1469</v>
      </c>
      <c r="S13" t="s">
        <v>1470</v>
      </c>
    </row>
    <row r="14" spans="1:19">
      <c r="A14" t="s">
        <v>1471</v>
      </c>
      <c r="B14" t="s">
        <v>417</v>
      </c>
      <c r="C14" t="s">
        <v>1472</v>
      </c>
      <c r="E14" t="s">
        <v>1473</v>
      </c>
      <c r="H14" t="s">
        <v>1474</v>
      </c>
      <c r="L14" t="s">
        <v>1475</v>
      </c>
      <c r="P14" t="s">
        <v>1476</v>
      </c>
      <c r="Q14" t="s">
        <v>1477</v>
      </c>
    </row>
    <row r="15" spans="1:19">
      <c r="A15" t="s">
        <v>1478</v>
      </c>
      <c r="B15" t="s">
        <v>1479</v>
      </c>
      <c r="C15" t="s">
        <v>1480</v>
      </c>
      <c r="K15" t="s">
        <v>1481</v>
      </c>
      <c r="O15" t="s">
        <v>1482</v>
      </c>
    </row>
    <row r="16" spans="1:19">
      <c r="A16" t="s">
        <v>260</v>
      </c>
      <c r="B16" t="s">
        <v>260</v>
      </c>
      <c r="C16" t="s">
        <v>1483</v>
      </c>
      <c r="D16" t="s">
        <v>1484</v>
      </c>
      <c r="E16" t="s">
        <v>1485</v>
      </c>
      <c r="F16" t="s">
        <v>1486</v>
      </c>
      <c r="G16" t="s">
        <v>1487</v>
      </c>
      <c r="H16" t="s">
        <v>1488</v>
      </c>
      <c r="I16" t="s">
        <v>1489</v>
      </c>
      <c r="J16" t="s">
        <v>1490</v>
      </c>
      <c r="K16" t="s">
        <v>1491</v>
      </c>
      <c r="L16" t="s">
        <v>1492</v>
      </c>
      <c r="M16" t="s">
        <v>1493</v>
      </c>
      <c r="O16" t="s">
        <v>1494</v>
      </c>
      <c r="P16" t="s">
        <v>1495</v>
      </c>
      <c r="Q16" t="s">
        <v>1496</v>
      </c>
      <c r="R16" t="s">
        <v>1497</v>
      </c>
      <c r="S16" t="s">
        <v>1498</v>
      </c>
    </row>
    <row r="17" spans="1:19">
      <c r="A17" t="s">
        <v>798</v>
      </c>
      <c r="B17" t="s">
        <v>267</v>
      </c>
      <c r="E17" t="s">
        <v>1499</v>
      </c>
      <c r="G17" t="s">
        <v>1500</v>
      </c>
      <c r="H17" t="s">
        <v>1501</v>
      </c>
      <c r="J17" t="s">
        <v>1502</v>
      </c>
      <c r="K17" t="s">
        <v>1503</v>
      </c>
      <c r="M17" t="s">
        <v>1504</v>
      </c>
      <c r="P17" t="s">
        <v>1505</v>
      </c>
      <c r="S17" t="s">
        <v>1506</v>
      </c>
    </row>
    <row r="18" spans="1:19" s="139" customFormat="1">
      <c r="A18" s="139" t="s">
        <v>60</v>
      </c>
      <c r="B18" s="139" t="s">
        <v>60</v>
      </c>
      <c r="C18" s="139" t="s">
        <v>1507</v>
      </c>
      <c r="D18" s="139" t="s">
        <v>1508</v>
      </c>
      <c r="E18" s="139" t="s">
        <v>1509</v>
      </c>
      <c r="F18" s="139" t="s">
        <v>1510</v>
      </c>
      <c r="G18" s="139" t="s">
        <v>1511</v>
      </c>
      <c r="H18" s="139" t="s">
        <v>1512</v>
      </c>
      <c r="I18" s="139" t="s">
        <v>1513</v>
      </c>
      <c r="J18" s="139" t="s">
        <v>342</v>
      </c>
      <c r="K18" s="139" t="s">
        <v>1514</v>
      </c>
      <c r="L18" s="139" t="s">
        <v>1515</v>
      </c>
      <c r="M18" s="139" t="s">
        <v>1516</v>
      </c>
      <c r="O18" s="139" t="s">
        <v>1517</v>
      </c>
      <c r="P18" s="139" t="s">
        <v>1518</v>
      </c>
      <c r="Q18" s="139" t="s">
        <v>1519</v>
      </c>
      <c r="R18" s="139" t="s">
        <v>1520</v>
      </c>
      <c r="S18" s="139" t="s">
        <v>1521</v>
      </c>
    </row>
    <row r="19" spans="1:19" s="139" customFormat="1">
      <c r="A19" s="139" t="s">
        <v>1154</v>
      </c>
      <c r="B19" s="139" t="s">
        <v>340</v>
      </c>
      <c r="C19" s="139" t="s">
        <v>1522</v>
      </c>
      <c r="D19" s="139" t="s">
        <v>1523</v>
      </c>
      <c r="E19" s="139" t="s">
        <v>1524</v>
      </c>
      <c r="H19" s="139" t="s">
        <v>1525</v>
      </c>
      <c r="I19" s="139" t="s">
        <v>1526</v>
      </c>
      <c r="L19" s="139" t="s">
        <v>1527</v>
      </c>
      <c r="M19" s="139" t="s">
        <v>1528</v>
      </c>
      <c r="O19" s="139" t="s">
        <v>1529</v>
      </c>
      <c r="P19" s="139" t="s">
        <v>1530</v>
      </c>
      <c r="Q19" s="139" t="s">
        <v>1531</v>
      </c>
    </row>
    <row r="20" spans="1:19" s="139" customFormat="1">
      <c r="A20" s="139" t="s">
        <v>840</v>
      </c>
      <c r="B20" s="139" t="s">
        <v>65</v>
      </c>
      <c r="C20" s="139" t="s">
        <v>1532</v>
      </c>
      <c r="D20" s="139" t="s">
        <v>1533</v>
      </c>
      <c r="E20" s="139" t="s">
        <v>1534</v>
      </c>
      <c r="F20" s="139" t="s">
        <v>1535</v>
      </c>
      <c r="G20" s="139" t="s">
        <v>1536</v>
      </c>
      <c r="H20" s="139" t="s">
        <v>1537</v>
      </c>
      <c r="I20" s="139" t="s">
        <v>1538</v>
      </c>
      <c r="J20" s="139" t="s">
        <v>1539</v>
      </c>
      <c r="K20" s="139" t="s">
        <v>1540</v>
      </c>
      <c r="L20" s="139" t="s">
        <v>1541</v>
      </c>
      <c r="M20" s="139" t="s">
        <v>1542</v>
      </c>
      <c r="O20" s="139" t="s">
        <v>1543</v>
      </c>
      <c r="P20" s="139" t="s">
        <v>1544</v>
      </c>
      <c r="Q20" s="139" t="s">
        <v>1545</v>
      </c>
      <c r="R20" s="139" t="s">
        <v>1546</v>
      </c>
      <c r="S20" s="139" t="s">
        <v>1547</v>
      </c>
    </row>
    <row r="21" spans="1:19" s="139" customFormat="1">
      <c r="A21" s="139" t="s">
        <v>1548</v>
      </c>
      <c r="B21" s="139" t="s">
        <v>346</v>
      </c>
      <c r="C21" s="139" t="s">
        <v>1549</v>
      </c>
      <c r="Q21" s="139" t="s">
        <v>1550</v>
      </c>
    </row>
    <row r="22" spans="1:19">
      <c r="A22" t="s">
        <v>324</v>
      </c>
      <c r="B22" t="s">
        <v>324</v>
      </c>
      <c r="C22" t="s">
        <v>1551</v>
      </c>
      <c r="D22" t="s">
        <v>1552</v>
      </c>
      <c r="E22" t="s">
        <v>1553</v>
      </c>
      <c r="F22" t="s">
        <v>1554</v>
      </c>
      <c r="G22" t="s">
        <v>1555</v>
      </c>
      <c r="H22" t="s">
        <v>1556</v>
      </c>
      <c r="I22" t="s">
        <v>1557</v>
      </c>
      <c r="J22" t="s">
        <v>372</v>
      </c>
      <c r="K22" t="s">
        <v>1558</v>
      </c>
      <c r="L22" t="s">
        <v>609</v>
      </c>
      <c r="M22" t="s">
        <v>615</v>
      </c>
      <c r="N22" t="s">
        <v>602</v>
      </c>
      <c r="O22" t="s">
        <v>620</v>
      </c>
      <c r="P22" t="s">
        <v>1559</v>
      </c>
      <c r="Q22" t="s">
        <v>1560</v>
      </c>
      <c r="R22" t="s">
        <v>1561</v>
      </c>
      <c r="S22" t="s">
        <v>1562</v>
      </c>
    </row>
    <row r="23" spans="1:19">
      <c r="A23" t="s">
        <v>367</v>
      </c>
      <c r="B23" t="s">
        <v>370</v>
      </c>
      <c r="C23" t="s">
        <v>1563</v>
      </c>
      <c r="D23" t="s">
        <v>1564</v>
      </c>
      <c r="E23" t="s">
        <v>1565</v>
      </c>
      <c r="H23" t="s">
        <v>1566</v>
      </c>
      <c r="I23" t="s">
        <v>1567</v>
      </c>
      <c r="L23" t="s">
        <v>1568</v>
      </c>
      <c r="M23" t="s">
        <v>1569</v>
      </c>
      <c r="O23" t="s">
        <v>1570</v>
      </c>
      <c r="P23" t="s">
        <v>1571</v>
      </c>
      <c r="Q23" t="s">
        <v>1572</v>
      </c>
    </row>
    <row r="24" spans="1:19">
      <c r="A24" t="s">
        <v>848</v>
      </c>
      <c r="B24" t="s">
        <v>329</v>
      </c>
      <c r="D24" t="s">
        <v>1573</v>
      </c>
      <c r="E24" t="s">
        <v>1574</v>
      </c>
      <c r="F24" t="s">
        <v>1575</v>
      </c>
      <c r="G24" t="s">
        <v>1576</v>
      </c>
      <c r="H24" t="s">
        <v>1577</v>
      </c>
      <c r="I24" t="s">
        <v>1578</v>
      </c>
      <c r="J24" t="s">
        <v>377</v>
      </c>
      <c r="K24" t="s">
        <v>1579</v>
      </c>
      <c r="L24" t="s">
        <v>1580</v>
      </c>
      <c r="M24" t="s">
        <v>1581</v>
      </c>
      <c r="O24" t="s">
        <v>1582</v>
      </c>
      <c r="P24" t="s">
        <v>1583</v>
      </c>
      <c r="Q24" t="s">
        <v>1584</v>
      </c>
    </row>
    <row r="25" spans="1:19">
      <c r="A25" t="s">
        <v>38</v>
      </c>
      <c r="B25" t="s">
        <v>38</v>
      </c>
      <c r="C25" t="s">
        <v>1585</v>
      </c>
      <c r="H25" t="s">
        <v>1586</v>
      </c>
      <c r="I25" t="s">
        <v>1587</v>
      </c>
      <c r="K25" t="s">
        <v>1588</v>
      </c>
      <c r="L25" t="s">
        <v>1589</v>
      </c>
      <c r="M25" t="s">
        <v>1590</v>
      </c>
      <c r="N25" t="s">
        <v>1591</v>
      </c>
      <c r="O25" t="s">
        <v>1592</v>
      </c>
      <c r="P25" t="s">
        <v>1593</v>
      </c>
      <c r="Q25" t="s">
        <v>1594</v>
      </c>
      <c r="R25" t="s">
        <v>1595</v>
      </c>
    </row>
    <row r="26" spans="1:19">
      <c r="A26" t="s">
        <v>189</v>
      </c>
      <c r="B26" t="s">
        <v>189</v>
      </c>
      <c r="C26" t="s">
        <v>1596</v>
      </c>
      <c r="D26" t="s">
        <v>1597</v>
      </c>
      <c r="E26" t="s">
        <v>1598</v>
      </c>
      <c r="F26" t="s">
        <v>1599</v>
      </c>
      <c r="H26" t="s">
        <v>1600</v>
      </c>
      <c r="I26" t="s">
        <v>1601</v>
      </c>
      <c r="K26" t="s">
        <v>1602</v>
      </c>
      <c r="L26" t="s">
        <v>1603</v>
      </c>
      <c r="M26" t="s">
        <v>1604</v>
      </c>
      <c r="N26" t="s">
        <v>1605</v>
      </c>
      <c r="O26" t="s">
        <v>1606</v>
      </c>
      <c r="P26" t="s">
        <v>1607</v>
      </c>
      <c r="Q26" t="s">
        <v>1608</v>
      </c>
      <c r="R26" t="s">
        <v>1609</v>
      </c>
    </row>
    <row r="27" spans="1:19">
      <c r="A27" t="s">
        <v>106</v>
      </c>
      <c r="B27" t="s">
        <v>109</v>
      </c>
      <c r="C27" t="s">
        <v>1610</v>
      </c>
      <c r="D27" t="s">
        <v>1611</v>
      </c>
      <c r="E27" t="s">
        <v>1612</v>
      </c>
      <c r="F27" t="s">
        <v>1613</v>
      </c>
      <c r="H27" t="s">
        <v>1614</v>
      </c>
      <c r="I27" t="s">
        <v>1615</v>
      </c>
      <c r="K27" t="s">
        <v>1616</v>
      </c>
      <c r="L27" t="s">
        <v>1617</v>
      </c>
      <c r="M27" t="s">
        <v>1618</v>
      </c>
      <c r="O27" t="s">
        <v>1619</v>
      </c>
      <c r="P27" t="s">
        <v>1620</v>
      </c>
      <c r="Q27" t="s">
        <v>1621</v>
      </c>
      <c r="R27" t="s">
        <v>1622</v>
      </c>
    </row>
    <row r="28" spans="1:19">
      <c r="A28" t="s">
        <v>44</v>
      </c>
      <c r="B28" t="s">
        <v>46</v>
      </c>
      <c r="C28" t="s">
        <v>1623</v>
      </c>
      <c r="K28" t="s">
        <v>1624</v>
      </c>
      <c r="L28" t="s">
        <v>1625</v>
      </c>
      <c r="M28" t="s">
        <v>1626</v>
      </c>
      <c r="N28" t="s">
        <v>1627</v>
      </c>
      <c r="O28" t="s">
        <v>1628</v>
      </c>
      <c r="P28" t="s">
        <v>1629</v>
      </c>
      <c r="Q28" t="s">
        <v>1630</v>
      </c>
    </row>
    <row r="29" spans="1:19">
      <c r="A29" t="s">
        <v>195</v>
      </c>
      <c r="B29" t="s">
        <v>197</v>
      </c>
      <c r="C29" t="s">
        <v>1631</v>
      </c>
      <c r="D29" t="s">
        <v>1632</v>
      </c>
      <c r="E29" t="s">
        <v>1633</v>
      </c>
      <c r="F29" t="s">
        <v>1634</v>
      </c>
      <c r="H29" t="s">
        <v>1635</v>
      </c>
      <c r="I29" t="s">
        <v>1636</v>
      </c>
      <c r="K29" t="s">
        <v>1637</v>
      </c>
      <c r="L29" t="s">
        <v>1638</v>
      </c>
      <c r="M29" t="s">
        <v>1639</v>
      </c>
      <c r="N29" t="s">
        <v>1640</v>
      </c>
      <c r="O29" t="s">
        <v>1641</v>
      </c>
      <c r="P29" t="s">
        <v>1642</v>
      </c>
      <c r="Q29" t="s">
        <v>1643</v>
      </c>
    </row>
    <row r="30" spans="1:19">
      <c r="A30" t="s">
        <v>1644</v>
      </c>
      <c r="B30" t="s">
        <v>115</v>
      </c>
      <c r="C30" t="s">
        <v>1645</v>
      </c>
      <c r="D30" t="s">
        <v>1646</v>
      </c>
      <c r="E30" t="s">
        <v>1647</v>
      </c>
      <c r="F30" t="s">
        <v>1648</v>
      </c>
      <c r="H30" t="s">
        <v>1649</v>
      </c>
      <c r="I30" t="s">
        <v>1650</v>
      </c>
      <c r="K30" t="s">
        <v>1651</v>
      </c>
      <c r="L30" t="s">
        <v>1652</v>
      </c>
      <c r="M30" t="s">
        <v>1653</v>
      </c>
      <c r="N30" t="s">
        <v>1654</v>
      </c>
      <c r="O30" t="s">
        <v>1655</v>
      </c>
      <c r="P30" t="s">
        <v>1656</v>
      </c>
      <c r="Q30" t="s">
        <v>1657</v>
      </c>
      <c r="R30" t="s">
        <v>1658</v>
      </c>
    </row>
    <row r="31" spans="1:19">
      <c r="A31" t="s">
        <v>1174</v>
      </c>
      <c r="B31" t="s">
        <v>272</v>
      </c>
      <c r="C31" t="s">
        <v>1659</v>
      </c>
      <c r="G31" t="s">
        <v>1660</v>
      </c>
      <c r="H31" t="s">
        <v>1661</v>
      </c>
      <c r="J31" t="s">
        <v>394</v>
      </c>
      <c r="K31" t="s">
        <v>1662</v>
      </c>
      <c r="L31" t="s">
        <v>1663</v>
      </c>
      <c r="M31" t="s">
        <v>1664</v>
      </c>
      <c r="N31" t="s">
        <v>1665</v>
      </c>
      <c r="O31" t="s">
        <v>1666</v>
      </c>
      <c r="P31" t="s">
        <v>1667</v>
      </c>
      <c r="Q31" t="s">
        <v>1668</v>
      </c>
      <c r="R31" t="s">
        <v>1669</v>
      </c>
      <c r="S31" t="s">
        <v>1670</v>
      </c>
    </row>
    <row r="32" spans="1:19">
      <c r="A32" t="s">
        <v>1671</v>
      </c>
      <c r="B32" t="s">
        <v>391</v>
      </c>
      <c r="C32" t="s">
        <v>1672</v>
      </c>
      <c r="D32" t="s">
        <v>1673</v>
      </c>
      <c r="E32" t="s">
        <v>1674</v>
      </c>
      <c r="H32" t="s">
        <v>1675</v>
      </c>
      <c r="I32" t="s">
        <v>1676</v>
      </c>
      <c r="L32" t="s">
        <v>1677</v>
      </c>
      <c r="M32" t="s">
        <v>1678</v>
      </c>
      <c r="O32" t="s">
        <v>1679</v>
      </c>
      <c r="P32" t="s">
        <v>1680</v>
      </c>
      <c r="Q32" t="s">
        <v>1681</v>
      </c>
    </row>
    <row r="33" spans="1:19">
      <c r="A33" t="s">
        <v>1682</v>
      </c>
      <c r="B33" t="s">
        <v>278</v>
      </c>
      <c r="C33" t="s">
        <v>1683</v>
      </c>
      <c r="D33" t="s">
        <v>1684</v>
      </c>
      <c r="E33" t="s">
        <v>1685</v>
      </c>
      <c r="H33" t="s">
        <v>1686</v>
      </c>
      <c r="I33" t="s">
        <v>1687</v>
      </c>
      <c r="K33" t="s">
        <v>1688</v>
      </c>
      <c r="L33" t="s">
        <v>1689</v>
      </c>
      <c r="M33" t="s">
        <v>1690</v>
      </c>
      <c r="N33" t="s">
        <v>1691</v>
      </c>
      <c r="O33" t="s">
        <v>1692</v>
      </c>
      <c r="P33" t="s">
        <v>1693</v>
      </c>
      <c r="Q33" t="s">
        <v>1694</v>
      </c>
      <c r="R33" t="s">
        <v>1695</v>
      </c>
    </row>
    <row r="34" spans="1:19">
      <c r="A34" t="s">
        <v>791</v>
      </c>
      <c r="B34" t="s">
        <v>392</v>
      </c>
      <c r="C34" t="s">
        <v>1696</v>
      </c>
      <c r="O34" t="s">
        <v>1697</v>
      </c>
    </row>
    <row r="35" spans="1:19">
      <c r="A35" t="s">
        <v>1698</v>
      </c>
      <c r="B35" t="s">
        <v>247</v>
      </c>
      <c r="C35" t="s">
        <v>1699</v>
      </c>
      <c r="H35" t="s">
        <v>1700</v>
      </c>
      <c r="I35" t="s">
        <v>1701</v>
      </c>
      <c r="K35" t="s">
        <v>1702</v>
      </c>
      <c r="L35" t="s">
        <v>1703</v>
      </c>
      <c r="M35" t="s">
        <v>1704</v>
      </c>
      <c r="N35" t="s">
        <v>1705</v>
      </c>
      <c r="O35" t="s">
        <v>1706</v>
      </c>
      <c r="P35" t="s">
        <v>1707</v>
      </c>
      <c r="Q35" t="s">
        <v>1708</v>
      </c>
      <c r="R35" t="s">
        <v>1709</v>
      </c>
    </row>
    <row r="36" spans="1:19">
      <c r="A36" t="s">
        <v>1710</v>
      </c>
      <c r="B36" t="s">
        <v>27</v>
      </c>
      <c r="C36" t="s">
        <v>1711</v>
      </c>
      <c r="D36" t="s">
        <v>1712</v>
      </c>
      <c r="E36" t="s">
        <v>1713</v>
      </c>
      <c r="F36" t="s">
        <v>1714</v>
      </c>
      <c r="H36" t="s">
        <v>1715</v>
      </c>
      <c r="I36" t="s">
        <v>1716</v>
      </c>
      <c r="K36" t="s">
        <v>1717</v>
      </c>
      <c r="L36" t="s">
        <v>1718</v>
      </c>
      <c r="M36" t="s">
        <v>1719</v>
      </c>
      <c r="N36" t="s">
        <v>1720</v>
      </c>
      <c r="O36" t="s">
        <v>1721</v>
      </c>
      <c r="P36" t="s">
        <v>1722</v>
      </c>
      <c r="Q36" t="s">
        <v>1723</v>
      </c>
      <c r="R36" t="s">
        <v>1724</v>
      </c>
    </row>
    <row r="37" spans="1:19" s="139" customFormat="1">
      <c r="A37" s="139" t="s">
        <v>1170</v>
      </c>
      <c r="B37" s="139" t="s">
        <v>203</v>
      </c>
      <c r="C37" s="139" t="s">
        <v>1725</v>
      </c>
      <c r="D37" s="139" t="s">
        <v>1726</v>
      </c>
      <c r="E37" s="139" t="s">
        <v>1727</v>
      </c>
      <c r="K37" s="139" t="s">
        <v>1728</v>
      </c>
      <c r="L37" s="139" t="s">
        <v>1729</v>
      </c>
      <c r="M37" s="139" t="s">
        <v>1730</v>
      </c>
      <c r="N37" s="139" t="s">
        <v>1731</v>
      </c>
      <c r="O37" s="139" t="s">
        <v>1732</v>
      </c>
      <c r="P37" s="139" t="s">
        <v>1733</v>
      </c>
      <c r="Q37" s="139" t="s">
        <v>1734</v>
      </c>
      <c r="R37" s="139" t="s">
        <v>1735</v>
      </c>
    </row>
    <row r="38" spans="1:19" s="139" customFormat="1">
      <c r="A38" s="139" t="s">
        <v>1736</v>
      </c>
      <c r="B38" s="139" t="s">
        <v>256</v>
      </c>
      <c r="C38" s="139" t="s">
        <v>1737</v>
      </c>
      <c r="H38" s="139" t="s">
        <v>1738</v>
      </c>
      <c r="I38" s="139" t="s">
        <v>1739</v>
      </c>
      <c r="K38" s="139" t="s">
        <v>1740</v>
      </c>
      <c r="L38" s="139" t="s">
        <v>1741</v>
      </c>
      <c r="M38" s="139" t="s">
        <v>1742</v>
      </c>
      <c r="N38" s="139" t="s">
        <v>1743</v>
      </c>
      <c r="O38" s="139" t="s">
        <v>1744</v>
      </c>
      <c r="P38" s="139" t="s">
        <v>1745</v>
      </c>
      <c r="Q38" s="139" t="s">
        <v>1746</v>
      </c>
      <c r="R38" s="139" t="s">
        <v>1747</v>
      </c>
    </row>
    <row r="39" spans="1:19" s="139" customFormat="1">
      <c r="A39" s="139" t="s">
        <v>1748</v>
      </c>
      <c r="B39" s="139" t="s">
        <v>34</v>
      </c>
      <c r="C39" s="139" t="s">
        <v>1749</v>
      </c>
      <c r="D39" s="139" t="s">
        <v>1750</v>
      </c>
      <c r="E39" s="139" t="s">
        <v>1751</v>
      </c>
      <c r="F39" s="139" t="s">
        <v>1752</v>
      </c>
      <c r="H39" s="139" t="s">
        <v>1753</v>
      </c>
      <c r="I39" s="139" t="s">
        <v>1754</v>
      </c>
      <c r="K39" s="139" t="s">
        <v>1755</v>
      </c>
      <c r="L39" s="139" t="s">
        <v>1756</v>
      </c>
      <c r="M39" s="139" t="s">
        <v>1757</v>
      </c>
      <c r="N39" s="139" t="s">
        <v>1758</v>
      </c>
      <c r="O39" s="139" t="s">
        <v>1759</v>
      </c>
      <c r="P39" s="139" t="s">
        <v>1760</v>
      </c>
      <c r="Q39" s="139" t="s">
        <v>1761</v>
      </c>
      <c r="R39" s="139" t="s">
        <v>1762</v>
      </c>
    </row>
    <row r="40" spans="1:19" s="139" customFormat="1">
      <c r="A40" s="139" t="s">
        <v>1171</v>
      </c>
      <c r="B40" s="139" t="s">
        <v>207</v>
      </c>
      <c r="D40" s="139" t="s">
        <v>1763</v>
      </c>
      <c r="E40" s="139" t="s">
        <v>1764</v>
      </c>
      <c r="H40" s="139" t="s">
        <v>1765</v>
      </c>
      <c r="M40" s="139" t="s">
        <v>1766</v>
      </c>
      <c r="O40" s="139" t="s">
        <v>1767</v>
      </c>
      <c r="Q40" s="139" t="s">
        <v>1768</v>
      </c>
    </row>
    <row r="41" spans="1:19" s="139" customFormat="1">
      <c r="A41" s="139" t="s">
        <v>1769</v>
      </c>
      <c r="B41" s="139" t="s">
        <v>141</v>
      </c>
      <c r="C41" s="139" t="s">
        <v>1770</v>
      </c>
      <c r="D41" s="139" t="s">
        <v>1771</v>
      </c>
      <c r="E41" s="139" t="s">
        <v>1772</v>
      </c>
      <c r="F41" s="139" t="s">
        <v>1773</v>
      </c>
      <c r="G41" s="139" t="s">
        <v>1774</v>
      </c>
      <c r="H41" s="139" t="s">
        <v>1775</v>
      </c>
      <c r="I41" s="139" t="s">
        <v>1776</v>
      </c>
      <c r="J41" s="139" t="s">
        <v>1777</v>
      </c>
      <c r="K41" s="139" t="s">
        <v>1778</v>
      </c>
      <c r="L41" s="139" t="s">
        <v>1779</v>
      </c>
      <c r="M41" s="139" t="s">
        <v>1780</v>
      </c>
      <c r="N41" s="139" t="s">
        <v>1781</v>
      </c>
      <c r="O41" s="139" t="s">
        <v>1782</v>
      </c>
      <c r="P41" s="139" t="s">
        <v>1783</v>
      </c>
      <c r="Q41" s="139" t="s">
        <v>1784</v>
      </c>
      <c r="R41" s="139" t="s">
        <v>1785</v>
      </c>
      <c r="S41" s="139" t="s">
        <v>1786</v>
      </c>
    </row>
    <row r="42" spans="1:19" s="139" customFormat="1">
      <c r="A42" s="139" t="s">
        <v>1787</v>
      </c>
      <c r="B42" s="139" t="s">
        <v>467</v>
      </c>
    </row>
    <row r="43" spans="1:19" s="139" customFormat="1">
      <c r="A43" s="139" t="s">
        <v>1788</v>
      </c>
      <c r="B43" s="139" t="s">
        <v>148</v>
      </c>
      <c r="C43" s="139" t="s">
        <v>1789</v>
      </c>
      <c r="Q43" s="139" t="s">
        <v>1790</v>
      </c>
      <c r="S43" s="139" t="s">
        <v>1791</v>
      </c>
    </row>
    <row r="44" spans="1:19" s="139" customFormat="1">
      <c r="A44" s="139" t="s">
        <v>1792</v>
      </c>
      <c r="B44" s="139" t="s">
        <v>357</v>
      </c>
      <c r="C44" s="139" t="s">
        <v>1793</v>
      </c>
      <c r="D44" s="139" t="s">
        <v>1794</v>
      </c>
      <c r="E44" s="139" t="s">
        <v>1795</v>
      </c>
      <c r="F44" s="139" t="s">
        <v>1796</v>
      </c>
      <c r="H44" s="139" t="s">
        <v>1797</v>
      </c>
      <c r="I44" s="139" t="s">
        <v>1798</v>
      </c>
      <c r="K44" s="139" t="s">
        <v>1799</v>
      </c>
      <c r="L44" s="139" t="s">
        <v>1800</v>
      </c>
      <c r="M44" s="139" t="s">
        <v>1801</v>
      </c>
      <c r="N44" s="139" t="s">
        <v>1802</v>
      </c>
      <c r="O44" s="139" t="s">
        <v>1803</v>
      </c>
      <c r="P44" s="139" t="s">
        <v>1804</v>
      </c>
      <c r="Q44" s="139" t="s">
        <v>1805</v>
      </c>
      <c r="R44" s="139" t="s">
        <v>1806</v>
      </c>
    </row>
    <row r="45" spans="1:19" s="139" customFormat="1">
      <c r="A45" s="139" t="s">
        <v>1807</v>
      </c>
      <c r="B45" s="139" t="s">
        <v>383</v>
      </c>
      <c r="C45" s="139" t="s">
        <v>1808</v>
      </c>
      <c r="H45" s="139" t="s">
        <v>1809</v>
      </c>
      <c r="L45" s="139" t="s">
        <v>1810</v>
      </c>
      <c r="M45" s="139" t="s">
        <v>1811</v>
      </c>
      <c r="O45" s="139" t="s">
        <v>1812</v>
      </c>
      <c r="P45" s="139" t="s">
        <v>1813</v>
      </c>
      <c r="Q45" s="139" t="s">
        <v>1814</v>
      </c>
    </row>
    <row r="46" spans="1:19" s="139" customFormat="1">
      <c r="A46" s="139" t="s">
        <v>1815</v>
      </c>
      <c r="B46" s="139" t="s">
        <v>363</v>
      </c>
      <c r="C46" s="139" t="s">
        <v>1816</v>
      </c>
      <c r="H46" s="139" t="s">
        <v>1817</v>
      </c>
      <c r="K46" s="139" t="s">
        <v>1818</v>
      </c>
      <c r="L46" s="139" t="s">
        <v>1819</v>
      </c>
      <c r="M46" s="139" t="s">
        <v>1820</v>
      </c>
      <c r="O46" s="139" t="s">
        <v>1821</v>
      </c>
      <c r="P46" s="139" t="s">
        <v>1822</v>
      </c>
      <c r="Q46" s="139" t="s">
        <v>1823</v>
      </c>
      <c r="R46" s="139" t="s">
        <v>1824</v>
      </c>
    </row>
    <row r="47" spans="1:19" s="139" customFormat="1">
      <c r="A47" s="139" t="s">
        <v>1168</v>
      </c>
      <c r="B47" s="139" t="s">
        <v>162</v>
      </c>
      <c r="C47" s="139" t="s">
        <v>1825</v>
      </c>
      <c r="H47" s="139" t="s">
        <v>1826</v>
      </c>
      <c r="I47" s="139" t="s">
        <v>1827</v>
      </c>
      <c r="K47" s="139" t="s">
        <v>1828</v>
      </c>
      <c r="L47" s="139" t="s">
        <v>1829</v>
      </c>
      <c r="M47" s="139" t="s">
        <v>1830</v>
      </c>
      <c r="N47" s="139" t="s">
        <v>1831</v>
      </c>
      <c r="O47" s="139" t="s">
        <v>1832</v>
      </c>
      <c r="P47" s="139" t="s">
        <v>1833</v>
      </c>
      <c r="Q47" s="139" t="s">
        <v>1834</v>
      </c>
      <c r="R47" s="139" t="s">
        <v>1835</v>
      </c>
    </row>
    <row r="48" spans="1:19" s="139" customFormat="1">
      <c r="A48" s="139" t="s">
        <v>1169</v>
      </c>
      <c r="B48" s="139" t="s">
        <v>167</v>
      </c>
      <c r="C48" s="139" t="s">
        <v>1836</v>
      </c>
      <c r="H48" s="139" t="s">
        <v>1837</v>
      </c>
      <c r="I48" s="139" t="s">
        <v>1838</v>
      </c>
      <c r="K48" s="139" t="s">
        <v>1839</v>
      </c>
      <c r="L48" s="139" t="s">
        <v>1840</v>
      </c>
      <c r="M48" s="139" t="s">
        <v>1841</v>
      </c>
      <c r="N48" s="139" t="s">
        <v>1842</v>
      </c>
      <c r="O48" s="139" t="s">
        <v>1843</v>
      </c>
      <c r="P48" s="139" t="s">
        <v>1844</v>
      </c>
      <c r="Q48" s="139" t="s">
        <v>1845</v>
      </c>
      <c r="R48" s="139" t="s">
        <v>1846</v>
      </c>
    </row>
    <row r="49" spans="1:19" s="139" customFormat="1">
      <c r="A49" s="139" t="s">
        <v>332</v>
      </c>
      <c r="B49" s="139" t="s">
        <v>332</v>
      </c>
      <c r="C49" s="139" t="s">
        <v>1847</v>
      </c>
      <c r="D49" s="139" t="s">
        <v>1848</v>
      </c>
      <c r="F49" s="139" t="s">
        <v>1849</v>
      </c>
      <c r="H49" s="139" t="s">
        <v>1850</v>
      </c>
      <c r="I49" s="139" t="s">
        <v>1851</v>
      </c>
      <c r="J49" s="139" t="s">
        <v>509</v>
      </c>
      <c r="K49" s="139" t="s">
        <v>1852</v>
      </c>
      <c r="L49" s="139" t="s">
        <v>1853</v>
      </c>
      <c r="M49" s="139" t="s">
        <v>1854</v>
      </c>
      <c r="N49" s="139" t="s">
        <v>1855</v>
      </c>
      <c r="O49" s="139" t="s">
        <v>1856</v>
      </c>
      <c r="P49" s="139" t="s">
        <v>1857</v>
      </c>
      <c r="Q49" s="139" t="s">
        <v>1858</v>
      </c>
      <c r="R49" s="139" t="s">
        <v>1859</v>
      </c>
      <c r="S49" s="139" t="s">
        <v>1860</v>
      </c>
    </row>
    <row r="50" spans="1:19" s="139" customFormat="1">
      <c r="A50" s="139" t="s">
        <v>1861</v>
      </c>
      <c r="B50" s="139" t="s">
        <v>507</v>
      </c>
      <c r="C50" s="139" t="s">
        <v>1862</v>
      </c>
      <c r="H50" s="139" t="s">
        <v>1863</v>
      </c>
      <c r="L50" s="139" t="s">
        <v>1864</v>
      </c>
      <c r="M50" s="139" t="s">
        <v>1865</v>
      </c>
      <c r="O50" s="139" t="s">
        <v>1866</v>
      </c>
      <c r="P50" s="139" t="s">
        <v>1867</v>
      </c>
      <c r="Q50" s="139" t="s">
        <v>1868</v>
      </c>
    </row>
    <row r="51" spans="1:19" s="139" customFormat="1">
      <c r="A51" s="139" t="s">
        <v>1869</v>
      </c>
      <c r="B51" s="139" t="s">
        <v>1870</v>
      </c>
      <c r="C51" s="139" t="s">
        <v>1871</v>
      </c>
    </row>
    <row r="52" spans="1:19">
      <c r="A52" t="s">
        <v>1872</v>
      </c>
      <c r="B52" t="s">
        <v>171</v>
      </c>
      <c r="C52" t="s">
        <v>1873</v>
      </c>
      <c r="D52" t="s">
        <v>1874</v>
      </c>
      <c r="E52" t="s">
        <v>1875</v>
      </c>
      <c r="F52" t="s">
        <v>1876</v>
      </c>
      <c r="H52" t="s">
        <v>1877</v>
      </c>
      <c r="I52" t="s">
        <v>1878</v>
      </c>
      <c r="K52" t="s">
        <v>1879</v>
      </c>
      <c r="L52" t="s">
        <v>1880</v>
      </c>
      <c r="M52" t="s">
        <v>1881</v>
      </c>
      <c r="O52" t="s">
        <v>1882</v>
      </c>
      <c r="P52" t="s">
        <v>1883</v>
      </c>
      <c r="Q52" t="s">
        <v>1884</v>
      </c>
      <c r="R52" t="s">
        <v>1885</v>
      </c>
    </row>
    <row r="53" spans="1:19">
      <c r="A53" t="s">
        <v>854</v>
      </c>
      <c r="B53" t="s">
        <v>136</v>
      </c>
      <c r="C53" t="s">
        <v>1886</v>
      </c>
      <c r="D53" t="s">
        <v>1887</v>
      </c>
      <c r="E53" t="s">
        <v>1888</v>
      </c>
      <c r="F53" t="s">
        <v>1889</v>
      </c>
      <c r="G53" t="s">
        <v>1890</v>
      </c>
      <c r="H53" t="s">
        <v>1891</v>
      </c>
      <c r="I53" t="s">
        <v>1892</v>
      </c>
      <c r="J53" t="s">
        <v>427</v>
      </c>
      <c r="K53" t="s">
        <v>1893</v>
      </c>
      <c r="L53" t="s">
        <v>1894</v>
      </c>
      <c r="M53" t="s">
        <v>1895</v>
      </c>
      <c r="O53" t="s">
        <v>1896</v>
      </c>
      <c r="P53" t="s">
        <v>1897</v>
      </c>
      <c r="Q53" t="s">
        <v>1898</v>
      </c>
      <c r="R53" t="s">
        <v>1899</v>
      </c>
      <c r="S53" t="s">
        <v>1900</v>
      </c>
    </row>
    <row r="54" spans="1:19">
      <c r="A54" t="s">
        <v>822</v>
      </c>
      <c r="B54" t="s">
        <v>425</v>
      </c>
      <c r="C54" t="s">
        <v>1901</v>
      </c>
      <c r="P54" t="s">
        <v>1902</v>
      </c>
    </row>
    <row r="55" spans="1:19">
      <c r="A55" t="s">
        <v>1903</v>
      </c>
      <c r="B55" t="s">
        <v>178</v>
      </c>
      <c r="C55" t="s">
        <v>1904</v>
      </c>
      <c r="D55" t="s">
        <v>1905</v>
      </c>
      <c r="E55" t="s">
        <v>1906</v>
      </c>
      <c r="F55" t="s">
        <v>1907</v>
      </c>
      <c r="H55" t="s">
        <v>1908</v>
      </c>
      <c r="I55" t="s">
        <v>1909</v>
      </c>
      <c r="K55" t="s">
        <v>1910</v>
      </c>
      <c r="L55" t="s">
        <v>1911</v>
      </c>
      <c r="M55" t="s">
        <v>1912</v>
      </c>
      <c r="O55" t="s">
        <v>1913</v>
      </c>
      <c r="P55" t="s">
        <v>1914</v>
      </c>
    </row>
    <row r="56" spans="1:19">
      <c r="A56" t="s">
        <v>824</v>
      </c>
      <c r="B56" t="s">
        <v>825</v>
      </c>
      <c r="C56" t="s">
        <v>1915</v>
      </c>
      <c r="G56" t="s">
        <v>1916</v>
      </c>
      <c r="H56" t="s">
        <v>1917</v>
      </c>
      <c r="K56" t="s">
        <v>1918</v>
      </c>
      <c r="P56" t="s">
        <v>1919</v>
      </c>
    </row>
    <row r="57" spans="1:19">
      <c r="A57" t="s">
        <v>794</v>
      </c>
      <c r="B57" t="s">
        <v>501</v>
      </c>
      <c r="C57" t="s">
        <v>1920</v>
      </c>
    </row>
    <row r="58" spans="1:19">
      <c r="A58" t="s">
        <v>476</v>
      </c>
      <c r="B58" t="s">
        <v>479</v>
      </c>
      <c r="H58" t="s">
        <v>1921</v>
      </c>
      <c r="O58" t="s">
        <v>1922</v>
      </c>
    </row>
    <row r="59" spans="1:19">
      <c r="A59" t="s">
        <v>81</v>
      </c>
      <c r="B59" t="s">
        <v>84</v>
      </c>
      <c r="C59" t="s">
        <v>1923</v>
      </c>
      <c r="D59" t="s">
        <v>1924</v>
      </c>
      <c r="E59" t="s">
        <v>1925</v>
      </c>
      <c r="F59" t="s">
        <v>1926</v>
      </c>
      <c r="H59" t="s">
        <v>1927</v>
      </c>
      <c r="I59" t="s">
        <v>1928</v>
      </c>
      <c r="K59" t="s">
        <v>1929</v>
      </c>
      <c r="L59" t="s">
        <v>1930</v>
      </c>
      <c r="M59" t="s">
        <v>1931</v>
      </c>
      <c r="O59" t="s">
        <v>1932</v>
      </c>
      <c r="P59" t="s">
        <v>1933</v>
      </c>
      <c r="Q59" t="s">
        <v>1934</v>
      </c>
      <c r="R59" t="s">
        <v>1935</v>
      </c>
    </row>
    <row r="60" spans="1:19">
      <c r="A60" t="s">
        <v>483</v>
      </c>
      <c r="B60" t="s">
        <v>485</v>
      </c>
      <c r="C60" t="s">
        <v>1936</v>
      </c>
      <c r="K60" t="s">
        <v>1937</v>
      </c>
      <c r="P60" t="s">
        <v>1938</v>
      </c>
    </row>
    <row r="61" spans="1:19">
      <c r="A61" t="s">
        <v>88</v>
      </c>
      <c r="B61" t="s">
        <v>90</v>
      </c>
      <c r="C61" t="s">
        <v>1939</v>
      </c>
      <c r="D61" t="s">
        <v>1940</v>
      </c>
      <c r="E61" t="s">
        <v>1941</v>
      </c>
      <c r="F61" t="s">
        <v>1942</v>
      </c>
      <c r="H61" t="s">
        <v>1943</v>
      </c>
      <c r="I61" t="s">
        <v>1944</v>
      </c>
      <c r="K61" t="s">
        <v>1945</v>
      </c>
      <c r="L61" t="s">
        <v>1946</v>
      </c>
      <c r="M61" t="s">
        <v>1947</v>
      </c>
      <c r="O61" t="s">
        <v>1948</v>
      </c>
      <c r="P61" t="s">
        <v>1949</v>
      </c>
      <c r="Q61" t="s">
        <v>1950</v>
      </c>
      <c r="R61" t="s">
        <v>1951</v>
      </c>
    </row>
    <row r="62" spans="1:19" s="139" customFormat="1">
      <c r="A62" s="139" t="s">
        <v>308</v>
      </c>
      <c r="B62" s="139" t="s">
        <v>308</v>
      </c>
      <c r="C62" s="139" t="s">
        <v>1952</v>
      </c>
      <c r="D62" s="139" t="s">
        <v>1953</v>
      </c>
      <c r="E62" s="139" t="s">
        <v>1954</v>
      </c>
      <c r="F62" s="139" t="s">
        <v>1955</v>
      </c>
      <c r="H62" s="139" t="s">
        <v>1956</v>
      </c>
      <c r="I62" s="139" t="s">
        <v>1957</v>
      </c>
      <c r="K62" s="139" t="s">
        <v>1958</v>
      </c>
      <c r="L62" s="139" t="s">
        <v>1959</v>
      </c>
      <c r="M62" s="139" t="s">
        <v>1960</v>
      </c>
      <c r="N62" s="139" t="s">
        <v>1961</v>
      </c>
      <c r="O62" s="139" t="s">
        <v>1962</v>
      </c>
      <c r="P62" s="139" t="s">
        <v>1963</v>
      </c>
      <c r="Q62" s="139" t="s">
        <v>1964</v>
      </c>
      <c r="R62" s="139" t="s">
        <v>1965</v>
      </c>
    </row>
    <row r="63" spans="1:19" s="139" customFormat="1">
      <c r="A63" s="139" t="s">
        <v>857</v>
      </c>
      <c r="B63" s="139" t="s">
        <v>313</v>
      </c>
      <c r="D63" s="139" t="s">
        <v>1966</v>
      </c>
      <c r="E63" s="139" t="s">
        <v>1967</v>
      </c>
      <c r="F63" s="139" t="s">
        <v>1968</v>
      </c>
      <c r="H63" s="139" t="s">
        <v>1969</v>
      </c>
      <c r="I63" s="139" t="s">
        <v>1970</v>
      </c>
      <c r="K63" s="139" t="s">
        <v>1971</v>
      </c>
      <c r="L63" s="139" t="s">
        <v>1972</v>
      </c>
      <c r="M63" s="139" t="s">
        <v>1973</v>
      </c>
      <c r="O63" s="139" t="s">
        <v>1974</v>
      </c>
      <c r="Q63" s="139" t="s">
        <v>1975</v>
      </c>
    </row>
    <row r="64" spans="1:19" s="139" customFormat="1">
      <c r="A64" s="139" t="s">
        <v>14</v>
      </c>
      <c r="B64" s="139" t="s">
        <v>14</v>
      </c>
      <c r="C64" s="139" t="s">
        <v>1976</v>
      </c>
      <c r="D64" s="139" t="s">
        <v>1977</v>
      </c>
      <c r="E64" s="139" t="s">
        <v>1978</v>
      </c>
      <c r="F64" s="139" t="s">
        <v>1979</v>
      </c>
      <c r="H64" s="139" t="s">
        <v>1980</v>
      </c>
      <c r="I64" s="139" t="s">
        <v>1981</v>
      </c>
      <c r="K64" s="139" t="s">
        <v>1982</v>
      </c>
      <c r="L64" s="139" t="s">
        <v>1983</v>
      </c>
      <c r="M64" s="139" t="s">
        <v>1984</v>
      </c>
      <c r="N64" s="139" t="s">
        <v>1985</v>
      </c>
      <c r="O64" s="139" t="s">
        <v>1986</v>
      </c>
      <c r="P64" s="139" t="s">
        <v>1987</v>
      </c>
      <c r="Q64" s="139" t="s">
        <v>1988</v>
      </c>
      <c r="R64" s="139" t="s">
        <v>1989</v>
      </c>
    </row>
    <row r="65" spans="1:19" s="139" customFormat="1">
      <c r="A65" s="139" t="s">
        <v>1990</v>
      </c>
      <c r="B65" s="139" t="s">
        <v>22</v>
      </c>
      <c r="C65" s="139" t="s">
        <v>1991</v>
      </c>
      <c r="D65" s="139" t="s">
        <v>1992</v>
      </c>
      <c r="E65" s="139" t="s">
        <v>1993</v>
      </c>
      <c r="F65" s="139" t="s">
        <v>1994</v>
      </c>
      <c r="H65" s="139" t="s">
        <v>1995</v>
      </c>
      <c r="I65" s="139" t="s">
        <v>1996</v>
      </c>
      <c r="K65" s="139" t="s">
        <v>1997</v>
      </c>
      <c r="L65" s="139" t="s">
        <v>1998</v>
      </c>
      <c r="M65" s="139" t="s">
        <v>1999</v>
      </c>
      <c r="O65" s="139" t="s">
        <v>2000</v>
      </c>
      <c r="P65" s="139" t="s">
        <v>2001</v>
      </c>
      <c r="Q65" s="139" t="s">
        <v>2002</v>
      </c>
    </row>
    <row r="66" spans="1:19" s="139" customFormat="1">
      <c r="A66" s="139" t="s">
        <v>223</v>
      </c>
      <c r="B66" s="139" t="s">
        <v>223</v>
      </c>
      <c r="C66" s="139" t="s">
        <v>2003</v>
      </c>
      <c r="D66" s="139" t="s">
        <v>2004</v>
      </c>
      <c r="E66" s="139" t="s">
        <v>2005</v>
      </c>
      <c r="F66" s="139" t="s">
        <v>2006</v>
      </c>
      <c r="G66" s="139" t="s">
        <v>2007</v>
      </c>
      <c r="H66" s="139" t="s">
        <v>2008</v>
      </c>
      <c r="I66" s="139" t="s">
        <v>2009</v>
      </c>
      <c r="J66" s="139" t="s">
        <v>401</v>
      </c>
      <c r="K66" s="139" t="s">
        <v>2010</v>
      </c>
      <c r="L66" s="139" t="s">
        <v>2011</v>
      </c>
      <c r="M66" s="139" t="s">
        <v>2012</v>
      </c>
      <c r="N66" s="139" t="s">
        <v>2013</v>
      </c>
      <c r="O66" s="139" t="s">
        <v>2014</v>
      </c>
      <c r="P66" s="139" t="s">
        <v>2015</v>
      </c>
      <c r="Q66" s="139" t="s">
        <v>2016</v>
      </c>
      <c r="R66" s="139" t="s">
        <v>2017</v>
      </c>
    </row>
    <row r="67" spans="1:19" s="139" customFormat="1">
      <c r="A67" s="139" t="s">
        <v>2018</v>
      </c>
      <c r="B67" s="139" t="s">
        <v>399</v>
      </c>
      <c r="C67" s="139" t="s">
        <v>2019</v>
      </c>
      <c r="D67" s="139" t="s">
        <v>2020</v>
      </c>
      <c r="E67" s="139" t="s">
        <v>2021</v>
      </c>
      <c r="H67" s="139" t="s">
        <v>2022</v>
      </c>
      <c r="I67" s="139" t="s">
        <v>2023</v>
      </c>
      <c r="L67" s="139" t="s">
        <v>2024</v>
      </c>
      <c r="M67" s="139" t="s">
        <v>2025</v>
      </c>
      <c r="O67" s="139" t="s">
        <v>2026</v>
      </c>
      <c r="P67" s="139" t="s">
        <v>2027</v>
      </c>
      <c r="Q67" s="139" t="s">
        <v>2028</v>
      </c>
    </row>
    <row r="68" spans="1:19" s="139" customFormat="1">
      <c r="A68" s="139" t="s">
        <v>826</v>
      </c>
      <c r="B68" s="139" t="s">
        <v>230</v>
      </c>
      <c r="C68" s="139" t="s">
        <v>2029</v>
      </c>
      <c r="D68" s="139" t="s">
        <v>2030</v>
      </c>
      <c r="E68" s="139" t="s">
        <v>2031</v>
      </c>
      <c r="F68" s="139" t="s">
        <v>2032</v>
      </c>
      <c r="H68" s="139" t="s">
        <v>2033</v>
      </c>
      <c r="I68" s="139" t="s">
        <v>2034</v>
      </c>
      <c r="K68" s="139" t="s">
        <v>2035</v>
      </c>
      <c r="L68" s="139" t="s">
        <v>2036</v>
      </c>
      <c r="M68" s="139" t="s">
        <v>2037</v>
      </c>
      <c r="N68" s="139" t="s">
        <v>2038</v>
      </c>
      <c r="O68" s="139" t="s">
        <v>2039</v>
      </c>
      <c r="P68" s="139" t="s">
        <v>2040</v>
      </c>
      <c r="Q68" s="139" t="s">
        <v>2041</v>
      </c>
    </row>
    <row r="69" spans="1:19" s="139" customFormat="1">
      <c r="A69" s="139" t="s">
        <v>120</v>
      </c>
      <c r="B69" s="139" t="s">
        <v>120</v>
      </c>
      <c r="C69" s="139" t="s">
        <v>2042</v>
      </c>
      <c r="D69" s="139" t="s">
        <v>2043</v>
      </c>
      <c r="E69" s="139" t="s">
        <v>2044</v>
      </c>
      <c r="F69" s="139" t="s">
        <v>2045</v>
      </c>
      <c r="H69" s="139" t="s">
        <v>2046</v>
      </c>
      <c r="I69" s="139" t="s">
        <v>2047</v>
      </c>
      <c r="K69" s="139" t="s">
        <v>2048</v>
      </c>
      <c r="L69" s="139" t="s">
        <v>2049</v>
      </c>
      <c r="M69" s="139" t="s">
        <v>2050</v>
      </c>
      <c r="O69" s="139" t="s">
        <v>2051</v>
      </c>
      <c r="P69" s="139" t="s">
        <v>2052</v>
      </c>
      <c r="Q69" s="139" t="s">
        <v>2053</v>
      </c>
      <c r="R69" s="139" t="s">
        <v>2054</v>
      </c>
    </row>
    <row r="70" spans="1:19" s="139" customFormat="1">
      <c r="A70" s="139" t="s">
        <v>435</v>
      </c>
      <c r="B70" s="139" t="s">
        <v>437</v>
      </c>
      <c r="C70" s="139" t="s">
        <v>2055</v>
      </c>
      <c r="M70" s="139" t="s">
        <v>2056</v>
      </c>
    </row>
    <row r="71" spans="1:19" s="139" customFormat="1">
      <c r="A71" s="139" t="s">
        <v>127</v>
      </c>
      <c r="B71" s="139" t="s">
        <v>129</v>
      </c>
      <c r="C71" s="139" t="s">
        <v>2057</v>
      </c>
      <c r="D71" s="139" t="s">
        <v>2058</v>
      </c>
      <c r="E71" s="139" t="s">
        <v>2059</v>
      </c>
      <c r="F71" s="139" t="s">
        <v>2060</v>
      </c>
      <c r="H71" s="139" t="s">
        <v>2061</v>
      </c>
      <c r="I71" s="139" t="s">
        <v>2062</v>
      </c>
      <c r="K71" s="139" t="s">
        <v>2063</v>
      </c>
      <c r="L71" s="139" t="s">
        <v>2064</v>
      </c>
      <c r="O71" s="139" t="s">
        <v>2065</v>
      </c>
      <c r="P71" s="139" t="s">
        <v>2066</v>
      </c>
      <c r="Q71" s="139" t="s">
        <v>2067</v>
      </c>
      <c r="R71" s="139" t="s">
        <v>2068</v>
      </c>
    </row>
    <row r="72" spans="1:19" s="139" customFormat="1">
      <c r="A72" s="139" t="s">
        <v>94</v>
      </c>
      <c r="B72" s="139" t="s">
        <v>94</v>
      </c>
      <c r="C72" s="139" t="s">
        <v>2069</v>
      </c>
      <c r="O72" s="139" t="s">
        <v>2070</v>
      </c>
      <c r="P72" s="139" t="s">
        <v>2071</v>
      </c>
      <c r="Q72" s="139" t="s">
        <v>2072</v>
      </c>
    </row>
    <row r="73" spans="1:19" s="139" customFormat="1">
      <c r="A73" s="139" t="s">
        <v>2073</v>
      </c>
      <c r="B73" s="139" t="s">
        <v>449</v>
      </c>
      <c r="C73" s="139" t="s">
        <v>2074</v>
      </c>
      <c r="L73" s="139" t="s">
        <v>2075</v>
      </c>
      <c r="O73" s="139" t="s">
        <v>2076</v>
      </c>
      <c r="P73" s="139" t="s">
        <v>2077</v>
      </c>
    </row>
    <row r="74" spans="1:19" s="139" customFormat="1">
      <c r="A74" s="139" t="s">
        <v>1121</v>
      </c>
      <c r="B74" s="139" t="s">
        <v>101</v>
      </c>
      <c r="F74" s="139" t="s">
        <v>2078</v>
      </c>
      <c r="K74" s="139" t="s">
        <v>2079</v>
      </c>
      <c r="M74" s="139" t="s">
        <v>2080</v>
      </c>
      <c r="P74" s="139" t="s">
        <v>2081</v>
      </c>
    </row>
    <row r="75" spans="1:19" s="139" customFormat="1">
      <c r="A75" s="139" t="s">
        <v>2082</v>
      </c>
      <c r="B75" s="139" t="s">
        <v>455</v>
      </c>
      <c r="P75" s="139" t="s">
        <v>2083</v>
      </c>
    </row>
    <row r="76" spans="1:19" s="139" customFormat="1">
      <c r="A76" s="139" t="s">
        <v>285</v>
      </c>
      <c r="B76" s="139" t="s">
        <v>285</v>
      </c>
      <c r="C76" s="139" t="s">
        <v>2084</v>
      </c>
      <c r="D76" s="139" t="s">
        <v>2085</v>
      </c>
      <c r="E76" s="139" t="s">
        <v>2086</v>
      </c>
      <c r="F76" s="139" t="s">
        <v>2087</v>
      </c>
      <c r="G76" s="139" t="s">
        <v>2088</v>
      </c>
      <c r="H76" s="139" t="s">
        <v>2089</v>
      </c>
      <c r="I76" s="139" t="s">
        <v>2090</v>
      </c>
      <c r="K76" s="139" t="s">
        <v>2091</v>
      </c>
      <c r="L76" s="139" t="s">
        <v>2092</v>
      </c>
      <c r="M76" s="139" t="s">
        <v>2093</v>
      </c>
      <c r="N76" s="139" t="s">
        <v>2094</v>
      </c>
      <c r="O76" s="139" t="s">
        <v>2095</v>
      </c>
      <c r="P76" s="139" t="s">
        <v>2096</v>
      </c>
      <c r="Q76" s="139" t="s">
        <v>2097</v>
      </c>
      <c r="R76" s="139" t="s">
        <v>2098</v>
      </c>
    </row>
    <row r="77" spans="1:19">
      <c r="A77" t="s">
        <v>831</v>
      </c>
      <c r="B77" t="s">
        <v>290</v>
      </c>
      <c r="C77" t="s">
        <v>2099</v>
      </c>
      <c r="D77" t="s">
        <v>2100</v>
      </c>
      <c r="E77" t="s">
        <v>2101</v>
      </c>
      <c r="F77" t="s">
        <v>2102</v>
      </c>
      <c r="I77" t="s">
        <v>2103</v>
      </c>
      <c r="K77" t="s">
        <v>2104</v>
      </c>
      <c r="L77" t="s">
        <v>2105</v>
      </c>
      <c r="M77" t="s">
        <v>2106</v>
      </c>
      <c r="O77" t="s">
        <v>2107</v>
      </c>
      <c r="P77" t="s">
        <v>2108</v>
      </c>
      <c r="Q77" t="s">
        <v>2109</v>
      </c>
      <c r="R77" t="s">
        <v>2110</v>
      </c>
      <c r="S77" t="s">
        <v>2111</v>
      </c>
    </row>
    <row r="78" spans="1:19">
      <c r="A78" t="s">
        <v>50</v>
      </c>
      <c r="B78" t="s">
        <v>50</v>
      </c>
      <c r="C78" t="s">
        <v>2112</v>
      </c>
      <c r="D78" t="s">
        <v>2113</v>
      </c>
      <c r="E78" t="s">
        <v>2114</v>
      </c>
      <c r="F78" t="s">
        <v>2115</v>
      </c>
      <c r="G78" t="s">
        <v>2116</v>
      </c>
      <c r="H78" t="s">
        <v>2117</v>
      </c>
      <c r="I78" t="s">
        <v>2118</v>
      </c>
      <c r="K78" t="s">
        <v>2119</v>
      </c>
      <c r="L78" t="s">
        <v>2120</v>
      </c>
      <c r="M78" t="s">
        <v>2121</v>
      </c>
      <c r="O78" t="s">
        <v>2122</v>
      </c>
      <c r="P78" t="s">
        <v>2123</v>
      </c>
      <c r="Q78" t="s">
        <v>2124</v>
      </c>
      <c r="R78" t="s">
        <v>2125</v>
      </c>
    </row>
    <row r="79" spans="1:19">
      <c r="A79" t="s">
        <v>2126</v>
      </c>
      <c r="B79" t="s">
        <v>351</v>
      </c>
      <c r="C79" t="s">
        <v>2127</v>
      </c>
      <c r="D79" t="s">
        <v>2128</v>
      </c>
      <c r="L79" t="s">
        <v>2129</v>
      </c>
      <c r="M79" t="s">
        <v>2130</v>
      </c>
      <c r="O79" t="s">
        <v>2131</v>
      </c>
      <c r="P79" t="s">
        <v>2132</v>
      </c>
    </row>
    <row r="80" spans="1:19">
      <c r="A80" t="s">
        <v>2133</v>
      </c>
      <c r="B80" t="s">
        <v>2134</v>
      </c>
      <c r="C80" t="s">
        <v>2135</v>
      </c>
      <c r="P80" t="s">
        <v>2136</v>
      </c>
    </row>
    <row r="81" spans="1:17" s="139" customFormat="1">
      <c r="A81" s="139" t="s">
        <v>430</v>
      </c>
      <c r="B81" s="139" t="s">
        <v>432</v>
      </c>
      <c r="C81" s="139" t="s">
        <v>2137</v>
      </c>
    </row>
    <row r="82" spans="1:17" s="139" customFormat="1">
      <c r="A82" s="139" t="s">
        <v>849</v>
      </c>
      <c r="B82" s="139" t="s">
        <v>850</v>
      </c>
      <c r="C82" s="139" t="s">
        <v>2138</v>
      </c>
    </row>
    <row r="83" spans="1:17">
      <c r="A83" t="s">
        <v>404</v>
      </c>
      <c r="B83" t="s">
        <v>407</v>
      </c>
      <c r="C83" t="s">
        <v>2139</v>
      </c>
      <c r="D83" t="s">
        <v>2140</v>
      </c>
      <c r="G83" t="s">
        <v>2141</v>
      </c>
      <c r="H83" t="s">
        <v>2142</v>
      </c>
      <c r="I83" t="s">
        <v>2143</v>
      </c>
      <c r="J83" t="s">
        <v>2144</v>
      </c>
      <c r="L83" t="s">
        <v>2145</v>
      </c>
      <c r="M83" t="s">
        <v>2146</v>
      </c>
      <c r="O83" t="s">
        <v>2147</v>
      </c>
      <c r="P83" t="s">
        <v>2148</v>
      </c>
      <c r="Q83" t="s">
        <v>2149</v>
      </c>
    </row>
    <row r="84" spans="1:17">
      <c r="A84" t="s">
        <v>819</v>
      </c>
      <c r="B84" t="s">
        <v>820</v>
      </c>
      <c r="C84" t="s">
        <v>2150</v>
      </c>
      <c r="E84" t="s">
        <v>2151</v>
      </c>
      <c r="G84" t="s">
        <v>2152</v>
      </c>
      <c r="M84" t="s">
        <v>2153</v>
      </c>
      <c r="O84" t="s">
        <v>2154</v>
      </c>
      <c r="Q84" t="s">
        <v>2155</v>
      </c>
    </row>
  </sheetData>
  <phoneticPr fontId="4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6F28E1-A754-4A6D-95B6-3FC2652EE629}">
  <dimension ref="A1:T104"/>
  <sheetViews>
    <sheetView showGridLines="0" workbookViewId="0">
      <pane ySplit="3" topLeftCell="A4" activePane="bottomLeft" state="frozen"/>
      <selection pane="bottomLeft" activeCell="W102" sqref="W102"/>
    </sheetView>
  </sheetViews>
  <sheetFormatPr defaultRowHeight="25.5" outlineLevelCol="1"/>
  <cols>
    <col min="1" max="1" width="5.58203125" style="52" customWidth="1"/>
    <col min="2" max="9" width="10.25" style="52" customWidth="1"/>
    <col min="10" max="10" width="6.75" style="52" customWidth="1"/>
    <col min="11" max="11" width="3.5" style="52" customWidth="1"/>
    <col min="12" max="13" width="10.08203125" style="52" customWidth="1"/>
    <col min="14" max="14" width="1.9140625" style="52" customWidth="1"/>
    <col min="15" max="15" width="8.6640625" style="122"/>
    <col min="16" max="16" width="6" style="125" customWidth="1" outlineLevel="1"/>
    <col min="17" max="17" width="6.1640625" style="125" customWidth="1" outlineLevel="1"/>
    <col min="18" max="18" width="11.1640625" style="122" customWidth="1"/>
    <col min="19" max="19" width="3" style="52" customWidth="1"/>
    <col min="20" max="20" width="34.5" style="123" customWidth="1"/>
    <col min="21" max="16384" width="8.6640625" style="52"/>
  </cols>
  <sheetData>
    <row r="1" spans="1:20" ht="46.5" customHeight="1">
      <c r="A1" s="51"/>
      <c r="B1" s="51" t="str">
        <f xml:space="preserve"> "(""" &amp; _xlfn.TEXTJOIN(""",""",TRUE,F4:F87) &amp; """)"</f>
        <v>("niɑoh","nuɑih","nɑoh","niɑh","niɑo","uɑi","iɑnɡ","iaoh","ionɡ","nɑeh","nooh","nɑh","nɑi","nɑo","nia","nih","niu","nua","nui","-","e","ɑeh","anɡ","ɑoh","iɑh","iɑk","iɑm","iɑn","iɑo","iɑp","iɑt","inɡ","ioh","iok","iuh","nɑe","ngh","noo","onɡ","ooh","uɑh","uai","uɑn","uɑt","ueh","na","ni","a","m","ɑe","ɑh","ai","ɑk","ɑm","ɑn","ao","ɑp","ɑt","eh","eu","iɑ","ie","ih","ik","im","in","io","ip","it","iu","mh","ng","oh","ok","oo","op","uɑ","ue","uh","ui","un","ut")</v>
      </c>
      <c r="D1" s="51"/>
      <c r="H1" s="51"/>
      <c r="I1" s="51"/>
      <c r="J1" s="51"/>
      <c r="P1" s="124"/>
    </row>
    <row r="2" spans="1:20" ht="26.25" thickBot="1">
      <c r="A2" s="51"/>
      <c r="B2" s="51"/>
      <c r="D2" s="51"/>
      <c r="H2" s="51"/>
      <c r="I2" s="51"/>
      <c r="J2" s="51"/>
      <c r="P2" s="125" t="s">
        <v>1303</v>
      </c>
      <c r="T2" s="126"/>
    </row>
    <row r="3" spans="1:20" ht="54.75" thickBot="1">
      <c r="A3" s="59" t="s">
        <v>898</v>
      </c>
      <c r="B3" s="59" t="s">
        <v>878</v>
      </c>
      <c r="C3" s="59" t="s">
        <v>759</v>
      </c>
      <c r="D3" s="59" t="s">
        <v>665</v>
      </c>
      <c r="E3" s="59" t="s">
        <v>876</v>
      </c>
      <c r="F3" s="59" t="s">
        <v>761</v>
      </c>
      <c r="G3" s="59" t="s">
        <v>873</v>
      </c>
      <c r="H3" s="59" t="s">
        <v>877</v>
      </c>
      <c r="I3" s="59" t="s">
        <v>760</v>
      </c>
      <c r="J3" s="59" t="s">
        <v>899</v>
      </c>
      <c r="K3" s="54"/>
      <c r="L3" s="53" t="s">
        <v>665</v>
      </c>
      <c r="M3" s="59" t="s">
        <v>761</v>
      </c>
      <c r="O3" s="53" t="s">
        <v>665</v>
      </c>
      <c r="P3" s="53" t="s">
        <v>1304</v>
      </c>
      <c r="Q3" s="128" t="s">
        <v>1302</v>
      </c>
      <c r="R3" s="53"/>
      <c r="T3" s="53"/>
    </row>
    <row r="4" spans="1:20" ht="27.75" thickBot="1">
      <c r="A4" s="58">
        <f t="shared" ref="A4:A67" si="0" xml:space="preserve"> ROW() -2</f>
        <v>2</v>
      </c>
      <c r="B4" s="75" t="str" cm="1">
        <f t="array" ref="B4" xml:space="preserve"> IFERROR( INDEX(韻母對照表[國際音標], MATCH(TRUE, EXACT('台語音標韻母清單【依字長反排序】 (2)'!$C4, 韻母對照表[台羅拼音]), 0)), "")</f>
        <v>iãuʔ</v>
      </c>
      <c r="C4" s="58" t="s">
        <v>472</v>
      </c>
      <c r="D4" s="58" t="s">
        <v>472</v>
      </c>
      <c r="E4" s="58" t="str" cm="1">
        <f t="array" ref="E4" xml:space="preserve"> IFERROR( INDEX(韻母對照表[注音二式], MATCH(TRUE, EXACT('台語音標韻母清單【依字長反排序】 (2)'!$C4, 韻母對照表[台羅拼音]), 0)), "")</f>
        <v>iaunnh</v>
      </c>
      <c r="F4" s="58" t="s">
        <v>780</v>
      </c>
      <c r="G4" s="62" t="str" cm="1">
        <f t="array" ref="G4" xml:space="preserve"> IFERROR( INDEX(韻母對照表[白話字], MATCH(TRUE, EXACT('台語音標韻母清單【依字長反排序】 (2)'!$C4, 韻母對照表[台羅拼音]), 0)), "")</f>
        <v>iauhⁿ</v>
      </c>
      <c r="H4" s="55" t="str" cm="1">
        <f t="array" ref="H4" xml:space="preserve"> IFERROR( INDEX(韻母對照表[十五音識別碼], MATCH(TRUE, EXACT('台語音標韻母清單【依字長反排序】 (2)'!$C4, 韻母對照表[台羅拼音]), 0)), "")</f>
        <v>嘄促</v>
      </c>
      <c r="I4" s="58" t="str" cm="1">
        <f t="array" ref="I4" xml:space="preserve"> IFERROR( INDEX(韻母對照表[方音符號], MATCH(TRUE, EXACT('台語音標韻母清單【依字長反排序】 (2)'!$C4, 韻母對照表[台羅拼音]), 0)), "")</f>
        <v>ㄧㆯㆷ</v>
      </c>
      <c r="J4" s="74">
        <f t="shared" ref="J4:J67" si="1" xml:space="preserve"> LEN(D4)</f>
        <v>6</v>
      </c>
      <c r="K4" s="74"/>
      <c r="L4" s="58" t="str">
        <f t="shared" ref="L4:L67" si="2">D4</f>
        <v>iaunnh</v>
      </c>
      <c r="M4" s="58" t="str">
        <f>F4</f>
        <v>niɑoh</v>
      </c>
      <c r="O4" s="122" t="str">
        <f xml:space="preserve"> _xlfn.CONCAT(L4, "(\d)")</f>
        <v>iaunnh(\d)</v>
      </c>
      <c r="P4" s="125" t="s">
        <v>1228</v>
      </c>
      <c r="Q4" s="125">
        <f xml:space="preserve"> IFERROR( IF(P4="", "", SEARCH(P4, $L4)), "")</f>
        <v>2</v>
      </c>
      <c r="R4" s="122" t="str">
        <f xml:space="preserve"> IFERROR( _xlfn.CONCAT(LEFT(L4,Q4-1), "》", MID(L4,Q4,1), "${1}", RIGHT(L4, LEN(L4)-Q4)), "" )</f>
        <v>i》a${1}unnh</v>
      </c>
      <c r="S4" s="56"/>
      <c r="T4" s="57" t="str">
        <f xml:space="preserve"> IF(AND(M4&lt;&gt;"", L4&lt;&gt;""), "    - xform/》" &amp; O4 &amp;  "/"  &amp; R4 &amp;  "/", "")</f>
        <v xml:space="preserve">    - xform/》iaunnh(\d)/i》a${1}unnh/</v>
      </c>
    </row>
    <row r="5" spans="1:20" ht="27.75" thickBot="1">
      <c r="A5" s="58">
        <f t="shared" si="0"/>
        <v>3</v>
      </c>
      <c r="B5" s="75" t="str" cm="1">
        <f t="array" ref="B5" xml:space="preserve"> IFERROR( INDEX(韻母對照表[國際音標], MATCH(TRUE, EXACT('台語音標韻母清單【依字長反排序】 (2)'!$C5, 韻母對照表[台羅拼音]), 0)), "")</f>
        <v>uãiʔ</v>
      </c>
      <c r="C5" s="58" t="s">
        <v>455</v>
      </c>
      <c r="D5" s="58" t="s">
        <v>455</v>
      </c>
      <c r="E5" s="58" t="str" cm="1">
        <f t="array" ref="E5" xml:space="preserve"> IFERROR( INDEX(韻母對照表[注音二式], MATCH(TRUE, EXACT('台語音標韻母清單【依字長反排序】 (2)'!$C5, 韻母對照表[台羅拼音]), 0)), "")</f>
        <v>uainnh</v>
      </c>
      <c r="F5" s="58" t="s">
        <v>781</v>
      </c>
      <c r="G5" s="62" t="str" cm="1">
        <f t="array" ref="G5" xml:space="preserve"> IFERROR( INDEX(韻母對照表[白話字], MATCH(TRUE, EXACT('台語音標韻母清單【依字長反排序】 (2)'!$C5, 韻母對照表[台羅拼音]), 0)), "")</f>
        <v>oaihⁿ</v>
      </c>
      <c r="H5" s="55" t="str" cm="1">
        <f t="array" ref="H5" xml:space="preserve"> IFERROR( INDEX(韻母對照表[十五音識別碼], MATCH(TRUE, EXACT('台語音標韻母清單【依字長反排序】 (2)'!$C5, 韻母對照表[台羅拼音]), 0)), "")</f>
        <v>閂促</v>
      </c>
      <c r="I5" s="58" t="str" cm="1">
        <f t="array" ref="I5" xml:space="preserve"> IFERROR( INDEX(韻母對照表[方音符號], MATCH(TRUE, EXACT('台語音標韻母清單【依字長反排序】 (2)'!$C5, 韻母對照表[台羅拼音]), 0)), "")</f>
        <v>ㄨㆮㆷ</v>
      </c>
      <c r="J5" s="74">
        <f t="shared" si="1"/>
        <v>6</v>
      </c>
      <c r="K5" s="74"/>
      <c r="L5" s="58" t="str">
        <f t="shared" si="2"/>
        <v>uainnh</v>
      </c>
      <c r="M5" s="58" t="str">
        <f t="shared" ref="M5:M68" si="3">F5</f>
        <v>nuɑih</v>
      </c>
      <c r="O5" s="122" t="str">
        <f t="shared" ref="O5:O68" si="4" xml:space="preserve"> _xlfn.CONCAT(L5, "(\d)")</f>
        <v>uainnh(\d)</v>
      </c>
      <c r="P5" s="127" t="s">
        <v>1228</v>
      </c>
      <c r="Q5" s="125">
        <f t="shared" ref="Q5:Q68" si="5" xml:space="preserve"> IFERROR( IF(P5="", "", SEARCH(P5, $L5)), "")</f>
        <v>2</v>
      </c>
      <c r="R5" s="122" t="str">
        <f xml:space="preserve"> IFERROR( _xlfn.CONCAT(LEFT(L5,Q5-1), "》", MID(L5,Q5,1), "${1}", RIGHT(L5, LEN(L5)-Q5)), "" )</f>
        <v>u》a${1}innh</v>
      </c>
      <c r="S5" s="56"/>
      <c r="T5" s="57" t="str">
        <f t="shared" ref="T5:T68" si="6" xml:space="preserve"> IF(AND(M5&lt;&gt;"", L5&lt;&gt;""), "    - xform/》" &amp; O5 &amp;  "/"  &amp; R5 &amp;  "/", "")</f>
        <v xml:space="preserve">    - xform/》uainnh(\d)/u》a${1}innh/</v>
      </c>
    </row>
    <row r="6" spans="1:20" ht="27.75" thickBot="1">
      <c r="A6" s="58">
        <f t="shared" si="0"/>
        <v>4</v>
      </c>
      <c r="B6" s="75" t="s">
        <v>788</v>
      </c>
      <c r="C6" s="58" t="s">
        <v>789</v>
      </c>
      <c r="D6" s="58" t="s">
        <v>789</v>
      </c>
      <c r="E6" s="76" t="str" cm="1">
        <f t="array" ref="E6" xml:space="preserve"> IFERROR( INDEX(韻母對照表[注音二式], MATCH(TRUE, EXACT('台語音標韻母清單【依字長反排序】 (2)'!$C10, 韻母對照表[台羅拼音]), 0)), "")</f>
        <v>iang</v>
      </c>
      <c r="F6" s="58" t="s">
        <v>790</v>
      </c>
      <c r="G6" s="62" t="str" cm="1">
        <f t="array" ref="G6" xml:space="preserve"> IFERROR( INDEX(韻母對照表[白話字], MATCH(TRUE, EXACT('台語音標韻母清單【依字長反排序】 (2)'!$C10, 韻母對照表[台羅拼音]), 0)), "")</f>
        <v>iang</v>
      </c>
      <c r="H6" s="55" t="str" cm="1">
        <f t="array" ref="H6" xml:space="preserve"> IFERROR( INDEX(韻母對照表[十五音識別碼], MATCH(TRUE, EXACT('台語音標韻母清單【依字長反排序】 (2)'!$C10, 韻母對照表[台羅拼音]), 0)), "")</f>
        <v>姜舒</v>
      </c>
      <c r="I6" s="58" t="str" cm="1">
        <f t="array" ref="I6" xml:space="preserve"> IFERROR( INDEX(韻母對照表[方音符號], MATCH(TRUE, EXACT('台語音標韻母清單【依字長反排序】 (2)'!$C10, 韻母對照表[台羅拼音]), 0)), "")</f>
        <v>ㄧㄤ</v>
      </c>
      <c r="J6" s="74">
        <f t="shared" si="1"/>
        <v>5</v>
      </c>
      <c r="K6" s="74"/>
      <c r="L6" s="58" t="str">
        <f t="shared" si="2"/>
        <v>aunnh</v>
      </c>
      <c r="M6" s="58" t="str">
        <f t="shared" si="3"/>
        <v>nɑoh</v>
      </c>
      <c r="O6" s="122" t="str">
        <f t="shared" si="4"/>
        <v>aunnh(\d)</v>
      </c>
      <c r="P6" s="125" t="s">
        <v>1228</v>
      </c>
      <c r="Q6" s="125">
        <f t="shared" si="5"/>
        <v>1</v>
      </c>
      <c r="R6" s="122" t="str">
        <f t="shared" ref="R6:R69" si="7" xml:space="preserve"> IFERROR( _xlfn.CONCAT(LEFT(L6,Q6-1), "》", MID(L6,Q6,1), "${1}", RIGHT(L6, LEN(L6)-Q6)), "" )</f>
        <v>》a${1}unnh</v>
      </c>
      <c r="S6" s="56"/>
      <c r="T6" s="57" t="str">
        <f t="shared" si="6"/>
        <v xml:space="preserve">    - xform/》aunnh(\d)/》a${1}unnh/</v>
      </c>
    </row>
    <row r="7" spans="1:20" ht="27.75" thickBot="1">
      <c r="A7" s="58">
        <f t="shared" si="0"/>
        <v>5</v>
      </c>
      <c r="B7" s="75" t="s">
        <v>791</v>
      </c>
      <c r="C7" s="58" t="s">
        <v>392</v>
      </c>
      <c r="D7" s="58" t="s">
        <v>392</v>
      </c>
      <c r="E7" s="76" t="str" cm="1">
        <f t="array" ref="E7" xml:space="preserve"> IFERROR( INDEX(韻母對照表[注音二式], MATCH(TRUE, EXACT('台語音標韻母清單【依字長反排序】 (2)'!$C11, 韻母對照表[台羅拼音]), 0)), "")</f>
        <v>iauh</v>
      </c>
      <c r="F7" s="58" t="s">
        <v>792</v>
      </c>
      <c r="G7" s="73" t="str" cm="1">
        <f t="array" ref="G7" xml:space="preserve"> IFERROR( INDEX(韻母對照表[白話字], MATCH(TRUE, EXACT('台語音標韻母清單【依字長反排序】 (2)'!$C11, 韻母對照表[台羅拼音]), 0)), "")</f>
        <v>iauh</v>
      </c>
      <c r="H7" s="55" t="str" cm="1">
        <f t="array" ref="H7" xml:space="preserve"> IFERROR( INDEX(韻母對照表[十五音識別碼], MATCH(TRUE, EXACT('台語音標韻母清單【依字長反排序】 (2)'!$C11, 韻母對照表[台羅拼音]), 0)), "")</f>
        <v>嬌促</v>
      </c>
      <c r="I7" s="58" t="str" cm="1">
        <f t="array" ref="I7" xml:space="preserve"> IFERROR( INDEX(韻母對照表[方音符號], MATCH(TRUE, EXACT('台語音標韻母清單【依字長反排序】 (2)'!$C11, 韻母對照表[台羅拼音]), 0)), "")</f>
        <v>ㄧㄠㆷ</v>
      </c>
      <c r="J7" s="74">
        <f t="shared" si="1"/>
        <v>5</v>
      </c>
      <c r="K7" s="74"/>
      <c r="L7" s="58" t="str">
        <f t="shared" si="2"/>
        <v>iannh</v>
      </c>
      <c r="M7" s="58" t="str">
        <f t="shared" si="3"/>
        <v>niɑh</v>
      </c>
      <c r="O7" s="122" t="str">
        <f t="shared" si="4"/>
        <v>iannh(\d)</v>
      </c>
      <c r="P7" s="125" t="s">
        <v>1228</v>
      </c>
      <c r="Q7" s="125">
        <f t="shared" si="5"/>
        <v>2</v>
      </c>
      <c r="R7" s="122" t="str">
        <f t="shared" si="7"/>
        <v>i》a${1}nnh</v>
      </c>
      <c r="S7" s="56"/>
      <c r="T7" s="57" t="str">
        <f t="shared" si="6"/>
        <v xml:space="preserve">    - xform/》iannh(\d)/i》a${1}nnh/</v>
      </c>
    </row>
    <row r="8" spans="1:20" ht="27.75" thickBot="1">
      <c r="A8" s="58">
        <f t="shared" si="0"/>
        <v>6</v>
      </c>
      <c r="B8" s="58" t="s">
        <v>141</v>
      </c>
      <c r="C8" s="58" t="s">
        <v>467</v>
      </c>
      <c r="D8" s="58" t="s">
        <v>467</v>
      </c>
      <c r="E8" s="58" t="str" cm="1">
        <f t="array" ref="E8" xml:space="preserve"> IFERROR( INDEX(韻母對照表[注音二式], MATCH(TRUE, EXACT('台語音標韻母清單【依字長反排序】 (2)'!$C12, 韻母對照表[台羅拼音]), 0)), "")</f>
        <v>iong</v>
      </c>
      <c r="F8" s="58" t="s">
        <v>793</v>
      </c>
      <c r="G8" s="60" t="str" cm="1">
        <f t="array" ref="G8" xml:space="preserve"> IFERROR( INDEX(韻母對照表[白話字], MATCH(TRUE, EXACT('台語音標韻母清單【依字長反排序】 (2)'!$C12, 韻母對照表[台羅拼音]), 0)), "")</f>
        <v>iong</v>
      </c>
      <c r="H8" s="55" t="str" cm="1">
        <f t="array" ref="H8" xml:space="preserve"> IFERROR( INDEX(韻母對照表[十五音識別碼], MATCH(TRUE, EXACT('台語音標韻母清單【依字長反排序】 (2)'!$C12, 韻母對照表[台羅拼音]), 0)), "")</f>
        <v>恭舒</v>
      </c>
      <c r="I8" s="58" t="str" cm="1">
        <f t="array" ref="I8" xml:space="preserve"> IFERROR( INDEX(韻母對照表[方音符號], MATCH(TRUE, EXACT('台語音標韻母清單【依字長反排序】 (2)'!$C12, 韻母對照表[台羅拼音]), 0)), "")</f>
        <v>ㄧㆲ</v>
      </c>
      <c r="J8" s="74">
        <f t="shared" si="1"/>
        <v>5</v>
      </c>
      <c r="K8" s="74"/>
      <c r="L8" s="58" t="str">
        <f t="shared" si="2"/>
        <v>iaunn</v>
      </c>
      <c r="M8" s="58" t="str">
        <f t="shared" si="3"/>
        <v>niɑo</v>
      </c>
      <c r="O8" s="122" t="str">
        <f t="shared" si="4"/>
        <v>iaunn(\d)</v>
      </c>
      <c r="P8" s="125" t="s">
        <v>1228</v>
      </c>
      <c r="Q8" s="125">
        <f t="shared" si="5"/>
        <v>2</v>
      </c>
      <c r="R8" s="122" t="str">
        <f t="shared" si="7"/>
        <v>i》a${1}unn</v>
      </c>
      <c r="S8" s="56"/>
      <c r="T8" s="57" t="str">
        <f t="shared" si="6"/>
        <v xml:space="preserve">    - xform/》iaunn(\d)/i》a${1}unn/</v>
      </c>
    </row>
    <row r="9" spans="1:20" ht="27.75" thickBot="1">
      <c r="A9" s="58">
        <f t="shared" si="0"/>
        <v>7</v>
      </c>
      <c r="B9" s="58" t="str" cm="1">
        <f t="array" ref="B9" xml:space="preserve"> IFERROR( INDEX(韻母對照表[國際音標], MATCH(TRUE, EXACT('台語音標韻母清單【依字長反排序】 (2)'!$C43, 韻母對照表[台羅拼音]), 0)), "")</f>
        <v>ɔŋ</v>
      </c>
      <c r="C9" s="58" t="s">
        <v>449</v>
      </c>
      <c r="D9" s="58" t="s">
        <v>449</v>
      </c>
      <c r="E9" s="58" t="str" cm="1">
        <f t="array" ref="E9" xml:space="preserve"> IFERROR( INDEX(韻母對照表[注音二式], MATCH(TRUE, EXACT('台語音標韻母清單【依字長反排序】 (2)'!$C43, 韻母對照表[台羅拼音]), 0)), "")</f>
        <v>ong</v>
      </c>
      <c r="F9" s="58" t="s">
        <v>828</v>
      </c>
      <c r="G9" s="60" t="str" cm="1">
        <f t="array" ref="G9" xml:space="preserve"> IFERROR( INDEX(韻母對照表[白話字], MATCH(TRUE, EXACT('台語音標韻母清單【依字長反排序】 (2)'!$C43, 韻母對照表[台羅拼音]), 0)), "")</f>
        <v>ong</v>
      </c>
      <c r="H9" s="55" t="str" cm="1">
        <f t="array" ref="H9" xml:space="preserve"> IFERROR( INDEX(韻母對照表[十五音識別碼], MATCH(TRUE, EXACT('台語音標韻母清單【依字長反排序】 (2)'!$C43, 韻母對照表[台羅拼音]), 0)), "")</f>
        <v>公舒</v>
      </c>
      <c r="I9" s="58" t="str" cm="1">
        <f t="array" ref="I9" xml:space="preserve"> IFERROR( INDEX(韻母對照表[方音符號], MATCH(TRUE, EXACT('台語音標韻母清單【依字長反排序】 (2)'!$C43, 韻母對照表[台羅拼音]), 0)), "")</f>
        <v>ㆲ</v>
      </c>
      <c r="J9" s="74">
        <f t="shared" si="1"/>
        <v>5</v>
      </c>
      <c r="K9" s="74"/>
      <c r="L9" s="58" t="str">
        <f t="shared" si="2"/>
        <v>uainn</v>
      </c>
      <c r="M9" s="58" t="str">
        <f t="shared" si="3"/>
        <v>uɑi</v>
      </c>
      <c r="O9" s="122" t="str">
        <f t="shared" si="4"/>
        <v>uainn(\d)</v>
      </c>
      <c r="P9" s="125" t="s">
        <v>1228</v>
      </c>
      <c r="Q9" s="125">
        <f t="shared" si="5"/>
        <v>2</v>
      </c>
      <c r="R9" s="122" t="str">
        <f t="shared" si="7"/>
        <v>u》a${1}inn</v>
      </c>
      <c r="S9" s="56"/>
      <c r="T9" s="57" t="str">
        <f t="shared" si="6"/>
        <v xml:space="preserve">    - xform/》uainn(\d)/u》a${1}inn/</v>
      </c>
    </row>
    <row r="10" spans="1:20" ht="27.75" thickBot="1">
      <c r="A10" s="58">
        <f t="shared" si="0"/>
        <v>8</v>
      </c>
      <c r="B10" s="58" t="s">
        <v>782</v>
      </c>
      <c r="C10" s="58" t="s">
        <v>203</v>
      </c>
      <c r="D10" s="58" t="s">
        <v>203</v>
      </c>
      <c r="E10" s="58" t="str" cm="1">
        <f t="array" ref="E10" xml:space="preserve"> IFERROR( INDEX(韻母對照表[注音二式], MATCH(TRUE, EXACT('台語音標韻母清單【依字長反排序】 (2)'!$C6, 韻母對照表[台羅拼音]), 0)), "")</f>
        <v/>
      </c>
      <c r="F10" s="58" t="s">
        <v>783</v>
      </c>
      <c r="G10" s="61" t="str" cm="1">
        <f t="array" ref="G10" xml:space="preserve"> IFERROR( INDEX(韻母對照表[白話字], MATCH(TRUE, EXACT('台語音標韻母清單【依字長反排序】 (2)'!$C6, 韻母對照表[台羅拼音]), 0)), "")</f>
        <v/>
      </c>
      <c r="H10" s="55" t="str" cm="1">
        <f t="array" ref="H10" xml:space="preserve"> IFERROR( INDEX(韻母對照表[十五音識別碼], MATCH(TRUE, EXACT('台語音標韻母清單【依字長反排序】 (2)'!$C6, 韻母對照表[台羅拼音]), 0)), "")</f>
        <v/>
      </c>
      <c r="I10" s="58" t="str" cm="1">
        <f t="array" ref="I10" xml:space="preserve"> IFERROR( INDEX(韻母對照表[方音符號], MATCH(TRUE, EXACT('台語音標韻母清單【依字長反排序】 (2)'!$C6, 韻母對照表[台羅拼音]), 0)), "")</f>
        <v/>
      </c>
      <c r="J10" s="74">
        <f t="shared" si="1"/>
        <v>4</v>
      </c>
      <c r="K10" s="74"/>
      <c r="L10" s="58" t="str">
        <f t="shared" si="2"/>
        <v>iang</v>
      </c>
      <c r="M10" s="58" t="str">
        <f t="shared" si="3"/>
        <v>iɑnɡ</v>
      </c>
      <c r="O10" s="122" t="str">
        <f t="shared" si="4"/>
        <v>iang(\d)</v>
      </c>
      <c r="P10" s="125" t="s">
        <v>1228</v>
      </c>
      <c r="Q10" s="125">
        <f t="shared" si="5"/>
        <v>2</v>
      </c>
      <c r="R10" s="122" t="str">
        <f t="shared" si="7"/>
        <v>i》a${1}ng</v>
      </c>
      <c r="S10" s="56"/>
      <c r="T10" s="57" t="str">
        <f t="shared" si="6"/>
        <v xml:space="preserve">    - xform/》iang(\d)/i》a${1}ng/</v>
      </c>
    </row>
    <row r="11" spans="1:20" ht="27.75" thickBot="1">
      <c r="A11" s="58">
        <f t="shared" si="0"/>
        <v>9</v>
      </c>
      <c r="B11" s="58" t="s">
        <v>784</v>
      </c>
      <c r="C11" s="58" t="s">
        <v>148</v>
      </c>
      <c r="D11" s="58" t="s">
        <v>148</v>
      </c>
      <c r="E11" s="58" t="str" cm="1">
        <f t="array" ref="E11" xml:space="preserve"> IFERROR( INDEX(韻母對照表[注音二式], MATCH(TRUE, EXACT('台語音標韻母清單【依字長反排序】 (2)'!$C7, 韻母對照表[台羅拼音]), 0)), "")</f>
        <v/>
      </c>
      <c r="F11" s="58" t="s">
        <v>149</v>
      </c>
      <c r="G11" s="60" t="str" cm="1">
        <f t="array" ref="G11" xml:space="preserve"> IFERROR( INDEX(韻母對照表[白話字], MATCH(TRUE, EXACT('台語音標韻母清單【依字長反排序】 (2)'!$C7, 韻母對照表[台羅拼音]), 0)), "")</f>
        <v/>
      </c>
      <c r="H11" s="55" t="str" cm="1">
        <f t="array" ref="H11" xml:space="preserve"> IFERROR( INDEX(韻母對照表[十五音識別碼], MATCH(TRUE, EXACT('台語音標韻母清單【依字長反排序】 (2)'!$C7, 韻母對照表[台羅拼音]), 0)), "")</f>
        <v/>
      </c>
      <c r="I11" s="58" t="str" cm="1">
        <f t="array" ref="I11" xml:space="preserve"> IFERROR( INDEX(韻母對照表[方音符號], MATCH(TRUE, EXACT('台語音標韻母清單【依字長反排序】 (2)'!$C7, 韻母對照表[台羅拼音]), 0)), "")</f>
        <v/>
      </c>
      <c r="J11" s="74">
        <f t="shared" si="1"/>
        <v>4</v>
      </c>
      <c r="K11" s="74"/>
      <c r="L11" s="58" t="str">
        <f t="shared" si="2"/>
        <v>iauh</v>
      </c>
      <c r="M11" s="58" t="str">
        <f t="shared" si="3"/>
        <v>iaoh</v>
      </c>
      <c r="O11" s="122" t="str">
        <f t="shared" si="4"/>
        <v>iauh(\d)</v>
      </c>
      <c r="P11" s="125" t="s">
        <v>1228</v>
      </c>
      <c r="Q11" s="125">
        <f t="shared" si="5"/>
        <v>2</v>
      </c>
      <c r="R11" s="122" t="str">
        <f t="shared" si="7"/>
        <v>i》a${1}uh</v>
      </c>
      <c r="S11" s="56"/>
      <c r="T11" s="57" t="str">
        <f t="shared" si="6"/>
        <v xml:space="preserve">    - xform/》iauh(\d)/i》a${1}uh/</v>
      </c>
    </row>
    <row r="12" spans="1:20" ht="27.75" thickBot="1">
      <c r="A12" s="58">
        <f t="shared" si="0"/>
        <v>10</v>
      </c>
      <c r="B12" s="58" t="s">
        <v>159</v>
      </c>
      <c r="C12" s="58" t="s">
        <v>162</v>
      </c>
      <c r="D12" s="58" t="s">
        <v>162</v>
      </c>
      <c r="E12" s="58" t="str" cm="1">
        <f t="array" ref="E12" xml:space="preserve"> IFERROR( INDEX(韻母對照表[注音二式], MATCH(TRUE, EXACT('台語音標韻母清單【依字長反排序】 (2)'!$C8, 韻母對照表[台羅拼音]), 0)), "")</f>
        <v>iaunn</v>
      </c>
      <c r="F12" s="58" t="s">
        <v>785</v>
      </c>
      <c r="G12" s="61" t="str" cm="1">
        <f t="array" ref="G12" xml:space="preserve"> IFERROR( INDEX(韻母對照表[白話字], MATCH(TRUE, EXACT('台語音標韻母清單【依字長反排序】 (2)'!$C8, 韻母對照表[台羅拼音]), 0)), "")</f>
        <v>iauⁿ</v>
      </c>
      <c r="H12" s="55" t="str" cm="1">
        <f t="array" ref="H12" xml:space="preserve"> IFERROR( INDEX(韻母對照表[十五音識別碼], MATCH(TRUE, EXACT('台語音標韻母清單【依字長反排序】 (2)'!$C8, 韻母對照表[台羅拼音]), 0)), "")</f>
        <v>嘄舒</v>
      </c>
      <c r="I12" s="58" t="str" cm="1">
        <f t="array" ref="I12" xml:space="preserve"> IFERROR( INDEX(韻母對照表[方音符號], MATCH(TRUE, EXACT('台語音標韻母清單【依字長反排序】 (2)'!$C8, 韻母對照表[台羅拼音]), 0)), "")</f>
        <v>ㄧㆯ</v>
      </c>
      <c r="J12" s="74">
        <f t="shared" si="1"/>
        <v>4</v>
      </c>
      <c r="K12" s="74"/>
      <c r="L12" s="58" t="str">
        <f t="shared" si="2"/>
        <v>iong</v>
      </c>
      <c r="M12" s="58" t="str">
        <f t="shared" si="3"/>
        <v>ionɡ</v>
      </c>
      <c r="O12" s="122" t="str">
        <f t="shared" si="4"/>
        <v>iong(\d)</v>
      </c>
      <c r="P12" s="125" t="s">
        <v>1216</v>
      </c>
      <c r="Q12" s="125">
        <f t="shared" si="5"/>
        <v>2</v>
      </c>
      <c r="R12" s="122" t="str">
        <f t="shared" si="7"/>
        <v>i》o${1}ng</v>
      </c>
      <c r="S12" s="56"/>
      <c r="T12" s="57" t="str">
        <f t="shared" si="6"/>
        <v xml:space="preserve">    - xform/》iong(\d)/i》o${1}ng/</v>
      </c>
    </row>
    <row r="13" spans="1:20" ht="27.75" thickBot="1">
      <c r="A13" s="58">
        <f t="shared" si="0"/>
        <v>11</v>
      </c>
      <c r="B13" s="75" t="s">
        <v>786</v>
      </c>
      <c r="C13" s="58" t="s">
        <v>346</v>
      </c>
      <c r="D13" s="58" t="s">
        <v>346</v>
      </c>
      <c r="E13" s="58" t="str" cm="1">
        <f t="array" ref="E13" xml:space="preserve"> IFERROR( INDEX(韻母對照表[注音二式], MATCH(TRUE, EXACT('台語音標韻母清單【依字長反排序】 (2)'!$C9, 韻母對照表[台羅拼音]), 0)), "")</f>
        <v>uainn</v>
      </c>
      <c r="F13" s="58" t="s">
        <v>787</v>
      </c>
      <c r="G13" s="73" t="str" cm="1">
        <f t="array" ref="G13" xml:space="preserve"> IFERROR( INDEX(韻母對照表[白話字], MATCH(TRUE, EXACT('台語音標韻母清單【依字長反排序】 (2)'!$C9, 韻母對照表[台羅拼音]), 0)), "")</f>
        <v>oaiⁿ</v>
      </c>
      <c r="H13" s="55" t="str" cm="1">
        <f t="array" ref="H13" xml:space="preserve"> IFERROR( INDEX(韻母對照表[十五音識別碼], MATCH(TRUE, EXACT('台語音標韻母清單【依字長反排序】 (2)'!$C9, 韻母對照表[台羅拼音]), 0)), "")</f>
        <v>閂舒</v>
      </c>
      <c r="I13" s="58" t="str" cm="1">
        <f t="array" ref="I13" xml:space="preserve"> IFERROR( INDEX(韻母對照表[方音符號], MATCH(TRUE, EXACT('台語音標韻母清單【依字長反排序】 (2)'!$C9, 韻母對照表[台羅拼音]), 0)), "")</f>
        <v>ㄨㆮ</v>
      </c>
      <c r="J13" s="74">
        <f t="shared" si="1"/>
        <v>4</v>
      </c>
      <c r="K13" s="74"/>
      <c r="L13" s="58" t="str">
        <f t="shared" si="2"/>
        <v>ennh</v>
      </c>
      <c r="M13" s="58" t="str">
        <f t="shared" si="3"/>
        <v>nɑeh</v>
      </c>
      <c r="O13" s="122" t="str">
        <f t="shared" si="4"/>
        <v>ennh(\d)</v>
      </c>
      <c r="P13" s="125" t="s">
        <v>1181</v>
      </c>
      <c r="Q13" s="125">
        <f t="shared" si="5"/>
        <v>1</v>
      </c>
      <c r="R13" s="122" t="str">
        <f t="shared" si="7"/>
        <v>》e${1}nnh</v>
      </c>
      <c r="S13" s="56"/>
      <c r="T13" s="57" t="str">
        <f t="shared" si="6"/>
        <v xml:space="preserve">    - xform/》ennh(\d)/》e${1}nnh/</v>
      </c>
    </row>
    <row r="14" spans="1:20" ht="27.75" thickBot="1">
      <c r="A14" s="58">
        <f t="shared" si="0"/>
        <v>12</v>
      </c>
      <c r="B14" s="75" t="str" cm="1">
        <f t="array" ref="B14" xml:space="preserve"> IFERROR( INDEX(韻母對照表[國際音標], MATCH(TRUE, EXACT('台語音標韻母清單【依字長反排序】 (2)'!$C13, 韻母對照表[台羅拼音]), 0)), "")</f>
        <v/>
      </c>
      <c r="C14" s="58" t="s">
        <v>501</v>
      </c>
      <c r="D14" s="58" t="s">
        <v>501</v>
      </c>
      <c r="E14" s="76" t="str" cm="1">
        <f t="array" ref="E14" xml:space="preserve"> IFERROR( INDEX(韻母對照表[注音二式], MATCH(TRUE, EXACT('台語音標韻母清單【依字長反排序】 (2)'!$C13, 韻母對照表[台羅拼音]), 0)), "")</f>
        <v/>
      </c>
      <c r="F14" s="58" t="s">
        <v>502</v>
      </c>
      <c r="G14" s="73" t="str" cm="1">
        <f t="array" ref="G14" xml:space="preserve"> IFERROR( INDEX(韻母對照表[白話字], MATCH(TRUE, EXACT('台語音標韻母清單【依字長反排序】 (2)'!$C13, 韻母對照表[台羅拼音]), 0)), "")</f>
        <v/>
      </c>
      <c r="H14" s="55" t="str" cm="1">
        <f t="array" ref="H14" xml:space="preserve"> IFERROR( INDEX(韻母對照表[十五音識別碼], MATCH(TRUE, EXACT('台語音標韻母清單【依字長反排序】 (2)'!$C13, 韻母對照表[台羅拼音]), 0)), "")</f>
        <v/>
      </c>
      <c r="I14" s="58" t="str" cm="1">
        <f t="array" ref="I14" xml:space="preserve"> IFERROR( INDEX(韻母對照表[方音符號], MATCH(TRUE, EXACT('台語音標韻母清單【依字長反排序】 (2)'!$C13, 韻母對照表[台羅拼音]), 0)), "")</f>
        <v/>
      </c>
      <c r="J14" s="74">
        <f t="shared" si="1"/>
        <v>4</v>
      </c>
      <c r="K14" s="74"/>
      <c r="L14" s="58" t="str">
        <f t="shared" si="2"/>
        <v>onnh</v>
      </c>
      <c r="M14" s="58" t="str">
        <f t="shared" si="3"/>
        <v>nooh</v>
      </c>
      <c r="O14" s="122" t="str">
        <f t="shared" si="4"/>
        <v>onnh(\d)</v>
      </c>
      <c r="P14" s="125" t="s">
        <v>1216</v>
      </c>
      <c r="Q14" s="125">
        <f t="shared" si="5"/>
        <v>1</v>
      </c>
      <c r="R14" s="122" t="str">
        <f t="shared" si="7"/>
        <v>》o${1}nnh</v>
      </c>
      <c r="S14" s="56"/>
      <c r="T14" s="57" t="str">
        <f t="shared" si="6"/>
        <v xml:space="preserve">    - xform/》onnh(\d)/》o${1}nnh/</v>
      </c>
    </row>
    <row r="15" spans="1:20" ht="27.75" thickBot="1">
      <c r="A15" s="58">
        <f t="shared" si="0"/>
        <v>13</v>
      </c>
      <c r="B15" s="75" t="s">
        <v>813</v>
      </c>
      <c r="C15" s="58" t="s">
        <v>304</v>
      </c>
      <c r="D15" s="58" t="s">
        <v>304</v>
      </c>
      <c r="E15" s="76" t="str" cm="1">
        <f t="array" ref="E15" xml:space="preserve"> IFERROR( INDEX(韻母對照表[注音二式], MATCH(TRUE, EXACT('台語音標韻母清單【依字長反排序】 (2)'!$C29, 韻母對照表[台羅拼音]), 0)), "")</f>
        <v>iah</v>
      </c>
      <c r="F15" s="58" t="s">
        <v>814</v>
      </c>
      <c r="G15" s="73" t="str" cm="1">
        <f t="array" ref="G15" xml:space="preserve"> IFERROR( INDEX(韻母對照表[白話字], MATCH(TRUE, EXACT('台語音標韻母清單【依字長反排序】 (2)'!$C29, 韻母對照表[台羅拼音]), 0)), "")</f>
        <v>iah</v>
      </c>
      <c r="H15" s="55" t="str" cm="1">
        <f t="array" ref="H15" xml:space="preserve"> IFERROR( INDEX(韻母對照表[十五音識別碼], MATCH(TRUE, EXACT('台語音標韻母清單【依字長反排序】 (2)'!$C29, 韻母對照表[台羅拼音]), 0)), "")</f>
        <v>迦促</v>
      </c>
      <c r="I15" s="58" t="str" cm="1">
        <f t="array" ref="I15" xml:space="preserve"> IFERROR( INDEX(韻母對照表[方音符號], MATCH(TRUE, EXACT('台語音標韻母清單【依字長反排序】 (2)'!$C29, 韻母對照表[台羅拼音]), 0)), "")</f>
        <v>ㄧㄚㆷ</v>
      </c>
      <c r="J15" s="74">
        <f t="shared" si="1"/>
        <v>4</v>
      </c>
      <c r="K15" s="74"/>
      <c r="L15" s="58" t="str">
        <f t="shared" si="2"/>
        <v>annh</v>
      </c>
      <c r="M15" s="58" t="str">
        <f t="shared" si="3"/>
        <v>nɑh</v>
      </c>
      <c r="O15" s="122" t="str">
        <f t="shared" si="4"/>
        <v>annh(\d)</v>
      </c>
      <c r="P15" s="125" t="s">
        <v>1228</v>
      </c>
      <c r="Q15" s="125">
        <f t="shared" si="5"/>
        <v>1</v>
      </c>
      <c r="R15" s="122" t="str">
        <f t="shared" si="7"/>
        <v>》a${1}nnh</v>
      </c>
      <c r="S15" s="56"/>
      <c r="T15" s="57" t="str">
        <f t="shared" si="6"/>
        <v xml:space="preserve">    - xform/》annh(\d)/》a${1}nnh/</v>
      </c>
    </row>
    <row r="16" spans="1:20" ht="27.75" thickBot="1">
      <c r="A16" s="58">
        <f t="shared" si="0"/>
        <v>14</v>
      </c>
      <c r="B16" s="58" t="s">
        <v>815</v>
      </c>
      <c r="C16" s="58" t="s">
        <v>417</v>
      </c>
      <c r="D16" s="58" t="s">
        <v>417</v>
      </c>
      <c r="E16" s="76" t="str" cm="1">
        <f t="array" ref="E16" xml:space="preserve"> IFERROR( INDEX(韻母對照表[注音二式], MATCH(TRUE, EXACT('台語音標韻母清單【依字長反排序】 (2)'!$C30, 韻母對照表[台羅拼音]), 0)), "")</f>
        <v>iak</v>
      </c>
      <c r="F16" s="58" t="s">
        <v>816</v>
      </c>
      <c r="G16" s="61" t="str" cm="1">
        <f t="array" ref="G16" xml:space="preserve"> IFERROR( INDEX(韻母對照表[白話字], MATCH(TRUE, EXACT('台語音標韻母清單【依字長反排序】 (2)'!$C30, 韻母對照表[台羅拼音]), 0)), "")</f>
        <v>iak</v>
      </c>
      <c r="H16" s="55" t="str" cm="1">
        <f t="array" ref="H16" xml:space="preserve"> IFERROR( INDEX(韻母對照表[十五音識別碼], MATCH(TRUE, EXACT('台語音標韻母清單【依字長反排序】 (2)'!$C30, 韻母對照表[台羅拼音]), 0)), "")</f>
        <v>姜促</v>
      </c>
      <c r="I16" s="58" t="str" cm="1">
        <f t="array" ref="I16" xml:space="preserve"> IFERROR( INDEX(韻母對照表[方音符號], MATCH(TRUE, EXACT('台語音標韻母清單【依字長反排序】 (2)'!$C30, 韻母對照表[台羅拼音]), 0)), "")</f>
        <v>ㄧㄚㆻ</v>
      </c>
      <c r="J16" s="74">
        <f t="shared" si="1"/>
        <v>4</v>
      </c>
      <c r="K16" s="74"/>
      <c r="L16" s="58" t="str">
        <f t="shared" si="2"/>
        <v>ainn</v>
      </c>
      <c r="M16" s="58" t="str">
        <f t="shared" si="3"/>
        <v>nɑi</v>
      </c>
      <c r="O16" s="122" t="str">
        <f t="shared" si="4"/>
        <v>ainn(\d)</v>
      </c>
      <c r="P16" s="125" t="s">
        <v>1228</v>
      </c>
      <c r="Q16" s="125">
        <f t="shared" si="5"/>
        <v>1</v>
      </c>
      <c r="R16" s="122" t="str">
        <f t="shared" si="7"/>
        <v>》a${1}inn</v>
      </c>
      <c r="S16" s="56"/>
      <c r="T16" s="57" t="str">
        <f t="shared" si="6"/>
        <v xml:space="preserve">    - xform/》ainn(\d)/》a${1}inn/</v>
      </c>
    </row>
    <row r="17" spans="1:20" ht="27.75" thickBot="1">
      <c r="A17" s="58">
        <f t="shared" si="0"/>
        <v>15</v>
      </c>
      <c r="B17" s="58" t="s">
        <v>817</v>
      </c>
      <c r="C17" s="58" t="s">
        <v>491</v>
      </c>
      <c r="D17" s="58" t="s">
        <v>491</v>
      </c>
      <c r="E17" s="76" t="str" cm="1">
        <f t="array" ref="E17" xml:space="preserve"> IFERROR( INDEX(韻母對照表[注音二式], MATCH(TRUE, EXACT('台語音標韻母清單【依字長反排序】 (2)'!$C31, 韻母對照表[台羅拼音]), 0)), "")</f>
        <v>iam</v>
      </c>
      <c r="F17" s="58" t="s">
        <v>818</v>
      </c>
      <c r="G17" s="60" t="str" cm="1">
        <f t="array" ref="G17" xml:space="preserve"> IFERROR( INDEX(韻母對照表[白話字], MATCH(TRUE, EXACT('台語音標韻母清單【依字長反排序】 (2)'!$C31, 韻母對照表[台羅拼音]), 0)), "")</f>
        <v>iam</v>
      </c>
      <c r="H17" s="55" t="str" cm="1">
        <f t="array" ref="H17" xml:space="preserve"> IFERROR( INDEX(韻母對照表[十五音識別碼], MATCH(TRUE, EXACT('台語音標韻母清單【依字長反排序】 (2)'!$C31, 韻母對照表[台羅拼音]), 0)), "")</f>
        <v>兼舒</v>
      </c>
      <c r="I17" s="58" t="str" cm="1">
        <f t="array" ref="I17" xml:space="preserve"> IFERROR( INDEX(韻母對照表[方音符號], MATCH(TRUE, EXACT('台語音標韻母清單【依字長反排序】 (2)'!$C31, 韻母對照表[台羅拼音]), 0)), "")</f>
        <v>ㄧㆰ</v>
      </c>
      <c r="J17" s="74">
        <f t="shared" si="1"/>
        <v>4</v>
      </c>
      <c r="K17" s="74"/>
      <c r="L17" s="58" t="str">
        <f t="shared" si="2"/>
        <v>aunn</v>
      </c>
      <c r="M17" s="58" t="str">
        <f t="shared" si="3"/>
        <v>nɑo</v>
      </c>
      <c r="O17" s="122" t="str">
        <f t="shared" si="4"/>
        <v>aunn(\d)</v>
      </c>
      <c r="P17" s="125" t="s">
        <v>1228</v>
      </c>
      <c r="Q17" s="125">
        <f t="shared" si="5"/>
        <v>1</v>
      </c>
      <c r="R17" s="122" t="str">
        <f t="shared" si="7"/>
        <v>》a${1}unn</v>
      </c>
      <c r="S17" s="56"/>
      <c r="T17" s="57" t="str">
        <f t="shared" si="6"/>
        <v xml:space="preserve">    - xform/》aunn(\d)/》a${1}unn/</v>
      </c>
    </row>
    <row r="18" spans="1:20" ht="27.75" thickBot="1">
      <c r="A18" s="58">
        <f t="shared" si="0"/>
        <v>16</v>
      </c>
      <c r="B18" s="58" t="s">
        <v>821</v>
      </c>
      <c r="C18" s="58" t="s">
        <v>391</v>
      </c>
      <c r="D18" s="58" t="s">
        <v>391</v>
      </c>
      <c r="E18" s="76" t="str" cm="1">
        <f t="array" ref="E18" xml:space="preserve"> IFERROR( INDEX(韻母對照表[注音二式], MATCH(TRUE, EXACT('台語音標韻母清單【依字長反排序】 (2)'!$C33, 韻母對照表[台羅拼音]), 0)), "")</f>
        <v>iau</v>
      </c>
      <c r="F18" s="58" t="s">
        <v>394</v>
      </c>
      <c r="G18" s="61" t="str" cm="1">
        <f t="array" ref="G18" xml:space="preserve"> IFERROR( INDEX(韻母對照表[白話字], MATCH(TRUE, EXACT('台語音標韻母清單【依字長反排序】 (2)'!$C33, 韻母對照表[台羅拼音]), 0)), "")</f>
        <v>iau</v>
      </c>
      <c r="H18" s="55" t="str" cm="1">
        <f t="array" ref="H18" xml:space="preserve"> IFERROR( INDEX(韻母對照表[十五音識別碼], MATCH(TRUE, EXACT('台語音標韻母清單【依字長反排序】 (2)'!$C33, 韻母對照表[台羅拼音]), 0)), "")</f>
        <v>嬌舒</v>
      </c>
      <c r="I18" s="58" t="str" cm="1">
        <f t="array" ref="I18" xml:space="preserve"> IFERROR( INDEX(韻母對照表[方音符號], MATCH(TRUE, EXACT('台語音標韻母清單【依字長反排序】 (2)'!$C33, 韻母對照表[台羅拼音]), 0)), "")</f>
        <v>ㄧㄠ</v>
      </c>
      <c r="J18" s="74">
        <f t="shared" si="1"/>
        <v>4</v>
      </c>
      <c r="K18" s="74"/>
      <c r="L18" s="58" t="str">
        <f t="shared" si="2"/>
        <v>iann</v>
      </c>
      <c r="M18" s="58" t="str">
        <f t="shared" si="3"/>
        <v>nia</v>
      </c>
      <c r="O18" s="122" t="str">
        <f t="shared" si="4"/>
        <v>iann(\d)</v>
      </c>
      <c r="P18" s="125" t="s">
        <v>1228</v>
      </c>
      <c r="Q18" s="125">
        <f t="shared" si="5"/>
        <v>2</v>
      </c>
      <c r="R18" s="122" t="str">
        <f t="shared" si="7"/>
        <v>i》a${1}nn</v>
      </c>
      <c r="S18" s="56"/>
      <c r="T18" s="57" t="str">
        <f t="shared" si="6"/>
        <v xml:space="preserve">    - xform/》iann(\d)/i》a${1}nn/</v>
      </c>
    </row>
    <row r="19" spans="1:20" ht="27.75" thickBot="1">
      <c r="A19" s="58">
        <f t="shared" si="0"/>
        <v>17</v>
      </c>
      <c r="B19" s="75" t="str" cm="1">
        <f t="array" ref="B19" xml:space="preserve"> IFERROR( INDEX(韻母對照表[國際音標], MATCH(TRUE, EXACT('台語音標韻母清單【依字長反排序】 (2)'!$C34, 韻母對照表[台羅拼音]), 0)), "")</f>
        <v>ɪap̚</v>
      </c>
      <c r="C19" s="58" t="s">
        <v>376</v>
      </c>
      <c r="D19" s="58" t="s">
        <v>376</v>
      </c>
      <c r="E19" s="76" t="str" cm="1">
        <f t="array" ref="E19" xml:space="preserve"> IFERROR( INDEX(韻母對照表[注音二式], MATCH(TRUE, EXACT('台語音標韻母清單【依字長反排序】 (2)'!$C34, 韻母對照表[台羅拼音]), 0)), "")</f>
        <v>iap</v>
      </c>
      <c r="F19" s="58" t="s">
        <v>377</v>
      </c>
      <c r="G19" s="73" t="str" cm="1">
        <f t="array" ref="G19" xml:space="preserve"> IFERROR( INDEX(韻母對照表[白話字], MATCH(TRUE, EXACT('台語音標韻母清單【依字長反排序】 (2)'!$C34, 韻母對照表[台羅拼音]), 0)), "")</f>
        <v>iap</v>
      </c>
      <c r="H19" s="55" t="str" cm="1">
        <f t="array" ref="H19" xml:space="preserve"> IFERROR( INDEX(韻母對照表[十五音識別碼], MATCH(TRUE, EXACT('台語音標韻母清單【依字長反排序】 (2)'!$C34, 韻母對照表[台羅拼音]), 0)), "")</f>
        <v>兼促</v>
      </c>
      <c r="I19" s="58" t="str" cm="1">
        <f t="array" ref="I19" xml:space="preserve"> IFERROR( INDEX(韻母對照表[方音符號], MATCH(TRUE, EXACT('台語音標韻母清單【依字長反排序】 (2)'!$C34, 韻母對照表[台羅拼音]), 0)), "")</f>
        <v>ㄧㄚㆴ</v>
      </c>
      <c r="J19" s="74">
        <f t="shared" si="1"/>
        <v>4</v>
      </c>
      <c r="K19" s="74"/>
      <c r="L19" s="58" t="str">
        <f t="shared" si="2"/>
        <v>innh</v>
      </c>
      <c r="M19" s="58" t="str">
        <f t="shared" si="3"/>
        <v>nih</v>
      </c>
      <c r="O19" s="122" t="str">
        <f t="shared" si="4"/>
        <v>innh(\d)</v>
      </c>
      <c r="P19" s="125" t="s">
        <v>1229</v>
      </c>
      <c r="Q19" s="125">
        <f t="shared" si="5"/>
        <v>1</v>
      </c>
      <c r="R19" s="122" t="str">
        <f t="shared" si="7"/>
        <v>》i${1}nnh</v>
      </c>
      <c r="S19" s="56"/>
      <c r="T19" s="57" t="str">
        <f t="shared" si="6"/>
        <v xml:space="preserve">    - xform/》innh(\d)/》i${1}nnh/</v>
      </c>
    </row>
    <row r="20" spans="1:20" ht="27.75" thickBot="1">
      <c r="A20" s="58">
        <f t="shared" si="0"/>
        <v>18</v>
      </c>
      <c r="B20" s="58" t="str" cm="1">
        <f t="array" ref="B20" xml:space="preserve"> IFERROR( INDEX(韻母對照表[國際音標], MATCH(TRUE, EXACT('台語音標韻母清單【依字長反排序】 (2)'!$C35, 韻母對照表[台羅拼音]), 0)), "")</f>
        <v>ɪat̚</v>
      </c>
      <c r="C20" s="58" t="s">
        <v>507</v>
      </c>
      <c r="D20" s="58" t="s">
        <v>507</v>
      </c>
      <c r="E20" s="76" t="str" cm="1">
        <f t="array" ref="E20" xml:space="preserve"> IFERROR( INDEX(韻母對照表[注音二式], MATCH(TRUE, EXACT('台語音標韻母清單【依字長反排序】 (2)'!$C35, 韻母對照表[台羅拼音]), 0)), "")</f>
        <v>iat</v>
      </c>
      <c r="F20" s="58" t="s">
        <v>509</v>
      </c>
      <c r="G20" s="61" t="str" cm="1">
        <f t="array" ref="G20" xml:space="preserve"> IFERROR( INDEX(韻母對照表[白話字], MATCH(TRUE, EXACT('台語音標韻母清單【依字長反排序】 (2)'!$C35, 韻母對照表[台羅拼音]), 0)), "")</f>
        <v>iat</v>
      </c>
      <c r="H20" s="55" t="str" cm="1">
        <f t="array" ref="H20" xml:space="preserve"> IFERROR( INDEX(韻母對照表[十五音識別碼], MATCH(TRUE, EXACT('台語音標韻母清單【依字長反排序】 (2)'!$C35, 韻母對照表[台羅拼音]), 0)), "")</f>
        <v>堅促</v>
      </c>
      <c r="I20" s="58" t="str" cm="1">
        <f t="array" ref="I20" xml:space="preserve"> IFERROR( INDEX(韻母對照表[方音符號], MATCH(TRUE, EXACT('台語音標韻母清單【依字長反排序】 (2)'!$C35, 韻母對照表[台羅拼音]), 0)), "")</f>
        <v>ㄧㄚㆵ</v>
      </c>
      <c r="J20" s="74">
        <f t="shared" si="1"/>
        <v>4</v>
      </c>
      <c r="K20" s="74"/>
      <c r="L20" s="58" t="str">
        <f t="shared" si="2"/>
        <v>iunn</v>
      </c>
      <c r="M20" s="58" t="str">
        <f t="shared" si="3"/>
        <v>niu</v>
      </c>
      <c r="O20" s="122" t="str">
        <f t="shared" si="4"/>
        <v>iunn(\d)</v>
      </c>
      <c r="P20" s="125" t="s">
        <v>1229</v>
      </c>
      <c r="Q20" s="125">
        <f t="shared" si="5"/>
        <v>1</v>
      </c>
      <c r="R20" s="122" t="str">
        <f t="shared" si="7"/>
        <v>》i${1}unn</v>
      </c>
      <c r="S20" s="56"/>
      <c r="T20" s="57" t="str">
        <f t="shared" si="6"/>
        <v xml:space="preserve">    - xform/》iunn(\d)/》i${1}unn/</v>
      </c>
    </row>
    <row r="21" spans="1:20" ht="27.75" thickBot="1">
      <c r="A21" s="58">
        <f t="shared" si="0"/>
        <v>19</v>
      </c>
      <c r="B21" s="58" t="str" cm="1">
        <f t="array" ref="B21" xml:space="preserve"> IFERROR( INDEX(韻母對照表[國際音標], MATCH(TRUE, EXACT('台語音標韻母清單【依字長反排序】 (2)'!$C37, 韻母對照表[台羅拼音]), 0)), "")</f>
        <v>ɪəʔ</v>
      </c>
      <c r="C21" s="58" t="s">
        <v>399</v>
      </c>
      <c r="D21" s="58" t="s">
        <v>399</v>
      </c>
      <c r="E21" s="58" t="str" cm="1">
        <f t="array" ref="E21" xml:space="preserve"> IFERROR( INDEX(韻母對照表[注音二式], MATCH(TRUE, EXACT('台語音標韻母清單【依字長反排序】 (2)'!$C37, 韻母對照表[台羅拼音]), 0)), "")</f>
        <v>iorh</v>
      </c>
      <c r="F21" s="58" t="s">
        <v>401</v>
      </c>
      <c r="G21" s="61" t="str" cm="1">
        <f t="array" ref="G21" xml:space="preserve"> IFERROR( INDEX(韻母對照表[白話字], MATCH(TRUE, EXACT('台語音標韻母清單【依字長反排序】 (2)'!$C37, 韻母對照表[台羅拼音]), 0)), "")</f>
        <v>ioh</v>
      </c>
      <c r="H21" s="55" t="str" cm="1">
        <f t="array" ref="H21" xml:space="preserve"> IFERROR( INDEX(韻母對照表[十五音識別碼], MATCH(TRUE, EXACT('台語音標韻母清單【依字長反排序】 (2)'!$C37, 韻母對照表[台羅拼音]), 0)), "")</f>
        <v>茄促</v>
      </c>
      <c r="I21" s="58" t="str" cm="1">
        <f t="array" ref="I21" xml:space="preserve"> IFERROR( INDEX(韻母對照表[方音符號], MATCH(TRUE, EXACT('台語音標韻母清單【依字長反排序】 (2)'!$C37, 韻母對照表[台羅拼音]), 0)), "")</f>
        <v>ㄧㄜㆷ</v>
      </c>
      <c r="J21" s="74">
        <f t="shared" si="1"/>
        <v>4</v>
      </c>
      <c r="K21" s="74"/>
      <c r="L21" s="58" t="str">
        <f t="shared" si="2"/>
        <v>uann</v>
      </c>
      <c r="M21" s="58" t="str">
        <f t="shared" si="3"/>
        <v>nua</v>
      </c>
      <c r="O21" s="122" t="str">
        <f t="shared" si="4"/>
        <v>uann(\d)</v>
      </c>
      <c r="P21" s="125" t="s">
        <v>1228</v>
      </c>
      <c r="Q21" s="125">
        <f t="shared" si="5"/>
        <v>2</v>
      </c>
      <c r="R21" s="122" t="str">
        <f t="shared" si="7"/>
        <v>u》a${1}nn</v>
      </c>
      <c r="S21" s="56"/>
      <c r="T21" s="57" t="str">
        <f t="shared" si="6"/>
        <v xml:space="preserve">    - xform/》uann(\d)/u》a${1}nn/</v>
      </c>
    </row>
    <row r="22" spans="1:20" ht="27.75" thickBot="1">
      <c r="A22" s="58">
        <f t="shared" si="0"/>
        <v>20</v>
      </c>
      <c r="B22" s="58" t="str" cm="1">
        <f t="array" ref="B22" xml:space="preserve"> IFERROR( INDEX(韻母對照表[國際音標], MATCH(TRUE, EXACT('台語音標韻母清單【依字長反排序】 (2)'!$C38, 韻母對照表[台羅拼音]), 0)), "")</f>
        <v>ɪɔk̚</v>
      </c>
      <c r="C22" s="58" t="s">
        <v>351</v>
      </c>
      <c r="D22" s="58" t="s">
        <v>351</v>
      </c>
      <c r="E22" s="76" t="str" cm="1">
        <f t="array" ref="E22" xml:space="preserve"> IFERROR( INDEX(韻母對照表[注音二式], MATCH(TRUE, EXACT('台語音標韻母清單【依字長反排序】 (2)'!$C38, 韻母對照表[台羅拼音]), 0)), "")</f>
        <v>iook</v>
      </c>
      <c r="F22" s="58" t="s">
        <v>353</v>
      </c>
      <c r="G22" s="61" t="str" cm="1">
        <f t="array" ref="G22" xml:space="preserve"> IFERROR( INDEX(韻母對照表[白話字], MATCH(TRUE, EXACT('台語音標韻母清單【依字長反排序】 (2)'!$C38, 韻母對照表[台羅拼音]), 0)), "")</f>
        <v>iok</v>
      </c>
      <c r="H22" s="55" t="str" cm="1">
        <f t="array" ref="H22" xml:space="preserve"> IFERROR( INDEX(韻母對照表[十五音識別碼], MATCH(TRUE, EXACT('台語音標韻母清單【依字長反排序】 (2)'!$C38, 韻母對照表[台羅拼音]), 0)), "")</f>
        <v>恭促</v>
      </c>
      <c r="I22" s="58" t="str" cm="1">
        <f t="array" ref="I22" xml:space="preserve"> IFERROR( INDEX(韻母對照表[方音符號], MATCH(TRUE, EXACT('台語音標韻母清單【依字長反排序】 (2)'!$C38, 韻母對照表[台羅拼音]), 0)), "")</f>
        <v>ㄧㆦㆻ</v>
      </c>
      <c r="J22" s="74">
        <f t="shared" si="1"/>
        <v>4</v>
      </c>
      <c r="K22" s="74"/>
      <c r="L22" s="58" t="str">
        <f t="shared" si="2"/>
        <v>uinn</v>
      </c>
      <c r="M22" s="58" t="str">
        <f t="shared" si="3"/>
        <v>nui</v>
      </c>
      <c r="O22" s="122" t="str">
        <f t="shared" si="4"/>
        <v>uinn(\d)</v>
      </c>
      <c r="P22" s="125" t="s">
        <v>1229</v>
      </c>
      <c r="Q22" s="125">
        <f t="shared" si="5"/>
        <v>2</v>
      </c>
      <c r="R22" s="122" t="str">
        <f t="shared" si="7"/>
        <v>u》i${1}nn</v>
      </c>
      <c r="S22" s="56"/>
      <c r="T22" s="57" t="str">
        <f t="shared" si="6"/>
        <v xml:space="preserve">    - xform/》uinn(\d)/u》i${1}nn/</v>
      </c>
    </row>
    <row r="23" spans="1:20" ht="27.75" thickBot="1">
      <c r="A23" s="58">
        <f t="shared" si="0"/>
        <v>21</v>
      </c>
      <c r="B23" s="58" t="s">
        <v>380</v>
      </c>
      <c r="C23" s="58" t="s">
        <v>383</v>
      </c>
      <c r="D23" s="58" t="s">
        <v>383</v>
      </c>
      <c r="E23" s="58" t="str" cm="1">
        <f t="array" ref="E23" xml:space="preserve"> IFERROR( INDEX(韻母對照表[注音二式], MATCH(TRUE, EXACT('台語音標韻母清單【依字長反排序】 (2)'!$C89, 韻母對照表[台羅拼音]), 0)), "")</f>
        <v/>
      </c>
      <c r="F23" s="58" t="s">
        <v>641</v>
      </c>
      <c r="G23" s="60" t="str" cm="1">
        <f t="array" ref="G23" xml:space="preserve"> IFERROR( INDEX(韻母對照表[白話字], MATCH(TRUE, EXACT('台語音標韻母清單【依字長反排序】 (2)'!$C89, 韻母對照表[台羅拼音]), 0)), "")</f>
        <v/>
      </c>
      <c r="H23" s="55" t="str" cm="1">
        <f t="array" ref="H23" xml:space="preserve"> IFERROR( INDEX(韻母對照表[十五音識別碼], MATCH(TRUE, EXACT('台語音標韻母清單【依字長反排序】 (2)'!$C89, 韻母對照表[台羅拼音]), 0)), "")</f>
        <v/>
      </c>
      <c r="I23" s="58" t="str" cm="1">
        <f t="array" ref="I23" xml:space="preserve"> IFERROR( INDEX(韻母對照表[方音符號], MATCH(TRUE, EXACT('台語音標韻母清單【依字長反排序】 (2)'!$C89, 韻母對照表[台羅拼音]), 0)), "")</f>
        <v/>
      </c>
      <c r="J23" s="74">
        <f t="shared" si="1"/>
        <v>4</v>
      </c>
      <c r="K23" s="74"/>
      <c r="L23" s="58" t="str">
        <f t="shared" si="2"/>
        <v>ionn</v>
      </c>
      <c r="M23" s="58" t="str">
        <f t="shared" si="3"/>
        <v>-</v>
      </c>
      <c r="O23" s="122" t="str">
        <f t="shared" si="4"/>
        <v>ionn(\d)</v>
      </c>
      <c r="P23" s="125" t="s">
        <v>1216</v>
      </c>
      <c r="Q23" s="125">
        <f t="shared" si="5"/>
        <v>2</v>
      </c>
      <c r="R23" s="122" t="str">
        <f t="shared" si="7"/>
        <v>i》o${1}nn</v>
      </c>
      <c r="S23" s="56"/>
      <c r="T23" s="57" t="str">
        <f t="shared" si="6"/>
        <v xml:space="preserve">    - xform/》ionn(\d)/i》o${1}nn/</v>
      </c>
    </row>
    <row r="24" spans="1:20" ht="27.75" thickBot="1">
      <c r="A24" s="58">
        <f t="shared" si="0"/>
        <v>22</v>
      </c>
      <c r="B24" s="75" t="s">
        <v>859</v>
      </c>
      <c r="C24" s="58" t="s">
        <v>860</v>
      </c>
      <c r="D24" s="58" t="s">
        <v>860</v>
      </c>
      <c r="E24" s="76" t="str" cm="1">
        <f t="array" ref="E24" xml:space="preserve"> IFERROR( INDEX(韻母對照表[注音二式], MATCH(TRUE, EXACT('台語音標韻母清單【依字長反排序】 (2)'!$C90, 韻母對照表[台羅拼音]), 0)), "")</f>
        <v/>
      </c>
      <c r="F24" s="58" t="str" cm="1">
        <f t="array" ref="F24" xml:space="preserve"> IFERROR( INDEX(韻母對照表[閩拼方案], MATCH(TRUE, EXACT('台語音標韻母清單【依字長反排序】 (2)'!$B90, 韻母對照表[國際音標]), 0)), "")</f>
        <v/>
      </c>
      <c r="G24" s="60" t="str" cm="1">
        <f t="array" ref="G24" xml:space="preserve"> IFERROR( INDEX(韻母對照表[白話字], MATCH(TRUE, EXACT('台語音標韻母清單【依字長反排序】 (2)'!$C90, 韻母對照表[台羅拼音]), 0)), "")</f>
        <v/>
      </c>
      <c r="H24" s="55" t="str" cm="1">
        <f t="array" ref="H24" xml:space="preserve"> IFERROR( INDEX(韻母對照表[十五音識別碼], MATCH(TRUE, EXACT('台語音標韻母清單【依字長反排序】 (2)'!$C90, 韻母對照表[台羅拼音]), 0)), "")</f>
        <v/>
      </c>
      <c r="I24" s="58" t="str" cm="1">
        <f t="array" ref="I24" xml:space="preserve"> IFERROR( INDEX(韻母對照表[方音符號], MATCH(TRUE, EXACT('台語音標韻母清單【依字長反排序】 (2)'!$C90, 韻母對照表[台羅拼音]), 0)), "")</f>
        <v/>
      </c>
      <c r="J24" s="74">
        <f t="shared" si="1"/>
        <v>4</v>
      </c>
      <c r="K24" s="74"/>
      <c r="L24" s="58" t="str">
        <f t="shared" si="2"/>
        <v>iooh</v>
      </c>
      <c r="M24" s="58" t="str">
        <f t="shared" si="3"/>
        <v/>
      </c>
      <c r="O24" s="122" t="str">
        <f t="shared" si="4"/>
        <v>iooh(\d)</v>
      </c>
      <c r="P24" s="125" t="s">
        <v>1216</v>
      </c>
      <c r="Q24" s="125">
        <f t="shared" si="5"/>
        <v>2</v>
      </c>
      <c r="R24" s="122" t="str">
        <f t="shared" si="7"/>
        <v>i》o${1}oh</v>
      </c>
      <c r="S24" s="56"/>
      <c r="T24" s="57" t="str">
        <f t="shared" si="6"/>
        <v/>
      </c>
    </row>
    <row r="25" spans="1:20" ht="27.75" thickBot="1">
      <c r="A25" s="58">
        <f t="shared" si="0"/>
        <v>23</v>
      </c>
      <c r="B25" s="75" t="s">
        <v>866</v>
      </c>
      <c r="C25" s="58" t="s">
        <v>867</v>
      </c>
      <c r="D25" s="58" t="s">
        <v>867</v>
      </c>
      <c r="E25" s="76" t="str" cm="1">
        <f t="array" ref="E25" xml:space="preserve"> IFERROR( INDEX(韻母對照表[注音二式], MATCH(TRUE, EXACT('台語音標韻母清單【依字長反排序】 (2)'!$C95, 韻母對照表[台羅拼音]), 0)), "")</f>
        <v>e</v>
      </c>
      <c r="F25" s="58" t="str" cm="1">
        <f t="array" ref="F25" xml:space="preserve"> IFERROR( INDEX(韻母對照表[閩拼方案], MATCH(TRUE, EXACT('台語音標韻母清單【依字長反排序】 (2)'!$B95, 韻母對照表[國際音標]), 0)), "")</f>
        <v>e</v>
      </c>
      <c r="G25" s="62" cm="1">
        <f t="array" ref="G25" xml:space="preserve"> IFERROR( INDEX(韻母對照表[白話字], MATCH(TRUE, EXACT('台語音標韻母清單【依字長反排序】 (2)'!$C95, 韻母對照表[台羅拼音]), 0)), "")</f>
        <v>0</v>
      </c>
      <c r="H25" s="55" t="str" cm="1">
        <f t="array" ref="H25" xml:space="preserve"> IFERROR( INDEX(韻母對照表[十五音識別碼], MATCH(TRUE, EXACT('台語音標韻母清單【依字長反排序】 (2)'!$C95, 韻母對照表[台羅拼音]), 0)), "")</f>
        <v>稽舒</v>
      </c>
      <c r="I25" s="58" t="str" cm="1">
        <f t="array" ref="I25" xml:space="preserve"> IFERROR( INDEX(韻母對照表[方音符號], MATCH(TRUE, EXACT('台語音標韻母清單【依字長反排序】 (2)'!$C95, 韻母對照表[台羅拼音]), 0)), "")</f>
        <v>ㆤ</v>
      </c>
      <c r="J25" s="74">
        <f t="shared" si="1"/>
        <v>4</v>
      </c>
      <c r="K25" s="74"/>
      <c r="L25" s="58" t="str">
        <f t="shared" si="2"/>
        <v>aenn</v>
      </c>
      <c r="M25" s="58" t="str">
        <f t="shared" si="3"/>
        <v>e</v>
      </c>
      <c r="O25" s="122" t="str">
        <f t="shared" si="4"/>
        <v>aenn(\d)</v>
      </c>
      <c r="P25" s="125" t="s">
        <v>1228</v>
      </c>
      <c r="Q25" s="125">
        <f t="shared" si="5"/>
        <v>1</v>
      </c>
      <c r="R25" s="122" t="str">
        <f t="shared" si="7"/>
        <v>》a${1}enn</v>
      </c>
      <c r="S25" s="56"/>
      <c r="T25" s="57" t="str">
        <f t="shared" si="6"/>
        <v xml:space="preserve">    - xform/》aenn(\d)/》a${1}enn/</v>
      </c>
    </row>
    <row r="26" spans="1:20" ht="27.75" thickBot="1">
      <c r="A26" s="58">
        <f t="shared" si="0"/>
        <v>24</v>
      </c>
      <c r="B26" s="58" t="s">
        <v>894</v>
      </c>
      <c r="C26" s="58" t="s">
        <v>64</v>
      </c>
      <c r="D26" s="58" t="s">
        <v>64</v>
      </c>
      <c r="E26" s="58" t="str" cm="1">
        <f t="array" ref="E26" xml:space="preserve"> IFERROR( INDEX(韻母對照表[注音二式], MATCH(TRUE, EXACT('台語音標韻母清單【依字長反排序】 (2)'!$C14, 韻母對照表[台羅拼音]), 0)), "")</f>
        <v>onnh</v>
      </c>
      <c r="F26" s="58" t="s">
        <v>795</v>
      </c>
      <c r="G26" s="62"/>
      <c r="H26" s="55" t="str" cm="1">
        <f t="array" ref="H26" xml:space="preserve"> IFERROR( INDEX(韻母對照表[十五音識別碼], MATCH(TRUE, EXACT('台語音標韻母清單【依字長反排序】 (2)'!$C14, 韻母對照表[台羅拼音]), 0)), "")</f>
        <v>扛促</v>
      </c>
      <c r="I26" s="58" t="str" cm="1">
        <f t="array" ref="I26" xml:space="preserve"> IFERROR( INDEX(韻母對照表[方音符號], MATCH(TRUE, EXACT('台語音標韻母清單【依字長反排序】 (2)'!$C14, 韻母對照表[台羅拼音]), 0)), "")</f>
        <v>ㆧㆷ</v>
      </c>
      <c r="J26" s="74">
        <f t="shared" si="1"/>
        <v>3</v>
      </c>
      <c r="K26" s="74"/>
      <c r="L26" s="58" t="str">
        <f t="shared" si="2"/>
        <v>eeh</v>
      </c>
      <c r="M26" s="58" t="str">
        <f t="shared" si="3"/>
        <v>ɑeh</v>
      </c>
      <c r="O26" s="122" t="str">
        <f t="shared" si="4"/>
        <v>eeh(\d)</v>
      </c>
      <c r="P26" s="125" t="s">
        <v>1181</v>
      </c>
      <c r="Q26" s="125">
        <f t="shared" si="5"/>
        <v>1</v>
      </c>
      <c r="R26" s="122" t="str">
        <f t="shared" si="7"/>
        <v>》e${1}eh</v>
      </c>
      <c r="S26" s="56"/>
      <c r="T26" s="57" t="str">
        <f t="shared" si="6"/>
        <v xml:space="preserve">    - xform/》eeh(\d)/》e${1}eh/</v>
      </c>
    </row>
    <row r="27" spans="1:20" ht="27.75" thickBot="1">
      <c r="A27" s="58">
        <f t="shared" si="0"/>
        <v>25</v>
      </c>
      <c r="B27" s="58" t="s">
        <v>796</v>
      </c>
      <c r="C27" s="58" t="s">
        <v>237</v>
      </c>
      <c r="D27" s="58" t="s">
        <v>237</v>
      </c>
      <c r="E27" s="58" t="str" cm="1">
        <f t="array" ref="E27" xml:space="preserve"> IFERROR( INDEX(韻母對照表[注音二式], MATCH(TRUE, EXACT('台語音標韻母清單【依字長反排序】 (2)'!$C15, 韻母對照表[台羅拼音]), 0)), "")</f>
        <v>annh</v>
      </c>
      <c r="F27" s="58" t="s">
        <v>797</v>
      </c>
      <c r="G27" s="61" t="str" cm="1">
        <f t="array" ref="G27" xml:space="preserve"> IFERROR( INDEX(韻母對照表[白話字], MATCH(TRUE, EXACT('台語音標韻母清單【依字長反排序】 (2)'!$C15, 韻母對照表[台羅拼音]), 0)), "")</f>
        <v>ahⁿ</v>
      </c>
      <c r="H27" s="55" t="str" cm="1">
        <f t="array" ref="H27" xml:space="preserve"> IFERROR( INDEX(韻母對照表[十五音識別碼], MATCH(TRUE, EXACT('台語音標韻母清單【依字長反排序】 (2)'!$C15, 韻母對照表[台羅拼音]), 0)), "")</f>
        <v>監促</v>
      </c>
      <c r="I27" s="58" t="str" cm="1">
        <f t="array" ref="I27" xml:space="preserve"> IFERROR( INDEX(韻母對照表[方音符號], MATCH(TRUE, EXACT('台語音標韻母清單【依字長反排序】 (2)'!$C15, 韻母對照表[台羅拼音]), 0)), "")</f>
        <v>ㆩㆷ</v>
      </c>
      <c r="J27" s="74">
        <f t="shared" si="1"/>
        <v>3</v>
      </c>
      <c r="K27" s="74"/>
      <c r="L27" s="58" t="str">
        <f t="shared" si="2"/>
        <v>ang</v>
      </c>
      <c r="M27" s="58" t="str">
        <f t="shared" si="3"/>
        <v>anɡ</v>
      </c>
      <c r="O27" s="122" t="str">
        <f t="shared" si="4"/>
        <v>ang(\d)</v>
      </c>
      <c r="P27" s="125" t="s">
        <v>1228</v>
      </c>
      <c r="Q27" s="125">
        <f t="shared" si="5"/>
        <v>1</v>
      </c>
      <c r="R27" s="122" t="str">
        <f t="shared" si="7"/>
        <v>》a${1}ng</v>
      </c>
      <c r="S27" s="56"/>
      <c r="T27" s="57" t="str">
        <f t="shared" si="6"/>
        <v xml:space="preserve">    - xform/》ang(\d)/》a${1}ng/</v>
      </c>
    </row>
    <row r="28" spans="1:20" ht="27.75" thickBot="1">
      <c r="A28" s="58">
        <f t="shared" si="0"/>
        <v>26</v>
      </c>
      <c r="B28" s="58" t="s">
        <v>798</v>
      </c>
      <c r="C28" s="58" t="s">
        <v>267</v>
      </c>
      <c r="D28" s="58" t="s">
        <v>267</v>
      </c>
      <c r="E28" s="58" t="str" cm="1">
        <f t="array" ref="E28" xml:space="preserve"> IFERROR( INDEX(韻母對照表[注音二式], MATCH(TRUE, EXACT('台語音標韻母清單【依字長反排序】 (2)'!$C16, 韻母對照表[台羅拼音]), 0)), "")</f>
        <v>ainn</v>
      </c>
      <c r="F28" s="58" t="s">
        <v>799</v>
      </c>
      <c r="G28" s="61" t="str" cm="1">
        <f t="array" ref="G28" xml:space="preserve"> IFERROR( INDEX(韻母對照表[白話字], MATCH(TRUE, EXACT('台語音標韻母清單【依字長反排序】 (2)'!$C16, 韻母對照表[台羅拼音]), 0)), "")</f>
        <v>aiⁿ</v>
      </c>
      <c r="H28" s="55" t="str" cm="1">
        <f t="array" ref="H28" xml:space="preserve"> IFERROR( INDEX(韻母對照表[十五音識別碼], MATCH(TRUE, EXACT('台語音標韻母清單【依字長反排序】 (2)'!$C16, 韻母對照表[台羅拼音]), 0)), "")</f>
        <v>閒舒</v>
      </c>
      <c r="I28" s="58" t="str" cm="1">
        <f t="array" ref="I28" xml:space="preserve"> IFERROR( INDEX(韻母對照表[方音符號], MATCH(TRUE, EXACT('台語音標韻母清單【依字長反排序】 (2)'!$C16, 韻母對照表[台羅拼音]), 0)), "")</f>
        <v>ㆮ</v>
      </c>
      <c r="J28" s="74">
        <f t="shared" si="1"/>
        <v>3</v>
      </c>
      <c r="K28" s="74"/>
      <c r="L28" s="58" t="str">
        <f t="shared" si="2"/>
        <v>auh</v>
      </c>
      <c r="M28" s="58" t="str">
        <f t="shared" si="3"/>
        <v>ɑoh</v>
      </c>
      <c r="O28" s="122" t="str">
        <f t="shared" si="4"/>
        <v>auh(\d)</v>
      </c>
      <c r="P28" s="125" t="s">
        <v>1228</v>
      </c>
      <c r="Q28" s="125">
        <f t="shared" si="5"/>
        <v>1</v>
      </c>
      <c r="R28" s="122" t="str">
        <f t="shared" si="7"/>
        <v>》a${1}uh</v>
      </c>
      <c r="S28" s="56"/>
      <c r="T28" s="57" t="str">
        <f t="shared" si="6"/>
        <v xml:space="preserve">    - xform/》auh(\d)/》a${1}uh/</v>
      </c>
    </row>
    <row r="29" spans="1:20" ht="27.75" thickBot="1">
      <c r="A29" s="58">
        <f t="shared" si="0"/>
        <v>27</v>
      </c>
      <c r="B29" s="58" t="s">
        <v>800</v>
      </c>
      <c r="C29" s="58" t="s">
        <v>278</v>
      </c>
      <c r="D29" s="58" t="s">
        <v>278</v>
      </c>
      <c r="E29" s="58" t="str" cm="1">
        <f t="array" ref="E29" xml:space="preserve"> IFERROR( INDEX(韻母對照表[注音二式], MATCH(TRUE, EXACT('台語音標韻母清單【依字長反排序】 (2)'!$C17, 韻母對照表[台羅拼音]), 0)), "")</f>
        <v>aunn</v>
      </c>
      <c r="F29" s="58" t="s">
        <v>801</v>
      </c>
      <c r="G29" s="61" t="str" cm="1">
        <f t="array" ref="G29" xml:space="preserve"> IFERROR( INDEX(韻母對照表[白話字], MATCH(TRUE, EXACT('台語音標韻母清單【依字長反排序】 (2)'!$C17, 韻母對照表[台羅拼音]), 0)), "")</f>
        <v>auⁿ</v>
      </c>
      <c r="H29" s="55" t="str" cm="1">
        <f t="array" ref="H29" xml:space="preserve"> IFERROR( INDEX(韻母對照表[十五音識別碼], MATCH(TRUE, EXACT('台語音標韻母清單【依字長反排序】 (2)'!$C17, 韻母對照表[台羅拼音]), 0)), "")</f>
        <v>爻舒</v>
      </c>
      <c r="I29" s="58" t="str" cm="1">
        <f t="array" ref="I29" xml:space="preserve"> IFERROR( INDEX(韻母對照表[方音符號], MATCH(TRUE, EXACT('台語音標韻母清單【依字長反排序】 (2)'!$C17, 韻母對照表[台羅拼音]), 0)), "")</f>
        <v>ㆯ</v>
      </c>
      <c r="J29" s="74">
        <f t="shared" si="1"/>
        <v>3</v>
      </c>
      <c r="K29" s="74"/>
      <c r="L29" s="58" t="str">
        <f t="shared" si="2"/>
        <v>iah</v>
      </c>
      <c r="M29" s="58" t="str">
        <f t="shared" si="3"/>
        <v>iɑh</v>
      </c>
      <c r="O29" s="122" t="str">
        <f t="shared" si="4"/>
        <v>iah(\d)</v>
      </c>
      <c r="P29" s="125" t="s">
        <v>1228</v>
      </c>
      <c r="Q29" s="125">
        <f t="shared" si="5"/>
        <v>2</v>
      </c>
      <c r="R29" s="122" t="str">
        <f t="shared" si="7"/>
        <v>i》a${1}h</v>
      </c>
      <c r="S29" s="56"/>
      <c r="T29" s="57" t="str">
        <f t="shared" si="6"/>
        <v xml:space="preserve">    - xform/》iah(\d)/i》a${1}h/</v>
      </c>
    </row>
    <row r="30" spans="1:20" ht="27.75" thickBot="1">
      <c r="A30" s="58">
        <f t="shared" si="0"/>
        <v>28</v>
      </c>
      <c r="B30" s="58" t="s">
        <v>888</v>
      </c>
      <c r="C30" s="58" t="s">
        <v>207</v>
      </c>
      <c r="D30" s="58" t="s">
        <v>207</v>
      </c>
      <c r="E30" s="58" t="str" cm="1">
        <f t="array" ref="E30" xml:space="preserve"> IFERROR( INDEX(韻母對照表[注音二式], MATCH(TRUE, EXACT('台語音標韻母清單【依字長反排序】 (2)'!$C18, 韻母對照表[台羅拼音]), 0)), "")</f>
        <v>iann</v>
      </c>
      <c r="F30" s="58" t="s">
        <v>802</v>
      </c>
      <c r="G30" s="61" t="str" cm="1">
        <f t="array" ref="G30" xml:space="preserve"> IFERROR( INDEX(韻母對照表[白話字], MATCH(TRUE, EXACT('台語音標韻母清單【依字長反排序】 (2)'!$C18, 韻母對照表[台羅拼音]), 0)), "")</f>
        <v>iaⁿ</v>
      </c>
      <c r="H30" s="55" t="str" cm="1">
        <f t="array" ref="H30" xml:space="preserve"> IFERROR( INDEX(韻母對照表[十五音識別碼], MATCH(TRUE, EXACT('台語音標韻母清單【依字長反排序】 (2)'!$C18, 韻母對照表[台羅拼音]), 0)), "")</f>
        <v>驚舒</v>
      </c>
      <c r="I30" s="58" t="str" cm="1">
        <f t="array" ref="I30" xml:space="preserve"> IFERROR( INDEX(韻母對照表[方音符號], MATCH(TRUE, EXACT('台語音標韻母清單【依字長反排序】 (2)'!$C18, 韻母對照表[台羅拼音]), 0)), "")</f>
        <v>ㄧㆩ</v>
      </c>
      <c r="J30" s="74">
        <f t="shared" si="1"/>
        <v>3</v>
      </c>
      <c r="K30" s="74"/>
      <c r="L30" s="58" t="str">
        <f t="shared" si="2"/>
        <v>iak</v>
      </c>
      <c r="M30" s="58" t="str">
        <f t="shared" si="3"/>
        <v>iɑk</v>
      </c>
      <c r="O30" s="122" t="str">
        <f t="shared" si="4"/>
        <v>iak(\d)</v>
      </c>
      <c r="P30" s="125" t="s">
        <v>1228</v>
      </c>
      <c r="Q30" s="125">
        <f t="shared" si="5"/>
        <v>2</v>
      </c>
      <c r="R30" s="122" t="str">
        <f t="shared" si="7"/>
        <v>i》a${1}k</v>
      </c>
      <c r="S30" s="56"/>
      <c r="T30" s="57" t="str">
        <f t="shared" si="6"/>
        <v xml:space="preserve">    - xform/》iak(\d)/i》a${1}k/</v>
      </c>
    </row>
    <row r="31" spans="1:20" ht="27.75" thickBot="1">
      <c r="A31" s="58">
        <f t="shared" si="0"/>
        <v>29</v>
      </c>
      <c r="B31" s="58" t="s">
        <v>247</v>
      </c>
      <c r="C31" s="58" t="s">
        <v>247</v>
      </c>
      <c r="D31" s="58" t="s">
        <v>247</v>
      </c>
      <c r="E31" s="58" t="str" cm="1">
        <f t="array" ref="E31" xml:space="preserve"> IFERROR( INDEX(韻母對照表[注音二式], MATCH(TRUE, EXACT('台語音標韻母清單【依字長反排序】 (2)'!$C19, 韻母對照表[台羅拼音]), 0)), "")</f>
        <v>innh</v>
      </c>
      <c r="F31" s="58" t="s">
        <v>803</v>
      </c>
      <c r="G31" s="61" t="str" cm="1">
        <f t="array" ref="G31" xml:space="preserve"> IFERROR( INDEX(韻母對照表[白話字], MATCH(TRUE, EXACT('台語音標韻母清單【依字長反排序】 (2)'!$C19, 韻母對照表[台羅拼音]), 0)), "")</f>
        <v>ihⁿ</v>
      </c>
      <c r="H31" s="55" t="str" cm="1">
        <f t="array" ref="H31" xml:space="preserve"> IFERROR( INDEX(韻母對照表[十五音識別碼], MATCH(TRUE, EXACT('台語音標韻母清單【依字長反排序】 (2)'!$C19, 韻母對照表[台羅拼音]), 0)), "")</f>
        <v>梔促</v>
      </c>
      <c r="I31" s="58" t="str" cm="1">
        <f t="array" ref="I31" xml:space="preserve"> IFERROR( INDEX(韻母對照表[方音符號], MATCH(TRUE, EXACT('台語音標韻母清單【依字長反排序】 (2)'!$C19, 韻母對照表[台羅拼音]), 0)), "")</f>
        <v>ㆪㆷ</v>
      </c>
      <c r="J31" s="74">
        <f t="shared" si="1"/>
        <v>3</v>
      </c>
      <c r="K31" s="74"/>
      <c r="L31" s="58" t="str">
        <f t="shared" si="2"/>
        <v>iam</v>
      </c>
      <c r="M31" s="58" t="str">
        <f t="shared" si="3"/>
        <v>iɑm</v>
      </c>
      <c r="O31" s="122" t="str">
        <f t="shared" si="4"/>
        <v>iam(\d)</v>
      </c>
      <c r="P31" s="125" t="s">
        <v>1228</v>
      </c>
      <c r="Q31" s="125">
        <f t="shared" si="5"/>
        <v>2</v>
      </c>
      <c r="R31" s="122" t="str">
        <f t="shared" si="7"/>
        <v>i》a${1}m</v>
      </c>
      <c r="S31" s="56"/>
      <c r="T31" s="57" t="str">
        <f t="shared" si="6"/>
        <v xml:space="preserve">    - xform/》iam(\d)/i》a${1}m/</v>
      </c>
    </row>
    <row r="32" spans="1:20" ht="27.75" thickBot="1">
      <c r="A32" s="58">
        <f t="shared" si="0"/>
        <v>30</v>
      </c>
      <c r="B32" s="58" t="s">
        <v>27</v>
      </c>
      <c r="C32" s="58" t="s">
        <v>27</v>
      </c>
      <c r="D32" s="58" t="s">
        <v>27</v>
      </c>
      <c r="E32" s="58" t="str" cm="1">
        <f t="array" ref="E32" xml:space="preserve"> IFERROR( INDEX(韻母對照表[注音二式], MATCH(TRUE, EXACT('台語音標韻母清單【依字長反排序】 (2)'!$C20, 韻母對照表[台羅拼音]), 0)), "")</f>
        <v>iunn</v>
      </c>
      <c r="F32" s="58" t="s">
        <v>804</v>
      </c>
      <c r="G32" s="61" t="str" cm="1">
        <f t="array" ref="G32" xml:space="preserve"> IFERROR( INDEX(韻母對照表[白話字], MATCH(TRUE, EXACT('台語音標韻母清單【依字長反排序】 (2)'!$C20, 韻母對照表[台羅拼音]), 0)), "")</f>
        <v>iuⁿ</v>
      </c>
      <c r="H32" s="55" t="str" cm="1">
        <f t="array" ref="H32" xml:space="preserve"> IFERROR( INDEX(韻母對照表[十五音識別碼], MATCH(TRUE, EXACT('台語音標韻母清單【依字長反排序】 (2)'!$C20, 韻母對照表[台羅拼音]), 0)), "")</f>
        <v>牛舒</v>
      </c>
      <c r="I32" s="58" t="str" cm="1">
        <f t="array" ref="I32" xml:space="preserve"> IFERROR( INDEX(韻母對照表[方音符號], MATCH(TRUE, EXACT('台語音標韻母清單【依字長反排序】 (2)'!$C20, 韻母對照表[台羅拼音]), 0)), "")</f>
        <v>ㄧㆫ</v>
      </c>
      <c r="J32" s="74">
        <f t="shared" si="1"/>
        <v>3</v>
      </c>
      <c r="K32" s="74"/>
      <c r="L32" s="58" t="str">
        <f t="shared" si="2"/>
        <v>ian</v>
      </c>
      <c r="M32" s="58" t="str">
        <f t="shared" si="3"/>
        <v>iɑn</v>
      </c>
      <c r="O32" s="122" t="str">
        <f t="shared" si="4"/>
        <v>ian(\d)</v>
      </c>
      <c r="P32" s="125" t="s">
        <v>1228</v>
      </c>
      <c r="Q32" s="125">
        <f t="shared" si="5"/>
        <v>2</v>
      </c>
      <c r="R32" s="122" t="str">
        <f t="shared" si="7"/>
        <v>i》a${1}n</v>
      </c>
      <c r="S32" s="56"/>
      <c r="T32" s="57" t="str">
        <f t="shared" si="6"/>
        <v xml:space="preserve">    - xform/》ian(\d)/i》a${1}n/</v>
      </c>
    </row>
    <row r="33" spans="1:20" ht="27.75" thickBot="1">
      <c r="A33" s="58">
        <f t="shared" si="0"/>
        <v>31</v>
      </c>
      <c r="B33" s="58" t="s">
        <v>141</v>
      </c>
      <c r="C33" s="58" t="s">
        <v>141</v>
      </c>
      <c r="D33" s="58" t="s">
        <v>141</v>
      </c>
      <c r="E33" s="58" t="str" cm="1">
        <f t="array" ref="E33" xml:space="preserve"> IFERROR( INDEX(韻母對照表[注音二式], MATCH(TRUE, EXACT('台語音標韻母清單【依字長反排序】 (2)'!$C21, 韻母對照表[台羅拼音]), 0)), "")</f>
        <v>uann</v>
      </c>
      <c r="F33" s="58" t="s">
        <v>805</v>
      </c>
      <c r="G33" s="60" t="str" cm="1">
        <f t="array" ref="G33" xml:space="preserve"> IFERROR( INDEX(韻母對照表[白話字], MATCH(TRUE, EXACT('台語音標韻母清單【依字長反排序】 (2)'!$C21, 韻母對照表[台羅拼音]), 0)), "")</f>
        <v>oaⁿ</v>
      </c>
      <c r="H33" s="55" t="str" cm="1">
        <f t="array" ref="H33" xml:space="preserve"> IFERROR( INDEX(韻母對照表[十五音識別碼], MATCH(TRUE, EXACT('台語音標韻母清單【依字長反排序】 (2)'!$C21, 韻母對照表[台羅拼音]), 0)), "")</f>
        <v>官舒</v>
      </c>
      <c r="I33" s="58" t="str" cm="1">
        <f t="array" ref="I33" xml:space="preserve"> IFERROR( INDEX(韻母對照表[方音符號], MATCH(TRUE, EXACT('台語音標韻母清單【依字長反排序】 (2)'!$C21, 韻母對照表[台羅拼音]), 0)), "")</f>
        <v>ㄨㆩ</v>
      </c>
      <c r="J33" s="74">
        <f t="shared" si="1"/>
        <v>3</v>
      </c>
      <c r="K33" s="74"/>
      <c r="L33" s="58" t="str">
        <f t="shared" si="2"/>
        <v>iau</v>
      </c>
      <c r="M33" s="58" t="str">
        <f t="shared" si="3"/>
        <v>iɑo</v>
      </c>
      <c r="O33" s="122" t="str">
        <f t="shared" si="4"/>
        <v>iau(\d)</v>
      </c>
      <c r="P33" s="125" t="s">
        <v>1228</v>
      </c>
      <c r="Q33" s="125">
        <f t="shared" si="5"/>
        <v>2</v>
      </c>
      <c r="R33" s="122" t="str">
        <f t="shared" si="7"/>
        <v>i》a${1}u</v>
      </c>
      <c r="S33" s="56"/>
      <c r="T33" s="57" t="str">
        <f t="shared" si="6"/>
        <v xml:space="preserve">    - xform/》iau(\d)/i》a${1}u/</v>
      </c>
    </row>
    <row r="34" spans="1:20" ht="27.75" thickBot="1">
      <c r="A34" s="58">
        <f t="shared" si="0"/>
        <v>32</v>
      </c>
      <c r="B34" s="58" t="s">
        <v>884</v>
      </c>
      <c r="C34" s="58" t="s">
        <v>256</v>
      </c>
      <c r="D34" s="58" t="s">
        <v>256</v>
      </c>
      <c r="E34" s="58" t="str" cm="1">
        <f t="array" ref="E34" xml:space="preserve"> IFERROR( INDEX(韻母對照表[注音二式], MATCH(TRUE, EXACT('台語音標韻母清單【依字長反排序】 (2)'!$C22, 韻母對照表[台羅拼音]), 0)), "")</f>
        <v>uinn</v>
      </c>
      <c r="F34" s="58" t="s">
        <v>806</v>
      </c>
      <c r="G34" s="61" t="str" cm="1">
        <f t="array" ref="G34" xml:space="preserve"> IFERROR( INDEX(韻母對照表[白話字], MATCH(TRUE, EXACT('台語音標韻母清單【依字長反排序】 (2)'!$C22, 韻母對照表[台羅拼音]), 0)), "")</f>
        <v>uiⁿ</v>
      </c>
      <c r="H34" s="55" t="str" cm="1">
        <f t="array" ref="H34" xml:space="preserve"> IFERROR( INDEX(韻母對照表[十五音識別碼], MATCH(TRUE, EXACT('台語音標韻母清單【依字長反排序】 (2)'!$C22, 韻母對照表[台羅拼音]), 0)), "")</f>
        <v>褌舒</v>
      </c>
      <c r="I34" s="58" t="str" cm="1">
        <f t="array" ref="I34" xml:space="preserve"> IFERROR( INDEX(韻母對照表[方音符號], MATCH(TRUE, EXACT('台語音標韻母清單【依字長反排序】 (2)'!$C22, 韻母對照表[台羅拼音]), 0)), "")</f>
        <v>ㄨㆪ</v>
      </c>
      <c r="J34" s="74">
        <f t="shared" si="1"/>
        <v>3</v>
      </c>
      <c r="K34" s="74"/>
      <c r="L34" s="58" t="str">
        <f t="shared" si="2"/>
        <v>iap</v>
      </c>
      <c r="M34" s="58" t="str">
        <f t="shared" si="3"/>
        <v>iɑp</v>
      </c>
      <c r="O34" s="122" t="str">
        <f t="shared" si="4"/>
        <v>iap(\d)</v>
      </c>
      <c r="P34" s="125" t="s">
        <v>1228</v>
      </c>
      <c r="Q34" s="125">
        <f t="shared" si="5"/>
        <v>2</v>
      </c>
      <c r="R34" s="122" t="str">
        <f t="shared" si="7"/>
        <v>i》a${1}p</v>
      </c>
      <c r="S34" s="56"/>
      <c r="T34" s="57" t="str">
        <f t="shared" si="6"/>
        <v xml:space="preserve">    - xform/》iap(\d)/i》a${1}p/</v>
      </c>
    </row>
    <row r="35" spans="1:20" ht="27.75" thickBot="1">
      <c r="A35" s="58">
        <f t="shared" si="0"/>
        <v>33</v>
      </c>
      <c r="B35" s="58" t="s">
        <v>879</v>
      </c>
      <c r="C35" s="58" t="s">
        <v>34</v>
      </c>
      <c r="D35" s="58" t="s">
        <v>34</v>
      </c>
      <c r="E35" s="58" t="str" cm="1">
        <f t="array" ref="E35" xml:space="preserve"> IFERROR( INDEX(韻母對照表[注音二式], MATCH(TRUE, EXACT('台語音標韻母清單【依字長反排序】 (2)'!$C23, 韻母對照表[台羅拼音]), 0)), "")</f>
        <v>ioonn</v>
      </c>
      <c r="F35" s="58" t="s">
        <v>807</v>
      </c>
      <c r="G35" s="61" t="str" cm="1">
        <f t="array" ref="G35" xml:space="preserve"> IFERROR( INDEX(韻母對照表[白話字], MATCH(TRUE, EXACT('台語音標韻母清單【依字長反排序】 (2)'!$C23, 韻母對照表[台羅拼音]), 0)), "")</f>
        <v>ioⁿ</v>
      </c>
      <c r="H35" s="55" t="str" cm="1">
        <f t="array" ref="H35" xml:space="preserve"> IFERROR( INDEX(韻母對照表[十五音識別碼], MATCH(TRUE, EXACT('台語音標韻母清單【依字長反排序】 (2)'!$C23, 韻母對照表[台羅拼音]), 0)), "")</f>
        <v>薑舒</v>
      </c>
      <c r="I35" s="58" t="str" cm="1">
        <f t="array" ref="I35" xml:space="preserve"> IFERROR( INDEX(韻母對照表[方音符號], MATCH(TRUE, EXACT('台語音標韻母清單【依字長反排序】 (2)'!$C23, 韻母對照表[台羅拼音]), 0)), "")</f>
        <v>ㄧㆧ</v>
      </c>
      <c r="J35" s="74">
        <f t="shared" si="1"/>
        <v>3</v>
      </c>
      <c r="K35" s="74"/>
      <c r="L35" s="58" t="str">
        <f t="shared" si="2"/>
        <v>iat</v>
      </c>
      <c r="M35" s="58" t="str">
        <f t="shared" si="3"/>
        <v>iɑt</v>
      </c>
      <c r="O35" s="122" t="str">
        <f t="shared" si="4"/>
        <v>iat(\d)</v>
      </c>
      <c r="P35" s="125" t="s">
        <v>1228</v>
      </c>
      <c r="Q35" s="125">
        <f t="shared" si="5"/>
        <v>2</v>
      </c>
      <c r="R35" s="122" t="str">
        <f t="shared" si="7"/>
        <v>i》a${1}t</v>
      </c>
      <c r="S35" s="56"/>
      <c r="T35" s="57" t="str">
        <f t="shared" si="6"/>
        <v xml:space="preserve">    - xform/》iat(\d)/i》a${1}t/</v>
      </c>
    </row>
    <row r="36" spans="1:20" ht="27.75" thickBot="1">
      <c r="A36" s="58">
        <f t="shared" si="0"/>
        <v>34</v>
      </c>
      <c r="B36" s="58" t="s">
        <v>106</v>
      </c>
      <c r="C36" s="58" t="s">
        <v>109</v>
      </c>
      <c r="D36" s="58" t="s">
        <v>109</v>
      </c>
      <c r="E36" s="58" t="str" cm="1">
        <f t="array" ref="E36" xml:space="preserve"> IFERROR( INDEX(韻母對照表[注音二式], MATCH(TRUE, EXACT('台語音標韻母清單【依字長反排序】 (2)'!$C24, 韻母對照表[台羅拼音]), 0)), "")</f>
        <v/>
      </c>
      <c r="F36" s="58" t="s">
        <v>808</v>
      </c>
      <c r="G36" s="60" t="str" cm="1">
        <f t="array" ref="G36" xml:space="preserve"> IFERROR( INDEX(韻母對照表[白話字], MATCH(TRUE, EXACT('台語音標韻母清單【依字長反排序】 (2)'!$C24, 韻母對照表[台羅拼音]), 0)), "")</f>
        <v/>
      </c>
      <c r="H36" s="55" t="str" cm="1">
        <f t="array" ref="H36" xml:space="preserve"> IFERROR( INDEX(韻母對照表[十五音識別碼], MATCH(TRUE, EXACT('台語音標韻母清單【依字長反排序】 (2)'!$C24, 韻母對照表[台羅拼音]), 0)), "")</f>
        <v/>
      </c>
      <c r="I36" s="58" t="str" cm="1">
        <f t="array" ref="I36" xml:space="preserve"> IFERROR( INDEX(韻母對照表[方音符號], MATCH(TRUE, EXACT('台語音標韻母清單【依字長反排序】 (2)'!$C24, 韻母對照表[台羅拼音]), 0)), "")</f>
        <v/>
      </c>
      <c r="J36" s="74">
        <f t="shared" si="1"/>
        <v>3</v>
      </c>
      <c r="K36" s="74"/>
      <c r="L36" s="58" t="str">
        <f t="shared" si="2"/>
        <v>ing</v>
      </c>
      <c r="M36" s="58" t="str">
        <f t="shared" si="3"/>
        <v>inɡ</v>
      </c>
      <c r="O36" s="122" t="str">
        <f t="shared" si="4"/>
        <v>ing(\d)</v>
      </c>
      <c r="P36" s="125" t="s">
        <v>1229</v>
      </c>
      <c r="Q36" s="125">
        <f t="shared" si="5"/>
        <v>1</v>
      </c>
      <c r="R36" s="122" t="str">
        <f t="shared" si="7"/>
        <v>》i${1}ng</v>
      </c>
      <c r="S36" s="56"/>
      <c r="T36" s="57" t="str">
        <f t="shared" si="6"/>
        <v xml:space="preserve">    - xform/》ing(\d)/》i${1}ng/</v>
      </c>
    </row>
    <row r="37" spans="1:20" ht="27.75" thickBot="1">
      <c r="A37" s="58">
        <f t="shared" si="0"/>
        <v>35</v>
      </c>
      <c r="B37" s="58" t="s">
        <v>809</v>
      </c>
      <c r="C37" s="58" t="s">
        <v>363</v>
      </c>
      <c r="D37" s="58" t="s">
        <v>363</v>
      </c>
      <c r="E37" s="58" t="str" cm="1">
        <f t="array" ref="E37" xml:space="preserve"> IFERROR( INDEX(韻母對照表[注音二式], MATCH(TRUE, EXACT('台語音標韻母清單【依字長反排序】 (2)'!$C25, 韻母對照表[台羅拼音]), 0)), "")</f>
        <v/>
      </c>
      <c r="F37" s="58" t="s">
        <v>363</v>
      </c>
      <c r="G37" s="61" t="str" cm="1">
        <f t="array" ref="G37" xml:space="preserve"> IFERROR( INDEX(韻母對照表[白話字], MATCH(TRUE, EXACT('台語音標韻母清單【依字長反排序】 (2)'!$C25, 韻母對照表[台羅拼音]), 0)), "")</f>
        <v/>
      </c>
      <c r="H37" s="55" t="str" cm="1">
        <f t="array" ref="H37" xml:space="preserve"> IFERROR( INDEX(韻母對照表[十五音識別碼], MATCH(TRUE, EXACT('台語音標韻母清單【依字長反排序】 (2)'!$C25, 韻母對照表[台羅拼音]), 0)), "")</f>
        <v/>
      </c>
      <c r="I37" s="58" t="str" cm="1">
        <f t="array" ref="I37" xml:space="preserve"> IFERROR( INDEX(韻母對照表[方音符號], MATCH(TRUE, EXACT('台語音標韻母清單【依字長反排序】 (2)'!$C25, 韻母對照表[台羅拼音]), 0)), "")</f>
        <v/>
      </c>
      <c r="J37" s="74">
        <f t="shared" si="1"/>
        <v>3</v>
      </c>
      <c r="K37" s="74"/>
      <c r="L37" s="58" t="str">
        <f t="shared" si="2"/>
        <v>ioh</v>
      </c>
      <c r="M37" s="58" t="str">
        <f t="shared" si="3"/>
        <v>ioh</v>
      </c>
      <c r="O37" s="122" t="str">
        <f t="shared" si="4"/>
        <v>ioh(\d)</v>
      </c>
      <c r="P37" s="125" t="s">
        <v>1229</v>
      </c>
      <c r="Q37" s="125">
        <f t="shared" si="5"/>
        <v>1</v>
      </c>
      <c r="R37" s="122" t="str">
        <f t="shared" si="7"/>
        <v>》i${1}oh</v>
      </c>
      <c r="S37" s="56"/>
      <c r="T37" s="57" t="str">
        <f t="shared" si="6"/>
        <v xml:space="preserve">    - xform/》ioh(\d)/》i${1}oh/</v>
      </c>
    </row>
    <row r="38" spans="1:20" ht="27.75" thickBot="1">
      <c r="A38" s="58">
        <f t="shared" si="0"/>
        <v>36</v>
      </c>
      <c r="B38" s="58" t="s">
        <v>897</v>
      </c>
      <c r="C38" s="58" t="s">
        <v>167</v>
      </c>
      <c r="D38" s="58" t="s">
        <v>167</v>
      </c>
      <c r="E38" s="58" t="str" cm="1">
        <f t="array" ref="E38" xml:space="preserve"> IFERROR( INDEX(韻母對照表[注音二式], MATCH(TRUE, EXACT('台語音標韻母清單【依字長反排序】 (2)'!$C26, 韻母對照表[台羅拼音]), 0)), "")</f>
        <v>eh</v>
      </c>
      <c r="F38" s="58" t="s">
        <v>167</v>
      </c>
      <c r="G38" s="61" cm="1">
        <f t="array" ref="G38" xml:space="preserve"> IFERROR( INDEX(韻母對照表[白話字], MATCH(TRUE, EXACT('台語音標韻母清單【依字長反排序】 (2)'!$C26, 韻母對照表[台羅拼音]), 0)), "")</f>
        <v>0</v>
      </c>
      <c r="H38" s="55" t="str" cm="1">
        <f t="array" ref="H38" xml:space="preserve"> IFERROR( INDEX(韻母對照表[十五音識別碼], MATCH(TRUE, EXACT('台語音標韻母清單【依字長反排序】 (2)'!$C26, 韻母對照表[台羅拼音]), 0)), "")</f>
        <v>嘉促</v>
      </c>
      <c r="I38" s="58" t="str" cm="1">
        <f t="array" ref="I38" xml:space="preserve"> IFERROR( INDEX(韻母對照表[方音符號], MATCH(TRUE, EXACT('台語音標韻母清單【依字長反排序】 (2)'!$C26, 韻母對照表[台羅拼音]), 0)), "")</f>
        <v>ㄝㆷ</v>
      </c>
      <c r="J38" s="74">
        <f t="shared" si="1"/>
        <v>3</v>
      </c>
      <c r="K38" s="74"/>
      <c r="L38" s="58" t="str">
        <f t="shared" si="2"/>
        <v>iok</v>
      </c>
      <c r="M38" s="58" t="str">
        <f t="shared" si="3"/>
        <v>iok</v>
      </c>
      <c r="O38" s="122" t="str">
        <f t="shared" si="4"/>
        <v>iok(\d)</v>
      </c>
      <c r="P38" s="125" t="s">
        <v>1229</v>
      </c>
      <c r="Q38" s="125">
        <f t="shared" si="5"/>
        <v>1</v>
      </c>
      <c r="R38" s="122" t="str">
        <f t="shared" si="7"/>
        <v>》i${1}ok</v>
      </c>
      <c r="S38" s="56"/>
      <c r="T38" s="57" t="str">
        <f t="shared" si="6"/>
        <v xml:space="preserve">    - xform/》iok(\d)/》i${1}ok/</v>
      </c>
    </row>
    <row r="39" spans="1:20" ht="27.75" thickBot="1">
      <c r="A39" s="58">
        <f t="shared" si="0"/>
        <v>37</v>
      </c>
      <c r="B39" s="75" t="s">
        <v>810</v>
      </c>
      <c r="C39" s="58" t="s">
        <v>811</v>
      </c>
      <c r="D39" s="58" t="s">
        <v>811</v>
      </c>
      <c r="E39" s="76" t="str" cm="1">
        <f t="array" ref="E39" xml:space="preserve"> IFERROR( INDEX(韻母對照表[注音二式], MATCH(TRUE, EXACT('台語音標韻母清單【依字長反排序】 (2)'!$C27, 韻母對照表[台羅拼音]), 0)), "")</f>
        <v>ang</v>
      </c>
      <c r="F39" s="58" t="s">
        <v>811</v>
      </c>
      <c r="G39" s="61" t="str" cm="1">
        <f t="array" ref="G39" xml:space="preserve"> IFERROR( INDEX(韻母對照表[白話字], MATCH(TRUE, EXACT('台語音標韻母清單【依字長反排序】 (2)'!$C27, 韻母對照表[台羅拼音]), 0)), "")</f>
        <v>ang</v>
      </c>
      <c r="H39" s="55" t="str" cm="1">
        <f t="array" ref="H39" xml:space="preserve"> IFERROR( INDEX(韻母對照表[十五音識別碼], MATCH(TRUE, EXACT('台語音標韻母清單【依字長反排序】 (2)'!$C27, 韻母對照表[台羅拼音]), 0)), "")</f>
        <v>江舒</v>
      </c>
      <c r="I39" s="58" t="str" cm="1">
        <f t="array" ref="I39" xml:space="preserve"> IFERROR( INDEX(韻母對照表[方音符號], MATCH(TRUE, EXACT('台語音標韻母清單【依字長反排序】 (2)'!$C27, 韻母對照表[台羅拼音]), 0)), "")</f>
        <v>ㄤ</v>
      </c>
      <c r="J39" s="74">
        <f t="shared" si="1"/>
        <v>3</v>
      </c>
      <c r="K39" s="74"/>
      <c r="L39" s="58" t="str">
        <f t="shared" si="2"/>
        <v>iuh</v>
      </c>
      <c r="M39" s="58" t="str">
        <f t="shared" si="3"/>
        <v>iuh</v>
      </c>
      <c r="O39" s="122" t="str">
        <f t="shared" si="4"/>
        <v>iuh(\d)</v>
      </c>
      <c r="P39" s="125" t="s">
        <v>1229</v>
      </c>
      <c r="Q39" s="125">
        <f t="shared" si="5"/>
        <v>1</v>
      </c>
      <c r="R39" s="122" t="str">
        <f t="shared" si="7"/>
        <v>》i${1}uh</v>
      </c>
      <c r="S39" s="56"/>
      <c r="T39" s="57" t="str">
        <f t="shared" si="6"/>
        <v xml:space="preserve">    - xform/》iuh(\d)/》i${1}uh/</v>
      </c>
    </row>
    <row r="40" spans="1:20" ht="27.75" thickBot="1">
      <c r="A40" s="58">
        <f t="shared" si="0"/>
        <v>38</v>
      </c>
      <c r="B40" s="58" t="s">
        <v>337</v>
      </c>
      <c r="C40" s="58" t="s">
        <v>340</v>
      </c>
      <c r="D40" s="58" t="s">
        <v>340</v>
      </c>
      <c r="E40" s="58" t="str" cm="1">
        <f t="array" ref="E40" xml:space="preserve"> IFERROR( INDEX(韻母對照表[注音二式], MATCH(TRUE, EXACT('台語音標韻母清單【依字長反排序】 (2)'!$C28, 韻母對照表[台羅拼音]), 0)), "")</f>
        <v>auh</v>
      </c>
      <c r="F40" s="58" t="s">
        <v>812</v>
      </c>
      <c r="G40" s="61" t="str" cm="1">
        <f t="array" ref="G40" xml:space="preserve"> IFERROR( INDEX(韻母對照表[白話字], MATCH(TRUE, EXACT('台語音標韻母清單【依字長反排序】 (2)'!$C28, 韻母對照表[台羅拼音]), 0)), "")</f>
        <v>auh</v>
      </c>
      <c r="H40" s="55" t="str" cm="1">
        <f t="array" ref="H40" xml:space="preserve"> IFERROR( INDEX(韻母對照表[十五音識別碼], MATCH(TRUE, EXACT('台語音標韻母清單【依字長反排序】 (2)'!$C28, 韻母對照表[台羅拼音]), 0)), "")</f>
        <v>交促</v>
      </c>
      <c r="I40" s="58" t="str" cm="1">
        <f t="array" ref="I40" xml:space="preserve"> IFERROR( INDEX(韻母對照表[方音符號], MATCH(TRUE, EXACT('台語音標韻母清單【依字長反排序】 (2)'!$C28, 韻母對照表[台羅拼音]), 0)), "")</f>
        <v>ㄠㆷ</v>
      </c>
      <c r="J40" s="74">
        <f t="shared" si="1"/>
        <v>3</v>
      </c>
      <c r="K40" s="74"/>
      <c r="L40" s="58" t="str">
        <f t="shared" si="2"/>
        <v>enn</v>
      </c>
      <c r="M40" s="58" t="str">
        <f t="shared" si="3"/>
        <v>nɑe</v>
      </c>
      <c r="O40" s="122" t="str">
        <f t="shared" si="4"/>
        <v>enn(\d)</v>
      </c>
      <c r="P40" s="125" t="s">
        <v>1181</v>
      </c>
      <c r="Q40" s="125">
        <f t="shared" si="5"/>
        <v>1</v>
      </c>
      <c r="R40" s="122" t="str">
        <f t="shared" si="7"/>
        <v>》e${1}nn</v>
      </c>
      <c r="S40" s="56"/>
      <c r="T40" s="57" t="str">
        <f t="shared" si="6"/>
        <v xml:space="preserve">    - xform/》enn(\d)/》e${1}nn/</v>
      </c>
    </row>
    <row r="41" spans="1:20" ht="27.75" thickBot="1">
      <c r="A41" s="58">
        <f t="shared" si="0"/>
        <v>39</v>
      </c>
      <c r="B41" s="75" t="s">
        <v>819</v>
      </c>
      <c r="C41" s="58" t="s">
        <v>820</v>
      </c>
      <c r="D41" s="58" t="s">
        <v>820</v>
      </c>
      <c r="E41" s="76" t="str" cm="1">
        <f t="array" ref="E41" xml:space="preserve"> IFERROR( INDEX(韻母對照表[注音二式], MATCH(TRUE, EXACT('台語音標韻母清單【依字長反排序】 (2)'!$C32, 韻母對照表[台羅拼音]), 0)), "")</f>
        <v>ian</v>
      </c>
      <c r="F41" s="58" t="s">
        <v>820</v>
      </c>
      <c r="G41" s="61" t="str" cm="1">
        <f t="array" ref="G41" xml:space="preserve"> IFERROR( INDEX(韻母對照表[白話字], MATCH(TRUE, EXACT('台語音標韻母清單【依字長反排序】 (2)'!$C32, 韻母對照表[台羅拼音]), 0)), "")</f>
        <v>ian</v>
      </c>
      <c r="H41" s="55" t="str" cm="1">
        <f t="array" ref="H41" xml:space="preserve"> IFERROR( INDEX(韻母對照表[十五音識別碼], MATCH(TRUE, EXACT('台語音標韻母清單【依字長反排序】 (2)'!$C32, 韻母對照表[台羅拼音]), 0)), "")</f>
        <v>堅舒</v>
      </c>
      <c r="I41" s="58" t="str" cm="1">
        <f t="array" ref="I41" xml:space="preserve"> IFERROR( INDEX(韻母對照表[方音符號], MATCH(TRUE, EXACT('台語音標韻母清單【依字長反排序】 (2)'!$C32, 韻母對照表[台羅拼音]), 0)), "")</f>
        <v>ㄧㄢ</v>
      </c>
      <c r="J41" s="74">
        <f t="shared" si="1"/>
        <v>3</v>
      </c>
      <c r="K41" s="74"/>
      <c r="L41" s="58" t="str">
        <f t="shared" si="2"/>
        <v>ngh</v>
      </c>
      <c r="M41" s="58" t="str">
        <f t="shared" si="3"/>
        <v>ngh</v>
      </c>
      <c r="O41" s="122" t="str">
        <f t="shared" si="4"/>
        <v>ngh(\d)</v>
      </c>
      <c r="P41" s="125" t="s">
        <v>1305</v>
      </c>
      <c r="Q41" s="125">
        <f t="shared" si="5"/>
        <v>1</v>
      </c>
      <c r="R41" s="122" t="str">
        <f t="shared" si="7"/>
        <v>》n${1}gh</v>
      </c>
      <c r="S41" s="56"/>
      <c r="T41" s="57" t="str">
        <f t="shared" si="6"/>
        <v xml:space="preserve">    - xform/》ngh(\d)/》n${1}gh/</v>
      </c>
    </row>
    <row r="42" spans="1:20" ht="27.75" thickBot="1">
      <c r="A42" s="58">
        <f t="shared" si="0"/>
        <v>40</v>
      </c>
      <c r="B42" s="58" t="s">
        <v>910</v>
      </c>
      <c r="C42" s="58" t="s">
        <v>425</v>
      </c>
      <c r="D42" s="58" t="s">
        <v>425</v>
      </c>
      <c r="E42" s="76" t="str" cm="1">
        <f t="array" ref="E42" xml:space="preserve"> IFERROR( INDEX(韻母對照表[注音二式], MATCH(TRUE, EXACT('台語音標韻母清單【依字長反排序】 (2)'!$C36, 韻母對照表[台羅拼音]), 0)), "")</f>
        <v>ing</v>
      </c>
      <c r="F42" s="58" t="s">
        <v>427</v>
      </c>
      <c r="G42" s="60" t="str" cm="1">
        <f t="array" ref="G42" xml:space="preserve"> IFERROR( INDEX(韻母對照表[白話字], MATCH(TRUE, EXACT('台語音標韻母清單【依字長反排序】 (2)'!$C36, 韻母對照表[台羅拼音]), 0)), "")</f>
        <v>eng</v>
      </c>
      <c r="H42" s="55" t="str" cm="1">
        <f t="array" ref="H42" xml:space="preserve"> IFERROR( INDEX(韻母對照表[十五音識別碼], MATCH(TRUE, EXACT('台語音標韻母清單【依字長反排序】 (2)'!$C36, 韻母對照表[台羅拼音]), 0)), "")</f>
        <v>經舒</v>
      </c>
      <c r="I42" s="58" t="str" cm="1">
        <f t="array" ref="I42" xml:space="preserve"> IFERROR( INDEX(韻母對照表[方音符號], MATCH(TRUE, EXACT('台語音標韻母清單【依字長反排序】 (2)'!$C36, 韻母對照表[台羅拼音]), 0)), "")</f>
        <v>ㄧㄥ</v>
      </c>
      <c r="J42" s="74">
        <f t="shared" si="1"/>
        <v>3</v>
      </c>
      <c r="K42" s="74"/>
      <c r="L42" s="58" t="str">
        <f t="shared" si="2"/>
        <v>onn</v>
      </c>
      <c r="M42" s="58" t="str">
        <f t="shared" si="3"/>
        <v>noo</v>
      </c>
      <c r="O42" s="122" t="str">
        <f t="shared" si="4"/>
        <v>onn(\d)</v>
      </c>
      <c r="P42" s="125" t="s">
        <v>1216</v>
      </c>
      <c r="Q42" s="125">
        <f t="shared" si="5"/>
        <v>1</v>
      </c>
      <c r="R42" s="122" t="str">
        <f t="shared" si="7"/>
        <v>》o${1}nn</v>
      </c>
      <c r="S42" s="56"/>
      <c r="T42" s="57" t="str">
        <f t="shared" si="6"/>
        <v xml:space="preserve">    - xform/》onn(\d)/》o${1}nn/</v>
      </c>
    </row>
    <row r="43" spans="1:20" ht="27.75" thickBot="1">
      <c r="A43" s="58">
        <f t="shared" si="0"/>
        <v>41</v>
      </c>
      <c r="B43" s="58" t="s">
        <v>81</v>
      </c>
      <c r="C43" s="58" t="s">
        <v>84</v>
      </c>
      <c r="D43" s="58" t="s">
        <v>84</v>
      </c>
      <c r="E43" s="58" t="str" cm="1">
        <f t="array" ref="E43" xml:space="preserve"> IFERROR( INDEX(韻母對照表[注音二式], MATCH(TRUE, EXACT('台語音標韻母清單【依字長反排序】 (2)'!$C39, 韻母對照表[台羅拼音]), 0)), "")</f>
        <v/>
      </c>
      <c r="F43" s="58" t="s">
        <v>823</v>
      </c>
      <c r="G43" s="61" t="str" cm="1">
        <f t="array" ref="G43" xml:space="preserve"> IFERROR( INDEX(韻母對照表[白話字], MATCH(TRUE, EXACT('台語音標韻母清單【依字長反排序】 (2)'!$C39, 韻母對照表[台羅拼音]), 0)), "")</f>
        <v/>
      </c>
      <c r="H43" s="55" t="str" cm="1">
        <f t="array" ref="H43" xml:space="preserve"> IFERROR( INDEX(韻母對照表[十五音識別碼], MATCH(TRUE, EXACT('台語音標韻母清單【依字長反排序】 (2)'!$C39, 韻母對照表[台羅拼音]), 0)), "")</f>
        <v/>
      </c>
      <c r="I43" s="58" t="str" cm="1">
        <f t="array" ref="I43" xml:space="preserve"> IFERROR( INDEX(韻母對照表[方音符號], MATCH(TRUE, EXACT('台語音標韻母清單【依字長反排序】 (2)'!$C39, 韻母對照表[台羅拼音]), 0)), "")</f>
        <v/>
      </c>
      <c r="J43" s="74">
        <f t="shared" si="1"/>
        <v>3</v>
      </c>
      <c r="K43" s="74"/>
      <c r="L43" s="58" t="str">
        <f t="shared" si="2"/>
        <v>ong</v>
      </c>
      <c r="M43" s="58" t="str">
        <f t="shared" si="3"/>
        <v>onɡ</v>
      </c>
      <c r="O43" s="122" t="str">
        <f t="shared" si="4"/>
        <v>ong(\d)</v>
      </c>
      <c r="P43" s="125" t="s">
        <v>1216</v>
      </c>
      <c r="Q43" s="125">
        <f t="shared" si="5"/>
        <v>1</v>
      </c>
      <c r="R43" s="122" t="str">
        <f t="shared" si="7"/>
        <v>》o${1}ng</v>
      </c>
      <c r="S43" s="56"/>
      <c r="T43" s="57" t="str">
        <f t="shared" si="6"/>
        <v xml:space="preserve">    - xform/》ong(\d)/》o${1}ng/</v>
      </c>
    </row>
    <row r="44" spans="1:20" ht="27.75" thickBot="1">
      <c r="A44" s="58">
        <f t="shared" si="0"/>
        <v>42</v>
      </c>
      <c r="B44" s="75" t="s">
        <v>824</v>
      </c>
      <c r="C44" s="58" t="s">
        <v>825</v>
      </c>
      <c r="D44" s="58" t="s">
        <v>825</v>
      </c>
      <c r="E44" s="76" t="str" cm="1">
        <f t="array" ref="E44" xml:space="preserve"> IFERROR( INDEX(韻母對照表[注音二式], MATCH(TRUE, EXACT('台語音標韻母清單【依字長反排序】 (2)'!$C40, 韻母對照表[台羅拼音]), 0)), "")</f>
        <v>enn</v>
      </c>
      <c r="F44" s="58" t="s">
        <v>825</v>
      </c>
      <c r="G44" s="60" t="str" cm="1">
        <f t="array" ref="G44" xml:space="preserve"> IFERROR( INDEX(韻母對照表[白話字], MATCH(TRUE, EXACT('台語音標韻母清單【依字長反排序】 (2)'!$C40, 韻母對照表[台羅拼音]), 0)), "")</f>
        <v>eⁿ</v>
      </c>
      <c r="H44" s="55" t="str" cm="1">
        <f t="array" ref="H44" xml:space="preserve"> IFERROR( INDEX(韻母對照表[十五音識別碼], MATCH(TRUE, EXACT('台語音標韻母清單【依字長反排序】 (2)'!$C40, 韻母對照表[台羅拼音]), 0)), "")</f>
        <v>更舒</v>
      </c>
      <c r="I44" s="58" t="str" cm="1">
        <f t="array" ref="I44" xml:space="preserve"> IFERROR( INDEX(韻母對照表[方音符號], MATCH(TRUE, EXACT('台語音標韻母清單【依字長反排序】 (2)'!$C40, 韻母對照表[台羅拼音]), 0)), "")</f>
        <v>ㆥ</v>
      </c>
      <c r="J44" s="74">
        <f t="shared" si="1"/>
        <v>3</v>
      </c>
      <c r="K44" s="74"/>
      <c r="L44" s="58" t="str">
        <f t="shared" si="2"/>
        <v>ooh</v>
      </c>
      <c r="M44" s="58" t="str">
        <f t="shared" si="3"/>
        <v>ooh</v>
      </c>
      <c r="O44" s="122" t="str">
        <f t="shared" si="4"/>
        <v>ooh(\d)</v>
      </c>
      <c r="P44" s="125" t="s">
        <v>1216</v>
      </c>
      <c r="Q44" s="125">
        <f t="shared" si="5"/>
        <v>1</v>
      </c>
      <c r="R44" s="122" t="str">
        <f t="shared" si="7"/>
        <v>》o${1}oh</v>
      </c>
      <c r="S44" s="56"/>
      <c r="T44" s="57" t="str">
        <f t="shared" si="6"/>
        <v xml:space="preserve">    - xform/》ooh(\d)/》o${1}oh/</v>
      </c>
    </row>
    <row r="45" spans="1:20" ht="27.75" thickBot="1">
      <c r="A45" s="58">
        <f t="shared" si="0"/>
        <v>43</v>
      </c>
      <c r="B45" s="58" t="s">
        <v>826</v>
      </c>
      <c r="C45" s="58" t="s">
        <v>230</v>
      </c>
      <c r="D45" s="58" t="s">
        <v>230</v>
      </c>
      <c r="E45" s="58" t="str" cm="1">
        <f t="array" ref="E45" xml:space="preserve"> IFERROR( INDEX(韻母對照表[注音二式], MATCH(TRUE, EXACT('台語音標韻母清單【依字長反排序】 (2)'!$C41, 韻母對照表[台羅拼音]), 0)), "")</f>
        <v/>
      </c>
      <c r="F45" s="58" t="s">
        <v>827</v>
      </c>
      <c r="G45" s="60" t="str" cm="1">
        <f t="array" ref="G45" xml:space="preserve"> IFERROR( INDEX(韻母對照表[白話字], MATCH(TRUE, EXACT('台語音標韻母清單【依字長反排序】 (2)'!$C41, 韻母對照表[台羅拼音]), 0)), "")</f>
        <v/>
      </c>
      <c r="H45" s="55" t="str" cm="1">
        <f t="array" ref="H45" xml:space="preserve"> IFERROR( INDEX(韻母對照表[十五音識別碼], MATCH(TRUE, EXACT('台語音標韻母清單【依字長反排序】 (2)'!$C41, 韻母對照表[台羅拼音]), 0)), "")</f>
        <v/>
      </c>
      <c r="I45" s="58" t="str" cm="1">
        <f t="array" ref="I45" xml:space="preserve"> IFERROR( INDEX(韻母對照表[方音符號], MATCH(TRUE, EXACT('台語音標韻母清單【依字長反排序】 (2)'!$C41, 韻母對照表[台羅拼音]), 0)), "")</f>
        <v/>
      </c>
      <c r="J45" s="74">
        <f t="shared" si="1"/>
        <v>3</v>
      </c>
      <c r="K45" s="74"/>
      <c r="L45" s="58" t="str">
        <f t="shared" si="2"/>
        <v>uah</v>
      </c>
      <c r="M45" s="58" t="str">
        <f t="shared" si="3"/>
        <v>uɑh</v>
      </c>
      <c r="O45" s="122" t="str">
        <f t="shared" si="4"/>
        <v>uah(\d)</v>
      </c>
      <c r="P45" s="125" t="s">
        <v>1228</v>
      </c>
      <c r="Q45" s="125">
        <f t="shared" si="5"/>
        <v>2</v>
      </c>
      <c r="R45" s="122" t="str">
        <f t="shared" si="7"/>
        <v>u》a${1}h</v>
      </c>
      <c r="S45" s="56"/>
      <c r="T45" s="57" t="str">
        <f t="shared" si="6"/>
        <v xml:space="preserve">    - xform/》uah(\d)/u》a${1}h/</v>
      </c>
    </row>
    <row r="46" spans="1:20" ht="27.75" thickBot="1">
      <c r="A46" s="58">
        <f t="shared" si="0"/>
        <v>44</v>
      </c>
      <c r="B46" s="58" t="s">
        <v>94</v>
      </c>
      <c r="C46" s="58" t="s">
        <v>94</v>
      </c>
      <c r="D46" s="58" t="s">
        <v>94</v>
      </c>
      <c r="E46" s="58" t="str" cm="1">
        <f t="array" ref="E46" xml:space="preserve"> IFERROR( INDEX(韻母對照表[注音二式], MATCH(TRUE, EXACT('台語音標韻母清單【依字長反排序】 (2)'!$C42, 韻母對照表[台羅拼音]), 0)), "")</f>
        <v>oonn</v>
      </c>
      <c r="F46" s="58" t="s">
        <v>94</v>
      </c>
      <c r="G46" s="60" t="str" cm="1">
        <f t="array" ref="G46" xml:space="preserve"> IFERROR( INDEX(韻母對照表[白話字], MATCH(TRUE, EXACT('台語音標韻母清單【依字長反排序】 (2)'!$C42, 韻母對照表[台羅拼音]), 0)), "")</f>
        <v>oⁿ</v>
      </c>
      <c r="H46" s="55" t="str" cm="1">
        <f t="array" ref="H46" xml:space="preserve"> IFERROR( INDEX(韻母對照表[十五音識別碼], MATCH(TRUE, EXACT('台語音標韻母清單【依字長反排序】 (2)'!$C42, 韻母對照表[台羅拼音]), 0)), "")</f>
        <v>姑舒</v>
      </c>
      <c r="I46" s="58" t="str" cm="1">
        <f t="array" ref="I46" xml:space="preserve"> IFERROR( INDEX(韻母對照表[方音符號], MATCH(TRUE, EXACT('台語音標韻母清單【依字長反排序】 (2)'!$C42, 韻母對照表[台羅拼音]), 0)), "")</f>
        <v>ㆧ</v>
      </c>
      <c r="J46" s="74">
        <f t="shared" si="1"/>
        <v>3</v>
      </c>
      <c r="K46" s="74"/>
      <c r="L46" s="58" t="str">
        <f t="shared" si="2"/>
        <v>uai</v>
      </c>
      <c r="M46" s="58" t="str">
        <f t="shared" si="3"/>
        <v>uai</v>
      </c>
      <c r="O46" s="122" t="str">
        <f t="shared" si="4"/>
        <v>uai(\d)</v>
      </c>
      <c r="P46" s="125" t="s">
        <v>1228</v>
      </c>
      <c r="Q46" s="125">
        <f t="shared" si="5"/>
        <v>2</v>
      </c>
      <c r="R46" s="122" t="str">
        <f t="shared" si="7"/>
        <v>u》a${1}i</v>
      </c>
      <c r="S46" s="56"/>
      <c r="T46" s="57" t="str">
        <f t="shared" si="6"/>
        <v xml:space="preserve">    - xform/》uai(\d)/u》a${1}i/</v>
      </c>
    </row>
    <row r="47" spans="1:20" ht="27.75" thickBot="1">
      <c r="A47" s="58">
        <f t="shared" si="0"/>
        <v>45</v>
      </c>
      <c r="B47" s="58" t="s">
        <v>120</v>
      </c>
      <c r="C47" s="58" t="s">
        <v>120</v>
      </c>
      <c r="D47" s="58" t="s">
        <v>120</v>
      </c>
      <c r="E47" s="58" t="str" cm="1">
        <f t="array" ref="E47" xml:space="preserve"> IFERROR( INDEX(韻母對照表[注音二式], MATCH(TRUE, EXACT('台語音標韻母清單【依字長反排序】 (2)'!$C44, 韻母對照表[台羅拼音]), 0)), "")</f>
        <v/>
      </c>
      <c r="F47" s="58" t="s">
        <v>829</v>
      </c>
      <c r="G47" s="60" t="str" cm="1">
        <f t="array" ref="G47" xml:space="preserve"> IFERROR( INDEX(韻母對照表[白話字], MATCH(TRUE, EXACT('台語音標韻母清單【依字長反排序】 (2)'!$C44, 韻母對照表[台羅拼音]), 0)), "")</f>
        <v/>
      </c>
      <c r="H47" s="55" t="str" cm="1">
        <f t="array" ref="H47" xml:space="preserve"> IFERROR( INDEX(韻母對照表[十五音識別碼], MATCH(TRUE, EXACT('台語音標韻母清單【依字長反排序】 (2)'!$C44, 韻母對照表[台羅拼音]), 0)), "")</f>
        <v/>
      </c>
      <c r="I47" s="58" t="str" cm="1">
        <f t="array" ref="I47" xml:space="preserve"> IFERROR( INDEX(韻母對照表[方音符號], MATCH(TRUE, EXACT('台語音標韻母清單【依字長反排序】 (2)'!$C44, 韻母對照表[台羅拼音]), 0)), "")</f>
        <v/>
      </c>
      <c r="J47" s="74">
        <f t="shared" si="1"/>
        <v>3</v>
      </c>
      <c r="K47" s="74"/>
      <c r="L47" s="58" t="str">
        <f t="shared" si="2"/>
        <v>uan</v>
      </c>
      <c r="M47" s="58" t="str">
        <f t="shared" si="3"/>
        <v>uɑn</v>
      </c>
      <c r="O47" s="122" t="str">
        <f t="shared" si="4"/>
        <v>uan(\d)</v>
      </c>
      <c r="P47" s="125" t="s">
        <v>1228</v>
      </c>
      <c r="Q47" s="125">
        <f t="shared" si="5"/>
        <v>2</v>
      </c>
      <c r="R47" s="122" t="str">
        <f t="shared" si="7"/>
        <v>u》a${1}n</v>
      </c>
      <c r="S47" s="56"/>
      <c r="T47" s="57" t="str">
        <f t="shared" si="6"/>
        <v xml:space="preserve">    - xform/》uan(\d)/u》a${1}n/</v>
      </c>
    </row>
    <row r="48" spans="1:20" ht="27.75" thickBot="1">
      <c r="A48" s="58">
        <f t="shared" si="0"/>
        <v>46</v>
      </c>
      <c r="B48" s="58" t="s">
        <v>880</v>
      </c>
      <c r="C48" s="58" t="s">
        <v>129</v>
      </c>
      <c r="D48" s="58" t="s">
        <v>129</v>
      </c>
      <c r="E48" s="58" t="str" cm="1">
        <f t="array" ref="E48" xml:space="preserve"> IFERROR( INDEX(韻母對照表[注音二式], MATCH(TRUE, EXACT('台語音標韻母清單【依字長反排序】 (2)'!$C45, 韻母對照表[台羅拼音]), 0)), "")</f>
        <v>uah</v>
      </c>
      <c r="F48" s="58" t="s">
        <v>830</v>
      </c>
      <c r="G48" s="60" t="str" cm="1">
        <f t="array" ref="G48" xml:space="preserve"> IFERROR( INDEX(韻母對照表[白話字], MATCH(TRUE, EXACT('台語音標韻母清單【依字長反排序】 (2)'!$C45, 韻母對照表[台羅拼音]), 0)), "")</f>
        <v>oah</v>
      </c>
      <c r="H48" s="55" t="str" cm="1">
        <f t="array" ref="H48" xml:space="preserve"> IFERROR( INDEX(韻母對照表[十五音識別碼], MATCH(TRUE, EXACT('台語音標韻母清單【依字長反排序】 (2)'!$C45, 韻母對照表[台羅拼音]), 0)), "")</f>
        <v>瓜促</v>
      </c>
      <c r="I48" s="58" t="str" cm="1">
        <f t="array" ref="I48" xml:space="preserve"> IFERROR( INDEX(韻母對照表[方音符號], MATCH(TRUE, EXACT('台語音標韻母清單【依字長反排序】 (2)'!$C45, 韻母對照表[台羅拼音]), 0)), "")</f>
        <v>ㄨㄚㆷ</v>
      </c>
      <c r="J48" s="74">
        <f t="shared" si="1"/>
        <v>3</v>
      </c>
      <c r="K48" s="74"/>
      <c r="L48" s="58" t="str">
        <f t="shared" si="2"/>
        <v>uat</v>
      </c>
      <c r="M48" s="58" t="str">
        <f t="shared" si="3"/>
        <v>uɑt</v>
      </c>
      <c r="O48" s="122" t="str">
        <f t="shared" si="4"/>
        <v>uat(\d)</v>
      </c>
      <c r="P48" s="125" t="s">
        <v>1228</v>
      </c>
      <c r="Q48" s="125">
        <f t="shared" si="5"/>
        <v>2</v>
      </c>
      <c r="R48" s="122" t="str">
        <f t="shared" si="7"/>
        <v>u》a${1}t</v>
      </c>
      <c r="S48" s="56"/>
      <c r="T48" s="57" t="str">
        <f t="shared" si="6"/>
        <v xml:space="preserve">    - xform/》uat(\d)/u》a${1}t/</v>
      </c>
    </row>
    <row r="49" spans="1:20" ht="27.75" thickBot="1">
      <c r="A49" s="58">
        <f t="shared" si="0"/>
        <v>47</v>
      </c>
      <c r="B49" s="58" t="s">
        <v>831</v>
      </c>
      <c r="C49" s="58" t="s">
        <v>290</v>
      </c>
      <c r="D49" s="58" t="s">
        <v>290</v>
      </c>
      <c r="E49" s="76" t="str" cm="1">
        <f t="array" ref="E49" xml:space="preserve"> IFERROR( INDEX(韻母對照表[注音二式], MATCH(TRUE, EXACT('台語音標韻母清單【依字長反排序】 (2)'!$C46, 韻母對照表[台羅拼音]), 0)), "")</f>
        <v>uai</v>
      </c>
      <c r="F49" s="58" t="s">
        <v>290</v>
      </c>
      <c r="G49" s="60" t="str" cm="1">
        <f t="array" ref="G49" xml:space="preserve"> IFERROR( INDEX(韻母對照表[白話字], MATCH(TRUE, EXACT('台語音標韻母清單【依字長反排序】 (2)'!$C46, 韻母對照表[台羅拼音]), 0)), "")</f>
        <v>oai</v>
      </c>
      <c r="H49" s="55" t="str" cm="1">
        <f t="array" ref="H49" xml:space="preserve"> IFERROR( INDEX(韻母對照表[十五音識別碼], MATCH(TRUE, EXACT('台語音標韻母清單【依字長反排序】 (2)'!$C46, 韻母對照表[台羅拼音]), 0)), "")</f>
        <v>乖舒</v>
      </c>
      <c r="I49" s="58" t="str" cm="1">
        <f t="array" ref="I49" xml:space="preserve"> IFERROR( INDEX(韻母對照表[方音符號], MATCH(TRUE, EXACT('台語音標韻母清單【依字長反排序】 (2)'!$C46, 韻母對照表[台羅拼音]), 0)), "")</f>
        <v>ㄨㄞ</v>
      </c>
      <c r="J49" s="74">
        <f t="shared" si="1"/>
        <v>3</v>
      </c>
      <c r="K49" s="74"/>
      <c r="L49" s="58" t="str">
        <f t="shared" si="2"/>
        <v>ueh</v>
      </c>
      <c r="M49" s="58" t="str">
        <f t="shared" si="3"/>
        <v>ueh</v>
      </c>
      <c r="O49" s="122" t="str">
        <f t="shared" si="4"/>
        <v>ueh(\d)</v>
      </c>
      <c r="P49" s="125" t="s">
        <v>1181</v>
      </c>
      <c r="Q49" s="125">
        <f t="shared" si="5"/>
        <v>2</v>
      </c>
      <c r="R49" s="122" t="str">
        <f t="shared" si="7"/>
        <v>u》e${1}h</v>
      </c>
      <c r="S49" s="56"/>
      <c r="T49" s="57" t="str">
        <f t="shared" si="6"/>
        <v xml:space="preserve">    - xform/》ueh(\d)/u》e${1}h/</v>
      </c>
    </row>
    <row r="50" spans="1:20" ht="27.75" thickBot="1">
      <c r="A50" s="58">
        <f t="shared" si="0"/>
        <v>48</v>
      </c>
      <c r="B50" s="58" t="s">
        <v>294</v>
      </c>
      <c r="C50" s="58" t="s">
        <v>297</v>
      </c>
      <c r="D50" s="58" t="s">
        <v>297</v>
      </c>
      <c r="E50" s="58" t="str" cm="1">
        <f t="array" ref="E50" xml:space="preserve"> IFERROR( INDEX(韻母對照表[注音二式], MATCH(TRUE, EXACT('台語音標韻母清單【依字長反排序】 (2)'!$C69, 韻母對照表[台羅拼音]), 0)), "")</f>
        <v>ik</v>
      </c>
      <c r="F50" s="58" t="s">
        <v>299</v>
      </c>
      <c r="G50" s="61" t="str" cm="1">
        <f t="array" ref="G50" xml:space="preserve"> IFERROR( INDEX(韻母對照表[白話字], MATCH(TRUE, EXACT('台語音標韻母清單【依字長反排序】 (2)'!$C69, 韻母對照表[台羅拼音]), 0)), "")</f>
        <v>ek</v>
      </c>
      <c r="H50" s="55" t="str" cm="1">
        <f t="array" ref="H50" xml:space="preserve"> IFERROR( INDEX(韻母對照表[十五音識別碼], MATCH(TRUE, EXACT('台語音標韻母清單【依字長反排序】 (2)'!$C69, 韻母對照表[台羅拼音]), 0)), "")</f>
        <v>經促</v>
      </c>
      <c r="I50" s="58" t="str" cm="1">
        <f t="array" ref="I50" xml:space="preserve"> IFERROR( INDEX(韻母對照表[方音符號], MATCH(TRUE, EXACT('台語音標韻母清單【依字長反排序】 (2)'!$C69, 韻母對照表[台羅拼音]), 0)), "")</f>
        <v>ㄧㆻ</v>
      </c>
      <c r="J50" s="74">
        <f t="shared" si="1"/>
        <v>3</v>
      </c>
      <c r="K50" s="74"/>
      <c r="L50" s="58" t="str">
        <f t="shared" si="2"/>
        <v>ann</v>
      </c>
      <c r="M50" s="58" t="str">
        <f t="shared" si="3"/>
        <v>na</v>
      </c>
      <c r="O50" s="122" t="str">
        <f t="shared" si="4"/>
        <v>ann(\d)</v>
      </c>
      <c r="P50" s="125" t="s">
        <v>1228</v>
      </c>
      <c r="Q50" s="125">
        <f t="shared" si="5"/>
        <v>1</v>
      </c>
      <c r="R50" s="122" t="str">
        <f t="shared" si="7"/>
        <v>》a${1}nn</v>
      </c>
      <c r="S50" s="56"/>
      <c r="T50" s="57" t="str">
        <f t="shared" si="6"/>
        <v xml:space="preserve">    - xform/》ann(\d)/》a${1}nn/</v>
      </c>
    </row>
    <row r="51" spans="1:20" ht="27.75" thickBot="1">
      <c r="A51" s="58">
        <f t="shared" si="0"/>
        <v>49</v>
      </c>
      <c r="B51" s="58" t="s">
        <v>851</v>
      </c>
      <c r="C51" s="58" t="s">
        <v>370</v>
      </c>
      <c r="D51" s="58" t="s">
        <v>370</v>
      </c>
      <c r="E51" s="76" t="str" cm="1">
        <f t="array" ref="E51" xml:space="preserve"> IFERROR( INDEX(韻母對照表[注音二式], MATCH(TRUE, EXACT('台語音標韻母清單【依字長反排序】 (2)'!$C71, 韻母對照表[台羅拼音]), 0)), "")</f>
        <v>in</v>
      </c>
      <c r="F51" s="58" t="s">
        <v>372</v>
      </c>
      <c r="G51" s="61" t="str" cm="1">
        <f t="array" ref="G51" xml:space="preserve"> IFERROR( INDEX(韻母對照表[白話字], MATCH(TRUE, EXACT('台語音標韻母清單【依字長反排序】 (2)'!$C71, 韻母對照表[台羅拼音]), 0)), "")</f>
        <v>in</v>
      </c>
      <c r="H51" s="55" t="str" cm="1">
        <f t="array" ref="H51" xml:space="preserve"> IFERROR( INDEX(韻母對照表[十五音識別碼], MATCH(TRUE, EXACT('台語音標韻母清單【依字長反排序】 (2)'!$C71, 韻母對照表[台羅拼音]), 0)), "")</f>
        <v>巾舒</v>
      </c>
      <c r="I51" s="58" t="str" cm="1">
        <f t="array" ref="I51" xml:space="preserve"> IFERROR( INDEX(韻母對照表[方音符號], MATCH(TRUE, EXACT('台語音標韻母清單【依字長反排序】 (2)'!$C71, 韻母對照表[台羅拼音]), 0)), "")</f>
        <v>ㄧㄣ</v>
      </c>
      <c r="J51" s="74">
        <f t="shared" si="1"/>
        <v>3</v>
      </c>
      <c r="K51" s="74"/>
      <c r="L51" s="58" t="str">
        <f t="shared" si="2"/>
        <v>inn</v>
      </c>
      <c r="M51" s="58" t="str">
        <f t="shared" si="3"/>
        <v>ni</v>
      </c>
      <c r="O51" s="122" t="str">
        <f t="shared" si="4"/>
        <v>inn(\d)</v>
      </c>
      <c r="P51" s="125" t="s">
        <v>1229</v>
      </c>
      <c r="Q51" s="125">
        <f t="shared" si="5"/>
        <v>1</v>
      </c>
      <c r="R51" s="122" t="str">
        <f t="shared" si="7"/>
        <v>》i${1}nn</v>
      </c>
      <c r="S51" s="56"/>
      <c r="T51" s="57" t="str">
        <f t="shared" si="6"/>
        <v xml:space="preserve">    - xform/》inn(\d)/》i${1}nn/</v>
      </c>
    </row>
    <row r="52" spans="1:20" ht="27.75" thickBot="1">
      <c r="A52" s="58">
        <f t="shared" si="0"/>
        <v>50</v>
      </c>
      <c r="B52" s="75" t="s">
        <v>864</v>
      </c>
      <c r="C52" s="58" t="s">
        <v>865</v>
      </c>
      <c r="D52" s="58" t="s">
        <v>865</v>
      </c>
      <c r="E52" s="76" t="str" cm="1">
        <f t="array" ref="E52" xml:space="preserve"> IFERROR( INDEX(韻母對照表[注音二式], MATCH(TRUE, EXACT('台語音標韻母清單【依字長反排序】 (2)'!$C94, 韻母對照表[台羅拼音]), 0)), "")</f>
        <v>a</v>
      </c>
      <c r="F52" s="58" t="str" cm="1">
        <f t="array" ref="F52" xml:space="preserve"> IFERROR( INDEX(韻母對照表[閩拼方案], MATCH(TRUE, EXACT('台語音標韻母清單【依字長反排序】 (2)'!$B94, 韻母對照表[國際音標]), 0)), "")</f>
        <v>a</v>
      </c>
      <c r="G52" s="62" t="str" cm="1">
        <f t="array" ref="G52" xml:space="preserve"> IFERROR( INDEX(韻母對照表[白話字], MATCH(TRUE, EXACT('台語音標韻母清單【依字長反排序】 (2)'!$C94, 韻母對照表[台羅拼音]), 0)), "")</f>
        <v>a</v>
      </c>
      <c r="H52" s="55" t="str" cm="1">
        <f t="array" ref="H52" xml:space="preserve"> IFERROR( INDEX(韻母對照表[十五音識別碼], MATCH(TRUE, EXACT('台語音標韻母清單【依字長反排序】 (2)'!$C94, 韻母對照表[台羅拼音]), 0)), "")</f>
        <v>膠舒</v>
      </c>
      <c r="I52" s="58" t="str" cm="1">
        <f t="array" ref="I52" xml:space="preserve"> IFERROR( INDEX(韻母對照表[方音符號], MATCH(TRUE, EXACT('台語音標韻母清單【依字長反排序】 (2)'!$C94, 韻母對照表[台羅拼音]), 0)), "")</f>
        <v>ㄚ</v>
      </c>
      <c r="J52" s="74">
        <f t="shared" si="1"/>
        <v>3</v>
      </c>
      <c r="K52" s="74"/>
      <c r="L52" s="58" t="str">
        <f t="shared" si="2"/>
        <v>uae</v>
      </c>
      <c r="M52" s="58" t="str">
        <f t="shared" si="3"/>
        <v>a</v>
      </c>
      <c r="O52" s="122" t="str">
        <f t="shared" si="4"/>
        <v>uae(\d)</v>
      </c>
      <c r="P52" s="125" t="s">
        <v>1228</v>
      </c>
      <c r="Q52" s="125">
        <f t="shared" si="5"/>
        <v>2</v>
      </c>
      <c r="R52" s="122" t="str">
        <f t="shared" si="7"/>
        <v>u》a${1}e</v>
      </c>
      <c r="S52" s="56"/>
      <c r="T52" s="57" t="str">
        <f t="shared" si="6"/>
        <v xml:space="preserve">    - xform/》uae(\d)/u》a${1}e/</v>
      </c>
    </row>
    <row r="53" spans="1:20" ht="27.75" thickBot="1">
      <c r="A53" s="58">
        <f t="shared" si="0"/>
        <v>51</v>
      </c>
      <c r="B53" s="75" t="s">
        <v>869</v>
      </c>
      <c r="C53" s="58" t="s">
        <v>870</v>
      </c>
      <c r="D53" s="58" t="s">
        <v>870</v>
      </c>
      <c r="E53" s="62" t="str" cm="1">
        <f t="array" ref="E53" xml:space="preserve"> IFERROR( INDEX(韻母對照表[注音二式], MATCH(TRUE, EXACT('台語音標韻母清單【依字長反排序】 (2)'!$C97, 韻母對照表[台羅拼音]), 0)), "")</f>
        <v>m</v>
      </c>
      <c r="F53" s="58" t="str" cm="1">
        <f t="array" ref="F53" xml:space="preserve"> IFERROR( INDEX(韻母對照表[閩拼方案], MATCH(TRUE, EXACT('台語音標韻母清單【依字長反排序】 (2)'!$B97, 韻母對照表[國際音標]), 0)), "")</f>
        <v>m</v>
      </c>
      <c r="G53" s="62" t="str" cm="1">
        <f t="array" ref="G53" xml:space="preserve"> IFERROR( INDEX(韻母對照表[白話字], MATCH(TRUE, EXACT('台語音標韻母清單【依字長反排序】 (2)'!$C97, 韻母對照表[台羅拼音]), 0)), "")</f>
        <v>m</v>
      </c>
      <c r="H53" s="55" t="str" cm="1">
        <f t="array" ref="H53" xml:space="preserve"> IFERROR( INDEX(韻母對照表[十五音識別碼], MATCH(TRUE, EXACT('台語音標韻母清單【依字長反排序】 (2)'!$C97, 韻母對照表[台羅拼音]), 0)), "")</f>
        <v>姆舒</v>
      </c>
      <c r="I53" s="58" t="str" cm="1">
        <f t="array" ref="I53" xml:space="preserve"> IFERROR( INDEX(韻母對照表[方音符號], MATCH(TRUE, EXACT('台語音標韻母清單【依字長反排序】 (2)'!$C97, 韻母對照表[台羅拼音]), 0)), "")</f>
        <v>ㆬ</v>
      </c>
      <c r="J53" s="74">
        <f t="shared" si="1"/>
        <v>3</v>
      </c>
      <c r="K53" s="74"/>
      <c r="L53" s="58" t="str">
        <f t="shared" si="2"/>
        <v>ioo</v>
      </c>
      <c r="M53" s="58" t="str">
        <f t="shared" si="3"/>
        <v>m</v>
      </c>
      <c r="O53" s="122" t="str">
        <f t="shared" si="4"/>
        <v>ioo(\d)</v>
      </c>
      <c r="P53" s="125" t="s">
        <v>1229</v>
      </c>
      <c r="Q53" s="125">
        <f t="shared" si="5"/>
        <v>1</v>
      </c>
      <c r="R53" s="122" t="str">
        <f t="shared" si="7"/>
        <v>》i${1}oo</v>
      </c>
      <c r="S53" s="56"/>
      <c r="T53" s="57" t="str">
        <f t="shared" si="6"/>
        <v xml:space="preserve">    - xform/》ioo(\d)/》i${1}oo/</v>
      </c>
    </row>
    <row r="54" spans="1:20" ht="27.75" thickBot="1">
      <c r="A54" s="58">
        <f t="shared" si="0"/>
        <v>52</v>
      </c>
      <c r="B54" s="75" t="s">
        <v>871</v>
      </c>
      <c r="C54" s="58" t="s">
        <v>110</v>
      </c>
      <c r="D54" s="58" t="s">
        <v>110</v>
      </c>
      <c r="E54" s="76" t="str" cm="1">
        <f t="array" ref="E54" xml:space="preserve"> IFERROR( INDEX(韻母對照表[注音二式], MATCH(TRUE, EXACT('台語音標韻母清單【依字長反排序】 (2)'!$C98, 韻母對照表[台羅拼音]), 0)), "")</f>
        <v>or</v>
      </c>
      <c r="F54" s="58" t="str" cm="1">
        <f t="array" ref="F54" xml:space="preserve"> IFERROR( INDEX(韻母對照表[閩拼方案], MATCH(TRUE, EXACT('台語音標韻母清單【依字長反排序】 (2)'!$B98, 韻母對照表[國際音標]), 0)), "")</f>
        <v/>
      </c>
      <c r="G54" s="60" t="str" cm="1">
        <f t="array" ref="G54" xml:space="preserve"> IFERROR( INDEX(韻母對照表[白話字], MATCH(TRUE, EXACT('台語音標韻母清單【依字長反排序】 (2)'!$C98, 韻母對照表[台羅拼音]), 0)), "")</f>
        <v>o</v>
      </c>
      <c r="H54" s="55" t="str" cm="1">
        <f t="array" ref="H54" xml:space="preserve"> IFERROR( INDEX(韻母對照表[十五音識別碼], MATCH(TRUE, EXACT('台語音標韻母清單【依字長反排序】 (2)'!$C98, 韻母對照表[台羅拼音]), 0)), "")</f>
        <v>高舒</v>
      </c>
      <c r="I54" s="58" t="str" cm="1">
        <f t="array" ref="I54" xml:space="preserve"> IFERROR( INDEX(韻母對照表[方音符號], MATCH(TRUE, EXACT('台語音標韻母清單【依字長反排序】 (2)'!$C98, 韻母對照表[台羅拼音]), 0)), "")</f>
        <v>ㄜ</v>
      </c>
      <c r="J54" s="74">
        <f t="shared" si="1"/>
        <v>3</v>
      </c>
      <c r="K54" s="74"/>
      <c r="L54" s="58" t="str">
        <f t="shared" si="2"/>
        <v>eng</v>
      </c>
      <c r="M54" s="58" t="str">
        <f t="shared" si="3"/>
        <v/>
      </c>
      <c r="O54" s="122" t="str">
        <f t="shared" si="4"/>
        <v>eng(\d)</v>
      </c>
      <c r="P54" s="125" t="s">
        <v>1181</v>
      </c>
      <c r="Q54" s="125">
        <f t="shared" si="5"/>
        <v>1</v>
      </c>
      <c r="R54" s="122" t="str">
        <f t="shared" si="7"/>
        <v>》e${1}ng</v>
      </c>
      <c r="S54" s="56"/>
      <c r="T54" s="57" t="str">
        <f t="shared" si="6"/>
        <v/>
      </c>
    </row>
    <row r="55" spans="1:20" ht="27.75" thickBot="1">
      <c r="A55" s="58">
        <f t="shared" si="0"/>
        <v>53</v>
      </c>
      <c r="B55" s="58" t="s">
        <v>56</v>
      </c>
      <c r="C55" s="58" t="s">
        <v>59</v>
      </c>
      <c r="D55" s="58" t="s">
        <v>59</v>
      </c>
      <c r="E55" s="58" t="str" cm="1">
        <f t="array" ref="E55" xml:space="preserve"> IFERROR( INDEX(韻母對照表[注音二式], MATCH(TRUE, EXACT('台語音標韻母清單【依字長反排序】 (2)'!$C47, 韻母對照表[台羅拼音]), 0)), "")</f>
        <v>uan</v>
      </c>
      <c r="F55" s="58" t="s">
        <v>832</v>
      </c>
      <c r="G55" s="62"/>
      <c r="H55" s="55" t="str" cm="1">
        <f t="array" ref="H55" xml:space="preserve"> IFERROR( INDEX(韻母對照表[十五音識別碼], MATCH(TRUE, EXACT('台語音標韻母清單【依字長反排序】 (2)'!$C47, 韻母對照表[台羅拼音]), 0)), "")</f>
        <v>觀舒</v>
      </c>
      <c r="I55" s="58" t="str" cm="1">
        <f t="array" ref="I55" xml:space="preserve"> IFERROR( INDEX(韻母對照表[方音符號], MATCH(TRUE, EXACT('台語音標韻母清單【依字長反排序】 (2)'!$C47, 韻母對照表[台羅拼音]), 0)), "")</f>
        <v>ㄨㄢ</v>
      </c>
      <c r="J55" s="74">
        <f t="shared" si="1"/>
        <v>2</v>
      </c>
      <c r="K55" s="74"/>
      <c r="L55" s="58" t="str">
        <f t="shared" si="2"/>
        <v>ee</v>
      </c>
      <c r="M55" s="58" t="str">
        <f t="shared" si="3"/>
        <v>ɑe</v>
      </c>
      <c r="O55" s="122" t="str">
        <f t="shared" si="4"/>
        <v>ee(\d)</v>
      </c>
      <c r="P55" s="125" t="s">
        <v>1181</v>
      </c>
      <c r="Q55" s="125">
        <f t="shared" si="5"/>
        <v>1</v>
      </c>
      <c r="R55" s="122" t="str">
        <f t="shared" si="7"/>
        <v>》e${1}e</v>
      </c>
      <c r="S55" s="56"/>
      <c r="T55" s="57" t="str">
        <f t="shared" si="6"/>
        <v xml:space="preserve">    - xform/》ee(\d)/》e${1}e/</v>
      </c>
    </row>
    <row r="56" spans="1:20" ht="27.75" thickBot="1">
      <c r="A56" s="58">
        <f t="shared" si="0"/>
        <v>54</v>
      </c>
      <c r="B56" s="58" t="s">
        <v>833</v>
      </c>
      <c r="C56" s="58" t="s">
        <v>321</v>
      </c>
      <c r="D56" s="58" t="s">
        <v>321</v>
      </c>
      <c r="E56" s="58" t="str" cm="1">
        <f t="array" ref="E56" xml:space="preserve"> IFERROR( INDEX(韻母對照表[注音二式], MATCH(TRUE, EXACT('台語音標韻母清單【依字長反排序】 (2)'!$C48, 韻母對照表[台羅拼音]), 0)), "")</f>
        <v>uat</v>
      </c>
      <c r="F56" s="58" t="s">
        <v>834</v>
      </c>
      <c r="G56" s="61" t="str" cm="1">
        <f t="array" ref="G56" xml:space="preserve"> IFERROR( INDEX(韻母對照表[白話字], MATCH(TRUE, EXACT('台語音標韻母清單【依字長反排序】 (2)'!$C48, 韻母對照表[台羅拼音]), 0)), "")</f>
        <v>oat</v>
      </c>
      <c r="H56" s="55" t="str" cm="1">
        <f t="array" ref="H56" xml:space="preserve"> IFERROR( INDEX(韻母對照表[十五音識別碼], MATCH(TRUE, EXACT('台語音標韻母清單【依字長反排序】 (2)'!$C48, 韻母對照表[台羅拼音]), 0)), "")</f>
        <v>觀促</v>
      </c>
      <c r="I56" s="58" t="str" cm="1">
        <f t="array" ref="I56" xml:space="preserve"> IFERROR( INDEX(韻母對照表[方音符號], MATCH(TRUE, EXACT('台語音標韻母清單【依字長反排序】 (2)'!$C48, 韻母對照表[台羅拼音]), 0)), "")</f>
        <v>ㄨㄚㆵ</v>
      </c>
      <c r="J56" s="74">
        <f t="shared" si="1"/>
        <v>2</v>
      </c>
      <c r="K56" s="74"/>
      <c r="L56" s="58" t="str">
        <f t="shared" si="2"/>
        <v>ah</v>
      </c>
      <c r="M56" s="58" t="str">
        <f t="shared" si="3"/>
        <v>ɑh</v>
      </c>
      <c r="O56" s="122" t="str">
        <f t="shared" si="4"/>
        <v>ah(\d)</v>
      </c>
      <c r="P56" s="125" t="s">
        <v>1228</v>
      </c>
      <c r="Q56" s="125">
        <f t="shared" si="5"/>
        <v>1</v>
      </c>
      <c r="R56" s="122" t="str">
        <f t="shared" si="7"/>
        <v>》a${1}h</v>
      </c>
      <c r="S56" s="56"/>
      <c r="T56" s="57" t="str">
        <f t="shared" si="6"/>
        <v xml:space="preserve">    - xform/》ah(\d)/》a${1}h/</v>
      </c>
    </row>
    <row r="57" spans="1:20" ht="27.75" thickBot="1">
      <c r="A57" s="58">
        <f t="shared" si="0"/>
        <v>55</v>
      </c>
      <c r="B57" s="58" t="s">
        <v>183</v>
      </c>
      <c r="C57" s="58" t="s">
        <v>183</v>
      </c>
      <c r="D57" s="58" t="s">
        <v>183</v>
      </c>
      <c r="E57" s="58" t="str" cm="1">
        <f t="array" ref="E57" xml:space="preserve"> IFERROR( INDEX(韻母對照表[注音二式], MATCH(TRUE, EXACT('台語音標韻母清單【依字長反排序】 (2)'!$C49, 韻母對照表[台羅拼音]), 0)), "")</f>
        <v>ueh</v>
      </c>
      <c r="F57" s="58" t="s">
        <v>183</v>
      </c>
      <c r="G57" s="61" t="str" cm="1">
        <f t="array" ref="G57" xml:space="preserve"> IFERROR( INDEX(韻母對照表[白話字], MATCH(TRUE, EXACT('台語音標韻母清單【依字長反排序】 (2)'!$C49, 韻母對照表[台羅拼音]), 0)), "")</f>
        <v>oeh</v>
      </c>
      <c r="H57" s="55" t="str" cm="1">
        <f t="array" ref="H57" xml:space="preserve"> IFERROR( INDEX(韻母對照表[十五音識別碼], MATCH(TRUE, EXACT('台語音標韻母清單【依字長反排序】 (2)'!$C49, 韻母對照表[台羅拼音]), 0)), "")</f>
        <v>檜促</v>
      </c>
      <c r="I57" s="58" t="str" cm="1">
        <f t="array" ref="I57" xml:space="preserve"> IFERROR( INDEX(韻母對照表[方音符號], MATCH(TRUE, EXACT('台語音標韻母清單【依字長反排序】 (2)'!$C49, 韻母對照表[台羅拼音]), 0)), "")</f>
        <v>ㄨㆤㆷ</v>
      </c>
      <c r="J57" s="74">
        <f t="shared" si="1"/>
        <v>2</v>
      </c>
      <c r="K57" s="74"/>
      <c r="L57" s="58" t="str">
        <f t="shared" si="2"/>
        <v>ai</v>
      </c>
      <c r="M57" s="58" t="str">
        <f t="shared" si="3"/>
        <v>ai</v>
      </c>
      <c r="O57" s="122" t="str">
        <f t="shared" si="4"/>
        <v>ai(\d)</v>
      </c>
      <c r="P57" s="125" t="s">
        <v>1228</v>
      </c>
      <c r="Q57" s="125">
        <f t="shared" si="5"/>
        <v>1</v>
      </c>
      <c r="R57" s="122" t="str">
        <f t="shared" si="7"/>
        <v>》a${1}i</v>
      </c>
      <c r="S57" s="56"/>
      <c r="T57" s="57" t="str">
        <f t="shared" si="6"/>
        <v xml:space="preserve">    - xform/》ai(\d)/》a${1}i/</v>
      </c>
    </row>
    <row r="58" spans="1:20" ht="27.75" thickBot="1">
      <c r="A58" s="58">
        <f t="shared" si="0"/>
        <v>56</v>
      </c>
      <c r="B58" s="58" t="s">
        <v>889</v>
      </c>
      <c r="C58" s="58" t="s">
        <v>243</v>
      </c>
      <c r="D58" s="58" t="s">
        <v>243</v>
      </c>
      <c r="E58" s="76" t="str" cm="1">
        <f t="array" ref="E58" xml:space="preserve"> IFERROR( INDEX(韻母對照表[注音二式], MATCH(TRUE, EXACT('台語音標韻母清單【依字長反排序】 (2)'!$C50, 韻母對照表[台羅拼音]), 0)), "")</f>
        <v>ann</v>
      </c>
      <c r="F58" s="58" t="s">
        <v>835</v>
      </c>
      <c r="G58" s="61" t="str" cm="1">
        <f t="array" ref="G58" xml:space="preserve"> IFERROR( INDEX(韻母對照表[白話字], MATCH(TRUE, EXACT('台語音標韻母清單【依字長反排序】 (2)'!$C50, 韻母對照表[台羅拼音]), 0)), "")</f>
        <v>aⁿ</v>
      </c>
      <c r="H58" s="55" t="str" cm="1">
        <f t="array" ref="H58" xml:space="preserve"> IFERROR( INDEX(韻母對照表[十五音識別碼], MATCH(TRUE, EXACT('台語音標韻母清單【依字長反排序】 (2)'!$C50, 韻母對照表[台羅拼音]), 0)), "")</f>
        <v>監舒</v>
      </c>
      <c r="I58" s="58" t="str" cm="1">
        <f t="array" ref="I58" xml:space="preserve"> IFERROR( INDEX(韻母對照表[方音符號], MATCH(TRUE, EXACT('台語音標韻母清單【依字長反排序】 (2)'!$C50, 韻母對照表[台羅拼音]), 0)), "")</f>
        <v>ㆩ</v>
      </c>
      <c r="J58" s="74">
        <f t="shared" si="1"/>
        <v>2</v>
      </c>
      <c r="K58" s="74"/>
      <c r="L58" s="58" t="str">
        <f t="shared" si="2"/>
        <v>ak</v>
      </c>
      <c r="M58" s="58" t="str">
        <f t="shared" si="3"/>
        <v>ɑk</v>
      </c>
      <c r="O58" s="122" t="str">
        <f t="shared" si="4"/>
        <v>ak(\d)</v>
      </c>
      <c r="P58" s="125" t="s">
        <v>1228</v>
      </c>
      <c r="Q58" s="125">
        <f t="shared" si="5"/>
        <v>1</v>
      </c>
      <c r="R58" s="122" t="str">
        <f t="shared" si="7"/>
        <v>》a${1}k</v>
      </c>
      <c r="S58" s="56"/>
      <c r="T58" s="57" t="str">
        <f t="shared" si="6"/>
        <v xml:space="preserve">    - xform/》ak(\d)/》a${1}k/</v>
      </c>
    </row>
    <row r="59" spans="1:20" ht="27.75" thickBot="1">
      <c r="A59" s="58">
        <f t="shared" si="0"/>
        <v>57</v>
      </c>
      <c r="B59" s="58" t="s">
        <v>211</v>
      </c>
      <c r="C59" s="58" t="s">
        <v>211</v>
      </c>
      <c r="D59" s="58" t="s">
        <v>211</v>
      </c>
      <c r="E59" s="58" t="str" cm="1">
        <f t="array" ref="E59" xml:space="preserve"> IFERROR( INDEX(韻母對照表[注音二式], MATCH(TRUE, EXACT('台語音標韻母清單【依字長反排序】 (2)'!$C51, 韻母對照表[台羅拼音]), 0)), "")</f>
        <v>inn</v>
      </c>
      <c r="F59" s="58" t="s">
        <v>836</v>
      </c>
      <c r="G59" s="61" t="str" cm="1">
        <f t="array" ref="G59" xml:space="preserve"> IFERROR( INDEX(韻母對照表[白話字], MATCH(TRUE, EXACT('台語音標韻母清單【依字長反排序】 (2)'!$C51, 韻母對照表[台羅拼音]), 0)), "")</f>
        <v>iⁿ</v>
      </c>
      <c r="H59" s="55" t="str" cm="1">
        <f t="array" ref="H59" xml:space="preserve"> IFERROR( INDEX(韻母對照表[十五音識別碼], MATCH(TRUE, EXACT('台語音標韻母清單【依字長反排序】 (2)'!$C51, 韻母對照表[台羅拼音]), 0)), "")</f>
        <v>梔舒</v>
      </c>
      <c r="I59" s="58" t="str" cm="1">
        <f t="array" ref="I59" xml:space="preserve"> IFERROR( INDEX(韻母對照表[方音符號], MATCH(TRUE, EXACT('台語音標韻母清單【依字長反排序】 (2)'!$C51, 韻母對照表[台羅拼音]), 0)), "")</f>
        <v>ㆪ</v>
      </c>
      <c r="J59" s="74">
        <f t="shared" si="1"/>
        <v>2</v>
      </c>
      <c r="K59" s="74"/>
      <c r="L59" s="58" t="str">
        <f t="shared" si="2"/>
        <v>am</v>
      </c>
      <c r="M59" s="58" t="str">
        <f t="shared" si="3"/>
        <v>ɑm</v>
      </c>
      <c r="O59" s="122" t="str">
        <f t="shared" si="4"/>
        <v>am(\d)</v>
      </c>
      <c r="P59" s="125" t="s">
        <v>1228</v>
      </c>
      <c r="Q59" s="125">
        <f t="shared" si="5"/>
        <v>1</v>
      </c>
      <c r="R59" s="122" t="str">
        <f t="shared" si="7"/>
        <v>》a${1}m</v>
      </c>
      <c r="S59" s="56"/>
      <c r="T59" s="57" t="str">
        <f t="shared" si="6"/>
        <v xml:space="preserve">    - xform/》am(\d)/》a${1}m/</v>
      </c>
    </row>
    <row r="60" spans="1:20" ht="27.75" thickBot="1">
      <c r="A60" s="58">
        <f t="shared" si="0"/>
        <v>58</v>
      </c>
      <c r="B60" s="58" t="s">
        <v>69</v>
      </c>
      <c r="C60" s="58" t="s">
        <v>69</v>
      </c>
      <c r="D60" s="58" t="s">
        <v>69</v>
      </c>
      <c r="E60" s="58" t="str" cm="1">
        <f t="array" ref="E60" xml:space="preserve"> IFERROR( INDEX(韻母對照表[注音二式], MATCH(TRUE, EXACT('台語音標韻母清單【依字長反排序】 (2)'!$C52, 韻母對照表[台羅拼音]), 0)), "")</f>
        <v/>
      </c>
      <c r="F60" s="58" t="s">
        <v>837</v>
      </c>
      <c r="G60" s="61" t="str" cm="1">
        <f t="array" ref="G60" xml:space="preserve"> IFERROR( INDEX(韻母對照表[白話字], MATCH(TRUE, EXACT('台語音標韻母清單【依字長反排序】 (2)'!$C52, 韻母對照表[台羅拼音]), 0)), "")</f>
        <v/>
      </c>
      <c r="H60" s="55" t="str" cm="1">
        <f t="array" ref="H60" xml:space="preserve"> IFERROR( INDEX(韻母對照表[十五音識別碼], MATCH(TRUE, EXACT('台語音標韻母清單【依字長反排序】 (2)'!$C52, 韻母對照表[台羅拼音]), 0)), "")</f>
        <v/>
      </c>
      <c r="I60" s="58" t="str" cm="1">
        <f t="array" ref="I60" xml:space="preserve"> IFERROR( INDEX(韻母對照表[方音符號], MATCH(TRUE, EXACT('台語音標韻母清單【依字長反排序】 (2)'!$C52, 韻母對照表[台羅拼音]), 0)), "")</f>
        <v/>
      </c>
      <c r="J60" s="74">
        <f t="shared" si="1"/>
        <v>2</v>
      </c>
      <c r="K60" s="74"/>
      <c r="L60" s="58" t="str">
        <f t="shared" si="2"/>
        <v>an</v>
      </c>
      <c r="M60" s="58" t="str">
        <f t="shared" si="3"/>
        <v>ɑn</v>
      </c>
      <c r="O60" s="122" t="str">
        <f t="shared" si="4"/>
        <v>an(\d)</v>
      </c>
      <c r="P60" s="125" t="s">
        <v>1228</v>
      </c>
      <c r="Q60" s="125">
        <f t="shared" si="5"/>
        <v>1</v>
      </c>
      <c r="R60" s="122" t="str">
        <f t="shared" si="7"/>
        <v>》a${1}n</v>
      </c>
      <c r="S60" s="56"/>
      <c r="T60" s="57" t="str">
        <f t="shared" si="6"/>
        <v xml:space="preserve">    - xform/》an(\d)/》a${1}n/</v>
      </c>
    </row>
    <row r="61" spans="1:20" ht="27.75" thickBot="1">
      <c r="A61" s="58">
        <f t="shared" si="0"/>
        <v>59</v>
      </c>
      <c r="B61" s="58" t="s">
        <v>260</v>
      </c>
      <c r="C61" s="58" t="s">
        <v>260</v>
      </c>
      <c r="D61" s="58" t="s">
        <v>260</v>
      </c>
      <c r="E61" s="58" t="str" cm="1">
        <f t="array" ref="E61" xml:space="preserve"> IFERROR( INDEX(韻母對照表[注音二式], MATCH(TRUE, EXACT('台語音標韻母清單【依字長反排序】 (2)'!$C53, 韻母對照表[台羅拼音]), 0)), "")</f>
        <v/>
      </c>
      <c r="F61" s="58" t="s">
        <v>263</v>
      </c>
      <c r="G61" s="60" t="str" cm="1">
        <f t="array" ref="G61" xml:space="preserve"> IFERROR( INDEX(韻母對照表[白話字], MATCH(TRUE, EXACT('台語音標韻母清單【依字長反排序】 (2)'!$C53, 韻母對照表[台羅拼音]), 0)), "")</f>
        <v/>
      </c>
      <c r="H61" s="55" t="str" cm="1">
        <f t="array" ref="H61" xml:space="preserve"> IFERROR( INDEX(韻母對照表[十五音識別碼], MATCH(TRUE, EXACT('台語音標韻母清單【依字長反排序】 (2)'!$C53, 韻母對照表[台羅拼音]), 0)), "")</f>
        <v/>
      </c>
      <c r="I61" s="58" t="str" cm="1">
        <f t="array" ref="I61" xml:space="preserve"> IFERROR( INDEX(韻母對照表[方音符號], MATCH(TRUE, EXACT('台語音標韻母清單【依字長反排序】 (2)'!$C53, 韻母對照表[台羅拼音]), 0)), "")</f>
        <v/>
      </c>
      <c r="J61" s="74">
        <f t="shared" si="1"/>
        <v>2</v>
      </c>
      <c r="K61" s="74"/>
      <c r="L61" s="58" t="str">
        <f t="shared" si="2"/>
        <v>au</v>
      </c>
      <c r="M61" s="58" t="str">
        <f t="shared" si="3"/>
        <v>ao</v>
      </c>
      <c r="O61" s="122" t="str">
        <f t="shared" si="4"/>
        <v>au(\d)</v>
      </c>
      <c r="P61" s="125" t="s">
        <v>1228</v>
      </c>
      <c r="Q61" s="125">
        <f t="shared" si="5"/>
        <v>1</v>
      </c>
      <c r="R61" s="122" t="str">
        <f t="shared" si="7"/>
        <v>》a${1}u</v>
      </c>
      <c r="S61" s="56"/>
      <c r="T61" s="57" t="str">
        <f t="shared" si="6"/>
        <v xml:space="preserve">    - xform/》au(\d)/》a${1}u/</v>
      </c>
    </row>
    <row r="62" spans="1:20" ht="27.75" thickBot="1">
      <c r="A62" s="58">
        <f t="shared" si="0"/>
        <v>60</v>
      </c>
      <c r="B62" s="58" t="s">
        <v>885</v>
      </c>
      <c r="C62" s="58" t="s">
        <v>219</v>
      </c>
      <c r="D62" s="58" t="s">
        <v>219</v>
      </c>
      <c r="E62" s="58" t="str" cm="1">
        <f t="array" ref="E62" xml:space="preserve"> IFERROR( INDEX(韻母對照表[注音二式], MATCH(TRUE, EXACT('台語音標韻母清單【依字長反排序】 (2)'!$C54, 韻母對照表[台羅拼音]), 0)), "")</f>
        <v/>
      </c>
      <c r="F62" s="58" t="s">
        <v>838</v>
      </c>
      <c r="G62" s="61" t="str" cm="1">
        <f t="array" ref="G62" xml:space="preserve"> IFERROR( INDEX(韻母對照表[白話字], MATCH(TRUE, EXACT('台語音標韻母清單【依字長反排序】 (2)'!$C54, 韻母對照表[台羅拼音]), 0)), "")</f>
        <v/>
      </c>
      <c r="H62" s="55" t="str" cm="1">
        <f t="array" ref="H62" xml:space="preserve"> IFERROR( INDEX(韻母對照表[十五音識別碼], MATCH(TRUE, EXACT('台語音標韻母清單【依字長反排序】 (2)'!$C54, 韻母對照表[台羅拼音]), 0)), "")</f>
        <v/>
      </c>
      <c r="I62" s="58" t="str" cm="1">
        <f t="array" ref="I62" xml:space="preserve"> IFERROR( INDEX(韻母對照表[方音符號], MATCH(TRUE, EXACT('台語音標韻母清單【依字長反排序】 (2)'!$C54, 韻母對照表[台羅拼音]), 0)), "")</f>
        <v/>
      </c>
      <c r="J62" s="74">
        <f t="shared" si="1"/>
        <v>2</v>
      </c>
      <c r="K62" s="74"/>
      <c r="L62" s="58" t="str">
        <f t="shared" si="2"/>
        <v>ap</v>
      </c>
      <c r="M62" s="58" t="str">
        <f t="shared" si="3"/>
        <v>ɑp</v>
      </c>
      <c r="O62" s="122" t="str">
        <f t="shared" si="4"/>
        <v>ap(\d)</v>
      </c>
      <c r="P62" s="125" t="s">
        <v>1228</v>
      </c>
      <c r="Q62" s="125">
        <f t="shared" si="5"/>
        <v>1</v>
      </c>
      <c r="R62" s="122" t="str">
        <f t="shared" si="7"/>
        <v>》a${1}p</v>
      </c>
      <c r="S62" s="56"/>
      <c r="T62" s="57" t="str">
        <f t="shared" si="6"/>
        <v xml:space="preserve">    - xform/》ap(\d)/》a${1}p/</v>
      </c>
    </row>
    <row r="63" spans="1:20" ht="27.75" thickBot="1">
      <c r="A63" s="58">
        <f t="shared" si="0"/>
        <v>61</v>
      </c>
      <c r="B63" s="58" t="s">
        <v>881</v>
      </c>
      <c r="C63" s="58" t="s">
        <v>77</v>
      </c>
      <c r="D63" s="58" t="s">
        <v>77</v>
      </c>
      <c r="E63" s="58" t="str" cm="1">
        <f t="array" ref="E63" xml:space="preserve"> IFERROR( INDEX(韻母對照表[注音二式], MATCH(TRUE, EXACT('台語音標韻母清單【依字長反排序】 (2)'!$C55, 韻母對照表[台羅拼音]), 0)), "")</f>
        <v>e</v>
      </c>
      <c r="F63" s="58" t="s">
        <v>839</v>
      </c>
      <c r="G63" s="61" cm="1">
        <f t="array" ref="G63" xml:space="preserve"> IFERROR( INDEX(韻母對照表[白話字], MATCH(TRUE, EXACT('台語音標韻母清單【依字長反排序】 (2)'!$C55, 韻母對照表[台羅拼音]), 0)), "")</f>
        <v>0</v>
      </c>
      <c r="H63" s="55" t="str" cm="1">
        <f t="array" ref="H63" xml:space="preserve"> IFERROR( INDEX(韻母對照表[十五音識別碼], MATCH(TRUE, EXACT('台語音標韻母清單【依字長反排序】 (2)'!$C55, 韻母對照表[台羅拼音]), 0)), "")</f>
        <v>嘉舒</v>
      </c>
      <c r="I63" s="58" t="str" cm="1">
        <f t="array" ref="I63" xml:space="preserve"> IFERROR( INDEX(韻母對照表[方音符號], MATCH(TRUE, EXACT('台語音標韻母清單【依字長反排序】 (2)'!$C55, 韻母對照表[台羅拼音]), 0)), "")</f>
        <v>ㄝ</v>
      </c>
      <c r="J63" s="74">
        <f t="shared" si="1"/>
        <v>2</v>
      </c>
      <c r="K63" s="74"/>
      <c r="L63" s="58" t="str">
        <f t="shared" si="2"/>
        <v>at</v>
      </c>
      <c r="M63" s="58" t="str">
        <f t="shared" si="3"/>
        <v>ɑt</v>
      </c>
      <c r="O63" s="122" t="str">
        <f t="shared" si="4"/>
        <v>at(\d)</v>
      </c>
      <c r="P63" s="125" t="s">
        <v>1228</v>
      </c>
      <c r="Q63" s="125">
        <f t="shared" si="5"/>
        <v>1</v>
      </c>
      <c r="R63" s="122" t="str">
        <f t="shared" si="7"/>
        <v>》a${1}t</v>
      </c>
      <c r="S63" s="56"/>
      <c r="T63" s="57" t="str">
        <f t="shared" si="6"/>
        <v xml:space="preserve">    - xform/》at(\d)/》a${1}t/</v>
      </c>
    </row>
    <row r="64" spans="1:20" ht="27.75" thickBot="1">
      <c r="A64" s="58">
        <f t="shared" si="0"/>
        <v>62</v>
      </c>
      <c r="B64" s="58" t="s">
        <v>840</v>
      </c>
      <c r="C64" s="58" t="s">
        <v>65</v>
      </c>
      <c r="D64" s="58" t="s">
        <v>65</v>
      </c>
      <c r="E64" s="58" t="str" cm="1">
        <f t="array" ref="E64" xml:space="preserve"> IFERROR( INDEX(韻母對照表[注音二式], MATCH(TRUE, EXACT('台語音標韻母清單【依字長反排序】 (2)'!$C56, 韻母對照表[台羅拼音]), 0)), "")</f>
        <v>ah</v>
      </c>
      <c r="F64" s="58" t="s">
        <v>65</v>
      </c>
      <c r="G64" s="61" t="str" cm="1">
        <f t="array" ref="G64" xml:space="preserve"> IFERROR( INDEX(韻母對照表[白話字], MATCH(TRUE, EXACT('台語音標韻母清單【依字長反排序】 (2)'!$C56, 韻母對照表[台羅拼音]), 0)), "")</f>
        <v>ah</v>
      </c>
      <c r="H64" s="55" t="str" cm="1">
        <f t="array" ref="H64" xml:space="preserve"> IFERROR( INDEX(韻母對照表[十五音識別碼], MATCH(TRUE, EXACT('台語音標韻母清單【依字長反排序】 (2)'!$C56, 韻母對照表[台羅拼音]), 0)), "")</f>
        <v>膠促</v>
      </c>
      <c r="I64" s="58" t="str" cm="1">
        <f t="array" ref="I64" xml:space="preserve"> IFERROR( INDEX(韻母對照表[方音符號], MATCH(TRUE, EXACT('台語音標韻母清單【依字長反排序】 (2)'!$C56, 韻母對照表[台羅拼音]), 0)), "")</f>
        <v>ㄚㆷ</v>
      </c>
      <c r="J64" s="74">
        <f t="shared" si="1"/>
        <v>2</v>
      </c>
      <c r="K64" s="74"/>
      <c r="L64" s="58" t="str">
        <f t="shared" si="2"/>
        <v>eh</v>
      </c>
      <c r="M64" s="58" t="str">
        <f t="shared" si="3"/>
        <v>eh</v>
      </c>
      <c r="O64" s="122" t="str">
        <f t="shared" si="4"/>
        <v>eh(\d)</v>
      </c>
      <c r="P64" s="125" t="s">
        <v>1181</v>
      </c>
      <c r="Q64" s="125">
        <f t="shared" si="5"/>
        <v>1</v>
      </c>
      <c r="R64" s="122" t="str">
        <f t="shared" si="7"/>
        <v>》e${1}h</v>
      </c>
      <c r="S64" s="56"/>
      <c r="T64" s="57" t="str">
        <f t="shared" si="6"/>
        <v xml:space="preserve">    - xform/》eh(\d)/》e${1}h/</v>
      </c>
    </row>
    <row r="65" spans="1:20" ht="27.75" thickBot="1">
      <c r="A65" s="58">
        <f t="shared" si="0"/>
        <v>63</v>
      </c>
      <c r="B65" s="75" t="s">
        <v>841</v>
      </c>
      <c r="C65" s="58" t="s">
        <v>842</v>
      </c>
      <c r="D65" s="58" t="s">
        <v>842</v>
      </c>
      <c r="E65" s="62" t="str" cm="1">
        <f t="array" ref="E65" xml:space="preserve"> IFERROR( INDEX(韻母對照表[注音二式], MATCH(TRUE, EXACT('台語音標韻母清單【依字長反排序】 (2)'!$C57, 韻母對照表[台羅拼音]), 0)), "")</f>
        <v>ai</v>
      </c>
      <c r="F65" s="58" t="s">
        <v>843</v>
      </c>
      <c r="G65" s="62" t="str" cm="1">
        <f t="array" ref="G65" xml:space="preserve"> IFERROR( INDEX(韻母對照表[白話字], MATCH(TRUE, EXACT('台語音標韻母清單【依字長反排序】 (2)'!$C57, 韻母對照表[台羅拼音]), 0)), "")</f>
        <v>ai</v>
      </c>
      <c r="H65" s="55" t="str" cm="1">
        <f t="array" ref="H65" xml:space="preserve"> IFERROR( INDEX(韻母對照表[十五音識別碼], MATCH(TRUE, EXACT('台語音標韻母清單【依字長反排序】 (2)'!$C57, 韻母對照表[台羅拼音]), 0)), "")</f>
        <v>皆舒</v>
      </c>
      <c r="I65" s="58" t="str" cm="1">
        <f t="array" ref="I65" xml:space="preserve"> IFERROR( INDEX(韻母對照表[方音符號], MATCH(TRUE, EXACT('台語音標韻母清單【依字長反排序】 (2)'!$C57, 韻母對照表[台羅拼音]), 0)), "")</f>
        <v>ㄞ</v>
      </c>
      <c r="J65" s="74">
        <f t="shared" si="1"/>
        <v>2</v>
      </c>
      <c r="K65" s="74"/>
      <c r="L65" s="58" t="str">
        <f t="shared" si="2"/>
        <v>ir</v>
      </c>
      <c r="M65" s="58" t="str">
        <f t="shared" si="3"/>
        <v>eu</v>
      </c>
      <c r="O65" s="122" t="str">
        <f t="shared" si="4"/>
        <v>ir(\d)</v>
      </c>
      <c r="P65" s="125" t="s">
        <v>1229</v>
      </c>
      <c r="Q65" s="125">
        <f t="shared" si="5"/>
        <v>1</v>
      </c>
      <c r="R65" s="122" t="str">
        <f t="shared" si="7"/>
        <v>》i${1}r</v>
      </c>
      <c r="S65" s="56"/>
      <c r="T65" s="57" t="str">
        <f t="shared" si="6"/>
        <v xml:space="preserve">    - xform/》ir(\d)/》i${1}r/</v>
      </c>
    </row>
    <row r="66" spans="1:20" ht="27.75" thickBot="1">
      <c r="A66" s="58">
        <f t="shared" si="0"/>
        <v>64</v>
      </c>
      <c r="B66" s="58" t="s">
        <v>272</v>
      </c>
      <c r="C66" s="58" t="s">
        <v>272</v>
      </c>
      <c r="D66" s="58" t="s">
        <v>272</v>
      </c>
      <c r="E66" s="58" t="str" cm="1">
        <f t="array" ref="E66" xml:space="preserve"> IFERROR( INDEX(韻母對照表[注音二式], MATCH(TRUE, EXACT('台語音標韻母清單【依字長反排序】 (2)'!$C58, 韻母對照表[台羅拼音]), 0)), "")</f>
        <v>ak</v>
      </c>
      <c r="F66" s="58" t="s">
        <v>844</v>
      </c>
      <c r="G66" s="61" t="str" cm="1">
        <f t="array" ref="G66" xml:space="preserve"> IFERROR( INDEX(韻母對照表[白話字], MATCH(TRUE, EXACT('台語音標韻母清單【依字長反排序】 (2)'!$C58, 韻母對照表[台羅拼音]), 0)), "")</f>
        <v>ak</v>
      </c>
      <c r="H66" s="55" t="str" cm="1">
        <f t="array" ref="H66" xml:space="preserve"> IFERROR( INDEX(韻母對照表[十五音識別碼], MATCH(TRUE, EXACT('台語音標韻母清單【依字長反排序】 (2)'!$C58, 韻母對照表[台羅拼音]), 0)), "")</f>
        <v>江促</v>
      </c>
      <c r="I66" s="58" t="str" cm="1">
        <f t="array" ref="I66" xml:space="preserve"> IFERROR( INDEX(韻母對照表[方音符號], MATCH(TRUE, EXACT('台語音標韻母清單【依字長反排序】 (2)'!$C58, 韻母對照表[台羅拼音]), 0)), "")</f>
        <v>ㄚㆻ</v>
      </c>
      <c r="J66" s="74">
        <f t="shared" si="1"/>
        <v>2</v>
      </c>
      <c r="K66" s="74"/>
      <c r="L66" s="58" t="str">
        <f t="shared" si="2"/>
        <v>ia</v>
      </c>
      <c r="M66" s="58" t="str">
        <f t="shared" si="3"/>
        <v>iɑ</v>
      </c>
      <c r="O66" s="122" t="str">
        <f t="shared" si="4"/>
        <v>ia(\d)</v>
      </c>
      <c r="P66" s="125" t="s">
        <v>1228</v>
      </c>
      <c r="Q66" s="125">
        <f t="shared" si="5"/>
        <v>2</v>
      </c>
      <c r="R66" s="122" t="str">
        <f t="shared" si="7"/>
        <v>i》a${1}</v>
      </c>
      <c r="S66" s="56"/>
      <c r="T66" s="57" t="str">
        <f t="shared" si="6"/>
        <v xml:space="preserve">    - xform/》ia(\d)/i》a${1}/</v>
      </c>
    </row>
    <row r="67" spans="1:20" ht="27.75" thickBot="1">
      <c r="A67" s="58">
        <f t="shared" si="0"/>
        <v>65</v>
      </c>
      <c r="B67" s="75" t="s">
        <v>845</v>
      </c>
      <c r="C67" s="58" t="s">
        <v>846</v>
      </c>
      <c r="D67" s="58" t="s">
        <v>846</v>
      </c>
      <c r="E67" s="62" t="str" cm="1">
        <f t="array" ref="E67" xml:space="preserve"> IFERROR( INDEX(韻母對照表[注音二式], MATCH(TRUE, EXACT('台語音標韻母清單【依字長反排序】 (2)'!$C59, 韻母對照表[台羅拼音]), 0)), "")</f>
        <v>am</v>
      </c>
      <c r="F67" s="58" t="s">
        <v>847</v>
      </c>
      <c r="G67" s="62" t="str" cm="1">
        <f t="array" ref="G67" xml:space="preserve"> IFERROR( INDEX(韻母對照表[白話字], MATCH(TRUE, EXACT('台語音標韻母清單【依字長反排序】 (2)'!$C59, 韻母對照表[台羅拼音]), 0)), "")</f>
        <v>am</v>
      </c>
      <c r="H67" s="55" t="str" cm="1">
        <f t="array" ref="H67" xml:space="preserve"> IFERROR( INDEX(韻母對照表[十五音識別碼], MATCH(TRUE, EXACT('台語音標韻母清單【依字長反排序】 (2)'!$C59, 韻母對照表[台羅拼音]), 0)), "")</f>
        <v>甘舒</v>
      </c>
      <c r="I67" s="58" t="str" cm="1">
        <f t="array" ref="I67" xml:space="preserve"> IFERROR( INDEX(韻母對照表[方音符號], MATCH(TRUE, EXACT('台語音標韻母清單【依字長反排序】 (2)'!$C59, 韻母對照表[台羅拼音]), 0)), "")</f>
        <v>ㆰ</v>
      </c>
      <c r="J67" s="74">
        <f t="shared" si="1"/>
        <v>2</v>
      </c>
      <c r="K67" s="74"/>
      <c r="L67" s="58" t="str">
        <f t="shared" si="2"/>
        <v>er</v>
      </c>
      <c r="M67" s="58" t="str">
        <f t="shared" si="3"/>
        <v>ie</v>
      </c>
      <c r="O67" s="122" t="str">
        <f t="shared" si="4"/>
        <v>er(\d)</v>
      </c>
      <c r="P67" s="125" t="s">
        <v>1181</v>
      </c>
      <c r="Q67" s="125">
        <f t="shared" si="5"/>
        <v>1</v>
      </c>
      <c r="R67" s="122" t="str">
        <f t="shared" si="7"/>
        <v>》e${1}r</v>
      </c>
      <c r="S67" s="56"/>
      <c r="T67" s="57" t="str">
        <f t="shared" si="6"/>
        <v xml:space="preserve">    - xform/》er(\d)/》e${1}r/</v>
      </c>
    </row>
    <row r="68" spans="1:20" ht="27.75" thickBot="1">
      <c r="A68" s="58">
        <f t="shared" ref="A68:A99" si="8" xml:space="preserve"> ROW() -2</f>
        <v>66</v>
      </c>
      <c r="B68" s="58" t="s">
        <v>848</v>
      </c>
      <c r="C68" s="58" t="s">
        <v>329</v>
      </c>
      <c r="D68" s="58" t="s">
        <v>329</v>
      </c>
      <c r="E68" s="58" t="str" cm="1">
        <f t="array" ref="E68" xml:space="preserve"> IFERROR( INDEX(韻母對照表[注音二式], MATCH(TRUE, EXACT('台語音標韻母清單【依字長反排序】 (2)'!$C60, 韻母對照表[台羅拼音]), 0)), "")</f>
        <v>an</v>
      </c>
      <c r="F68" s="58" t="s">
        <v>329</v>
      </c>
      <c r="G68" s="61" t="str" cm="1">
        <f t="array" ref="G68" xml:space="preserve"> IFERROR( INDEX(韻母對照表[白話字], MATCH(TRUE, EXACT('台語音標韻母清單【依字長反排序】 (2)'!$C60, 韻母對照表[台羅拼音]), 0)), "")</f>
        <v>an</v>
      </c>
      <c r="H68" s="55" t="str" cm="1">
        <f t="array" ref="H68" xml:space="preserve"> IFERROR( INDEX(韻母對照表[十五音識別碼], MATCH(TRUE, EXACT('台語音標韻母清單【依字長反排序】 (2)'!$C60, 韻母對照表[台羅拼音]), 0)), "")</f>
        <v>干舒</v>
      </c>
      <c r="I68" s="58" t="str" cm="1">
        <f t="array" ref="I68" xml:space="preserve"> IFERROR( INDEX(韻母對照表[方音符號], MATCH(TRUE, EXACT('台語音標韻母清單【依字長反排序】 (2)'!$C60, 韻母對照表[台羅拼音]), 0)), "")</f>
        <v>ㄢ</v>
      </c>
      <c r="J68" s="74">
        <f t="shared" ref="J68:J99" si="9" xml:space="preserve"> LEN(D68)</f>
        <v>2</v>
      </c>
      <c r="K68" s="74"/>
      <c r="L68" s="58" t="str">
        <f t="shared" ref="L68:L99" si="10">D68</f>
        <v>ih</v>
      </c>
      <c r="M68" s="58" t="str">
        <f t="shared" si="3"/>
        <v>ih</v>
      </c>
      <c r="O68" s="122" t="str">
        <f t="shared" si="4"/>
        <v>ih(\d)</v>
      </c>
      <c r="P68" s="125" t="s">
        <v>1229</v>
      </c>
      <c r="Q68" s="125">
        <f t="shared" si="5"/>
        <v>1</v>
      </c>
      <c r="R68" s="122" t="str">
        <f t="shared" si="7"/>
        <v>》i${1}h</v>
      </c>
      <c r="S68" s="56"/>
      <c r="T68" s="57" t="str">
        <f t="shared" si="6"/>
        <v xml:space="preserve">    - xform/》ih(\d)/》i${1}h/</v>
      </c>
    </row>
    <row r="69" spans="1:20" ht="27.75" thickBot="1">
      <c r="A69" s="58">
        <f t="shared" si="8"/>
        <v>67</v>
      </c>
      <c r="B69" s="58" t="s">
        <v>890</v>
      </c>
      <c r="C69" s="58" t="s">
        <v>115</v>
      </c>
      <c r="D69" s="58" t="s">
        <v>115</v>
      </c>
      <c r="E69" s="58" t="str" cm="1">
        <f t="array" ref="E69" xml:space="preserve"> IFERROR( INDEX(韻母對照表[注音二式], MATCH(TRUE, EXACT('台語音標韻母清單【依字長反排序】 (2)'!$C61, 韻母對照表[台羅拼音]), 0)), "")</f>
        <v>au</v>
      </c>
      <c r="F69" s="58" t="s">
        <v>115</v>
      </c>
      <c r="G69" s="60" t="str" cm="1">
        <f t="array" ref="G69" xml:space="preserve"> IFERROR( INDEX(韻母對照表[白話字], MATCH(TRUE, EXACT('台語音標韻母清單【依字長反排序】 (2)'!$C61, 韻母對照表[台羅拼音]), 0)), "")</f>
        <v>au</v>
      </c>
      <c r="H69" s="55" t="str" cm="1">
        <f t="array" ref="H69" xml:space="preserve"> IFERROR( INDEX(韻母對照表[十五音識別碼], MATCH(TRUE, EXACT('台語音標韻母清單【依字長反排序】 (2)'!$C61, 韻母對照表[台羅拼音]), 0)), "")</f>
        <v>交舒</v>
      </c>
      <c r="I69" s="58" t="str" cm="1">
        <f t="array" ref="I69" xml:space="preserve"> IFERROR( INDEX(韻母對照表[方音符號], MATCH(TRUE, EXACT('台語音標韻母清單【依字長反排序】 (2)'!$C61, 韻母對照表[台羅拼音]), 0)), "")</f>
        <v>ㄠ</v>
      </c>
      <c r="J69" s="74">
        <f t="shared" si="9"/>
        <v>2</v>
      </c>
      <c r="K69" s="74"/>
      <c r="L69" s="58" t="str">
        <f t="shared" si="10"/>
        <v>ik</v>
      </c>
      <c r="M69" s="58" t="str">
        <f t="shared" ref="M69:M99" si="11">F69</f>
        <v>ik</v>
      </c>
      <c r="O69" s="122" t="str">
        <f t="shared" ref="O69:O99" si="12" xml:space="preserve"> _xlfn.CONCAT(L69, "(\d)")</f>
        <v>ik(\d)</v>
      </c>
      <c r="P69" s="125" t="s">
        <v>1229</v>
      </c>
      <c r="Q69" s="125">
        <f t="shared" ref="Q69:Q99" si="13" xml:space="preserve"> IFERROR( IF(P69="", "", SEARCH(P69, $L69)), "")</f>
        <v>1</v>
      </c>
      <c r="R69" s="122" t="str">
        <f t="shared" si="7"/>
        <v>》i${1}k</v>
      </c>
      <c r="S69" s="56"/>
      <c r="T69" s="57" t="str">
        <f t="shared" ref="T69:T99" si="14" xml:space="preserve"> IF(AND(M69&lt;&gt;"", L69&lt;&gt;""), "    - xform/》" &amp; O69 &amp;  "/"  &amp; R69 &amp;  "/", "")</f>
        <v xml:space="preserve">    - xform/》ik(\d)/》i${1}k/</v>
      </c>
    </row>
    <row r="70" spans="1:20" ht="27.75" thickBot="1">
      <c r="A70" s="58">
        <f t="shared" si="8"/>
        <v>68</v>
      </c>
      <c r="B70" s="58" t="s">
        <v>38</v>
      </c>
      <c r="C70" s="58" t="s">
        <v>38</v>
      </c>
      <c r="D70" s="58" t="s">
        <v>38</v>
      </c>
      <c r="E70" s="58" t="str" cm="1">
        <f t="array" ref="E70" xml:space="preserve"> IFERROR( INDEX(韻母對照表[注音二式], MATCH(TRUE, EXACT('台語音標韻母清單【依字長反排序】 (2)'!$C62, 韻母對照表[台羅拼音]), 0)), "")</f>
        <v>ap</v>
      </c>
      <c r="F70" s="58" t="s">
        <v>38</v>
      </c>
      <c r="G70" s="61" t="str" cm="1">
        <f t="array" ref="G70" xml:space="preserve"> IFERROR( INDEX(韻母對照表[白話字], MATCH(TRUE, EXACT('台語音標韻母清單【依字長反排序】 (2)'!$C62, 韻母對照表[台羅拼音]), 0)), "")</f>
        <v>ap</v>
      </c>
      <c r="H70" s="55" t="str" cm="1">
        <f t="array" ref="H70" xml:space="preserve"> IFERROR( INDEX(韻母對照表[十五音識別碼], MATCH(TRUE, EXACT('台語音標韻母清單【依字長反排序】 (2)'!$C62, 韻母對照表[台羅拼音]), 0)), "")</f>
        <v>甘促</v>
      </c>
      <c r="I70" s="58" t="str" cm="1">
        <f t="array" ref="I70" xml:space="preserve"> IFERROR( INDEX(韻母對照表[方音符號], MATCH(TRUE, EXACT('台語音標韻母清單【依字長反排序】 (2)'!$C62, 韻母對照表[台羅拼音]), 0)), "")</f>
        <v>ㄚㆴ</v>
      </c>
      <c r="J70" s="74">
        <f t="shared" si="9"/>
        <v>2</v>
      </c>
      <c r="K70" s="74"/>
      <c r="L70" s="58" t="str">
        <f t="shared" si="10"/>
        <v>im</v>
      </c>
      <c r="M70" s="58" t="str">
        <f t="shared" si="11"/>
        <v>im</v>
      </c>
      <c r="O70" s="122" t="str">
        <f t="shared" si="12"/>
        <v>im(\d)</v>
      </c>
      <c r="P70" s="125" t="s">
        <v>1229</v>
      </c>
      <c r="Q70" s="125">
        <f t="shared" si="13"/>
        <v>1</v>
      </c>
      <c r="R70" s="122" t="str">
        <f t="shared" ref="R70:R88" si="15" xml:space="preserve"> IFERROR( _xlfn.CONCAT(LEFT(L70,Q70-1), "》", MID(L70,Q70,1), "${1}", RIGHT(L70, LEN(L70)-Q70)), "" )</f>
        <v>》i${1}m</v>
      </c>
      <c r="S70" s="56"/>
      <c r="T70" s="57" t="str">
        <f t="shared" si="14"/>
        <v xml:space="preserve">    - xform/》im(\d)/》i${1}m/</v>
      </c>
    </row>
    <row r="71" spans="1:20" ht="27.75" thickBot="1">
      <c r="A71" s="58">
        <f t="shared" si="8"/>
        <v>69</v>
      </c>
      <c r="B71" s="58" t="s">
        <v>189</v>
      </c>
      <c r="C71" s="58" t="s">
        <v>189</v>
      </c>
      <c r="D71" s="58" t="s">
        <v>189</v>
      </c>
      <c r="E71" s="58" t="str" cm="1">
        <f t="array" ref="E71" xml:space="preserve"> IFERROR( INDEX(韻母對照表[注音二式], MATCH(TRUE, EXACT('台語音標韻母清單【依字長反排序】 (2)'!$C63, 韻母對照表[台羅拼音]), 0)), "")</f>
        <v>at</v>
      </c>
      <c r="F71" s="58" t="s">
        <v>189</v>
      </c>
      <c r="G71" s="61" t="str" cm="1">
        <f t="array" ref="G71" xml:space="preserve"> IFERROR( INDEX(韻母對照表[白話字], MATCH(TRUE, EXACT('台語音標韻母清單【依字長反排序】 (2)'!$C63, 韻母對照表[台羅拼音]), 0)), "")</f>
        <v>at</v>
      </c>
      <c r="H71" s="55" t="str" cm="1">
        <f t="array" ref="H71" xml:space="preserve"> IFERROR( INDEX(韻母對照表[十五音識別碼], MATCH(TRUE, EXACT('台語音標韻母清單【依字長反排序】 (2)'!$C63, 韻母對照表[台羅拼音]), 0)), "")</f>
        <v>干促</v>
      </c>
      <c r="I71" s="58" t="str" cm="1">
        <f t="array" ref="I71" xml:space="preserve"> IFERROR( INDEX(韻母對照表[方音符號], MATCH(TRUE, EXACT('台語音標韻母清單【依字長反排序】 (2)'!$C63, 韻母對照表[台羅拼音]), 0)), "")</f>
        <v>ㄚㆵ</v>
      </c>
      <c r="J71" s="74">
        <f t="shared" si="9"/>
        <v>2</v>
      </c>
      <c r="K71" s="74"/>
      <c r="L71" s="58" t="str">
        <f t="shared" si="10"/>
        <v>in</v>
      </c>
      <c r="M71" s="58" t="str">
        <f t="shared" si="11"/>
        <v>in</v>
      </c>
      <c r="O71" s="122" t="str">
        <f t="shared" si="12"/>
        <v>in(\d)</v>
      </c>
      <c r="P71" s="125" t="s">
        <v>1229</v>
      </c>
      <c r="Q71" s="125">
        <f t="shared" si="13"/>
        <v>1</v>
      </c>
      <c r="R71" s="122" t="str">
        <f t="shared" si="15"/>
        <v>》i${1}n</v>
      </c>
      <c r="S71" s="56"/>
      <c r="T71" s="57" t="str">
        <f t="shared" si="14"/>
        <v xml:space="preserve">    - xform/》in(\d)/》i${1}n/</v>
      </c>
    </row>
    <row r="72" spans="1:20" ht="27.75" thickBot="1">
      <c r="A72" s="58">
        <f t="shared" si="8"/>
        <v>70</v>
      </c>
      <c r="B72" s="58" t="s">
        <v>357</v>
      </c>
      <c r="C72" s="58" t="s">
        <v>357</v>
      </c>
      <c r="D72" s="58" t="s">
        <v>357</v>
      </c>
      <c r="E72" s="58" t="str" cm="1">
        <f t="array" ref="E72" xml:space="preserve"> IFERROR( INDEX(韻母對照表[注音二式], MATCH(TRUE, EXACT('台語音標韻母清單【依字長反排序】 (2)'!$C64, 韻母對照表[台羅拼音]), 0)), "")</f>
        <v>eh</v>
      </c>
      <c r="F72" s="58" t="s">
        <v>357</v>
      </c>
      <c r="G72" s="61" t="str" cm="1">
        <f t="array" ref="G72" xml:space="preserve"> IFERROR( INDEX(韻母對照表[白話字], MATCH(TRUE, EXACT('台語音標韻母清單【依字長反排序】 (2)'!$C64, 韻母對照表[台羅拼音]), 0)), "")</f>
        <v>eh</v>
      </c>
      <c r="H72" s="55" t="str" cm="1">
        <f t="array" ref="H72" xml:space="preserve"> IFERROR( INDEX(韻母對照表[十五音識別碼], MATCH(TRUE, EXACT('台語音標韻母清單【依字長反排序】 (2)'!$C64, 韻母對照表[台羅拼音]), 0)), "")</f>
        <v>伽促</v>
      </c>
      <c r="I72" s="58" t="str" cm="1">
        <f t="array" ref="I72" xml:space="preserve"> IFERROR( INDEX(韻母對照表[方音符號], MATCH(TRUE, EXACT('台語音標韻母清單【依字長反排序】 (2)'!$C64, 韻母對照表[台羅拼音]), 0)), "")</f>
        <v>ㆤㆷ</v>
      </c>
      <c r="J72" s="74">
        <f t="shared" si="9"/>
        <v>2</v>
      </c>
      <c r="K72" s="74"/>
      <c r="L72" s="58" t="str">
        <f t="shared" si="10"/>
        <v>io</v>
      </c>
      <c r="M72" s="58" t="str">
        <f t="shared" si="11"/>
        <v>io</v>
      </c>
      <c r="O72" s="122" t="str">
        <f t="shared" si="12"/>
        <v>io(\d)</v>
      </c>
      <c r="P72" s="125" t="s">
        <v>1229</v>
      </c>
      <c r="Q72" s="125">
        <f t="shared" si="13"/>
        <v>1</v>
      </c>
      <c r="R72" s="122" t="str">
        <f t="shared" si="15"/>
        <v>》i${1}o</v>
      </c>
      <c r="S72" s="56"/>
      <c r="T72" s="57" t="str">
        <f t="shared" si="14"/>
        <v xml:space="preserve">    - xform/》io(\d)/》i${1}o/</v>
      </c>
    </row>
    <row r="73" spans="1:20" ht="27.75" thickBot="1">
      <c r="A73" s="58">
        <f t="shared" si="8"/>
        <v>71</v>
      </c>
      <c r="B73" s="58" t="s">
        <v>886</v>
      </c>
      <c r="C73" s="58" t="s">
        <v>46</v>
      </c>
      <c r="D73" s="58" t="s">
        <v>46</v>
      </c>
      <c r="E73" s="58" t="str" cm="1">
        <f t="array" ref="E73" xml:space="preserve"> IFERROR( INDEX(韻母對照表[注音二式], MATCH(TRUE, EXACT('台語音標韻母清單【依字長反排序】 (2)'!$C65, 韻母對照表[台羅拼音]), 0)), "")</f>
        <v/>
      </c>
      <c r="F73" s="58" t="s">
        <v>46</v>
      </c>
      <c r="G73" s="61" t="str" cm="1">
        <f t="array" ref="G73" xml:space="preserve"> IFERROR( INDEX(韻母對照表[白話字], MATCH(TRUE, EXACT('台語音標韻母清單【依字長反排序】 (2)'!$C65, 韻母對照表[台羅拼音]), 0)), "")</f>
        <v/>
      </c>
      <c r="H73" s="55" t="str" cm="1">
        <f t="array" ref="H73" xml:space="preserve"> IFERROR( INDEX(韻母對照表[十五音識別碼], MATCH(TRUE, EXACT('台語音標韻母清單【依字長反排序】 (2)'!$C65, 韻母對照表[台羅拼音]), 0)), "")</f>
        <v/>
      </c>
      <c r="I73" s="58" t="str" cm="1">
        <f t="array" ref="I73" xml:space="preserve"> IFERROR( INDEX(韻母對照表[方音符號], MATCH(TRUE, EXACT('台語音標韻母清單【依字長反排序】 (2)'!$C65, 韻母對照表[台羅拼音]), 0)), "")</f>
        <v/>
      </c>
      <c r="J73" s="74">
        <f t="shared" si="9"/>
        <v>2</v>
      </c>
      <c r="K73" s="74"/>
      <c r="L73" s="58" t="str">
        <f t="shared" si="10"/>
        <v>ip</v>
      </c>
      <c r="M73" s="58" t="str">
        <f t="shared" si="11"/>
        <v>ip</v>
      </c>
      <c r="O73" s="122" t="str">
        <f t="shared" si="12"/>
        <v>ip(\d)</v>
      </c>
      <c r="P73" s="125" t="s">
        <v>1229</v>
      </c>
      <c r="Q73" s="125">
        <f t="shared" si="13"/>
        <v>1</v>
      </c>
      <c r="R73" s="122" t="str">
        <f t="shared" si="15"/>
        <v>》i${1}p</v>
      </c>
      <c r="S73" s="56"/>
      <c r="T73" s="57" t="str">
        <f t="shared" si="14"/>
        <v xml:space="preserve">    - xform/》ip(\d)/》i${1}p/</v>
      </c>
    </row>
    <row r="74" spans="1:20" ht="27.75" thickBot="1">
      <c r="A74" s="58">
        <f t="shared" si="8"/>
        <v>72</v>
      </c>
      <c r="B74" s="58" t="s">
        <v>882</v>
      </c>
      <c r="C74" s="58" t="s">
        <v>197</v>
      </c>
      <c r="D74" s="58" t="s">
        <v>197</v>
      </c>
      <c r="E74" s="58" t="str" cm="1">
        <f t="array" ref="E74" xml:space="preserve"> IFERROR( INDEX(韻母對照表[注音二式], MATCH(TRUE, EXACT('台語音標韻母清單【依字長反排序】 (2)'!$C66, 韻母對照表[台羅拼音]), 0)), "")</f>
        <v>ia</v>
      </c>
      <c r="F74" s="58" t="s">
        <v>197</v>
      </c>
      <c r="G74" s="61" t="str" cm="1">
        <f t="array" ref="G74" xml:space="preserve"> IFERROR( INDEX(韻母對照表[白話字], MATCH(TRUE, EXACT('台語音標韻母清單【依字長反排序】 (2)'!$C66, 韻母對照表[台羅拼音]), 0)), "")</f>
        <v>ia</v>
      </c>
      <c r="H74" s="55" t="str" cm="1">
        <f t="array" ref="H74" xml:space="preserve"> IFERROR( INDEX(韻母對照表[十五音識別碼], MATCH(TRUE, EXACT('台語音標韻母清單【依字長反排序】 (2)'!$C66, 韻母對照表[台羅拼音]), 0)), "")</f>
        <v>迦舒</v>
      </c>
      <c r="I74" s="58" t="str" cm="1">
        <f t="array" ref="I74" xml:space="preserve"> IFERROR( INDEX(韻母對照表[方音符號], MATCH(TRUE, EXACT('台語音標韻母清單【依字長反排序】 (2)'!$C66, 韻母對照表[台羅拼音]), 0)), "")</f>
        <v>ㄧㄚ</v>
      </c>
      <c r="J74" s="74">
        <f t="shared" si="9"/>
        <v>2</v>
      </c>
      <c r="K74" s="74"/>
      <c r="L74" s="58" t="str">
        <f t="shared" si="10"/>
        <v>it</v>
      </c>
      <c r="M74" s="58" t="str">
        <f t="shared" si="11"/>
        <v>it</v>
      </c>
      <c r="O74" s="122" t="str">
        <f t="shared" si="12"/>
        <v>it(\d)</v>
      </c>
      <c r="P74" s="125" t="s">
        <v>1229</v>
      </c>
      <c r="Q74" s="125">
        <f t="shared" si="13"/>
        <v>1</v>
      </c>
      <c r="R74" s="122" t="str">
        <f t="shared" si="15"/>
        <v>》i${1}t</v>
      </c>
      <c r="S74" s="56"/>
      <c r="T74" s="57" t="str">
        <f t="shared" si="14"/>
        <v xml:space="preserve">    - xform/》it(\d)/》i${1}t/</v>
      </c>
    </row>
    <row r="75" spans="1:20" ht="27.75" thickBot="1">
      <c r="A75" s="58">
        <f t="shared" si="8"/>
        <v>73</v>
      </c>
      <c r="B75" s="58" t="s">
        <v>332</v>
      </c>
      <c r="C75" s="58" t="s">
        <v>332</v>
      </c>
      <c r="D75" s="58" t="s">
        <v>332</v>
      </c>
      <c r="E75" s="58" t="str" cm="1">
        <f t="array" ref="E75" xml:space="preserve"> IFERROR( INDEX(韻母對照表[注音二式], MATCH(TRUE, EXACT('台語音標韻母清單【依字長反排序】 (2)'!$C67, 韻母對照表[台羅拼音]), 0)), "")</f>
        <v/>
      </c>
      <c r="F75" s="58" t="s">
        <v>332</v>
      </c>
      <c r="G75" s="61" t="str" cm="1">
        <f t="array" ref="G75" xml:space="preserve"> IFERROR( INDEX(韻母對照表[白話字], MATCH(TRUE, EXACT('台語音標韻母清單【依字長反排序】 (2)'!$C67, 韻母對照表[台羅拼音]), 0)), "")</f>
        <v/>
      </c>
      <c r="H75" s="55" t="str" cm="1">
        <f t="array" ref="H75" xml:space="preserve"> IFERROR( INDEX(韻母對照表[十五音識別碼], MATCH(TRUE, EXACT('台語音標韻母清單【依字長反排序】 (2)'!$C67, 韻母對照表[台羅拼音]), 0)), "")</f>
        <v/>
      </c>
      <c r="I75" s="58" t="str" cm="1">
        <f t="array" ref="I75" xml:space="preserve"> IFERROR( INDEX(韻母對照表[方音符號], MATCH(TRUE, EXACT('台語音標韻母清單【依字長反排序】 (2)'!$C67, 韻母對照表[台羅拼音]), 0)), "")</f>
        <v/>
      </c>
      <c r="J75" s="74">
        <f t="shared" si="9"/>
        <v>2</v>
      </c>
      <c r="K75" s="74"/>
      <c r="L75" s="58" t="str">
        <f t="shared" si="10"/>
        <v>iu</v>
      </c>
      <c r="M75" s="58" t="str">
        <f t="shared" si="11"/>
        <v>iu</v>
      </c>
      <c r="O75" s="122" t="str">
        <f t="shared" si="12"/>
        <v>iu(\d)</v>
      </c>
      <c r="P75" s="125" t="s">
        <v>1229</v>
      </c>
      <c r="Q75" s="125">
        <f t="shared" si="13"/>
        <v>1</v>
      </c>
      <c r="R75" s="122" t="str">
        <f t="shared" si="15"/>
        <v>》i${1}u</v>
      </c>
      <c r="S75" s="56"/>
      <c r="T75" s="57" t="str">
        <f t="shared" si="14"/>
        <v xml:space="preserve">    - xform/》iu(\d)/》i${1}u/</v>
      </c>
    </row>
    <row r="76" spans="1:20" ht="27.75" thickBot="1">
      <c r="A76" s="58">
        <f t="shared" si="8"/>
        <v>74</v>
      </c>
      <c r="B76" s="75" t="s">
        <v>849</v>
      </c>
      <c r="C76" s="58" t="s">
        <v>850</v>
      </c>
      <c r="D76" s="58" t="s">
        <v>850</v>
      </c>
      <c r="E76" s="76" t="str" cm="1">
        <f t="array" ref="E76" xml:space="preserve"> IFERROR( INDEX(韻母對照表[注音二式], MATCH(TRUE, EXACT('台語音標韻母清單【依字長反排序】 (2)'!$C68, 韻母對照表[台羅拼音]), 0)), "")</f>
        <v>ih</v>
      </c>
      <c r="F76" s="58" t="s">
        <v>850</v>
      </c>
      <c r="G76" s="61" t="str" cm="1">
        <f t="array" ref="G76" xml:space="preserve"> IFERROR( INDEX(韻母對照表[白話字], MATCH(TRUE, EXACT('台語音標韻母清單【依字長反排序】 (2)'!$C68, 韻母對照表[台羅拼音]), 0)), "")</f>
        <v>ih</v>
      </c>
      <c r="H76" s="55" t="str" cm="1">
        <f t="array" ref="H76" xml:space="preserve"> IFERROR( INDEX(韻母對照表[十五音識別碼], MATCH(TRUE, EXACT('台語音標韻母清單【依字長反排序】 (2)'!$C68, 韻母對照表[台羅拼音]), 0)), "")</f>
        <v>居促</v>
      </c>
      <c r="I76" s="58" t="str" cm="1">
        <f t="array" ref="I76" xml:space="preserve"> IFERROR( INDEX(韻母對照表[方音符號], MATCH(TRUE, EXACT('台語音標韻母清單【依字長反排序】 (2)'!$C68, 韻母對照表[台羅拼音]), 0)), "")</f>
        <v>ㄧㆷ</v>
      </c>
      <c r="J76" s="74">
        <f t="shared" si="9"/>
        <v>2</v>
      </c>
      <c r="K76" s="74"/>
      <c r="L76" s="58" t="str">
        <f t="shared" si="10"/>
        <v>mh</v>
      </c>
      <c r="M76" s="58" t="str">
        <f t="shared" si="11"/>
        <v>mh</v>
      </c>
      <c r="O76" s="122" t="str">
        <f t="shared" si="12"/>
        <v>mh(\d)</v>
      </c>
      <c r="P76" s="125" t="s">
        <v>1306</v>
      </c>
      <c r="Q76" s="125">
        <f t="shared" si="13"/>
        <v>1</v>
      </c>
      <c r="R76" s="122" t="str">
        <f t="shared" si="15"/>
        <v>》m${1}h</v>
      </c>
      <c r="S76" s="56"/>
      <c r="T76" s="57" t="str">
        <f t="shared" si="14"/>
        <v xml:space="preserve">    - xform/》mh(\d)/》m${1}h/</v>
      </c>
    </row>
    <row r="77" spans="1:20" ht="27.75" thickBot="1">
      <c r="A77" s="58">
        <f t="shared" si="8"/>
        <v>75</v>
      </c>
      <c r="B77" s="58" t="s">
        <v>404</v>
      </c>
      <c r="C77" s="58" t="s">
        <v>407</v>
      </c>
      <c r="D77" s="58" t="s">
        <v>407</v>
      </c>
      <c r="E77" s="58" t="str" cm="1">
        <f t="array" ref="E77" xml:space="preserve"> IFERROR( INDEX(韻母對照表[注音二式], MATCH(TRUE, EXACT('台語音標韻母清單【依字長反排序】 (2)'!$C70, 韻母對照表[台羅拼音]), 0)), "")</f>
        <v>im</v>
      </c>
      <c r="F77" s="58" t="s">
        <v>407</v>
      </c>
      <c r="G77" s="61" t="str" cm="1">
        <f t="array" ref="G77" xml:space="preserve"> IFERROR( INDEX(韻母對照表[白話字], MATCH(TRUE, EXACT('台語音標韻母清單【依字長反排序】 (2)'!$C70, 韻母對照表[台羅拼音]), 0)), "")</f>
        <v>im</v>
      </c>
      <c r="H77" s="55" t="str" cm="1">
        <f t="array" ref="H77" xml:space="preserve"> IFERROR( INDEX(韻母對照表[十五音識別碼], MATCH(TRUE, EXACT('台語音標韻母清單【依字長反排序】 (2)'!$C70, 韻母對照表[台羅拼音]), 0)), "")</f>
        <v>金舒</v>
      </c>
      <c r="I77" s="58" t="str" cm="1">
        <f t="array" ref="I77" xml:space="preserve"> IFERROR( INDEX(韻母對照表[方音符號], MATCH(TRUE, EXACT('台語音標韻母清單【依字長反排序】 (2)'!$C70, 韻母對照表[台羅拼音]), 0)), "")</f>
        <v>ㄧㆬ</v>
      </c>
      <c r="J77" s="74">
        <f t="shared" si="9"/>
        <v>2</v>
      </c>
      <c r="K77" s="74"/>
      <c r="L77" s="58" t="str">
        <f t="shared" si="10"/>
        <v>ng</v>
      </c>
      <c r="M77" s="58" t="str">
        <f t="shared" si="11"/>
        <v>ng</v>
      </c>
      <c r="O77" s="122" t="str">
        <f t="shared" si="12"/>
        <v>ng(\d)</v>
      </c>
      <c r="P77" s="125" t="s">
        <v>1305</v>
      </c>
      <c r="Q77" s="125">
        <f t="shared" si="13"/>
        <v>1</v>
      </c>
      <c r="R77" s="122" t="str">
        <f t="shared" si="15"/>
        <v>》n${1}g</v>
      </c>
      <c r="S77" s="56"/>
      <c r="T77" s="57" t="str">
        <f t="shared" si="14"/>
        <v xml:space="preserve">    - xform/》ng(\d)/》n${1}g/</v>
      </c>
    </row>
    <row r="78" spans="1:20" ht="27.75" thickBot="1">
      <c r="A78" s="58">
        <f t="shared" si="8"/>
        <v>76</v>
      </c>
      <c r="B78" s="58" t="s">
        <v>852</v>
      </c>
      <c r="C78" s="58" t="s">
        <v>178</v>
      </c>
      <c r="D78" s="58" t="s">
        <v>178</v>
      </c>
      <c r="E78" s="58" t="str" cm="1">
        <f t="array" ref="E78" xml:space="preserve"> IFERROR( INDEX(韻母對照表[注音二式], MATCH(TRUE, EXACT('台語音標韻母清單【依字長反排序】 (2)'!$C72, 韻母對照表[台羅拼音]), 0)), "")</f>
        <v>ior</v>
      </c>
      <c r="F78" s="58" t="s">
        <v>178</v>
      </c>
      <c r="G78" s="61" t="str" cm="1">
        <f t="array" ref="G78" xml:space="preserve"> IFERROR( INDEX(韻母對照表[白話字], MATCH(TRUE, EXACT('台語音標韻母清單【依字長反排序】 (2)'!$C72, 韻母對照表[台羅拼音]), 0)), "")</f>
        <v>io</v>
      </c>
      <c r="H78" s="55" t="str" cm="1">
        <f t="array" ref="H78" xml:space="preserve"> IFERROR( INDEX(韻母對照表[十五音識別碼], MATCH(TRUE, EXACT('台語音標韻母清單【依字長反排序】 (2)'!$C72, 韻母對照表[台羅拼音]), 0)), "")</f>
        <v>茄舒</v>
      </c>
      <c r="I78" s="58" t="str" cm="1">
        <f t="array" ref="I78" xml:space="preserve"> IFERROR( INDEX(韻母對照表[方音符號], MATCH(TRUE, EXACT('台語音標韻母清單【依字長反排序】 (2)'!$C72, 韻母對照表[台羅拼音]), 0)), "")</f>
        <v>ㄧㄜ</v>
      </c>
      <c r="J78" s="74">
        <f t="shared" si="9"/>
        <v>2</v>
      </c>
      <c r="K78" s="74"/>
      <c r="L78" s="58" t="str">
        <f t="shared" si="10"/>
        <v>oh</v>
      </c>
      <c r="M78" s="58" t="str">
        <f t="shared" si="11"/>
        <v>oh</v>
      </c>
      <c r="O78" s="122" t="str">
        <f t="shared" si="12"/>
        <v>oh(\d)</v>
      </c>
      <c r="P78" s="125" t="s">
        <v>1216</v>
      </c>
      <c r="Q78" s="125">
        <f t="shared" si="13"/>
        <v>1</v>
      </c>
      <c r="R78" s="122" t="str">
        <f t="shared" si="15"/>
        <v>》o${1}h</v>
      </c>
      <c r="S78" s="56"/>
      <c r="T78" s="57" t="str">
        <f t="shared" si="14"/>
        <v xml:space="preserve">    - xform/》oh(\d)/》o${1}h/</v>
      </c>
    </row>
    <row r="79" spans="1:20" ht="27.75" thickBot="1">
      <c r="A79" s="58">
        <f t="shared" si="8"/>
        <v>77</v>
      </c>
      <c r="B79" s="58" t="s">
        <v>891</v>
      </c>
      <c r="C79" s="58" t="s">
        <v>90</v>
      </c>
      <c r="D79" s="58" t="s">
        <v>90</v>
      </c>
      <c r="E79" s="58" t="str" cm="1">
        <f t="array" ref="E79" xml:space="preserve"> IFERROR( INDEX(韻母對照表[注音二式], MATCH(TRUE, EXACT('台語音標韻母清單【依字長反排序】 (2)'!$C73, 韻母對照表[台羅拼音]), 0)), "")</f>
        <v>ip</v>
      </c>
      <c r="F79" s="58" t="s">
        <v>90</v>
      </c>
      <c r="G79" s="61" t="str" cm="1">
        <f t="array" ref="G79" xml:space="preserve"> IFERROR( INDEX(韻母對照表[白話字], MATCH(TRUE, EXACT('台語音標韻母清單【依字長反排序】 (2)'!$C73, 韻母對照表[台羅拼音]), 0)), "")</f>
        <v>ip</v>
      </c>
      <c r="H79" s="55" t="str" cm="1">
        <f t="array" ref="H79" xml:space="preserve"> IFERROR( INDEX(韻母對照表[十五音識別碼], MATCH(TRUE, EXACT('台語音標韻母清單【依字長反排序】 (2)'!$C73, 韻母對照表[台羅拼音]), 0)), "")</f>
        <v>金促</v>
      </c>
      <c r="I79" s="58" t="str" cm="1">
        <f t="array" ref="I79" xml:space="preserve"> IFERROR( INDEX(韻母對照表[方音符號], MATCH(TRUE, EXACT('台語音標韻母清單【依字長反排序】 (2)'!$C73, 韻母對照表[台羅拼音]), 0)), "")</f>
        <v>一ㆴ</v>
      </c>
      <c r="J79" s="74">
        <f t="shared" si="9"/>
        <v>2</v>
      </c>
      <c r="K79" s="74"/>
      <c r="L79" s="58" t="str">
        <f t="shared" si="10"/>
        <v>ok</v>
      </c>
      <c r="M79" s="58" t="str">
        <f t="shared" si="11"/>
        <v>ok</v>
      </c>
      <c r="O79" s="122" t="str">
        <f t="shared" si="12"/>
        <v>ok(\d)</v>
      </c>
      <c r="P79" s="125" t="s">
        <v>1216</v>
      </c>
      <c r="Q79" s="125">
        <f t="shared" si="13"/>
        <v>1</v>
      </c>
      <c r="R79" s="122" t="str">
        <f t="shared" si="15"/>
        <v>》o${1}k</v>
      </c>
      <c r="S79" s="56"/>
      <c r="T79" s="57" t="str">
        <f t="shared" si="14"/>
        <v xml:space="preserve">    - xform/》ok(\d)/》o${1}k/</v>
      </c>
    </row>
    <row r="80" spans="1:20" ht="27.75" thickBot="1">
      <c r="A80" s="58">
        <f t="shared" si="8"/>
        <v>78</v>
      </c>
      <c r="B80" s="58" t="s">
        <v>854</v>
      </c>
      <c r="C80" s="58" t="s">
        <v>136</v>
      </c>
      <c r="D80" s="58" t="s">
        <v>136</v>
      </c>
      <c r="E80" s="76" t="str" cm="1">
        <f t="array" ref="E80" xml:space="preserve"> IFERROR( INDEX(韻母對照表[注音二式], MATCH(TRUE, EXACT('台語音標韻母清單【依字長反排序】 (2)'!$C74, 韻母對照表[台羅拼音]), 0)), "")</f>
        <v>it</v>
      </c>
      <c r="F80" s="58" t="s">
        <v>136</v>
      </c>
      <c r="G80" s="60" t="str" cm="1">
        <f t="array" ref="G80" xml:space="preserve"> IFERROR( INDEX(韻母對照表[白話字], MATCH(TRUE, EXACT('台語音標韻母清單【依字長反排序】 (2)'!$C74, 韻母對照表[台羅拼音]), 0)), "")</f>
        <v>it</v>
      </c>
      <c r="H80" s="55" t="str" cm="1">
        <f t="array" ref="H80" xml:space="preserve"> IFERROR( INDEX(韻母對照表[十五音識別碼], MATCH(TRUE, EXACT('台語音標韻母清單【依字長反排序】 (2)'!$C74, 韻母對照表[台羅拼音]), 0)), "")</f>
        <v>巾促</v>
      </c>
      <c r="I80" s="58" t="str" cm="1">
        <f t="array" ref="I80" xml:space="preserve"> IFERROR( INDEX(韻母對照表[方音符號], MATCH(TRUE, EXACT('台語音標韻母清單【依字長反排序】 (2)'!$C74, 韻母對照表[台羅拼音]), 0)), "")</f>
        <v>ㄧㆵ</v>
      </c>
      <c r="J80" s="74">
        <f t="shared" si="9"/>
        <v>2</v>
      </c>
      <c r="K80" s="74"/>
      <c r="L80" s="58" t="str">
        <f t="shared" si="10"/>
        <v>oo</v>
      </c>
      <c r="M80" s="58" t="str">
        <f t="shared" si="11"/>
        <v>oo</v>
      </c>
      <c r="O80" s="122" t="str">
        <f t="shared" si="12"/>
        <v>oo(\d)</v>
      </c>
      <c r="P80" s="125" t="s">
        <v>1216</v>
      </c>
      <c r="Q80" s="125">
        <f t="shared" si="13"/>
        <v>1</v>
      </c>
      <c r="R80" s="122" t="str">
        <f t="shared" si="15"/>
        <v>》o${1}o</v>
      </c>
      <c r="S80" s="56"/>
      <c r="T80" s="57" t="str">
        <f t="shared" si="14"/>
        <v xml:space="preserve">    - xform/》oo(\d)/》o${1}o/</v>
      </c>
    </row>
    <row r="81" spans="1:20" ht="27.75" thickBot="1">
      <c r="A81" s="58">
        <f t="shared" si="8"/>
        <v>79</v>
      </c>
      <c r="B81" s="58" t="s">
        <v>887</v>
      </c>
      <c r="C81" s="58" t="s">
        <v>485</v>
      </c>
      <c r="D81" s="58" t="s">
        <v>485</v>
      </c>
      <c r="E81" s="58" t="str" cm="1">
        <f t="array" ref="E81" xml:space="preserve"> IFERROR( INDEX(韻母對照表[注音二式], MATCH(TRUE, EXACT('台語音標韻母清單【依字長反排序】 (2)'!$C75, 韻母對照表[台羅拼音]), 0)), "")</f>
        <v>iu</v>
      </c>
      <c r="F81" s="58" t="s">
        <v>485</v>
      </c>
      <c r="G81" s="61" t="str" cm="1">
        <f t="array" ref="G81" xml:space="preserve"> IFERROR( INDEX(韻母對照表[白話字], MATCH(TRUE, EXACT('台語音標韻母清單【依字長反排序】 (2)'!$C75, 韻母對照表[台羅拼音]), 0)), "")</f>
        <v>iu</v>
      </c>
      <c r="H81" s="55" t="str" cm="1">
        <f t="array" ref="H81" xml:space="preserve"> IFERROR( INDEX(韻母對照表[十五音識別碼], MATCH(TRUE, EXACT('台語音標韻母清單【依字長反排序】 (2)'!$C75, 韻母對照表[台羅拼音]), 0)), "")</f>
        <v>丩舒</v>
      </c>
      <c r="I81" s="58" t="str" cm="1">
        <f t="array" ref="I81" xml:space="preserve"> IFERROR( INDEX(韻母對照表[方音符號], MATCH(TRUE, EXACT('台語音標韻母清單【依字長反排序】 (2)'!$C75, 韻母對照表[台羅拼音]), 0)), "")</f>
        <v>ㄧㄨ</v>
      </c>
      <c r="J81" s="74">
        <f t="shared" si="9"/>
        <v>2</v>
      </c>
      <c r="K81" s="74"/>
      <c r="L81" s="58" t="str">
        <f t="shared" si="10"/>
        <v>op</v>
      </c>
      <c r="M81" s="58" t="str">
        <f t="shared" si="11"/>
        <v>op</v>
      </c>
      <c r="O81" s="122" t="str">
        <f t="shared" si="12"/>
        <v>op(\d)</v>
      </c>
      <c r="P81" s="125" t="s">
        <v>1216</v>
      </c>
      <c r="Q81" s="125">
        <f t="shared" si="13"/>
        <v>1</v>
      </c>
      <c r="R81" s="122" t="str">
        <f t="shared" si="15"/>
        <v>》o${1}p</v>
      </c>
      <c r="S81" s="56"/>
      <c r="T81" s="57" t="str">
        <f t="shared" si="14"/>
        <v xml:space="preserve">    - xform/》op(\d)/》o${1}p/</v>
      </c>
    </row>
    <row r="82" spans="1:20" ht="27.75" thickBot="1">
      <c r="A82" s="58">
        <f t="shared" si="8"/>
        <v>80</v>
      </c>
      <c r="B82" s="58" t="s">
        <v>223</v>
      </c>
      <c r="C82" s="58" t="s">
        <v>223</v>
      </c>
      <c r="D82" s="58" t="s">
        <v>223</v>
      </c>
      <c r="E82" s="58" t="str" cm="1">
        <f t="array" ref="E82" xml:space="preserve"> IFERROR( INDEX(韻母對照表[注音二式], MATCH(TRUE, EXACT('台語音標韻母清單【依字長反排序】 (2)'!$C76, 韻母對照表[台羅拼音]), 0)), "")</f>
        <v/>
      </c>
      <c r="F82" s="58" t="s">
        <v>856</v>
      </c>
      <c r="G82" s="60" t="str" cm="1">
        <f t="array" ref="G82" xml:space="preserve"> IFERROR( INDEX(韻母對照表[白話字], MATCH(TRUE, EXACT('台語音標韻母清單【依字長反排序】 (2)'!$C76, 韻母對照表[台羅拼音]), 0)), "")</f>
        <v/>
      </c>
      <c r="H82" s="55" t="str" cm="1">
        <f t="array" ref="H82" xml:space="preserve"> IFERROR( INDEX(韻母對照表[十五音識別碼], MATCH(TRUE, EXACT('台語音標韻母清單【依字長反排序】 (2)'!$C76, 韻母對照表[台羅拼音]), 0)), "")</f>
        <v/>
      </c>
      <c r="I82" s="58" t="str" cm="1">
        <f t="array" ref="I82" xml:space="preserve"> IFERROR( INDEX(韻母對照表[方音符號], MATCH(TRUE, EXACT('台語音標韻母清單【依字長反排序】 (2)'!$C76, 韻母對照表[台羅拼音]), 0)), "")</f>
        <v/>
      </c>
      <c r="J82" s="74">
        <f t="shared" si="9"/>
        <v>2</v>
      </c>
      <c r="K82" s="74"/>
      <c r="L82" s="58" t="str">
        <f t="shared" si="10"/>
        <v>ua</v>
      </c>
      <c r="M82" s="58" t="str">
        <f t="shared" si="11"/>
        <v>uɑ</v>
      </c>
      <c r="O82" s="122" t="str">
        <f t="shared" si="12"/>
        <v>ua(\d)</v>
      </c>
      <c r="P82" s="125" t="s">
        <v>1227</v>
      </c>
      <c r="Q82" s="125">
        <f t="shared" si="13"/>
        <v>1</v>
      </c>
      <c r="R82" s="122" t="str">
        <f t="shared" si="15"/>
        <v>》u${1}a</v>
      </c>
      <c r="S82" s="56"/>
      <c r="T82" s="57" t="str">
        <f t="shared" si="14"/>
        <v xml:space="preserve">    - xform/》ua(\d)/》u${1}a/</v>
      </c>
    </row>
    <row r="83" spans="1:20" ht="27.75" thickBot="1">
      <c r="A83" s="58">
        <f t="shared" si="8"/>
        <v>81</v>
      </c>
      <c r="B83" s="58" t="s">
        <v>285</v>
      </c>
      <c r="C83" s="58" t="s">
        <v>285</v>
      </c>
      <c r="D83" s="58" t="s">
        <v>285</v>
      </c>
      <c r="E83" s="76" t="str" cm="1">
        <f t="array" ref="E83" xml:space="preserve"> IFERROR( INDEX(韻母對照表[注音二式], MATCH(TRUE, EXACT('台語音標韻母清單【依字長反排序】 (2)'!$C77, 韻母對照表[台羅拼音]), 0)), "")</f>
        <v>ng</v>
      </c>
      <c r="F83" s="58" t="s">
        <v>285</v>
      </c>
      <c r="G83" s="60" t="str" cm="1">
        <f t="array" ref="G83" xml:space="preserve"> IFERROR( INDEX(韻母對照表[白話字], MATCH(TRUE, EXACT('台語音標韻母清單【依字長反排序】 (2)'!$C77, 韻母對照表[台羅拼音]), 0)), "")</f>
        <v>ng</v>
      </c>
      <c r="H83" s="55" t="str" cm="1">
        <f t="array" ref="H83" xml:space="preserve"> IFERROR( INDEX(韻母對照表[十五音識別碼], MATCH(TRUE, EXACT('台語音標韻母清單【依字長反排序】 (2)'!$C77, 韻母對照表[台羅拼音]), 0)), "")</f>
        <v>鋼舒</v>
      </c>
      <c r="I83" s="58" t="str" cm="1">
        <f t="array" ref="I83" xml:space="preserve"> IFERROR( INDEX(韻母對照表[方音符號], MATCH(TRUE, EXACT('台語音標韻母清單【依字長反排序】 (2)'!$C77, 韻母對照表[台羅拼音]), 0)), "")</f>
        <v>ㆭ</v>
      </c>
      <c r="J83" s="74">
        <f t="shared" si="9"/>
        <v>2</v>
      </c>
      <c r="K83" s="74"/>
      <c r="L83" s="58" t="str">
        <f t="shared" si="10"/>
        <v>ue</v>
      </c>
      <c r="M83" s="58" t="str">
        <f t="shared" si="11"/>
        <v>ue</v>
      </c>
      <c r="O83" s="122" t="str">
        <f t="shared" si="12"/>
        <v>ue(\d)</v>
      </c>
      <c r="P83" s="125" t="s">
        <v>1227</v>
      </c>
      <c r="Q83" s="125">
        <f t="shared" si="13"/>
        <v>1</v>
      </c>
      <c r="R83" s="122" t="str">
        <f t="shared" si="15"/>
        <v>》u${1}e</v>
      </c>
      <c r="S83" s="56"/>
      <c r="T83" s="57" t="str">
        <f t="shared" si="14"/>
        <v xml:space="preserve">    - xform/》ue(\d)/》u${1}e/</v>
      </c>
    </row>
    <row r="84" spans="1:20" ht="27.75" thickBot="1">
      <c r="A84" s="58">
        <f t="shared" si="8"/>
        <v>82</v>
      </c>
      <c r="B84" s="58" t="s">
        <v>857</v>
      </c>
      <c r="C84" s="58" t="s">
        <v>313</v>
      </c>
      <c r="D84" s="58" t="s">
        <v>313</v>
      </c>
      <c r="E84" s="58" t="str" cm="1">
        <f t="array" ref="E84" xml:space="preserve"> IFERROR( INDEX(韻母對照表[注音二式], MATCH(TRUE, EXACT('台語音標韻母清單【依字長反排序】 (2)'!$C78, 韻母對照表[台羅拼音]), 0)), "")</f>
        <v>orh</v>
      </c>
      <c r="F84" s="58" t="s">
        <v>313</v>
      </c>
      <c r="G84" s="61" t="str" cm="1">
        <f t="array" ref="G84" xml:space="preserve"> IFERROR( INDEX(韻母對照表[白話字], MATCH(TRUE, EXACT('台語音標韻母清單【依字長反排序】 (2)'!$C78, 韻母對照表[台羅拼音]), 0)), "")</f>
        <v>oh</v>
      </c>
      <c r="H84" s="55" t="str" cm="1">
        <f t="array" ref="H84" xml:space="preserve"> IFERROR( INDEX(韻母對照表[十五音識別碼], MATCH(TRUE, EXACT('台語音標韻母清單【依字長反排序】 (2)'!$C78, 韻母對照表[台羅拼音]), 0)), "")</f>
        <v>高促</v>
      </c>
      <c r="I84" s="58" t="str" cm="1">
        <f t="array" ref="I84" xml:space="preserve"> IFERROR( INDEX(韻母對照表[方音符號], MATCH(TRUE, EXACT('台語音標韻母清單【依字長反排序】 (2)'!$C78, 韻母對照表[台羅拼音]), 0)), "")</f>
        <v>ㄜㆷ</v>
      </c>
      <c r="J84" s="74">
        <f t="shared" si="9"/>
        <v>2</v>
      </c>
      <c r="K84" s="74"/>
      <c r="L84" s="58" t="str">
        <f t="shared" si="10"/>
        <v>uh</v>
      </c>
      <c r="M84" s="58" t="str">
        <f t="shared" si="11"/>
        <v>uh</v>
      </c>
      <c r="O84" s="122" t="str">
        <f t="shared" si="12"/>
        <v>uh(\d)</v>
      </c>
      <c r="P84" s="125" t="s">
        <v>1227</v>
      </c>
      <c r="Q84" s="125">
        <f t="shared" si="13"/>
        <v>1</v>
      </c>
      <c r="R84" s="122" t="str">
        <f t="shared" si="15"/>
        <v>》u${1}h</v>
      </c>
      <c r="S84" s="56"/>
      <c r="T84" s="57" t="str">
        <f t="shared" si="14"/>
        <v xml:space="preserve">    - xform/》uh(\d)/》u${1}h/</v>
      </c>
    </row>
    <row r="85" spans="1:20" ht="27.75" thickBot="1">
      <c r="A85" s="58">
        <f t="shared" si="8"/>
        <v>83</v>
      </c>
      <c r="B85" s="58" t="s">
        <v>50</v>
      </c>
      <c r="C85" s="58" t="s">
        <v>50</v>
      </c>
      <c r="D85" s="58" t="s">
        <v>50</v>
      </c>
      <c r="E85" s="58" t="str" cm="1">
        <f t="array" ref="E85" xml:space="preserve"> IFERROR( INDEX(韻母對照表[注音二式], MATCH(TRUE, EXACT('台語音標韻母清單【依字長反排序】 (2)'!$C79, 韻母對照表[台羅拼音]), 0)), "")</f>
        <v>ok</v>
      </c>
      <c r="F85" s="58" t="s">
        <v>50</v>
      </c>
      <c r="G85" s="61" t="str" cm="1">
        <f t="array" ref="G85" xml:space="preserve"> IFERROR( INDEX(韻母對照表[白話字], MATCH(TRUE, EXACT('台語音標韻母清單【依字長反排序】 (2)'!$C79, 韻母對照表[台羅拼音]), 0)), "")</f>
        <v>ok</v>
      </c>
      <c r="H85" s="55" t="str" cm="1">
        <f t="array" ref="H85" xml:space="preserve"> IFERROR( INDEX(韻母對照表[十五音識別碼], MATCH(TRUE, EXACT('台語音標韻母清單【依字長反排序】 (2)'!$C79, 韻母對照表[台羅拼音]), 0)), "")</f>
        <v>公促</v>
      </c>
      <c r="I85" s="58" t="str" cm="1">
        <f t="array" ref="I85" xml:space="preserve"> IFERROR( INDEX(韻母對照表[方音符號], MATCH(TRUE, EXACT('台語音標韻母清單【依字長反排序】 (2)'!$C79, 韻母對照表[台羅拼音]), 0)), "")</f>
        <v>ㆦㆻ</v>
      </c>
      <c r="J85" s="74">
        <f t="shared" si="9"/>
        <v>2</v>
      </c>
      <c r="K85" s="74"/>
      <c r="L85" s="58" t="str">
        <f t="shared" si="10"/>
        <v>ui</v>
      </c>
      <c r="M85" s="58" t="str">
        <f t="shared" si="11"/>
        <v>ui</v>
      </c>
      <c r="O85" s="122" t="str">
        <f t="shared" si="12"/>
        <v>ui(\d)</v>
      </c>
      <c r="P85" s="125" t="s">
        <v>1227</v>
      </c>
      <c r="Q85" s="125">
        <f t="shared" si="13"/>
        <v>1</v>
      </c>
      <c r="R85" s="122" t="str">
        <f t="shared" si="15"/>
        <v>》u${1}i</v>
      </c>
      <c r="S85" s="56"/>
      <c r="T85" s="57" t="str">
        <f t="shared" si="14"/>
        <v xml:space="preserve">    - xform/》ui(\d)/》u${1}i/</v>
      </c>
    </row>
    <row r="86" spans="1:20" ht="27.75" thickBot="1">
      <c r="A86" s="58">
        <f t="shared" si="8"/>
        <v>84</v>
      </c>
      <c r="B86" s="58" t="s">
        <v>14</v>
      </c>
      <c r="C86" s="58" t="s">
        <v>14</v>
      </c>
      <c r="D86" s="58" t="s">
        <v>14</v>
      </c>
      <c r="E86" s="58" t="str" cm="1">
        <f t="array" ref="E86" xml:space="preserve"> IFERROR( INDEX(韻母對照表[注音二式], MATCH(TRUE, EXACT('台語音標韻母清單【依字長反排序】 (2)'!$C80, 韻母對照表[台羅拼音]), 0)), "")</f>
        <v>oo</v>
      </c>
      <c r="F86" s="58" t="s">
        <v>14</v>
      </c>
      <c r="G86" s="61" t="str" cm="1">
        <f t="array" ref="G86" xml:space="preserve"> IFERROR( INDEX(韻母對照表[白話字], MATCH(TRUE, EXACT('台語音標韻母清單【依字長反排序】 (2)'!$C80, 韻母對照表[台羅拼音]), 0)), "")</f>
        <v>o͘</v>
      </c>
      <c r="H86" s="55" t="str" cm="1">
        <f t="array" ref="H86" xml:space="preserve"> IFERROR( INDEX(韻母對照表[十五音識別碼], MATCH(TRUE, EXACT('台語音標韻母清單【依字長反排序】 (2)'!$C80, 韻母對照表[台羅拼音]), 0)), "")</f>
        <v>沽舒</v>
      </c>
      <c r="I86" s="58" t="str" cm="1">
        <f t="array" ref="I86" xml:space="preserve"> IFERROR( INDEX(韻母對照表[方音符號], MATCH(TRUE, EXACT('台語音標韻母清單【依字長反排序】 (2)'!$C80, 韻母對照表[台羅拼音]), 0)), "")</f>
        <v>ㆦ</v>
      </c>
      <c r="J86" s="74">
        <f t="shared" si="9"/>
        <v>2</v>
      </c>
      <c r="K86" s="74"/>
      <c r="L86" s="58" t="str">
        <f t="shared" si="10"/>
        <v>un</v>
      </c>
      <c r="M86" s="58" t="str">
        <f t="shared" si="11"/>
        <v>un</v>
      </c>
      <c r="O86" s="122" t="str">
        <f t="shared" si="12"/>
        <v>un(\d)</v>
      </c>
      <c r="P86" s="125" t="s">
        <v>1227</v>
      </c>
      <c r="Q86" s="125">
        <f t="shared" si="13"/>
        <v>1</v>
      </c>
      <c r="R86" s="122" t="str">
        <f t="shared" si="15"/>
        <v>》u${1}n</v>
      </c>
      <c r="S86" s="56"/>
      <c r="T86" s="57" t="str">
        <f t="shared" si="14"/>
        <v xml:space="preserve">    - xform/》un(\d)/》u${1}n/</v>
      </c>
    </row>
    <row r="87" spans="1:20" ht="27.75" thickBot="1">
      <c r="A87" s="58">
        <f t="shared" si="8"/>
        <v>85</v>
      </c>
      <c r="B87" s="58" t="s">
        <v>883</v>
      </c>
      <c r="C87" s="58" t="s">
        <v>22</v>
      </c>
      <c r="D87" s="58" t="s">
        <v>22</v>
      </c>
      <c r="E87" s="58" t="str" cm="1">
        <f t="array" ref="E87" xml:space="preserve"> IFERROR( INDEX(韻母對照表[注音二式], MATCH(TRUE, EXACT('台語音標韻母清單【依字長反排序】 (2)'!$C81, 韻母對照表[台羅拼音]), 0)), "")</f>
        <v>oop</v>
      </c>
      <c r="F87" s="58" t="s">
        <v>22</v>
      </c>
      <c r="G87" s="61" t="str" cm="1">
        <f t="array" ref="G87" xml:space="preserve"> IFERROR( INDEX(韻母對照表[白話字], MATCH(TRUE, EXACT('台語音標韻母清單【依字長反排序】 (2)'!$C81, 韻母對照表[台羅拼音]), 0)), "")</f>
        <v>op</v>
      </c>
      <c r="H87" s="55" t="str" cm="1">
        <f t="array" ref="H87" xml:space="preserve"> IFERROR( INDEX(韻母對照表[十五音識別碼], MATCH(TRUE, EXACT('台語音標韻母清單【依字長反排序】 (2)'!$C81, 韻母對照表[台羅拼音]), 0)), "")</f>
        <v>箴促</v>
      </c>
      <c r="I87" s="58" t="str" cm="1">
        <f t="array" ref="I87" xml:space="preserve"> IFERROR( INDEX(韻母對照表[方音符號], MATCH(TRUE, EXACT('台語音標韻母清單【依字長反排序】 (2)'!$C81, 韻母對照表[台羅拼音]), 0)), "")</f>
        <v>ㆦㆴ</v>
      </c>
      <c r="J87" s="74">
        <f t="shared" si="9"/>
        <v>2</v>
      </c>
      <c r="K87" s="74"/>
      <c r="L87" s="58" t="str">
        <f t="shared" si="10"/>
        <v>ut</v>
      </c>
      <c r="M87" s="58" t="str">
        <f t="shared" si="11"/>
        <v>ut</v>
      </c>
      <c r="O87" s="122" t="str">
        <f t="shared" si="12"/>
        <v>ut(\d)</v>
      </c>
      <c r="P87" s="125" t="s">
        <v>1227</v>
      </c>
      <c r="Q87" s="125">
        <f t="shared" si="13"/>
        <v>1</v>
      </c>
      <c r="R87" s="122" t="str">
        <f t="shared" si="15"/>
        <v>》u${1}t</v>
      </c>
      <c r="S87" s="56"/>
      <c r="T87" s="57" t="str">
        <f t="shared" si="14"/>
        <v xml:space="preserve">    - xform/》ut(\d)/》u${1}t/</v>
      </c>
    </row>
    <row r="88" spans="1:20" ht="27.75" thickBot="1">
      <c r="A88" s="58">
        <f t="shared" si="8"/>
        <v>86</v>
      </c>
      <c r="B88" s="58" t="s">
        <v>476</v>
      </c>
      <c r="C88" s="58" t="s">
        <v>479</v>
      </c>
      <c r="D88" s="58" t="s">
        <v>479</v>
      </c>
      <c r="E88" s="58" t="str" cm="1">
        <f t="array" ref="E88" xml:space="preserve"> IFERROR( INDEX(韻母對照表[注音二式], MATCH(TRUE, EXACT('台語音標韻母清單【依字長反排序】 (2)'!$C88, 韻母對照表[台羅拼音]), 0)), "")</f>
        <v>oom</v>
      </c>
      <c r="F88" s="58" t="s">
        <v>641</v>
      </c>
      <c r="G88" s="61" t="str" cm="1">
        <f t="array" ref="G88" xml:space="preserve"> IFERROR( INDEX(韻母對照表[白話字], MATCH(TRUE, EXACT('台語音標韻母清單【依字長反排序】 (2)'!$C88, 韻母對照表[台羅拼音]), 0)), "")</f>
        <v>om</v>
      </c>
      <c r="H88" s="55" t="str" cm="1">
        <f t="array" ref="H88" xml:space="preserve"> IFERROR( INDEX(韻母對照表[十五音識別碼], MATCH(TRUE, EXACT('台語音標韻母清單【依字長反排序】 (2)'!$C88, 韻母對照表[台羅拼音]), 0)), "")</f>
        <v>箴舒</v>
      </c>
      <c r="I88" s="58" t="str" cm="1">
        <f t="array" ref="I88" xml:space="preserve"> IFERROR( INDEX(韻母對照表[方音符號], MATCH(TRUE, EXACT('台語音標韻母清單【依字長反排序】 (2)'!$C88, 韻母對照表[台羅拼音]), 0)), "")</f>
        <v>ㆱ</v>
      </c>
      <c r="J88" s="74">
        <f t="shared" si="9"/>
        <v>2</v>
      </c>
      <c r="K88" s="74"/>
      <c r="L88" s="58" t="str">
        <f t="shared" si="10"/>
        <v>om</v>
      </c>
      <c r="M88" s="58" t="str">
        <f t="shared" si="11"/>
        <v>-</v>
      </c>
      <c r="O88" s="122" t="str">
        <f t="shared" si="12"/>
        <v>om(\d)</v>
      </c>
      <c r="P88" s="125" t="s">
        <v>1216</v>
      </c>
      <c r="Q88" s="125">
        <f t="shared" si="13"/>
        <v>1</v>
      </c>
      <c r="R88" s="122" t="str">
        <f t="shared" si="15"/>
        <v>》o${1}m</v>
      </c>
      <c r="S88" s="56"/>
      <c r="T88" s="57" t="str">
        <f t="shared" si="14"/>
        <v xml:space="preserve">    - xform/》om(\d)/》o${1}m/</v>
      </c>
    </row>
    <row r="89" spans="1:20" ht="27.75" thickBot="1">
      <c r="A89" s="58">
        <f t="shared" si="8"/>
        <v>87</v>
      </c>
      <c r="B89" s="58" t="s">
        <v>153</v>
      </c>
      <c r="C89" s="58" t="s">
        <v>153</v>
      </c>
      <c r="D89" s="58" t="s">
        <v>153</v>
      </c>
      <c r="E89" s="58" t="str" cm="1">
        <f t="array" ref="E89" xml:space="preserve"> IFERROR( INDEX(韻母對照表[注音二式], MATCH(TRUE, EXACT('台語音標韻母清單【依字長反排序】 (2)'!$C91, 韻母對照表[台羅拼音]), 0)), "")</f>
        <v/>
      </c>
      <c r="F89" s="58" t="str" cm="1">
        <f t="array" ref="F89" xml:space="preserve"> IFERROR( INDEX(韻母對照表[閩拼方案], MATCH(TRUE, EXACT('台語音標韻母清單【依字長反排序】 (2)'!$B91, 韻母對照表[國際音標]), 0)), "")</f>
        <v/>
      </c>
      <c r="G89" s="62" t="str" cm="1">
        <f t="array" ref="G89" xml:space="preserve"> IFERROR( INDEX(韻母對照表[白話字], MATCH(TRUE, EXACT('台語音標韻母清單【依字長反排序】 (2)'!$C91, 韻母對照表[台羅拼音]), 0)), "")</f>
        <v/>
      </c>
      <c r="H89" s="55" t="str" cm="1">
        <f t="array" ref="H89" xml:space="preserve"> IFERROR( INDEX(韻母對照表[十五音識別碼], MATCH(TRUE, EXACT('台語音標韻母清單【依字長反排序】 (2)'!$C91, 韻母對照表[台羅拼音]), 0)), "")</f>
        <v/>
      </c>
      <c r="I89" s="58" t="str" cm="1">
        <f t="array" ref="I89" xml:space="preserve"> IFERROR( INDEX(韻母對照表[方音符號], MATCH(TRUE, EXACT('台語音標韻母清單【依字長反排序】 (2)'!$C91, 韻母對照表[台羅拼音]), 0)), "")</f>
        <v/>
      </c>
      <c r="J89" s="74">
        <f t="shared" si="9"/>
        <v>2</v>
      </c>
      <c r="K89" s="74"/>
      <c r="L89" s="58" t="str">
        <f t="shared" si="10"/>
        <v>ei</v>
      </c>
      <c r="M89" s="58" t="str">
        <f t="shared" si="11"/>
        <v/>
      </c>
      <c r="O89" s="122" t="str">
        <f t="shared" si="12"/>
        <v>ei(\d)</v>
      </c>
      <c r="P89" s="125" t="s">
        <v>1181</v>
      </c>
      <c r="Q89" s="125">
        <f t="shared" si="13"/>
        <v>1</v>
      </c>
      <c r="R89" s="122" t="s">
        <v>1307</v>
      </c>
      <c r="S89" s="56"/>
      <c r="T89" s="57" t="str">
        <f t="shared" si="14"/>
        <v/>
      </c>
    </row>
    <row r="90" spans="1:20" ht="27.75" thickBot="1">
      <c r="A90" s="58">
        <f t="shared" si="8"/>
        <v>88</v>
      </c>
      <c r="B90" s="75" t="s">
        <v>907</v>
      </c>
      <c r="C90" s="58" t="s">
        <v>134</v>
      </c>
      <c r="D90" s="58" t="s">
        <v>134</v>
      </c>
      <c r="E90" s="76" t="str" cm="1">
        <f t="array" ref="E90" xml:space="preserve"> IFERROR( INDEX(韻母對照表[注音二式], MATCH(TRUE, EXACT('台語音標韻母清單【依字長反排序】 (2)'!$C92, 韻母對照表[台羅拼音]), 0)), "")</f>
        <v/>
      </c>
      <c r="F90" s="58" t="str" cm="1">
        <f t="array" ref="F90" xml:space="preserve"> IFERROR( INDEX(韻母對照表[閩拼方案], MATCH(TRUE, EXACT('台語音標韻母清單【依字長反排序】 (2)'!$B92, 韻母對照表[國際音標]), 0)), "")</f>
        <v/>
      </c>
      <c r="G90" s="62" t="str" cm="1">
        <f t="array" ref="G90" xml:space="preserve"> IFERROR( INDEX(韻母對照表[白話字], MATCH(TRUE, EXACT('台語音標韻母清單【依字長反排序】 (2)'!$C92, 韻母對照表[台羅拼音]), 0)), "")</f>
        <v/>
      </c>
      <c r="H90" s="55" t="str" cm="1">
        <f t="array" ref="H90" xml:space="preserve"> IFERROR( INDEX(韻母對照表[十五音識別碼], MATCH(TRUE, EXACT('台語音標韻母清單【依字長反排序】 (2)'!$C92, 韻母對照表[台羅拼音]), 0)), "")</f>
        <v/>
      </c>
      <c r="I90" s="58" t="str" cm="1">
        <f t="array" ref="I90" xml:space="preserve"> IFERROR( INDEX(韻母對照表[方音符號], MATCH(TRUE, EXACT('台語音標韻母清單【依字長反排序】 (2)'!$C92, 韻母對照表[台羅拼音]), 0)), "")</f>
        <v/>
      </c>
      <c r="J90" s="74">
        <f t="shared" si="9"/>
        <v>2</v>
      </c>
      <c r="K90" s="74"/>
      <c r="L90" s="58" t="str">
        <f t="shared" si="10"/>
        <v>ou</v>
      </c>
      <c r="M90" s="58" t="str">
        <f t="shared" si="11"/>
        <v/>
      </c>
      <c r="O90" s="122" t="str">
        <f t="shared" si="12"/>
        <v>ou(\d)</v>
      </c>
      <c r="P90" s="125" t="s">
        <v>1216</v>
      </c>
      <c r="Q90" s="125">
        <f t="shared" si="13"/>
        <v>1</v>
      </c>
      <c r="R90" s="122" t="s">
        <v>1308</v>
      </c>
      <c r="S90" s="56"/>
      <c r="T90" s="57" t="str">
        <f t="shared" si="14"/>
        <v/>
      </c>
    </row>
    <row r="91" spans="1:20" ht="27.75" thickBot="1">
      <c r="A91" s="58">
        <f t="shared" si="8"/>
        <v>89</v>
      </c>
      <c r="B91" s="75" t="s">
        <v>862</v>
      </c>
      <c r="C91" s="58" t="s">
        <v>863</v>
      </c>
      <c r="D91" s="58" t="s">
        <v>863</v>
      </c>
      <c r="E91" s="76" t="str" cm="1">
        <f t="array" ref="E91" xml:space="preserve"> IFERROR( INDEX(韻母對照表[注音二式], MATCH(TRUE, EXACT('台語音標韻母清單【依字長反排序】 (2)'!$C93, 韻母對照表[台羅拼音]), 0)), "")</f>
        <v/>
      </c>
      <c r="F91" s="58" t="str" cm="1">
        <f t="array" ref="F91" xml:space="preserve"> IFERROR( INDEX(韻母對照表[閩拼方案], MATCH(TRUE, EXACT('台語音標韻母清單【依字長反排序】 (2)'!$B93, 韻母對照表[國際音標]), 0)), "")</f>
        <v/>
      </c>
      <c r="G91" s="62" t="str" cm="1">
        <f t="array" ref="G91" xml:space="preserve"> IFERROR( INDEX(韻母對照表[白話字], MATCH(TRUE, EXACT('台語音標韻母清單【依字長反排序】 (2)'!$C93, 韻母對照表[台羅拼音]), 0)), "")</f>
        <v/>
      </c>
      <c r="H91" s="55" t="str" cm="1">
        <f t="array" ref="H91" xml:space="preserve"> IFERROR( INDEX(韻母對照表[十五音識別碼], MATCH(TRUE, EXACT('台語音標韻母清單【依字長反排序】 (2)'!$C93, 韻母對照表[台羅拼音]), 0)), "")</f>
        <v/>
      </c>
      <c r="I91" s="58" t="str" cm="1">
        <f t="array" ref="I91" xml:space="preserve"> IFERROR( INDEX(韻母對照表[方音符號], MATCH(TRUE, EXACT('台語音標韻母清單【依字長反排序】 (2)'!$C93, 韻母對照表[台羅拼音]), 0)), "")</f>
        <v/>
      </c>
      <c r="J91" s="74">
        <f t="shared" si="9"/>
        <v>2</v>
      </c>
      <c r="K91" s="74"/>
      <c r="L91" s="58" t="str">
        <f t="shared" si="10"/>
        <v>ae</v>
      </c>
      <c r="M91" s="58" t="str">
        <f t="shared" si="11"/>
        <v/>
      </c>
      <c r="O91" s="122" t="str">
        <f t="shared" si="12"/>
        <v>ae(\d)</v>
      </c>
      <c r="P91" s="125" t="s">
        <v>1228</v>
      </c>
      <c r="Q91" s="125">
        <f t="shared" si="13"/>
        <v>1</v>
      </c>
      <c r="R91" s="122" t="str">
        <f t="shared" ref="R91:R99" si="16" xml:space="preserve"> IFERROR( _xlfn.CONCAT(LEFT(L91,Q91-1), "》", MID(L91,Q91,1), "${1}", RIGHT(L91, LEN(L91)-Q91)), "" )</f>
        <v>》a${1}e</v>
      </c>
      <c r="S91" s="56"/>
      <c r="T91" s="57" t="str">
        <f t="shared" si="14"/>
        <v/>
      </c>
    </row>
    <row r="92" spans="1:20" ht="27.75" thickBot="1">
      <c r="A92" s="58">
        <f t="shared" si="8"/>
        <v>90</v>
      </c>
      <c r="B92" s="75" t="s">
        <v>868</v>
      </c>
      <c r="C92" s="58" t="s">
        <v>843</v>
      </c>
      <c r="D92" s="58" t="s">
        <v>843</v>
      </c>
      <c r="E92" s="76" t="str" cm="1">
        <f t="array" ref="E92" xml:space="preserve"> IFERROR( INDEX(韻母對照表[注音二式], MATCH(TRUE, EXACT('台語音標韻母清單【依字長反排序】 (2)'!$C96, 韻母對照表[台羅拼音]), 0)), "")</f>
        <v>i</v>
      </c>
      <c r="F92" s="58" t="str" cm="1">
        <f t="array" ref="F92" xml:space="preserve"> IFERROR( INDEX(韻母對照表[閩拼方案], MATCH(TRUE, EXACT('台語音標韻母清單【依字長反排序】 (2)'!$B96, 韻母對照表[國際音標]), 0)), "")</f>
        <v>i</v>
      </c>
      <c r="G92" s="62" t="str" cm="1">
        <f t="array" ref="G92" xml:space="preserve"> IFERROR( INDEX(韻母對照表[白話字], MATCH(TRUE, EXACT('台語音標韻母清單【依字長反排序】 (2)'!$C96, 韻母對照表[台羅拼音]), 0)), "")</f>
        <v>i</v>
      </c>
      <c r="H92" s="55" t="str" cm="1">
        <f t="array" ref="H92" xml:space="preserve"> IFERROR( INDEX(韻母對照表[十五音識別碼], MATCH(TRUE, EXACT('台語音標韻母清單【依字長反排序】 (2)'!$C96, 韻母對照表[台羅拼音]), 0)), "")</f>
        <v>居舒</v>
      </c>
      <c r="I92" s="58" t="str" cm="1">
        <f t="array" ref="I92" xml:space="preserve"> IFERROR( INDEX(韻母對照表[方音符號], MATCH(TRUE, EXACT('台語音標韻母清單【依字長反排序】 (2)'!$C96, 韻母對照表[台羅拼音]), 0)), "")</f>
        <v>ㄧ</v>
      </c>
      <c r="J92" s="74">
        <f t="shared" si="9"/>
        <v>2</v>
      </c>
      <c r="K92" s="74"/>
      <c r="L92" s="58" t="str">
        <f t="shared" si="10"/>
        <v>eu</v>
      </c>
      <c r="M92" s="58" t="str">
        <f t="shared" si="11"/>
        <v>i</v>
      </c>
      <c r="O92" s="122" t="str">
        <f t="shared" si="12"/>
        <v>eu(\d)</v>
      </c>
      <c r="P92" s="125" t="s">
        <v>1181</v>
      </c>
      <c r="Q92" s="125">
        <f t="shared" si="13"/>
        <v>1</v>
      </c>
      <c r="R92" s="122" t="str">
        <f t="shared" si="16"/>
        <v>》e${1}u</v>
      </c>
      <c r="S92" s="56"/>
      <c r="T92" s="57" t="str">
        <f t="shared" si="14"/>
        <v xml:space="preserve">    - xform/》eu(\d)/》e${1}u/</v>
      </c>
    </row>
    <row r="93" spans="1:20" ht="27.75" thickBot="1">
      <c r="A93" s="58">
        <f t="shared" si="8"/>
        <v>91</v>
      </c>
      <c r="B93" s="75" t="s">
        <v>892</v>
      </c>
      <c r="C93" s="58" t="s">
        <v>116</v>
      </c>
      <c r="D93" s="58" t="s">
        <v>116</v>
      </c>
      <c r="E93" s="76" t="str" cm="1">
        <f t="array" ref="E93" xml:space="preserve"> IFERROR( INDEX(韻母對照表[注音二式], MATCH(TRUE, EXACT('台語音標韻母清單【依字長反排序】 (2)'!$C99, 韻母對照表[台羅拼音]), 0)), "")</f>
        <v>u</v>
      </c>
      <c r="F93" s="58" t="str" cm="1">
        <f t="array" ref="F93" xml:space="preserve"> IFERROR( INDEX(韻母對照表[閩拼方案], MATCH(TRUE, EXACT('台語音標韻母清單【依字長反排序】 (2)'!$B99, 韻母對照表[國際音標]), 0)), "")</f>
        <v>u</v>
      </c>
      <c r="G93" s="60" t="str" cm="1">
        <f t="array" ref="G93" xml:space="preserve"> IFERROR( INDEX(韻母對照表[白話字], MATCH(TRUE, EXACT('台語音標韻母清單【依字長反排序】 (2)'!$C99, 韻母對照表[台羅拼音]), 0)), "")</f>
        <v>u</v>
      </c>
      <c r="H93" s="55" t="str" cm="1">
        <f t="array" ref="H93" xml:space="preserve"> IFERROR( INDEX(韻母對照表[十五音識別碼], MATCH(TRUE, EXACT('台語音標韻母清單【依字長反排序】 (2)'!$C99, 韻母對照表[台羅拼音]), 0)), "")</f>
        <v>艍舒</v>
      </c>
      <c r="I93" s="58" t="str" cm="1">
        <f t="array" ref="I93" xml:space="preserve"> IFERROR( INDEX(韻母對照表[方音符號], MATCH(TRUE, EXACT('台語音標韻母清單【依字長反排序】 (2)'!$C99, 韻母對照表[台羅拼音]), 0)), "")</f>
        <v>ㄨ</v>
      </c>
      <c r="J93" s="74">
        <f t="shared" si="9"/>
        <v>2</v>
      </c>
      <c r="K93" s="74"/>
      <c r="L93" s="58" t="str">
        <f t="shared" si="10"/>
        <v>ek</v>
      </c>
      <c r="M93" s="58" t="str">
        <f t="shared" si="11"/>
        <v>u</v>
      </c>
      <c r="O93" s="122" t="str">
        <f t="shared" si="12"/>
        <v>ek(\d)</v>
      </c>
      <c r="P93" s="125" t="s">
        <v>1181</v>
      </c>
      <c r="Q93" s="125">
        <f t="shared" si="13"/>
        <v>1</v>
      </c>
      <c r="R93" s="122" t="str">
        <f t="shared" si="16"/>
        <v>》e${1}k</v>
      </c>
      <c r="S93" s="56"/>
      <c r="T93" s="57" t="str">
        <f t="shared" si="14"/>
        <v xml:space="preserve">    - xform/》ek(\d)/》e${1}k/</v>
      </c>
    </row>
    <row r="94" spans="1:20" ht="27.75" thickBot="1">
      <c r="A94" s="58">
        <f t="shared" si="8"/>
        <v>92</v>
      </c>
      <c r="B94" s="58" t="s">
        <v>316</v>
      </c>
      <c r="C94" s="58" t="s">
        <v>316</v>
      </c>
      <c r="D94" s="58" t="s">
        <v>316</v>
      </c>
      <c r="E94" s="58" t="str" cm="1">
        <f t="array" ref="E94" xml:space="preserve"> IFERROR( INDEX(韻母對照表[注音二式], MATCH(TRUE, EXACT('台語音標韻母清單【依字長反排序】 (2)'!$C82, 韻母對照表[台羅拼音]), 0)), "")</f>
        <v>ua</v>
      </c>
      <c r="F94" s="58" t="s">
        <v>858</v>
      </c>
      <c r="G94" s="61" t="str" cm="1">
        <f t="array" ref="G94" xml:space="preserve"> IFERROR( INDEX(韻母對照表[白話字], MATCH(TRUE, EXACT('台語音標韻母清單【依字長反排序】 (2)'!$C82, 韻母對照表[台羅拼音]), 0)), "")</f>
        <v>oa</v>
      </c>
      <c r="H94" s="55" t="str" cm="1">
        <f t="array" ref="H94" xml:space="preserve"> IFERROR( INDEX(韻母對照表[十五音識別碼], MATCH(TRUE, EXACT('台語音標韻母清單【依字長反排序】 (2)'!$C82, 韻母對照表[台羅拼音]), 0)), "")</f>
        <v>瓜舒</v>
      </c>
      <c r="I94" s="58" t="str" cm="1">
        <f t="array" ref="I94" xml:space="preserve"> IFERROR( INDEX(韻母對照表[方音符號], MATCH(TRUE, EXACT('台語音標韻母清單【依字長反排序】 (2)'!$C82, 韻母對照表[台羅拼音]), 0)), "")</f>
        <v>ㄨㄚ</v>
      </c>
      <c r="J94" s="74">
        <f t="shared" si="9"/>
        <v>1</v>
      </c>
      <c r="K94" s="74"/>
      <c r="L94" s="58" t="str">
        <f t="shared" si="10"/>
        <v>a</v>
      </c>
      <c r="M94" s="58" t="str">
        <f t="shared" si="11"/>
        <v>ɑ</v>
      </c>
      <c r="O94" s="122" t="str">
        <f t="shared" si="12"/>
        <v>a(\d)</v>
      </c>
      <c r="P94" s="125" t="s">
        <v>1228</v>
      </c>
      <c r="Q94" s="125">
        <f t="shared" si="13"/>
        <v>1</v>
      </c>
      <c r="R94" s="122" t="str">
        <f t="shared" si="16"/>
        <v>》a${1}</v>
      </c>
      <c r="S94" s="56"/>
      <c r="T94" s="57" t="str">
        <f t="shared" si="14"/>
        <v xml:space="preserve">    - xform/》a(\d)/》a${1}/</v>
      </c>
    </row>
    <row r="95" spans="1:20" ht="27.75" thickBot="1">
      <c r="A95" s="58">
        <f t="shared" si="8"/>
        <v>93</v>
      </c>
      <c r="B95" s="58" t="s">
        <v>60</v>
      </c>
      <c r="C95" s="58" t="s">
        <v>60</v>
      </c>
      <c r="D95" s="58" t="s">
        <v>60</v>
      </c>
      <c r="E95" s="58" t="str" cm="1">
        <f t="array" ref="E95" xml:space="preserve"> IFERROR( INDEX(韻母對照表[注音二式], MATCH(TRUE, EXACT('台語音標韻母清單【依字長反排序】 (2)'!$C83, 韻母對照表[台羅拼音]), 0)), "")</f>
        <v>ue</v>
      </c>
      <c r="F95" s="58" t="s">
        <v>60</v>
      </c>
      <c r="G95" s="61" t="str" cm="1">
        <f t="array" ref="G95" xml:space="preserve"> IFERROR( INDEX(韻母對照表[白話字], MATCH(TRUE, EXACT('台語音標韻母清單【依字長反排序】 (2)'!$C83, 韻母對照表[台羅拼音]), 0)), "")</f>
        <v>oe</v>
      </c>
      <c r="H95" s="55" t="str" cm="1">
        <f t="array" ref="H95" xml:space="preserve"> IFERROR( INDEX(韻母對照表[十五音識別碼], MATCH(TRUE, EXACT('台語音標韻母清單【依字長反排序】 (2)'!$C83, 韻母對照表[台羅拼音]), 0)), "")</f>
        <v>檜舒</v>
      </c>
      <c r="I95" s="58" t="str" cm="1">
        <f t="array" ref="I95" xml:space="preserve"> IFERROR( INDEX(韻母對照表[方音符號], MATCH(TRUE, EXACT('台語音標韻母清單【依字長反排序】 (2)'!$C83, 韻母對照表[台羅拼音]), 0)), "")</f>
        <v>ㄨㆤ</v>
      </c>
      <c r="J95" s="74">
        <f t="shared" si="9"/>
        <v>1</v>
      </c>
      <c r="K95" s="74"/>
      <c r="L95" s="58" t="str">
        <f t="shared" si="10"/>
        <v>e</v>
      </c>
      <c r="M95" s="58" t="str">
        <f t="shared" si="11"/>
        <v>e</v>
      </c>
      <c r="O95" s="122" t="str">
        <f t="shared" si="12"/>
        <v>e(\d)</v>
      </c>
      <c r="P95" s="125" t="s">
        <v>1181</v>
      </c>
      <c r="Q95" s="125">
        <f t="shared" si="13"/>
        <v>1</v>
      </c>
      <c r="R95" s="122" t="str">
        <f t="shared" si="16"/>
        <v>》e${1}</v>
      </c>
      <c r="S95" s="56"/>
      <c r="T95" s="57" t="str">
        <f t="shared" si="14"/>
        <v xml:space="preserve">    - xform/》e(\d)/》e${1}/</v>
      </c>
    </row>
    <row r="96" spans="1:20" ht="27.75" thickBot="1">
      <c r="A96" s="58">
        <f t="shared" si="8"/>
        <v>94</v>
      </c>
      <c r="B96" s="58" t="s">
        <v>324</v>
      </c>
      <c r="C96" s="58" t="s">
        <v>324</v>
      </c>
      <c r="D96" s="58" t="s">
        <v>324</v>
      </c>
      <c r="E96" s="58" t="str" cm="1">
        <f t="array" ref="E96" xml:space="preserve"> IFERROR( INDEX(韻母對照表[注音二式], MATCH(TRUE, EXACT('台語音標韻母清單【依字長反排序】 (2)'!$C84, 韻母對照表[台羅拼音]), 0)), "")</f>
        <v>uh</v>
      </c>
      <c r="F96" s="58" t="s">
        <v>324</v>
      </c>
      <c r="G96" s="61" t="str" cm="1">
        <f t="array" ref="G96" xml:space="preserve"> IFERROR( INDEX(韻母對照表[白話字], MATCH(TRUE, EXACT('台語音標韻母清單【依字長反排序】 (2)'!$C84, 韻母對照表[台羅拼音]), 0)), "")</f>
        <v>uh</v>
      </c>
      <c r="H96" s="55" t="str" cm="1">
        <f t="array" ref="H96" xml:space="preserve"> IFERROR( INDEX(韻母對照表[十五音識別碼], MATCH(TRUE, EXACT('台語音標韻母清單【依字長反排序】 (2)'!$C84, 韻母對照表[台羅拼音]), 0)), "")</f>
        <v>艍促</v>
      </c>
      <c r="I96" s="58" t="str" cm="1">
        <f t="array" ref="I96" xml:space="preserve"> IFERROR( INDEX(韻母對照表[方音符號], MATCH(TRUE, EXACT('台語音標韻母清單【依字長反排序】 (2)'!$C84, 韻母對照表[台羅拼音]), 0)), "")</f>
        <v>ㄨㆷ</v>
      </c>
      <c r="J96" s="74">
        <f t="shared" si="9"/>
        <v>1</v>
      </c>
      <c r="K96" s="74"/>
      <c r="L96" s="58" t="str">
        <f t="shared" si="10"/>
        <v>i</v>
      </c>
      <c r="M96" s="58" t="str">
        <f t="shared" si="11"/>
        <v>i</v>
      </c>
      <c r="O96" s="122" t="str">
        <f t="shared" si="12"/>
        <v>i(\d)</v>
      </c>
      <c r="P96" s="125" t="s">
        <v>1229</v>
      </c>
      <c r="Q96" s="125">
        <f t="shared" si="13"/>
        <v>1</v>
      </c>
      <c r="R96" s="122" t="str">
        <f t="shared" si="16"/>
        <v>》i${1}</v>
      </c>
      <c r="S96" s="56"/>
      <c r="T96" s="57" t="str">
        <f t="shared" si="14"/>
        <v xml:space="preserve">    - xform/》i(\d)/》i${1}/</v>
      </c>
    </row>
    <row r="97" spans="1:20" ht="27.75" thickBot="1">
      <c r="A97" s="58">
        <f t="shared" si="8"/>
        <v>95</v>
      </c>
      <c r="B97" s="58" t="s">
        <v>430</v>
      </c>
      <c r="C97" s="58" t="s">
        <v>432</v>
      </c>
      <c r="D97" s="58" t="s">
        <v>432</v>
      </c>
      <c r="E97" s="58" t="str" cm="1">
        <f t="array" ref="E97" xml:space="preserve"> IFERROR( INDEX(韻母對照表[注音二式], MATCH(TRUE, EXACT('台語音標韻母清單【依字長反排序】 (2)'!$C85, 韻母對照表[台羅拼音]), 0)), "")</f>
        <v>ui</v>
      </c>
      <c r="F97" s="58" t="s">
        <v>432</v>
      </c>
      <c r="G97" s="61" t="str" cm="1">
        <f t="array" ref="G97" xml:space="preserve"> IFERROR( INDEX(韻母對照表[白話字], MATCH(TRUE, EXACT('台語音標韻母清單【依字長反排序】 (2)'!$C85, 韻母對照表[台羅拼音]), 0)), "")</f>
        <v>ui</v>
      </c>
      <c r="H97" s="55" t="str" cm="1">
        <f t="array" ref="H97" xml:space="preserve"> IFERROR( INDEX(韻母對照表[十五音識別碼], MATCH(TRUE, EXACT('台語音標韻母清單【依字長反排序】 (2)'!$C85, 韻母對照表[台羅拼音]), 0)), "")</f>
        <v>規舒</v>
      </c>
      <c r="I97" s="58" t="str" cm="1">
        <f t="array" ref="I97" xml:space="preserve"> IFERROR( INDEX(韻母對照表[方音符號], MATCH(TRUE, EXACT('台語音標韻母清單【依字長反排序】 (2)'!$C85, 韻母對照表[台羅拼音]), 0)), "")</f>
        <v>ㄨㄧ</v>
      </c>
      <c r="J97" s="74">
        <f t="shared" si="9"/>
        <v>1</v>
      </c>
      <c r="K97" s="74"/>
      <c r="L97" s="58" t="str">
        <f t="shared" si="10"/>
        <v>m</v>
      </c>
      <c r="M97" s="58" t="str">
        <f t="shared" si="11"/>
        <v>m</v>
      </c>
      <c r="O97" s="122" t="str">
        <f t="shared" si="12"/>
        <v>m(\d)</v>
      </c>
      <c r="P97" s="125" t="s">
        <v>1306</v>
      </c>
      <c r="Q97" s="125">
        <f t="shared" si="13"/>
        <v>1</v>
      </c>
      <c r="R97" s="122" t="str">
        <f t="shared" si="16"/>
        <v>》m${1}</v>
      </c>
      <c r="S97" s="56"/>
      <c r="T97" s="57" t="str">
        <f t="shared" si="14"/>
        <v xml:space="preserve">    - xform/》m(\d)/》m${1}/</v>
      </c>
    </row>
    <row r="98" spans="1:20" ht="27.75" thickBot="1">
      <c r="A98" s="58">
        <f t="shared" si="8"/>
        <v>96</v>
      </c>
      <c r="B98" s="58" t="s">
        <v>171</v>
      </c>
      <c r="C98" s="58" t="s">
        <v>171</v>
      </c>
      <c r="D98" s="58" t="s">
        <v>171</v>
      </c>
      <c r="E98" s="58" t="str" cm="1">
        <f t="array" ref="E98" xml:space="preserve"> IFERROR( INDEX(韻母對照表[注音二式], MATCH(TRUE, EXACT('台語音標韻母清單【依字長反排序】 (2)'!$C86, 韻母對照表[台羅拼音]), 0)), "")</f>
        <v>un</v>
      </c>
      <c r="F98" s="58" t="s">
        <v>171</v>
      </c>
      <c r="G98" s="61" t="str" cm="1">
        <f t="array" ref="G98" xml:space="preserve"> IFERROR( INDEX(韻母對照表[白話字], MATCH(TRUE, EXACT('台語音標韻母清單【依字長反排序】 (2)'!$C86, 韻母對照表[台羅拼音]), 0)), "")</f>
        <v>un</v>
      </c>
      <c r="H98" s="55" t="str" cm="1">
        <f t="array" ref="H98" xml:space="preserve"> IFERROR( INDEX(韻母對照表[十五音識別碼], MATCH(TRUE, EXACT('台語音標韻母清單【依字長反排序】 (2)'!$C86, 韻母對照表[台羅拼音]), 0)), "")</f>
        <v>君舒</v>
      </c>
      <c r="I98" s="58" t="str" cm="1">
        <f t="array" ref="I98" xml:space="preserve"> IFERROR( INDEX(韻母對照表[方音符號], MATCH(TRUE, EXACT('台語音標韻母清單【依字長反排序】 (2)'!$C86, 韻母對照表[台羅拼音]), 0)), "")</f>
        <v>ㄨㄣ</v>
      </c>
      <c r="J98" s="74">
        <f t="shared" si="9"/>
        <v>1</v>
      </c>
      <c r="K98" s="74"/>
      <c r="L98" s="58" t="str">
        <f t="shared" si="10"/>
        <v>o</v>
      </c>
      <c r="M98" s="58" t="str">
        <f t="shared" si="11"/>
        <v>o</v>
      </c>
      <c r="O98" s="122" t="str">
        <f t="shared" si="12"/>
        <v>o(\d)</v>
      </c>
      <c r="P98" s="125" t="s">
        <v>1216</v>
      </c>
      <c r="Q98" s="125">
        <f t="shared" si="13"/>
        <v>1</v>
      </c>
      <c r="R98" s="122" t="str">
        <f t="shared" si="16"/>
        <v>》o${1}</v>
      </c>
      <c r="S98" s="56"/>
      <c r="T98" s="57" t="str">
        <f t="shared" si="14"/>
        <v xml:space="preserve">    - xform/》o(\d)/》o${1}/</v>
      </c>
    </row>
    <row r="99" spans="1:20" ht="27.75" thickBot="1">
      <c r="A99" s="58">
        <f t="shared" si="8"/>
        <v>97</v>
      </c>
      <c r="B99" s="58" t="s">
        <v>308</v>
      </c>
      <c r="C99" s="58" t="s">
        <v>308</v>
      </c>
      <c r="D99" s="58" t="s">
        <v>308</v>
      </c>
      <c r="E99" s="58" t="str" cm="1">
        <f t="array" ref="E99" xml:space="preserve"> IFERROR( INDEX(韻母對照表[注音二式], MATCH(TRUE, EXACT('台語音標韻母清單【依字長反排序】 (2)'!$C87, 韻母對照表[台羅拼音]), 0)), "")</f>
        <v>ut</v>
      </c>
      <c r="F99" s="58" t="s">
        <v>308</v>
      </c>
      <c r="G99" s="61" t="str" cm="1">
        <f t="array" ref="G99" xml:space="preserve"> IFERROR( INDEX(韻母對照表[白話字], MATCH(TRUE, EXACT('台語音標韻母清單【依字長反排序】 (2)'!$C87, 韻母對照表[台羅拼音]), 0)), "")</f>
        <v>ut</v>
      </c>
      <c r="H99" s="55" t="str" cm="1">
        <f t="array" ref="H99" xml:space="preserve"> IFERROR( INDEX(韻母對照表[十五音識別碼], MATCH(TRUE, EXACT('台語音標韻母清單【依字長反排序】 (2)'!$C87, 韻母對照表[台羅拼音]), 0)), "")</f>
        <v>君促</v>
      </c>
      <c r="I99" s="58" t="str" cm="1">
        <f t="array" ref="I99" xml:space="preserve"> IFERROR( INDEX(韻母對照表[方音符號], MATCH(TRUE, EXACT('台語音標韻母清單【依字長反排序】 (2)'!$C87, 韻母對照表[台羅拼音]), 0)), "")</f>
        <v>ㄨㆵ</v>
      </c>
      <c r="J99" s="74">
        <f t="shared" si="9"/>
        <v>1</v>
      </c>
      <c r="K99" s="74"/>
      <c r="L99" s="58" t="str">
        <f t="shared" si="10"/>
        <v>u</v>
      </c>
      <c r="M99" s="58" t="str">
        <f t="shared" si="11"/>
        <v>u</v>
      </c>
      <c r="O99" s="122" t="str">
        <f t="shared" si="12"/>
        <v>u(\d)</v>
      </c>
      <c r="P99" s="125" t="s">
        <v>1227</v>
      </c>
      <c r="Q99" s="125">
        <f t="shared" si="13"/>
        <v>1</v>
      </c>
      <c r="R99" s="122" t="str">
        <f t="shared" si="16"/>
        <v>》u${1}</v>
      </c>
      <c r="S99" s="56"/>
      <c r="T99" s="57" t="str">
        <f t="shared" si="14"/>
        <v xml:space="preserve">    - xform/》u(\d)/》u${1}/</v>
      </c>
    </row>
    <row r="103" spans="1:20">
      <c r="F103" s="52">
        <f xml:space="preserve"> _xlfn.UNICODE( RIGHT(G103,1) )</f>
        <v>856</v>
      </c>
      <c r="G103" s="52" t="s">
        <v>137</v>
      </c>
    </row>
    <row r="104" spans="1:20">
      <c r="F104" s="52" t="str">
        <f xml:space="preserve"> _xlfn.CONCAT("o", _xlfn.UNICHAR(F103))</f>
        <v>o͘</v>
      </c>
    </row>
  </sheetData>
  <autoFilter ref="B3:K99" xr:uid="{1D918839-8279-4205-A1C9-3667D2078600}"/>
  <phoneticPr fontId="4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" activePane="bottomLeft" state="frozen"/>
      <selection pane="bottomLeft" activeCell="H104" sqref="H104"/>
    </sheetView>
  </sheetViews>
  <sheetFormatPr defaultRowHeight="16.5"/>
  <cols>
    <col min="1" max="1" width="5.58203125" style="52" customWidth="1"/>
    <col min="2" max="10" width="10.25" style="52" customWidth="1"/>
    <col min="11" max="12" width="10.08203125" style="52" customWidth="1"/>
    <col min="13" max="13" width="10.25" style="52" customWidth="1"/>
    <col min="14" max="14" width="20.6640625" style="52" bestFit="1" customWidth="1"/>
    <col min="15" max="16384" width="8.6640625" style="52"/>
  </cols>
  <sheetData>
    <row r="1" spans="1:14" ht="46.5" customHeight="1" thickBot="1">
      <c r="A1" s="51"/>
      <c r="B1" s="51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1"/>
      <c r="H1" s="51"/>
      <c r="I1" s="51"/>
    </row>
    <row r="2" spans="1:14" ht="48.75" thickBot="1">
      <c r="A2" s="59" t="s">
        <v>898</v>
      </c>
      <c r="B2" s="59" t="s">
        <v>878</v>
      </c>
      <c r="C2" s="59" t="s">
        <v>759</v>
      </c>
      <c r="D2" s="59" t="s">
        <v>665</v>
      </c>
      <c r="E2" s="59" t="s">
        <v>876</v>
      </c>
      <c r="F2" s="59" t="s">
        <v>761</v>
      </c>
      <c r="G2" s="59" t="s">
        <v>873</v>
      </c>
      <c r="H2" s="59" t="s">
        <v>877</v>
      </c>
      <c r="I2" s="59" t="s">
        <v>760</v>
      </c>
      <c r="J2" s="54"/>
      <c r="K2" s="59" t="s">
        <v>876</v>
      </c>
      <c r="L2" s="53" t="s">
        <v>665</v>
      </c>
      <c r="M2" s="54"/>
    </row>
    <row r="3" spans="1:14" ht="27.75" thickBot="1">
      <c r="A3" s="58">
        <f xml:space="preserve"> ROW() -2</f>
        <v>1</v>
      </c>
      <c r="B3" s="75" t="str" cm="1">
        <f t="array" ref="B3" xml:space="preserve"> IFERROR( INDEX(韻母對照表[國際音標], MATCH(TRUE, EXACT(韻母轉換規則!$C3, 韻母對照表[台羅拼音]), 0)), "")</f>
        <v>iãuʔ</v>
      </c>
      <c r="C3" s="58" t="s">
        <v>472</v>
      </c>
      <c r="D3" s="58" t="s">
        <v>472</v>
      </c>
      <c r="E3" s="58" t="str" cm="1">
        <f t="array" ref="E3" xml:space="preserve"> IFERROR( INDEX(韻母對照表[注音二式], MATCH(TRUE, EXACT(韻母轉換規則!$C3, 韻母對照表[台羅拼音]), 0)), "")</f>
        <v>iaunnh</v>
      </c>
      <c r="F3" s="58" t="s">
        <v>780</v>
      </c>
      <c r="G3" s="62" t="str" cm="1">
        <f t="array" ref="G3" xml:space="preserve"> IFERROR( INDEX(韻母對照表[白話字], MATCH(TRUE, EXACT(韻母轉換規則!$C3, 韻母對照表[台羅拼音]), 0)), "")</f>
        <v>iauhⁿ</v>
      </c>
      <c r="H3" s="55" t="str" cm="1">
        <f t="array" ref="H3" xml:space="preserve"> IFERROR( INDEX(韻母對照表[十五音識別碼], MATCH(TRUE, EXACT(韻母轉換規則!$C3, 韻母對照表[台羅拼音]), 0)), "")</f>
        <v>嘄促</v>
      </c>
      <c r="I3" s="58" t="str" cm="1">
        <f t="array" ref="I3" xml:space="preserve"> IFERROR( INDEX(韻母對照表[方音符號], MATCH(TRUE, EXACT(韻母轉換規則!$C3, 韻母對照表[台羅拼音]), 0)), "")</f>
        <v>ㄧㆯㆷ</v>
      </c>
      <c r="J3" s="74"/>
      <c r="K3" s="58" t="str">
        <f t="shared" ref="K3:K34" si="0">E3</f>
        <v>iaunnh</v>
      </c>
      <c r="L3" s="58" t="str">
        <f>D3</f>
        <v>iaunnh</v>
      </c>
      <c r="M3" s="56"/>
      <c r="N3" s="57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58">
        <f t="shared" ref="A4:A67" si="2" xml:space="preserve"> ROW() -2</f>
        <v>2</v>
      </c>
      <c r="B4" s="75" t="str" cm="1">
        <f t="array" ref="B4" xml:space="preserve"> IFERROR( INDEX(韻母對照表[國際音標], MATCH(TRUE, EXACT(韻母轉換規則!$C4, 韻母對照表[台羅拼音]), 0)), "")</f>
        <v>uãiʔ</v>
      </c>
      <c r="C4" s="58" t="s">
        <v>455</v>
      </c>
      <c r="D4" s="58" t="s">
        <v>455</v>
      </c>
      <c r="E4" s="58" t="str" cm="1">
        <f t="array" ref="E4" xml:space="preserve"> IFERROR( INDEX(韻母對照表[注音二式], MATCH(TRUE, EXACT(韻母轉換規則!$C4, 韻母對照表[台羅拼音]), 0)), "")</f>
        <v>uainnh</v>
      </c>
      <c r="F4" s="58" t="s">
        <v>781</v>
      </c>
      <c r="G4" s="62" t="str" cm="1">
        <f t="array" ref="G4" xml:space="preserve"> IFERROR( INDEX(韻母對照表[白話字], MATCH(TRUE, EXACT(韻母轉換規則!$C4, 韻母對照表[台羅拼音]), 0)), "")</f>
        <v>oaihⁿ</v>
      </c>
      <c r="H4" s="55" t="str" cm="1">
        <f t="array" ref="H4" xml:space="preserve"> IFERROR( INDEX(韻母對照表[十五音識別碼], MATCH(TRUE, EXACT(韻母轉換規則!$C4, 韻母對照表[台羅拼音]), 0)), "")</f>
        <v>閂促</v>
      </c>
      <c r="I4" s="58" t="str" cm="1">
        <f t="array" ref="I4" xml:space="preserve"> IFERROR( INDEX(韻母對照表[方音符號], MATCH(TRUE, EXACT(韻母轉換規則!$C4, 韻母對照表[台羅拼音]), 0)), "")</f>
        <v>ㄨㆮㆷ</v>
      </c>
      <c r="J4" s="74"/>
      <c r="K4" s="58" t="str">
        <f t="shared" si="0"/>
        <v>uainnh</v>
      </c>
      <c r="L4" s="58" t="str">
        <f t="shared" ref="L4:L33" si="3">D4</f>
        <v>uainnh</v>
      </c>
      <c r="M4" s="56"/>
      <c r="N4" s="57" t="str">
        <f t="shared" si="1"/>
        <v>xform/uainnh/uainnh/</v>
      </c>
    </row>
    <row r="5" spans="1:14" ht="27.75" thickBot="1">
      <c r="A5" s="58">
        <f t="shared" si="2"/>
        <v>3</v>
      </c>
      <c r="B5" s="58" t="s">
        <v>782</v>
      </c>
      <c r="C5" s="58" t="s">
        <v>203</v>
      </c>
      <c r="D5" s="58" t="s">
        <v>203</v>
      </c>
      <c r="E5" s="58" t="str" cm="1">
        <f t="array" ref="E5" xml:space="preserve"> IFERROR( INDEX(韻母對照表[注音二式], MATCH(TRUE, EXACT(韻母轉換規則!$C5, 韻母對照表[台羅拼音]), 0)), "")</f>
        <v>iang</v>
      </c>
      <c r="F5" s="58" t="s">
        <v>783</v>
      </c>
      <c r="G5" s="61" t="str" cm="1">
        <f t="array" ref="G5" xml:space="preserve"> IFERROR( INDEX(韻母對照表[白話字], MATCH(TRUE, EXACT(韻母轉換規則!$C5, 韻母對照表[台羅拼音]), 0)), "")</f>
        <v>iang</v>
      </c>
      <c r="H5" s="55" t="str" cm="1">
        <f t="array" ref="H5" xml:space="preserve"> IFERROR( INDEX(韻母對照表[十五音識別碼], MATCH(TRUE, EXACT(韻母轉換規則!$C5, 韻母對照表[台羅拼音]), 0)), "")</f>
        <v>姜舒</v>
      </c>
      <c r="I5" s="58" t="str" cm="1">
        <f t="array" ref="I5" xml:space="preserve"> IFERROR( INDEX(韻母對照表[方音符號], MATCH(TRUE, EXACT(韻母轉換規則!$C5, 韻母對照表[台羅拼音]), 0)), "")</f>
        <v>ㄧㄤ</v>
      </c>
      <c r="J5" s="74"/>
      <c r="K5" s="58" t="str">
        <f t="shared" si="0"/>
        <v>iang</v>
      </c>
      <c r="L5" s="58" t="str">
        <f t="shared" si="3"/>
        <v>iang</v>
      </c>
      <c r="M5" s="56"/>
      <c r="N5" s="57" t="str">
        <f t="shared" si="1"/>
        <v>xform/iang/iang/</v>
      </c>
    </row>
    <row r="6" spans="1:14" ht="27.75" thickBot="1">
      <c r="A6" s="58">
        <f t="shared" si="2"/>
        <v>4</v>
      </c>
      <c r="B6" s="58" t="s">
        <v>784</v>
      </c>
      <c r="C6" s="58" t="s">
        <v>148</v>
      </c>
      <c r="D6" s="58" t="s">
        <v>148</v>
      </c>
      <c r="E6" s="58" t="str" cm="1">
        <f t="array" ref="E6" xml:space="preserve"> IFERROR( INDEX(韻母對照表[注音二式], MATCH(TRUE, EXACT(韻母轉換規則!$C6, 韻母對照表[台羅拼音]), 0)), "")</f>
        <v>iauh</v>
      </c>
      <c r="F6" s="58" t="s">
        <v>149</v>
      </c>
      <c r="G6" s="60" t="str" cm="1">
        <f t="array" ref="G6" xml:space="preserve"> IFERROR( INDEX(韻母對照表[白話字], MATCH(TRUE, EXACT(韻母轉換規則!$C6, 韻母對照表[台羅拼音]), 0)), "")</f>
        <v>iauh</v>
      </c>
      <c r="H6" s="55" t="str" cm="1">
        <f t="array" ref="H6" xml:space="preserve"> IFERROR( INDEX(韻母對照表[十五音識別碼], MATCH(TRUE, EXACT(韻母轉換規則!$C6, 韻母對照表[台羅拼音]), 0)), "")</f>
        <v>嬌促</v>
      </c>
      <c r="I6" s="58" t="str" cm="1">
        <f t="array" ref="I6" xml:space="preserve"> IFERROR( INDEX(韻母對照表[方音符號], MATCH(TRUE, EXACT(韻母轉換規則!$C6, 韻母對照表[台羅拼音]), 0)), "")</f>
        <v>ㄧㄠㆷ</v>
      </c>
      <c r="J6" s="74"/>
      <c r="K6" s="58" t="str">
        <f t="shared" si="0"/>
        <v>iauh</v>
      </c>
      <c r="L6" s="58" t="str">
        <f t="shared" si="3"/>
        <v>iauh</v>
      </c>
      <c r="M6" s="56"/>
      <c r="N6" s="57" t="str">
        <f t="shared" si="1"/>
        <v>xform/iauh/iauh/</v>
      </c>
    </row>
    <row r="7" spans="1:14" ht="27.75" thickBot="1">
      <c r="A7" s="58">
        <f t="shared" si="2"/>
        <v>5</v>
      </c>
      <c r="B7" s="58" t="s">
        <v>159</v>
      </c>
      <c r="C7" s="58" t="s">
        <v>162</v>
      </c>
      <c r="D7" s="58" t="s">
        <v>162</v>
      </c>
      <c r="E7" s="58" t="str" cm="1">
        <f t="array" ref="E7" xml:space="preserve"> IFERROR( INDEX(韻母對照表[注音二式], MATCH(TRUE, EXACT(韻母轉換規則!$C7, 韻母對照表[台羅拼音]), 0)), "")</f>
        <v>iong</v>
      </c>
      <c r="F7" s="58" t="s">
        <v>785</v>
      </c>
      <c r="G7" s="61" t="str" cm="1">
        <f t="array" ref="G7" xml:space="preserve"> IFERROR( INDEX(韻母對照表[白話字], MATCH(TRUE, EXACT(韻母轉換規則!$C7, 韻母對照表[台羅拼音]), 0)), "")</f>
        <v>iong</v>
      </c>
      <c r="H7" s="55" t="str" cm="1">
        <f t="array" ref="H7" xml:space="preserve"> IFERROR( INDEX(韻母對照表[十五音識別碼], MATCH(TRUE, EXACT(韻母轉換規則!$C7, 韻母對照表[台羅拼音]), 0)), "")</f>
        <v>恭舒</v>
      </c>
      <c r="I7" s="58" t="str" cm="1">
        <f t="array" ref="I7" xml:space="preserve"> IFERROR( INDEX(韻母對照表[方音符號], MATCH(TRUE, EXACT(韻母轉換規則!$C7, 韻母對照表[台羅拼音]), 0)), "")</f>
        <v>ㄧㆲ</v>
      </c>
      <c r="J7" s="74"/>
      <c r="K7" s="58" t="str">
        <f t="shared" si="0"/>
        <v>iong</v>
      </c>
      <c r="L7" s="58" t="str">
        <f t="shared" si="3"/>
        <v>iong</v>
      </c>
      <c r="M7" s="56"/>
      <c r="N7" s="57" t="str">
        <f t="shared" si="1"/>
        <v>xform/iong/iong/</v>
      </c>
    </row>
    <row r="8" spans="1:14" ht="27.75" thickBot="1">
      <c r="A8" s="58">
        <f t="shared" si="2"/>
        <v>6</v>
      </c>
      <c r="B8" s="75" t="s">
        <v>786</v>
      </c>
      <c r="C8" s="58" t="s">
        <v>346</v>
      </c>
      <c r="D8" s="58" t="s">
        <v>346</v>
      </c>
      <c r="E8" s="58" t="str" cm="1">
        <f t="array" ref="E8" xml:space="preserve"> IFERROR( INDEX(韻母對照表[注音二式], MATCH(TRUE, EXACT(韻母轉換規則!$C8, 韻母對照表[台羅拼音]), 0)), "")</f>
        <v/>
      </c>
      <c r="F8" s="58" t="s">
        <v>787</v>
      </c>
      <c r="G8" s="73" t="str" cm="1">
        <f t="array" ref="G8" xml:space="preserve"> IFERROR( INDEX(韻母對照表[白話字], MATCH(TRUE, EXACT(韻母轉換規則!$C8, 韻母對照表[台羅拼音]), 0)), "")</f>
        <v/>
      </c>
      <c r="H8" s="55" t="str" cm="1">
        <f t="array" ref="H8" xml:space="preserve"> IFERROR( INDEX(韻母對照表[十五音識別碼], MATCH(TRUE, EXACT(韻母轉換規則!$C8, 韻母對照表[台羅拼音]), 0)), "")</f>
        <v/>
      </c>
      <c r="I8" s="58" t="str" cm="1">
        <f t="array" ref="I8" xml:space="preserve"> IFERROR( INDEX(韻母對照表[方音符號], MATCH(TRUE, EXACT(韻母轉換規則!$C8, 韻母對照表[台羅拼音]), 0)), "")</f>
        <v/>
      </c>
      <c r="J8" s="74"/>
      <c r="K8" s="58" t="str">
        <f t="shared" si="0"/>
        <v/>
      </c>
      <c r="L8" s="58" t="str">
        <f t="shared" si="3"/>
        <v>ennh</v>
      </c>
      <c r="M8" s="56"/>
      <c r="N8" s="57" t="str">
        <f t="shared" si="1"/>
        <v/>
      </c>
    </row>
    <row r="9" spans="1:14" ht="27.75" thickBot="1">
      <c r="A9" s="58">
        <f t="shared" si="2"/>
        <v>7</v>
      </c>
      <c r="B9" s="75" t="s">
        <v>788</v>
      </c>
      <c r="C9" s="58" t="s">
        <v>789</v>
      </c>
      <c r="D9" s="58" t="s">
        <v>789</v>
      </c>
      <c r="E9" s="76" t="str" cm="1">
        <f t="array" ref="E9" xml:space="preserve"> IFERROR( INDEX(韻母對照表[注音二式], MATCH(TRUE, EXACT(韻母轉換規則!$C9, 韻母對照表[台羅拼音]), 0)), "")</f>
        <v/>
      </c>
      <c r="F9" s="58" t="s">
        <v>790</v>
      </c>
      <c r="G9" s="62" t="str" cm="1">
        <f t="array" ref="G9" xml:space="preserve"> IFERROR( INDEX(韻母對照表[白話字], MATCH(TRUE, EXACT(韻母轉換規則!$C9, 韻母對照表[台羅拼音]), 0)), "")</f>
        <v/>
      </c>
      <c r="H9" s="55" t="str" cm="1">
        <f t="array" ref="H9" xml:space="preserve"> IFERROR( INDEX(韻母對照表[十五音識別碼], MATCH(TRUE, EXACT(韻母轉換規則!$C9, 韻母對照表[台羅拼音]), 0)), "")</f>
        <v/>
      </c>
      <c r="I9" s="58" t="str" cm="1">
        <f t="array" ref="I9" xml:space="preserve"> IFERROR( INDEX(韻母對照表[方音符號], MATCH(TRUE, EXACT(韻母轉換規則!$C9, 韻母對照表[台羅拼音]), 0)), "")</f>
        <v/>
      </c>
      <c r="J9" s="74"/>
      <c r="K9" s="58" t="str">
        <f t="shared" si="0"/>
        <v/>
      </c>
      <c r="L9" s="58" t="str">
        <f t="shared" si="3"/>
        <v>aunnh</v>
      </c>
      <c r="M9" s="56"/>
      <c r="N9" s="57" t="str">
        <f t="shared" si="1"/>
        <v/>
      </c>
    </row>
    <row r="10" spans="1:14" ht="27.75" thickBot="1">
      <c r="A10" s="58">
        <f t="shared" si="2"/>
        <v>8</v>
      </c>
      <c r="B10" s="75" t="s">
        <v>791</v>
      </c>
      <c r="C10" s="58" t="s">
        <v>392</v>
      </c>
      <c r="D10" s="58" t="s">
        <v>392</v>
      </c>
      <c r="E10" s="76" t="str" cm="1">
        <f t="array" ref="E10" xml:space="preserve"> IFERROR( INDEX(韻母對照表[注音二式], MATCH(TRUE, EXACT(韻母轉換規則!$C10, 韻母對照表[台羅拼音]), 0)), "")</f>
        <v/>
      </c>
      <c r="F10" s="58" t="s">
        <v>792</v>
      </c>
      <c r="G10" s="73" t="str" cm="1">
        <f t="array" ref="G10" xml:space="preserve"> IFERROR( INDEX(韻母對照表[白話字], MATCH(TRUE, EXACT(韻母轉換規則!$C10, 韻母對照表[台羅拼音]), 0)), "")</f>
        <v/>
      </c>
      <c r="H10" s="55" t="str" cm="1">
        <f t="array" ref="H10" xml:space="preserve"> IFERROR( INDEX(韻母對照表[十五音識別碼], MATCH(TRUE, EXACT(韻母轉換規則!$C10, 韻母對照表[台羅拼音]), 0)), "")</f>
        <v/>
      </c>
      <c r="I10" s="58" t="str" cm="1">
        <f t="array" ref="I10" xml:space="preserve"> IFERROR( INDEX(韻母對照表[方音符號], MATCH(TRUE, EXACT(韻母轉換規則!$C10, 韻母對照表[台羅拼音]), 0)), "")</f>
        <v/>
      </c>
      <c r="J10" s="74"/>
      <c r="K10" s="58" t="str">
        <f t="shared" si="0"/>
        <v/>
      </c>
      <c r="L10" s="58" t="str">
        <f t="shared" si="3"/>
        <v>iannh</v>
      </c>
      <c r="M10" s="56"/>
      <c r="N10" s="57" t="str">
        <f t="shared" si="1"/>
        <v/>
      </c>
    </row>
    <row r="11" spans="1:14" ht="27.75" thickBot="1">
      <c r="A11" s="58">
        <f t="shared" si="2"/>
        <v>9</v>
      </c>
      <c r="B11" s="58" t="s">
        <v>141</v>
      </c>
      <c r="C11" s="58" t="s">
        <v>467</v>
      </c>
      <c r="D11" s="58" t="s">
        <v>467</v>
      </c>
      <c r="E11" s="58" t="str" cm="1">
        <f t="array" ref="E11" xml:space="preserve"> IFERROR( INDEX(韻母對照表[注音二式], MATCH(TRUE, EXACT(韻母轉換規則!$C11, 韻母對照表[台羅拼音]), 0)), "")</f>
        <v>iaunn</v>
      </c>
      <c r="F11" s="58" t="s">
        <v>793</v>
      </c>
      <c r="G11" s="60" t="str" cm="1">
        <f t="array" ref="G11" xml:space="preserve"> IFERROR( INDEX(韻母對照表[白話字], MATCH(TRUE, EXACT(韻母轉換規則!$C11, 韻母對照表[台羅拼音]), 0)), "")</f>
        <v>iauⁿ</v>
      </c>
      <c r="H11" s="55" t="str" cm="1">
        <f t="array" ref="H11" xml:space="preserve"> IFERROR( INDEX(韻母對照表[十五音識別碼], MATCH(TRUE, EXACT(韻母轉換規則!$C11, 韻母對照表[台羅拼音]), 0)), "")</f>
        <v>嘄舒</v>
      </c>
      <c r="I11" s="58" t="str" cm="1">
        <f t="array" ref="I11" xml:space="preserve"> IFERROR( INDEX(韻母對照表[方音符號], MATCH(TRUE, EXACT(韻母轉換規則!$C11, 韻母對照表[台羅拼音]), 0)), "")</f>
        <v>ㄧㆯ</v>
      </c>
      <c r="J11" s="74"/>
      <c r="K11" s="58" t="str">
        <f t="shared" si="0"/>
        <v>iaunn</v>
      </c>
      <c r="L11" s="58" t="str">
        <f t="shared" si="3"/>
        <v>iaunn</v>
      </c>
      <c r="M11" s="56"/>
      <c r="N11" s="57" t="str">
        <f t="shared" si="1"/>
        <v>xform/iaunn/iaunn/</v>
      </c>
    </row>
    <row r="12" spans="1:14" ht="27.75" thickBot="1">
      <c r="A12" s="58">
        <f t="shared" si="2"/>
        <v>10</v>
      </c>
      <c r="B12" s="75" t="str" cm="1">
        <f t="array" ref="B12" xml:space="preserve"> IFERROR( INDEX(韻母對照表[國際音標], MATCH(TRUE, EXACT(韻母轉換規則!$C12, 韻母對照表[台羅拼音]), 0)), "")</f>
        <v>ɔ̃ʔ</v>
      </c>
      <c r="C12" s="58" t="s">
        <v>501</v>
      </c>
      <c r="D12" s="58" t="s">
        <v>501</v>
      </c>
      <c r="E12" s="76" t="str" cm="1">
        <f t="array" ref="E12" xml:space="preserve"> IFERROR( INDEX(韻母對照表[注音二式], MATCH(TRUE, EXACT(韻母轉換規則!$C12, 韻母對照表[台羅拼音]), 0)), "")</f>
        <v>onnh</v>
      </c>
      <c r="F12" s="58" t="s">
        <v>502</v>
      </c>
      <c r="G12" s="73" t="str" cm="1">
        <f t="array" ref="G12" xml:space="preserve"> IFERROR( INDEX(韻母對照表[白話字], MATCH(TRUE, EXACT(韻母轉換規則!$C12, 韻母對照表[台羅拼音]), 0)), "")</f>
        <v>ohⁿ</v>
      </c>
      <c r="H12" s="55" t="str" cm="1">
        <f t="array" ref="H12" xml:space="preserve"> IFERROR( INDEX(韻母對照表[十五音識別碼], MATCH(TRUE, EXACT(韻母轉換規則!$C12, 韻母對照表[台羅拼音]), 0)), "")</f>
        <v>扛促</v>
      </c>
      <c r="I12" s="58" t="str" cm="1">
        <f t="array" ref="I12" xml:space="preserve"> IFERROR( INDEX(韻母對照表[方音符號], MATCH(TRUE, EXACT(韻母轉換規則!$C12, 韻母對照表[台羅拼音]), 0)), "")</f>
        <v>ㆧㆷ</v>
      </c>
      <c r="J12" s="74"/>
      <c r="K12" s="58" t="str">
        <f t="shared" si="0"/>
        <v>onnh</v>
      </c>
      <c r="L12" s="58" t="str">
        <f t="shared" si="3"/>
        <v>onnh</v>
      </c>
      <c r="M12" s="56"/>
      <c r="N12" s="57" t="str">
        <f t="shared" si="1"/>
        <v>xform/onnh/onnh/</v>
      </c>
    </row>
    <row r="13" spans="1:14" ht="27.75" thickBot="1">
      <c r="A13" s="58">
        <f t="shared" si="2"/>
        <v>11</v>
      </c>
      <c r="B13" s="58" t="s">
        <v>894</v>
      </c>
      <c r="C13" s="58" t="s">
        <v>64</v>
      </c>
      <c r="D13" s="58" t="s">
        <v>64</v>
      </c>
      <c r="E13" s="58" t="str" cm="1">
        <f t="array" ref="E13" xml:space="preserve"> IFERROR( INDEX(韻母對照表[注音二式], MATCH(TRUE, EXACT(韻母轉換規則!$C13, 韻母對照表[台羅拼音]), 0)), "")</f>
        <v>eh</v>
      </c>
      <c r="F13" s="58" t="s">
        <v>795</v>
      </c>
      <c r="G13" s="62"/>
      <c r="H13" s="55" t="str" cm="1">
        <f t="array" ref="H13" xml:space="preserve"> IFERROR( INDEX(韻母對照表[十五音識別碼], MATCH(TRUE, EXACT(韻母轉換規則!$C13, 韻母對照表[台羅拼音]), 0)), "")</f>
        <v>嘉促</v>
      </c>
      <c r="I13" s="58" t="str" cm="1">
        <f t="array" ref="I13" xml:space="preserve"> IFERROR( INDEX(韻母對照表[方音符號], MATCH(TRUE, EXACT(韻母轉換規則!$C13, 韻母對照表[台羅拼音]), 0)), "")</f>
        <v>ㄝㆷ</v>
      </c>
      <c r="J13" s="74"/>
      <c r="K13" s="58" t="str">
        <f t="shared" si="0"/>
        <v>eh</v>
      </c>
      <c r="L13" s="58" t="str">
        <f t="shared" si="3"/>
        <v>eeh</v>
      </c>
      <c r="M13" s="56"/>
      <c r="N13" s="57" t="str">
        <f t="shared" si="1"/>
        <v>xform/eh/eeh/</v>
      </c>
    </row>
    <row r="14" spans="1:14" ht="27.75" thickBot="1">
      <c r="A14" s="58">
        <f t="shared" si="2"/>
        <v>12</v>
      </c>
      <c r="B14" s="58" t="s">
        <v>796</v>
      </c>
      <c r="C14" s="58" t="s">
        <v>237</v>
      </c>
      <c r="D14" s="58" t="s">
        <v>237</v>
      </c>
      <c r="E14" s="58" t="str" cm="1">
        <f t="array" ref="E14" xml:space="preserve"> IFERROR( INDEX(韻母對照表[注音二式], MATCH(TRUE, EXACT(韻母轉換規則!$C14, 韻母對照表[台羅拼音]), 0)), "")</f>
        <v>ang</v>
      </c>
      <c r="F14" s="58" t="s">
        <v>797</v>
      </c>
      <c r="G14" s="61" t="str" cm="1">
        <f t="array" ref="G14" xml:space="preserve"> IFERROR( INDEX(韻母對照表[白話字], MATCH(TRUE, EXACT(韻母轉換規則!$C14, 韻母對照表[台羅拼音]), 0)), "")</f>
        <v>ang</v>
      </c>
      <c r="H14" s="55" t="str" cm="1">
        <f t="array" ref="H14" xml:space="preserve"> IFERROR( INDEX(韻母對照表[十五音識別碼], MATCH(TRUE, EXACT(韻母轉換規則!$C14, 韻母對照表[台羅拼音]), 0)), "")</f>
        <v>江舒</v>
      </c>
      <c r="I14" s="58" t="str" cm="1">
        <f t="array" ref="I14" xml:space="preserve"> IFERROR( INDEX(韻母對照表[方音符號], MATCH(TRUE, EXACT(韻母轉換規則!$C14, 韻母對照表[台羅拼音]), 0)), "")</f>
        <v>ㄤ</v>
      </c>
      <c r="J14" s="74"/>
      <c r="K14" s="58" t="str">
        <f t="shared" si="0"/>
        <v>ang</v>
      </c>
      <c r="L14" s="58" t="str">
        <f t="shared" si="3"/>
        <v>ang</v>
      </c>
      <c r="M14" s="56"/>
      <c r="N14" s="57" t="str">
        <f t="shared" si="1"/>
        <v>xform/ang/ang/</v>
      </c>
    </row>
    <row r="15" spans="1:14" ht="27.75" thickBot="1">
      <c r="A15" s="58">
        <f t="shared" si="2"/>
        <v>13</v>
      </c>
      <c r="B15" s="58" t="s">
        <v>798</v>
      </c>
      <c r="C15" s="58" t="s">
        <v>267</v>
      </c>
      <c r="D15" s="58" t="s">
        <v>267</v>
      </c>
      <c r="E15" s="58" t="str" cm="1">
        <f t="array" ref="E15" xml:space="preserve"> IFERROR( INDEX(韻母對照表[注音二式], MATCH(TRUE, EXACT(韻母轉換規則!$C15, 韻母對照表[台羅拼音]), 0)), "")</f>
        <v>auh</v>
      </c>
      <c r="F15" s="58" t="s">
        <v>799</v>
      </c>
      <c r="G15" s="61" t="str" cm="1">
        <f t="array" ref="G15" xml:space="preserve"> IFERROR( INDEX(韻母對照表[白話字], MATCH(TRUE, EXACT(韻母轉換規則!$C15, 韻母對照表[台羅拼音]), 0)), "")</f>
        <v>auh</v>
      </c>
      <c r="H15" s="55" t="str" cm="1">
        <f t="array" ref="H15" xml:space="preserve"> IFERROR( INDEX(韻母對照表[十五音識別碼], MATCH(TRUE, EXACT(韻母轉換規則!$C15, 韻母對照表[台羅拼音]), 0)), "")</f>
        <v>交促</v>
      </c>
      <c r="I15" s="58" t="str" cm="1">
        <f t="array" ref="I15" xml:space="preserve"> IFERROR( INDEX(韻母對照表[方音符號], MATCH(TRUE, EXACT(韻母轉換規則!$C15, 韻母對照表[台羅拼音]), 0)), "")</f>
        <v>ㄠㆷ</v>
      </c>
      <c r="J15" s="74"/>
      <c r="K15" s="58" t="str">
        <f t="shared" si="0"/>
        <v>auh</v>
      </c>
      <c r="L15" s="58" t="str">
        <f t="shared" si="3"/>
        <v>auh</v>
      </c>
      <c r="M15" s="56"/>
      <c r="N15" s="57" t="str">
        <f t="shared" si="1"/>
        <v>xform/auh/auh/</v>
      </c>
    </row>
    <row r="16" spans="1:14" ht="27.75" thickBot="1">
      <c r="A16" s="58">
        <f t="shared" si="2"/>
        <v>14</v>
      </c>
      <c r="B16" s="58" t="s">
        <v>800</v>
      </c>
      <c r="C16" s="58" t="s">
        <v>278</v>
      </c>
      <c r="D16" s="58" t="s">
        <v>278</v>
      </c>
      <c r="E16" s="58" t="str" cm="1">
        <f t="array" ref="E16" xml:space="preserve"> IFERROR( INDEX(韻母對照表[注音二式], MATCH(TRUE, EXACT(韻母轉換規則!$C16, 韻母對照表[台羅拼音]), 0)), "")</f>
        <v>iah</v>
      </c>
      <c r="F16" s="58" t="s">
        <v>801</v>
      </c>
      <c r="G16" s="61" t="str" cm="1">
        <f t="array" ref="G16" xml:space="preserve"> IFERROR( INDEX(韻母對照表[白話字], MATCH(TRUE, EXACT(韻母轉換規則!$C16, 韻母對照表[台羅拼音]), 0)), "")</f>
        <v>iah</v>
      </c>
      <c r="H16" s="55" t="str" cm="1">
        <f t="array" ref="H16" xml:space="preserve"> IFERROR( INDEX(韻母對照表[十五音識別碼], MATCH(TRUE, EXACT(韻母轉換規則!$C16, 韻母對照表[台羅拼音]), 0)), "")</f>
        <v>迦促</v>
      </c>
      <c r="I16" s="58" t="str" cm="1">
        <f t="array" ref="I16" xml:space="preserve"> IFERROR( INDEX(韻母對照表[方音符號], MATCH(TRUE, EXACT(韻母轉換規則!$C16, 韻母對照表[台羅拼音]), 0)), "")</f>
        <v>ㄧㄚㆷ</v>
      </c>
      <c r="J16" s="74"/>
      <c r="K16" s="58" t="str">
        <f t="shared" si="0"/>
        <v>iah</v>
      </c>
      <c r="L16" s="58" t="str">
        <f t="shared" si="3"/>
        <v>iah</v>
      </c>
      <c r="M16" s="56"/>
      <c r="N16" s="57" t="str">
        <f t="shared" si="1"/>
        <v>xform/iah/iah/</v>
      </c>
    </row>
    <row r="17" spans="1:14" ht="27.75" thickBot="1">
      <c r="A17" s="58">
        <f t="shared" si="2"/>
        <v>15</v>
      </c>
      <c r="B17" s="58" t="s">
        <v>888</v>
      </c>
      <c r="C17" s="58" t="s">
        <v>207</v>
      </c>
      <c r="D17" s="58" t="s">
        <v>207</v>
      </c>
      <c r="E17" s="58" t="str" cm="1">
        <f t="array" ref="E17" xml:space="preserve"> IFERROR( INDEX(韻母對照表[注音二式], MATCH(TRUE, EXACT(韻母轉換規則!$C17, 韻母對照表[台羅拼音]), 0)), "")</f>
        <v>iak</v>
      </c>
      <c r="F17" s="58" t="s">
        <v>802</v>
      </c>
      <c r="G17" s="61" t="str" cm="1">
        <f t="array" ref="G17" xml:space="preserve"> IFERROR( INDEX(韻母對照表[白話字], MATCH(TRUE, EXACT(韻母轉換規則!$C17, 韻母對照表[台羅拼音]), 0)), "")</f>
        <v>iak</v>
      </c>
      <c r="H17" s="55" t="str" cm="1">
        <f t="array" ref="H17" xml:space="preserve"> IFERROR( INDEX(韻母對照表[十五音識別碼], MATCH(TRUE, EXACT(韻母轉換規則!$C17, 韻母對照表[台羅拼音]), 0)), "")</f>
        <v>姜促</v>
      </c>
      <c r="I17" s="58" t="str" cm="1">
        <f t="array" ref="I17" xml:space="preserve"> IFERROR( INDEX(韻母對照表[方音符號], MATCH(TRUE, EXACT(韻母轉換規則!$C17, 韻母對照表[台羅拼音]), 0)), "")</f>
        <v>ㄧㄚㆻ</v>
      </c>
      <c r="J17" s="74"/>
      <c r="K17" s="58" t="str">
        <f t="shared" si="0"/>
        <v>iak</v>
      </c>
      <c r="L17" s="58" t="str">
        <f t="shared" si="3"/>
        <v>iak</v>
      </c>
      <c r="M17" s="56"/>
      <c r="N17" s="57" t="str">
        <f t="shared" si="1"/>
        <v>xform/iak/iak/</v>
      </c>
    </row>
    <row r="18" spans="1:14" ht="27.75" thickBot="1">
      <c r="A18" s="58">
        <f t="shared" si="2"/>
        <v>16</v>
      </c>
      <c r="B18" s="58" t="s">
        <v>247</v>
      </c>
      <c r="C18" s="58" t="s">
        <v>247</v>
      </c>
      <c r="D18" s="58" t="s">
        <v>247</v>
      </c>
      <c r="E18" s="58" t="str" cm="1">
        <f t="array" ref="E18" xml:space="preserve"> IFERROR( INDEX(韻母對照表[注音二式], MATCH(TRUE, EXACT(韻母轉換規則!$C18, 韻母對照表[台羅拼音]), 0)), "")</f>
        <v>iam</v>
      </c>
      <c r="F18" s="58" t="s">
        <v>803</v>
      </c>
      <c r="G18" s="61" t="str" cm="1">
        <f t="array" ref="G18" xml:space="preserve"> IFERROR( INDEX(韻母對照表[白話字], MATCH(TRUE, EXACT(韻母轉換規則!$C18, 韻母對照表[台羅拼音]), 0)), "")</f>
        <v>iam</v>
      </c>
      <c r="H18" s="55" t="str" cm="1">
        <f t="array" ref="H18" xml:space="preserve"> IFERROR( INDEX(韻母對照表[十五音識別碼], MATCH(TRUE, EXACT(韻母轉換規則!$C18, 韻母對照表[台羅拼音]), 0)), "")</f>
        <v>兼舒</v>
      </c>
      <c r="I18" s="58" t="str" cm="1">
        <f t="array" ref="I18" xml:space="preserve"> IFERROR( INDEX(韻母對照表[方音符號], MATCH(TRUE, EXACT(韻母轉換規則!$C18, 韻母對照表[台羅拼音]), 0)), "")</f>
        <v>ㄧㆰ</v>
      </c>
      <c r="J18" s="74"/>
      <c r="K18" s="58" t="str">
        <f t="shared" si="0"/>
        <v>iam</v>
      </c>
      <c r="L18" s="58" t="str">
        <f t="shared" si="3"/>
        <v>iam</v>
      </c>
      <c r="M18" s="56"/>
      <c r="N18" s="57" t="str">
        <f t="shared" si="1"/>
        <v>xform/iam/iam/</v>
      </c>
    </row>
    <row r="19" spans="1:14" ht="27.75" thickBot="1">
      <c r="A19" s="58">
        <f t="shared" si="2"/>
        <v>17</v>
      </c>
      <c r="B19" s="58" t="s">
        <v>27</v>
      </c>
      <c r="C19" s="58" t="s">
        <v>27</v>
      </c>
      <c r="D19" s="58" t="s">
        <v>27</v>
      </c>
      <c r="E19" s="58" t="str" cm="1">
        <f t="array" ref="E19" xml:space="preserve"> IFERROR( INDEX(韻母對照表[注音二式], MATCH(TRUE, EXACT(韻母轉換規則!$C19, 韻母對照表[台羅拼音]), 0)), "")</f>
        <v>ian</v>
      </c>
      <c r="F19" s="58" t="s">
        <v>804</v>
      </c>
      <c r="G19" s="61" t="str" cm="1">
        <f t="array" ref="G19" xml:space="preserve"> IFERROR( INDEX(韻母對照表[白話字], MATCH(TRUE, EXACT(韻母轉換規則!$C19, 韻母對照表[台羅拼音]), 0)), "")</f>
        <v>ian</v>
      </c>
      <c r="H19" s="55" t="str" cm="1">
        <f t="array" ref="H19" xml:space="preserve"> IFERROR( INDEX(韻母對照表[十五音識別碼], MATCH(TRUE, EXACT(韻母轉換規則!$C19, 韻母對照表[台羅拼音]), 0)), "")</f>
        <v>堅舒</v>
      </c>
      <c r="I19" s="58" t="str" cm="1">
        <f t="array" ref="I19" xml:space="preserve"> IFERROR( INDEX(韻母對照表[方音符號], MATCH(TRUE, EXACT(韻母轉換規則!$C19, 韻母對照表[台羅拼音]), 0)), "")</f>
        <v>ㄧㄢ</v>
      </c>
      <c r="J19" s="74"/>
      <c r="K19" s="58" t="str">
        <f t="shared" si="0"/>
        <v>ian</v>
      </c>
      <c r="L19" s="58" t="str">
        <f t="shared" si="3"/>
        <v>ian</v>
      </c>
      <c r="M19" s="56"/>
      <c r="N19" s="57" t="str">
        <f t="shared" si="1"/>
        <v>xform/ian/ian/</v>
      </c>
    </row>
    <row r="20" spans="1:14" ht="27.75" thickBot="1">
      <c r="A20" s="58">
        <f t="shared" si="2"/>
        <v>18</v>
      </c>
      <c r="B20" s="58" t="s">
        <v>141</v>
      </c>
      <c r="C20" s="58" t="s">
        <v>141</v>
      </c>
      <c r="D20" s="58" t="s">
        <v>141</v>
      </c>
      <c r="E20" s="58" t="str" cm="1">
        <f t="array" ref="E20" xml:space="preserve"> IFERROR( INDEX(韻母對照表[注音二式], MATCH(TRUE, EXACT(韻母轉換規則!$C20, 韻母對照表[台羅拼音]), 0)), "")</f>
        <v>iau</v>
      </c>
      <c r="F20" s="58" t="s">
        <v>805</v>
      </c>
      <c r="G20" s="60" t="str" cm="1">
        <f t="array" ref="G20" xml:space="preserve"> IFERROR( INDEX(韻母對照表[白話字], MATCH(TRUE, EXACT(韻母轉換規則!$C20, 韻母對照表[台羅拼音]), 0)), "")</f>
        <v>iau</v>
      </c>
      <c r="H20" s="55" t="str" cm="1">
        <f t="array" ref="H20" xml:space="preserve"> IFERROR( INDEX(韻母對照表[十五音識別碼], MATCH(TRUE, EXACT(韻母轉換規則!$C20, 韻母對照表[台羅拼音]), 0)), "")</f>
        <v>嬌舒</v>
      </c>
      <c r="I20" s="58" t="str" cm="1">
        <f t="array" ref="I20" xml:space="preserve"> IFERROR( INDEX(韻母對照表[方音符號], MATCH(TRUE, EXACT(韻母轉換規則!$C20, 韻母對照表[台羅拼音]), 0)), "")</f>
        <v>ㄧㄠ</v>
      </c>
      <c r="J20" s="74"/>
      <c r="K20" s="58" t="str">
        <f t="shared" si="0"/>
        <v>iau</v>
      </c>
      <c r="L20" s="58" t="str">
        <f t="shared" si="3"/>
        <v>iau</v>
      </c>
      <c r="M20" s="56"/>
      <c r="N20" s="57" t="str">
        <f t="shared" si="1"/>
        <v>xform/iau/iau/</v>
      </c>
    </row>
    <row r="21" spans="1:14" ht="27.75" thickBot="1">
      <c r="A21" s="58">
        <f t="shared" si="2"/>
        <v>19</v>
      </c>
      <c r="B21" s="58" t="s">
        <v>884</v>
      </c>
      <c r="C21" s="58" t="s">
        <v>256</v>
      </c>
      <c r="D21" s="58" t="s">
        <v>256</v>
      </c>
      <c r="E21" s="58" t="str" cm="1">
        <f t="array" ref="E21" xml:space="preserve"> IFERROR( INDEX(韻母對照表[注音二式], MATCH(TRUE, EXACT(韻母轉換規則!$C21, 韻母對照表[台羅拼音]), 0)), "")</f>
        <v>iap</v>
      </c>
      <c r="F21" s="58" t="s">
        <v>806</v>
      </c>
      <c r="G21" s="61" t="str" cm="1">
        <f t="array" ref="G21" xml:space="preserve"> IFERROR( INDEX(韻母對照表[白話字], MATCH(TRUE, EXACT(韻母轉換規則!$C21, 韻母對照表[台羅拼音]), 0)), "")</f>
        <v>iap</v>
      </c>
      <c r="H21" s="55" t="str" cm="1">
        <f t="array" ref="H21" xml:space="preserve"> IFERROR( INDEX(韻母對照表[十五音識別碼], MATCH(TRUE, EXACT(韻母轉換規則!$C21, 韻母對照表[台羅拼音]), 0)), "")</f>
        <v>兼促</v>
      </c>
      <c r="I21" s="58" t="str" cm="1">
        <f t="array" ref="I21" xml:space="preserve"> IFERROR( INDEX(韻母對照表[方音符號], MATCH(TRUE, EXACT(韻母轉換規則!$C21, 韻母對照表[台羅拼音]), 0)), "")</f>
        <v>ㄧㄚㆴ</v>
      </c>
      <c r="J21" s="74"/>
      <c r="K21" s="58" t="str">
        <f t="shared" si="0"/>
        <v>iap</v>
      </c>
      <c r="L21" s="58" t="str">
        <f t="shared" si="3"/>
        <v>iap</v>
      </c>
      <c r="M21" s="56"/>
      <c r="N21" s="57" t="str">
        <f t="shared" si="1"/>
        <v>xform/iap/iap/</v>
      </c>
    </row>
    <row r="22" spans="1:14" ht="27.75" thickBot="1">
      <c r="A22" s="58">
        <f t="shared" si="2"/>
        <v>20</v>
      </c>
      <c r="B22" s="58" t="s">
        <v>879</v>
      </c>
      <c r="C22" s="58" t="s">
        <v>34</v>
      </c>
      <c r="D22" s="58" t="s">
        <v>34</v>
      </c>
      <c r="E22" s="58" t="str" cm="1">
        <f t="array" ref="E22" xml:space="preserve"> IFERROR( INDEX(韻母對照表[注音二式], MATCH(TRUE, EXACT(韻母轉換規則!$C22, 韻母對照表[台羅拼音]), 0)), "")</f>
        <v>iat</v>
      </c>
      <c r="F22" s="58" t="s">
        <v>807</v>
      </c>
      <c r="G22" s="61" t="str" cm="1">
        <f t="array" ref="G22" xml:space="preserve"> IFERROR( INDEX(韻母對照表[白話字], MATCH(TRUE, EXACT(韻母轉換規則!$C22, 韻母對照表[台羅拼音]), 0)), "")</f>
        <v>iat</v>
      </c>
      <c r="H22" s="55" t="str" cm="1">
        <f t="array" ref="H22" xml:space="preserve"> IFERROR( INDEX(韻母對照表[十五音識別碼], MATCH(TRUE, EXACT(韻母轉換規則!$C22, 韻母對照表[台羅拼音]), 0)), "")</f>
        <v>堅促</v>
      </c>
      <c r="I22" s="58" t="str" cm="1">
        <f t="array" ref="I22" xml:space="preserve"> IFERROR( INDEX(韻母對照表[方音符號], MATCH(TRUE, EXACT(韻母轉換規則!$C22, 韻母對照表[台羅拼音]), 0)), "")</f>
        <v>ㄧㄚㆵ</v>
      </c>
      <c r="J22" s="74"/>
      <c r="K22" s="58" t="str">
        <f t="shared" si="0"/>
        <v>iat</v>
      </c>
      <c r="L22" s="58" t="str">
        <f t="shared" si="3"/>
        <v>iat</v>
      </c>
      <c r="M22" s="56"/>
      <c r="N22" s="57" t="str">
        <f t="shared" si="1"/>
        <v>xform/iat/iat/</v>
      </c>
    </row>
    <row r="23" spans="1:14" ht="27.75" thickBot="1">
      <c r="A23" s="58">
        <f t="shared" si="2"/>
        <v>21</v>
      </c>
      <c r="B23" s="58" t="s">
        <v>106</v>
      </c>
      <c r="C23" s="58" t="s">
        <v>109</v>
      </c>
      <c r="D23" s="58" t="s">
        <v>109</v>
      </c>
      <c r="E23" s="58" t="str" cm="1">
        <f t="array" ref="E23" xml:space="preserve"> IFERROR( INDEX(韻母對照表[注音二式], MATCH(TRUE, EXACT(韻母轉換規則!$C23, 韻母對照表[台羅拼音]), 0)), "")</f>
        <v>ing</v>
      </c>
      <c r="F23" s="58" t="s">
        <v>808</v>
      </c>
      <c r="G23" s="60" t="str" cm="1">
        <f t="array" ref="G23" xml:space="preserve"> IFERROR( INDEX(韻母對照表[白話字], MATCH(TRUE, EXACT(韻母轉換規則!$C23, 韻母對照表[台羅拼音]), 0)), "")</f>
        <v>eng</v>
      </c>
      <c r="H23" s="55" t="str" cm="1">
        <f t="array" ref="H23" xml:space="preserve"> IFERROR( INDEX(韻母對照表[十五音識別碼], MATCH(TRUE, EXACT(韻母轉換規則!$C23, 韻母對照表[台羅拼音]), 0)), "")</f>
        <v>經舒</v>
      </c>
      <c r="I23" s="58" t="str" cm="1">
        <f t="array" ref="I23" xml:space="preserve"> IFERROR( INDEX(韻母對照表[方音符號], MATCH(TRUE, EXACT(韻母轉換規則!$C23, 韻母對照表[台羅拼音]), 0)), "")</f>
        <v>ㄧㄥ</v>
      </c>
      <c r="J23" s="74"/>
      <c r="K23" s="58" t="str">
        <f t="shared" si="0"/>
        <v>ing</v>
      </c>
      <c r="L23" s="58" t="str">
        <f t="shared" si="3"/>
        <v>ing</v>
      </c>
      <c r="M23" s="56"/>
      <c r="N23" s="57" t="str">
        <f t="shared" si="1"/>
        <v>xform/ing/ing/</v>
      </c>
    </row>
    <row r="24" spans="1:14" ht="27.75" thickBot="1">
      <c r="A24" s="58">
        <f t="shared" si="2"/>
        <v>22</v>
      </c>
      <c r="B24" s="58" t="s">
        <v>809</v>
      </c>
      <c r="C24" s="58" t="s">
        <v>363</v>
      </c>
      <c r="D24" s="58" t="s">
        <v>363</v>
      </c>
      <c r="E24" s="58" t="str" cm="1">
        <f t="array" ref="E24" xml:space="preserve"> IFERROR( INDEX(韻母對照表[注音二式], MATCH(TRUE, EXACT(韻母轉換規則!$C24, 韻母對照表[台羅拼音]), 0)), "")</f>
        <v>iorh</v>
      </c>
      <c r="F24" s="58" t="s">
        <v>363</v>
      </c>
      <c r="G24" s="61" t="str" cm="1">
        <f t="array" ref="G24" xml:space="preserve"> IFERROR( INDEX(韻母對照表[白話字], MATCH(TRUE, EXACT(韻母轉換規則!$C24, 韻母對照表[台羅拼音]), 0)), "")</f>
        <v>ioh</v>
      </c>
      <c r="H24" s="55" t="str" cm="1">
        <f t="array" ref="H24" xml:space="preserve"> IFERROR( INDEX(韻母對照表[十五音識別碼], MATCH(TRUE, EXACT(韻母轉換規則!$C24, 韻母對照表[台羅拼音]), 0)), "")</f>
        <v>茄促</v>
      </c>
      <c r="I24" s="58" t="str" cm="1">
        <f t="array" ref="I24" xml:space="preserve"> IFERROR( INDEX(韻母對照表[方音符號], MATCH(TRUE, EXACT(韻母轉換規則!$C24, 韻母對照表[台羅拼音]), 0)), "")</f>
        <v>ㄧㄜㆷ</v>
      </c>
      <c r="J24" s="74"/>
      <c r="K24" s="58" t="str">
        <f t="shared" si="0"/>
        <v>iorh</v>
      </c>
      <c r="L24" s="58" t="str">
        <f t="shared" si="3"/>
        <v>ioh</v>
      </c>
      <c r="M24" s="56"/>
      <c r="N24" s="57" t="str">
        <f t="shared" si="1"/>
        <v>xform/iorh/ioh/</v>
      </c>
    </row>
    <row r="25" spans="1:14" ht="27.75" thickBot="1">
      <c r="A25" s="58">
        <f t="shared" si="2"/>
        <v>23</v>
      </c>
      <c r="B25" s="58" t="s">
        <v>897</v>
      </c>
      <c r="C25" s="58" t="s">
        <v>167</v>
      </c>
      <c r="D25" s="58" t="s">
        <v>167</v>
      </c>
      <c r="E25" s="58" t="str" cm="1">
        <f t="array" ref="E25" xml:space="preserve"> IFERROR( INDEX(韻母對照表[注音二式], MATCH(TRUE, EXACT(韻母轉換規則!$C25, 韻母對照表[台羅拼音]), 0)), "")</f>
        <v>iook</v>
      </c>
      <c r="F25" s="58" t="s">
        <v>167</v>
      </c>
      <c r="G25" s="61" t="str" cm="1">
        <f t="array" ref="G25" xml:space="preserve"> IFERROR( INDEX(韻母對照表[白話字], MATCH(TRUE, EXACT(韻母轉換規則!$C25, 韻母對照表[台羅拼音]), 0)), "")</f>
        <v>iok</v>
      </c>
      <c r="H25" s="55" t="str" cm="1">
        <f t="array" ref="H25" xml:space="preserve"> IFERROR( INDEX(韻母對照表[十五音識別碼], MATCH(TRUE, EXACT(韻母轉換規則!$C25, 韻母對照表[台羅拼音]), 0)), "")</f>
        <v>恭促</v>
      </c>
      <c r="I25" s="58" t="str" cm="1">
        <f t="array" ref="I25" xml:space="preserve"> IFERROR( INDEX(韻母對照表[方音符號], MATCH(TRUE, EXACT(韻母轉換規則!$C25, 韻母對照表[台羅拼音]), 0)), "")</f>
        <v>ㄧㆦㆻ</v>
      </c>
      <c r="J25" s="74"/>
      <c r="K25" s="58" t="str">
        <f t="shared" si="0"/>
        <v>iook</v>
      </c>
      <c r="L25" s="58" t="str">
        <f t="shared" si="3"/>
        <v>iok</v>
      </c>
      <c r="M25" s="56"/>
      <c r="N25" s="57" t="str">
        <f t="shared" si="1"/>
        <v>xform/iook/iok/</v>
      </c>
    </row>
    <row r="26" spans="1:14" ht="27.75" thickBot="1">
      <c r="A26" s="58">
        <f t="shared" si="2"/>
        <v>24</v>
      </c>
      <c r="B26" s="75" t="s">
        <v>810</v>
      </c>
      <c r="C26" s="58" t="s">
        <v>811</v>
      </c>
      <c r="D26" s="58" t="s">
        <v>811</v>
      </c>
      <c r="E26" s="76" t="str" cm="1">
        <f t="array" ref="E26" xml:space="preserve"> IFERROR( INDEX(韻母對照表[注音二式], MATCH(TRUE, EXACT(韻母轉換規則!$C26, 韻母對照表[台羅拼音]), 0)), "")</f>
        <v/>
      </c>
      <c r="F26" s="58" t="s">
        <v>811</v>
      </c>
      <c r="G26" s="61" t="str" cm="1">
        <f t="array" ref="G26" xml:space="preserve"> IFERROR( INDEX(韻母對照表[白話字], MATCH(TRUE, EXACT(韻母轉換規則!$C26, 韻母對照表[台羅拼音]), 0)), "")</f>
        <v/>
      </c>
      <c r="H26" s="55" t="str" cm="1">
        <f t="array" ref="H26" xml:space="preserve"> IFERROR( INDEX(韻母對照表[十五音識別碼], MATCH(TRUE, EXACT(韻母轉換規則!$C26, 韻母對照表[台羅拼音]), 0)), "")</f>
        <v/>
      </c>
      <c r="I26" s="58" t="str" cm="1">
        <f t="array" ref="I26" xml:space="preserve"> IFERROR( INDEX(韻母對照表[方音符號], MATCH(TRUE, EXACT(韻母轉換規則!$C26, 韻母對照表[台羅拼音]), 0)), "")</f>
        <v/>
      </c>
      <c r="J26" s="74"/>
      <c r="K26" s="58" t="str">
        <f t="shared" si="0"/>
        <v/>
      </c>
      <c r="L26" s="58" t="str">
        <f t="shared" si="3"/>
        <v>iuh</v>
      </c>
      <c r="M26" s="56"/>
      <c r="N26" s="57" t="str">
        <f t="shared" si="1"/>
        <v/>
      </c>
    </row>
    <row r="27" spans="1:14" ht="27.75" thickBot="1">
      <c r="A27" s="58">
        <f t="shared" si="2"/>
        <v>25</v>
      </c>
      <c r="B27" s="58" t="s">
        <v>337</v>
      </c>
      <c r="C27" s="58" t="s">
        <v>340</v>
      </c>
      <c r="D27" s="58" t="s">
        <v>340</v>
      </c>
      <c r="E27" s="58" t="str" cm="1">
        <f t="array" ref="E27" xml:space="preserve"> IFERROR( INDEX(韻母對照表[注音二式], MATCH(TRUE, EXACT(韻母轉換規則!$C27, 韻母對照表[台羅拼音]), 0)), "")</f>
        <v>enn</v>
      </c>
      <c r="F27" s="58" t="s">
        <v>812</v>
      </c>
      <c r="G27" s="61" t="str" cm="1">
        <f t="array" ref="G27" xml:space="preserve"> IFERROR( INDEX(韻母對照表[白話字], MATCH(TRUE, EXACT(韻母轉換規則!$C27, 韻母對照表[台羅拼音]), 0)), "")</f>
        <v>eⁿ</v>
      </c>
      <c r="H27" s="55" t="str" cm="1">
        <f t="array" ref="H27" xml:space="preserve"> IFERROR( INDEX(韻母對照表[十五音識別碼], MATCH(TRUE, EXACT(韻母轉換規則!$C27, 韻母對照表[台羅拼音]), 0)), "")</f>
        <v>更舒</v>
      </c>
      <c r="I27" s="58" t="str" cm="1">
        <f t="array" ref="I27" xml:space="preserve"> IFERROR( INDEX(韻母對照表[方音符號], MATCH(TRUE, EXACT(韻母轉換規則!$C27, 韻母對照表[台羅拼音]), 0)), "")</f>
        <v>ㆥ</v>
      </c>
      <c r="J27" s="74"/>
      <c r="K27" s="58" t="str">
        <f t="shared" si="0"/>
        <v>enn</v>
      </c>
      <c r="L27" s="58" t="str">
        <f t="shared" si="3"/>
        <v>enn</v>
      </c>
      <c r="M27" s="56"/>
      <c r="N27" s="57" t="str">
        <f t="shared" si="1"/>
        <v>xform/enn/enn/</v>
      </c>
    </row>
    <row r="28" spans="1:14" ht="27.75" thickBot="1">
      <c r="A28" s="58">
        <f t="shared" si="2"/>
        <v>26</v>
      </c>
      <c r="B28" s="75" t="s">
        <v>813</v>
      </c>
      <c r="C28" s="58" t="s">
        <v>304</v>
      </c>
      <c r="D28" s="58" t="s">
        <v>304</v>
      </c>
      <c r="E28" s="76" t="str" cm="1">
        <f t="array" ref="E28" xml:space="preserve"> IFERROR( INDEX(韻母對照表[注音二式], MATCH(TRUE, EXACT(韻母轉換規則!$C28, 韻母對照表[台羅拼音]), 0)), "")</f>
        <v>annh</v>
      </c>
      <c r="F28" s="58" t="s">
        <v>814</v>
      </c>
      <c r="G28" s="73" t="str" cm="1">
        <f t="array" ref="G28" xml:space="preserve"> IFERROR( INDEX(韻母對照表[白話字], MATCH(TRUE, EXACT(韻母轉換規則!$C28, 韻母對照表[台羅拼音]), 0)), "")</f>
        <v>ahⁿ</v>
      </c>
      <c r="H28" s="55" t="str" cm="1">
        <f t="array" ref="H28" xml:space="preserve"> IFERROR( INDEX(韻母對照表[十五音識別碼], MATCH(TRUE, EXACT(韻母轉換規則!$C28, 韻母對照表[台羅拼音]), 0)), "")</f>
        <v>監促</v>
      </c>
      <c r="I28" s="58" t="str" cm="1">
        <f t="array" ref="I28" xml:space="preserve"> IFERROR( INDEX(韻母對照表[方音符號], MATCH(TRUE, EXACT(韻母轉換規則!$C28, 韻母對照表[台羅拼音]), 0)), "")</f>
        <v>ㆩㆷ</v>
      </c>
      <c r="J28" s="74"/>
      <c r="K28" s="58" t="str">
        <f t="shared" si="0"/>
        <v>annh</v>
      </c>
      <c r="L28" s="58" t="str">
        <f t="shared" si="3"/>
        <v>annh</v>
      </c>
      <c r="M28" s="56"/>
      <c r="N28" s="57" t="str">
        <f t="shared" si="1"/>
        <v>xform/annh/annh/</v>
      </c>
    </row>
    <row r="29" spans="1:14" ht="27.75" thickBot="1">
      <c r="A29" s="58">
        <f t="shared" si="2"/>
        <v>27</v>
      </c>
      <c r="B29" s="58" t="s">
        <v>815</v>
      </c>
      <c r="C29" s="58" t="s">
        <v>417</v>
      </c>
      <c r="D29" s="58" t="s">
        <v>417</v>
      </c>
      <c r="E29" s="76" t="str" cm="1">
        <f t="array" ref="E29" xml:space="preserve"> IFERROR( INDEX(韻母對照表[注音二式], MATCH(TRUE, EXACT(韻母轉換規則!$C29, 韻母對照表[台羅拼音]), 0)), "")</f>
        <v>ainn</v>
      </c>
      <c r="F29" s="58" t="s">
        <v>816</v>
      </c>
      <c r="G29" s="61" t="str" cm="1">
        <f t="array" ref="G29" xml:space="preserve"> IFERROR( INDEX(韻母對照表[白話字], MATCH(TRUE, EXACT(韻母轉換規則!$C29, 韻母對照表[台羅拼音]), 0)), "")</f>
        <v>aiⁿ</v>
      </c>
      <c r="H29" s="55" t="str" cm="1">
        <f t="array" ref="H29" xml:space="preserve"> IFERROR( INDEX(韻母對照表[十五音識別碼], MATCH(TRUE, EXACT(韻母轉換規則!$C29, 韻母對照表[台羅拼音]), 0)), "")</f>
        <v>閒舒</v>
      </c>
      <c r="I29" s="58" t="str" cm="1">
        <f t="array" ref="I29" xml:space="preserve"> IFERROR( INDEX(韻母對照表[方音符號], MATCH(TRUE, EXACT(韻母轉換規則!$C29, 韻母對照表[台羅拼音]), 0)), "")</f>
        <v>ㆮ</v>
      </c>
      <c r="J29" s="74"/>
      <c r="K29" s="58" t="str">
        <f t="shared" si="0"/>
        <v>ainn</v>
      </c>
      <c r="L29" s="58" t="str">
        <f t="shared" si="3"/>
        <v>ainn</v>
      </c>
      <c r="M29" s="56"/>
      <c r="N29" s="57" t="str">
        <f t="shared" si="1"/>
        <v>xform/ainn/ainn/</v>
      </c>
    </row>
    <row r="30" spans="1:14" ht="27.75" thickBot="1">
      <c r="A30" s="58">
        <f t="shared" si="2"/>
        <v>28</v>
      </c>
      <c r="B30" s="58" t="s">
        <v>817</v>
      </c>
      <c r="C30" s="58" t="s">
        <v>491</v>
      </c>
      <c r="D30" s="58" t="s">
        <v>491</v>
      </c>
      <c r="E30" s="76" t="str" cm="1">
        <f t="array" ref="E30" xml:space="preserve"> IFERROR( INDEX(韻母對照表[注音二式], MATCH(TRUE, EXACT(韻母轉換規則!$C30, 韻母對照表[台羅拼音]), 0)), "")</f>
        <v>aunn</v>
      </c>
      <c r="F30" s="58" t="s">
        <v>818</v>
      </c>
      <c r="G30" s="60" t="str" cm="1">
        <f t="array" ref="G30" xml:space="preserve"> IFERROR( INDEX(韻母對照表[白話字], MATCH(TRUE, EXACT(韻母轉換規則!$C30, 韻母對照表[台羅拼音]), 0)), "")</f>
        <v>auⁿ</v>
      </c>
      <c r="H30" s="55" t="str" cm="1">
        <f t="array" ref="H30" xml:space="preserve"> IFERROR( INDEX(韻母對照表[十五音識別碼], MATCH(TRUE, EXACT(韻母轉換規則!$C30, 韻母對照表[台羅拼音]), 0)), "")</f>
        <v>爻舒</v>
      </c>
      <c r="I30" s="58" t="str" cm="1">
        <f t="array" ref="I30" xml:space="preserve"> IFERROR( INDEX(韻母對照表[方音符號], MATCH(TRUE, EXACT(韻母轉換規則!$C30, 韻母對照表[台羅拼音]), 0)), "")</f>
        <v>ㆯ</v>
      </c>
      <c r="J30" s="74"/>
      <c r="K30" s="58" t="str">
        <f t="shared" si="0"/>
        <v>aunn</v>
      </c>
      <c r="L30" s="58" t="str">
        <f t="shared" si="3"/>
        <v>aunn</v>
      </c>
      <c r="M30" s="56"/>
      <c r="N30" s="57" t="str">
        <f t="shared" si="1"/>
        <v>xform/aunn/aunn/</v>
      </c>
    </row>
    <row r="31" spans="1:14" ht="27.75" thickBot="1">
      <c r="A31" s="58">
        <f t="shared" si="2"/>
        <v>29</v>
      </c>
      <c r="B31" s="75" t="s">
        <v>819</v>
      </c>
      <c r="C31" s="58" t="s">
        <v>820</v>
      </c>
      <c r="D31" s="58" t="s">
        <v>820</v>
      </c>
      <c r="E31" s="76" t="str" cm="1">
        <f t="array" ref="E31" xml:space="preserve"> IFERROR( INDEX(韻母對照表[注音二式], MATCH(TRUE, EXACT(韻母轉換規則!$C31, 韻母對照表[台羅拼音]), 0)), "")</f>
        <v/>
      </c>
      <c r="F31" s="58" t="s">
        <v>820</v>
      </c>
      <c r="G31" s="61" t="str" cm="1">
        <f t="array" ref="G31" xml:space="preserve"> IFERROR( INDEX(韻母對照表[白話字], MATCH(TRUE, EXACT(韻母轉換規則!$C31, 韻母對照表[台羅拼音]), 0)), "")</f>
        <v/>
      </c>
      <c r="H31" s="55" t="str" cm="1">
        <f t="array" ref="H31" xml:space="preserve"> IFERROR( INDEX(韻母對照表[十五音識別碼], MATCH(TRUE, EXACT(韻母轉換規則!$C31, 韻母對照表[台羅拼音]), 0)), "")</f>
        <v/>
      </c>
      <c r="I31" s="58" t="str" cm="1">
        <f t="array" ref="I31" xml:space="preserve"> IFERROR( INDEX(韻母對照表[方音符號], MATCH(TRUE, EXACT(韻母轉換規則!$C31, 韻母對照表[台羅拼音]), 0)), "")</f>
        <v/>
      </c>
      <c r="J31" s="74"/>
      <c r="K31" s="58" t="str">
        <f t="shared" si="0"/>
        <v/>
      </c>
      <c r="L31" s="58" t="str">
        <f t="shared" si="3"/>
        <v>ngh</v>
      </c>
      <c r="M31" s="56"/>
      <c r="N31" s="57" t="str">
        <f t="shared" si="1"/>
        <v/>
      </c>
    </row>
    <row r="32" spans="1:14" ht="27.75" thickBot="1">
      <c r="A32" s="58">
        <f t="shared" si="2"/>
        <v>30</v>
      </c>
      <c r="B32" s="58" t="s">
        <v>821</v>
      </c>
      <c r="C32" s="58" t="s">
        <v>391</v>
      </c>
      <c r="D32" s="58" t="s">
        <v>391</v>
      </c>
      <c r="E32" s="76" t="str" cm="1">
        <f t="array" ref="E32" xml:space="preserve"> IFERROR( INDEX(韻母對照表[注音二式], MATCH(TRUE, EXACT(韻母轉換規則!$C32, 韻母對照表[台羅拼音]), 0)), "")</f>
        <v>iann</v>
      </c>
      <c r="F32" s="58" t="s">
        <v>394</v>
      </c>
      <c r="G32" s="61" t="str" cm="1">
        <f t="array" ref="G32" xml:space="preserve"> IFERROR( INDEX(韻母對照表[白話字], MATCH(TRUE, EXACT(韻母轉換規則!$C32, 韻母對照表[台羅拼音]), 0)), "")</f>
        <v>iaⁿ</v>
      </c>
      <c r="H32" s="55" t="str" cm="1">
        <f t="array" ref="H32" xml:space="preserve"> IFERROR( INDEX(韻母對照表[十五音識別碼], MATCH(TRUE, EXACT(韻母轉換規則!$C32, 韻母對照表[台羅拼音]), 0)), "")</f>
        <v>驚舒</v>
      </c>
      <c r="I32" s="58" t="str" cm="1">
        <f t="array" ref="I32" xml:space="preserve"> IFERROR( INDEX(韻母對照表[方音符號], MATCH(TRUE, EXACT(韻母轉換規則!$C32, 韻母對照表[台羅拼音]), 0)), "")</f>
        <v>ㄧㆩ</v>
      </c>
      <c r="J32" s="74"/>
      <c r="K32" s="58" t="str">
        <f t="shared" si="0"/>
        <v>iann</v>
      </c>
      <c r="L32" s="58" t="str">
        <f t="shared" si="3"/>
        <v>iann</v>
      </c>
      <c r="M32" s="56"/>
      <c r="N32" s="57" t="str">
        <f t="shared" si="1"/>
        <v>xform/iann/iann/</v>
      </c>
    </row>
    <row r="33" spans="1:14" ht="27.75" thickBot="1">
      <c r="A33" s="58">
        <f t="shared" si="2"/>
        <v>31</v>
      </c>
      <c r="B33" s="75" t="str" cm="1">
        <f t="array" ref="B33" xml:space="preserve"> IFERROR( INDEX(韻母對照表[國際音標], MATCH(TRUE, EXACT(韻母轉換規則!$C33, 韻母對照表[台羅拼音]), 0)), "")</f>
        <v>ĩʔ</v>
      </c>
      <c r="C33" s="58" t="s">
        <v>376</v>
      </c>
      <c r="D33" s="58" t="s">
        <v>376</v>
      </c>
      <c r="E33" s="76" t="str" cm="1">
        <f t="array" ref="E33" xml:space="preserve"> IFERROR( INDEX(韻母對照表[注音二式], MATCH(TRUE, EXACT(韻母轉換規則!$C33, 韻母對照表[台羅拼音]), 0)), "")</f>
        <v>innh</v>
      </c>
      <c r="F33" s="58" t="s">
        <v>377</v>
      </c>
      <c r="G33" s="73" t="str" cm="1">
        <f t="array" ref="G33" xml:space="preserve"> IFERROR( INDEX(韻母對照表[白話字], MATCH(TRUE, EXACT(韻母轉換規則!$C33, 韻母對照表[台羅拼音]), 0)), "")</f>
        <v>ihⁿ</v>
      </c>
      <c r="H33" s="55" t="str" cm="1">
        <f t="array" ref="H33" xml:space="preserve"> IFERROR( INDEX(韻母對照表[十五音識別碼], MATCH(TRUE, EXACT(韻母轉換規則!$C33, 韻母對照表[台羅拼音]), 0)), "")</f>
        <v>梔促</v>
      </c>
      <c r="I33" s="58" t="str" cm="1">
        <f t="array" ref="I33" xml:space="preserve"> IFERROR( INDEX(韻母對照表[方音符號], MATCH(TRUE, EXACT(韻母轉換規則!$C33, 韻母對照表[台羅拼音]), 0)), "")</f>
        <v>ㆪㆷ</v>
      </c>
      <c r="J33" s="74"/>
      <c r="K33" s="58" t="str">
        <f t="shared" si="0"/>
        <v>innh</v>
      </c>
      <c r="L33" s="58" t="str">
        <f t="shared" si="3"/>
        <v>innh</v>
      </c>
      <c r="M33" s="56"/>
      <c r="N33" s="57" t="str">
        <f t="shared" si="1"/>
        <v>xform/innh/innh/</v>
      </c>
    </row>
    <row r="34" spans="1:14" ht="27.75" thickBot="1">
      <c r="A34" s="58">
        <f t="shared" si="2"/>
        <v>32</v>
      </c>
      <c r="B34" s="58" t="str" cm="1">
        <f t="array" ref="B34" xml:space="preserve"> IFERROR( INDEX(韻母對照表[國際音標], MATCH(TRUE, EXACT(韻母轉換規則!$C34, 韻母對照表[台羅拼音]), 0)), "")</f>
        <v>iũ</v>
      </c>
      <c r="C34" s="58" t="s">
        <v>507</v>
      </c>
      <c r="D34" s="58" t="s">
        <v>507</v>
      </c>
      <c r="E34" s="76" t="str" cm="1">
        <f t="array" ref="E34" xml:space="preserve"> IFERROR( INDEX(韻母對照表[注音二式], MATCH(TRUE, EXACT(韻母轉換規則!$C34, 韻母對照表[台羅拼音]), 0)), "")</f>
        <v>iunn</v>
      </c>
      <c r="F34" s="58" t="s">
        <v>509</v>
      </c>
      <c r="G34" s="61" t="str" cm="1">
        <f t="array" ref="G34" xml:space="preserve"> IFERROR( INDEX(韻母對照表[白話字], MATCH(TRUE, EXACT(韻母轉換規則!$C34, 韻母對照表[台羅拼音]), 0)), "")</f>
        <v>iuⁿ</v>
      </c>
      <c r="H34" s="55" t="str" cm="1">
        <f t="array" ref="H34" xml:space="preserve"> IFERROR( INDEX(韻母對照表[十五音識別碼], MATCH(TRUE, EXACT(韻母轉換規則!$C34, 韻母對照表[台羅拼音]), 0)), "")</f>
        <v>牛舒</v>
      </c>
      <c r="I34" s="58" t="str" cm="1">
        <f t="array" ref="I34" xml:space="preserve"> IFERROR( INDEX(韻母對照表[方音符號], MATCH(TRUE, EXACT(韻母轉換規則!$C34, 韻母對照表[台羅拼音]), 0)), "")</f>
        <v>ㄧㆫ</v>
      </c>
      <c r="J34" s="74"/>
      <c r="K34" s="58" t="str">
        <f t="shared" si="0"/>
        <v>iunn</v>
      </c>
      <c r="L34" s="58" t="str">
        <f t="shared" ref="L34:L97" si="4">D34</f>
        <v>iunn</v>
      </c>
      <c r="M34" s="56"/>
      <c r="N34" s="57" t="str">
        <f t="shared" si="1"/>
        <v>xform/iunn/iunn/</v>
      </c>
    </row>
    <row r="35" spans="1:14" ht="27.75" thickBot="1">
      <c r="A35" s="58">
        <f t="shared" si="2"/>
        <v>33</v>
      </c>
      <c r="B35" s="58" t="s">
        <v>910</v>
      </c>
      <c r="C35" s="58" t="s">
        <v>425</v>
      </c>
      <c r="D35" s="58" t="s">
        <v>425</v>
      </c>
      <c r="E35" s="76" t="str" cm="1">
        <f t="array" ref="E35" xml:space="preserve"> IFERROR( INDEX(韻母對照表[注音二式], MATCH(TRUE, EXACT(韻母轉換規則!$C35, 韻母對照表[台羅拼音]), 0)), "")</f>
        <v>oonn</v>
      </c>
      <c r="F35" s="58" t="s">
        <v>427</v>
      </c>
      <c r="G35" s="60" t="str" cm="1">
        <f t="array" ref="G35" xml:space="preserve"> IFERROR( INDEX(韻母對照表[白話字], MATCH(TRUE, EXACT(韻母轉換規則!$C35, 韻母對照表[台羅拼音]), 0)), "")</f>
        <v>oⁿ</v>
      </c>
      <c r="H35" s="55" t="str" cm="1">
        <f t="array" ref="H35" xml:space="preserve"> IFERROR( INDEX(韻母對照表[十五音識別碼], MATCH(TRUE, EXACT(韻母轉換規則!$C35, 韻母對照表[台羅拼音]), 0)), "")</f>
        <v>姑舒</v>
      </c>
      <c r="I35" s="58" t="str" cm="1">
        <f t="array" ref="I35" xml:space="preserve"> IFERROR( INDEX(韻母對照表[方音符號], MATCH(TRUE, EXACT(韻母轉換規則!$C35, 韻母對照表[台羅拼音]), 0)), "")</f>
        <v>ㆧ</v>
      </c>
      <c r="J35" s="74"/>
      <c r="K35" s="58" t="str">
        <f t="shared" ref="K35:K66" si="5">E35</f>
        <v>oonn</v>
      </c>
      <c r="L35" s="58" t="str">
        <f t="shared" si="4"/>
        <v>onn</v>
      </c>
      <c r="M35" s="56"/>
      <c r="N35" s="57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58">
        <f t="shared" si="2"/>
        <v>34</v>
      </c>
      <c r="B36" s="58" t="str" cm="1">
        <f t="array" ref="B36" xml:space="preserve"> IFERROR( INDEX(韻母對照表[國際音標], MATCH(TRUE, EXACT(韻母轉換規則!$C36, 韻母對照表[台羅拼音]), 0)), "")</f>
        <v>uã</v>
      </c>
      <c r="C36" s="58" t="s">
        <v>399</v>
      </c>
      <c r="D36" s="58" t="s">
        <v>399</v>
      </c>
      <c r="E36" s="58" t="str" cm="1">
        <f t="array" ref="E36" xml:space="preserve"> IFERROR( INDEX(韻母對照表[注音二式], MATCH(TRUE, EXACT(韻母轉換規則!$C36, 韻母對照表[台羅拼音]), 0)), "")</f>
        <v>uann</v>
      </c>
      <c r="F36" s="58" t="s">
        <v>401</v>
      </c>
      <c r="G36" s="61" t="str" cm="1">
        <f t="array" ref="G36" xml:space="preserve"> IFERROR( INDEX(韻母對照表[白話字], MATCH(TRUE, EXACT(韻母轉換規則!$C36, 韻母對照表[台羅拼音]), 0)), "")</f>
        <v>oaⁿ</v>
      </c>
      <c r="H36" s="55" t="str" cm="1">
        <f t="array" ref="H36" xml:space="preserve"> IFERROR( INDEX(韻母對照表[十五音識別碼], MATCH(TRUE, EXACT(韻母轉換規則!$C36, 韻母對照表[台羅拼音]), 0)), "")</f>
        <v>官舒</v>
      </c>
      <c r="I36" s="58" t="str" cm="1">
        <f t="array" ref="I36" xml:space="preserve"> IFERROR( INDEX(韻母對照表[方音符號], MATCH(TRUE, EXACT(韻母轉換規則!$C36, 韻母對照表[台羅拼音]), 0)), "")</f>
        <v>ㄨㆩ</v>
      </c>
      <c r="J36" s="74"/>
      <c r="K36" s="58" t="str">
        <f t="shared" si="5"/>
        <v>uann</v>
      </c>
      <c r="L36" s="58" t="str">
        <f t="shared" si="4"/>
        <v>uann</v>
      </c>
      <c r="M36" s="56"/>
      <c r="N36" s="57" t="str">
        <f t="shared" si="6"/>
        <v>xform/uann/uann/</v>
      </c>
    </row>
    <row r="37" spans="1:14" ht="27.75" thickBot="1">
      <c r="A37" s="58">
        <f t="shared" si="2"/>
        <v>35</v>
      </c>
      <c r="B37" s="58" t="str" cm="1">
        <f t="array" ref="B37" xml:space="preserve"> IFERROR( INDEX(韻母對照表[國際音標], MATCH(TRUE, EXACT(韻母轉換規則!$C37, 韻母對照表[台羅拼音]), 0)), "")</f>
        <v>uĩ</v>
      </c>
      <c r="C37" s="58" t="s">
        <v>351</v>
      </c>
      <c r="D37" s="58" t="s">
        <v>351</v>
      </c>
      <c r="E37" s="76" t="str" cm="1">
        <f t="array" ref="E37" xml:space="preserve"> IFERROR( INDEX(韻母對照表[注音二式], MATCH(TRUE, EXACT(韻母轉換規則!$C37, 韻母對照表[台羅拼音]), 0)), "")</f>
        <v>uinn</v>
      </c>
      <c r="F37" s="58" t="s">
        <v>353</v>
      </c>
      <c r="G37" s="61" t="str" cm="1">
        <f t="array" ref="G37" xml:space="preserve"> IFERROR( INDEX(韻母對照表[白話字], MATCH(TRUE, EXACT(韻母轉換規則!$C37, 韻母對照表[台羅拼音]), 0)), "")</f>
        <v>uiⁿ</v>
      </c>
      <c r="H37" s="55" t="str" cm="1">
        <f t="array" ref="H37" xml:space="preserve"> IFERROR( INDEX(韻母對照表[十五音識別碼], MATCH(TRUE, EXACT(韻母轉換規則!$C37, 韻母對照表[台羅拼音]), 0)), "")</f>
        <v>褌舒</v>
      </c>
      <c r="I37" s="58" t="str" cm="1">
        <f t="array" ref="I37" xml:space="preserve"> IFERROR( INDEX(韻母對照表[方音符號], MATCH(TRUE, EXACT(韻母轉換規則!$C37, 韻母對照表[台羅拼音]), 0)), "")</f>
        <v>ㄨㆪ</v>
      </c>
      <c r="J37" s="74"/>
      <c r="K37" s="58" t="str">
        <f t="shared" si="5"/>
        <v>uinn</v>
      </c>
      <c r="L37" s="58" t="str">
        <f t="shared" si="4"/>
        <v>uinn</v>
      </c>
      <c r="M37" s="56"/>
      <c r="N37" s="57" t="str">
        <f t="shared" si="6"/>
        <v>xform/uinn/uinn/</v>
      </c>
    </row>
    <row r="38" spans="1:14" ht="27.75" thickBot="1">
      <c r="A38" s="58">
        <f t="shared" si="2"/>
        <v>36</v>
      </c>
      <c r="B38" s="58" t="s">
        <v>81</v>
      </c>
      <c r="C38" s="58" t="s">
        <v>84</v>
      </c>
      <c r="D38" s="58" t="s">
        <v>84</v>
      </c>
      <c r="E38" s="58" t="str" cm="1">
        <f t="array" ref="E38" xml:space="preserve"> IFERROR( INDEX(韻母對照表[注音二式], MATCH(TRUE, EXACT(韻母轉換規則!$C38, 韻母對照表[台羅拼音]), 0)), "")</f>
        <v>ong</v>
      </c>
      <c r="F38" s="58" t="s">
        <v>823</v>
      </c>
      <c r="G38" s="61" t="str" cm="1">
        <f t="array" ref="G38" xml:space="preserve"> IFERROR( INDEX(韻母對照表[白話字], MATCH(TRUE, EXACT(韻母轉換規則!$C38, 韻母對照表[台羅拼音]), 0)), "")</f>
        <v>ong</v>
      </c>
      <c r="H38" s="55" t="str" cm="1">
        <f t="array" ref="H38" xml:space="preserve"> IFERROR( INDEX(韻母對照表[十五音識別碼], MATCH(TRUE, EXACT(韻母轉換規則!$C38, 韻母對照表[台羅拼音]), 0)), "")</f>
        <v>公舒</v>
      </c>
      <c r="I38" s="58" t="str" cm="1">
        <f t="array" ref="I38" xml:space="preserve"> IFERROR( INDEX(韻母對照表[方音符號], MATCH(TRUE, EXACT(韻母轉換規則!$C38, 韻母對照表[台羅拼音]), 0)), "")</f>
        <v>ㆲ</v>
      </c>
      <c r="J38" s="74"/>
      <c r="K38" s="58" t="str">
        <f t="shared" si="5"/>
        <v>ong</v>
      </c>
      <c r="L38" s="58" t="str">
        <f t="shared" si="4"/>
        <v>ong</v>
      </c>
      <c r="M38" s="56"/>
      <c r="N38" s="57" t="str">
        <f t="shared" si="6"/>
        <v>xform/ong/ong/</v>
      </c>
    </row>
    <row r="39" spans="1:14" ht="27.75" thickBot="1">
      <c r="A39" s="58">
        <f t="shared" si="2"/>
        <v>37</v>
      </c>
      <c r="B39" s="75" t="s">
        <v>824</v>
      </c>
      <c r="C39" s="58" t="s">
        <v>825</v>
      </c>
      <c r="D39" s="58" t="s">
        <v>825</v>
      </c>
      <c r="E39" s="76" t="str" cm="1">
        <f t="array" ref="E39" xml:space="preserve"> IFERROR( INDEX(韻母對照表[注音二式], MATCH(TRUE, EXACT(韻母轉換規則!$C39, 韻母對照表[台羅拼音]), 0)), "")</f>
        <v/>
      </c>
      <c r="F39" s="58" t="s">
        <v>825</v>
      </c>
      <c r="G39" s="60" t="str" cm="1">
        <f t="array" ref="G39" xml:space="preserve"> IFERROR( INDEX(韻母對照表[白話字], MATCH(TRUE, EXACT(韻母轉換規則!$C39, 韻母對照表[台羅拼音]), 0)), "")</f>
        <v/>
      </c>
      <c r="H39" s="55" t="str" cm="1">
        <f t="array" ref="H39" xml:space="preserve"> IFERROR( INDEX(韻母對照表[十五音識別碼], MATCH(TRUE, EXACT(韻母轉換規則!$C39, 韻母對照表[台羅拼音]), 0)), "")</f>
        <v/>
      </c>
      <c r="I39" s="58" t="str" cm="1">
        <f t="array" ref="I39" xml:space="preserve"> IFERROR( INDEX(韻母對照表[方音符號], MATCH(TRUE, EXACT(韻母轉換規則!$C39, 韻母對照表[台羅拼音]), 0)), "")</f>
        <v/>
      </c>
      <c r="J39" s="74"/>
      <c r="K39" s="58" t="str">
        <f t="shared" si="5"/>
        <v/>
      </c>
      <c r="L39" s="58" t="str">
        <f t="shared" si="4"/>
        <v>ooh</v>
      </c>
      <c r="M39" s="56"/>
      <c r="N39" s="57" t="str">
        <f t="shared" si="6"/>
        <v/>
      </c>
    </row>
    <row r="40" spans="1:14" ht="27.75" thickBot="1">
      <c r="A40" s="58">
        <f t="shared" si="2"/>
        <v>38</v>
      </c>
      <c r="B40" s="58" t="s">
        <v>826</v>
      </c>
      <c r="C40" s="58" t="s">
        <v>230</v>
      </c>
      <c r="D40" s="58" t="s">
        <v>230</v>
      </c>
      <c r="E40" s="58" t="str" cm="1">
        <f t="array" ref="E40" xml:space="preserve"> IFERROR( INDEX(韻母對照表[注音二式], MATCH(TRUE, EXACT(韻母轉換規則!$C40, 韻母對照表[台羅拼音]), 0)), "")</f>
        <v>uah</v>
      </c>
      <c r="F40" s="58" t="s">
        <v>827</v>
      </c>
      <c r="G40" s="60" t="str" cm="1">
        <f t="array" ref="G40" xml:space="preserve"> IFERROR( INDEX(韻母對照表[白話字], MATCH(TRUE, EXACT(韻母轉換規則!$C40, 韻母對照表[台羅拼音]), 0)), "")</f>
        <v>oah</v>
      </c>
      <c r="H40" s="55" t="str" cm="1">
        <f t="array" ref="H40" xml:space="preserve"> IFERROR( INDEX(韻母對照表[十五音識別碼], MATCH(TRUE, EXACT(韻母轉換規則!$C40, 韻母對照表[台羅拼音]), 0)), "")</f>
        <v>瓜促</v>
      </c>
      <c r="I40" s="58" t="str" cm="1">
        <f t="array" ref="I40" xml:space="preserve"> IFERROR( INDEX(韻母對照表[方音符號], MATCH(TRUE, EXACT(韻母轉換規則!$C40, 韻母對照表[台羅拼音]), 0)), "")</f>
        <v>ㄨㄚㆷ</v>
      </c>
      <c r="J40" s="74"/>
      <c r="K40" s="58" t="str">
        <f t="shared" si="5"/>
        <v>uah</v>
      </c>
      <c r="L40" s="58" t="str">
        <f t="shared" si="4"/>
        <v>uah</v>
      </c>
      <c r="M40" s="56"/>
      <c r="N40" s="57" t="str">
        <f t="shared" si="6"/>
        <v>xform/uah/uah/</v>
      </c>
    </row>
    <row r="41" spans="1:14" ht="27.75" thickBot="1">
      <c r="A41" s="58">
        <f t="shared" si="2"/>
        <v>39</v>
      </c>
      <c r="B41" s="58" t="s">
        <v>94</v>
      </c>
      <c r="C41" s="58" t="s">
        <v>94</v>
      </c>
      <c r="D41" s="58" t="s">
        <v>94</v>
      </c>
      <c r="E41" s="58" t="str" cm="1">
        <f t="array" ref="E41" xml:space="preserve"> IFERROR( INDEX(韻母對照表[注音二式], MATCH(TRUE, EXACT(韻母轉換規則!$C41, 韻母對照表[台羅拼音]), 0)), "")</f>
        <v>uai</v>
      </c>
      <c r="F41" s="58" t="s">
        <v>94</v>
      </c>
      <c r="G41" s="60" t="str" cm="1">
        <f t="array" ref="G41" xml:space="preserve"> IFERROR( INDEX(韻母對照表[白話字], MATCH(TRUE, EXACT(韻母轉換規則!$C41, 韻母對照表[台羅拼音]), 0)), "")</f>
        <v>oai</v>
      </c>
      <c r="H41" s="55" t="str" cm="1">
        <f t="array" ref="H41" xml:space="preserve"> IFERROR( INDEX(韻母對照表[十五音識別碼], MATCH(TRUE, EXACT(韻母轉換規則!$C41, 韻母對照表[台羅拼音]), 0)), "")</f>
        <v>乖舒</v>
      </c>
      <c r="I41" s="58" t="str" cm="1">
        <f t="array" ref="I41" xml:space="preserve"> IFERROR( INDEX(韻母對照表[方音符號], MATCH(TRUE, EXACT(韻母轉換規則!$C41, 韻母對照表[台羅拼音]), 0)), "")</f>
        <v>ㄨㄞ</v>
      </c>
      <c r="J41" s="74"/>
      <c r="K41" s="58" t="str">
        <f t="shared" si="5"/>
        <v>uai</v>
      </c>
      <c r="L41" s="58" t="str">
        <f t="shared" si="4"/>
        <v>uai</v>
      </c>
      <c r="M41" s="56"/>
      <c r="N41" s="57" t="str">
        <f t="shared" si="6"/>
        <v>xform/uai/uai/</v>
      </c>
    </row>
    <row r="42" spans="1:14" ht="27.75" thickBot="1">
      <c r="A42" s="58">
        <f t="shared" si="2"/>
        <v>40</v>
      </c>
      <c r="B42" s="58" t="str" cm="1">
        <f t="array" ref="B42" xml:space="preserve"> IFERROR( INDEX(韻母對照表[國際音標], MATCH(TRUE, EXACT(韻母轉換規則!$C42, 韻母對照表[台羅拼音]), 0)), "")</f>
        <v>uãi</v>
      </c>
      <c r="C42" s="58" t="s">
        <v>449</v>
      </c>
      <c r="D42" s="58" t="s">
        <v>449</v>
      </c>
      <c r="E42" s="58" t="str" cm="1">
        <f t="array" ref="E42" xml:space="preserve"> IFERROR( INDEX(韻母對照表[注音二式], MATCH(TRUE, EXACT(韻母轉換規則!$C42, 韻母對照表[台羅拼音]), 0)), "")</f>
        <v>uainn</v>
      </c>
      <c r="F42" s="58" t="s">
        <v>828</v>
      </c>
      <c r="G42" s="60" t="str" cm="1">
        <f t="array" ref="G42" xml:space="preserve"> IFERROR( INDEX(韻母對照表[白話字], MATCH(TRUE, EXACT(韻母轉換規則!$C42, 韻母對照表[台羅拼音]), 0)), "")</f>
        <v>oaiⁿ</v>
      </c>
      <c r="H42" s="55" t="str" cm="1">
        <f t="array" ref="H42" xml:space="preserve"> IFERROR( INDEX(韻母對照表[十五音識別碼], MATCH(TRUE, EXACT(韻母轉換規則!$C42, 韻母對照表[台羅拼音]), 0)), "")</f>
        <v>閂舒</v>
      </c>
      <c r="I42" s="58" t="str" cm="1">
        <f t="array" ref="I42" xml:space="preserve"> IFERROR( INDEX(韻母對照表[方音符號], MATCH(TRUE, EXACT(韻母轉換規則!$C42, 韻母對照表[台羅拼音]), 0)), "")</f>
        <v>ㄨㆮ</v>
      </c>
      <c r="J42" s="74"/>
      <c r="K42" s="58" t="str">
        <f t="shared" si="5"/>
        <v>uainn</v>
      </c>
      <c r="L42" s="58" t="str">
        <f t="shared" si="4"/>
        <v>uainn</v>
      </c>
      <c r="M42" s="56"/>
      <c r="N42" s="57" t="str">
        <f t="shared" si="6"/>
        <v>xform/uainn/uainn/</v>
      </c>
    </row>
    <row r="43" spans="1:14" ht="27.75" thickBot="1">
      <c r="A43" s="58">
        <f t="shared" si="2"/>
        <v>41</v>
      </c>
      <c r="B43" s="58" t="s">
        <v>120</v>
      </c>
      <c r="C43" s="58" t="s">
        <v>120</v>
      </c>
      <c r="D43" s="58" t="s">
        <v>120</v>
      </c>
      <c r="E43" s="58" t="str" cm="1">
        <f t="array" ref="E43" xml:space="preserve"> IFERROR( INDEX(韻母對照表[注音二式], MATCH(TRUE, EXACT(韻母轉換規則!$C43, 韻母對照表[台羅拼音]), 0)), "")</f>
        <v>uan</v>
      </c>
      <c r="F43" s="58" t="s">
        <v>829</v>
      </c>
      <c r="G43" s="60" t="str" cm="1">
        <f t="array" ref="G43" xml:space="preserve"> IFERROR( INDEX(韻母對照表[白話字], MATCH(TRUE, EXACT(韻母轉換規則!$C43, 韻母對照表[台羅拼音]), 0)), "")</f>
        <v>oan</v>
      </c>
      <c r="H43" s="55" t="str" cm="1">
        <f t="array" ref="H43" xml:space="preserve"> IFERROR( INDEX(韻母對照表[十五音識別碼], MATCH(TRUE, EXACT(韻母轉換規則!$C43, 韻母對照表[台羅拼音]), 0)), "")</f>
        <v>觀舒</v>
      </c>
      <c r="I43" s="58" t="str" cm="1">
        <f t="array" ref="I43" xml:space="preserve"> IFERROR( INDEX(韻母對照表[方音符號], MATCH(TRUE, EXACT(韻母轉換規則!$C43, 韻母對照表[台羅拼音]), 0)), "")</f>
        <v>ㄨㄢ</v>
      </c>
      <c r="J43" s="74"/>
      <c r="K43" s="58" t="str">
        <f t="shared" si="5"/>
        <v>uan</v>
      </c>
      <c r="L43" s="58" t="str">
        <f t="shared" si="4"/>
        <v>uan</v>
      </c>
      <c r="M43" s="56"/>
      <c r="N43" s="57" t="str">
        <f t="shared" si="6"/>
        <v>xform/uan/uan/</v>
      </c>
    </row>
    <row r="44" spans="1:14" ht="27.75" thickBot="1">
      <c r="A44" s="58">
        <f t="shared" si="2"/>
        <v>42</v>
      </c>
      <c r="B44" s="58" t="s">
        <v>880</v>
      </c>
      <c r="C44" s="58" t="s">
        <v>129</v>
      </c>
      <c r="D44" s="58" t="s">
        <v>129</v>
      </c>
      <c r="E44" s="58" t="str" cm="1">
        <f t="array" ref="E44" xml:space="preserve"> IFERROR( INDEX(韻母對照表[注音二式], MATCH(TRUE, EXACT(韻母轉換規則!$C44, 韻母對照表[台羅拼音]), 0)), "")</f>
        <v>uat</v>
      </c>
      <c r="F44" s="58" t="s">
        <v>830</v>
      </c>
      <c r="G44" s="60" t="str" cm="1">
        <f t="array" ref="G44" xml:space="preserve"> IFERROR( INDEX(韻母對照表[白話字], MATCH(TRUE, EXACT(韻母轉換規則!$C44, 韻母對照表[台羅拼音]), 0)), "")</f>
        <v>oat</v>
      </c>
      <c r="H44" s="55" t="str" cm="1">
        <f t="array" ref="H44" xml:space="preserve"> IFERROR( INDEX(韻母對照表[十五音識別碼], MATCH(TRUE, EXACT(韻母轉換規則!$C44, 韻母對照表[台羅拼音]), 0)), "")</f>
        <v>觀促</v>
      </c>
      <c r="I44" s="58" t="str" cm="1">
        <f t="array" ref="I44" xml:space="preserve"> IFERROR( INDEX(韻母對照表[方音符號], MATCH(TRUE, EXACT(韻母轉換規則!$C44, 韻母對照表[台羅拼音]), 0)), "")</f>
        <v>ㄨㄚㆵ</v>
      </c>
      <c r="J44" s="74"/>
      <c r="K44" s="58" t="str">
        <f t="shared" si="5"/>
        <v>uat</v>
      </c>
      <c r="L44" s="58" t="str">
        <f t="shared" si="4"/>
        <v>uat</v>
      </c>
      <c r="M44" s="56"/>
      <c r="N44" s="57" t="str">
        <f t="shared" si="6"/>
        <v>xform/uat/uat/</v>
      </c>
    </row>
    <row r="45" spans="1:14" ht="27.75" thickBot="1">
      <c r="A45" s="58">
        <f t="shared" si="2"/>
        <v>43</v>
      </c>
      <c r="B45" s="58" t="s">
        <v>831</v>
      </c>
      <c r="C45" s="58" t="s">
        <v>290</v>
      </c>
      <c r="D45" s="58" t="s">
        <v>290</v>
      </c>
      <c r="E45" s="76" t="str" cm="1">
        <f t="array" ref="E45" xml:space="preserve"> IFERROR( INDEX(韻母對照表[注音二式], MATCH(TRUE, EXACT(韻母轉換規則!$C45, 韻母對照表[台羅拼音]), 0)), "")</f>
        <v>ueh</v>
      </c>
      <c r="F45" s="58" t="s">
        <v>290</v>
      </c>
      <c r="G45" s="60" t="str" cm="1">
        <f t="array" ref="G45" xml:space="preserve"> IFERROR( INDEX(韻母對照表[白話字], MATCH(TRUE, EXACT(韻母轉換規則!$C45, 韻母對照表[台羅拼音]), 0)), "")</f>
        <v>oeh</v>
      </c>
      <c r="H45" s="55" t="str" cm="1">
        <f t="array" ref="H45" xml:space="preserve"> IFERROR( INDEX(韻母對照表[十五音識別碼], MATCH(TRUE, EXACT(韻母轉換規則!$C45, 韻母對照表[台羅拼音]), 0)), "")</f>
        <v>檜促</v>
      </c>
      <c r="I45" s="58" t="str" cm="1">
        <f t="array" ref="I45" xml:space="preserve"> IFERROR( INDEX(韻母對照表[方音符號], MATCH(TRUE, EXACT(韻母轉換規則!$C45, 韻母對照表[台羅拼音]), 0)), "")</f>
        <v>ㄨㆤㆷ</v>
      </c>
      <c r="J45" s="74"/>
      <c r="K45" s="58" t="str">
        <f t="shared" si="5"/>
        <v>ueh</v>
      </c>
      <c r="L45" s="58" t="str">
        <f t="shared" si="4"/>
        <v>ueh</v>
      </c>
      <c r="M45" s="56"/>
      <c r="N45" s="57" t="str">
        <f t="shared" si="6"/>
        <v>xform/ueh/ueh/</v>
      </c>
    </row>
    <row r="46" spans="1:14" ht="27.75" thickBot="1">
      <c r="A46" s="58">
        <f t="shared" si="2"/>
        <v>44</v>
      </c>
      <c r="B46" s="58" t="s">
        <v>56</v>
      </c>
      <c r="C46" s="58" t="s">
        <v>59</v>
      </c>
      <c r="D46" s="58" t="s">
        <v>59</v>
      </c>
      <c r="E46" s="58" t="str" cm="1">
        <f t="array" ref="E46" xml:space="preserve"> IFERROR( INDEX(韻母對照表[注音二式], MATCH(TRUE, EXACT(韻母轉換規則!$C46, 韻母對照表[台羅拼音]), 0)), "")</f>
        <v>e</v>
      </c>
      <c r="F46" s="58" t="s">
        <v>832</v>
      </c>
      <c r="G46" s="62"/>
      <c r="H46" s="55" t="str" cm="1">
        <f t="array" ref="H46" xml:space="preserve"> IFERROR( INDEX(韻母對照表[十五音識別碼], MATCH(TRUE, EXACT(韻母轉換規則!$C46, 韻母對照表[台羅拼音]), 0)), "")</f>
        <v>嘉舒</v>
      </c>
      <c r="I46" s="58" t="str" cm="1">
        <f t="array" ref="I46" xml:space="preserve"> IFERROR( INDEX(韻母對照表[方音符號], MATCH(TRUE, EXACT(韻母轉換規則!$C46, 韻母對照表[台羅拼音]), 0)), "")</f>
        <v>ㄝ</v>
      </c>
      <c r="J46" s="74"/>
      <c r="K46" s="58" t="str">
        <f t="shared" si="5"/>
        <v>e</v>
      </c>
      <c r="L46" s="58" t="str">
        <f t="shared" si="4"/>
        <v>ee</v>
      </c>
      <c r="M46" s="56"/>
      <c r="N46" s="57" t="str">
        <f t="shared" si="6"/>
        <v>xform/e/ee/</v>
      </c>
    </row>
    <row r="47" spans="1:14" ht="27.75" thickBot="1">
      <c r="A47" s="58">
        <f t="shared" si="2"/>
        <v>45</v>
      </c>
      <c r="B47" s="58" t="s">
        <v>833</v>
      </c>
      <c r="C47" s="58" t="s">
        <v>321</v>
      </c>
      <c r="D47" s="58" t="s">
        <v>321</v>
      </c>
      <c r="E47" s="58" t="str" cm="1">
        <f t="array" ref="E47" xml:space="preserve"> IFERROR( INDEX(韻母對照表[注音二式], MATCH(TRUE, EXACT(韻母轉換規則!$C47, 韻母對照表[台羅拼音]), 0)), "")</f>
        <v>ah</v>
      </c>
      <c r="F47" s="58" t="s">
        <v>834</v>
      </c>
      <c r="G47" s="61" t="str" cm="1">
        <f t="array" ref="G47" xml:space="preserve"> IFERROR( INDEX(韻母對照表[白話字], MATCH(TRUE, EXACT(韻母轉換規則!$C47, 韻母對照表[台羅拼音]), 0)), "")</f>
        <v>ah</v>
      </c>
      <c r="H47" s="55" t="str" cm="1">
        <f t="array" ref="H47" xml:space="preserve"> IFERROR( INDEX(韻母對照表[十五音識別碼], MATCH(TRUE, EXACT(韻母轉換規則!$C47, 韻母對照表[台羅拼音]), 0)), "")</f>
        <v>膠促</v>
      </c>
      <c r="I47" s="58" t="str" cm="1">
        <f t="array" ref="I47" xml:space="preserve"> IFERROR( INDEX(韻母對照表[方音符號], MATCH(TRUE, EXACT(韻母轉換規則!$C47, 韻母對照表[台羅拼音]), 0)), "")</f>
        <v>ㄚㆷ</v>
      </c>
      <c r="J47" s="74"/>
      <c r="K47" s="58" t="str">
        <f t="shared" si="5"/>
        <v>ah</v>
      </c>
      <c r="L47" s="58" t="str">
        <f t="shared" si="4"/>
        <v>ah</v>
      </c>
      <c r="M47" s="56"/>
      <c r="N47" s="57" t="str">
        <f t="shared" si="6"/>
        <v>xform/ah/ah/</v>
      </c>
    </row>
    <row r="48" spans="1:14" ht="27.75" thickBot="1">
      <c r="A48" s="58">
        <f t="shared" si="2"/>
        <v>46</v>
      </c>
      <c r="B48" s="58" t="s">
        <v>183</v>
      </c>
      <c r="C48" s="58" t="s">
        <v>183</v>
      </c>
      <c r="D48" s="58" t="s">
        <v>183</v>
      </c>
      <c r="E48" s="58" t="str" cm="1">
        <f t="array" ref="E48" xml:space="preserve"> IFERROR( INDEX(韻母對照表[注音二式], MATCH(TRUE, EXACT(韻母轉換規則!$C48, 韻母對照表[台羅拼音]), 0)), "")</f>
        <v>ai</v>
      </c>
      <c r="F48" s="58" t="s">
        <v>183</v>
      </c>
      <c r="G48" s="61" t="str" cm="1">
        <f t="array" ref="G48" xml:space="preserve"> IFERROR( INDEX(韻母對照表[白話字], MATCH(TRUE, EXACT(韻母轉換規則!$C48, 韻母對照表[台羅拼音]), 0)), "")</f>
        <v>ai</v>
      </c>
      <c r="H48" s="55" t="str" cm="1">
        <f t="array" ref="H48" xml:space="preserve"> IFERROR( INDEX(韻母對照表[十五音識別碼], MATCH(TRUE, EXACT(韻母轉換規則!$C48, 韻母對照表[台羅拼音]), 0)), "")</f>
        <v>皆舒</v>
      </c>
      <c r="I48" s="58" t="str" cm="1">
        <f t="array" ref="I48" xml:space="preserve"> IFERROR( INDEX(韻母對照表[方音符號], MATCH(TRUE, EXACT(韻母轉換規則!$C48, 韻母對照表[台羅拼音]), 0)), "")</f>
        <v>ㄞ</v>
      </c>
      <c r="J48" s="74"/>
      <c r="K48" s="58" t="str">
        <f t="shared" si="5"/>
        <v>ai</v>
      </c>
      <c r="L48" s="58" t="str">
        <f t="shared" si="4"/>
        <v>ai</v>
      </c>
      <c r="M48" s="56"/>
      <c r="N48" s="57" t="str">
        <f t="shared" si="6"/>
        <v>xform/ai/ai/</v>
      </c>
    </row>
    <row r="49" spans="1:14" ht="27.75" thickBot="1">
      <c r="A49" s="58">
        <f t="shared" si="2"/>
        <v>47</v>
      </c>
      <c r="B49" s="58" t="s">
        <v>889</v>
      </c>
      <c r="C49" s="58" t="s">
        <v>243</v>
      </c>
      <c r="D49" s="58" t="s">
        <v>243</v>
      </c>
      <c r="E49" s="76" t="str" cm="1">
        <f t="array" ref="E49" xml:space="preserve"> IFERROR( INDEX(韻母對照表[注音二式], MATCH(TRUE, EXACT(韻母轉換規則!$C49, 韻母對照表[台羅拼音]), 0)), "")</f>
        <v>ak</v>
      </c>
      <c r="F49" s="58" t="s">
        <v>835</v>
      </c>
      <c r="G49" s="61" t="str" cm="1">
        <f t="array" ref="G49" xml:space="preserve"> IFERROR( INDEX(韻母對照表[白話字], MATCH(TRUE, EXACT(韻母轉換規則!$C49, 韻母對照表[台羅拼音]), 0)), "")</f>
        <v>ak</v>
      </c>
      <c r="H49" s="55" t="str" cm="1">
        <f t="array" ref="H49" xml:space="preserve"> IFERROR( INDEX(韻母對照表[十五音識別碼], MATCH(TRUE, EXACT(韻母轉換規則!$C49, 韻母對照表[台羅拼音]), 0)), "")</f>
        <v>江促</v>
      </c>
      <c r="I49" s="58" t="str" cm="1">
        <f t="array" ref="I49" xml:space="preserve"> IFERROR( INDEX(韻母對照表[方音符號], MATCH(TRUE, EXACT(韻母轉換規則!$C49, 韻母對照表[台羅拼音]), 0)), "")</f>
        <v>ㄚㆻ</v>
      </c>
      <c r="J49" s="74"/>
      <c r="K49" s="58" t="str">
        <f t="shared" si="5"/>
        <v>ak</v>
      </c>
      <c r="L49" s="58" t="str">
        <f t="shared" si="4"/>
        <v>ak</v>
      </c>
      <c r="M49" s="56"/>
      <c r="N49" s="57" t="str">
        <f t="shared" si="6"/>
        <v>xform/ak/ak/</v>
      </c>
    </row>
    <row r="50" spans="1:14" ht="27.75" thickBot="1">
      <c r="A50" s="58">
        <f t="shared" si="2"/>
        <v>48</v>
      </c>
      <c r="B50" s="58" t="s">
        <v>211</v>
      </c>
      <c r="C50" s="58" t="s">
        <v>211</v>
      </c>
      <c r="D50" s="58" t="s">
        <v>211</v>
      </c>
      <c r="E50" s="58" t="str" cm="1">
        <f t="array" ref="E50" xml:space="preserve"> IFERROR( INDEX(韻母對照表[注音二式], MATCH(TRUE, EXACT(韻母轉換規則!$C50, 韻母對照表[台羅拼音]), 0)), "")</f>
        <v>am</v>
      </c>
      <c r="F50" s="58" t="s">
        <v>836</v>
      </c>
      <c r="G50" s="61" t="str" cm="1">
        <f t="array" ref="G50" xml:space="preserve"> IFERROR( INDEX(韻母對照表[白話字], MATCH(TRUE, EXACT(韻母轉換規則!$C50, 韻母對照表[台羅拼音]), 0)), "")</f>
        <v>am</v>
      </c>
      <c r="H50" s="55" t="str" cm="1">
        <f t="array" ref="H50" xml:space="preserve"> IFERROR( INDEX(韻母對照表[十五音識別碼], MATCH(TRUE, EXACT(韻母轉換規則!$C50, 韻母對照表[台羅拼音]), 0)), "")</f>
        <v>甘舒</v>
      </c>
      <c r="I50" s="58" t="str" cm="1">
        <f t="array" ref="I50" xml:space="preserve"> IFERROR( INDEX(韻母對照表[方音符號], MATCH(TRUE, EXACT(韻母轉換規則!$C50, 韻母對照表[台羅拼音]), 0)), "")</f>
        <v>ㆰ</v>
      </c>
      <c r="J50" s="74"/>
      <c r="K50" s="58" t="str">
        <f t="shared" si="5"/>
        <v>am</v>
      </c>
      <c r="L50" s="58" t="str">
        <f t="shared" si="4"/>
        <v>am</v>
      </c>
      <c r="M50" s="56"/>
      <c r="N50" s="57" t="str">
        <f t="shared" si="6"/>
        <v>xform/am/am/</v>
      </c>
    </row>
    <row r="51" spans="1:14" ht="27.75" thickBot="1">
      <c r="A51" s="58">
        <f t="shared" si="2"/>
        <v>49</v>
      </c>
      <c r="B51" s="58" t="s">
        <v>69</v>
      </c>
      <c r="C51" s="58" t="s">
        <v>69</v>
      </c>
      <c r="D51" s="58" t="s">
        <v>69</v>
      </c>
      <c r="E51" s="58" t="str" cm="1">
        <f t="array" ref="E51" xml:space="preserve"> IFERROR( INDEX(韻母對照表[注音二式], MATCH(TRUE, EXACT(韻母轉換規則!$C51, 韻母對照表[台羅拼音]), 0)), "")</f>
        <v>an</v>
      </c>
      <c r="F51" s="58" t="s">
        <v>837</v>
      </c>
      <c r="G51" s="61" t="str" cm="1">
        <f t="array" ref="G51" xml:space="preserve"> IFERROR( INDEX(韻母對照表[白話字], MATCH(TRUE, EXACT(韻母轉換規則!$C51, 韻母對照表[台羅拼音]), 0)), "")</f>
        <v>an</v>
      </c>
      <c r="H51" s="55" t="str" cm="1">
        <f t="array" ref="H51" xml:space="preserve"> IFERROR( INDEX(韻母對照表[十五音識別碼], MATCH(TRUE, EXACT(韻母轉換規則!$C51, 韻母對照表[台羅拼音]), 0)), "")</f>
        <v>干舒</v>
      </c>
      <c r="I51" s="58" t="str" cm="1">
        <f t="array" ref="I51" xml:space="preserve"> IFERROR( INDEX(韻母對照表[方音符號], MATCH(TRUE, EXACT(韻母轉換規則!$C51, 韻母對照表[台羅拼音]), 0)), "")</f>
        <v>ㄢ</v>
      </c>
      <c r="J51" s="74"/>
      <c r="K51" s="58" t="str">
        <f t="shared" si="5"/>
        <v>an</v>
      </c>
      <c r="L51" s="58" t="str">
        <f t="shared" si="4"/>
        <v>an</v>
      </c>
      <c r="M51" s="56"/>
      <c r="N51" s="57" t="str">
        <f t="shared" si="6"/>
        <v>xform/an/an/</v>
      </c>
    </row>
    <row r="52" spans="1:14" ht="27.75" thickBot="1">
      <c r="A52" s="58">
        <f t="shared" si="2"/>
        <v>50</v>
      </c>
      <c r="B52" s="58" t="s">
        <v>260</v>
      </c>
      <c r="C52" s="58" t="s">
        <v>260</v>
      </c>
      <c r="D52" s="58" t="s">
        <v>260</v>
      </c>
      <c r="E52" s="58" t="str" cm="1">
        <f t="array" ref="E52" xml:space="preserve"> IFERROR( INDEX(韻母對照表[注音二式], MATCH(TRUE, EXACT(韻母轉換規則!$C52, 韻母對照表[台羅拼音]), 0)), "")</f>
        <v>au</v>
      </c>
      <c r="F52" s="58" t="s">
        <v>263</v>
      </c>
      <c r="G52" s="60" t="str" cm="1">
        <f t="array" ref="G52" xml:space="preserve"> IFERROR( INDEX(韻母對照表[白話字], MATCH(TRUE, EXACT(韻母轉換規則!$C52, 韻母對照表[台羅拼音]), 0)), "")</f>
        <v>au</v>
      </c>
      <c r="H52" s="55" t="str" cm="1">
        <f t="array" ref="H52" xml:space="preserve"> IFERROR( INDEX(韻母對照表[十五音識別碼], MATCH(TRUE, EXACT(韻母轉換規則!$C52, 韻母對照表[台羅拼音]), 0)), "")</f>
        <v>交舒</v>
      </c>
      <c r="I52" s="58" t="str" cm="1">
        <f t="array" ref="I52" xml:space="preserve"> IFERROR( INDEX(韻母對照表[方音符號], MATCH(TRUE, EXACT(韻母轉換規則!$C52, 韻母對照表[台羅拼音]), 0)), "")</f>
        <v>ㄠ</v>
      </c>
      <c r="J52" s="74"/>
      <c r="K52" s="58" t="str">
        <f t="shared" si="5"/>
        <v>au</v>
      </c>
      <c r="L52" s="58" t="str">
        <f t="shared" si="4"/>
        <v>au</v>
      </c>
      <c r="M52" s="56"/>
      <c r="N52" s="57" t="str">
        <f t="shared" si="6"/>
        <v>xform/au/au/</v>
      </c>
    </row>
    <row r="53" spans="1:14" ht="27.75" thickBot="1">
      <c r="A53" s="58">
        <f t="shared" si="2"/>
        <v>51</v>
      </c>
      <c r="B53" s="58" t="s">
        <v>885</v>
      </c>
      <c r="C53" s="58" t="s">
        <v>219</v>
      </c>
      <c r="D53" s="58" t="s">
        <v>219</v>
      </c>
      <c r="E53" s="58" t="str" cm="1">
        <f t="array" ref="E53" xml:space="preserve"> IFERROR( INDEX(韻母對照表[注音二式], MATCH(TRUE, EXACT(韻母轉換規則!$C53, 韻母對照表[台羅拼音]), 0)), "")</f>
        <v>ap</v>
      </c>
      <c r="F53" s="58" t="s">
        <v>838</v>
      </c>
      <c r="G53" s="61" t="str" cm="1">
        <f t="array" ref="G53" xml:space="preserve"> IFERROR( INDEX(韻母對照表[白話字], MATCH(TRUE, EXACT(韻母轉換規則!$C53, 韻母對照表[台羅拼音]), 0)), "")</f>
        <v>ap</v>
      </c>
      <c r="H53" s="55" t="str" cm="1">
        <f t="array" ref="H53" xml:space="preserve"> IFERROR( INDEX(韻母對照表[十五音識別碼], MATCH(TRUE, EXACT(韻母轉換規則!$C53, 韻母對照表[台羅拼音]), 0)), "")</f>
        <v>甘促</v>
      </c>
      <c r="I53" s="58" t="str" cm="1">
        <f t="array" ref="I53" xml:space="preserve"> IFERROR( INDEX(韻母對照表[方音符號], MATCH(TRUE, EXACT(韻母轉換規則!$C53, 韻母對照表[台羅拼音]), 0)), "")</f>
        <v>ㄚㆴ</v>
      </c>
      <c r="J53" s="74"/>
      <c r="K53" s="58" t="str">
        <f t="shared" si="5"/>
        <v>ap</v>
      </c>
      <c r="L53" s="58" t="str">
        <f t="shared" si="4"/>
        <v>ap</v>
      </c>
      <c r="M53" s="56"/>
      <c r="N53" s="57" t="str">
        <f t="shared" si="6"/>
        <v>xform/ap/ap/</v>
      </c>
    </row>
    <row r="54" spans="1:14" ht="27.75" thickBot="1">
      <c r="A54" s="58">
        <f t="shared" si="2"/>
        <v>52</v>
      </c>
      <c r="B54" s="58" t="s">
        <v>881</v>
      </c>
      <c r="C54" s="58" t="s">
        <v>77</v>
      </c>
      <c r="D54" s="58" t="s">
        <v>77</v>
      </c>
      <c r="E54" s="58" t="str" cm="1">
        <f t="array" ref="E54" xml:space="preserve"> IFERROR( INDEX(韻母對照表[注音二式], MATCH(TRUE, EXACT(韻母轉換規則!$C54, 韻母對照表[台羅拼音]), 0)), "")</f>
        <v>at</v>
      </c>
      <c r="F54" s="58" t="s">
        <v>839</v>
      </c>
      <c r="G54" s="61" t="str" cm="1">
        <f t="array" ref="G54" xml:space="preserve"> IFERROR( INDEX(韻母對照表[白話字], MATCH(TRUE, EXACT(韻母轉換規則!$C54, 韻母對照表[台羅拼音]), 0)), "")</f>
        <v>at</v>
      </c>
      <c r="H54" s="55" t="str" cm="1">
        <f t="array" ref="H54" xml:space="preserve"> IFERROR( INDEX(韻母對照表[十五音識別碼], MATCH(TRUE, EXACT(韻母轉換規則!$C54, 韻母對照表[台羅拼音]), 0)), "")</f>
        <v>干促</v>
      </c>
      <c r="I54" s="58" t="str" cm="1">
        <f t="array" ref="I54" xml:space="preserve"> IFERROR( INDEX(韻母對照表[方音符號], MATCH(TRUE, EXACT(韻母轉換規則!$C54, 韻母對照表[台羅拼音]), 0)), "")</f>
        <v>ㄚㆵ</v>
      </c>
      <c r="J54" s="74"/>
      <c r="K54" s="58" t="str">
        <f t="shared" si="5"/>
        <v>at</v>
      </c>
      <c r="L54" s="58" t="str">
        <f t="shared" si="4"/>
        <v>at</v>
      </c>
      <c r="M54" s="56"/>
      <c r="N54" s="57" t="str">
        <f t="shared" si="6"/>
        <v>xform/at/at/</v>
      </c>
    </row>
    <row r="55" spans="1:14" ht="27.75" thickBot="1">
      <c r="A55" s="58">
        <f t="shared" si="2"/>
        <v>53</v>
      </c>
      <c r="B55" s="58" t="s">
        <v>840</v>
      </c>
      <c r="C55" s="58" t="s">
        <v>65</v>
      </c>
      <c r="D55" s="58" t="s">
        <v>65</v>
      </c>
      <c r="E55" s="58" t="str" cm="1">
        <f t="array" ref="E55" xml:space="preserve"> IFERROR( INDEX(韻母對照表[注音二式], MATCH(TRUE, EXACT(韻母轉換規則!$C55, 韻母對照表[台羅拼音]), 0)), "")</f>
        <v>eh</v>
      </c>
      <c r="F55" s="58" t="s">
        <v>65</v>
      </c>
      <c r="G55" s="61" t="str" cm="1">
        <f t="array" ref="G55" xml:space="preserve"> IFERROR( INDEX(韻母對照表[白話字], MATCH(TRUE, EXACT(韻母轉換規則!$C55, 韻母對照表[台羅拼音]), 0)), "")</f>
        <v>eh</v>
      </c>
      <c r="H55" s="55" t="str" cm="1">
        <f t="array" ref="H55" xml:space="preserve"> IFERROR( INDEX(韻母對照表[十五音識別碼], MATCH(TRUE, EXACT(韻母轉換規則!$C55, 韻母對照表[台羅拼音]), 0)), "")</f>
        <v>伽促</v>
      </c>
      <c r="I55" s="58" t="str" cm="1">
        <f t="array" ref="I55" xml:space="preserve"> IFERROR( INDEX(韻母對照表[方音符號], MATCH(TRUE, EXACT(韻母轉換規則!$C55, 韻母對照表[台羅拼音]), 0)), "")</f>
        <v>ㆤㆷ</v>
      </c>
      <c r="J55" s="74"/>
      <c r="K55" s="58" t="str">
        <f t="shared" si="5"/>
        <v>eh</v>
      </c>
      <c r="L55" s="58" t="str">
        <f t="shared" si="4"/>
        <v>eh</v>
      </c>
      <c r="M55" s="56"/>
      <c r="N55" s="57" t="str">
        <f t="shared" si="6"/>
        <v>xform/eh/eh/</v>
      </c>
    </row>
    <row r="56" spans="1:14" ht="27.75" thickBot="1">
      <c r="A56" s="58">
        <f t="shared" si="2"/>
        <v>54</v>
      </c>
      <c r="B56" s="75" t="s">
        <v>841</v>
      </c>
      <c r="C56" s="58" t="s">
        <v>842</v>
      </c>
      <c r="D56" s="58" t="s">
        <v>842</v>
      </c>
      <c r="E56" s="62" t="str" cm="1">
        <f t="array" ref="E56" xml:space="preserve"> IFERROR( INDEX(韻母對照表[注音二式], MATCH(TRUE, EXACT(韻母轉換規則!$C56, 韻母對照表[台羅拼音]), 0)), "")</f>
        <v/>
      </c>
      <c r="F56" s="58" t="s">
        <v>843</v>
      </c>
      <c r="G56" s="62" t="str" cm="1">
        <f t="array" ref="G56" xml:space="preserve"> IFERROR( INDEX(韻母對照表[白話字], MATCH(TRUE, EXACT(韻母轉換規則!$C56, 韻母對照表[台羅拼音]), 0)), "")</f>
        <v/>
      </c>
      <c r="H56" s="55" t="str" cm="1">
        <f t="array" ref="H56" xml:space="preserve"> IFERROR( INDEX(韻母對照表[十五音識別碼], MATCH(TRUE, EXACT(韻母轉換規則!$C56, 韻母對照表[台羅拼音]), 0)), "")</f>
        <v/>
      </c>
      <c r="I56" s="58" t="str" cm="1">
        <f t="array" ref="I56" xml:space="preserve"> IFERROR( INDEX(韻母對照表[方音符號], MATCH(TRUE, EXACT(韻母轉換規則!$C56, 韻母對照表[台羅拼音]), 0)), "")</f>
        <v/>
      </c>
      <c r="J56" s="74"/>
      <c r="K56" s="58" t="str">
        <f t="shared" si="5"/>
        <v/>
      </c>
      <c r="L56" s="58" t="str">
        <f t="shared" si="4"/>
        <v>ir</v>
      </c>
      <c r="M56" s="56"/>
      <c r="N56" s="57" t="str">
        <f t="shared" si="6"/>
        <v/>
      </c>
    </row>
    <row r="57" spans="1:14" ht="27.75" thickBot="1">
      <c r="A57" s="58">
        <f t="shared" si="2"/>
        <v>55</v>
      </c>
      <c r="B57" s="58" t="s">
        <v>272</v>
      </c>
      <c r="C57" s="58" t="s">
        <v>272</v>
      </c>
      <c r="D57" s="58" t="s">
        <v>272</v>
      </c>
      <c r="E57" s="58" t="str" cm="1">
        <f t="array" ref="E57" xml:space="preserve"> IFERROR( INDEX(韻母對照表[注音二式], MATCH(TRUE, EXACT(韻母轉換規則!$C57, 韻母對照表[台羅拼音]), 0)), "")</f>
        <v>ia</v>
      </c>
      <c r="F57" s="58" t="s">
        <v>844</v>
      </c>
      <c r="G57" s="61" t="str" cm="1">
        <f t="array" ref="G57" xml:space="preserve"> IFERROR( INDEX(韻母對照表[白話字], MATCH(TRUE, EXACT(韻母轉換規則!$C57, 韻母對照表[台羅拼音]), 0)), "")</f>
        <v>ia</v>
      </c>
      <c r="H57" s="55" t="str" cm="1">
        <f t="array" ref="H57" xml:space="preserve"> IFERROR( INDEX(韻母對照表[十五音識別碼], MATCH(TRUE, EXACT(韻母轉換規則!$C57, 韻母對照表[台羅拼音]), 0)), "")</f>
        <v>迦舒</v>
      </c>
      <c r="I57" s="58" t="str" cm="1">
        <f t="array" ref="I57" xml:space="preserve"> IFERROR( INDEX(韻母對照表[方音符號], MATCH(TRUE, EXACT(韻母轉換規則!$C57, 韻母對照表[台羅拼音]), 0)), "")</f>
        <v>ㄧㄚ</v>
      </c>
      <c r="J57" s="74"/>
      <c r="K57" s="58" t="str">
        <f t="shared" si="5"/>
        <v>ia</v>
      </c>
      <c r="L57" s="58" t="str">
        <f t="shared" si="4"/>
        <v>ia</v>
      </c>
      <c r="M57" s="56"/>
      <c r="N57" s="57" t="str">
        <f t="shared" si="6"/>
        <v>xform/ia/ia/</v>
      </c>
    </row>
    <row r="58" spans="1:14" ht="27.75" thickBot="1">
      <c r="A58" s="58">
        <f t="shared" si="2"/>
        <v>56</v>
      </c>
      <c r="B58" s="75" t="s">
        <v>845</v>
      </c>
      <c r="C58" s="58" t="s">
        <v>846</v>
      </c>
      <c r="D58" s="58" t="s">
        <v>846</v>
      </c>
      <c r="E58" s="62" t="str" cm="1">
        <f t="array" ref="E58" xml:space="preserve"> IFERROR( INDEX(韻母對照表[注音二式], MATCH(TRUE, EXACT(韻母轉換規則!$C58, 韻母對照表[台羅拼音]), 0)), "")</f>
        <v/>
      </c>
      <c r="F58" s="58" t="s">
        <v>847</v>
      </c>
      <c r="G58" s="62" t="str" cm="1">
        <f t="array" ref="G58" xml:space="preserve"> IFERROR( INDEX(韻母對照表[白話字], MATCH(TRUE, EXACT(韻母轉換規則!$C58, 韻母對照表[台羅拼音]), 0)), "")</f>
        <v/>
      </c>
      <c r="H58" s="55" t="str" cm="1">
        <f t="array" ref="H58" xml:space="preserve"> IFERROR( INDEX(韻母對照表[十五音識別碼], MATCH(TRUE, EXACT(韻母轉換規則!$C58, 韻母對照表[台羅拼音]), 0)), "")</f>
        <v/>
      </c>
      <c r="I58" s="58" t="str" cm="1">
        <f t="array" ref="I58" xml:space="preserve"> IFERROR( INDEX(韻母對照表[方音符號], MATCH(TRUE, EXACT(韻母轉換規則!$C58, 韻母對照表[台羅拼音]), 0)), "")</f>
        <v/>
      </c>
      <c r="J58" s="74"/>
      <c r="K58" s="58" t="str">
        <f t="shared" si="5"/>
        <v/>
      </c>
      <c r="L58" s="58" t="str">
        <f t="shared" si="4"/>
        <v>er</v>
      </c>
      <c r="M58" s="56"/>
      <c r="N58" s="57" t="str">
        <f t="shared" si="6"/>
        <v/>
      </c>
    </row>
    <row r="59" spans="1:14" ht="27.75" thickBot="1">
      <c r="A59" s="58">
        <f t="shared" si="2"/>
        <v>57</v>
      </c>
      <c r="B59" s="58" t="s">
        <v>848</v>
      </c>
      <c r="C59" s="58" t="s">
        <v>329</v>
      </c>
      <c r="D59" s="58" t="s">
        <v>329</v>
      </c>
      <c r="E59" s="58" t="str" cm="1">
        <f t="array" ref="E59" xml:space="preserve"> IFERROR( INDEX(韻母對照表[注音二式], MATCH(TRUE, EXACT(韻母轉換規則!$C59, 韻母對照表[台羅拼音]), 0)), "")</f>
        <v>ih</v>
      </c>
      <c r="F59" s="58" t="s">
        <v>329</v>
      </c>
      <c r="G59" s="61" t="str" cm="1">
        <f t="array" ref="G59" xml:space="preserve"> IFERROR( INDEX(韻母對照表[白話字], MATCH(TRUE, EXACT(韻母轉換規則!$C59, 韻母對照表[台羅拼音]), 0)), "")</f>
        <v>ih</v>
      </c>
      <c r="H59" s="55" t="str" cm="1">
        <f t="array" ref="H59" xml:space="preserve"> IFERROR( INDEX(韻母對照表[十五音識別碼], MATCH(TRUE, EXACT(韻母轉換規則!$C59, 韻母對照表[台羅拼音]), 0)), "")</f>
        <v>居促</v>
      </c>
      <c r="I59" s="58" t="str" cm="1">
        <f t="array" ref="I59" xml:space="preserve"> IFERROR( INDEX(韻母對照表[方音符號], MATCH(TRUE, EXACT(韻母轉換規則!$C59, 韻母對照表[台羅拼音]), 0)), "")</f>
        <v>ㄧㆷ</v>
      </c>
      <c r="J59" s="74"/>
      <c r="K59" s="58" t="str">
        <f t="shared" si="5"/>
        <v>ih</v>
      </c>
      <c r="L59" s="58" t="str">
        <f t="shared" si="4"/>
        <v>ih</v>
      </c>
      <c r="M59" s="56"/>
      <c r="N59" s="57" t="str">
        <f t="shared" si="6"/>
        <v>xform/ih/ih/</v>
      </c>
    </row>
    <row r="60" spans="1:14" ht="27.75" thickBot="1">
      <c r="A60" s="58">
        <f t="shared" si="2"/>
        <v>58</v>
      </c>
      <c r="B60" s="58" t="s">
        <v>890</v>
      </c>
      <c r="C60" s="58" t="s">
        <v>115</v>
      </c>
      <c r="D60" s="58" t="s">
        <v>115</v>
      </c>
      <c r="E60" s="58" t="str" cm="1">
        <f t="array" ref="E60" xml:space="preserve"> IFERROR( INDEX(韻母對照表[注音二式], MATCH(TRUE, EXACT(韻母轉換規則!$C60, 韻母對照表[台羅拼音]), 0)), "")</f>
        <v>ik</v>
      </c>
      <c r="F60" s="58" t="s">
        <v>115</v>
      </c>
      <c r="G60" s="60" t="str" cm="1">
        <f t="array" ref="G60" xml:space="preserve"> IFERROR( INDEX(韻母對照表[白話字], MATCH(TRUE, EXACT(韻母轉換規則!$C60, 韻母對照表[台羅拼音]), 0)), "")</f>
        <v>ek</v>
      </c>
      <c r="H60" s="55" t="str" cm="1">
        <f t="array" ref="H60" xml:space="preserve"> IFERROR( INDEX(韻母對照表[十五音識別碼], MATCH(TRUE, EXACT(韻母轉換規則!$C60, 韻母對照表[台羅拼音]), 0)), "")</f>
        <v>經促</v>
      </c>
      <c r="I60" s="58" t="str" cm="1">
        <f t="array" ref="I60" xml:space="preserve"> IFERROR( INDEX(韻母對照表[方音符號], MATCH(TRUE, EXACT(韻母轉換規則!$C60, 韻母對照表[台羅拼音]), 0)), "")</f>
        <v>ㄧㆻ</v>
      </c>
      <c r="J60" s="74"/>
      <c r="K60" s="58" t="str">
        <f t="shared" si="5"/>
        <v>ik</v>
      </c>
      <c r="L60" s="58" t="str">
        <f t="shared" si="4"/>
        <v>ik</v>
      </c>
      <c r="M60" s="56"/>
      <c r="N60" s="57" t="str">
        <f t="shared" si="6"/>
        <v>xform/ik/ik/</v>
      </c>
    </row>
    <row r="61" spans="1:14" ht="27.75" thickBot="1">
      <c r="A61" s="58">
        <f t="shared" si="2"/>
        <v>59</v>
      </c>
      <c r="B61" s="58" t="s">
        <v>38</v>
      </c>
      <c r="C61" s="58" t="s">
        <v>38</v>
      </c>
      <c r="D61" s="58" t="s">
        <v>38</v>
      </c>
      <c r="E61" s="58" t="str" cm="1">
        <f t="array" ref="E61" xml:space="preserve"> IFERROR( INDEX(韻母對照表[注音二式], MATCH(TRUE, EXACT(韻母轉換規則!$C61, 韻母對照表[台羅拼音]), 0)), "")</f>
        <v>im</v>
      </c>
      <c r="F61" s="58" t="s">
        <v>38</v>
      </c>
      <c r="G61" s="61" t="str" cm="1">
        <f t="array" ref="G61" xml:space="preserve"> IFERROR( INDEX(韻母對照表[白話字], MATCH(TRUE, EXACT(韻母轉換規則!$C61, 韻母對照表[台羅拼音]), 0)), "")</f>
        <v>im</v>
      </c>
      <c r="H61" s="55" t="str" cm="1">
        <f t="array" ref="H61" xml:space="preserve"> IFERROR( INDEX(韻母對照表[十五音識別碼], MATCH(TRUE, EXACT(韻母轉換規則!$C61, 韻母對照表[台羅拼音]), 0)), "")</f>
        <v>金舒</v>
      </c>
      <c r="I61" s="58" t="str" cm="1">
        <f t="array" ref="I61" xml:space="preserve"> IFERROR( INDEX(韻母對照表[方音符號], MATCH(TRUE, EXACT(韻母轉換規則!$C61, 韻母對照表[台羅拼音]), 0)), "")</f>
        <v>ㄧㆬ</v>
      </c>
      <c r="J61" s="74"/>
      <c r="K61" s="58" t="str">
        <f t="shared" si="5"/>
        <v>im</v>
      </c>
      <c r="L61" s="58" t="str">
        <f t="shared" si="4"/>
        <v>im</v>
      </c>
      <c r="M61" s="56"/>
      <c r="N61" s="57" t="str">
        <f t="shared" si="6"/>
        <v>xform/im/im/</v>
      </c>
    </row>
    <row r="62" spans="1:14" ht="27.75" thickBot="1">
      <c r="A62" s="58">
        <f t="shared" si="2"/>
        <v>60</v>
      </c>
      <c r="B62" s="58" t="s">
        <v>189</v>
      </c>
      <c r="C62" s="58" t="s">
        <v>189</v>
      </c>
      <c r="D62" s="58" t="s">
        <v>189</v>
      </c>
      <c r="E62" s="58" t="str" cm="1">
        <f t="array" ref="E62" xml:space="preserve"> IFERROR( INDEX(韻母對照表[注音二式], MATCH(TRUE, EXACT(韻母轉換規則!$C62, 韻母對照表[台羅拼音]), 0)), "")</f>
        <v>in</v>
      </c>
      <c r="F62" s="58" t="s">
        <v>189</v>
      </c>
      <c r="G62" s="61" t="str" cm="1">
        <f t="array" ref="G62" xml:space="preserve"> IFERROR( INDEX(韻母對照表[白話字], MATCH(TRUE, EXACT(韻母轉換規則!$C62, 韻母對照表[台羅拼音]), 0)), "")</f>
        <v>in</v>
      </c>
      <c r="H62" s="55" t="str" cm="1">
        <f t="array" ref="H62" xml:space="preserve"> IFERROR( INDEX(韻母對照表[十五音識別碼], MATCH(TRUE, EXACT(韻母轉換規則!$C62, 韻母對照表[台羅拼音]), 0)), "")</f>
        <v>巾舒</v>
      </c>
      <c r="I62" s="58" t="str" cm="1">
        <f t="array" ref="I62" xml:space="preserve"> IFERROR( INDEX(韻母對照表[方音符號], MATCH(TRUE, EXACT(韻母轉換規則!$C62, 韻母對照表[台羅拼音]), 0)), "")</f>
        <v>ㄧㄣ</v>
      </c>
      <c r="J62" s="74"/>
      <c r="K62" s="58" t="str">
        <f t="shared" si="5"/>
        <v>in</v>
      </c>
      <c r="L62" s="58" t="str">
        <f t="shared" si="4"/>
        <v>in</v>
      </c>
      <c r="M62" s="56"/>
      <c r="N62" s="57" t="str">
        <f t="shared" si="6"/>
        <v>xform/in/in/</v>
      </c>
    </row>
    <row r="63" spans="1:14" ht="27.75" thickBot="1">
      <c r="A63" s="58">
        <f t="shared" si="2"/>
        <v>61</v>
      </c>
      <c r="B63" s="58" t="s">
        <v>357</v>
      </c>
      <c r="C63" s="58" t="s">
        <v>357</v>
      </c>
      <c r="D63" s="58" t="s">
        <v>357</v>
      </c>
      <c r="E63" s="58" t="str" cm="1">
        <f t="array" ref="E63" xml:space="preserve"> IFERROR( INDEX(韻母對照表[注音二式], MATCH(TRUE, EXACT(韻母轉換規則!$C63, 韻母對照表[台羅拼音]), 0)), "")</f>
        <v>ior</v>
      </c>
      <c r="F63" s="58" t="s">
        <v>357</v>
      </c>
      <c r="G63" s="61" t="str" cm="1">
        <f t="array" ref="G63" xml:space="preserve"> IFERROR( INDEX(韻母對照表[白話字], MATCH(TRUE, EXACT(韻母轉換規則!$C63, 韻母對照表[台羅拼音]), 0)), "")</f>
        <v>io</v>
      </c>
      <c r="H63" s="55" t="str" cm="1">
        <f t="array" ref="H63" xml:space="preserve"> IFERROR( INDEX(韻母對照表[十五音識別碼], MATCH(TRUE, EXACT(韻母轉換規則!$C63, 韻母對照表[台羅拼音]), 0)), "")</f>
        <v>茄舒</v>
      </c>
      <c r="I63" s="58" t="str" cm="1">
        <f t="array" ref="I63" xml:space="preserve"> IFERROR( INDEX(韻母對照表[方音符號], MATCH(TRUE, EXACT(韻母轉換規則!$C63, 韻母對照表[台羅拼音]), 0)), "")</f>
        <v>ㄧㄜ</v>
      </c>
      <c r="J63" s="74"/>
      <c r="K63" s="58" t="str">
        <f t="shared" si="5"/>
        <v>ior</v>
      </c>
      <c r="L63" s="58" t="str">
        <f t="shared" si="4"/>
        <v>io</v>
      </c>
      <c r="M63" s="56"/>
      <c r="N63" s="57" t="str">
        <f t="shared" si="6"/>
        <v>xform/ior/io/</v>
      </c>
    </row>
    <row r="64" spans="1:14" ht="27.75" thickBot="1">
      <c r="A64" s="58">
        <f t="shared" si="2"/>
        <v>62</v>
      </c>
      <c r="B64" s="58" t="s">
        <v>886</v>
      </c>
      <c r="C64" s="58" t="s">
        <v>46</v>
      </c>
      <c r="D64" s="58" t="s">
        <v>46</v>
      </c>
      <c r="E64" s="58" t="str" cm="1">
        <f t="array" ref="E64" xml:space="preserve"> IFERROR( INDEX(韻母對照表[注音二式], MATCH(TRUE, EXACT(韻母轉換規則!$C64, 韻母對照表[台羅拼音]), 0)), "")</f>
        <v>ip</v>
      </c>
      <c r="F64" s="58" t="s">
        <v>46</v>
      </c>
      <c r="G64" s="61" t="str" cm="1">
        <f t="array" ref="G64" xml:space="preserve"> IFERROR( INDEX(韻母對照表[白話字], MATCH(TRUE, EXACT(韻母轉換規則!$C64, 韻母對照表[台羅拼音]), 0)), "")</f>
        <v>ip</v>
      </c>
      <c r="H64" s="55" t="str" cm="1">
        <f t="array" ref="H64" xml:space="preserve"> IFERROR( INDEX(韻母對照表[十五音識別碼], MATCH(TRUE, EXACT(韻母轉換規則!$C64, 韻母對照表[台羅拼音]), 0)), "")</f>
        <v>金促</v>
      </c>
      <c r="I64" s="58" t="str" cm="1">
        <f t="array" ref="I64" xml:space="preserve"> IFERROR( INDEX(韻母對照表[方音符號], MATCH(TRUE, EXACT(韻母轉換規則!$C64, 韻母對照表[台羅拼音]), 0)), "")</f>
        <v>一ㆴ</v>
      </c>
      <c r="J64" s="74"/>
      <c r="K64" s="58" t="str">
        <f t="shared" si="5"/>
        <v>ip</v>
      </c>
      <c r="L64" s="58" t="str">
        <f t="shared" si="4"/>
        <v>ip</v>
      </c>
      <c r="M64" s="56"/>
      <c r="N64" s="57" t="str">
        <f t="shared" si="6"/>
        <v>xform/ip/ip/</v>
      </c>
    </row>
    <row r="65" spans="1:14" ht="27.75" thickBot="1">
      <c r="A65" s="58">
        <f t="shared" si="2"/>
        <v>63</v>
      </c>
      <c r="B65" s="58" t="s">
        <v>882</v>
      </c>
      <c r="C65" s="58" t="s">
        <v>197</v>
      </c>
      <c r="D65" s="58" t="s">
        <v>197</v>
      </c>
      <c r="E65" s="58" t="str" cm="1">
        <f t="array" ref="E65" xml:space="preserve"> IFERROR( INDEX(韻母對照表[注音二式], MATCH(TRUE, EXACT(韻母轉換規則!$C65, 韻母對照表[台羅拼音]), 0)), "")</f>
        <v>it</v>
      </c>
      <c r="F65" s="58" t="s">
        <v>197</v>
      </c>
      <c r="G65" s="61" t="str" cm="1">
        <f t="array" ref="G65" xml:space="preserve"> IFERROR( INDEX(韻母對照表[白話字], MATCH(TRUE, EXACT(韻母轉換規則!$C65, 韻母對照表[台羅拼音]), 0)), "")</f>
        <v>it</v>
      </c>
      <c r="H65" s="55" t="str" cm="1">
        <f t="array" ref="H65" xml:space="preserve"> IFERROR( INDEX(韻母對照表[十五音識別碼], MATCH(TRUE, EXACT(韻母轉換規則!$C65, 韻母對照表[台羅拼音]), 0)), "")</f>
        <v>巾促</v>
      </c>
      <c r="I65" s="58" t="str" cm="1">
        <f t="array" ref="I65" xml:space="preserve"> IFERROR( INDEX(韻母對照表[方音符號], MATCH(TRUE, EXACT(韻母轉換規則!$C65, 韻母對照表[台羅拼音]), 0)), "")</f>
        <v>ㄧㆵ</v>
      </c>
      <c r="J65" s="74"/>
      <c r="K65" s="58" t="str">
        <f t="shared" si="5"/>
        <v>it</v>
      </c>
      <c r="L65" s="58" t="str">
        <f t="shared" si="4"/>
        <v>it</v>
      </c>
      <c r="M65" s="56"/>
      <c r="N65" s="57" t="str">
        <f t="shared" si="6"/>
        <v>xform/it/it/</v>
      </c>
    </row>
    <row r="66" spans="1:14" ht="27.75" thickBot="1">
      <c r="A66" s="58">
        <f t="shared" si="2"/>
        <v>64</v>
      </c>
      <c r="B66" s="58" t="s">
        <v>332</v>
      </c>
      <c r="C66" s="58" t="s">
        <v>332</v>
      </c>
      <c r="D66" s="58" t="s">
        <v>332</v>
      </c>
      <c r="E66" s="58" t="str" cm="1">
        <f t="array" ref="E66" xml:space="preserve"> IFERROR( INDEX(韻母對照表[注音二式], MATCH(TRUE, EXACT(韻母轉換規則!$C66, 韻母對照表[台羅拼音]), 0)), "")</f>
        <v>iu</v>
      </c>
      <c r="F66" s="58" t="s">
        <v>332</v>
      </c>
      <c r="G66" s="61" t="str" cm="1">
        <f t="array" ref="G66" xml:space="preserve"> IFERROR( INDEX(韻母對照表[白話字], MATCH(TRUE, EXACT(韻母轉換規則!$C66, 韻母對照表[台羅拼音]), 0)), "")</f>
        <v>iu</v>
      </c>
      <c r="H66" s="55" t="str" cm="1">
        <f t="array" ref="H66" xml:space="preserve"> IFERROR( INDEX(韻母對照表[十五音識別碼], MATCH(TRUE, EXACT(韻母轉換規則!$C66, 韻母對照表[台羅拼音]), 0)), "")</f>
        <v>丩舒</v>
      </c>
      <c r="I66" s="58" t="str" cm="1">
        <f t="array" ref="I66" xml:space="preserve"> IFERROR( INDEX(韻母對照表[方音符號], MATCH(TRUE, EXACT(韻母轉換規則!$C66, 韻母對照表[台羅拼音]), 0)), "")</f>
        <v>ㄧㄨ</v>
      </c>
      <c r="J66" s="74"/>
      <c r="K66" s="58" t="str">
        <f t="shared" si="5"/>
        <v>iu</v>
      </c>
      <c r="L66" s="58" t="str">
        <f t="shared" si="4"/>
        <v>iu</v>
      </c>
      <c r="M66" s="56"/>
      <c r="N66" s="57" t="str">
        <f t="shared" si="6"/>
        <v>xform/iu/iu/</v>
      </c>
    </row>
    <row r="67" spans="1:14" ht="27.75" thickBot="1">
      <c r="A67" s="58">
        <f t="shared" si="2"/>
        <v>65</v>
      </c>
      <c r="B67" s="75" t="s">
        <v>849</v>
      </c>
      <c r="C67" s="58" t="s">
        <v>850</v>
      </c>
      <c r="D67" s="58" t="s">
        <v>850</v>
      </c>
      <c r="E67" s="76" t="str" cm="1">
        <f t="array" ref="E67" xml:space="preserve"> IFERROR( INDEX(韻母對照表[注音二式], MATCH(TRUE, EXACT(韻母轉換規則!$C67, 韻母對照表[台羅拼音]), 0)), "")</f>
        <v/>
      </c>
      <c r="F67" s="58" t="s">
        <v>850</v>
      </c>
      <c r="G67" s="61" t="str" cm="1">
        <f t="array" ref="G67" xml:space="preserve"> IFERROR( INDEX(韻母對照表[白話字], MATCH(TRUE, EXACT(韻母轉換規則!$C67, 韻母對照表[台羅拼音]), 0)), "")</f>
        <v/>
      </c>
      <c r="H67" s="55" t="str" cm="1">
        <f t="array" ref="H67" xml:space="preserve"> IFERROR( INDEX(韻母對照表[十五音識別碼], MATCH(TRUE, EXACT(韻母轉換規則!$C67, 韻母對照表[台羅拼音]), 0)), "")</f>
        <v/>
      </c>
      <c r="I67" s="58" t="str" cm="1">
        <f t="array" ref="I67" xml:space="preserve"> IFERROR( INDEX(韻母對照表[方音符號], MATCH(TRUE, EXACT(韻母轉換規則!$C67, 韻母對照表[台羅拼音]), 0)), "")</f>
        <v/>
      </c>
      <c r="J67" s="74"/>
      <c r="K67" s="58" t="str">
        <f t="shared" ref="K67:K98" si="7">E67</f>
        <v/>
      </c>
      <c r="L67" s="58" t="str">
        <f t="shared" si="4"/>
        <v>mh</v>
      </c>
      <c r="M67" s="56"/>
      <c r="N67" s="57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58">
        <f t="shared" ref="A68:A98" si="9" xml:space="preserve"> ROW() -2</f>
        <v>66</v>
      </c>
      <c r="B68" s="58" t="s">
        <v>294</v>
      </c>
      <c r="C68" s="58" t="s">
        <v>297</v>
      </c>
      <c r="D68" s="58" t="s">
        <v>297</v>
      </c>
      <c r="E68" s="58" t="str" cm="1">
        <f t="array" ref="E68" xml:space="preserve"> IFERROR( INDEX(韻母對照表[注音二式], MATCH(TRUE, EXACT(韻母轉換規則!$C68, 韻母對照表[台羅拼音]), 0)), "")</f>
        <v>ann</v>
      </c>
      <c r="F68" s="58" t="s">
        <v>299</v>
      </c>
      <c r="G68" s="61" t="str" cm="1">
        <f t="array" ref="G68" xml:space="preserve"> IFERROR( INDEX(韻母對照表[白話字], MATCH(TRUE, EXACT(韻母轉換規則!$C68, 韻母對照表[台羅拼音]), 0)), "")</f>
        <v>aⁿ</v>
      </c>
      <c r="H68" s="55" t="str" cm="1">
        <f t="array" ref="H68" xml:space="preserve"> IFERROR( INDEX(韻母對照表[十五音識別碼], MATCH(TRUE, EXACT(韻母轉換規則!$C68, 韻母對照表[台羅拼音]), 0)), "")</f>
        <v>監舒</v>
      </c>
      <c r="I68" s="58" t="str" cm="1">
        <f t="array" ref="I68" xml:space="preserve"> IFERROR( INDEX(韻母對照表[方音符號], MATCH(TRUE, EXACT(韻母轉換規則!$C68, 韻母對照表[台羅拼音]), 0)), "")</f>
        <v>ㆩ</v>
      </c>
      <c r="J68" s="74"/>
      <c r="K68" s="58" t="str">
        <f t="shared" si="7"/>
        <v>ann</v>
      </c>
      <c r="L68" s="58" t="str">
        <f t="shared" si="4"/>
        <v>ann</v>
      </c>
      <c r="M68" s="56"/>
      <c r="N68" s="57" t="str">
        <f t="shared" si="8"/>
        <v>xform/ann/ann/</v>
      </c>
    </row>
    <row r="69" spans="1:14" ht="27.75" thickBot="1">
      <c r="A69" s="58">
        <f t="shared" si="9"/>
        <v>67</v>
      </c>
      <c r="B69" s="58" t="s">
        <v>404</v>
      </c>
      <c r="C69" s="58" t="s">
        <v>407</v>
      </c>
      <c r="D69" s="58" t="s">
        <v>407</v>
      </c>
      <c r="E69" s="58" t="str" cm="1">
        <f t="array" ref="E69" xml:space="preserve"> IFERROR( INDEX(韻母對照表[注音二式], MATCH(TRUE, EXACT(韻母轉換規則!$C69, 韻母對照表[台羅拼音]), 0)), "")</f>
        <v>ng</v>
      </c>
      <c r="F69" s="58" t="s">
        <v>407</v>
      </c>
      <c r="G69" s="61" t="str" cm="1">
        <f t="array" ref="G69" xml:space="preserve"> IFERROR( INDEX(韻母對照表[白話字], MATCH(TRUE, EXACT(韻母轉換規則!$C69, 韻母對照表[台羅拼音]), 0)), "")</f>
        <v>ng</v>
      </c>
      <c r="H69" s="55" t="str" cm="1">
        <f t="array" ref="H69" xml:space="preserve"> IFERROR( INDEX(韻母對照表[十五音識別碼], MATCH(TRUE, EXACT(韻母轉換規則!$C69, 韻母對照表[台羅拼音]), 0)), "")</f>
        <v>鋼舒</v>
      </c>
      <c r="I69" s="58" t="str" cm="1">
        <f t="array" ref="I69" xml:space="preserve"> IFERROR( INDEX(韻母對照表[方音符號], MATCH(TRUE, EXACT(韻母轉換規則!$C69, 韻母對照表[台羅拼音]), 0)), "")</f>
        <v>ㆭ</v>
      </c>
      <c r="J69" s="74"/>
      <c r="K69" s="58" t="str">
        <f t="shared" si="7"/>
        <v>ng</v>
      </c>
      <c r="L69" s="58" t="str">
        <f t="shared" si="4"/>
        <v>ng</v>
      </c>
      <c r="M69" s="56"/>
      <c r="N69" s="57" t="str">
        <f t="shared" si="8"/>
        <v>xform/ng/ng/</v>
      </c>
    </row>
    <row r="70" spans="1:14" ht="27.75" thickBot="1">
      <c r="A70" s="58">
        <f t="shared" si="9"/>
        <v>68</v>
      </c>
      <c r="B70" s="58" t="s">
        <v>851</v>
      </c>
      <c r="C70" s="58" t="s">
        <v>370</v>
      </c>
      <c r="D70" s="58" t="s">
        <v>370</v>
      </c>
      <c r="E70" s="76" t="str" cm="1">
        <f t="array" ref="E70" xml:space="preserve"> IFERROR( INDEX(韻母對照表[注音二式], MATCH(TRUE, EXACT(韻母轉換規則!$C70, 韻母對照表[台羅拼音]), 0)), "")</f>
        <v>inn</v>
      </c>
      <c r="F70" s="58" t="s">
        <v>372</v>
      </c>
      <c r="G70" s="61" t="str" cm="1">
        <f t="array" ref="G70" xml:space="preserve"> IFERROR( INDEX(韻母對照表[白話字], MATCH(TRUE, EXACT(韻母轉換規則!$C70, 韻母對照表[台羅拼音]), 0)), "")</f>
        <v>iⁿ</v>
      </c>
      <c r="H70" s="55" t="str" cm="1">
        <f t="array" ref="H70" xml:space="preserve"> IFERROR( INDEX(韻母對照表[十五音識別碼], MATCH(TRUE, EXACT(韻母轉換規則!$C70, 韻母對照表[台羅拼音]), 0)), "")</f>
        <v>梔舒</v>
      </c>
      <c r="I70" s="58" t="str" cm="1">
        <f t="array" ref="I70" xml:space="preserve"> IFERROR( INDEX(韻母對照表[方音符號], MATCH(TRUE, EXACT(韻母轉換規則!$C70, 韻母對照表[台羅拼音]), 0)), "")</f>
        <v>ㆪ</v>
      </c>
      <c r="J70" s="74"/>
      <c r="K70" s="58" t="str">
        <f t="shared" si="7"/>
        <v>inn</v>
      </c>
      <c r="L70" s="58" t="str">
        <f t="shared" si="4"/>
        <v>inn</v>
      </c>
      <c r="M70" s="56"/>
      <c r="N70" s="57" t="str">
        <f t="shared" si="8"/>
        <v>xform/inn/inn/</v>
      </c>
    </row>
    <row r="71" spans="1:14" ht="27.75" thickBot="1">
      <c r="A71" s="58">
        <f t="shared" si="9"/>
        <v>69</v>
      </c>
      <c r="B71" s="58" t="s">
        <v>852</v>
      </c>
      <c r="C71" s="58" t="s">
        <v>178</v>
      </c>
      <c r="D71" s="58" t="s">
        <v>178</v>
      </c>
      <c r="E71" s="58" t="str" cm="1">
        <f t="array" ref="E71" xml:space="preserve"> IFERROR( INDEX(韻母對照表[注音二式], MATCH(TRUE, EXACT(韻母轉換規則!$C71, 韻母對照表[台羅拼音]), 0)), "")</f>
        <v>orh</v>
      </c>
      <c r="F71" s="58" t="s">
        <v>178</v>
      </c>
      <c r="G71" s="61" t="str" cm="1">
        <f t="array" ref="G71" xml:space="preserve"> IFERROR( INDEX(韻母對照表[白話字], MATCH(TRUE, EXACT(韻母轉換規則!$C71, 韻母對照表[台羅拼音]), 0)), "")</f>
        <v>oh</v>
      </c>
      <c r="H71" s="55" t="str" cm="1">
        <f t="array" ref="H71" xml:space="preserve"> IFERROR( INDEX(韻母對照表[十五音識別碼], MATCH(TRUE, EXACT(韻母轉換規則!$C71, 韻母對照表[台羅拼音]), 0)), "")</f>
        <v>高促</v>
      </c>
      <c r="I71" s="58" t="str" cm="1">
        <f t="array" ref="I71" xml:space="preserve"> IFERROR( INDEX(韻母對照表[方音符號], MATCH(TRUE, EXACT(韻母轉換規則!$C71, 韻母對照表[台羅拼音]), 0)), "")</f>
        <v>ㄜㆷ</v>
      </c>
      <c r="J71" s="74"/>
      <c r="K71" s="58" t="str">
        <f t="shared" si="7"/>
        <v>orh</v>
      </c>
      <c r="L71" s="58" t="str">
        <f t="shared" si="4"/>
        <v>oh</v>
      </c>
      <c r="M71" s="56"/>
      <c r="N71" s="57" t="str">
        <f t="shared" si="8"/>
        <v>xform/orh/oh/</v>
      </c>
    </row>
    <row r="72" spans="1:14" ht="27.75" thickBot="1">
      <c r="A72" s="58">
        <f t="shared" si="9"/>
        <v>70</v>
      </c>
      <c r="B72" s="58" t="s">
        <v>891</v>
      </c>
      <c r="C72" s="58" t="s">
        <v>90</v>
      </c>
      <c r="D72" s="58" t="s">
        <v>90</v>
      </c>
      <c r="E72" s="58" t="str" cm="1">
        <f t="array" ref="E72" xml:space="preserve"> IFERROR( INDEX(韻母對照表[注音二式], MATCH(TRUE, EXACT(韻母轉換規則!$C72, 韻母對照表[台羅拼音]), 0)), "")</f>
        <v>ok</v>
      </c>
      <c r="F72" s="58" t="s">
        <v>90</v>
      </c>
      <c r="G72" s="61" t="str" cm="1">
        <f t="array" ref="G72" xml:space="preserve"> IFERROR( INDEX(韻母對照表[白話字], MATCH(TRUE, EXACT(韻母轉換規則!$C72, 韻母對照表[台羅拼音]), 0)), "")</f>
        <v>ok</v>
      </c>
      <c r="H72" s="55" t="str" cm="1">
        <f t="array" ref="H72" xml:space="preserve"> IFERROR( INDEX(韻母對照表[十五音識別碼], MATCH(TRUE, EXACT(韻母轉換規則!$C72, 韻母對照表[台羅拼音]), 0)), "")</f>
        <v>公促</v>
      </c>
      <c r="I72" s="58" t="str" cm="1">
        <f t="array" ref="I72" xml:space="preserve"> IFERROR( INDEX(韻母對照表[方音符號], MATCH(TRUE, EXACT(韻母轉換規則!$C72, 韻母對照表[台羅拼音]), 0)), "")</f>
        <v>ㆦㆻ</v>
      </c>
      <c r="J72" s="74"/>
      <c r="K72" s="58" t="str">
        <f t="shared" si="7"/>
        <v>ok</v>
      </c>
      <c r="L72" s="58" t="str">
        <f t="shared" si="4"/>
        <v>ok</v>
      </c>
      <c r="M72" s="56"/>
      <c r="N72" s="57" t="str">
        <f t="shared" si="8"/>
        <v>xform/ok/ok/</v>
      </c>
    </row>
    <row r="73" spans="1:14" ht="27.75" thickBot="1">
      <c r="A73" s="58">
        <f t="shared" si="9"/>
        <v>71</v>
      </c>
      <c r="B73" s="58" t="s">
        <v>854</v>
      </c>
      <c r="C73" s="58" t="s">
        <v>136</v>
      </c>
      <c r="D73" s="58" t="s">
        <v>136</v>
      </c>
      <c r="E73" s="76" t="str" cm="1">
        <f t="array" ref="E73" xml:space="preserve"> IFERROR( INDEX(韻母對照表[注音二式], MATCH(TRUE, EXACT(韻母轉換規則!$C73, 韻母對照表[台羅拼音]), 0)), "")</f>
        <v>oo</v>
      </c>
      <c r="F73" s="58" t="s">
        <v>136</v>
      </c>
      <c r="G73" s="60" t="str" cm="1">
        <f t="array" ref="G73" xml:space="preserve"> IFERROR( INDEX(韻母對照表[白話字], MATCH(TRUE, EXACT(韻母轉換規則!$C73, 韻母對照表[台羅拼音]), 0)), "")</f>
        <v>o͘</v>
      </c>
      <c r="H73" s="55" t="str" cm="1">
        <f t="array" ref="H73" xml:space="preserve"> IFERROR( INDEX(韻母對照表[十五音識別碼], MATCH(TRUE, EXACT(韻母轉換規則!$C73, 韻母對照表[台羅拼音]), 0)), "")</f>
        <v>沽舒</v>
      </c>
      <c r="I73" s="58" t="str" cm="1">
        <f t="array" ref="I73" xml:space="preserve"> IFERROR( INDEX(韻母對照表[方音符號], MATCH(TRUE, EXACT(韻母轉換規則!$C73, 韻母對照表[台羅拼音]), 0)), "")</f>
        <v>ㆦ</v>
      </c>
      <c r="J73" s="74"/>
      <c r="K73" s="58" t="str">
        <f t="shared" si="7"/>
        <v>oo</v>
      </c>
      <c r="L73" s="58" t="str">
        <f t="shared" si="4"/>
        <v>oo</v>
      </c>
      <c r="M73" s="56"/>
      <c r="N73" s="57" t="str">
        <f t="shared" si="8"/>
        <v>xform/oo/oo/</v>
      </c>
    </row>
    <row r="74" spans="1:14" ht="27.75" thickBot="1">
      <c r="A74" s="58">
        <f t="shared" si="9"/>
        <v>72</v>
      </c>
      <c r="B74" s="58" t="s">
        <v>887</v>
      </c>
      <c r="C74" s="58" t="s">
        <v>485</v>
      </c>
      <c r="D74" s="58" t="s">
        <v>485</v>
      </c>
      <c r="E74" s="58" t="str" cm="1">
        <f t="array" ref="E74" xml:space="preserve"> IFERROR( INDEX(韻母對照表[注音二式], MATCH(TRUE, EXACT(韻母轉換規則!$C74, 韻母對照表[台羅拼音]), 0)), "")</f>
        <v>oop</v>
      </c>
      <c r="F74" s="58" t="s">
        <v>485</v>
      </c>
      <c r="G74" s="61" t="str" cm="1">
        <f t="array" ref="G74" xml:space="preserve"> IFERROR( INDEX(韻母對照表[白話字], MATCH(TRUE, EXACT(韻母轉換規則!$C74, 韻母對照表[台羅拼音]), 0)), "")</f>
        <v>op</v>
      </c>
      <c r="H74" s="55" t="str" cm="1">
        <f t="array" ref="H74" xml:space="preserve"> IFERROR( INDEX(韻母對照表[十五音識別碼], MATCH(TRUE, EXACT(韻母轉換規則!$C74, 韻母對照表[台羅拼音]), 0)), "")</f>
        <v>箴促</v>
      </c>
      <c r="I74" s="58" t="str" cm="1">
        <f t="array" ref="I74" xml:space="preserve"> IFERROR( INDEX(韻母對照表[方音符號], MATCH(TRUE, EXACT(韻母轉換規則!$C74, 韻母對照表[台羅拼音]), 0)), "")</f>
        <v>ㆦㆴ</v>
      </c>
      <c r="J74" s="74"/>
      <c r="K74" s="58" t="str">
        <f t="shared" si="7"/>
        <v>oop</v>
      </c>
      <c r="L74" s="58" t="str">
        <f t="shared" si="4"/>
        <v>op</v>
      </c>
      <c r="M74" s="56"/>
      <c r="N74" s="57" t="str">
        <f t="shared" si="8"/>
        <v>xform/oop/op/</v>
      </c>
    </row>
    <row r="75" spans="1:14" ht="27.75" thickBot="1">
      <c r="A75" s="58">
        <f t="shared" si="9"/>
        <v>73</v>
      </c>
      <c r="B75" s="58" t="s">
        <v>223</v>
      </c>
      <c r="C75" s="58" t="s">
        <v>223</v>
      </c>
      <c r="D75" s="58" t="s">
        <v>223</v>
      </c>
      <c r="E75" s="58" t="str" cm="1">
        <f t="array" ref="E75" xml:space="preserve"> IFERROR( INDEX(韻母對照表[注音二式], MATCH(TRUE, EXACT(韻母轉換規則!$C75, 韻母對照表[台羅拼音]), 0)), "")</f>
        <v>ua</v>
      </c>
      <c r="F75" s="58" t="s">
        <v>856</v>
      </c>
      <c r="G75" s="60" t="str" cm="1">
        <f t="array" ref="G75" xml:space="preserve"> IFERROR( INDEX(韻母對照表[白話字], MATCH(TRUE, EXACT(韻母轉換規則!$C75, 韻母對照表[台羅拼音]), 0)), "")</f>
        <v>oa</v>
      </c>
      <c r="H75" s="55" t="str" cm="1">
        <f t="array" ref="H75" xml:space="preserve"> IFERROR( INDEX(韻母對照表[十五音識別碼], MATCH(TRUE, EXACT(韻母轉換規則!$C75, 韻母對照表[台羅拼音]), 0)), "")</f>
        <v>瓜舒</v>
      </c>
      <c r="I75" s="58" t="str" cm="1">
        <f t="array" ref="I75" xml:space="preserve"> IFERROR( INDEX(韻母對照表[方音符號], MATCH(TRUE, EXACT(韻母轉換規則!$C75, 韻母對照表[台羅拼音]), 0)), "")</f>
        <v>ㄨㄚ</v>
      </c>
      <c r="J75" s="74"/>
      <c r="K75" s="58" t="str">
        <f t="shared" si="7"/>
        <v>ua</v>
      </c>
      <c r="L75" s="58" t="str">
        <f t="shared" si="4"/>
        <v>ua</v>
      </c>
      <c r="M75" s="56"/>
      <c r="N75" s="57" t="str">
        <f t="shared" si="8"/>
        <v>xform/ua/ua/</v>
      </c>
    </row>
    <row r="76" spans="1:14" ht="27.75" thickBot="1">
      <c r="A76" s="58">
        <f t="shared" si="9"/>
        <v>74</v>
      </c>
      <c r="B76" s="58" t="s">
        <v>285</v>
      </c>
      <c r="C76" s="58" t="s">
        <v>285</v>
      </c>
      <c r="D76" s="58" t="s">
        <v>285</v>
      </c>
      <c r="E76" s="76" t="str" cm="1">
        <f t="array" ref="E76" xml:space="preserve"> IFERROR( INDEX(韻母對照表[注音二式], MATCH(TRUE, EXACT(韻母轉換規則!$C76, 韻母對照表[台羅拼音]), 0)), "")</f>
        <v>ue</v>
      </c>
      <c r="F76" s="58" t="s">
        <v>285</v>
      </c>
      <c r="G76" s="60" t="str" cm="1">
        <f t="array" ref="G76" xml:space="preserve"> IFERROR( INDEX(韻母對照表[白話字], MATCH(TRUE, EXACT(韻母轉換規則!$C76, 韻母對照表[台羅拼音]), 0)), "")</f>
        <v>oe</v>
      </c>
      <c r="H76" s="55" t="str" cm="1">
        <f t="array" ref="H76" xml:space="preserve"> IFERROR( INDEX(韻母對照表[十五音識別碼], MATCH(TRUE, EXACT(韻母轉換規則!$C76, 韻母對照表[台羅拼音]), 0)), "")</f>
        <v>檜舒</v>
      </c>
      <c r="I76" s="58" t="str" cm="1">
        <f t="array" ref="I76" xml:space="preserve"> IFERROR( INDEX(韻母對照表[方音符號], MATCH(TRUE, EXACT(韻母轉換規則!$C76, 韻母對照表[台羅拼音]), 0)), "")</f>
        <v>ㄨㆤ</v>
      </c>
      <c r="J76" s="74"/>
      <c r="K76" s="58" t="str">
        <f t="shared" si="7"/>
        <v>ue</v>
      </c>
      <c r="L76" s="58" t="str">
        <f t="shared" si="4"/>
        <v>ue</v>
      </c>
      <c r="M76" s="56"/>
      <c r="N76" s="57" t="str">
        <f t="shared" si="8"/>
        <v>xform/ue/ue/</v>
      </c>
    </row>
    <row r="77" spans="1:14" ht="27.75" thickBot="1">
      <c r="A77" s="58">
        <f t="shared" si="9"/>
        <v>75</v>
      </c>
      <c r="B77" s="58" t="s">
        <v>857</v>
      </c>
      <c r="C77" s="58" t="s">
        <v>313</v>
      </c>
      <c r="D77" s="58" t="s">
        <v>313</v>
      </c>
      <c r="E77" s="58" t="str" cm="1">
        <f t="array" ref="E77" xml:space="preserve"> IFERROR( INDEX(韻母對照表[注音二式], MATCH(TRUE, EXACT(韻母轉換規則!$C77, 韻母對照表[台羅拼音]), 0)), "")</f>
        <v>uh</v>
      </c>
      <c r="F77" s="58" t="s">
        <v>313</v>
      </c>
      <c r="G77" s="61" t="str" cm="1">
        <f t="array" ref="G77" xml:space="preserve"> IFERROR( INDEX(韻母對照表[白話字], MATCH(TRUE, EXACT(韻母轉換規則!$C77, 韻母對照表[台羅拼音]), 0)), "")</f>
        <v>uh</v>
      </c>
      <c r="H77" s="55" t="str" cm="1">
        <f t="array" ref="H77" xml:space="preserve"> IFERROR( INDEX(韻母對照表[十五音識別碼], MATCH(TRUE, EXACT(韻母轉換規則!$C77, 韻母對照表[台羅拼音]), 0)), "")</f>
        <v>艍促</v>
      </c>
      <c r="I77" s="58" t="str" cm="1">
        <f t="array" ref="I77" xml:space="preserve"> IFERROR( INDEX(韻母對照表[方音符號], MATCH(TRUE, EXACT(韻母轉換規則!$C77, 韻母對照表[台羅拼音]), 0)), "")</f>
        <v>ㄨㆷ</v>
      </c>
      <c r="J77" s="74"/>
      <c r="K77" s="58" t="str">
        <f t="shared" si="7"/>
        <v>uh</v>
      </c>
      <c r="L77" s="58" t="str">
        <f t="shared" si="4"/>
        <v>uh</v>
      </c>
      <c r="M77" s="56"/>
      <c r="N77" s="57" t="str">
        <f t="shared" si="8"/>
        <v>xform/uh/uh/</v>
      </c>
    </row>
    <row r="78" spans="1:14" ht="27.75" thickBot="1">
      <c r="A78" s="58">
        <f t="shared" si="9"/>
        <v>76</v>
      </c>
      <c r="B78" s="58" t="s">
        <v>50</v>
      </c>
      <c r="C78" s="58" t="s">
        <v>50</v>
      </c>
      <c r="D78" s="58" t="s">
        <v>50</v>
      </c>
      <c r="E78" s="58" t="str" cm="1">
        <f t="array" ref="E78" xml:space="preserve"> IFERROR( INDEX(韻母對照表[注音二式], MATCH(TRUE, EXACT(韻母轉換規則!$C78, 韻母對照表[台羅拼音]), 0)), "")</f>
        <v>ui</v>
      </c>
      <c r="F78" s="58" t="s">
        <v>50</v>
      </c>
      <c r="G78" s="61" t="str" cm="1">
        <f t="array" ref="G78" xml:space="preserve"> IFERROR( INDEX(韻母對照表[白話字], MATCH(TRUE, EXACT(韻母轉換規則!$C78, 韻母對照表[台羅拼音]), 0)), "")</f>
        <v>ui</v>
      </c>
      <c r="H78" s="55" t="str" cm="1">
        <f t="array" ref="H78" xml:space="preserve"> IFERROR( INDEX(韻母對照表[十五音識別碼], MATCH(TRUE, EXACT(韻母轉換規則!$C78, 韻母對照表[台羅拼音]), 0)), "")</f>
        <v>規舒</v>
      </c>
      <c r="I78" s="58" t="str" cm="1">
        <f t="array" ref="I78" xml:space="preserve"> IFERROR( INDEX(韻母對照表[方音符號], MATCH(TRUE, EXACT(韻母轉換規則!$C78, 韻母對照表[台羅拼音]), 0)), "")</f>
        <v>ㄨㄧ</v>
      </c>
      <c r="J78" s="74"/>
      <c r="K78" s="58" t="str">
        <f t="shared" si="7"/>
        <v>ui</v>
      </c>
      <c r="L78" s="58" t="str">
        <f t="shared" si="4"/>
        <v>ui</v>
      </c>
      <c r="M78" s="56"/>
      <c r="N78" s="57" t="str">
        <f t="shared" si="8"/>
        <v>xform/ui/ui/</v>
      </c>
    </row>
    <row r="79" spans="1:14" ht="27.75" thickBot="1">
      <c r="A79" s="58">
        <f t="shared" si="9"/>
        <v>77</v>
      </c>
      <c r="B79" s="58" t="s">
        <v>14</v>
      </c>
      <c r="C79" s="58" t="s">
        <v>14</v>
      </c>
      <c r="D79" s="58" t="s">
        <v>14</v>
      </c>
      <c r="E79" s="58" t="str" cm="1">
        <f t="array" ref="E79" xml:space="preserve"> IFERROR( INDEX(韻母對照表[注音二式], MATCH(TRUE, EXACT(韻母轉換規則!$C79, 韻母對照表[台羅拼音]), 0)), "")</f>
        <v>un</v>
      </c>
      <c r="F79" s="58" t="s">
        <v>14</v>
      </c>
      <c r="G79" s="61" t="str" cm="1">
        <f t="array" ref="G79" xml:space="preserve"> IFERROR( INDEX(韻母對照表[白話字], MATCH(TRUE, EXACT(韻母轉換規則!$C79, 韻母對照表[台羅拼音]), 0)), "")</f>
        <v>un</v>
      </c>
      <c r="H79" s="55" t="str" cm="1">
        <f t="array" ref="H79" xml:space="preserve"> IFERROR( INDEX(韻母對照表[十五音識別碼], MATCH(TRUE, EXACT(韻母轉換規則!$C79, 韻母對照表[台羅拼音]), 0)), "")</f>
        <v>君舒</v>
      </c>
      <c r="I79" s="58" t="str" cm="1">
        <f t="array" ref="I79" xml:space="preserve"> IFERROR( INDEX(韻母對照表[方音符號], MATCH(TRUE, EXACT(韻母轉換規則!$C79, 韻母對照表[台羅拼音]), 0)), "")</f>
        <v>ㄨㄣ</v>
      </c>
      <c r="J79" s="74"/>
      <c r="K79" s="58" t="str">
        <f t="shared" si="7"/>
        <v>un</v>
      </c>
      <c r="L79" s="58" t="str">
        <f t="shared" si="4"/>
        <v>un</v>
      </c>
      <c r="M79" s="56"/>
      <c r="N79" s="57" t="str">
        <f t="shared" si="8"/>
        <v>xform/un/un/</v>
      </c>
    </row>
    <row r="80" spans="1:14" ht="27.75" thickBot="1">
      <c r="A80" s="58">
        <f t="shared" si="9"/>
        <v>78</v>
      </c>
      <c r="B80" s="58" t="s">
        <v>883</v>
      </c>
      <c r="C80" s="58" t="s">
        <v>22</v>
      </c>
      <c r="D80" s="58" t="s">
        <v>22</v>
      </c>
      <c r="E80" s="58" t="str" cm="1">
        <f t="array" ref="E80" xml:space="preserve"> IFERROR( INDEX(韻母對照表[注音二式], MATCH(TRUE, EXACT(韻母轉換規則!$C80, 韻母對照表[台羅拼音]), 0)), "")</f>
        <v>ut</v>
      </c>
      <c r="F80" s="58" t="s">
        <v>22</v>
      </c>
      <c r="G80" s="61" t="str" cm="1">
        <f t="array" ref="G80" xml:space="preserve"> IFERROR( INDEX(韻母對照表[白話字], MATCH(TRUE, EXACT(韻母轉換規則!$C80, 韻母對照表[台羅拼音]), 0)), "")</f>
        <v>ut</v>
      </c>
      <c r="H80" s="55" t="str" cm="1">
        <f t="array" ref="H80" xml:space="preserve"> IFERROR( INDEX(韻母對照表[十五音識別碼], MATCH(TRUE, EXACT(韻母轉換規則!$C80, 韻母對照表[台羅拼音]), 0)), "")</f>
        <v>君促</v>
      </c>
      <c r="I80" s="58" t="str" cm="1">
        <f t="array" ref="I80" xml:space="preserve"> IFERROR( INDEX(韻母對照表[方音符號], MATCH(TRUE, EXACT(韻母轉換規則!$C80, 韻母對照表[台羅拼音]), 0)), "")</f>
        <v>ㄨㆵ</v>
      </c>
      <c r="J80" s="74"/>
      <c r="K80" s="58" t="str">
        <f t="shared" si="7"/>
        <v>ut</v>
      </c>
      <c r="L80" s="58" t="str">
        <f t="shared" si="4"/>
        <v>ut</v>
      </c>
      <c r="M80" s="56"/>
      <c r="N80" s="57" t="str">
        <f t="shared" si="8"/>
        <v>xform/ut/ut/</v>
      </c>
    </row>
    <row r="81" spans="1:14" ht="27.75" thickBot="1">
      <c r="A81" s="58">
        <f t="shared" si="9"/>
        <v>79</v>
      </c>
      <c r="B81" s="58" t="s">
        <v>316</v>
      </c>
      <c r="C81" s="58" t="s">
        <v>316</v>
      </c>
      <c r="D81" s="58" t="s">
        <v>316</v>
      </c>
      <c r="E81" s="58" t="str" cm="1">
        <f t="array" ref="E81" xml:space="preserve"> IFERROR( INDEX(韻母對照表[注音二式], MATCH(TRUE, EXACT(韻母轉換規則!$C81, 韻母對照表[台羅拼音]), 0)), "")</f>
        <v>a</v>
      </c>
      <c r="F81" s="58" t="s">
        <v>858</v>
      </c>
      <c r="G81" s="61" t="str" cm="1">
        <f t="array" ref="G81" xml:space="preserve"> IFERROR( INDEX(韻母對照表[白話字], MATCH(TRUE, EXACT(韻母轉換規則!$C81, 韻母對照表[台羅拼音]), 0)), "")</f>
        <v>a</v>
      </c>
      <c r="H81" s="55" t="str" cm="1">
        <f t="array" ref="H81" xml:space="preserve"> IFERROR( INDEX(韻母對照表[十五音識別碼], MATCH(TRUE, EXACT(韻母轉換規則!$C81, 韻母對照表[台羅拼音]), 0)), "")</f>
        <v>膠舒</v>
      </c>
      <c r="I81" s="58" t="str" cm="1">
        <f t="array" ref="I81" xml:space="preserve"> IFERROR( INDEX(韻母對照表[方音符號], MATCH(TRUE, EXACT(韻母轉換規則!$C81, 韻母對照表[台羅拼音]), 0)), "")</f>
        <v>ㄚ</v>
      </c>
      <c r="J81" s="74"/>
      <c r="K81" s="58" t="str">
        <f t="shared" si="7"/>
        <v>a</v>
      </c>
      <c r="L81" s="58" t="str">
        <f t="shared" si="4"/>
        <v>a</v>
      </c>
      <c r="M81" s="56"/>
      <c r="N81" s="57" t="str">
        <f t="shared" si="8"/>
        <v>xform/a/a/</v>
      </c>
    </row>
    <row r="82" spans="1:14" ht="27.75" thickBot="1">
      <c r="A82" s="58">
        <f t="shared" si="9"/>
        <v>80</v>
      </c>
      <c r="B82" s="58" t="s">
        <v>60</v>
      </c>
      <c r="C82" s="58" t="s">
        <v>60</v>
      </c>
      <c r="D82" s="58" t="s">
        <v>60</v>
      </c>
      <c r="E82" s="58" t="str" cm="1">
        <f t="array" ref="E82" xml:space="preserve"> IFERROR( INDEX(韻母對照表[注音二式], MATCH(TRUE, EXACT(韻母轉換規則!$C82, 韻母對照表[台羅拼音]), 0)), "")</f>
        <v>e</v>
      </c>
      <c r="F82" s="58" t="s">
        <v>60</v>
      </c>
      <c r="G82" s="61" cm="1">
        <f t="array" ref="G82" xml:space="preserve"> IFERROR( INDEX(韻母對照表[白話字], MATCH(TRUE, EXACT(韻母轉換規則!$C82, 韻母對照表[台羅拼音]), 0)), "")</f>
        <v>0</v>
      </c>
      <c r="H82" s="55" t="str" cm="1">
        <f t="array" ref="H82" xml:space="preserve"> IFERROR( INDEX(韻母對照表[十五音識別碼], MATCH(TRUE, EXACT(韻母轉換規則!$C82, 韻母對照表[台羅拼音]), 0)), "")</f>
        <v>稽舒</v>
      </c>
      <c r="I82" s="58" t="str" cm="1">
        <f t="array" ref="I82" xml:space="preserve"> IFERROR( INDEX(韻母對照表[方音符號], MATCH(TRUE, EXACT(韻母轉換規則!$C82, 韻母對照表[台羅拼音]), 0)), "")</f>
        <v>ㆤ</v>
      </c>
      <c r="J82" s="74"/>
      <c r="K82" s="58" t="str">
        <f t="shared" si="7"/>
        <v>e</v>
      </c>
      <c r="L82" s="58" t="str">
        <f t="shared" si="4"/>
        <v>e</v>
      </c>
      <c r="M82" s="56"/>
      <c r="N82" s="57" t="str">
        <f t="shared" si="8"/>
        <v>xform/e/e/</v>
      </c>
    </row>
    <row r="83" spans="1:14" ht="27.75" thickBot="1">
      <c r="A83" s="58">
        <f t="shared" si="9"/>
        <v>81</v>
      </c>
      <c r="B83" s="58" t="s">
        <v>324</v>
      </c>
      <c r="C83" s="58" t="s">
        <v>324</v>
      </c>
      <c r="D83" s="58" t="s">
        <v>324</v>
      </c>
      <c r="E83" s="58" t="str" cm="1">
        <f t="array" ref="E83" xml:space="preserve"> IFERROR( INDEX(韻母對照表[注音二式], MATCH(TRUE, EXACT(韻母轉換規則!$C83, 韻母對照表[台羅拼音]), 0)), "")</f>
        <v>i</v>
      </c>
      <c r="F83" s="58" t="s">
        <v>324</v>
      </c>
      <c r="G83" s="61" t="str" cm="1">
        <f t="array" ref="G83" xml:space="preserve"> IFERROR( INDEX(韻母對照表[白話字], MATCH(TRUE, EXACT(韻母轉換規則!$C83, 韻母對照表[台羅拼音]), 0)), "")</f>
        <v>i</v>
      </c>
      <c r="H83" s="55" t="str" cm="1">
        <f t="array" ref="H83" xml:space="preserve"> IFERROR( INDEX(韻母對照表[十五音識別碼], MATCH(TRUE, EXACT(韻母轉換規則!$C83, 韻母對照表[台羅拼音]), 0)), "")</f>
        <v>居舒</v>
      </c>
      <c r="I83" s="58" t="str" cm="1">
        <f t="array" ref="I83" xml:space="preserve"> IFERROR( INDEX(韻母對照表[方音符號], MATCH(TRUE, EXACT(韻母轉換規則!$C83, 韻母對照表[台羅拼音]), 0)), "")</f>
        <v>ㄧ</v>
      </c>
      <c r="J83" s="74"/>
      <c r="K83" s="58" t="str">
        <f t="shared" si="7"/>
        <v>i</v>
      </c>
      <c r="L83" s="58" t="str">
        <f t="shared" si="4"/>
        <v>i</v>
      </c>
      <c r="M83" s="56"/>
      <c r="N83" s="57" t="str">
        <f t="shared" si="8"/>
        <v>xform/i/i/</v>
      </c>
    </row>
    <row r="84" spans="1:14" ht="27.75" thickBot="1">
      <c r="A84" s="58">
        <f t="shared" si="9"/>
        <v>82</v>
      </c>
      <c r="B84" s="58" t="s">
        <v>430</v>
      </c>
      <c r="C84" s="58" t="s">
        <v>432</v>
      </c>
      <c r="D84" s="58" t="s">
        <v>432</v>
      </c>
      <c r="E84" s="58" t="str" cm="1">
        <f t="array" ref="E84" xml:space="preserve"> IFERROR( INDEX(韻母對照表[注音二式], MATCH(TRUE, EXACT(韻母轉換規則!$C84, 韻母對照表[台羅拼音]), 0)), "")</f>
        <v>m</v>
      </c>
      <c r="F84" s="58" t="s">
        <v>432</v>
      </c>
      <c r="G84" s="61" t="str" cm="1">
        <f t="array" ref="G84" xml:space="preserve"> IFERROR( INDEX(韻母對照表[白話字], MATCH(TRUE, EXACT(韻母轉換規則!$C84, 韻母對照表[台羅拼音]), 0)), "")</f>
        <v>m</v>
      </c>
      <c r="H84" s="55" t="str" cm="1">
        <f t="array" ref="H84" xml:space="preserve"> IFERROR( INDEX(韻母對照表[十五音識別碼], MATCH(TRUE, EXACT(韻母轉換規則!$C84, 韻母對照表[台羅拼音]), 0)), "")</f>
        <v>姆舒</v>
      </c>
      <c r="I84" s="58" t="str" cm="1">
        <f t="array" ref="I84" xml:space="preserve"> IFERROR( INDEX(韻母對照表[方音符號], MATCH(TRUE, EXACT(韻母轉換規則!$C84, 韻母對照表[台羅拼音]), 0)), "")</f>
        <v>ㆬ</v>
      </c>
      <c r="J84" s="74"/>
      <c r="K84" s="58" t="str">
        <f t="shared" si="7"/>
        <v>m</v>
      </c>
      <c r="L84" s="58" t="str">
        <f t="shared" si="4"/>
        <v>m</v>
      </c>
      <c r="M84" s="56"/>
      <c r="N84" s="57" t="str">
        <f t="shared" si="8"/>
        <v>xform/m/m/</v>
      </c>
    </row>
    <row r="85" spans="1:14" ht="27.75" thickBot="1">
      <c r="A85" s="58">
        <f t="shared" si="9"/>
        <v>83</v>
      </c>
      <c r="B85" s="58" t="s">
        <v>171</v>
      </c>
      <c r="C85" s="58" t="s">
        <v>171</v>
      </c>
      <c r="D85" s="58" t="s">
        <v>171</v>
      </c>
      <c r="E85" s="58" t="str" cm="1">
        <f t="array" ref="E85" xml:space="preserve"> IFERROR( INDEX(韻母對照表[注音二式], MATCH(TRUE, EXACT(韻母轉換規則!$C85, 韻母對照表[台羅拼音]), 0)), "")</f>
        <v>or</v>
      </c>
      <c r="F85" s="58" t="s">
        <v>171</v>
      </c>
      <c r="G85" s="61" t="str" cm="1">
        <f t="array" ref="G85" xml:space="preserve"> IFERROR( INDEX(韻母對照表[白話字], MATCH(TRUE, EXACT(韻母轉換規則!$C85, 韻母對照表[台羅拼音]), 0)), "")</f>
        <v>o</v>
      </c>
      <c r="H85" s="55" t="str" cm="1">
        <f t="array" ref="H85" xml:space="preserve"> IFERROR( INDEX(韻母對照表[十五音識別碼], MATCH(TRUE, EXACT(韻母轉換規則!$C85, 韻母對照表[台羅拼音]), 0)), "")</f>
        <v>高舒</v>
      </c>
      <c r="I85" s="58" t="str" cm="1">
        <f t="array" ref="I85" xml:space="preserve"> IFERROR( INDEX(韻母對照表[方音符號], MATCH(TRUE, EXACT(韻母轉換規則!$C85, 韻母對照表[台羅拼音]), 0)), "")</f>
        <v>ㄜ</v>
      </c>
      <c r="J85" s="74"/>
      <c r="K85" s="58" t="str">
        <f t="shared" si="7"/>
        <v>or</v>
      </c>
      <c r="L85" s="58" t="str">
        <f t="shared" si="4"/>
        <v>o</v>
      </c>
      <c r="M85" s="56"/>
      <c r="N85" s="57" t="str">
        <f t="shared" si="8"/>
        <v>xform/or/o/</v>
      </c>
    </row>
    <row r="86" spans="1:14" ht="27.75" thickBot="1">
      <c r="A86" s="58">
        <f t="shared" si="9"/>
        <v>84</v>
      </c>
      <c r="B86" s="58" t="s">
        <v>308</v>
      </c>
      <c r="C86" s="58" t="s">
        <v>308</v>
      </c>
      <c r="D86" s="58" t="s">
        <v>308</v>
      </c>
      <c r="E86" s="58" t="str" cm="1">
        <f t="array" ref="E86" xml:space="preserve"> IFERROR( INDEX(韻母對照表[注音二式], MATCH(TRUE, EXACT(韻母轉換規則!$C86, 韻母對照表[台羅拼音]), 0)), "")</f>
        <v>u</v>
      </c>
      <c r="F86" s="58" t="s">
        <v>308</v>
      </c>
      <c r="G86" s="61" t="str" cm="1">
        <f t="array" ref="G86" xml:space="preserve"> IFERROR( INDEX(韻母對照表[白話字], MATCH(TRUE, EXACT(韻母轉換規則!$C86, 韻母對照表[台羅拼音]), 0)), "")</f>
        <v>u</v>
      </c>
      <c r="H86" s="55" t="str" cm="1">
        <f t="array" ref="H86" xml:space="preserve"> IFERROR( INDEX(韻母對照表[十五音識別碼], MATCH(TRUE, EXACT(韻母轉換規則!$C86, 韻母對照表[台羅拼音]), 0)), "")</f>
        <v>艍舒</v>
      </c>
      <c r="I86" s="58" t="str" cm="1">
        <f t="array" ref="I86" xml:space="preserve"> IFERROR( INDEX(韻母對照表[方音符號], MATCH(TRUE, EXACT(韻母轉換規則!$C86, 韻母對照表[台羅拼音]), 0)), "")</f>
        <v>ㄨ</v>
      </c>
      <c r="J86" s="74"/>
      <c r="K86" s="58" t="str">
        <f t="shared" si="7"/>
        <v>u</v>
      </c>
      <c r="L86" s="58" t="str">
        <f t="shared" si="4"/>
        <v>u</v>
      </c>
      <c r="M86" s="56"/>
      <c r="N86" s="57" t="str">
        <f t="shared" si="8"/>
        <v>xform/u/u/</v>
      </c>
    </row>
    <row r="87" spans="1:14" ht="27.75" thickBot="1">
      <c r="A87" s="58">
        <f t="shared" si="9"/>
        <v>85</v>
      </c>
      <c r="B87" s="58" t="s">
        <v>476</v>
      </c>
      <c r="C87" s="58" t="s">
        <v>479</v>
      </c>
      <c r="D87" s="58" t="s">
        <v>479</v>
      </c>
      <c r="E87" s="58" t="str" cm="1">
        <f t="array" ref="E87" xml:space="preserve"> IFERROR( INDEX(韻母對照表[注音二式], MATCH(TRUE, EXACT(韻母轉換規則!$C87, 韻母對照表[台羅拼音]), 0)), "")</f>
        <v>oom</v>
      </c>
      <c r="F87" s="58" t="s">
        <v>641</v>
      </c>
      <c r="G87" s="61" t="str" cm="1">
        <f t="array" ref="G87" xml:space="preserve"> IFERROR( INDEX(韻母對照表[白話字], MATCH(TRUE, EXACT(韻母轉換規則!$C87, 韻母對照表[台羅拼音]), 0)), "")</f>
        <v>om</v>
      </c>
      <c r="H87" s="55" t="str" cm="1">
        <f t="array" ref="H87" xml:space="preserve"> IFERROR( INDEX(韻母對照表[十五音識別碼], MATCH(TRUE, EXACT(韻母轉換規則!$C87, 韻母對照表[台羅拼音]), 0)), "")</f>
        <v>箴舒</v>
      </c>
      <c r="I87" s="58" t="str" cm="1">
        <f t="array" ref="I87" xml:space="preserve"> IFERROR( INDEX(韻母對照表[方音符號], MATCH(TRUE, EXACT(韻母轉換規則!$C87, 韻母對照表[台羅拼音]), 0)), "")</f>
        <v>ㆱ</v>
      </c>
      <c r="J87" s="74"/>
      <c r="K87" s="58" t="str">
        <f t="shared" si="7"/>
        <v>oom</v>
      </c>
      <c r="L87" s="58" t="str">
        <f t="shared" si="4"/>
        <v>om</v>
      </c>
      <c r="M87" s="56"/>
      <c r="N87" s="57" t="str">
        <f t="shared" si="8"/>
        <v>xform/oom/om/</v>
      </c>
    </row>
    <row r="88" spans="1:14" ht="27.75" thickBot="1">
      <c r="A88" s="58">
        <f t="shared" si="9"/>
        <v>86</v>
      </c>
      <c r="B88" s="58" t="s">
        <v>380</v>
      </c>
      <c r="C88" s="58" t="s">
        <v>383</v>
      </c>
      <c r="D88" s="58" t="s">
        <v>383</v>
      </c>
      <c r="E88" s="58" t="str" cm="1">
        <f t="array" ref="E88" xml:space="preserve"> IFERROR( INDEX(韻母對照表[注音二式], MATCH(TRUE, EXACT(韻母轉換規則!$C88, 韻母對照表[台羅拼音]), 0)), "")</f>
        <v>ioonn</v>
      </c>
      <c r="F88" s="58" t="s">
        <v>641</v>
      </c>
      <c r="G88" s="60" t="str" cm="1">
        <f t="array" ref="G88" xml:space="preserve"> IFERROR( INDEX(韻母對照表[白話字], MATCH(TRUE, EXACT(韻母轉換規則!$C88, 韻母對照表[台羅拼音]), 0)), "")</f>
        <v>ioⁿ</v>
      </c>
      <c r="H88" s="55" t="str" cm="1">
        <f t="array" ref="H88" xml:space="preserve"> IFERROR( INDEX(韻母對照表[十五音識別碼], MATCH(TRUE, EXACT(韻母轉換規則!$C88, 韻母對照表[台羅拼音]), 0)), "")</f>
        <v>薑舒</v>
      </c>
      <c r="I88" s="58" t="str" cm="1">
        <f t="array" ref="I88" xml:space="preserve"> IFERROR( INDEX(韻母對照表[方音符號], MATCH(TRUE, EXACT(韻母轉換規則!$C88, 韻母對照表[台羅拼音]), 0)), "")</f>
        <v>ㄧㆧ</v>
      </c>
      <c r="J88" s="74"/>
      <c r="K88" s="58" t="str">
        <f t="shared" si="7"/>
        <v>ioonn</v>
      </c>
      <c r="L88" s="58" t="str">
        <f t="shared" si="4"/>
        <v>ionn</v>
      </c>
      <c r="M88" s="56"/>
      <c r="N88" s="57" t="str">
        <f t="shared" si="8"/>
        <v>xform/ioonn/ionn/</v>
      </c>
    </row>
    <row r="89" spans="1:14" ht="27.75" thickBot="1">
      <c r="A89" s="58">
        <f t="shared" si="9"/>
        <v>87</v>
      </c>
      <c r="B89" s="75" t="s">
        <v>859</v>
      </c>
      <c r="C89" s="58" t="s">
        <v>860</v>
      </c>
      <c r="D89" s="58" t="s">
        <v>860</v>
      </c>
      <c r="E89" s="76" t="str" cm="1">
        <f t="array" ref="E89" xml:space="preserve"> IFERROR( INDEX(韻母對照表[注音二式], MATCH(TRUE, EXACT(韻母轉換規則!$C89, 韻母對照表[台羅拼音]), 0)), "")</f>
        <v/>
      </c>
      <c r="F89" s="58" t="str" cm="1">
        <f t="array" ref="F89" xml:space="preserve"> IFERROR( INDEX(韻母對照表[閩拼方案], MATCH(TRUE, EXACT(韻母轉換規則!$B89, 韻母對照表[國際音標]), 0)), "")</f>
        <v/>
      </c>
      <c r="G89" s="60" t="str" cm="1">
        <f t="array" ref="G89" xml:space="preserve"> IFERROR( INDEX(韻母對照表[白話字], MATCH(TRUE, EXACT(韻母轉換規則!$C89, 韻母對照表[台羅拼音]), 0)), "")</f>
        <v/>
      </c>
      <c r="H89" s="55" t="str" cm="1">
        <f t="array" ref="H89" xml:space="preserve"> IFERROR( INDEX(韻母對照表[十五音識別碼], MATCH(TRUE, EXACT(韻母轉換規則!$C89, 韻母對照表[台羅拼音]), 0)), "")</f>
        <v/>
      </c>
      <c r="I89" s="58" t="str" cm="1">
        <f t="array" ref="I89" xml:space="preserve"> IFERROR( INDEX(韻母對照表[方音符號], MATCH(TRUE, EXACT(韻母轉換規則!$C89, 韻母對照表[台羅拼音]), 0)), "")</f>
        <v/>
      </c>
      <c r="J89" s="74"/>
      <c r="K89" s="58" t="str">
        <f t="shared" si="7"/>
        <v/>
      </c>
      <c r="L89" s="58" t="str">
        <f t="shared" si="4"/>
        <v>iooh</v>
      </c>
      <c r="M89" s="56"/>
      <c r="N89" s="57" t="str">
        <f t="shared" si="8"/>
        <v/>
      </c>
    </row>
    <row r="90" spans="1:14" ht="27.75" thickBot="1">
      <c r="A90" s="58">
        <f t="shared" si="9"/>
        <v>88</v>
      </c>
      <c r="B90" s="58" t="s">
        <v>153</v>
      </c>
      <c r="C90" s="58" t="s">
        <v>153</v>
      </c>
      <c r="D90" s="58" t="s">
        <v>153</v>
      </c>
      <c r="E90" s="58" t="str" cm="1">
        <f t="array" ref="E90" xml:space="preserve"> IFERROR( INDEX(韻母對照表[注音二式], MATCH(TRUE, EXACT(韻母轉換規則!$C90, 韻母對照表[台羅拼音]), 0)), "")</f>
        <v/>
      </c>
      <c r="F90" s="58" t="str" cm="1">
        <f t="array" ref="F90" xml:space="preserve"> IFERROR( INDEX(韻母對照表[閩拼方案], MATCH(TRUE, EXACT(韻母轉換規則!$B90, 韻母對照表[國際音標]), 0)), "")</f>
        <v/>
      </c>
      <c r="G90" s="62" t="str" cm="1">
        <f t="array" ref="G90" xml:space="preserve"> IFERROR( INDEX(韻母對照表[白話字], MATCH(TRUE, EXACT(韻母轉換規則!$C90, 韻母對照表[台羅拼音]), 0)), "")</f>
        <v/>
      </c>
      <c r="H90" s="55" t="str" cm="1">
        <f t="array" ref="H90" xml:space="preserve"> IFERROR( INDEX(韻母對照表[十五音識別碼], MATCH(TRUE, EXACT(韻母轉換規則!$C90, 韻母對照表[台羅拼音]), 0)), "")</f>
        <v/>
      </c>
      <c r="I90" s="58" t="str" cm="1">
        <f t="array" ref="I90" xml:space="preserve"> IFERROR( INDEX(韻母對照表[方音符號], MATCH(TRUE, EXACT(韻母轉換規則!$C90, 韻母對照表[台羅拼音]), 0)), "")</f>
        <v/>
      </c>
      <c r="J90" s="74"/>
      <c r="K90" s="58" t="str">
        <f t="shared" si="7"/>
        <v/>
      </c>
      <c r="L90" s="58" t="str">
        <f t="shared" si="4"/>
        <v>ei</v>
      </c>
      <c r="M90" s="56"/>
      <c r="N90" s="57" t="str">
        <f t="shared" si="8"/>
        <v/>
      </c>
    </row>
    <row r="91" spans="1:14" ht="27.75" thickBot="1">
      <c r="A91" s="58">
        <f t="shared" si="9"/>
        <v>89</v>
      </c>
      <c r="B91" s="75" t="s">
        <v>907</v>
      </c>
      <c r="C91" s="58" t="s">
        <v>134</v>
      </c>
      <c r="D91" s="58" t="s">
        <v>134</v>
      </c>
      <c r="E91" s="76" t="str" cm="1">
        <f t="array" ref="E91" xml:space="preserve"> IFERROR( INDEX(韻母對照表[注音二式], MATCH(TRUE, EXACT(韻母轉換規則!$C91, 韻母對照表[台羅拼音]), 0)), "")</f>
        <v/>
      </c>
      <c r="F91" s="58" t="str" cm="1">
        <f t="array" ref="F91" xml:space="preserve"> IFERROR( INDEX(韻母對照表[閩拼方案], MATCH(TRUE, EXACT(韻母轉換規則!$B91, 韻母對照表[國際音標]), 0)), "")</f>
        <v/>
      </c>
      <c r="G91" s="62" t="str" cm="1">
        <f t="array" ref="G91" xml:space="preserve"> IFERROR( INDEX(韻母對照表[白話字], MATCH(TRUE, EXACT(韻母轉換規則!$C91, 韻母對照表[台羅拼音]), 0)), "")</f>
        <v/>
      </c>
      <c r="H91" s="55" t="str" cm="1">
        <f t="array" ref="H91" xml:space="preserve"> IFERROR( INDEX(韻母對照表[十五音識別碼], MATCH(TRUE, EXACT(韻母轉換規則!$C91, 韻母對照表[台羅拼音]), 0)), "")</f>
        <v/>
      </c>
      <c r="I91" s="58" t="str" cm="1">
        <f t="array" ref="I91" xml:space="preserve"> IFERROR( INDEX(韻母對照表[方音符號], MATCH(TRUE, EXACT(韻母轉換規則!$C91, 韻母對照表[台羅拼音]), 0)), "")</f>
        <v/>
      </c>
      <c r="J91" s="74"/>
      <c r="K91" s="58" t="str">
        <f t="shared" si="7"/>
        <v/>
      </c>
      <c r="L91" s="58" t="str">
        <f t="shared" si="4"/>
        <v>ou</v>
      </c>
      <c r="M91" s="56"/>
      <c r="N91" s="57" t="str">
        <f t="shared" si="8"/>
        <v/>
      </c>
    </row>
    <row r="92" spans="1:14" ht="27.75" thickBot="1">
      <c r="A92" s="58">
        <f t="shared" si="9"/>
        <v>90</v>
      </c>
      <c r="B92" s="75" t="s">
        <v>862</v>
      </c>
      <c r="C92" s="58" t="s">
        <v>863</v>
      </c>
      <c r="D92" s="58" t="s">
        <v>863</v>
      </c>
      <c r="E92" s="76" t="str" cm="1">
        <f t="array" ref="E92" xml:space="preserve"> IFERROR( INDEX(韻母對照表[注音二式], MATCH(TRUE, EXACT(韻母轉換規則!$C92, 韻母對照表[台羅拼音]), 0)), "")</f>
        <v/>
      </c>
      <c r="F92" s="58" t="str" cm="1">
        <f t="array" ref="F92" xml:space="preserve"> IFERROR( INDEX(韻母對照表[閩拼方案], MATCH(TRUE, EXACT(韻母轉換規則!$B92, 韻母對照表[國際音標]), 0)), "")</f>
        <v/>
      </c>
      <c r="G92" s="62" t="str" cm="1">
        <f t="array" ref="G92" xml:space="preserve"> IFERROR( INDEX(韻母對照表[白話字], MATCH(TRUE, EXACT(韻母轉換規則!$C92, 韻母對照表[台羅拼音]), 0)), "")</f>
        <v/>
      </c>
      <c r="H92" s="55" t="str" cm="1">
        <f t="array" ref="H92" xml:space="preserve"> IFERROR( INDEX(韻母對照表[十五音識別碼], MATCH(TRUE, EXACT(韻母轉換規則!$C92, 韻母對照表[台羅拼音]), 0)), "")</f>
        <v/>
      </c>
      <c r="I92" s="58" t="str" cm="1">
        <f t="array" ref="I92" xml:space="preserve"> IFERROR( INDEX(韻母對照表[方音符號], MATCH(TRUE, EXACT(韻母轉換規則!$C92, 韻母對照表[台羅拼音]), 0)), "")</f>
        <v/>
      </c>
      <c r="J92" s="74"/>
      <c r="K92" s="58" t="str">
        <f t="shared" si="7"/>
        <v/>
      </c>
      <c r="L92" s="58" t="str">
        <f t="shared" si="4"/>
        <v>ae</v>
      </c>
      <c r="M92" s="56"/>
      <c r="N92" s="57" t="str">
        <f t="shared" si="8"/>
        <v/>
      </c>
    </row>
    <row r="93" spans="1:14" ht="27.75" thickBot="1">
      <c r="A93" s="58">
        <f t="shared" si="9"/>
        <v>91</v>
      </c>
      <c r="B93" s="75" t="s">
        <v>864</v>
      </c>
      <c r="C93" s="58" t="s">
        <v>865</v>
      </c>
      <c r="D93" s="58" t="s">
        <v>865</v>
      </c>
      <c r="E93" s="76" t="str" cm="1">
        <f t="array" ref="E93" xml:space="preserve"> IFERROR( INDEX(韻母對照表[注音二式], MATCH(TRUE, EXACT(韻母轉換規則!$C93, 韻母對照表[台羅拼音]), 0)), "")</f>
        <v/>
      </c>
      <c r="F93" s="58" t="str" cm="1">
        <f t="array" ref="F93" xml:space="preserve"> IFERROR( INDEX(韻母對照表[閩拼方案], MATCH(TRUE, EXACT(韻母轉換規則!$B93, 韻母對照表[國際音標]), 0)), "")</f>
        <v/>
      </c>
      <c r="G93" s="62" t="str" cm="1">
        <f t="array" ref="G93" xml:space="preserve"> IFERROR( INDEX(韻母對照表[白話字], MATCH(TRUE, EXACT(韻母轉換規則!$C93, 韻母對照表[台羅拼音]), 0)), "")</f>
        <v/>
      </c>
      <c r="H93" s="55" t="str" cm="1">
        <f t="array" ref="H93" xml:space="preserve"> IFERROR( INDEX(韻母對照表[十五音識別碼], MATCH(TRUE, EXACT(韻母轉換規則!$C93, 韻母對照表[台羅拼音]), 0)), "")</f>
        <v/>
      </c>
      <c r="I93" s="58" t="str" cm="1">
        <f t="array" ref="I93" xml:space="preserve"> IFERROR( INDEX(韻母對照表[方音符號], MATCH(TRUE, EXACT(韻母轉換規則!$C93, 韻母對照表[台羅拼音]), 0)), "")</f>
        <v/>
      </c>
      <c r="J93" s="74"/>
      <c r="K93" s="58" t="str">
        <f t="shared" si="7"/>
        <v/>
      </c>
      <c r="L93" s="58" t="str">
        <f t="shared" si="4"/>
        <v>uae</v>
      </c>
      <c r="M93" s="56"/>
      <c r="N93" s="57" t="str">
        <f t="shared" si="8"/>
        <v/>
      </c>
    </row>
    <row r="94" spans="1:14" ht="27.75" thickBot="1">
      <c r="A94" s="58">
        <f t="shared" si="9"/>
        <v>92</v>
      </c>
      <c r="B94" s="75" t="s">
        <v>866</v>
      </c>
      <c r="C94" s="58" t="s">
        <v>867</v>
      </c>
      <c r="D94" s="58" t="s">
        <v>867</v>
      </c>
      <c r="E94" s="76" t="str" cm="1">
        <f t="array" ref="E94" xml:space="preserve"> IFERROR( INDEX(韻母對照表[注音二式], MATCH(TRUE, EXACT(韻母轉換規則!$C94, 韻母對照表[台羅拼音]), 0)), "")</f>
        <v/>
      </c>
      <c r="F94" s="58" t="str" cm="1">
        <f t="array" ref="F94" xml:space="preserve"> IFERROR( INDEX(韻母對照表[閩拼方案], MATCH(TRUE, EXACT(韻母轉換規則!$B94, 韻母對照表[國際音標]), 0)), "")</f>
        <v/>
      </c>
      <c r="G94" s="62" t="str" cm="1">
        <f t="array" ref="G94" xml:space="preserve"> IFERROR( INDEX(韻母對照表[白話字], MATCH(TRUE, EXACT(韻母轉換規則!$C94, 韻母對照表[台羅拼音]), 0)), "")</f>
        <v/>
      </c>
      <c r="H94" s="55" t="str" cm="1">
        <f t="array" ref="H94" xml:space="preserve"> IFERROR( INDEX(韻母對照表[十五音識別碼], MATCH(TRUE, EXACT(韻母轉換規則!$C94, 韻母對照表[台羅拼音]), 0)), "")</f>
        <v/>
      </c>
      <c r="I94" s="58" t="str" cm="1">
        <f t="array" ref="I94" xml:space="preserve"> IFERROR( INDEX(韻母對照表[方音符號], MATCH(TRUE, EXACT(韻母轉換規則!$C94, 韻母對照表[台羅拼音]), 0)), "")</f>
        <v/>
      </c>
      <c r="J94" s="74"/>
      <c r="K94" s="58" t="str">
        <f t="shared" si="7"/>
        <v/>
      </c>
      <c r="L94" s="58" t="str">
        <f t="shared" si="4"/>
        <v>aenn</v>
      </c>
      <c r="M94" s="56"/>
      <c r="N94" s="57" t="str">
        <f t="shared" si="8"/>
        <v/>
      </c>
    </row>
    <row r="95" spans="1:14" ht="27.75" thickBot="1">
      <c r="A95" s="58">
        <f t="shared" si="9"/>
        <v>93</v>
      </c>
      <c r="B95" s="75" t="s">
        <v>868</v>
      </c>
      <c r="C95" s="58" t="s">
        <v>843</v>
      </c>
      <c r="D95" s="58" t="s">
        <v>843</v>
      </c>
      <c r="E95" s="76" t="str" cm="1">
        <f t="array" ref="E95" xml:space="preserve"> IFERROR( INDEX(韻母對照表[注音二式], MATCH(TRUE, EXACT(韻母轉換規則!$C95, 韻母對照表[台羅拼音]), 0)), "")</f>
        <v/>
      </c>
      <c r="F95" s="58" t="str" cm="1">
        <f t="array" ref="F95" xml:space="preserve"> IFERROR( INDEX(韻母對照表[閩拼方案], MATCH(TRUE, EXACT(韻母轉換規則!$B95, 韻母對照表[國際音標]), 0)), "")</f>
        <v/>
      </c>
      <c r="G95" s="62" t="str" cm="1">
        <f t="array" ref="G95" xml:space="preserve"> IFERROR( INDEX(韻母對照表[白話字], MATCH(TRUE, EXACT(韻母轉換規則!$C95, 韻母對照表[台羅拼音]), 0)), "")</f>
        <v/>
      </c>
      <c r="H95" s="55" t="str" cm="1">
        <f t="array" ref="H95" xml:space="preserve"> IFERROR( INDEX(韻母對照表[十五音識別碼], MATCH(TRUE, EXACT(韻母轉換規則!$C95, 韻母對照表[台羅拼音]), 0)), "")</f>
        <v/>
      </c>
      <c r="I95" s="58" t="str" cm="1">
        <f t="array" ref="I95" xml:space="preserve"> IFERROR( INDEX(韻母對照表[方音符號], MATCH(TRUE, EXACT(韻母轉換規則!$C95, 韻母對照表[台羅拼音]), 0)), "")</f>
        <v/>
      </c>
      <c r="J95" s="74"/>
      <c r="K95" s="58" t="str">
        <f t="shared" si="7"/>
        <v/>
      </c>
      <c r="L95" s="58" t="str">
        <f t="shared" si="4"/>
        <v>eu</v>
      </c>
      <c r="M95" s="56"/>
      <c r="N95" s="57" t="str">
        <f t="shared" si="8"/>
        <v/>
      </c>
    </row>
    <row r="96" spans="1:14" ht="27.75" thickBot="1">
      <c r="A96" s="58">
        <f t="shared" si="9"/>
        <v>94</v>
      </c>
      <c r="B96" s="75" t="s">
        <v>869</v>
      </c>
      <c r="C96" s="58" t="s">
        <v>870</v>
      </c>
      <c r="D96" s="58" t="s">
        <v>870</v>
      </c>
      <c r="E96" s="62" t="str" cm="1">
        <f t="array" ref="E96" xml:space="preserve"> IFERROR( INDEX(韻母對照表[注音二式], MATCH(TRUE, EXACT(韻母轉換規則!$C96, 韻母對照表[台羅拼音]), 0)), "")</f>
        <v/>
      </c>
      <c r="F96" s="58" t="str" cm="1">
        <f t="array" ref="F96" xml:space="preserve"> IFERROR( INDEX(韻母對照表[閩拼方案], MATCH(TRUE, EXACT(韻母轉換規則!$B96, 韻母對照表[國際音標]), 0)), "")</f>
        <v/>
      </c>
      <c r="G96" s="62" t="str" cm="1">
        <f t="array" ref="G96" xml:space="preserve"> IFERROR( INDEX(韻母對照表[白話字], MATCH(TRUE, EXACT(韻母轉換規則!$C96, 韻母對照表[台羅拼音]), 0)), "")</f>
        <v/>
      </c>
      <c r="H96" s="55" t="str" cm="1">
        <f t="array" ref="H96" xml:space="preserve"> IFERROR( INDEX(韻母對照表[十五音識別碼], MATCH(TRUE, EXACT(韻母轉換規則!$C96, 韻母對照表[台羅拼音]), 0)), "")</f>
        <v/>
      </c>
      <c r="I96" s="58" t="str" cm="1">
        <f t="array" ref="I96" xml:space="preserve"> IFERROR( INDEX(韻母對照表[方音符號], MATCH(TRUE, EXACT(韻母轉換規則!$C96, 韻母對照表[台羅拼音]), 0)), "")</f>
        <v/>
      </c>
      <c r="J96" s="74"/>
      <c r="K96" s="58" t="str">
        <f t="shared" si="7"/>
        <v/>
      </c>
      <c r="L96" s="58" t="str">
        <f t="shared" si="4"/>
        <v>ioo</v>
      </c>
      <c r="M96" s="56"/>
      <c r="N96" s="57" t="str">
        <f t="shared" si="8"/>
        <v/>
      </c>
    </row>
    <row r="97" spans="1:14" ht="27.75" thickBot="1">
      <c r="A97" s="58">
        <f t="shared" si="9"/>
        <v>95</v>
      </c>
      <c r="B97" s="75" t="s">
        <v>871</v>
      </c>
      <c r="C97" s="58" t="s">
        <v>110</v>
      </c>
      <c r="D97" s="58" t="s">
        <v>110</v>
      </c>
      <c r="E97" s="76" t="str" cm="1">
        <f t="array" ref="E97" xml:space="preserve"> IFERROR( INDEX(韻母對照表[注音二式], MATCH(TRUE, EXACT(韻母轉換規則!$C97, 韻母對照表[台羅拼音]), 0)), "")</f>
        <v/>
      </c>
      <c r="F97" s="58" t="str" cm="1">
        <f t="array" ref="F97" xml:space="preserve"> IFERROR( INDEX(韻母對照表[閩拼方案], MATCH(TRUE, EXACT(韻母轉換規則!$B97, 韻母對照表[國際音標]), 0)), "")</f>
        <v/>
      </c>
      <c r="G97" s="60" t="str" cm="1">
        <f t="array" ref="G97" xml:space="preserve"> IFERROR( INDEX(韻母對照表[白話字], MATCH(TRUE, EXACT(韻母轉換規則!$C97, 韻母對照表[台羅拼音]), 0)), "")</f>
        <v/>
      </c>
      <c r="H97" s="55" t="str" cm="1">
        <f t="array" ref="H97" xml:space="preserve"> IFERROR( INDEX(韻母對照表[十五音識別碼], MATCH(TRUE, EXACT(韻母轉換規則!$C97, 韻母對照表[台羅拼音]), 0)), "")</f>
        <v/>
      </c>
      <c r="I97" s="58" t="str" cm="1">
        <f t="array" ref="I97" xml:space="preserve"> IFERROR( INDEX(韻母對照表[方音符號], MATCH(TRUE, EXACT(韻母轉換規則!$C97, 韻母對照表[台羅拼音]), 0)), "")</f>
        <v/>
      </c>
      <c r="J97" s="74"/>
      <c r="K97" s="58" t="str">
        <f t="shared" si="7"/>
        <v/>
      </c>
      <c r="L97" s="58" t="str">
        <f t="shared" si="4"/>
        <v>eng</v>
      </c>
      <c r="M97" s="56"/>
      <c r="N97" s="57" t="str">
        <f t="shared" si="8"/>
        <v/>
      </c>
    </row>
    <row r="98" spans="1:14" ht="27.75" thickBot="1">
      <c r="A98" s="58">
        <f t="shared" si="9"/>
        <v>96</v>
      </c>
      <c r="B98" s="75" t="s">
        <v>892</v>
      </c>
      <c r="C98" s="58" t="s">
        <v>116</v>
      </c>
      <c r="D98" s="58" t="s">
        <v>116</v>
      </c>
      <c r="E98" s="76" t="str" cm="1">
        <f t="array" ref="E98" xml:space="preserve"> IFERROR( INDEX(韻母對照表[注音二式], MATCH(TRUE, EXACT(韻母轉換規則!$C98, 韻母對照表[台羅拼音]), 0)), "")</f>
        <v/>
      </c>
      <c r="F98" s="58" t="str" cm="1">
        <f t="array" ref="F98" xml:space="preserve"> IFERROR( INDEX(韻母對照表[閩拼方案], MATCH(TRUE, EXACT(韻母轉換規則!$B98, 韻母對照表[國際音標]), 0)), "")</f>
        <v/>
      </c>
      <c r="G98" s="60" t="str" cm="1">
        <f t="array" ref="G98" xml:space="preserve"> IFERROR( INDEX(韻母對照表[白話字], MATCH(TRUE, EXACT(韻母轉換規則!$C98, 韻母對照表[台羅拼音]), 0)), "")</f>
        <v/>
      </c>
      <c r="H98" s="55" t="str" cm="1">
        <f t="array" ref="H98" xml:space="preserve"> IFERROR( INDEX(韻母對照表[十五音識別碼], MATCH(TRUE, EXACT(韻母轉換規則!$C98, 韻母對照表[台羅拼音]), 0)), "")</f>
        <v/>
      </c>
      <c r="I98" s="58" t="str" cm="1">
        <f t="array" ref="I98" xml:space="preserve"> IFERROR( INDEX(韻母對照表[方音符號], MATCH(TRUE, EXACT(韻母轉換規則!$C98, 韻母對照表[台羅拼音]), 0)), "")</f>
        <v/>
      </c>
      <c r="J98" s="74"/>
      <c r="K98" s="58" t="str">
        <f t="shared" si="7"/>
        <v/>
      </c>
      <c r="L98" s="58" t="str">
        <f t="shared" ref="L98" si="10">D98</f>
        <v>ek</v>
      </c>
      <c r="M98" s="56"/>
      <c r="N98" s="57" t="str">
        <f t="shared" si="8"/>
        <v/>
      </c>
    </row>
    <row r="102" spans="1:14">
      <c r="F102" s="52">
        <f xml:space="preserve"> _xlfn.UNICODE( RIGHT(G102,1) )</f>
        <v>856</v>
      </c>
      <c r="G102" s="52" t="s">
        <v>137</v>
      </c>
    </row>
    <row r="103" spans="1:14">
      <c r="F103" s="52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2" customWidth="1"/>
    <col min="5" max="5" width="29.83203125" style="52" customWidth="1"/>
    <col min="6" max="6" width="7.83203125" style="52" customWidth="1"/>
  </cols>
  <sheetData>
    <row r="1" spans="1:6" ht="48.75" thickBot="1">
      <c r="A1" s="59" t="s">
        <v>898</v>
      </c>
      <c r="B1" s="59" t="s">
        <v>899</v>
      </c>
      <c r="C1" s="59" t="s">
        <v>875</v>
      </c>
      <c r="D1" s="53" t="s">
        <v>5</v>
      </c>
      <c r="E1" s="53" t="s">
        <v>900</v>
      </c>
    </row>
    <row r="2" spans="1:6" ht="27.75" thickBot="1">
      <c r="A2" s="58">
        <v>1</v>
      </c>
      <c r="B2" s="55">
        <f t="shared" ref="B2:B33" si="0" xml:space="preserve"> LEN(C2)</f>
        <v>6</v>
      </c>
      <c r="C2" s="58" t="s">
        <v>472</v>
      </c>
      <c r="D2" s="58" t="s">
        <v>472</v>
      </c>
      <c r="E2" s="58" t="str">
        <f t="shared" ref="E2:E33" si="1" xml:space="preserve"> "xform/" &amp; $C2 &amp;  "/"  &amp; $D2 &amp;  "/"</f>
        <v>xform/iaunnh/iaunnh/</v>
      </c>
    </row>
    <row r="3" spans="1:6" ht="27.75" thickBot="1">
      <c r="A3" s="58">
        <v>2</v>
      </c>
      <c r="B3" s="55">
        <f t="shared" si="0"/>
        <v>6</v>
      </c>
      <c r="C3" s="58" t="s">
        <v>455</v>
      </c>
      <c r="D3" s="58" t="s">
        <v>455</v>
      </c>
      <c r="E3" s="58" t="str">
        <f t="shared" si="1"/>
        <v>xform/uainnh/uainnh/</v>
      </c>
      <c r="F3" s="57"/>
    </row>
    <row r="4" spans="1:6" ht="27.75" thickBot="1">
      <c r="A4" s="58">
        <v>7</v>
      </c>
      <c r="B4" s="55">
        <f t="shared" si="0"/>
        <v>5</v>
      </c>
      <c r="C4" s="58" t="s">
        <v>789</v>
      </c>
      <c r="D4" s="58" t="s">
        <v>789</v>
      </c>
      <c r="E4" s="58" t="str">
        <f t="shared" si="1"/>
        <v>xform/aunnh/aunnh/</v>
      </c>
      <c r="F4" s="57"/>
    </row>
    <row r="5" spans="1:6" ht="27.75" thickBot="1">
      <c r="A5" s="58">
        <v>8</v>
      </c>
      <c r="B5" s="55">
        <f t="shared" si="0"/>
        <v>5</v>
      </c>
      <c r="C5" s="58" t="s">
        <v>392</v>
      </c>
      <c r="D5" s="58" t="s">
        <v>392</v>
      </c>
      <c r="E5" s="58" t="str">
        <f t="shared" si="1"/>
        <v>xform/iannh/iannh/</v>
      </c>
      <c r="F5" s="57"/>
    </row>
    <row r="6" spans="1:6" ht="27.75" thickBot="1">
      <c r="A6" s="58">
        <v>40</v>
      </c>
      <c r="B6" s="55">
        <f t="shared" si="0"/>
        <v>5</v>
      </c>
      <c r="C6" s="58" t="s">
        <v>449</v>
      </c>
      <c r="D6" s="58" t="s">
        <v>449</v>
      </c>
      <c r="E6" s="58" t="str">
        <f t="shared" si="1"/>
        <v>xform/uainn/uainn/</v>
      </c>
      <c r="F6" s="57"/>
    </row>
    <row r="7" spans="1:6" ht="27.75" thickBot="1">
      <c r="A7" s="58">
        <v>86</v>
      </c>
      <c r="B7" s="55">
        <f t="shared" si="0"/>
        <v>5</v>
      </c>
      <c r="C7" s="58" t="s">
        <v>386</v>
      </c>
      <c r="D7" s="58" t="s">
        <v>383</v>
      </c>
      <c r="E7" s="58" t="str">
        <f t="shared" si="1"/>
        <v>xform/ioonn/ionn/</v>
      </c>
      <c r="F7" s="57"/>
    </row>
    <row r="8" spans="1:6" ht="27.75" thickBot="1">
      <c r="A8" s="58">
        <v>3</v>
      </c>
      <c r="B8" s="55">
        <f t="shared" si="0"/>
        <v>4</v>
      </c>
      <c r="C8" s="58" t="s">
        <v>203</v>
      </c>
      <c r="D8" s="58" t="s">
        <v>203</v>
      </c>
      <c r="E8" s="58" t="str">
        <f t="shared" si="1"/>
        <v>xform/iang/iang/</v>
      </c>
      <c r="F8" s="57"/>
    </row>
    <row r="9" spans="1:6" ht="27.75" thickBot="1">
      <c r="A9" s="58">
        <v>4</v>
      </c>
      <c r="B9" s="55">
        <f t="shared" si="0"/>
        <v>4</v>
      </c>
      <c r="C9" s="58" t="s">
        <v>148</v>
      </c>
      <c r="D9" s="58" t="s">
        <v>148</v>
      </c>
      <c r="E9" s="58" t="str">
        <f t="shared" si="1"/>
        <v>xform/iauh/iauh/</v>
      </c>
      <c r="F9" s="57"/>
    </row>
    <row r="10" spans="1:6" ht="27.75" thickBot="1">
      <c r="A10" s="58">
        <v>5</v>
      </c>
      <c r="B10" s="55">
        <f t="shared" si="0"/>
        <v>4</v>
      </c>
      <c r="C10" s="58" t="s">
        <v>162</v>
      </c>
      <c r="D10" s="58" t="s">
        <v>162</v>
      </c>
      <c r="E10" s="58" t="str">
        <f t="shared" si="1"/>
        <v>xform/iong/iong/</v>
      </c>
      <c r="F10" s="57"/>
    </row>
    <row r="11" spans="1:6" ht="27.75" thickBot="1">
      <c r="A11" s="58">
        <v>6</v>
      </c>
      <c r="B11" s="55">
        <f t="shared" si="0"/>
        <v>4</v>
      </c>
      <c r="C11" s="58" t="s">
        <v>346</v>
      </c>
      <c r="D11" s="58" t="s">
        <v>346</v>
      </c>
      <c r="E11" s="58" t="str">
        <f t="shared" si="1"/>
        <v>xform/ennh/ennh/</v>
      </c>
      <c r="F11" s="57"/>
    </row>
    <row r="12" spans="1:6" ht="27.75" thickBot="1">
      <c r="A12" s="58">
        <v>10</v>
      </c>
      <c r="B12" s="55">
        <f t="shared" si="0"/>
        <v>4</v>
      </c>
      <c r="C12" s="58" t="s">
        <v>501</v>
      </c>
      <c r="D12" s="58" t="s">
        <v>501</v>
      </c>
      <c r="E12" s="58" t="str">
        <f t="shared" si="1"/>
        <v>xform/onnh/onnh/</v>
      </c>
      <c r="F12" s="57"/>
    </row>
    <row r="13" spans="1:6" ht="27.75" thickBot="1">
      <c r="A13" s="58">
        <v>22</v>
      </c>
      <c r="B13" s="55">
        <f t="shared" si="0"/>
        <v>4</v>
      </c>
      <c r="C13" s="58" t="s">
        <v>364</v>
      </c>
      <c r="D13" s="58" t="s">
        <v>363</v>
      </c>
      <c r="E13" s="58" t="str">
        <f t="shared" si="1"/>
        <v>xform/iorh/ioh/</v>
      </c>
      <c r="F13" s="57"/>
    </row>
    <row r="14" spans="1:6" ht="27.75" thickBot="1">
      <c r="A14" s="58">
        <v>23</v>
      </c>
      <c r="B14" s="55">
        <f t="shared" si="0"/>
        <v>4</v>
      </c>
      <c r="C14" s="58" t="s">
        <v>895</v>
      </c>
      <c r="D14" s="58" t="s">
        <v>167</v>
      </c>
      <c r="E14" s="58" t="str">
        <f t="shared" si="1"/>
        <v>xform/iook/iok/</v>
      </c>
      <c r="F14" s="57"/>
    </row>
    <row r="15" spans="1:6" ht="27.75" thickBot="1">
      <c r="A15" s="58">
        <v>26</v>
      </c>
      <c r="B15" s="55">
        <f t="shared" si="0"/>
        <v>4</v>
      </c>
      <c r="C15" s="58" t="s">
        <v>304</v>
      </c>
      <c r="D15" s="58" t="s">
        <v>304</v>
      </c>
      <c r="E15" s="58" t="str">
        <f t="shared" si="1"/>
        <v>xform/annh/annh/</v>
      </c>
      <c r="F15" s="57"/>
    </row>
    <row r="16" spans="1:6" ht="27.75" thickBot="1">
      <c r="A16" s="58">
        <v>27</v>
      </c>
      <c r="B16" s="55">
        <f t="shared" si="0"/>
        <v>4</v>
      </c>
      <c r="C16" s="58" t="s">
        <v>417</v>
      </c>
      <c r="D16" s="58" t="s">
        <v>417</v>
      </c>
      <c r="E16" s="58" t="str">
        <f t="shared" si="1"/>
        <v>xform/ainn/ainn/</v>
      </c>
      <c r="F16" s="57"/>
    </row>
    <row r="17" spans="1:6" ht="27.75" thickBot="1">
      <c r="A17" s="58">
        <v>28</v>
      </c>
      <c r="B17" s="55">
        <f t="shared" si="0"/>
        <v>4</v>
      </c>
      <c r="C17" s="58" t="s">
        <v>491</v>
      </c>
      <c r="D17" s="58" t="s">
        <v>491</v>
      </c>
      <c r="E17" s="58" t="str">
        <f t="shared" si="1"/>
        <v>xform/aunn/aunn/</v>
      </c>
      <c r="F17" s="57"/>
    </row>
    <row r="18" spans="1:6" ht="27.75" thickBot="1">
      <c r="A18" s="58">
        <v>30</v>
      </c>
      <c r="B18" s="55">
        <f t="shared" si="0"/>
        <v>4</v>
      </c>
      <c r="C18" s="58" t="s">
        <v>391</v>
      </c>
      <c r="D18" s="58" t="s">
        <v>391</v>
      </c>
      <c r="E18" s="58" t="str">
        <f t="shared" si="1"/>
        <v>xform/iann/iann/</v>
      </c>
      <c r="F18" s="57"/>
    </row>
    <row r="19" spans="1:6" ht="27.75" thickBot="1">
      <c r="A19" s="58">
        <v>31</v>
      </c>
      <c r="B19" s="55">
        <f t="shared" si="0"/>
        <v>4</v>
      </c>
      <c r="C19" s="58" t="s">
        <v>376</v>
      </c>
      <c r="D19" s="58" t="s">
        <v>376</v>
      </c>
      <c r="E19" s="58" t="str">
        <f t="shared" si="1"/>
        <v>xform/innh/innh/</v>
      </c>
      <c r="F19" s="57"/>
    </row>
    <row r="20" spans="1:6" ht="27.75" thickBot="1">
      <c r="A20" s="58">
        <v>32</v>
      </c>
      <c r="B20" s="55">
        <f t="shared" si="0"/>
        <v>4</v>
      </c>
      <c r="C20" s="58" t="s">
        <v>507</v>
      </c>
      <c r="D20" s="58" t="s">
        <v>507</v>
      </c>
      <c r="E20" s="58" t="str">
        <f t="shared" si="1"/>
        <v>xform/iunn/iunn/</v>
      </c>
      <c r="F20" s="57"/>
    </row>
    <row r="21" spans="1:6" ht="27.75" thickBot="1">
      <c r="A21" s="58">
        <v>33</v>
      </c>
      <c r="B21" s="55">
        <f t="shared" si="0"/>
        <v>4</v>
      </c>
      <c r="C21" s="58" t="s">
        <v>424</v>
      </c>
      <c r="D21" s="58" t="s">
        <v>425</v>
      </c>
      <c r="E21" s="58" t="str">
        <f t="shared" si="1"/>
        <v>xform/oonn/onn/</v>
      </c>
      <c r="F21" s="57"/>
    </row>
    <row r="22" spans="1:6" ht="27.75" thickBot="1">
      <c r="A22" s="58">
        <v>34</v>
      </c>
      <c r="B22" s="55">
        <f t="shared" si="0"/>
        <v>4</v>
      </c>
      <c r="C22" s="58" t="s">
        <v>399</v>
      </c>
      <c r="D22" s="58" t="s">
        <v>399</v>
      </c>
      <c r="E22" s="58" t="str">
        <f t="shared" si="1"/>
        <v>xform/uann/uann/</v>
      </c>
      <c r="F22" s="57"/>
    </row>
    <row r="23" spans="1:6" ht="27.75" thickBot="1">
      <c r="A23" s="58">
        <v>35</v>
      </c>
      <c r="B23" s="55">
        <f t="shared" si="0"/>
        <v>4</v>
      </c>
      <c r="C23" s="58" t="s">
        <v>351</v>
      </c>
      <c r="D23" s="58" t="s">
        <v>351</v>
      </c>
      <c r="E23" s="58" t="str">
        <f t="shared" si="1"/>
        <v>xform/uinn/uinn/</v>
      </c>
      <c r="F23" s="57"/>
    </row>
    <row r="24" spans="1:6" ht="27.75" thickBot="1">
      <c r="A24" s="58">
        <v>87</v>
      </c>
      <c r="B24" s="55">
        <f t="shared" si="0"/>
        <v>4</v>
      </c>
      <c r="C24" s="58" t="s">
        <v>860</v>
      </c>
      <c r="D24" s="58" t="s">
        <v>860</v>
      </c>
      <c r="E24" s="58" t="str">
        <f t="shared" si="1"/>
        <v>xform/iooh/iooh/</v>
      </c>
      <c r="F24" s="57"/>
    </row>
    <row r="25" spans="1:6" ht="27.75" thickBot="1">
      <c r="A25" s="58">
        <v>92</v>
      </c>
      <c r="B25" s="55">
        <f t="shared" si="0"/>
        <v>4</v>
      </c>
      <c r="C25" s="58" t="s">
        <v>867</v>
      </c>
      <c r="D25" s="58" t="s">
        <v>867</v>
      </c>
      <c r="E25" s="58" t="str">
        <f t="shared" si="1"/>
        <v>xform/aenn/aenn/</v>
      </c>
      <c r="F25" s="57"/>
    </row>
    <row r="26" spans="1:6" ht="27.75" thickBot="1">
      <c r="A26" s="58">
        <v>9</v>
      </c>
      <c r="B26" s="55">
        <f t="shared" si="0"/>
        <v>3</v>
      </c>
      <c r="C26" s="58" t="s">
        <v>141</v>
      </c>
      <c r="D26" s="58" t="s">
        <v>467</v>
      </c>
      <c r="E26" s="58" t="str">
        <f t="shared" si="1"/>
        <v>xform/iau/iaunn/</v>
      </c>
      <c r="F26" s="57"/>
    </row>
    <row r="27" spans="1:6" ht="27.75" thickBot="1">
      <c r="A27" s="58">
        <v>12</v>
      </c>
      <c r="B27" s="55">
        <f t="shared" si="0"/>
        <v>3</v>
      </c>
      <c r="C27" s="58" t="s">
        <v>237</v>
      </c>
      <c r="D27" s="58" t="s">
        <v>237</v>
      </c>
      <c r="E27" s="58" t="str">
        <f t="shared" si="1"/>
        <v>xform/ang/ang/</v>
      </c>
      <c r="F27" s="57"/>
    </row>
    <row r="28" spans="1:6" ht="27.75" thickBot="1">
      <c r="A28" s="58">
        <v>13</v>
      </c>
      <c r="B28" s="55">
        <f t="shared" si="0"/>
        <v>3</v>
      </c>
      <c r="C28" s="58" t="s">
        <v>267</v>
      </c>
      <c r="D28" s="58" t="s">
        <v>267</v>
      </c>
      <c r="E28" s="58" t="str">
        <f t="shared" si="1"/>
        <v>xform/auh/auh/</v>
      </c>
      <c r="F28" s="57"/>
    </row>
    <row r="29" spans="1:6" ht="27.75" thickBot="1">
      <c r="A29" s="58">
        <v>14</v>
      </c>
      <c r="B29" s="55">
        <f t="shared" si="0"/>
        <v>3</v>
      </c>
      <c r="C29" s="58" t="s">
        <v>278</v>
      </c>
      <c r="D29" s="58" t="s">
        <v>278</v>
      </c>
      <c r="E29" s="58" t="str">
        <f t="shared" si="1"/>
        <v>xform/iah/iah/</v>
      </c>
      <c r="F29" s="57"/>
    </row>
    <row r="30" spans="1:6" ht="27.75" thickBot="1">
      <c r="A30" s="58">
        <v>15</v>
      </c>
      <c r="B30" s="55">
        <f t="shared" si="0"/>
        <v>3</v>
      </c>
      <c r="C30" s="58" t="s">
        <v>207</v>
      </c>
      <c r="D30" s="58" t="s">
        <v>207</v>
      </c>
      <c r="E30" s="58" t="str">
        <f t="shared" si="1"/>
        <v>xform/iak/iak/</v>
      </c>
      <c r="F30" s="57"/>
    </row>
    <row r="31" spans="1:6" ht="27.75" thickBot="1">
      <c r="A31" s="58">
        <v>16</v>
      </c>
      <c r="B31" s="55">
        <f t="shared" si="0"/>
        <v>3</v>
      </c>
      <c r="C31" s="58" t="s">
        <v>247</v>
      </c>
      <c r="D31" s="58" t="s">
        <v>247</v>
      </c>
      <c r="E31" s="58" t="str">
        <f t="shared" si="1"/>
        <v>xform/iam/iam/</v>
      </c>
      <c r="F31" s="57"/>
    </row>
    <row r="32" spans="1:6" ht="27.75" thickBot="1">
      <c r="A32" s="58">
        <v>17</v>
      </c>
      <c r="B32" s="55">
        <f t="shared" si="0"/>
        <v>3</v>
      </c>
      <c r="C32" s="58" t="s">
        <v>27</v>
      </c>
      <c r="D32" s="58" t="s">
        <v>27</v>
      </c>
      <c r="E32" s="58" t="str">
        <f t="shared" si="1"/>
        <v>xform/ian/ian/</v>
      </c>
      <c r="F32" s="57"/>
    </row>
    <row r="33" spans="1:6" ht="27.75" thickBot="1">
      <c r="A33" s="58">
        <v>18</v>
      </c>
      <c r="B33" s="55">
        <f t="shared" si="0"/>
        <v>3</v>
      </c>
      <c r="C33" s="58" t="s">
        <v>141</v>
      </c>
      <c r="D33" s="58" t="s">
        <v>141</v>
      </c>
      <c r="E33" s="58" t="str">
        <f t="shared" si="1"/>
        <v>xform/iau/iau/</v>
      </c>
      <c r="F33" s="57"/>
    </row>
    <row r="34" spans="1:6" ht="27.75" thickBot="1">
      <c r="A34" s="58">
        <v>19</v>
      </c>
      <c r="B34" s="55">
        <f t="shared" ref="B34:B65" si="2" xml:space="preserve"> LEN(C34)</f>
        <v>3</v>
      </c>
      <c r="C34" s="58" t="s">
        <v>256</v>
      </c>
      <c r="D34" s="58" t="s">
        <v>256</v>
      </c>
      <c r="E34" s="58" t="str">
        <f t="shared" ref="E34:E65" si="3" xml:space="preserve"> "xform/" &amp; $C34 &amp;  "/"  &amp; $D34 &amp;  "/"</f>
        <v>xform/iap/iap/</v>
      </c>
      <c r="F34" s="57"/>
    </row>
    <row r="35" spans="1:6" ht="27.75" thickBot="1">
      <c r="A35" s="58">
        <v>20</v>
      </c>
      <c r="B35" s="55">
        <f t="shared" si="2"/>
        <v>3</v>
      </c>
      <c r="C35" s="58" t="s">
        <v>34</v>
      </c>
      <c r="D35" s="58" t="s">
        <v>34</v>
      </c>
      <c r="E35" s="58" t="str">
        <f t="shared" si="3"/>
        <v>xform/iat/iat/</v>
      </c>
      <c r="F35" s="57"/>
    </row>
    <row r="36" spans="1:6" ht="27.75" thickBot="1">
      <c r="A36" s="58">
        <v>21</v>
      </c>
      <c r="B36" s="55">
        <f t="shared" si="2"/>
        <v>3</v>
      </c>
      <c r="C36" s="58" t="s">
        <v>109</v>
      </c>
      <c r="D36" s="58" t="s">
        <v>109</v>
      </c>
      <c r="E36" s="58" t="str">
        <f t="shared" si="3"/>
        <v>xform/ing/ing/</v>
      </c>
      <c r="F36" s="57"/>
    </row>
    <row r="37" spans="1:6" ht="27.75" thickBot="1">
      <c r="A37" s="58">
        <v>24</v>
      </c>
      <c r="B37" s="55">
        <f t="shared" si="2"/>
        <v>3</v>
      </c>
      <c r="C37" s="58" t="s">
        <v>811</v>
      </c>
      <c r="D37" s="58" t="s">
        <v>811</v>
      </c>
      <c r="E37" s="58" t="str">
        <f t="shared" si="3"/>
        <v>xform/iuh/iuh/</v>
      </c>
      <c r="F37" s="57"/>
    </row>
    <row r="38" spans="1:6" ht="27.75" thickBot="1">
      <c r="A38" s="58">
        <v>25</v>
      </c>
      <c r="B38" s="55">
        <f t="shared" si="2"/>
        <v>3</v>
      </c>
      <c r="C38" s="58" t="s">
        <v>340</v>
      </c>
      <c r="D38" s="58" t="s">
        <v>340</v>
      </c>
      <c r="E38" s="58" t="str">
        <f t="shared" si="3"/>
        <v>xform/enn/enn/</v>
      </c>
      <c r="F38" s="57"/>
    </row>
    <row r="39" spans="1:6" ht="27.75" thickBot="1">
      <c r="A39" s="58">
        <v>29</v>
      </c>
      <c r="B39" s="55">
        <f t="shared" si="2"/>
        <v>3</v>
      </c>
      <c r="C39" s="58" t="s">
        <v>820</v>
      </c>
      <c r="D39" s="58" t="s">
        <v>820</v>
      </c>
      <c r="E39" s="58" t="str">
        <f t="shared" si="3"/>
        <v>xform/ngh/ngh/</v>
      </c>
      <c r="F39" s="57"/>
    </row>
    <row r="40" spans="1:6" ht="27.75" thickBot="1">
      <c r="A40" s="58">
        <v>36</v>
      </c>
      <c r="B40" s="55">
        <f t="shared" si="2"/>
        <v>3</v>
      </c>
      <c r="C40" s="58" t="s">
        <v>84</v>
      </c>
      <c r="D40" s="58" t="s">
        <v>84</v>
      </c>
      <c r="E40" s="58" t="str">
        <f t="shared" si="3"/>
        <v>xform/ong/ong/</v>
      </c>
      <c r="F40" s="57"/>
    </row>
    <row r="41" spans="1:6" ht="27.75" thickBot="1">
      <c r="A41" s="58">
        <v>37</v>
      </c>
      <c r="B41" s="55">
        <f t="shared" si="2"/>
        <v>3</v>
      </c>
      <c r="C41" s="58" t="s">
        <v>825</v>
      </c>
      <c r="D41" s="58" t="s">
        <v>825</v>
      </c>
      <c r="E41" s="58" t="str">
        <f t="shared" si="3"/>
        <v>xform/ooh/ooh/</v>
      </c>
      <c r="F41" s="57"/>
    </row>
    <row r="42" spans="1:6" ht="27.75" thickBot="1">
      <c r="A42" s="58">
        <v>38</v>
      </c>
      <c r="B42" s="55">
        <f t="shared" si="2"/>
        <v>3</v>
      </c>
      <c r="C42" s="58" t="s">
        <v>230</v>
      </c>
      <c r="D42" s="58" t="s">
        <v>230</v>
      </c>
      <c r="E42" s="58" t="str">
        <f t="shared" si="3"/>
        <v>xform/uah/uah/</v>
      </c>
      <c r="F42" s="57"/>
    </row>
    <row r="43" spans="1:6" ht="27.75" thickBot="1">
      <c r="A43" s="58">
        <v>39</v>
      </c>
      <c r="B43" s="55">
        <f t="shared" si="2"/>
        <v>3</v>
      </c>
      <c r="C43" s="58" t="s">
        <v>94</v>
      </c>
      <c r="D43" s="58" t="s">
        <v>94</v>
      </c>
      <c r="E43" s="58" t="str">
        <f t="shared" si="3"/>
        <v>xform/uai/uai/</v>
      </c>
      <c r="F43" s="57"/>
    </row>
    <row r="44" spans="1:6" ht="27.75" thickBot="1">
      <c r="A44" s="58">
        <v>41</v>
      </c>
      <c r="B44" s="55">
        <f t="shared" si="2"/>
        <v>3</v>
      </c>
      <c r="C44" s="58" t="s">
        <v>120</v>
      </c>
      <c r="D44" s="58" t="s">
        <v>120</v>
      </c>
      <c r="E44" s="58" t="str">
        <f t="shared" si="3"/>
        <v>xform/uan/uan/</v>
      </c>
      <c r="F44" s="57"/>
    </row>
    <row r="45" spans="1:6" ht="27.75" thickBot="1">
      <c r="A45" s="58">
        <v>42</v>
      </c>
      <c r="B45" s="55">
        <f t="shared" si="2"/>
        <v>3</v>
      </c>
      <c r="C45" s="58" t="s">
        <v>129</v>
      </c>
      <c r="D45" s="58" t="s">
        <v>129</v>
      </c>
      <c r="E45" s="58" t="str">
        <f t="shared" si="3"/>
        <v>xform/uat/uat/</v>
      </c>
      <c r="F45" s="57"/>
    </row>
    <row r="46" spans="1:6" ht="27.75" thickBot="1">
      <c r="A46" s="58">
        <v>43</v>
      </c>
      <c r="B46" s="55">
        <f t="shared" si="2"/>
        <v>3</v>
      </c>
      <c r="C46" s="58" t="s">
        <v>290</v>
      </c>
      <c r="D46" s="58" t="s">
        <v>290</v>
      </c>
      <c r="E46" s="58" t="str">
        <f t="shared" si="3"/>
        <v>xform/ueh/ueh/</v>
      </c>
      <c r="F46" s="57"/>
    </row>
    <row r="47" spans="1:6" ht="27.75" thickBot="1">
      <c r="A47" s="58">
        <v>61</v>
      </c>
      <c r="B47" s="55">
        <f t="shared" si="2"/>
        <v>3</v>
      </c>
      <c r="C47" s="58" t="s">
        <v>360</v>
      </c>
      <c r="D47" s="58" t="s">
        <v>357</v>
      </c>
      <c r="E47" s="58" t="str">
        <f t="shared" si="3"/>
        <v>xform/ior/io/</v>
      </c>
      <c r="F47" s="57"/>
    </row>
    <row r="48" spans="1:6" ht="27.75" thickBot="1">
      <c r="A48" s="58">
        <v>66</v>
      </c>
      <c r="B48" s="55">
        <f t="shared" si="2"/>
        <v>3</v>
      </c>
      <c r="C48" s="58" t="s">
        <v>297</v>
      </c>
      <c r="D48" s="58" t="s">
        <v>297</v>
      </c>
      <c r="E48" s="58" t="str">
        <f t="shared" si="3"/>
        <v>xform/ann/ann/</v>
      </c>
      <c r="F48" s="57"/>
    </row>
    <row r="49" spans="1:6" ht="27.75" thickBot="1">
      <c r="A49" s="58">
        <v>68</v>
      </c>
      <c r="B49" s="55">
        <f t="shared" si="2"/>
        <v>3</v>
      </c>
      <c r="C49" s="58" t="s">
        <v>370</v>
      </c>
      <c r="D49" s="58" t="s">
        <v>370</v>
      </c>
      <c r="E49" s="58" t="str">
        <f t="shared" si="3"/>
        <v>xform/inn/inn/</v>
      </c>
      <c r="F49" s="57"/>
    </row>
    <row r="50" spans="1:6" ht="27.75" thickBot="1">
      <c r="A50" s="58">
        <v>69</v>
      </c>
      <c r="B50" s="55">
        <f t="shared" si="2"/>
        <v>3</v>
      </c>
      <c r="C50" s="58" t="s">
        <v>179</v>
      </c>
      <c r="D50" s="58" t="s">
        <v>178</v>
      </c>
      <c r="E50" s="58" t="str">
        <f t="shared" si="3"/>
        <v>xform/orh/oh/</v>
      </c>
      <c r="F50" s="57"/>
    </row>
    <row r="51" spans="1:6" ht="27.75" thickBot="1">
      <c r="A51" s="58">
        <v>72</v>
      </c>
      <c r="B51" s="55">
        <f t="shared" si="2"/>
        <v>3</v>
      </c>
      <c r="C51" s="58" t="s">
        <v>486</v>
      </c>
      <c r="D51" s="58" t="s">
        <v>485</v>
      </c>
      <c r="E51" s="58" t="str">
        <f t="shared" si="3"/>
        <v>xform/oop/op/</v>
      </c>
      <c r="F51" s="57"/>
    </row>
    <row r="52" spans="1:6" ht="27.75" thickBot="1">
      <c r="A52" s="58">
        <v>85</v>
      </c>
      <c r="B52" s="55">
        <f t="shared" si="2"/>
        <v>3</v>
      </c>
      <c r="C52" s="58" t="s">
        <v>480</v>
      </c>
      <c r="D52" s="58" t="s">
        <v>479</v>
      </c>
      <c r="E52" s="58" t="str">
        <f t="shared" si="3"/>
        <v>xform/oom/om/</v>
      </c>
      <c r="F52" s="57"/>
    </row>
    <row r="53" spans="1:6" ht="27.75" thickBot="1">
      <c r="A53" s="58">
        <v>91</v>
      </c>
      <c r="B53" s="55">
        <f t="shared" si="2"/>
        <v>3</v>
      </c>
      <c r="C53" s="58" t="s">
        <v>865</v>
      </c>
      <c r="D53" s="58" t="s">
        <v>865</v>
      </c>
      <c r="E53" s="58" t="str">
        <f t="shared" si="3"/>
        <v>xform/uae/uae/</v>
      </c>
      <c r="F53" s="57"/>
    </row>
    <row r="54" spans="1:6" ht="27.75" thickBot="1">
      <c r="A54" s="58">
        <v>95</v>
      </c>
      <c r="B54" s="55">
        <f t="shared" si="2"/>
        <v>3</v>
      </c>
      <c r="C54" s="58" t="s">
        <v>110</v>
      </c>
      <c r="D54" s="58" t="s">
        <v>110</v>
      </c>
      <c r="E54" s="58" t="str">
        <f t="shared" si="3"/>
        <v>xform/eng/eng/</v>
      </c>
      <c r="F54" s="57"/>
    </row>
    <row r="55" spans="1:6" ht="27.75" thickBot="1">
      <c r="A55" s="58">
        <v>11</v>
      </c>
      <c r="B55" s="55">
        <f t="shared" si="2"/>
        <v>2</v>
      </c>
      <c r="C55" s="58" t="s">
        <v>65</v>
      </c>
      <c r="D55" s="58" t="s">
        <v>64</v>
      </c>
      <c r="E55" s="58" t="str">
        <f t="shared" si="3"/>
        <v>xform/eh/eeh/</v>
      </c>
      <c r="F55" s="57"/>
    </row>
    <row r="56" spans="1:6" ht="27.75" thickBot="1">
      <c r="A56" s="58">
        <v>45</v>
      </c>
      <c r="B56" s="55">
        <f t="shared" si="2"/>
        <v>2</v>
      </c>
      <c r="C56" s="58" t="s">
        <v>321</v>
      </c>
      <c r="D56" s="58" t="s">
        <v>321</v>
      </c>
      <c r="E56" s="58" t="str">
        <f t="shared" si="3"/>
        <v>xform/ah/ah/</v>
      </c>
      <c r="F56" s="57"/>
    </row>
    <row r="57" spans="1:6" ht="27.75" thickBot="1">
      <c r="A57" s="58">
        <v>46</v>
      </c>
      <c r="B57" s="55">
        <f t="shared" si="2"/>
        <v>2</v>
      </c>
      <c r="C57" s="58" t="s">
        <v>183</v>
      </c>
      <c r="D57" s="58" t="s">
        <v>183</v>
      </c>
      <c r="E57" s="58" t="str">
        <f t="shared" si="3"/>
        <v>xform/ai/ai/</v>
      </c>
      <c r="F57" s="57"/>
    </row>
    <row r="58" spans="1:6" ht="27.75" thickBot="1">
      <c r="A58" s="58">
        <v>47</v>
      </c>
      <c r="B58" s="55">
        <f t="shared" si="2"/>
        <v>2</v>
      </c>
      <c r="C58" s="58" t="s">
        <v>243</v>
      </c>
      <c r="D58" s="58" t="s">
        <v>243</v>
      </c>
      <c r="E58" s="58" t="str">
        <f t="shared" si="3"/>
        <v>xform/ak/ak/</v>
      </c>
      <c r="F58" s="57"/>
    </row>
    <row r="59" spans="1:6" ht="27.75" thickBot="1">
      <c r="A59" s="58">
        <v>48</v>
      </c>
      <c r="B59" s="55">
        <f t="shared" si="2"/>
        <v>2</v>
      </c>
      <c r="C59" s="58" t="s">
        <v>211</v>
      </c>
      <c r="D59" s="58" t="s">
        <v>211</v>
      </c>
      <c r="E59" s="58" t="str">
        <f t="shared" si="3"/>
        <v>xform/am/am/</v>
      </c>
      <c r="F59" s="57"/>
    </row>
    <row r="60" spans="1:6" ht="27.75" thickBot="1">
      <c r="A60" s="58">
        <v>49</v>
      </c>
      <c r="B60" s="55">
        <f t="shared" si="2"/>
        <v>2</v>
      </c>
      <c r="C60" s="58" t="s">
        <v>69</v>
      </c>
      <c r="D60" s="58" t="s">
        <v>69</v>
      </c>
      <c r="E60" s="58" t="str">
        <f t="shared" si="3"/>
        <v>xform/an/an/</v>
      </c>
      <c r="F60" s="57"/>
    </row>
    <row r="61" spans="1:6" ht="27.75" thickBot="1">
      <c r="A61" s="58">
        <v>50</v>
      </c>
      <c r="B61" s="55">
        <f t="shared" si="2"/>
        <v>2</v>
      </c>
      <c r="C61" s="58" t="s">
        <v>260</v>
      </c>
      <c r="D61" s="58" t="s">
        <v>260</v>
      </c>
      <c r="E61" s="58" t="str">
        <f t="shared" si="3"/>
        <v>xform/au/au/</v>
      </c>
      <c r="F61" s="57"/>
    </row>
    <row r="62" spans="1:6" ht="27.75" thickBot="1">
      <c r="A62" s="58">
        <v>51</v>
      </c>
      <c r="B62" s="55">
        <f t="shared" si="2"/>
        <v>2</v>
      </c>
      <c r="C62" s="58" t="s">
        <v>219</v>
      </c>
      <c r="D62" s="58" t="s">
        <v>219</v>
      </c>
      <c r="E62" s="58" t="str">
        <f t="shared" si="3"/>
        <v>xform/ap/ap/</v>
      </c>
      <c r="F62" s="57"/>
    </row>
    <row r="63" spans="1:6" ht="27.75" thickBot="1">
      <c r="A63" s="58">
        <v>52</v>
      </c>
      <c r="B63" s="55">
        <f t="shared" si="2"/>
        <v>2</v>
      </c>
      <c r="C63" s="58" t="s">
        <v>77</v>
      </c>
      <c r="D63" s="58" t="s">
        <v>77</v>
      </c>
      <c r="E63" s="58" t="str">
        <f t="shared" si="3"/>
        <v>xform/at/at/</v>
      </c>
      <c r="F63" s="57"/>
    </row>
    <row r="64" spans="1:6" ht="27.75" thickBot="1">
      <c r="A64" s="58">
        <v>53</v>
      </c>
      <c r="B64" s="55">
        <f t="shared" si="2"/>
        <v>2</v>
      </c>
      <c r="C64" s="58" t="s">
        <v>65</v>
      </c>
      <c r="D64" s="58" t="s">
        <v>65</v>
      </c>
      <c r="E64" s="58" t="str">
        <f t="shared" si="3"/>
        <v>xform/eh/eh/</v>
      </c>
      <c r="F64" s="57"/>
    </row>
    <row r="65" spans="1:6" ht="27.75" thickBot="1">
      <c r="A65" s="58">
        <v>55</v>
      </c>
      <c r="B65" s="55">
        <f t="shared" si="2"/>
        <v>2</v>
      </c>
      <c r="C65" s="58" t="s">
        <v>272</v>
      </c>
      <c r="D65" s="58" t="s">
        <v>272</v>
      </c>
      <c r="E65" s="58" t="str">
        <f t="shared" si="3"/>
        <v>xform/ia/ia/</v>
      </c>
      <c r="F65" s="57"/>
    </row>
    <row r="66" spans="1:6" ht="27.75" thickBot="1">
      <c r="A66" s="58">
        <v>57</v>
      </c>
      <c r="B66" s="55">
        <f t="shared" ref="B66:B97" si="4" xml:space="preserve"> LEN(C66)</f>
        <v>2</v>
      </c>
      <c r="C66" s="58" t="s">
        <v>329</v>
      </c>
      <c r="D66" s="58" t="s">
        <v>329</v>
      </c>
      <c r="E66" s="58" t="str">
        <f t="shared" ref="E66:E97" si="5" xml:space="preserve"> "xform/" &amp; $C66 &amp;  "/"  &amp; $D66 &amp;  "/"</f>
        <v>xform/ih/ih/</v>
      </c>
      <c r="F66" s="57"/>
    </row>
    <row r="67" spans="1:6" ht="27.75" thickBot="1">
      <c r="A67" s="58">
        <v>58</v>
      </c>
      <c r="B67" s="55">
        <f t="shared" si="4"/>
        <v>2</v>
      </c>
      <c r="C67" s="58" t="s">
        <v>115</v>
      </c>
      <c r="D67" s="58" t="s">
        <v>115</v>
      </c>
      <c r="E67" s="58" t="str">
        <f t="shared" si="5"/>
        <v>xform/ik/ik/</v>
      </c>
      <c r="F67" s="57"/>
    </row>
    <row r="68" spans="1:6" ht="27.75" thickBot="1">
      <c r="A68" s="58">
        <v>59</v>
      </c>
      <c r="B68" s="55">
        <f t="shared" si="4"/>
        <v>2</v>
      </c>
      <c r="C68" s="58" t="s">
        <v>38</v>
      </c>
      <c r="D68" s="58" t="s">
        <v>38</v>
      </c>
      <c r="E68" s="58" t="str">
        <f t="shared" si="5"/>
        <v>xform/im/im/</v>
      </c>
      <c r="F68" s="57"/>
    </row>
    <row r="69" spans="1:6" ht="27.75" thickBot="1">
      <c r="A69" s="58">
        <v>60</v>
      </c>
      <c r="B69" s="55">
        <f t="shared" si="4"/>
        <v>2</v>
      </c>
      <c r="C69" s="58" t="s">
        <v>189</v>
      </c>
      <c r="D69" s="58" t="s">
        <v>189</v>
      </c>
      <c r="E69" s="58" t="str">
        <f t="shared" si="5"/>
        <v>xform/in/in/</v>
      </c>
      <c r="F69" s="57"/>
    </row>
    <row r="70" spans="1:6" ht="27.75" thickBot="1">
      <c r="A70" s="58">
        <v>62</v>
      </c>
      <c r="B70" s="55">
        <f t="shared" si="4"/>
        <v>2</v>
      </c>
      <c r="C70" s="58" t="s">
        <v>46</v>
      </c>
      <c r="D70" s="58" t="s">
        <v>46</v>
      </c>
      <c r="E70" s="58" t="str">
        <f t="shared" si="5"/>
        <v>xform/ip/ip/</v>
      </c>
      <c r="F70" s="57"/>
    </row>
    <row r="71" spans="1:6" ht="27.75" thickBot="1">
      <c r="A71" s="58">
        <v>63</v>
      </c>
      <c r="B71" s="55">
        <f t="shared" si="4"/>
        <v>2</v>
      </c>
      <c r="C71" s="58" t="s">
        <v>197</v>
      </c>
      <c r="D71" s="58" t="s">
        <v>197</v>
      </c>
      <c r="E71" s="58" t="str">
        <f t="shared" si="5"/>
        <v>xform/it/it/</v>
      </c>
      <c r="F71" s="57"/>
    </row>
    <row r="72" spans="1:6" ht="27.75" thickBot="1">
      <c r="A72" s="58">
        <v>64</v>
      </c>
      <c r="B72" s="55">
        <f t="shared" si="4"/>
        <v>2</v>
      </c>
      <c r="C72" s="58" t="s">
        <v>332</v>
      </c>
      <c r="D72" s="58" t="s">
        <v>332</v>
      </c>
      <c r="E72" s="58" t="str">
        <f t="shared" si="5"/>
        <v>xform/iu/iu/</v>
      </c>
      <c r="F72" s="57"/>
    </row>
    <row r="73" spans="1:6" ht="27.75" thickBot="1">
      <c r="A73" s="58">
        <v>65</v>
      </c>
      <c r="B73" s="55">
        <f t="shared" si="4"/>
        <v>2</v>
      </c>
      <c r="C73" s="58" t="s">
        <v>850</v>
      </c>
      <c r="D73" s="58" t="s">
        <v>850</v>
      </c>
      <c r="E73" s="58" t="str">
        <f t="shared" si="5"/>
        <v>xform/mh/mh/</v>
      </c>
      <c r="F73" s="57"/>
    </row>
    <row r="74" spans="1:6" ht="27.75" thickBot="1">
      <c r="A74" s="58">
        <v>67</v>
      </c>
      <c r="B74" s="55">
        <f t="shared" si="4"/>
        <v>2</v>
      </c>
      <c r="C74" s="58" t="s">
        <v>407</v>
      </c>
      <c r="D74" s="58" t="s">
        <v>407</v>
      </c>
      <c r="E74" s="58" t="str">
        <f t="shared" si="5"/>
        <v>xform/ng/ng/</v>
      </c>
      <c r="F74" s="57"/>
    </row>
    <row r="75" spans="1:6" ht="27.75" thickBot="1">
      <c r="A75" s="58">
        <v>70</v>
      </c>
      <c r="B75" s="55">
        <f t="shared" si="4"/>
        <v>2</v>
      </c>
      <c r="C75" s="58" t="s">
        <v>90</v>
      </c>
      <c r="D75" s="58" t="s">
        <v>90</v>
      </c>
      <c r="E75" s="58" t="str">
        <f t="shared" si="5"/>
        <v>xform/ok/ok/</v>
      </c>
      <c r="F75" s="57"/>
    </row>
    <row r="76" spans="1:6" ht="27.75" thickBot="1">
      <c r="A76" s="58">
        <v>71</v>
      </c>
      <c r="B76" s="55">
        <f t="shared" si="4"/>
        <v>2</v>
      </c>
      <c r="C76" s="58" t="s">
        <v>136</v>
      </c>
      <c r="D76" s="58" t="s">
        <v>136</v>
      </c>
      <c r="E76" s="58" t="str">
        <f t="shared" si="5"/>
        <v>xform/oo/oo/</v>
      </c>
      <c r="F76" s="57"/>
    </row>
    <row r="77" spans="1:6" ht="27.75" thickBot="1">
      <c r="A77" s="58">
        <v>73</v>
      </c>
      <c r="B77" s="55">
        <f t="shared" si="4"/>
        <v>2</v>
      </c>
      <c r="C77" s="58" t="s">
        <v>223</v>
      </c>
      <c r="D77" s="58" t="s">
        <v>223</v>
      </c>
      <c r="E77" s="58" t="str">
        <f t="shared" si="5"/>
        <v>xform/ua/ua/</v>
      </c>
      <c r="F77" s="57"/>
    </row>
    <row r="78" spans="1:6" ht="27.75" thickBot="1">
      <c r="A78" s="58">
        <v>74</v>
      </c>
      <c r="B78" s="55">
        <f t="shared" si="4"/>
        <v>2</v>
      </c>
      <c r="C78" s="58" t="s">
        <v>285</v>
      </c>
      <c r="D78" s="58" t="s">
        <v>285</v>
      </c>
      <c r="E78" s="58" t="str">
        <f t="shared" si="5"/>
        <v>xform/ue/ue/</v>
      </c>
      <c r="F78" s="57"/>
    </row>
    <row r="79" spans="1:6" ht="27.75" thickBot="1">
      <c r="A79" s="58">
        <v>75</v>
      </c>
      <c r="B79" s="55">
        <f t="shared" si="4"/>
        <v>2</v>
      </c>
      <c r="C79" s="58" t="s">
        <v>313</v>
      </c>
      <c r="D79" s="58" t="s">
        <v>313</v>
      </c>
      <c r="E79" s="58" t="str">
        <f t="shared" si="5"/>
        <v>xform/uh/uh/</v>
      </c>
      <c r="F79" s="57"/>
    </row>
    <row r="80" spans="1:6" ht="27.75" thickBot="1">
      <c r="A80" s="58">
        <v>76</v>
      </c>
      <c r="B80" s="55">
        <f t="shared" si="4"/>
        <v>2</v>
      </c>
      <c r="C80" s="58" t="s">
        <v>50</v>
      </c>
      <c r="D80" s="58" t="s">
        <v>50</v>
      </c>
      <c r="E80" s="58" t="str">
        <f t="shared" si="5"/>
        <v>xform/ui/ui/</v>
      </c>
      <c r="F80" s="57"/>
    </row>
    <row r="81" spans="1:6" ht="27.75" thickBot="1">
      <c r="A81" s="58">
        <v>77</v>
      </c>
      <c r="B81" s="55">
        <f t="shared" si="4"/>
        <v>2</v>
      </c>
      <c r="C81" s="58" t="s">
        <v>14</v>
      </c>
      <c r="D81" s="58" t="s">
        <v>14</v>
      </c>
      <c r="E81" s="58" t="str">
        <f t="shared" si="5"/>
        <v>xform/un/un/</v>
      </c>
      <c r="F81" s="57"/>
    </row>
    <row r="82" spans="1:6" ht="27.75" thickBot="1">
      <c r="A82" s="58">
        <v>78</v>
      </c>
      <c r="B82" s="55">
        <f t="shared" si="4"/>
        <v>2</v>
      </c>
      <c r="C82" s="58" t="s">
        <v>22</v>
      </c>
      <c r="D82" s="58" t="s">
        <v>22</v>
      </c>
      <c r="E82" s="58" t="str">
        <f t="shared" si="5"/>
        <v>xform/ut/ut/</v>
      </c>
      <c r="F82" s="57"/>
    </row>
    <row r="83" spans="1:6" ht="27.75" thickBot="1">
      <c r="A83" s="58">
        <v>83</v>
      </c>
      <c r="B83" s="55">
        <f t="shared" si="4"/>
        <v>2</v>
      </c>
      <c r="C83" s="58" t="s">
        <v>174</v>
      </c>
      <c r="D83" s="58" t="s">
        <v>171</v>
      </c>
      <c r="E83" s="58" t="str">
        <f t="shared" si="5"/>
        <v>xform/or/o/</v>
      </c>
      <c r="F83" s="57"/>
    </row>
    <row r="84" spans="1:6" ht="27.75" thickBot="1">
      <c r="A84" s="58">
        <v>89</v>
      </c>
      <c r="B84" s="55">
        <f t="shared" si="4"/>
        <v>2</v>
      </c>
      <c r="C84" s="58" t="s">
        <v>134</v>
      </c>
      <c r="D84" s="58" t="s">
        <v>134</v>
      </c>
      <c r="E84" s="58" t="str">
        <f t="shared" si="5"/>
        <v>xform/ou/ou/</v>
      </c>
      <c r="F84" s="57"/>
    </row>
    <row r="85" spans="1:6" ht="27.75" thickBot="1">
      <c r="A85" s="58">
        <v>90</v>
      </c>
      <c r="B85" s="55">
        <f t="shared" si="4"/>
        <v>2</v>
      </c>
      <c r="C85" s="58" t="s">
        <v>863</v>
      </c>
      <c r="D85" s="58" t="s">
        <v>863</v>
      </c>
      <c r="E85" s="58" t="str">
        <f t="shared" si="5"/>
        <v>xform/ae/ae/</v>
      </c>
      <c r="F85" s="57"/>
    </row>
    <row r="86" spans="1:6" ht="27.75" thickBot="1">
      <c r="A86" s="58">
        <v>93</v>
      </c>
      <c r="B86" s="55">
        <f t="shared" si="4"/>
        <v>2</v>
      </c>
      <c r="C86" s="58" t="s">
        <v>843</v>
      </c>
      <c r="D86" s="58" t="s">
        <v>843</v>
      </c>
      <c r="E86" s="58" t="str">
        <f t="shared" si="5"/>
        <v>xform/eu/eu/</v>
      </c>
      <c r="F86" s="57"/>
    </row>
    <row r="87" spans="1:6" ht="27.75" thickBot="1">
      <c r="A87" s="58">
        <v>96</v>
      </c>
      <c r="B87" s="55">
        <f t="shared" si="4"/>
        <v>2</v>
      </c>
      <c r="C87" s="58" t="s">
        <v>116</v>
      </c>
      <c r="D87" s="58" t="s">
        <v>116</v>
      </c>
      <c r="E87" s="58" t="str">
        <f t="shared" si="5"/>
        <v>xform/ek/ek/</v>
      </c>
      <c r="F87" s="57"/>
    </row>
    <row r="88" spans="1:6" ht="27.75" thickBot="1">
      <c r="A88" s="58">
        <v>44</v>
      </c>
      <c r="B88" s="55">
        <f t="shared" si="4"/>
        <v>1</v>
      </c>
      <c r="C88" s="58" t="s">
        <v>60</v>
      </c>
      <c r="D88" s="58" t="s">
        <v>59</v>
      </c>
      <c r="E88" s="58" t="str">
        <f t="shared" si="5"/>
        <v>xform/e/ee/</v>
      </c>
      <c r="F88" s="57"/>
    </row>
    <row r="89" spans="1:6" ht="27.75" thickBot="1">
      <c r="A89" s="58">
        <v>54</v>
      </c>
      <c r="B89" s="55">
        <f t="shared" si="4"/>
        <v>1</v>
      </c>
      <c r="C89" s="58">
        <v>0</v>
      </c>
      <c r="D89" s="58" t="s">
        <v>842</v>
      </c>
      <c r="E89" s="58" t="str">
        <f t="shared" si="5"/>
        <v>xform/0/ir/</v>
      </c>
      <c r="F89" s="57"/>
    </row>
    <row r="90" spans="1:6" ht="27.75" thickBot="1">
      <c r="A90" s="58">
        <v>56</v>
      </c>
      <c r="B90" s="55">
        <f t="shared" si="4"/>
        <v>1</v>
      </c>
      <c r="C90" s="58">
        <v>0</v>
      </c>
      <c r="D90" s="58" t="s">
        <v>846</v>
      </c>
      <c r="E90" s="58" t="str">
        <f t="shared" si="5"/>
        <v>xform/0/er/</v>
      </c>
      <c r="F90" s="57"/>
    </row>
    <row r="91" spans="1:6" ht="27.75" thickBot="1">
      <c r="A91" s="58">
        <v>79</v>
      </c>
      <c r="B91" s="55">
        <f t="shared" si="4"/>
        <v>1</v>
      </c>
      <c r="C91" s="58" t="s">
        <v>316</v>
      </c>
      <c r="D91" s="58" t="s">
        <v>316</v>
      </c>
      <c r="E91" s="58" t="str">
        <f t="shared" si="5"/>
        <v>xform/a/a/</v>
      </c>
      <c r="F91" s="57"/>
    </row>
    <row r="92" spans="1:6" ht="27.75" thickBot="1">
      <c r="A92" s="58">
        <v>80</v>
      </c>
      <c r="B92" s="55">
        <f t="shared" si="4"/>
        <v>1</v>
      </c>
      <c r="C92" s="58" t="s">
        <v>60</v>
      </c>
      <c r="D92" s="58" t="s">
        <v>60</v>
      </c>
      <c r="E92" s="58" t="str">
        <f t="shared" si="5"/>
        <v>xform/e/e/</v>
      </c>
      <c r="F92" s="57"/>
    </row>
    <row r="93" spans="1:6" ht="27.75" thickBot="1">
      <c r="A93" s="58">
        <v>81</v>
      </c>
      <c r="B93" s="55">
        <f t="shared" si="4"/>
        <v>1</v>
      </c>
      <c r="C93" s="58" t="s">
        <v>324</v>
      </c>
      <c r="D93" s="58" t="s">
        <v>324</v>
      </c>
      <c r="E93" s="58" t="str">
        <f t="shared" si="5"/>
        <v>xform/i/i/</v>
      </c>
      <c r="F93" s="57"/>
    </row>
    <row r="94" spans="1:6" ht="27.75" thickBot="1">
      <c r="A94" s="58">
        <v>82</v>
      </c>
      <c r="B94" s="55">
        <f t="shared" si="4"/>
        <v>1</v>
      </c>
      <c r="C94" s="58" t="s">
        <v>432</v>
      </c>
      <c r="D94" s="58" t="s">
        <v>432</v>
      </c>
      <c r="E94" s="58" t="str">
        <f t="shared" si="5"/>
        <v>xform/m/m/</v>
      </c>
      <c r="F94" s="57"/>
    </row>
    <row r="95" spans="1:6" ht="27.75" thickBot="1">
      <c r="A95" s="58">
        <v>84</v>
      </c>
      <c r="B95" s="55">
        <f t="shared" si="4"/>
        <v>1</v>
      </c>
      <c r="C95" s="58" t="s">
        <v>308</v>
      </c>
      <c r="D95" s="58" t="s">
        <v>308</v>
      </c>
      <c r="E95" s="58" t="str">
        <f t="shared" si="5"/>
        <v>xform/u/u/</v>
      </c>
      <c r="F95" s="57"/>
    </row>
    <row r="96" spans="1:6" ht="27.75" thickBot="1">
      <c r="A96" s="58">
        <v>88</v>
      </c>
      <c r="B96" s="55">
        <f t="shared" si="4"/>
        <v>1</v>
      </c>
      <c r="C96" s="58" t="s">
        <v>60</v>
      </c>
      <c r="D96" s="58" t="s">
        <v>153</v>
      </c>
      <c r="E96" s="58" t="str">
        <f t="shared" si="5"/>
        <v>xform/e/ei/</v>
      </c>
      <c r="F96" s="57"/>
    </row>
    <row r="97" spans="1:6" ht="27.75" thickBot="1">
      <c r="A97" s="58">
        <v>94</v>
      </c>
      <c r="B97" s="55">
        <f t="shared" si="4"/>
        <v>1</v>
      </c>
      <c r="C97" s="58">
        <v>0</v>
      </c>
      <c r="D97" s="58" t="s">
        <v>870</v>
      </c>
      <c r="E97" s="58" t="str">
        <f t="shared" si="5"/>
        <v>xform/0/ioo/</v>
      </c>
      <c r="F97" s="57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FFBE6-DA34-4B5F-AE92-D6D4FAA8CCAE}">
  <dimension ref="A1:L85"/>
  <sheetViews>
    <sheetView workbookViewId="0">
      <selection sqref="A1:L85"/>
    </sheetView>
  </sheetViews>
  <sheetFormatPr defaultRowHeight="25.5"/>
  <sheetData>
    <row r="1" spans="1:12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"舒促聲"</f>
        <v>舒促聲</v>
      </c>
      <c r="E1" t="str">
        <f>"韻序"</f>
        <v>韻序</v>
      </c>
      <c r="F1" t="str">
        <f>"國際音標"</f>
        <v>國際音標</v>
      </c>
      <c r="G1" t="str">
        <f>"台語音標"</f>
        <v>台語音標</v>
      </c>
      <c r="H1" t="str">
        <f>"台羅拼音"</f>
        <v>台羅拼音</v>
      </c>
      <c r="I1" t="str">
        <f>"注音二式"</f>
        <v>注音二式</v>
      </c>
      <c r="J1" t="str">
        <f>"閩拼方案"</f>
        <v>閩拼方案</v>
      </c>
      <c r="K1" t="str">
        <f>"白話字"</f>
        <v>白話字</v>
      </c>
      <c r="L1" t="str">
        <f>"漢字例"</f>
        <v>漢字例</v>
      </c>
    </row>
    <row r="2" spans="1:12">
      <c r="A2" t="str">
        <f>"1"</f>
        <v>1</v>
      </c>
      <c r="B2" t="str">
        <f>"ㄨㄣ"</f>
        <v>ㄨㄣ</v>
      </c>
      <c r="C2" t="str">
        <f>"君"</f>
        <v>君</v>
      </c>
      <c r="D2" t="str">
        <f>"舒聲"</f>
        <v>舒聲</v>
      </c>
      <c r="E2" t="str">
        <f>"1"</f>
        <v>1</v>
      </c>
      <c r="F2" t="str">
        <f t="shared" ref="F2:K2" si="0">"un"</f>
        <v>un</v>
      </c>
      <c r="G2" t="str">
        <f t="shared" si="0"/>
        <v>un</v>
      </c>
      <c r="H2" t="str">
        <f t="shared" si="0"/>
        <v>un</v>
      </c>
      <c r="I2" t="str">
        <f t="shared" si="0"/>
        <v>un</v>
      </c>
      <c r="J2" t="str">
        <f t="shared" si="0"/>
        <v>un</v>
      </c>
      <c r="K2" t="str">
        <f t="shared" si="0"/>
        <v>un</v>
      </c>
      <c r="L2" t="str">
        <f>"汾"</f>
        <v>汾</v>
      </c>
    </row>
    <row r="3" spans="1:12">
      <c r="A3" t="str">
        <f>"2"</f>
        <v>2</v>
      </c>
      <c r="B3" t="str">
        <f>"ㄨㆵ"</f>
        <v>ㄨㆵ</v>
      </c>
      <c r="C3" t="str">
        <f>"君"</f>
        <v>君</v>
      </c>
      <c r="D3" t="str">
        <f>"促聲"</f>
        <v>促聲</v>
      </c>
      <c r="E3" t="str">
        <f>"1"</f>
        <v>1</v>
      </c>
      <c r="F3" t="str">
        <f t="shared" ref="F3:K3" si="1">"ut"</f>
        <v>ut</v>
      </c>
      <c r="G3" t="str">
        <f t="shared" si="1"/>
        <v>ut</v>
      </c>
      <c r="H3" t="str">
        <f t="shared" si="1"/>
        <v>ut</v>
      </c>
      <c r="I3" t="str">
        <f t="shared" si="1"/>
        <v>ut</v>
      </c>
      <c r="J3" t="str">
        <f t="shared" si="1"/>
        <v>ut</v>
      </c>
      <c r="K3" t="str">
        <f t="shared" si="1"/>
        <v>ut</v>
      </c>
      <c r="L3" t="str">
        <f>"不"</f>
        <v>不</v>
      </c>
    </row>
    <row r="4" spans="1:12">
      <c r="A4" t="str">
        <f>"3"</f>
        <v>3</v>
      </c>
      <c r="B4" t="str">
        <f>"ㄧㄢ"</f>
        <v>ㄧㄢ</v>
      </c>
      <c r="C4" t="str">
        <f>"堅"</f>
        <v>堅</v>
      </c>
      <c r="D4" t="str">
        <f>"舒聲"</f>
        <v>舒聲</v>
      </c>
      <c r="E4" t="str">
        <f>"2"</f>
        <v>2</v>
      </c>
      <c r="F4" t="str">
        <f>"ɪan"</f>
        <v>ɪan</v>
      </c>
      <c r="G4" t="str">
        <f>"ian"</f>
        <v>ian</v>
      </c>
      <c r="H4" t="str">
        <f>"ian"</f>
        <v>ian</v>
      </c>
      <c r="I4" t="str">
        <f>"ian"</f>
        <v>ian</v>
      </c>
      <c r="J4" t="str">
        <f>"ian"</f>
        <v>ian</v>
      </c>
      <c r="K4" t="str">
        <f>"ian"</f>
        <v>ian</v>
      </c>
      <c r="L4" t="str">
        <f>"掀"</f>
        <v>掀</v>
      </c>
    </row>
    <row r="5" spans="1:12">
      <c r="A5" t="str">
        <f>"4"</f>
        <v>4</v>
      </c>
      <c r="B5" t="str">
        <f>"ㄧㄚㆵ"</f>
        <v>ㄧㄚㆵ</v>
      </c>
      <c r="C5" t="str">
        <f>"堅"</f>
        <v>堅</v>
      </c>
      <c r="D5" t="str">
        <f>"促聲"</f>
        <v>促聲</v>
      </c>
      <c r="E5" t="str">
        <f>"2"</f>
        <v>2</v>
      </c>
      <c r="F5" t="str">
        <f>"ɪat̚"</f>
        <v>ɪat̚</v>
      </c>
      <c r="G5" t="str">
        <f>"iat"</f>
        <v>iat</v>
      </c>
      <c r="H5" t="str">
        <f>"iat"</f>
        <v>iat</v>
      </c>
      <c r="I5" t="str">
        <f>"iat"</f>
        <v>iat</v>
      </c>
      <c r="J5" t="str">
        <f>"iat"</f>
        <v>iat</v>
      </c>
      <c r="K5" t="str">
        <f>"iat"</f>
        <v>iat</v>
      </c>
      <c r="L5" t="str">
        <f>"別"</f>
        <v>別</v>
      </c>
    </row>
    <row r="6" spans="1:12">
      <c r="A6" t="str">
        <f>"5"</f>
        <v>5</v>
      </c>
      <c r="B6" t="str">
        <f>"ㄧㆬ"</f>
        <v>ㄧㆬ</v>
      </c>
      <c r="C6" t="str">
        <f>"金"</f>
        <v>金</v>
      </c>
      <c r="D6" t="str">
        <f>"舒聲"</f>
        <v>舒聲</v>
      </c>
      <c r="E6" t="str">
        <f>"3"</f>
        <v>3</v>
      </c>
      <c r="F6" t="str">
        <f t="shared" ref="F6:K6" si="2">"im"</f>
        <v>im</v>
      </c>
      <c r="G6" t="str">
        <f t="shared" si="2"/>
        <v>im</v>
      </c>
      <c r="H6" t="str">
        <f t="shared" si="2"/>
        <v>im</v>
      </c>
      <c r="I6" t="str">
        <f t="shared" si="2"/>
        <v>im</v>
      </c>
      <c r="J6" t="str">
        <f t="shared" si="2"/>
        <v>im</v>
      </c>
      <c r="K6" t="str">
        <f t="shared" si="2"/>
        <v>im</v>
      </c>
      <c r="L6" t="str">
        <f>"深"</f>
        <v>深</v>
      </c>
    </row>
    <row r="7" spans="1:12">
      <c r="A7" t="str">
        <f>"6"</f>
        <v>6</v>
      </c>
      <c r="B7" t="str">
        <f>"一ㆴ"</f>
        <v>一ㆴ</v>
      </c>
      <c r="C7" t="str">
        <f>"金"</f>
        <v>金</v>
      </c>
      <c r="D7" t="str">
        <f>"促聲"</f>
        <v>促聲</v>
      </c>
      <c r="E7" t="str">
        <f>"3"</f>
        <v>3</v>
      </c>
      <c r="F7" t="str">
        <f>"ip̚"</f>
        <v>ip̚</v>
      </c>
      <c r="G7" t="str">
        <f>"ip"</f>
        <v>ip</v>
      </c>
      <c r="H7" t="str">
        <f>"ip"</f>
        <v>ip</v>
      </c>
      <c r="I7" t="str">
        <f>"ip"</f>
        <v>ip</v>
      </c>
      <c r="J7" t="str">
        <f>"ip"</f>
        <v>ip</v>
      </c>
      <c r="K7" t="str">
        <f>"ip"</f>
        <v>ip</v>
      </c>
      <c r="L7" t="str">
        <f>"蟄"</f>
        <v>蟄</v>
      </c>
    </row>
    <row r="8" spans="1:12">
      <c r="A8" t="str">
        <f>"7"</f>
        <v>7</v>
      </c>
      <c r="B8" t="str">
        <f>"ㄨㄧ"</f>
        <v>ㄨㄧ</v>
      </c>
      <c r="C8" t="str">
        <f>"規"</f>
        <v>規</v>
      </c>
      <c r="D8" t="str">
        <f>"舒聲"</f>
        <v>舒聲</v>
      </c>
      <c r="E8" t="str">
        <f>"4"</f>
        <v>4</v>
      </c>
      <c r="F8" t="str">
        <f t="shared" ref="F8:K8" si="3">"ui"</f>
        <v>ui</v>
      </c>
      <c r="G8" t="str">
        <f t="shared" si="3"/>
        <v>ui</v>
      </c>
      <c r="H8" t="str">
        <f t="shared" si="3"/>
        <v>ui</v>
      </c>
      <c r="I8" t="str">
        <f t="shared" si="3"/>
        <v>ui</v>
      </c>
      <c r="J8" t="str">
        <f t="shared" si="3"/>
        <v>ui</v>
      </c>
      <c r="K8" t="str">
        <f t="shared" si="3"/>
        <v>ui</v>
      </c>
      <c r="L8" t="str">
        <f>"歸"</f>
        <v>歸</v>
      </c>
    </row>
    <row r="9" spans="1:12">
      <c r="A9" t="str">
        <f>"9"</f>
        <v>9</v>
      </c>
      <c r="B9" t="str">
        <f>"ㄝ"</f>
        <v>ㄝ</v>
      </c>
      <c r="C9" t="str">
        <f>"嘉"</f>
        <v>嘉</v>
      </c>
      <c r="D9" t="str">
        <f>"舒聲"</f>
        <v>舒聲</v>
      </c>
      <c r="E9" t="str">
        <f>"5"</f>
        <v>5</v>
      </c>
      <c r="F9" t="str">
        <f>"ɛ"</f>
        <v>ɛ</v>
      </c>
      <c r="G9" t="str">
        <f>"ee"</f>
        <v>ee</v>
      </c>
      <c r="H9" t="str">
        <f>"ee"</f>
        <v>ee</v>
      </c>
      <c r="I9" t="str">
        <f>"e"</f>
        <v>e</v>
      </c>
      <c r="J9" t="str">
        <f>"e"</f>
        <v>e</v>
      </c>
      <c r="K9" t="str">
        <f>""</f>
        <v/>
      </c>
      <c r="L9" t="str">
        <f>"家"</f>
        <v>家</v>
      </c>
    </row>
    <row r="10" spans="1:12">
      <c r="A10" t="str">
        <f>"10"</f>
        <v>10</v>
      </c>
      <c r="B10" t="str">
        <f>"ㄝㆷ"</f>
        <v>ㄝㆷ</v>
      </c>
      <c r="C10" t="str">
        <f>"嘉"</f>
        <v>嘉</v>
      </c>
      <c r="D10" t="str">
        <f>"促聲"</f>
        <v>促聲</v>
      </c>
      <c r="E10" t="str">
        <f>"5"</f>
        <v>5</v>
      </c>
      <c r="F10" t="str">
        <f>"ɛʔ"</f>
        <v>ɛʔ</v>
      </c>
      <c r="G10" t="str">
        <f>"eeh"</f>
        <v>eeh</v>
      </c>
      <c r="H10" t="str">
        <f>"eeh"</f>
        <v>eeh</v>
      </c>
      <c r="I10" t="str">
        <f>"eh"</f>
        <v>eh</v>
      </c>
      <c r="J10" t="str">
        <f>"eh"</f>
        <v>eh</v>
      </c>
      <c r="K10" t="str">
        <f>""</f>
        <v/>
      </c>
      <c r="L10" t="str">
        <f>"八"</f>
        <v>八</v>
      </c>
    </row>
    <row r="11" spans="1:12">
      <c r="A11" t="str">
        <f>"11"</f>
        <v>11</v>
      </c>
      <c r="B11" t="str">
        <f>"ㄢ"</f>
        <v>ㄢ</v>
      </c>
      <c r="C11" t="str">
        <f>"干"</f>
        <v>干</v>
      </c>
      <c r="D11" t="str">
        <f>"舒聲"</f>
        <v>舒聲</v>
      </c>
      <c r="E11" t="str">
        <f>"6"</f>
        <v>6</v>
      </c>
      <c r="F11" t="str">
        <f t="shared" ref="F11:K11" si="4">"an"</f>
        <v>an</v>
      </c>
      <c r="G11" t="str">
        <f t="shared" si="4"/>
        <v>an</v>
      </c>
      <c r="H11" t="str">
        <f t="shared" si="4"/>
        <v>an</v>
      </c>
      <c r="I11" t="str">
        <f t="shared" si="4"/>
        <v>an</v>
      </c>
      <c r="J11" t="str">
        <f t="shared" si="4"/>
        <v>an</v>
      </c>
      <c r="K11" t="str">
        <f t="shared" si="4"/>
        <v>an</v>
      </c>
      <c r="L11" t="str">
        <f>"蘭"</f>
        <v>蘭</v>
      </c>
    </row>
    <row r="12" spans="1:12">
      <c r="A12" t="str">
        <f>"12"</f>
        <v>12</v>
      </c>
      <c r="B12" t="str">
        <f>"ㄚㆵ"</f>
        <v>ㄚㆵ</v>
      </c>
      <c r="C12" t="str">
        <f>"干"</f>
        <v>干</v>
      </c>
      <c r="D12" t="str">
        <f>"促聲"</f>
        <v>促聲</v>
      </c>
      <c r="E12" t="str">
        <f>"6"</f>
        <v>6</v>
      </c>
      <c r="F12" t="str">
        <f>"at̚"</f>
        <v>at̚</v>
      </c>
      <c r="G12" t="str">
        <f>"at"</f>
        <v>at</v>
      </c>
      <c r="H12" t="str">
        <f>"at"</f>
        <v>at</v>
      </c>
      <c r="I12" t="str">
        <f>"at"</f>
        <v>at</v>
      </c>
      <c r="J12" t="str">
        <f>"at"</f>
        <v>at</v>
      </c>
      <c r="K12" t="str">
        <f>"at"</f>
        <v>at</v>
      </c>
      <c r="L12" t="str">
        <f>"識"</f>
        <v>識</v>
      </c>
    </row>
    <row r="13" spans="1:12">
      <c r="A13" t="str">
        <f>"13"</f>
        <v>13</v>
      </c>
      <c r="B13" t="str">
        <f>"ㆲ"</f>
        <v>ㆲ</v>
      </c>
      <c r="C13" t="str">
        <f>"公"</f>
        <v>公</v>
      </c>
      <c r="D13" t="str">
        <f>"舒聲"</f>
        <v>舒聲</v>
      </c>
      <c r="E13" t="str">
        <f>"7"</f>
        <v>7</v>
      </c>
      <c r="F13" t="str">
        <f>"ɔŋ"</f>
        <v>ɔŋ</v>
      </c>
      <c r="G13" t="str">
        <f>"ong"</f>
        <v>ong</v>
      </c>
      <c r="H13" t="str">
        <f>"ong"</f>
        <v>ong</v>
      </c>
      <c r="I13" t="str">
        <f>"ong"</f>
        <v>ong</v>
      </c>
      <c r="J13" t="str">
        <f>"ong"</f>
        <v>ong</v>
      </c>
      <c r="K13" t="str">
        <f>"ong"</f>
        <v>ong</v>
      </c>
      <c r="L13" t="str">
        <f>"風"</f>
        <v>風</v>
      </c>
    </row>
    <row r="14" spans="1:12">
      <c r="A14" t="str">
        <f>"14"</f>
        <v>14</v>
      </c>
      <c r="B14" t="str">
        <f>"ㆦㆻ"</f>
        <v>ㆦㆻ</v>
      </c>
      <c r="C14" t="str">
        <f>"公"</f>
        <v>公</v>
      </c>
      <c r="D14" t="str">
        <f>"促聲"</f>
        <v>促聲</v>
      </c>
      <c r="E14" t="str">
        <f>"7"</f>
        <v>7</v>
      </c>
      <c r="F14" t="str">
        <f>"ɔk̚"</f>
        <v>ɔk̚</v>
      </c>
      <c r="G14" t="str">
        <f>"ok"</f>
        <v>ok</v>
      </c>
      <c r="H14" t="str">
        <f>"ok"</f>
        <v>ok</v>
      </c>
      <c r="I14" t="str">
        <f>"ok"</f>
        <v>ok</v>
      </c>
      <c r="J14" t="str">
        <f>"ok"</f>
        <v>ok</v>
      </c>
      <c r="K14" t="str">
        <f>"ok"</f>
        <v>ok</v>
      </c>
      <c r="L14" t="str">
        <f>"福"</f>
        <v>福</v>
      </c>
    </row>
    <row r="15" spans="1:12">
      <c r="A15" t="str">
        <f>"15"</f>
        <v>15</v>
      </c>
      <c r="B15" t="str">
        <f>"ㄨㄞ"</f>
        <v>ㄨㄞ</v>
      </c>
      <c r="C15" t="str">
        <f>"乖"</f>
        <v>乖</v>
      </c>
      <c r="D15" t="str">
        <f>"舒聲"</f>
        <v>舒聲</v>
      </c>
      <c r="E15" t="str">
        <f>"8"</f>
        <v>8</v>
      </c>
      <c r="F15" t="str">
        <f>"uai"</f>
        <v>uai</v>
      </c>
      <c r="G15" t="str">
        <f>"uai"</f>
        <v>uai</v>
      </c>
      <c r="H15" t="str">
        <f>"uai"</f>
        <v>uai</v>
      </c>
      <c r="I15" t="str">
        <f>"uai"</f>
        <v>uai</v>
      </c>
      <c r="J15" t="str">
        <f>"uai"</f>
        <v>uai</v>
      </c>
      <c r="K15" t="str">
        <f>"oai"</f>
        <v>oai</v>
      </c>
      <c r="L15" t="str">
        <f>"怪"</f>
        <v>怪</v>
      </c>
    </row>
    <row r="16" spans="1:12">
      <c r="A16" t="str">
        <f>"16"</f>
        <v>16</v>
      </c>
      <c r="B16" t="str">
        <f>"ㄨㄞㆷ"</f>
        <v>ㄨㄞㆷ</v>
      </c>
      <c r="C16" t="str">
        <f>"乖"</f>
        <v>乖</v>
      </c>
      <c r="D16" t="str">
        <f>"促聲"</f>
        <v>促聲</v>
      </c>
      <c r="E16" t="str">
        <f>"8"</f>
        <v>8</v>
      </c>
      <c r="F16" t="str">
        <f>"uaiʔ"</f>
        <v>uaiʔ</v>
      </c>
      <c r="G16" t="str">
        <f>"uaih"</f>
        <v>uaih</v>
      </c>
      <c r="H16" t="str">
        <f>"uaih"</f>
        <v>uaih</v>
      </c>
      <c r="I16" t="str">
        <f>"uaih"</f>
        <v>uaih</v>
      </c>
      <c r="J16" t="str">
        <f>"uaih"</f>
        <v>uaih</v>
      </c>
      <c r="K16" t="str">
        <f>"oaih"</f>
        <v>oaih</v>
      </c>
      <c r="L16" t="str">
        <f>"◯"</f>
        <v>◯</v>
      </c>
    </row>
    <row r="17" spans="1:12">
      <c r="A17" t="str">
        <f>"17"</f>
        <v>17</v>
      </c>
      <c r="B17" t="str">
        <f>"ㄧㄥ"</f>
        <v>ㄧㄥ</v>
      </c>
      <c r="C17" t="str">
        <f>"經"</f>
        <v>經</v>
      </c>
      <c r="D17" t="str">
        <f>"舒聲"</f>
        <v>舒聲</v>
      </c>
      <c r="E17" t="str">
        <f>"9"</f>
        <v>9</v>
      </c>
      <c r="F17" t="str">
        <f>"ɪŋ"</f>
        <v>ɪŋ</v>
      </c>
      <c r="G17" t="str">
        <f>"ing"</f>
        <v>ing</v>
      </c>
      <c r="H17" t="str">
        <f>"ing"</f>
        <v>ing</v>
      </c>
      <c r="I17" t="str">
        <f>"ing"</f>
        <v>ing</v>
      </c>
      <c r="J17" t="str">
        <f>"ing"</f>
        <v>ing</v>
      </c>
      <c r="K17" t="str">
        <f>"eng"</f>
        <v>eng</v>
      </c>
      <c r="L17" t="str">
        <f>"情"</f>
        <v>情</v>
      </c>
    </row>
    <row r="18" spans="1:12">
      <c r="A18" t="str">
        <f>"18"</f>
        <v>18</v>
      </c>
      <c r="B18" t="str">
        <f>"ㄧㆻ"</f>
        <v>ㄧㆻ</v>
      </c>
      <c r="C18" t="str">
        <f>"經"</f>
        <v>經</v>
      </c>
      <c r="D18" t="str">
        <f>"促聲"</f>
        <v>促聲</v>
      </c>
      <c r="E18" t="str">
        <f>"9"</f>
        <v>9</v>
      </c>
      <c r="F18" t="str">
        <f>"ɪk̚"</f>
        <v>ɪk̚</v>
      </c>
      <c r="G18" t="str">
        <f>"ik"</f>
        <v>ik</v>
      </c>
      <c r="H18" t="str">
        <f>"ik"</f>
        <v>ik</v>
      </c>
      <c r="I18" t="str">
        <f>"ik"</f>
        <v>ik</v>
      </c>
      <c r="J18" t="str">
        <f>"ik"</f>
        <v>ik</v>
      </c>
      <c r="K18" t="str">
        <f>"ek"</f>
        <v>ek</v>
      </c>
      <c r="L18" t="str">
        <f>"益"</f>
        <v>益</v>
      </c>
    </row>
    <row r="19" spans="1:12">
      <c r="A19" t="str">
        <f>"19"</f>
        <v>19</v>
      </c>
      <c r="B19" t="str">
        <f>"ㄨㄢ"</f>
        <v>ㄨㄢ</v>
      </c>
      <c r="C19" t="str">
        <f>"觀"</f>
        <v>觀</v>
      </c>
      <c r="D19" t="str">
        <f>"舒聲"</f>
        <v>舒聲</v>
      </c>
      <c r="E19" t="str">
        <f>"10"</f>
        <v>10</v>
      </c>
      <c r="F19" t="str">
        <f>"uan"</f>
        <v>uan</v>
      </c>
      <c r="G19" t="str">
        <f>"uan"</f>
        <v>uan</v>
      </c>
      <c r="H19" t="str">
        <f>"uan"</f>
        <v>uan</v>
      </c>
      <c r="I19" t="str">
        <f>"uan"</f>
        <v>uan</v>
      </c>
      <c r="J19" t="str">
        <f>"uan"</f>
        <v>uan</v>
      </c>
      <c r="K19" t="str">
        <f>"oan"</f>
        <v>oan</v>
      </c>
      <c r="L19" t="str">
        <f>"猿"</f>
        <v>猿</v>
      </c>
    </row>
    <row r="20" spans="1:12">
      <c r="A20" t="str">
        <f>"20"</f>
        <v>20</v>
      </c>
      <c r="B20" t="str">
        <f>"ㄨㄚㆵ"</f>
        <v>ㄨㄚㆵ</v>
      </c>
      <c r="C20" t="str">
        <f>"觀"</f>
        <v>觀</v>
      </c>
      <c r="D20" t="str">
        <f>"促聲"</f>
        <v>促聲</v>
      </c>
      <c r="E20" t="str">
        <f>"10"</f>
        <v>10</v>
      </c>
      <c r="F20" t="str">
        <f>"uat̚"</f>
        <v>uat̚</v>
      </c>
      <c r="G20" t="str">
        <f>"uat"</f>
        <v>uat</v>
      </c>
      <c r="H20" t="str">
        <f>"uat"</f>
        <v>uat</v>
      </c>
      <c r="I20" t="str">
        <f>"uat"</f>
        <v>uat</v>
      </c>
      <c r="J20" t="str">
        <f>"uat"</f>
        <v>uat</v>
      </c>
      <c r="K20" t="str">
        <f>"oat"</f>
        <v>oat</v>
      </c>
      <c r="L20" t="str">
        <f>"說"</f>
        <v>說</v>
      </c>
    </row>
    <row r="21" spans="1:12">
      <c r="A21" t="str">
        <f>"21"</f>
        <v>21</v>
      </c>
      <c r="B21" t="str">
        <f>"ㆦ"</f>
        <v>ㆦ</v>
      </c>
      <c r="C21" t="str">
        <f>"沽"</f>
        <v>沽</v>
      </c>
      <c r="D21" t="str">
        <f>"舒聲"</f>
        <v>舒聲</v>
      </c>
      <c r="E21" t="str">
        <f>"11"</f>
        <v>11</v>
      </c>
      <c r="F21" t="str">
        <f>"ɔ"</f>
        <v>ɔ</v>
      </c>
      <c r="G21" t="str">
        <f>"oo"</f>
        <v>oo</v>
      </c>
      <c r="H21" t="str">
        <f>"oo"</f>
        <v>oo</v>
      </c>
      <c r="I21" t="str">
        <f>"oo"</f>
        <v>oo</v>
      </c>
      <c r="J21" t="str">
        <f>"oo"</f>
        <v>oo</v>
      </c>
      <c r="K21" t="str">
        <f>"o͘"</f>
        <v>o͘</v>
      </c>
      <c r="L21" t="str">
        <f>"捕"</f>
        <v>捕</v>
      </c>
    </row>
    <row r="22" spans="1:12">
      <c r="A22" t="str">
        <f>"23"</f>
        <v>23</v>
      </c>
      <c r="B22" t="str">
        <f>"ㄧㄠ"</f>
        <v>ㄧㄠ</v>
      </c>
      <c r="C22" t="str">
        <f>"嬌"</f>
        <v>嬌</v>
      </c>
      <c r="D22" t="str">
        <f>"舒聲"</f>
        <v>舒聲</v>
      </c>
      <c r="E22" t="str">
        <f>"12"</f>
        <v>12</v>
      </c>
      <c r="F22" t="str">
        <f>"ɪaʊ"</f>
        <v>ɪaʊ</v>
      </c>
      <c r="G22" t="str">
        <f>"iau"</f>
        <v>iau</v>
      </c>
      <c r="H22" t="str">
        <f>"iau"</f>
        <v>iau</v>
      </c>
      <c r="I22" t="str">
        <f>"iau"</f>
        <v>iau</v>
      </c>
      <c r="J22" t="str">
        <f>"iao"</f>
        <v>iao</v>
      </c>
      <c r="K22" t="str">
        <f>"iau"</f>
        <v>iau</v>
      </c>
      <c r="L22" t="str">
        <f>"遙"</f>
        <v>遙</v>
      </c>
    </row>
    <row r="23" spans="1:12">
      <c r="A23" t="str">
        <f>"24"</f>
        <v>24</v>
      </c>
      <c r="B23" t="str">
        <f>"ㄧㄠㆷ"</f>
        <v>ㄧㄠㆷ</v>
      </c>
      <c r="C23" t="str">
        <f>"嬌"</f>
        <v>嬌</v>
      </c>
      <c r="D23" t="str">
        <f>"促聲"</f>
        <v>促聲</v>
      </c>
      <c r="E23" t="str">
        <f>"12"</f>
        <v>12</v>
      </c>
      <c r="F23" t="str">
        <f>"ɪaʊʔ"</f>
        <v>ɪaʊʔ</v>
      </c>
      <c r="G23" t="str">
        <f>"iauh"</f>
        <v>iauh</v>
      </c>
      <c r="H23" t="str">
        <f>"iauh"</f>
        <v>iauh</v>
      </c>
      <c r="I23" t="str">
        <f>"iauh"</f>
        <v>iauh</v>
      </c>
      <c r="J23" t="str">
        <f>"iaoh"</f>
        <v>iaoh</v>
      </c>
      <c r="K23" t="str">
        <f>"iauh"</f>
        <v>iauh</v>
      </c>
      <c r="L23" t="str">
        <f>"噭"</f>
        <v>噭</v>
      </c>
    </row>
    <row r="24" spans="1:12">
      <c r="A24" t="str">
        <f>"25"</f>
        <v>25</v>
      </c>
      <c r="B24" t="str">
        <f>"ㆤ"</f>
        <v>ㆤ</v>
      </c>
      <c r="C24" t="str">
        <f>"稽"</f>
        <v>稽</v>
      </c>
      <c r="D24" t="str">
        <f>"舒聲"</f>
        <v>舒聲</v>
      </c>
      <c r="E24" t="str">
        <f>"13"</f>
        <v>13</v>
      </c>
      <c r="F24" t="str">
        <f>"e"</f>
        <v>e</v>
      </c>
      <c r="G24" t="str">
        <f>"ei"</f>
        <v>ei</v>
      </c>
      <c r="H24" t="str">
        <f>"e"</f>
        <v>e</v>
      </c>
      <c r="I24" t="str">
        <f>"e"</f>
        <v>e</v>
      </c>
      <c r="J24" t="str">
        <f>"e"</f>
        <v>e</v>
      </c>
      <c r="K24" t="str">
        <f>""</f>
        <v/>
      </c>
      <c r="L24" t="str">
        <f>"遞"</f>
        <v>遞</v>
      </c>
    </row>
    <row r="25" spans="1:12">
      <c r="A25" t="str">
        <f>"27"</f>
        <v>27</v>
      </c>
      <c r="B25" t="str">
        <f>"ㄧㆲ"</f>
        <v>ㄧㆲ</v>
      </c>
      <c r="C25" t="str">
        <f>"恭"</f>
        <v>恭</v>
      </c>
      <c r="D25" t="str">
        <f>"舒聲"</f>
        <v>舒聲</v>
      </c>
      <c r="E25" t="str">
        <f>"14"</f>
        <v>14</v>
      </c>
      <c r="F25" t="str">
        <f>"ɪɔŋ"</f>
        <v>ɪɔŋ</v>
      </c>
      <c r="G25" t="str">
        <f>"iong"</f>
        <v>iong</v>
      </c>
      <c r="H25" t="str">
        <f>"iong"</f>
        <v>iong</v>
      </c>
      <c r="I25" t="str">
        <f>"iong"</f>
        <v>iong</v>
      </c>
      <c r="J25" t="str">
        <f>"iong"</f>
        <v>iong</v>
      </c>
      <c r="K25" t="str">
        <f>"iong"</f>
        <v>iong</v>
      </c>
      <c r="L25" t="str">
        <f>"中"</f>
        <v>中</v>
      </c>
    </row>
    <row r="26" spans="1:12">
      <c r="A26" t="str">
        <f>"28"</f>
        <v>28</v>
      </c>
      <c r="B26" t="str">
        <f>"ㄧㆦㆻ"</f>
        <v>ㄧㆦㆻ</v>
      </c>
      <c r="C26" t="str">
        <f>"恭"</f>
        <v>恭</v>
      </c>
      <c r="D26" t="str">
        <f>"促聲"</f>
        <v>促聲</v>
      </c>
      <c r="E26" t="str">
        <f>"14"</f>
        <v>14</v>
      </c>
      <c r="F26" t="str">
        <f>"ɪɔk̚"</f>
        <v>ɪɔk̚</v>
      </c>
      <c r="G26" t="str">
        <f>"iok"</f>
        <v>iok</v>
      </c>
      <c r="H26" t="str">
        <f>"iok"</f>
        <v>iok</v>
      </c>
      <c r="I26" t="str">
        <f>"iook"</f>
        <v>iook</v>
      </c>
      <c r="J26" t="str">
        <f>"iok"</f>
        <v>iok</v>
      </c>
      <c r="K26" t="str">
        <f>"iok"</f>
        <v>iok</v>
      </c>
      <c r="L26" t="str">
        <f>"俗"</f>
        <v>俗</v>
      </c>
    </row>
    <row r="27" spans="1:12">
      <c r="A27" t="str">
        <f>"29"</f>
        <v>29</v>
      </c>
      <c r="B27" t="str">
        <f>"ㄜ"</f>
        <v>ㄜ</v>
      </c>
      <c r="C27" t="str">
        <f>"高"</f>
        <v>高</v>
      </c>
      <c r="D27" t="str">
        <f>"舒聲"</f>
        <v>舒聲</v>
      </c>
      <c r="E27" t="str">
        <f>"15"</f>
        <v>15</v>
      </c>
      <c r="F27" t="str">
        <f>"o"</f>
        <v>o</v>
      </c>
      <c r="G27" t="str">
        <f>"o"</f>
        <v>o</v>
      </c>
      <c r="H27" t="str">
        <f>"o"</f>
        <v>o</v>
      </c>
      <c r="I27" t="str">
        <f>"or"</f>
        <v>or</v>
      </c>
      <c r="J27" t="str">
        <f>"o"</f>
        <v>o</v>
      </c>
      <c r="K27" t="str">
        <f>"o"</f>
        <v>o</v>
      </c>
      <c r="L27" t="str">
        <f>"果"</f>
        <v>果</v>
      </c>
    </row>
    <row r="28" spans="1:12">
      <c r="A28" t="str">
        <f>"30"</f>
        <v>30</v>
      </c>
      <c r="B28" t="str">
        <f>"ㄜㆷ"</f>
        <v>ㄜㆷ</v>
      </c>
      <c r="C28" t="str">
        <f>"高"</f>
        <v>高</v>
      </c>
      <c r="D28" t="str">
        <f>"促聲"</f>
        <v>促聲</v>
      </c>
      <c r="E28" t="str">
        <f>"15"</f>
        <v>15</v>
      </c>
      <c r="F28" t="str">
        <f>"oʔ"</f>
        <v>oʔ</v>
      </c>
      <c r="G28" t="str">
        <f>"oh"</f>
        <v>oh</v>
      </c>
      <c r="H28" t="str">
        <f>"oh"</f>
        <v>oh</v>
      </c>
      <c r="I28" t="str">
        <f>"orh"</f>
        <v>orh</v>
      </c>
      <c r="J28" t="str">
        <f>"oh"</f>
        <v>oh</v>
      </c>
      <c r="K28" t="str">
        <f>"oh"</f>
        <v>oh</v>
      </c>
      <c r="L28" t="str">
        <f>"卜"</f>
        <v>卜</v>
      </c>
    </row>
    <row r="29" spans="1:12">
      <c r="A29" t="str">
        <f>"31"</f>
        <v>31</v>
      </c>
      <c r="B29" t="str">
        <f>"ㄞ"</f>
        <v>ㄞ</v>
      </c>
      <c r="C29" t="str">
        <f>"皆"</f>
        <v>皆</v>
      </c>
      <c r="D29" t="str">
        <f>"舒聲"</f>
        <v>舒聲</v>
      </c>
      <c r="E29" t="str">
        <f>"16"</f>
        <v>16</v>
      </c>
      <c r="F29" t="str">
        <f>"aɪ"</f>
        <v>aɪ</v>
      </c>
      <c r="G29" t="str">
        <f>"ai"</f>
        <v>ai</v>
      </c>
      <c r="H29" t="str">
        <f>"ai"</f>
        <v>ai</v>
      </c>
      <c r="I29" t="str">
        <f>"ai"</f>
        <v>ai</v>
      </c>
      <c r="J29" t="str">
        <f>"ai"</f>
        <v>ai</v>
      </c>
      <c r="K29" t="str">
        <f>"ai"</f>
        <v>ai</v>
      </c>
      <c r="L29" t="str">
        <f>"埃"</f>
        <v>埃</v>
      </c>
    </row>
    <row r="30" spans="1:12">
      <c r="A30" t="str">
        <f>"33"</f>
        <v>33</v>
      </c>
      <c r="B30" t="str">
        <f>"ㄧㄣ"</f>
        <v>ㄧㄣ</v>
      </c>
      <c r="C30" t="str">
        <f>"巾"</f>
        <v>巾</v>
      </c>
      <c r="D30" t="str">
        <f>"舒聲"</f>
        <v>舒聲</v>
      </c>
      <c r="E30" t="str">
        <f>"17"</f>
        <v>17</v>
      </c>
      <c r="F30" t="str">
        <f t="shared" ref="F30:K30" si="5">"in"</f>
        <v>in</v>
      </c>
      <c r="G30" t="str">
        <f t="shared" si="5"/>
        <v>in</v>
      </c>
      <c r="H30" t="str">
        <f t="shared" si="5"/>
        <v>in</v>
      </c>
      <c r="I30" t="str">
        <f t="shared" si="5"/>
        <v>in</v>
      </c>
      <c r="J30" t="str">
        <f t="shared" si="5"/>
        <v>in</v>
      </c>
      <c r="K30" t="str">
        <f t="shared" si="5"/>
        <v>in</v>
      </c>
      <c r="L30" t="str">
        <f>"恩"</f>
        <v>恩</v>
      </c>
    </row>
    <row r="31" spans="1:12">
      <c r="A31" t="str">
        <f>"34"</f>
        <v>34</v>
      </c>
      <c r="B31" t="str">
        <f>"ㄧㆵ"</f>
        <v>ㄧㆵ</v>
      </c>
      <c r="C31" t="str">
        <f>"巾"</f>
        <v>巾</v>
      </c>
      <c r="D31" t="str">
        <f>"促聲"</f>
        <v>促聲</v>
      </c>
      <c r="E31" t="str">
        <f>"17"</f>
        <v>17</v>
      </c>
      <c r="F31" t="str">
        <f>"it̚"</f>
        <v>it̚</v>
      </c>
      <c r="G31" t="str">
        <f>"it"</f>
        <v>it</v>
      </c>
      <c r="H31" t="str">
        <f>"it"</f>
        <v>it</v>
      </c>
      <c r="I31" t="str">
        <f>"it"</f>
        <v>it</v>
      </c>
      <c r="J31" t="str">
        <f>"it"</f>
        <v>it</v>
      </c>
      <c r="K31" t="str">
        <f>"it"</f>
        <v>it</v>
      </c>
      <c r="L31" t="str">
        <f>"一"</f>
        <v>一</v>
      </c>
    </row>
    <row r="32" spans="1:12">
      <c r="A32" t="str">
        <f>"35"</f>
        <v>35</v>
      </c>
      <c r="B32" t="str">
        <f>"ㄧㄤ"</f>
        <v>ㄧㄤ</v>
      </c>
      <c r="C32" t="str">
        <f>"姜"</f>
        <v>姜</v>
      </c>
      <c r="D32" t="str">
        <f>"舒聲"</f>
        <v>舒聲</v>
      </c>
      <c r="E32" t="str">
        <f>"18"</f>
        <v>18</v>
      </c>
      <c r="F32" t="str">
        <f>"ɪaŋ"</f>
        <v>ɪaŋ</v>
      </c>
      <c r="G32" t="str">
        <f>"iang"</f>
        <v>iang</v>
      </c>
      <c r="H32" t="str">
        <f>"iang"</f>
        <v>iang</v>
      </c>
      <c r="I32" t="str">
        <f>"iang"</f>
        <v>iang</v>
      </c>
      <c r="J32" t="str">
        <f>"iang"</f>
        <v>iang</v>
      </c>
      <c r="K32" t="str">
        <f>"iang"</f>
        <v>iang</v>
      </c>
      <c r="L32" t="str">
        <f>"將"</f>
        <v>將</v>
      </c>
    </row>
    <row r="33" spans="1:12">
      <c r="A33" t="str">
        <f>"36"</f>
        <v>36</v>
      </c>
      <c r="B33" t="str">
        <f>"ㄧㄚㆻ"</f>
        <v>ㄧㄚㆻ</v>
      </c>
      <c r="C33" t="str">
        <f>"姜"</f>
        <v>姜</v>
      </c>
      <c r="D33" t="str">
        <f>"促聲"</f>
        <v>促聲</v>
      </c>
      <c r="E33" t="str">
        <f>"18"</f>
        <v>18</v>
      </c>
      <c r="F33" t="str">
        <f>"ɪak̚"</f>
        <v>ɪak̚</v>
      </c>
      <c r="G33" t="str">
        <f>"iak"</f>
        <v>iak</v>
      </c>
      <c r="H33" t="str">
        <f>"iak"</f>
        <v>iak</v>
      </c>
      <c r="I33" t="str">
        <f>"iak"</f>
        <v>iak</v>
      </c>
      <c r="J33" t="str">
        <f>"iak"</f>
        <v>iak</v>
      </c>
      <c r="K33" t="str">
        <f>"iak"</f>
        <v>iak</v>
      </c>
      <c r="L33" t="str">
        <f>"爆"</f>
        <v>爆</v>
      </c>
    </row>
    <row r="34" spans="1:12">
      <c r="A34" t="str">
        <f>"37"</f>
        <v>37</v>
      </c>
      <c r="B34" t="str">
        <f>"ㆰ"</f>
        <v>ㆰ</v>
      </c>
      <c r="C34" t="str">
        <f>"甘"</f>
        <v>甘</v>
      </c>
      <c r="D34" t="str">
        <f>"舒聲"</f>
        <v>舒聲</v>
      </c>
      <c r="E34" t="str">
        <f>"19"</f>
        <v>19</v>
      </c>
      <c r="F34" t="str">
        <f t="shared" ref="F34:K34" si="6">"am"</f>
        <v>am</v>
      </c>
      <c r="G34" t="str">
        <f t="shared" si="6"/>
        <v>am</v>
      </c>
      <c r="H34" t="str">
        <f t="shared" si="6"/>
        <v>am</v>
      </c>
      <c r="I34" t="str">
        <f t="shared" si="6"/>
        <v>am</v>
      </c>
      <c r="J34" t="str">
        <f t="shared" si="6"/>
        <v>am</v>
      </c>
      <c r="K34" t="str">
        <f t="shared" si="6"/>
        <v>am</v>
      </c>
      <c r="L34" t="str">
        <f>"堪"</f>
        <v>堪</v>
      </c>
    </row>
    <row r="35" spans="1:12">
      <c r="A35" t="str">
        <f>"38"</f>
        <v>38</v>
      </c>
      <c r="B35" t="str">
        <f>"ㄚㆴ"</f>
        <v>ㄚㆴ</v>
      </c>
      <c r="C35" t="str">
        <f>"甘"</f>
        <v>甘</v>
      </c>
      <c r="D35" t="str">
        <f>"促聲"</f>
        <v>促聲</v>
      </c>
      <c r="E35" t="str">
        <f>"19"</f>
        <v>19</v>
      </c>
      <c r="F35" t="str">
        <f>"ap̚"</f>
        <v>ap̚</v>
      </c>
      <c r="G35" t="str">
        <f>"ap"</f>
        <v>ap</v>
      </c>
      <c r="H35" t="str">
        <f>"ap"</f>
        <v>ap</v>
      </c>
      <c r="I35" t="str">
        <f>"ap"</f>
        <v>ap</v>
      </c>
      <c r="J35" t="str">
        <f>"ap"</f>
        <v>ap</v>
      </c>
      <c r="K35" t="str">
        <f>"ap"</f>
        <v>ap</v>
      </c>
      <c r="L35" t="str">
        <f>"答"</f>
        <v>答</v>
      </c>
    </row>
    <row r="36" spans="1:12">
      <c r="A36" t="str">
        <f>"39"</f>
        <v>39</v>
      </c>
      <c r="B36" t="str">
        <f>"ㄨㄚ"</f>
        <v>ㄨㄚ</v>
      </c>
      <c r="C36" t="str">
        <f>"瓜"</f>
        <v>瓜</v>
      </c>
      <c r="D36" t="str">
        <f>"舒聲"</f>
        <v>舒聲</v>
      </c>
      <c r="E36" t="str">
        <f>"20"</f>
        <v>20</v>
      </c>
      <c r="F36" t="str">
        <f>"ua"</f>
        <v>ua</v>
      </c>
      <c r="G36" t="str">
        <f>"ua"</f>
        <v>ua</v>
      </c>
      <c r="H36" t="str">
        <f>"ua"</f>
        <v>ua</v>
      </c>
      <c r="I36" t="str">
        <f>"ua"</f>
        <v>ua</v>
      </c>
      <c r="J36" t="str">
        <f>"ua"</f>
        <v>ua</v>
      </c>
      <c r="K36" t="str">
        <f>"oa"</f>
        <v>oa</v>
      </c>
      <c r="L36" t="str">
        <f>"花"</f>
        <v>花</v>
      </c>
    </row>
    <row r="37" spans="1:12">
      <c r="A37" t="str">
        <f>"40"</f>
        <v>40</v>
      </c>
      <c r="B37" t="str">
        <f>"ㄨㄚㆷ"</f>
        <v>ㄨㄚㆷ</v>
      </c>
      <c r="C37" t="str">
        <f>"瓜"</f>
        <v>瓜</v>
      </c>
      <c r="D37" t="str">
        <f>"促聲"</f>
        <v>促聲</v>
      </c>
      <c r="E37" t="str">
        <f>"20"</f>
        <v>20</v>
      </c>
      <c r="F37" t="str">
        <f>"uaʔ"</f>
        <v>uaʔ</v>
      </c>
      <c r="G37" t="str">
        <f>"uah"</f>
        <v>uah</v>
      </c>
      <c r="H37" t="str">
        <f>"uah"</f>
        <v>uah</v>
      </c>
      <c r="I37" t="str">
        <f>"uah"</f>
        <v>uah</v>
      </c>
      <c r="J37" t="str">
        <f>"uah"</f>
        <v>uah</v>
      </c>
      <c r="K37" t="str">
        <f>"oah"</f>
        <v>oah</v>
      </c>
      <c r="L37" t="str">
        <f>"缽"</f>
        <v>缽</v>
      </c>
    </row>
    <row r="38" spans="1:12">
      <c r="A38" t="str">
        <f>"41"</f>
        <v>41</v>
      </c>
      <c r="B38" t="str">
        <f>"ㄤ"</f>
        <v>ㄤ</v>
      </c>
      <c r="C38" t="str">
        <f>"江"</f>
        <v>江</v>
      </c>
      <c r="D38" t="str">
        <f>"舒聲"</f>
        <v>舒聲</v>
      </c>
      <c r="E38" t="str">
        <f>"21"</f>
        <v>21</v>
      </c>
      <c r="F38" t="str">
        <f>"aŋ"</f>
        <v>aŋ</v>
      </c>
      <c r="G38" t="str">
        <f>"ang"</f>
        <v>ang</v>
      </c>
      <c r="H38" t="str">
        <f>"ang"</f>
        <v>ang</v>
      </c>
      <c r="I38" t="str">
        <f>"ang"</f>
        <v>ang</v>
      </c>
      <c r="J38" t="str">
        <f>"ang"</f>
        <v>ang</v>
      </c>
      <c r="K38" t="str">
        <f>"ang"</f>
        <v>ang</v>
      </c>
      <c r="L38" t="str">
        <f>"邦"</f>
        <v>邦</v>
      </c>
    </row>
    <row r="39" spans="1:12">
      <c r="A39" t="str">
        <f>"42"</f>
        <v>42</v>
      </c>
      <c r="B39" t="str">
        <f>"ㄚㆻ"</f>
        <v>ㄚㆻ</v>
      </c>
      <c r="C39" t="str">
        <f>"江"</f>
        <v>江</v>
      </c>
      <c r="D39" t="str">
        <f>"促聲"</f>
        <v>促聲</v>
      </c>
      <c r="E39" t="str">
        <f>"21"</f>
        <v>21</v>
      </c>
      <c r="F39" t="str">
        <f>"ak̚"</f>
        <v>ak̚</v>
      </c>
      <c r="G39" t="str">
        <f>"ak"</f>
        <v>ak</v>
      </c>
      <c r="H39" t="str">
        <f>"ak"</f>
        <v>ak</v>
      </c>
      <c r="I39" t="str">
        <f>"ak"</f>
        <v>ak</v>
      </c>
      <c r="J39" t="str">
        <f>"ak"</f>
        <v>ak</v>
      </c>
      <c r="K39" t="str">
        <f>"ak"</f>
        <v>ak</v>
      </c>
      <c r="L39" t="str">
        <f>"角"</f>
        <v>角</v>
      </c>
    </row>
    <row r="40" spans="1:12">
      <c r="A40" t="str">
        <f>"43"</f>
        <v>43</v>
      </c>
      <c r="B40" t="str">
        <f>"ㄧㆰ"</f>
        <v>ㄧㆰ</v>
      </c>
      <c r="C40" t="str">
        <f>"兼"</f>
        <v>兼</v>
      </c>
      <c r="D40" t="str">
        <f>"舒聲"</f>
        <v>舒聲</v>
      </c>
      <c r="E40" t="str">
        <f>"22"</f>
        <v>22</v>
      </c>
      <c r="F40" t="str">
        <f t="shared" ref="F40:K40" si="7">"iam"</f>
        <v>iam</v>
      </c>
      <c r="G40" t="str">
        <f t="shared" si="7"/>
        <v>iam</v>
      </c>
      <c r="H40" t="str">
        <f t="shared" si="7"/>
        <v>iam</v>
      </c>
      <c r="I40" t="str">
        <f t="shared" si="7"/>
        <v>iam</v>
      </c>
      <c r="J40" t="str">
        <f t="shared" si="7"/>
        <v>iam</v>
      </c>
      <c r="K40" t="str">
        <f t="shared" si="7"/>
        <v>iam</v>
      </c>
      <c r="L40" t="str">
        <f>"尖"</f>
        <v>尖</v>
      </c>
    </row>
    <row r="41" spans="1:12">
      <c r="A41" t="str">
        <f>"44"</f>
        <v>44</v>
      </c>
      <c r="B41" t="str">
        <f>"ㄧㄚㆴ"</f>
        <v>ㄧㄚㆴ</v>
      </c>
      <c r="C41" t="str">
        <f>"兼"</f>
        <v>兼</v>
      </c>
      <c r="D41" t="str">
        <f>"促聲"</f>
        <v>促聲</v>
      </c>
      <c r="E41" t="str">
        <f>"22"</f>
        <v>22</v>
      </c>
      <c r="F41" t="str">
        <f>"iap̚"</f>
        <v>iap̚</v>
      </c>
      <c r="G41" t="str">
        <f>"iap"</f>
        <v>iap</v>
      </c>
      <c r="H41" t="str">
        <f>"iap"</f>
        <v>iap</v>
      </c>
      <c r="I41" t="str">
        <f>"iap"</f>
        <v>iap</v>
      </c>
      <c r="J41" t="str">
        <f>"iap"</f>
        <v>iap</v>
      </c>
      <c r="K41" t="str">
        <f>"iap"</f>
        <v>iap</v>
      </c>
      <c r="L41" t="str">
        <f>"接"</f>
        <v>接</v>
      </c>
    </row>
    <row r="42" spans="1:12">
      <c r="A42" t="str">
        <f>"45"</f>
        <v>45</v>
      </c>
      <c r="B42" t="str">
        <f>"ㄠ"</f>
        <v>ㄠ</v>
      </c>
      <c r="C42" t="str">
        <f>"交"</f>
        <v>交</v>
      </c>
      <c r="D42" t="str">
        <f>"舒聲"</f>
        <v>舒聲</v>
      </c>
      <c r="E42" t="str">
        <f>"23"</f>
        <v>23</v>
      </c>
      <c r="F42" t="str">
        <f>"aʊ"</f>
        <v>aʊ</v>
      </c>
      <c r="G42" t="str">
        <f>"au"</f>
        <v>au</v>
      </c>
      <c r="H42" t="str">
        <f>"au"</f>
        <v>au</v>
      </c>
      <c r="I42" t="str">
        <f>"au"</f>
        <v>au</v>
      </c>
      <c r="J42" t="str">
        <f>"ao"</f>
        <v>ao</v>
      </c>
      <c r="K42" t="str">
        <f>"au"</f>
        <v>au</v>
      </c>
      <c r="L42" t="str">
        <f>"鬧"</f>
        <v>鬧</v>
      </c>
    </row>
    <row r="43" spans="1:12">
      <c r="A43" t="str">
        <f>"46"</f>
        <v>46</v>
      </c>
      <c r="B43" t="str">
        <f>"ㄠㆷ"</f>
        <v>ㄠㆷ</v>
      </c>
      <c r="C43" t="str">
        <f>"交"</f>
        <v>交</v>
      </c>
      <c r="D43" t="str">
        <f>"促聲"</f>
        <v>促聲</v>
      </c>
      <c r="E43" t="str">
        <f>"23"</f>
        <v>23</v>
      </c>
      <c r="F43" t="str">
        <f>"aʊʔ"</f>
        <v>aʊʔ</v>
      </c>
      <c r="G43" t="str">
        <f>"auh"</f>
        <v>auh</v>
      </c>
      <c r="H43" t="str">
        <f>"auh"</f>
        <v>auh</v>
      </c>
      <c r="I43" t="str">
        <f>"auh"</f>
        <v>auh</v>
      </c>
      <c r="J43" t="str">
        <f>"aoh"</f>
        <v>aoh</v>
      </c>
      <c r="K43" t="str">
        <f>"auh"</f>
        <v>auh</v>
      </c>
      <c r="L43" t="str">
        <f>"暴"</f>
        <v>暴</v>
      </c>
    </row>
    <row r="44" spans="1:12">
      <c r="A44" t="str">
        <f>"47"</f>
        <v>47</v>
      </c>
      <c r="B44" t="str">
        <f>"ㄧㄚ"</f>
        <v>ㄧㄚ</v>
      </c>
      <c r="C44" t="str">
        <f>"迦"</f>
        <v>迦</v>
      </c>
      <c r="D44" t="str">
        <f>"舒聲"</f>
        <v>舒聲</v>
      </c>
      <c r="E44" t="str">
        <f>"24"</f>
        <v>24</v>
      </c>
      <c r="F44" t="str">
        <f>"ɪa"</f>
        <v>ɪa</v>
      </c>
      <c r="G44" t="str">
        <f>"ia"</f>
        <v>ia</v>
      </c>
      <c r="H44" t="str">
        <f>"ia"</f>
        <v>ia</v>
      </c>
      <c r="I44" t="str">
        <f>"ia"</f>
        <v>ia</v>
      </c>
      <c r="J44" t="str">
        <f>"ia"</f>
        <v>ia</v>
      </c>
      <c r="K44" t="str">
        <f>"ia"</f>
        <v>ia</v>
      </c>
      <c r="L44" t="str">
        <f>"名"</f>
        <v>名</v>
      </c>
    </row>
    <row r="45" spans="1:12">
      <c r="A45" t="str">
        <f>"48"</f>
        <v>48</v>
      </c>
      <c r="B45" t="str">
        <f>"ㄧㄚㆷ"</f>
        <v>ㄧㄚㆷ</v>
      </c>
      <c r="C45" t="str">
        <f>"迦"</f>
        <v>迦</v>
      </c>
      <c r="D45" t="str">
        <f>"促聲"</f>
        <v>促聲</v>
      </c>
      <c r="E45" t="str">
        <f>"24"</f>
        <v>24</v>
      </c>
      <c r="F45" t="str">
        <f>"ɪaʔ"</f>
        <v>ɪaʔ</v>
      </c>
      <c r="G45" t="str">
        <f>"iah"</f>
        <v>iah</v>
      </c>
      <c r="H45" t="str">
        <f>"iah"</f>
        <v>iah</v>
      </c>
      <c r="I45" t="str">
        <f>"iah"</f>
        <v>iah</v>
      </c>
      <c r="J45" t="str">
        <f>"iah"</f>
        <v>iah</v>
      </c>
      <c r="K45" t="str">
        <f>"iah"</f>
        <v>iah</v>
      </c>
      <c r="L45" t="str">
        <f>"壁"</f>
        <v>壁</v>
      </c>
    </row>
    <row r="46" spans="1:12">
      <c r="A46" t="str">
        <f>"49"</f>
        <v>49</v>
      </c>
      <c r="B46" t="str">
        <f>"ㄨㆤ"</f>
        <v>ㄨㆤ</v>
      </c>
      <c r="C46" t="str">
        <f>"檜"</f>
        <v>檜</v>
      </c>
      <c r="D46" t="str">
        <f>"舒聲"</f>
        <v>舒聲</v>
      </c>
      <c r="E46" t="str">
        <f>"25"</f>
        <v>25</v>
      </c>
      <c r="F46" t="str">
        <f>"ue"</f>
        <v>ue</v>
      </c>
      <c r="G46" t="str">
        <f>"ue"</f>
        <v>ue</v>
      </c>
      <c r="H46" t="str">
        <f>"ue"</f>
        <v>ue</v>
      </c>
      <c r="I46" t="str">
        <f>"ue"</f>
        <v>ue</v>
      </c>
      <c r="J46" t="str">
        <f>"ue"</f>
        <v>ue</v>
      </c>
      <c r="K46" t="str">
        <f>"oe"</f>
        <v>oe</v>
      </c>
      <c r="L46" t="str">
        <f>"話"</f>
        <v>話</v>
      </c>
    </row>
    <row r="47" spans="1:12">
      <c r="A47" t="str">
        <f>"50"</f>
        <v>50</v>
      </c>
      <c r="B47" t="str">
        <f>"ㄨㆤㆷ"</f>
        <v>ㄨㆤㆷ</v>
      </c>
      <c r="C47" t="str">
        <f>"檜"</f>
        <v>檜</v>
      </c>
      <c r="D47" t="str">
        <f>"促聲"</f>
        <v>促聲</v>
      </c>
      <c r="E47" t="str">
        <f>"25"</f>
        <v>25</v>
      </c>
      <c r="F47" t="str">
        <f>"ueʔ"</f>
        <v>ueʔ</v>
      </c>
      <c r="G47" t="str">
        <f>"ueh"</f>
        <v>ueh</v>
      </c>
      <c r="H47" t="str">
        <f>"ueh"</f>
        <v>ueh</v>
      </c>
      <c r="I47" t="str">
        <f>"ueh"</f>
        <v>ueh</v>
      </c>
      <c r="J47" t="str">
        <f>"ueh"</f>
        <v>ueh</v>
      </c>
      <c r="K47" t="str">
        <f>"oeh"</f>
        <v>oeh</v>
      </c>
      <c r="L47" t="str">
        <f>"拔"</f>
        <v>拔</v>
      </c>
    </row>
    <row r="48" spans="1:12">
      <c r="A48" t="str">
        <f>"51"</f>
        <v>51</v>
      </c>
      <c r="B48" t="str">
        <f>"ㆩ"</f>
        <v>ㆩ</v>
      </c>
      <c r="C48" t="str">
        <f>"監"</f>
        <v>監</v>
      </c>
      <c r="D48" t="str">
        <f>"舒聲"</f>
        <v>舒聲</v>
      </c>
      <c r="E48" t="str">
        <f>"26"</f>
        <v>26</v>
      </c>
      <c r="F48" t="str">
        <f>"ã"</f>
        <v>ã</v>
      </c>
      <c r="G48" t="str">
        <f>"ann"</f>
        <v>ann</v>
      </c>
      <c r="H48" t="str">
        <f>"ann"</f>
        <v>ann</v>
      </c>
      <c r="I48" t="str">
        <f>"ann"</f>
        <v>ann</v>
      </c>
      <c r="J48" t="str">
        <f>"na"</f>
        <v>na</v>
      </c>
      <c r="K48" t="str">
        <f>"aⁿ"</f>
        <v>aⁿ</v>
      </c>
      <c r="L48" t="str">
        <f>"聽"</f>
        <v>聽</v>
      </c>
    </row>
    <row r="49" spans="1:12">
      <c r="A49" t="str">
        <f>"52"</f>
        <v>52</v>
      </c>
      <c r="B49" t="str">
        <f>"ㆩㆷ"</f>
        <v>ㆩㆷ</v>
      </c>
      <c r="C49" t="str">
        <f>"監"</f>
        <v>監</v>
      </c>
      <c r="D49" t="str">
        <f>"促聲"</f>
        <v>促聲</v>
      </c>
      <c r="E49" t="str">
        <f>"26"</f>
        <v>26</v>
      </c>
      <c r="F49" t="str">
        <f>"ãʔ"</f>
        <v>ãʔ</v>
      </c>
      <c r="G49" t="str">
        <f>"ahnn"</f>
        <v>ahnn</v>
      </c>
      <c r="H49" t="str">
        <f>"annh"</f>
        <v>annh</v>
      </c>
      <c r="I49" t="str">
        <f>"annh"</f>
        <v>annh</v>
      </c>
      <c r="J49" t="str">
        <f>"nah"</f>
        <v>nah</v>
      </c>
      <c r="K49" t="str">
        <f>"ahⁿ"</f>
        <v>ahⁿ</v>
      </c>
      <c r="L49" t="str">
        <f>"含"</f>
        <v>含</v>
      </c>
    </row>
    <row r="50" spans="1:12">
      <c r="A50" t="str">
        <f>"53"</f>
        <v>53</v>
      </c>
      <c r="B50" t="str">
        <f>"ㄨ"</f>
        <v>ㄨ</v>
      </c>
      <c r="C50" t="str">
        <f>"艍"</f>
        <v>艍</v>
      </c>
      <c r="D50" t="str">
        <f>"舒聲"</f>
        <v>舒聲</v>
      </c>
      <c r="E50" t="str">
        <f>"27"</f>
        <v>27</v>
      </c>
      <c r="F50" t="str">
        <f t="shared" ref="F50:K50" si="8">"u"</f>
        <v>u</v>
      </c>
      <c r="G50" t="str">
        <f t="shared" si="8"/>
        <v>u</v>
      </c>
      <c r="H50" t="str">
        <f t="shared" si="8"/>
        <v>u</v>
      </c>
      <c r="I50" t="str">
        <f t="shared" si="8"/>
        <v>u</v>
      </c>
      <c r="J50" t="str">
        <f t="shared" si="8"/>
        <v>u</v>
      </c>
      <c r="K50" t="str">
        <f t="shared" si="8"/>
        <v>u</v>
      </c>
      <c r="L50" t="str">
        <f>"夫"</f>
        <v>夫</v>
      </c>
    </row>
    <row r="51" spans="1:12">
      <c r="A51" t="str">
        <f>"54"</f>
        <v>54</v>
      </c>
      <c r="B51" t="str">
        <f>"ㄨㆷ"</f>
        <v>ㄨㆷ</v>
      </c>
      <c r="C51" t="str">
        <f>"艍"</f>
        <v>艍</v>
      </c>
      <c r="D51" t="str">
        <f>"促聲"</f>
        <v>促聲</v>
      </c>
      <c r="E51" t="str">
        <f>"27"</f>
        <v>27</v>
      </c>
      <c r="F51" t="str">
        <f>"uʔ"</f>
        <v>uʔ</v>
      </c>
      <c r="G51" t="str">
        <f>"uh"</f>
        <v>uh</v>
      </c>
      <c r="H51" t="str">
        <f>"uh"</f>
        <v>uh</v>
      </c>
      <c r="I51" t="str">
        <f>"uh"</f>
        <v>uh</v>
      </c>
      <c r="J51" t="str">
        <f>"uh"</f>
        <v>uh</v>
      </c>
      <c r="K51" t="str">
        <f>"uh"</f>
        <v>uh</v>
      </c>
      <c r="L51" t="str">
        <f>"勃"</f>
        <v>勃</v>
      </c>
    </row>
    <row r="52" spans="1:12">
      <c r="A52" t="str">
        <f>"55"</f>
        <v>55</v>
      </c>
      <c r="B52" t="str">
        <f>"ㄚ"</f>
        <v>ㄚ</v>
      </c>
      <c r="C52" t="str">
        <f>"膠"</f>
        <v>膠</v>
      </c>
      <c r="D52" t="str">
        <f>"舒聲"</f>
        <v>舒聲</v>
      </c>
      <c r="E52" t="str">
        <f>"28"</f>
        <v>28</v>
      </c>
      <c r="F52" t="str">
        <f t="shared" ref="F52:K52" si="9">"a"</f>
        <v>a</v>
      </c>
      <c r="G52" t="str">
        <f t="shared" si="9"/>
        <v>a</v>
      </c>
      <c r="H52" t="str">
        <f t="shared" si="9"/>
        <v>a</v>
      </c>
      <c r="I52" t="str">
        <f t="shared" si="9"/>
        <v>a</v>
      </c>
      <c r="J52" t="str">
        <f t="shared" si="9"/>
        <v>a</v>
      </c>
      <c r="K52" t="str">
        <f t="shared" si="9"/>
        <v>a</v>
      </c>
      <c r="L52" t="str">
        <f>"些"</f>
        <v>些</v>
      </c>
    </row>
    <row r="53" spans="1:12">
      <c r="A53" t="str">
        <f>"56"</f>
        <v>56</v>
      </c>
      <c r="B53" t="str">
        <f>"ㄚㆷ"</f>
        <v>ㄚㆷ</v>
      </c>
      <c r="C53" t="str">
        <f>"膠"</f>
        <v>膠</v>
      </c>
      <c r="D53" t="str">
        <f>"促聲"</f>
        <v>促聲</v>
      </c>
      <c r="E53" t="str">
        <f>"28"</f>
        <v>28</v>
      </c>
      <c r="F53" t="str">
        <f>"aʔ"</f>
        <v>aʔ</v>
      </c>
      <c r="G53" t="str">
        <f>"ah"</f>
        <v>ah</v>
      </c>
      <c r="H53" t="str">
        <f>"ah"</f>
        <v>ah</v>
      </c>
      <c r="I53" t="str">
        <f>"ah"</f>
        <v>ah</v>
      </c>
      <c r="J53" t="str">
        <f>"ah"</f>
        <v>ah</v>
      </c>
      <c r="K53" t="str">
        <f>"ah"</f>
        <v>ah</v>
      </c>
      <c r="L53" t="str">
        <f>"百"</f>
        <v>百</v>
      </c>
    </row>
    <row r="54" spans="1:12">
      <c r="A54" t="str">
        <f>"57"</f>
        <v>57</v>
      </c>
      <c r="B54" t="str">
        <f>"ㄧ"</f>
        <v>ㄧ</v>
      </c>
      <c r="C54" t="str">
        <f>"居"</f>
        <v>居</v>
      </c>
      <c r="D54" t="str">
        <f>"舒聲"</f>
        <v>舒聲</v>
      </c>
      <c r="E54" t="str">
        <f>"29"</f>
        <v>29</v>
      </c>
      <c r="F54" t="str">
        <f t="shared" ref="F54:K54" si="10">"i"</f>
        <v>i</v>
      </c>
      <c r="G54" t="str">
        <f t="shared" si="10"/>
        <v>i</v>
      </c>
      <c r="H54" t="str">
        <f t="shared" si="10"/>
        <v>i</v>
      </c>
      <c r="I54" t="str">
        <f t="shared" si="10"/>
        <v>i</v>
      </c>
      <c r="J54" t="str">
        <f t="shared" si="10"/>
        <v>i</v>
      </c>
      <c r="K54" t="str">
        <f t="shared" si="10"/>
        <v>i</v>
      </c>
      <c r="L54" t="str">
        <f>"爾"</f>
        <v>爾</v>
      </c>
    </row>
    <row r="55" spans="1:12">
      <c r="A55" t="str">
        <f>"58"</f>
        <v>58</v>
      </c>
      <c r="B55" t="str">
        <f>"ㄧㆷ"</f>
        <v>ㄧㆷ</v>
      </c>
      <c r="C55" t="str">
        <f>"居"</f>
        <v>居</v>
      </c>
      <c r="D55" t="str">
        <f>"促聲"</f>
        <v>促聲</v>
      </c>
      <c r="E55" t="str">
        <f>"29"</f>
        <v>29</v>
      </c>
      <c r="F55" t="str">
        <f>"iʔ"</f>
        <v>iʔ</v>
      </c>
      <c r="G55" t="str">
        <f>"ih"</f>
        <v>ih</v>
      </c>
      <c r="H55" t="str">
        <f>"ih"</f>
        <v>ih</v>
      </c>
      <c r="I55" t="str">
        <f>"ih"</f>
        <v>ih</v>
      </c>
      <c r="J55" t="str">
        <f>"ih"</f>
        <v>ih</v>
      </c>
      <c r="K55" t="str">
        <f>"ih"</f>
        <v>ih</v>
      </c>
      <c r="L55" t="str">
        <f>"逼"</f>
        <v>逼</v>
      </c>
    </row>
    <row r="56" spans="1:12">
      <c r="A56" t="str">
        <f>"59"</f>
        <v>59</v>
      </c>
      <c r="B56" t="str">
        <f>"ㄧㄨ"</f>
        <v>ㄧㄨ</v>
      </c>
      <c r="C56" t="str">
        <f>"丩"</f>
        <v>丩</v>
      </c>
      <c r="D56" t="str">
        <f>"舒聲"</f>
        <v>舒聲</v>
      </c>
      <c r="E56" t="str">
        <f>"30"</f>
        <v>30</v>
      </c>
      <c r="F56" t="str">
        <f t="shared" ref="F56:K56" si="11">"iu"</f>
        <v>iu</v>
      </c>
      <c r="G56" t="str">
        <f t="shared" si="11"/>
        <v>iu</v>
      </c>
      <c r="H56" t="str">
        <f t="shared" si="11"/>
        <v>iu</v>
      </c>
      <c r="I56" t="str">
        <f t="shared" si="11"/>
        <v>iu</v>
      </c>
      <c r="J56" t="str">
        <f t="shared" si="11"/>
        <v>iu</v>
      </c>
      <c r="K56" t="str">
        <f t="shared" si="11"/>
        <v>iu</v>
      </c>
      <c r="L56" t="str">
        <f>"油"</f>
        <v>油</v>
      </c>
    </row>
    <row r="57" spans="1:12">
      <c r="A57" t="str">
        <f>"61"</f>
        <v>61</v>
      </c>
      <c r="B57" t="str">
        <f>"ㆥ"</f>
        <v>ㆥ</v>
      </c>
      <c r="C57" t="str">
        <f>"更"</f>
        <v>更</v>
      </c>
      <c r="D57" t="str">
        <f>"舒聲"</f>
        <v>舒聲</v>
      </c>
      <c r="E57" t="str">
        <f>"31"</f>
        <v>31</v>
      </c>
      <c r="F57" t="str">
        <f>"ẽ"</f>
        <v>ẽ</v>
      </c>
      <c r="G57" t="str">
        <f>"enn"</f>
        <v>enn</v>
      </c>
      <c r="H57" t="str">
        <f>"enn"</f>
        <v>enn</v>
      </c>
      <c r="I57" t="str">
        <f>"enn"</f>
        <v>enn</v>
      </c>
      <c r="J57" t="str">
        <f>"ne"</f>
        <v>ne</v>
      </c>
      <c r="K57" t="str">
        <f>"eⁿ"</f>
        <v>eⁿ</v>
      </c>
      <c r="L57" t="str">
        <f>"爭"</f>
        <v>爭</v>
      </c>
    </row>
    <row r="58" spans="1:12">
      <c r="A58" t="str">
        <f>"62"</f>
        <v>62</v>
      </c>
      <c r="B58" t="str">
        <f>"ㆥㆷ"</f>
        <v>ㆥㆷ</v>
      </c>
      <c r="C58" t="str">
        <f>"更"</f>
        <v>更</v>
      </c>
      <c r="D58" t="str">
        <f>"促聲"</f>
        <v>促聲</v>
      </c>
      <c r="E58" t="str">
        <f>"31"</f>
        <v>31</v>
      </c>
      <c r="F58" t="str">
        <f>""</f>
        <v/>
      </c>
      <c r="G58" t="str">
        <f>"ehnn"</f>
        <v>ehnn</v>
      </c>
      <c r="H58" t="str">
        <f>""</f>
        <v/>
      </c>
      <c r="I58" t="str">
        <f>"ennh"</f>
        <v>ennh</v>
      </c>
      <c r="J58" t="str">
        <f>""</f>
        <v/>
      </c>
      <c r="K58" t="str">
        <f>"ehⁿ"</f>
        <v>ehⁿ</v>
      </c>
      <c r="L58" t="str">
        <f>"挾"</f>
        <v>挾</v>
      </c>
    </row>
    <row r="59" spans="1:12">
      <c r="A59" t="str">
        <f>"63"</f>
        <v>63</v>
      </c>
      <c r="B59" t="str">
        <f>"ㄨㆪ"</f>
        <v>ㄨㆪ</v>
      </c>
      <c r="C59" t="str">
        <f>"褌"</f>
        <v>褌</v>
      </c>
      <c r="D59" t="str">
        <f>"舒聲"</f>
        <v>舒聲</v>
      </c>
      <c r="E59" t="str">
        <f>"32"</f>
        <v>32</v>
      </c>
      <c r="F59" t="str">
        <f>"ũĩ"</f>
        <v>ũĩ</v>
      </c>
      <c r="G59" t="str">
        <f>"uinn"</f>
        <v>uinn</v>
      </c>
      <c r="H59" t="str">
        <f>"uinn"</f>
        <v>uinn</v>
      </c>
      <c r="I59" t="str">
        <f>"uinn"</f>
        <v>uinn</v>
      </c>
      <c r="J59" t="str">
        <f>"nui"</f>
        <v>nui</v>
      </c>
      <c r="K59" t="str">
        <f>"uiⁿ"</f>
        <v>uiⁿ</v>
      </c>
      <c r="L59" t="str">
        <f>"荒"</f>
        <v>荒</v>
      </c>
    </row>
    <row r="60" spans="1:12">
      <c r="A60" t="str">
        <f>"65"</f>
        <v>65</v>
      </c>
      <c r="B60" t="str">
        <f>"ㄧㄜ"</f>
        <v>ㄧㄜ</v>
      </c>
      <c r="C60" t="str">
        <f>"茄"</f>
        <v>茄</v>
      </c>
      <c r="D60" t="str">
        <f>"舒聲"</f>
        <v>舒聲</v>
      </c>
      <c r="E60" t="str">
        <f>"33"</f>
        <v>33</v>
      </c>
      <c r="F60" t="str">
        <f>"ɪo"</f>
        <v>ɪo</v>
      </c>
      <c r="G60" t="str">
        <f>"io"</f>
        <v>io</v>
      </c>
      <c r="H60" t="str">
        <f>"io"</f>
        <v>io</v>
      </c>
      <c r="I60" t="str">
        <f>"ior"</f>
        <v>ior</v>
      </c>
      <c r="J60" t="str">
        <f>"io"</f>
        <v>io</v>
      </c>
      <c r="K60" t="str">
        <f>"io"</f>
        <v>io</v>
      </c>
      <c r="L60" t="str">
        <f>"少"</f>
        <v>少</v>
      </c>
    </row>
    <row r="61" spans="1:12">
      <c r="A61" t="str">
        <f>"66"</f>
        <v>66</v>
      </c>
      <c r="B61" t="str">
        <f>"ㄧㄜㆷ"</f>
        <v>ㄧㄜㆷ</v>
      </c>
      <c r="C61" t="str">
        <f>"茄"</f>
        <v>茄</v>
      </c>
      <c r="D61" t="str">
        <f>"促聲"</f>
        <v>促聲</v>
      </c>
      <c r="E61" t="str">
        <f>"33"</f>
        <v>33</v>
      </c>
      <c r="F61" t="str">
        <f>"ɪoʔ"</f>
        <v>ɪoʔ</v>
      </c>
      <c r="G61" t="str">
        <f>"ioh"</f>
        <v>ioh</v>
      </c>
      <c r="H61" t="str">
        <f>"ioh"</f>
        <v>ioh</v>
      </c>
      <c r="I61" t="str">
        <f>"iorh"</f>
        <v>iorh</v>
      </c>
      <c r="J61" t="str">
        <f>"ioh"</f>
        <v>ioh</v>
      </c>
      <c r="K61" t="str">
        <f>"ioh"</f>
        <v>ioh</v>
      </c>
      <c r="L61" t="str">
        <f>"著"</f>
        <v>著</v>
      </c>
    </row>
    <row r="62" spans="1:12">
      <c r="A62" t="str">
        <f>"67"</f>
        <v>67</v>
      </c>
      <c r="B62" t="str">
        <f>"ㆪ"</f>
        <v>ㆪ</v>
      </c>
      <c r="C62" t="str">
        <f>"梔"</f>
        <v>梔</v>
      </c>
      <c r="D62" t="str">
        <f>"舒聲"</f>
        <v>舒聲</v>
      </c>
      <c r="E62" t="str">
        <f>"34"</f>
        <v>34</v>
      </c>
      <c r="F62" t="str">
        <f>"ĩ"</f>
        <v>ĩ</v>
      </c>
      <c r="G62" t="str">
        <f>"inn"</f>
        <v>inn</v>
      </c>
      <c r="H62" t="str">
        <f>"inn"</f>
        <v>inn</v>
      </c>
      <c r="I62" t="str">
        <f>"inn"</f>
        <v>inn</v>
      </c>
      <c r="J62" t="str">
        <f>"ni"</f>
        <v>ni</v>
      </c>
      <c r="K62" t="str">
        <f>"iⁿ"</f>
        <v>iⁿ</v>
      </c>
      <c r="L62" t="str">
        <f>"庚"</f>
        <v>庚</v>
      </c>
    </row>
    <row r="63" spans="1:12">
      <c r="A63" t="str">
        <f>"68"</f>
        <v>68</v>
      </c>
      <c r="B63" t="str">
        <f>"ㆪㆷ"</f>
        <v>ㆪㆷ</v>
      </c>
      <c r="C63" t="str">
        <f>"梔"</f>
        <v>梔</v>
      </c>
      <c r="D63" t="str">
        <f>"促聲"</f>
        <v>促聲</v>
      </c>
      <c r="E63" t="str">
        <f>"34"</f>
        <v>34</v>
      </c>
      <c r="F63" t="str">
        <f>"ĩʔ"</f>
        <v>ĩʔ</v>
      </c>
      <c r="G63" t="str">
        <f>"ihnn"</f>
        <v>ihnn</v>
      </c>
      <c r="H63" t="str">
        <f>"innh"</f>
        <v>innh</v>
      </c>
      <c r="I63" t="str">
        <f>"innh"</f>
        <v>innh</v>
      </c>
      <c r="J63" t="str">
        <f>"nih"</f>
        <v>nih</v>
      </c>
      <c r="K63" t="str">
        <f>"ihⁿ"</f>
        <v>ihⁿ</v>
      </c>
      <c r="L63" t="str">
        <f>"欷"</f>
        <v>欷</v>
      </c>
    </row>
    <row r="64" spans="1:12">
      <c r="A64" t="str">
        <f>"69"</f>
        <v>69</v>
      </c>
      <c r="B64" t="str">
        <f>"ㄧㆧ"</f>
        <v>ㄧㆧ</v>
      </c>
      <c r="C64" t="str">
        <f>"薑"</f>
        <v>薑</v>
      </c>
      <c r="D64" t="str">
        <f>"舒聲"</f>
        <v>舒聲</v>
      </c>
      <c r="E64" t="str">
        <f>"35"</f>
        <v>35</v>
      </c>
      <c r="F64" t="str">
        <f>"ĩɔ̃"</f>
        <v>ĩɔ̃</v>
      </c>
      <c r="G64" t="str">
        <f>"ionn"</f>
        <v>ionn</v>
      </c>
      <c r="H64" t="str">
        <f>"ionn"</f>
        <v>ionn</v>
      </c>
      <c r="I64" t="str">
        <f>"ioonn"</f>
        <v>ioonn</v>
      </c>
      <c r="J64" t="str">
        <f>"nioo"</f>
        <v>nioo</v>
      </c>
      <c r="K64" t="str">
        <f>"ioⁿ"</f>
        <v>ioⁿ</v>
      </c>
      <c r="L64" t="str">
        <f>"腔"</f>
        <v>腔</v>
      </c>
    </row>
    <row r="65" spans="1:12">
      <c r="A65" t="str">
        <f>"71"</f>
        <v>71</v>
      </c>
      <c r="B65" t="str">
        <f>"ㄧㆩ"</f>
        <v>ㄧㆩ</v>
      </c>
      <c r="C65" t="str">
        <f>"驚"</f>
        <v>驚</v>
      </c>
      <c r="D65" t="str">
        <f>"舒聲"</f>
        <v>舒聲</v>
      </c>
      <c r="E65" t="str">
        <f>"36"</f>
        <v>36</v>
      </c>
      <c r="F65" t="str">
        <f>"ĩã"</f>
        <v>ĩã</v>
      </c>
      <c r="G65" t="str">
        <f>"iann"</f>
        <v>iann</v>
      </c>
      <c r="H65" t="str">
        <f>"iann"</f>
        <v>iann</v>
      </c>
      <c r="I65" t="str">
        <f>"iann"</f>
        <v>iann</v>
      </c>
      <c r="J65" t="str">
        <f>"nia"</f>
        <v>nia</v>
      </c>
      <c r="K65" t="str">
        <f>"iaⁿ"</f>
        <v>iaⁿ</v>
      </c>
      <c r="L65" t="str">
        <f>"且"</f>
        <v>且</v>
      </c>
    </row>
    <row r="66" spans="1:12">
      <c r="A66" t="str">
        <f>"73"</f>
        <v>73</v>
      </c>
      <c r="B66" t="str">
        <f>"ㄨㆩ"</f>
        <v>ㄨㆩ</v>
      </c>
      <c r="C66" t="str">
        <f>"官"</f>
        <v>官</v>
      </c>
      <c r="D66" t="str">
        <f>"舒聲"</f>
        <v>舒聲</v>
      </c>
      <c r="E66" t="str">
        <f>"37"</f>
        <v>37</v>
      </c>
      <c r="F66" t="str">
        <f>"ũã"</f>
        <v>ũã</v>
      </c>
      <c r="G66" t="str">
        <f>"uann"</f>
        <v>uann</v>
      </c>
      <c r="H66" t="str">
        <f>"uann"</f>
        <v>uann</v>
      </c>
      <c r="I66" t="str">
        <f>"uann"</f>
        <v>uann</v>
      </c>
      <c r="J66" t="str">
        <f>"nua"</f>
        <v>nua</v>
      </c>
      <c r="K66" t="str">
        <f>"oaⁿ"</f>
        <v>oaⁿ</v>
      </c>
      <c r="L66" t="str">
        <f>"肝"</f>
        <v>肝</v>
      </c>
    </row>
    <row r="67" spans="1:12">
      <c r="A67" t="str">
        <f>"75"</f>
        <v>75</v>
      </c>
      <c r="B67" t="str">
        <f>"ㆭ"</f>
        <v>ㆭ</v>
      </c>
      <c r="C67" t="str">
        <f>"鋼"</f>
        <v>鋼</v>
      </c>
      <c r="D67" t="str">
        <f>"舒聲"</f>
        <v>舒聲</v>
      </c>
      <c r="E67" t="str">
        <f>"38"</f>
        <v>38</v>
      </c>
      <c r="F67" t="str">
        <f>"ŋ̍"</f>
        <v>ŋ̍</v>
      </c>
      <c r="G67" t="str">
        <f>"ng"</f>
        <v>ng</v>
      </c>
      <c r="H67" t="str">
        <f>"ng"</f>
        <v>ng</v>
      </c>
      <c r="I67" t="str">
        <f>"ng"</f>
        <v>ng</v>
      </c>
      <c r="J67" t="str">
        <f>"ng"</f>
        <v>ng</v>
      </c>
      <c r="K67" t="str">
        <f>"ng"</f>
        <v>ng</v>
      </c>
      <c r="L67" t="str">
        <f>"床"</f>
        <v>床</v>
      </c>
    </row>
    <row r="68" spans="1:12">
      <c r="A68" t="str">
        <f>"77"</f>
        <v>77</v>
      </c>
      <c r="B68" t="str">
        <f>"ㆤ"</f>
        <v>ㆤ</v>
      </c>
      <c r="C68" t="str">
        <f>"伽"</f>
        <v>伽</v>
      </c>
      <c r="D68" t="str">
        <f>"舒聲"</f>
        <v>舒聲</v>
      </c>
      <c r="E68" t="str">
        <f>"39"</f>
        <v>39</v>
      </c>
      <c r="F68" t="str">
        <f t="shared" ref="F68:K68" si="12">"e"</f>
        <v>e</v>
      </c>
      <c r="G68" t="str">
        <f t="shared" si="12"/>
        <v>e</v>
      </c>
      <c r="H68" t="str">
        <f t="shared" si="12"/>
        <v>e</v>
      </c>
      <c r="I68" t="str">
        <f t="shared" si="12"/>
        <v>e</v>
      </c>
      <c r="J68" t="str">
        <f t="shared" si="12"/>
        <v>e</v>
      </c>
      <c r="K68" t="str">
        <f t="shared" si="12"/>
        <v>e</v>
      </c>
      <c r="L68" t="str">
        <f>"會"</f>
        <v>會</v>
      </c>
    </row>
    <row r="69" spans="1:12">
      <c r="A69" t="str">
        <f>"78"</f>
        <v>78</v>
      </c>
      <c r="B69" t="str">
        <f>"ㆤㆷ"</f>
        <v>ㆤㆷ</v>
      </c>
      <c r="C69" t="str">
        <f>"伽"</f>
        <v>伽</v>
      </c>
      <c r="D69" t="str">
        <f>"促聲"</f>
        <v>促聲</v>
      </c>
      <c r="E69" t="str">
        <f>"39"</f>
        <v>39</v>
      </c>
      <c r="F69" t="str">
        <f>"eʔ"</f>
        <v>eʔ</v>
      </c>
      <c r="G69" t="str">
        <f>"eh"</f>
        <v>eh</v>
      </c>
      <c r="H69" t="str">
        <f>"eh"</f>
        <v>eh</v>
      </c>
      <c r="I69" t="str">
        <f>"eh"</f>
        <v>eh</v>
      </c>
      <c r="J69" t="str">
        <f>"eh"</f>
        <v>eh</v>
      </c>
      <c r="K69" t="str">
        <f>"eh"</f>
        <v>eh</v>
      </c>
      <c r="L69" t="str">
        <f>"伯"</f>
        <v>伯</v>
      </c>
    </row>
    <row r="70" spans="1:12">
      <c r="A70" t="str">
        <f>"79"</f>
        <v>79</v>
      </c>
      <c r="B70" t="str">
        <f>"ㆮ"</f>
        <v>ㆮ</v>
      </c>
      <c r="C70" t="str">
        <f>"閒"</f>
        <v>閒</v>
      </c>
      <c r="D70" t="str">
        <f>"舒聲"</f>
        <v>舒聲</v>
      </c>
      <c r="E70" t="str">
        <f>"40"</f>
        <v>40</v>
      </c>
      <c r="F70" t="str">
        <f>"ãĩ"</f>
        <v>ãĩ</v>
      </c>
      <c r="G70" t="str">
        <f>"ainn"</f>
        <v>ainn</v>
      </c>
      <c r="H70" t="str">
        <f>"ainn"</f>
        <v>ainn</v>
      </c>
      <c r="I70" t="str">
        <f>"ainn"</f>
        <v>ainn</v>
      </c>
      <c r="J70" t="str">
        <f>"nai"</f>
        <v>nai</v>
      </c>
      <c r="K70" t="str">
        <f>"aiⁿ"</f>
        <v>aiⁿ</v>
      </c>
      <c r="L70" t="str">
        <f>"挨"</f>
        <v>挨</v>
      </c>
    </row>
    <row r="71" spans="1:12">
      <c r="A71" t="str">
        <f>"81"</f>
        <v>81</v>
      </c>
      <c r="B71" t="str">
        <f>"ㆧ"</f>
        <v>ㆧ</v>
      </c>
      <c r="C71" t="str">
        <f>"姑"</f>
        <v>姑</v>
      </c>
      <c r="D71" t="str">
        <f>"舒聲"</f>
        <v>舒聲</v>
      </c>
      <c r="E71" t="str">
        <f>"41"</f>
        <v>41</v>
      </c>
      <c r="F71" t="str">
        <f>"ɔ̃"</f>
        <v>ɔ̃</v>
      </c>
      <c r="G71" t="str">
        <f>"onn"</f>
        <v>onn</v>
      </c>
      <c r="H71" t="str">
        <f>"onn"</f>
        <v>onn</v>
      </c>
      <c r="I71" t="str">
        <f>"oonn"</f>
        <v>oonn</v>
      </c>
      <c r="J71" t="str">
        <f>"noo"</f>
        <v>noo</v>
      </c>
      <c r="K71" t="str">
        <f>"oⁿ"</f>
        <v>oⁿ</v>
      </c>
      <c r="L71" t="str">
        <f>"張"</f>
        <v>張</v>
      </c>
    </row>
    <row r="72" spans="1:12">
      <c r="A72" t="str">
        <f>"83"</f>
        <v>83</v>
      </c>
      <c r="B72" t="str">
        <f>"ㆬ"</f>
        <v>ㆬ</v>
      </c>
      <c r="C72" t="str">
        <f>"姆"</f>
        <v>姆</v>
      </c>
      <c r="D72" t="str">
        <f>"舒聲"</f>
        <v>舒聲</v>
      </c>
      <c r="E72" t="str">
        <f>"42"</f>
        <v>42</v>
      </c>
      <c r="F72" t="str">
        <f>"m̩"</f>
        <v>m̩</v>
      </c>
      <c r="G72" t="str">
        <f>"m"</f>
        <v>m</v>
      </c>
      <c r="H72" t="str">
        <f>"m"</f>
        <v>m</v>
      </c>
      <c r="I72" t="str">
        <f>"m"</f>
        <v>m</v>
      </c>
      <c r="J72" t="str">
        <f>"m"</f>
        <v>m</v>
      </c>
      <c r="K72" t="str">
        <f>"m"</f>
        <v>m</v>
      </c>
      <c r="L72" t="str">
        <f>"姆"</f>
        <v>姆</v>
      </c>
    </row>
    <row r="73" spans="1:12">
      <c r="A73" t="str">
        <f>"85"</f>
        <v>85</v>
      </c>
      <c r="B73" t="str">
        <f>"ㄨㄤ"</f>
        <v>ㄨㄤ</v>
      </c>
      <c r="C73" t="str">
        <f>"光"</f>
        <v>光</v>
      </c>
      <c r="D73" t="str">
        <f>"舒聲"</f>
        <v>舒聲</v>
      </c>
      <c r="E73" t="str">
        <f>"43"</f>
        <v>43</v>
      </c>
      <c r="F73" t="str">
        <f>"uaŋ"</f>
        <v>uaŋ</v>
      </c>
      <c r="G73" t="str">
        <f>"uang"</f>
        <v>uang</v>
      </c>
      <c r="H73" t="str">
        <f>"uang"</f>
        <v>uang</v>
      </c>
      <c r="I73" t="str">
        <f>"uang"</f>
        <v>uang</v>
      </c>
      <c r="J73" t="str">
        <f>"uang"</f>
        <v>uang</v>
      </c>
      <c r="K73" t="str">
        <f>"oang"</f>
        <v>oang</v>
      </c>
      <c r="L73" t="str">
        <f>"闖"</f>
        <v>闖</v>
      </c>
    </row>
    <row r="74" spans="1:12">
      <c r="A74" t="str">
        <f>"86"</f>
        <v>86</v>
      </c>
      <c r="B74" t="str">
        <f>"ㄨㄚㆻ"</f>
        <v>ㄨㄚㆻ</v>
      </c>
      <c r="C74" t="str">
        <f>"光"</f>
        <v>光</v>
      </c>
      <c r="D74" t="str">
        <f>"促聲"</f>
        <v>促聲</v>
      </c>
      <c r="E74" t="str">
        <f>"43"</f>
        <v>43</v>
      </c>
      <c r="F74" t="str">
        <f>"uak̚"</f>
        <v>uak̚</v>
      </c>
      <c r="G74" t="str">
        <f>"uak"</f>
        <v>uak</v>
      </c>
      <c r="H74" t="str">
        <f>"uak"</f>
        <v>uak</v>
      </c>
      <c r="I74" t="str">
        <f>"uak"</f>
        <v>uak</v>
      </c>
      <c r="J74" t="str">
        <f>"uak"</f>
        <v>uak</v>
      </c>
      <c r="K74" t="str">
        <f>"oak"</f>
        <v>oak</v>
      </c>
      <c r="L74" t="str">
        <f>"伏"</f>
        <v>伏</v>
      </c>
    </row>
    <row r="75" spans="1:12">
      <c r="A75" t="str">
        <f>"87"</f>
        <v>87</v>
      </c>
      <c r="B75" t="str">
        <f>"ㄨㆮ"</f>
        <v>ㄨㆮ</v>
      </c>
      <c r="C75" t="str">
        <f>"閂"</f>
        <v>閂</v>
      </c>
      <c r="D75" t="str">
        <f>"舒聲"</f>
        <v>舒聲</v>
      </c>
      <c r="E75" t="str">
        <f>"44"</f>
        <v>44</v>
      </c>
      <c r="F75" t="str">
        <f>"ũãĩ"</f>
        <v>ũãĩ</v>
      </c>
      <c r="G75" t="str">
        <f>"uainn"</f>
        <v>uainn</v>
      </c>
      <c r="H75" t="str">
        <f>"uainn"</f>
        <v>uainn</v>
      </c>
      <c r="I75" t="str">
        <f>"uainn"</f>
        <v>uainn</v>
      </c>
      <c r="J75" t="str">
        <f>"nuai"</f>
        <v>nuai</v>
      </c>
      <c r="K75" t="str">
        <f>"oaiⁿ"</f>
        <v>oaiⁿ</v>
      </c>
      <c r="L75" t="str">
        <f>"檨"</f>
        <v>檨</v>
      </c>
    </row>
    <row r="76" spans="1:12">
      <c r="A76" t="str">
        <f>"88"</f>
        <v>88</v>
      </c>
      <c r="B76" t="str">
        <f>"ㄨㆮㆷ"</f>
        <v>ㄨㆮㆷ</v>
      </c>
      <c r="C76" t="str">
        <f>"閂"</f>
        <v>閂</v>
      </c>
      <c r="D76" t="str">
        <f>"促聲"</f>
        <v>促聲</v>
      </c>
      <c r="E76" t="str">
        <f>"44"</f>
        <v>44</v>
      </c>
      <c r="F76" t="str">
        <f>"ũãĩʔ"</f>
        <v>ũãĩʔ</v>
      </c>
      <c r="G76" t="str">
        <f>"uaihnn"</f>
        <v>uaihnn</v>
      </c>
      <c r="H76" t="str">
        <f>"uainnh"</f>
        <v>uainnh</v>
      </c>
      <c r="I76" t="str">
        <f>"uainnh"</f>
        <v>uainnh</v>
      </c>
      <c r="J76" t="str">
        <f>"nuaih"</f>
        <v>nuaih</v>
      </c>
      <c r="K76" t="str">
        <f>"oaihⁿ"</f>
        <v>oaihⁿ</v>
      </c>
      <c r="L76" t="str">
        <f>"蹶"</f>
        <v>蹶</v>
      </c>
    </row>
    <row r="77" spans="1:12">
      <c r="A77" t="str">
        <f>"89"</f>
        <v>89</v>
      </c>
      <c r="B77" t="str">
        <f>"ㄨㆥ"</f>
        <v>ㄨㆥ</v>
      </c>
      <c r="C77" t="str">
        <f>"糜"</f>
        <v>糜</v>
      </c>
      <c r="D77" t="str">
        <f>"舒聲"</f>
        <v>舒聲</v>
      </c>
      <c r="E77" t="str">
        <f>"45"</f>
        <v>45</v>
      </c>
      <c r="F77" t="str">
        <f>"ũẽ"</f>
        <v>ũẽ</v>
      </c>
      <c r="G77" t="str">
        <f>"uenn"</f>
        <v>uenn</v>
      </c>
      <c r="H77" t="str">
        <f>"uenn"</f>
        <v>uenn</v>
      </c>
      <c r="I77" t="str">
        <f>"uenn"</f>
        <v>uenn</v>
      </c>
      <c r="J77" t="str">
        <f>"nue"</f>
        <v>nue</v>
      </c>
      <c r="K77" t="str">
        <f>"oeⁿ"</f>
        <v>oeⁿ</v>
      </c>
      <c r="L77" t="str">
        <f>"◯"</f>
        <v>◯</v>
      </c>
    </row>
    <row r="78" spans="1:12">
      <c r="A78" t="str">
        <f>"91"</f>
        <v>91</v>
      </c>
      <c r="B78" t="str">
        <f>"ㄧㆯ"</f>
        <v>ㄧㆯ</v>
      </c>
      <c r="C78" t="str">
        <f>"嘄"</f>
        <v>嘄</v>
      </c>
      <c r="D78" t="str">
        <f>"舒聲"</f>
        <v>舒聲</v>
      </c>
      <c r="E78" t="str">
        <f>"46"</f>
        <v>46</v>
      </c>
      <c r="F78" t="str">
        <f>"ĩãũ"</f>
        <v>ĩãũ</v>
      </c>
      <c r="G78" t="str">
        <f>"iaunn"</f>
        <v>iaunn</v>
      </c>
      <c r="H78" t="str">
        <f>"iaunn"</f>
        <v>iaunn</v>
      </c>
      <c r="I78" t="str">
        <f>"iaunn"</f>
        <v>iaunn</v>
      </c>
      <c r="J78" t="str">
        <f>"niao"</f>
        <v>niao</v>
      </c>
      <c r="K78" t="str">
        <f>"iauⁿ"</f>
        <v>iauⁿ</v>
      </c>
      <c r="L78" t="str">
        <f>"鳥"</f>
        <v>鳥</v>
      </c>
    </row>
    <row r="79" spans="1:12">
      <c r="A79" t="str">
        <f>"92"</f>
        <v>92</v>
      </c>
      <c r="B79" t="str">
        <f>"ㄧㆯㆷ"</f>
        <v>ㄧㆯㆷ</v>
      </c>
      <c r="C79" t="str">
        <f>"嘄"</f>
        <v>嘄</v>
      </c>
      <c r="D79" t="str">
        <f>"促聲"</f>
        <v>促聲</v>
      </c>
      <c r="E79" t="str">
        <f>"46"</f>
        <v>46</v>
      </c>
      <c r="F79" t="str">
        <f>"ĩãũʔ"</f>
        <v>ĩãũʔ</v>
      </c>
      <c r="G79" t="str">
        <f>"iauhnn"</f>
        <v>iauhnn</v>
      </c>
      <c r="H79" t="str">
        <f>"iaunnh"</f>
        <v>iaunnh</v>
      </c>
      <c r="I79" t="str">
        <f>"iaunnh"</f>
        <v>iaunnh</v>
      </c>
      <c r="J79" t="str">
        <f>"niaoh"</f>
        <v>niaoh</v>
      </c>
      <c r="K79" t="str">
        <f>"iauhⁿ"</f>
        <v>iauhⁿ</v>
      </c>
      <c r="L79" t="str">
        <f>"◯"</f>
        <v>◯</v>
      </c>
    </row>
    <row r="80" spans="1:12">
      <c r="A80" t="str">
        <f>"93"</f>
        <v>93</v>
      </c>
      <c r="B80" t="str">
        <f>"ㆱ"</f>
        <v>ㆱ</v>
      </c>
      <c r="C80" t="str">
        <f>"箴"</f>
        <v>箴</v>
      </c>
      <c r="D80" t="str">
        <f>"舒聲"</f>
        <v>舒聲</v>
      </c>
      <c r="E80" t="str">
        <f>"47"</f>
        <v>47</v>
      </c>
      <c r="F80" t="str">
        <f>"ɔm"</f>
        <v>ɔm</v>
      </c>
      <c r="G80" t="str">
        <f>"om"</f>
        <v>om</v>
      </c>
      <c r="H80" t="str">
        <f>"om/p"</f>
        <v>om/p</v>
      </c>
      <c r="I80" t="str">
        <f>"oom"</f>
        <v>oom</v>
      </c>
      <c r="J80" t="str">
        <f>"om/p"</f>
        <v>om/p</v>
      </c>
      <c r="K80" t="str">
        <f>"om"</f>
        <v>om</v>
      </c>
      <c r="L80" t="str">
        <f>"丼"</f>
        <v>丼</v>
      </c>
    </row>
    <row r="81" spans="1:12">
      <c r="A81" t="str">
        <f>"94"</f>
        <v>94</v>
      </c>
      <c r="B81" t="str">
        <f>"ㆦㆴ"</f>
        <v>ㆦㆴ</v>
      </c>
      <c r="C81" t="str">
        <f>"箴"</f>
        <v>箴</v>
      </c>
      <c r="D81" t="str">
        <f>"促聲"</f>
        <v>促聲</v>
      </c>
      <c r="E81" t="str">
        <f>"47"</f>
        <v>47</v>
      </c>
      <c r="F81" t="str">
        <f>"ɔp̚"</f>
        <v>ɔp̚</v>
      </c>
      <c r="G81" t="str">
        <f>"op"</f>
        <v>op</v>
      </c>
      <c r="H81" t="str">
        <f>"op"</f>
        <v>op</v>
      </c>
      <c r="I81" t="str">
        <f>"oop"</f>
        <v>oop</v>
      </c>
      <c r="J81" t="str">
        <f>"op"</f>
        <v>op</v>
      </c>
      <c r="K81" t="str">
        <f>"op"</f>
        <v>op</v>
      </c>
      <c r="L81" t="str">
        <f>"吷"</f>
        <v>吷</v>
      </c>
    </row>
    <row r="82" spans="1:12">
      <c r="A82" t="str">
        <f>"95"</f>
        <v>95</v>
      </c>
      <c r="B82" t="str">
        <f>"ㆯ"</f>
        <v>ㆯ</v>
      </c>
      <c r="C82" t="str">
        <f>"爻"</f>
        <v>爻</v>
      </c>
      <c r="D82" t="str">
        <f>"舒聲"</f>
        <v>舒聲</v>
      </c>
      <c r="E82" t="str">
        <f>"48"</f>
        <v>48</v>
      </c>
      <c r="F82" t="str">
        <f>"ãũ"</f>
        <v>ãũ</v>
      </c>
      <c r="G82" t="str">
        <f>"aunn"</f>
        <v>aunn</v>
      </c>
      <c r="H82" t="str">
        <f>"aunn"</f>
        <v>aunn</v>
      </c>
      <c r="I82" t="str">
        <f>"aunn"</f>
        <v>aunn</v>
      </c>
      <c r="J82" t="str">
        <f>"nao"</f>
        <v>nao</v>
      </c>
      <c r="K82" t="str">
        <f>"auⁿ"</f>
        <v>auⁿ</v>
      </c>
      <c r="L82" t="str">
        <f>"懸"</f>
        <v>懸</v>
      </c>
    </row>
    <row r="83" spans="1:12">
      <c r="A83" t="str">
        <f>"97"</f>
        <v>97</v>
      </c>
      <c r="B83" t="str">
        <f>"ㆧ"</f>
        <v>ㆧ</v>
      </c>
      <c r="C83" t="str">
        <f>"扛"</f>
        <v>扛</v>
      </c>
      <c r="D83" t="str">
        <f>"舒聲"</f>
        <v>舒聲</v>
      </c>
      <c r="E83" t="str">
        <f>"49"</f>
        <v>49</v>
      </c>
      <c r="F83" t="str">
        <f>"ɔ̃"</f>
        <v>ɔ̃</v>
      </c>
      <c r="G83" t="str">
        <f>"onn"</f>
        <v>onn</v>
      </c>
      <c r="H83" t="str">
        <f>"onn"</f>
        <v>onn</v>
      </c>
      <c r="I83" t="str">
        <f>"ornn"</f>
        <v>ornn</v>
      </c>
      <c r="J83" t="str">
        <f>"noo"</f>
        <v>noo</v>
      </c>
      <c r="K83" t="str">
        <f>"on"</f>
        <v>on</v>
      </c>
      <c r="L83" t="str">
        <f>"呼"</f>
        <v>呼</v>
      </c>
    </row>
    <row r="84" spans="1:12">
      <c r="A84" t="str">
        <f>"98"</f>
        <v>98</v>
      </c>
      <c r="B84" t="str">
        <f>"ㆧㆷ"</f>
        <v>ㆧㆷ</v>
      </c>
      <c r="C84" t="str">
        <f>"扛"</f>
        <v>扛</v>
      </c>
      <c r="D84" t="str">
        <f>"促聲"</f>
        <v>促聲</v>
      </c>
      <c r="E84" t="str">
        <f>"49"</f>
        <v>49</v>
      </c>
      <c r="F84" t="str">
        <f>"ɔ̃ʔ"</f>
        <v>ɔ̃ʔ</v>
      </c>
      <c r="G84" t="str">
        <f>"ohnn"</f>
        <v>ohnn</v>
      </c>
      <c r="H84" t="str">
        <f>"onnh"</f>
        <v>onnh</v>
      </c>
      <c r="I84" t="str">
        <f>"uenn"</f>
        <v>uenn</v>
      </c>
      <c r="J84" t="str">
        <f>"nooh"</f>
        <v>nooh</v>
      </c>
      <c r="K84" t="str">
        <f>"ohⁿ"</f>
        <v>ohⁿ</v>
      </c>
      <c r="L84" t="str">
        <f>"◯"</f>
        <v>◯</v>
      </c>
    </row>
    <row r="85" spans="1:12">
      <c r="A85" t="str">
        <f>"99"</f>
        <v>99</v>
      </c>
      <c r="B85" t="str">
        <f>"ㄧㆫ"</f>
        <v>ㄧㆫ</v>
      </c>
      <c r="C85" t="str">
        <f>"牛"</f>
        <v>牛</v>
      </c>
      <c r="D85" t="str">
        <f>"舒聲"</f>
        <v>舒聲</v>
      </c>
      <c r="E85" t="str">
        <f>"50"</f>
        <v>50</v>
      </c>
      <c r="F85" t="str">
        <f>"ĩũ"</f>
        <v>ĩũ</v>
      </c>
      <c r="G85" t="str">
        <f>"iunn"</f>
        <v>iunn</v>
      </c>
      <c r="H85" t="str">
        <f>"iunn"</f>
        <v>iunn</v>
      </c>
      <c r="I85" t="str">
        <f>"iunn"</f>
        <v>iunn</v>
      </c>
      <c r="J85" t="str">
        <f>"niu"</f>
        <v>niu</v>
      </c>
      <c r="K85" t="str">
        <f>"iuⁿ"</f>
        <v>iuⁿ</v>
      </c>
      <c r="L85" t="str">
        <f>"香"</f>
        <v>香</v>
      </c>
    </row>
  </sheetData>
  <phoneticPr fontId="4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76F8-FC17-4FB5-9465-C2680BD4AA07}">
  <dimension ref="A1:K23"/>
  <sheetViews>
    <sheetView topLeftCell="G1" workbookViewId="0">
      <selection activeCell="K23" sqref="A1:K23"/>
    </sheetView>
  </sheetViews>
  <sheetFormatPr defaultRowHeight="25.5"/>
  <cols>
    <col min="11" max="11" width="22.6640625" bestFit="1" customWidth="1"/>
  </cols>
  <sheetData>
    <row r="1" spans="1:11">
      <c r="A1" t="str">
        <f>"識別號"</f>
        <v>識別號</v>
      </c>
      <c r="B1" t="str">
        <f>"方音符號"</f>
        <v>方音符號</v>
      </c>
      <c r="C1" t="str">
        <f>"十五音"</f>
        <v>十五音</v>
      </c>
      <c r="D1" t="str">
        <f>"國際音標"</f>
        <v>國際音標</v>
      </c>
      <c r="E1" t="str">
        <f>"台語音標"</f>
        <v>台語音標</v>
      </c>
      <c r="F1" t="str">
        <f>"台羅拼音"</f>
        <v>台羅拼音</v>
      </c>
      <c r="G1" t="str">
        <f>"注音二式"</f>
        <v>注音二式</v>
      </c>
      <c r="H1" t="str">
        <f>"閩拼方案"</f>
        <v>閩拼方案</v>
      </c>
      <c r="I1" t="str">
        <f>"白話字"</f>
        <v>白話字</v>
      </c>
      <c r="J1" t="str">
        <f>"漢字例"</f>
        <v>漢字例</v>
      </c>
      <c r="K1" t="str">
        <f>"備註"</f>
        <v>備註</v>
      </c>
    </row>
    <row r="2" spans="1:11">
      <c r="A2" t="str">
        <f>"1"</f>
        <v>1</v>
      </c>
      <c r="B2" t="str">
        <f>"ㄌ"</f>
        <v>ㄌ</v>
      </c>
      <c r="C2" t="str">
        <f>"柳"</f>
        <v>柳</v>
      </c>
      <c r="D2" t="str">
        <f t="shared" ref="D2:I2" si="0">"l"</f>
        <v>l</v>
      </c>
      <c r="E2" t="str">
        <f t="shared" si="0"/>
        <v>l</v>
      </c>
      <c r="F2" t="str">
        <f t="shared" si="0"/>
        <v>l</v>
      </c>
      <c r="G2" t="str">
        <f t="shared" si="0"/>
        <v>l</v>
      </c>
      <c r="H2" t="str">
        <f t="shared" si="0"/>
        <v>l</v>
      </c>
      <c r="I2" t="str">
        <f t="shared" si="0"/>
        <v>l</v>
      </c>
      <c r="J2" t="str">
        <f>"理"</f>
        <v>理</v>
      </c>
      <c r="K2" t="str">
        <f>""</f>
        <v/>
      </c>
    </row>
    <row r="3" spans="1:11">
      <c r="A3" t="str">
        <f>"2"</f>
        <v>2</v>
      </c>
      <c r="B3" t="str">
        <f>"ㄅ"</f>
        <v>ㄅ</v>
      </c>
      <c r="C3" t="str">
        <f>"邊"</f>
        <v>邊</v>
      </c>
      <c r="D3" t="str">
        <f>"p"</f>
        <v>p</v>
      </c>
      <c r="E3" t="str">
        <f>"p"</f>
        <v>p</v>
      </c>
      <c r="F3" t="str">
        <f>"p"</f>
        <v>p</v>
      </c>
      <c r="G3" t="str">
        <f>"b"</f>
        <v>b</v>
      </c>
      <c r="H3" t="str">
        <f>"b"</f>
        <v>b</v>
      </c>
      <c r="I3" t="str">
        <f>"p"</f>
        <v>p</v>
      </c>
      <c r="J3" t="str">
        <f>"比"</f>
        <v>比</v>
      </c>
      <c r="K3" t="str">
        <f>""</f>
        <v/>
      </c>
    </row>
    <row r="4" spans="1:11">
      <c r="A4" t="str">
        <f>"3"</f>
        <v>3</v>
      </c>
      <c r="B4" t="str">
        <f>"ㄍ"</f>
        <v>ㄍ</v>
      </c>
      <c r="C4" t="str">
        <f>"求"</f>
        <v>求</v>
      </c>
      <c r="D4" t="str">
        <f>"k"</f>
        <v>k</v>
      </c>
      <c r="E4" t="str">
        <f>"k"</f>
        <v>k</v>
      </c>
      <c r="F4" t="str">
        <f>"k"</f>
        <v>k</v>
      </c>
      <c r="G4" t="str">
        <f>"g"</f>
        <v>g</v>
      </c>
      <c r="H4" t="str">
        <f>"g"</f>
        <v>g</v>
      </c>
      <c r="I4" t="str">
        <f>"k"</f>
        <v>k</v>
      </c>
      <c r="J4" t="str">
        <f>"己"</f>
        <v>己</v>
      </c>
      <c r="K4" t="str">
        <f>""</f>
        <v/>
      </c>
    </row>
    <row r="5" spans="1:11">
      <c r="A5" t="str">
        <f>"4"</f>
        <v>4</v>
      </c>
      <c r="B5" t="str">
        <f>"ㄎ"</f>
        <v>ㄎ</v>
      </c>
      <c r="C5" t="str">
        <f>"去"</f>
        <v>去</v>
      </c>
      <c r="D5" t="str">
        <f>"kʰ"</f>
        <v>kʰ</v>
      </c>
      <c r="E5" t="str">
        <f>"kh"</f>
        <v>kh</v>
      </c>
      <c r="F5" t="str">
        <f>"kh"</f>
        <v>kh</v>
      </c>
      <c r="G5" t="str">
        <f>"k"</f>
        <v>k</v>
      </c>
      <c r="H5" t="str">
        <f>"k"</f>
        <v>k</v>
      </c>
      <c r="I5" t="str">
        <f>"kh"</f>
        <v>kh</v>
      </c>
      <c r="J5" t="str">
        <f>"起"</f>
        <v>起</v>
      </c>
      <c r="K5" t="str">
        <f>""</f>
        <v/>
      </c>
    </row>
    <row r="6" spans="1:11">
      <c r="A6" t="str">
        <f>"5"</f>
        <v>5</v>
      </c>
      <c r="B6" t="str">
        <f>"ㄉ"</f>
        <v>ㄉ</v>
      </c>
      <c r="C6" t="str">
        <f>"地"</f>
        <v>地</v>
      </c>
      <c r="D6" t="str">
        <f>"t"</f>
        <v>t</v>
      </c>
      <c r="E6" t="str">
        <f>"t"</f>
        <v>t</v>
      </c>
      <c r="F6" t="str">
        <f>"t"</f>
        <v>t</v>
      </c>
      <c r="G6" t="str">
        <f>"d"</f>
        <v>d</v>
      </c>
      <c r="H6" t="str">
        <f>"d"</f>
        <v>d</v>
      </c>
      <c r="I6" t="str">
        <f>"t"</f>
        <v>t</v>
      </c>
      <c r="J6" t="str">
        <f>"底"</f>
        <v>底</v>
      </c>
      <c r="K6" t="str">
        <f>""</f>
        <v/>
      </c>
    </row>
    <row r="7" spans="1:11">
      <c r="A7" t="str">
        <f>"6"</f>
        <v>6</v>
      </c>
      <c r="B7" t="str">
        <f>"ㄆ"</f>
        <v>ㄆ</v>
      </c>
      <c r="C7" t="str">
        <f>"頗"</f>
        <v>頗</v>
      </c>
      <c r="D7" t="str">
        <f>"pʰ"</f>
        <v>pʰ</v>
      </c>
      <c r="E7" t="str">
        <f>"ph"</f>
        <v>ph</v>
      </c>
      <c r="F7" t="str">
        <f>"ph"</f>
        <v>ph</v>
      </c>
      <c r="G7" t="str">
        <f>"p"</f>
        <v>p</v>
      </c>
      <c r="H7" t="str">
        <f>"p"</f>
        <v>p</v>
      </c>
      <c r="I7" t="str">
        <f>"ph"</f>
        <v>ph</v>
      </c>
      <c r="J7" t="str">
        <f>"鄙"</f>
        <v>鄙</v>
      </c>
      <c r="K7" t="str">
        <f>""</f>
        <v/>
      </c>
    </row>
    <row r="8" spans="1:11">
      <c r="A8" t="str">
        <f>"7"</f>
        <v>7</v>
      </c>
      <c r="B8" t="str">
        <f>"ㄊ"</f>
        <v>ㄊ</v>
      </c>
      <c r="C8" t="str">
        <f>"他"</f>
        <v>他</v>
      </c>
      <c r="D8" t="str">
        <f>"tʰ"</f>
        <v>tʰ</v>
      </c>
      <c r="E8" t="str">
        <f>"th"</f>
        <v>th</v>
      </c>
      <c r="F8" t="str">
        <f>"th"</f>
        <v>th</v>
      </c>
      <c r="G8" t="str">
        <f>"t"</f>
        <v>t</v>
      </c>
      <c r="H8" t="str">
        <f>"t"</f>
        <v>t</v>
      </c>
      <c r="I8" t="str">
        <f>"th"</f>
        <v>th</v>
      </c>
      <c r="J8" t="str">
        <f>"恥"</f>
        <v>恥</v>
      </c>
      <c r="K8" t="str">
        <f>""</f>
        <v/>
      </c>
    </row>
    <row r="9" spans="1:11">
      <c r="A9" t="str">
        <f>"8"</f>
        <v>8</v>
      </c>
      <c r="B9" t="str">
        <f>"ㄗ"</f>
        <v>ㄗ</v>
      </c>
      <c r="C9" t="str">
        <f>"曾"</f>
        <v>曾</v>
      </c>
      <c r="D9" t="str">
        <f>"ʦ"</f>
        <v>ʦ</v>
      </c>
      <c r="E9" t="str">
        <f>"z"</f>
        <v>z</v>
      </c>
      <c r="F9" t="str">
        <f>"ts"</f>
        <v>ts</v>
      </c>
      <c r="G9" t="str">
        <f>"z"</f>
        <v>z</v>
      </c>
      <c r="H9" t="str">
        <f>"z"</f>
        <v>z</v>
      </c>
      <c r="I9" t="str">
        <f>"ch"</f>
        <v>ch</v>
      </c>
      <c r="J9" t="str">
        <f>"阻"</f>
        <v>阻</v>
      </c>
      <c r="K9" t="str">
        <f>""</f>
        <v/>
      </c>
    </row>
    <row r="10" spans="1:11">
      <c r="A10" t="str">
        <f>"9"</f>
        <v>9</v>
      </c>
      <c r="B10" t="str">
        <f>"ㆡ"</f>
        <v>ㆡ</v>
      </c>
      <c r="C10" t="str">
        <f>"入"</f>
        <v>入</v>
      </c>
      <c r="D10" t="str">
        <f>"ʣ"</f>
        <v>ʣ</v>
      </c>
      <c r="E10" t="str">
        <f>"j"</f>
        <v>j</v>
      </c>
      <c r="F10" t="str">
        <f>"j"</f>
        <v>j</v>
      </c>
      <c r="G10" t="str">
        <f>"zz"</f>
        <v>zz</v>
      </c>
      <c r="H10" t="str">
        <f>"zz"</f>
        <v>zz</v>
      </c>
      <c r="I10" t="str">
        <f>"j"</f>
        <v>j</v>
      </c>
      <c r="J10" t="str">
        <f>"熱"</f>
        <v>熱</v>
      </c>
      <c r="K10" t="str">
        <f>""</f>
        <v/>
      </c>
    </row>
    <row r="11" spans="1:11">
      <c r="A11" t="str">
        <f>"10"</f>
        <v>10</v>
      </c>
      <c r="B11" t="str">
        <f>"ㄙ"</f>
        <v>ㄙ</v>
      </c>
      <c r="C11" t="str">
        <f>"時"</f>
        <v>時</v>
      </c>
      <c r="D11" t="str">
        <f t="shared" ref="D11:I11" si="1">"s"</f>
        <v>s</v>
      </c>
      <c r="E11" t="str">
        <f t="shared" si="1"/>
        <v>s</v>
      </c>
      <c r="F11" t="str">
        <f t="shared" si="1"/>
        <v>s</v>
      </c>
      <c r="G11" t="str">
        <f t="shared" si="1"/>
        <v>s</v>
      </c>
      <c r="H11" t="str">
        <f t="shared" si="1"/>
        <v>s</v>
      </c>
      <c r="I11" t="str">
        <f t="shared" si="1"/>
        <v>s</v>
      </c>
      <c r="J11" t="str">
        <f>"詞"</f>
        <v>詞</v>
      </c>
      <c r="K11" t="str">
        <f>""</f>
        <v/>
      </c>
    </row>
    <row r="12" spans="1:11">
      <c r="A12" t="str">
        <f>"11"</f>
        <v>11</v>
      </c>
      <c r="B12" t="str">
        <f>"Ø"</f>
        <v>Ø</v>
      </c>
      <c r="C12" t="str">
        <f>"英"</f>
        <v>英</v>
      </c>
      <c r="D12" t="str">
        <f>"ʔ"</f>
        <v>ʔ</v>
      </c>
      <c r="E12" t="str">
        <f>"Ø"</f>
        <v>Ø</v>
      </c>
      <c r="F12" t="str">
        <f>"Ø"</f>
        <v>Ø</v>
      </c>
      <c r="G12" t="str">
        <f>"Ø"</f>
        <v>Ø</v>
      </c>
      <c r="H12" t="str">
        <f>"Ø"</f>
        <v>Ø</v>
      </c>
      <c r="I12" t="str">
        <f>"Ø"</f>
        <v>Ø</v>
      </c>
      <c r="J12" t="str">
        <f>"以"</f>
        <v>以</v>
      </c>
      <c r="K12" t="str">
        <f>""</f>
        <v/>
      </c>
    </row>
    <row r="13" spans="1:11">
      <c r="A13" t="str">
        <f>"12"</f>
        <v>12</v>
      </c>
      <c r="B13" t="str">
        <f>"ㆠ"</f>
        <v>ㆠ</v>
      </c>
      <c r="C13" t="str">
        <f>"門"</f>
        <v>門</v>
      </c>
      <c r="D13" t="str">
        <f>"b"</f>
        <v>b</v>
      </c>
      <c r="E13" t="str">
        <f>"b"</f>
        <v>b</v>
      </c>
      <c r="F13" t="str">
        <f>"b"</f>
        <v>b</v>
      </c>
      <c r="G13" t="str">
        <f>"bb"</f>
        <v>bb</v>
      </c>
      <c r="H13" t="str">
        <f>"bb"</f>
        <v>bb</v>
      </c>
      <c r="I13" t="str">
        <f>"b"</f>
        <v>b</v>
      </c>
      <c r="J13" t="str">
        <f>"美"</f>
        <v>美</v>
      </c>
      <c r="K13" t="str">
        <f>""</f>
        <v/>
      </c>
    </row>
    <row r="14" spans="1:11">
      <c r="A14" t="str">
        <f>"13"</f>
        <v>13</v>
      </c>
      <c r="B14" t="str">
        <f>"ㆣ"</f>
        <v>ㆣ</v>
      </c>
      <c r="C14" t="str">
        <f>"語"</f>
        <v>語</v>
      </c>
      <c r="D14" t="str">
        <f>"ɡ"</f>
        <v>ɡ</v>
      </c>
      <c r="E14" t="str">
        <f>"g"</f>
        <v>g</v>
      </c>
      <c r="F14" t="str">
        <f>"g"</f>
        <v>g</v>
      </c>
      <c r="G14" t="str">
        <f>"gg"</f>
        <v>gg</v>
      </c>
      <c r="H14" t="str">
        <f>"gg"</f>
        <v>gg</v>
      </c>
      <c r="I14" t="str">
        <f>"g"</f>
        <v>g</v>
      </c>
      <c r="J14" t="str">
        <f>"禦"</f>
        <v>禦</v>
      </c>
      <c r="K14" t="str">
        <f>""</f>
        <v/>
      </c>
    </row>
    <row r="15" spans="1:11">
      <c r="A15" t="str">
        <f>"14"</f>
        <v>14</v>
      </c>
      <c r="B15" t="str">
        <f>"ㄘ"</f>
        <v>ㄘ</v>
      </c>
      <c r="C15" t="str">
        <f>"出"</f>
        <v>出</v>
      </c>
      <c r="D15" t="str">
        <f>"ʦʰ"</f>
        <v>ʦʰ</v>
      </c>
      <c r="E15" t="str">
        <f>"c"</f>
        <v>c</v>
      </c>
      <c r="F15" t="str">
        <f>"tsh"</f>
        <v>tsh</v>
      </c>
      <c r="G15" t="str">
        <f>"c"</f>
        <v>c</v>
      </c>
      <c r="H15" t="str">
        <f>"c"</f>
        <v>c</v>
      </c>
      <c r="I15" t="str">
        <f>"chh"</f>
        <v>chh</v>
      </c>
      <c r="J15" t="str">
        <f>"取"</f>
        <v>取</v>
      </c>
      <c r="K15" t="str">
        <f>""</f>
        <v/>
      </c>
    </row>
    <row r="16" spans="1:11">
      <c r="A16" t="str">
        <f>"15"</f>
        <v>15</v>
      </c>
      <c r="B16" t="str">
        <f>"ㄏ"</f>
        <v>ㄏ</v>
      </c>
      <c r="C16" t="str">
        <f>"喜"</f>
        <v>喜</v>
      </c>
      <c r="D16" t="str">
        <f t="shared" ref="D16:I16" si="2">"h"</f>
        <v>h</v>
      </c>
      <c r="E16" t="str">
        <f t="shared" si="2"/>
        <v>h</v>
      </c>
      <c r="F16" t="str">
        <f t="shared" si="2"/>
        <v>h</v>
      </c>
      <c r="G16" t="str">
        <f t="shared" si="2"/>
        <v>h</v>
      </c>
      <c r="H16" t="str">
        <f t="shared" si="2"/>
        <v>h</v>
      </c>
      <c r="I16" t="str">
        <f t="shared" si="2"/>
        <v>h</v>
      </c>
      <c r="J16" t="str">
        <f>"喜"</f>
        <v>喜</v>
      </c>
      <c r="K16" t="str">
        <f>""</f>
        <v/>
      </c>
    </row>
    <row r="17" spans="1:11">
      <c r="A17" t="str">
        <f>"16"</f>
        <v>16</v>
      </c>
      <c r="B17" t="str">
        <f>"ㄇ"</f>
        <v>ㄇ</v>
      </c>
      <c r="C17" t="str">
        <f>"毛"</f>
        <v>毛</v>
      </c>
      <c r="D17" t="str">
        <f>"m"</f>
        <v>m</v>
      </c>
      <c r="E17" t="str">
        <f>"m"</f>
        <v>m</v>
      </c>
      <c r="F17" t="str">
        <f>"m"</f>
        <v>m</v>
      </c>
      <c r="G17" t="str">
        <f>"m"</f>
        <v>m</v>
      </c>
      <c r="H17" t="str">
        <f>"bbn"</f>
        <v>bbn</v>
      </c>
      <c r="I17" t="str">
        <f>"m"</f>
        <v>m</v>
      </c>
      <c r="J17" t="str">
        <f>"毛"</f>
        <v>毛</v>
      </c>
      <c r="K17" t="str">
        <f>"b/m 本不分，此處分門/毛"</f>
        <v>b/m 本不分，此處分門/毛</v>
      </c>
    </row>
    <row r="18" spans="1:11">
      <c r="A18" t="str">
        <f>"17"</f>
        <v>17</v>
      </c>
      <c r="B18" t="str">
        <f>"ㄋ"</f>
        <v>ㄋ</v>
      </c>
      <c r="C18" t="str">
        <f>"耐"</f>
        <v>耐</v>
      </c>
      <c r="D18" t="str">
        <f>"n"</f>
        <v>n</v>
      </c>
      <c r="E18" t="str">
        <f>"n"</f>
        <v>n</v>
      </c>
      <c r="F18" t="str">
        <f>"n"</f>
        <v>n</v>
      </c>
      <c r="G18" t="str">
        <f>"n"</f>
        <v>n</v>
      </c>
      <c r="H18" t="str">
        <f>"ln"</f>
        <v>ln</v>
      </c>
      <c r="I18" t="str">
        <f>"n"</f>
        <v>n</v>
      </c>
      <c r="J18" t="str">
        <f>"耐"</f>
        <v>耐</v>
      </c>
      <c r="K18" t="str">
        <f>"l/n 本不分，此處分柳/耐"</f>
        <v>l/n 本不分，此處分柳/耐</v>
      </c>
    </row>
    <row r="19" spans="1:11">
      <c r="A19" t="str">
        <f>"18"</f>
        <v>18</v>
      </c>
      <c r="B19" t="str">
        <f>"ㄫ"</f>
        <v>ㄫ</v>
      </c>
      <c r="C19" t="str">
        <f>"雅"</f>
        <v>雅</v>
      </c>
      <c r="D19" t="str">
        <f>"ŋ"</f>
        <v>ŋ</v>
      </c>
      <c r="E19" t="str">
        <f>"ng"</f>
        <v>ng</v>
      </c>
      <c r="F19" t="str">
        <f>"ng"</f>
        <v>ng</v>
      </c>
      <c r="G19" t="str">
        <f>"ng"</f>
        <v>ng</v>
      </c>
      <c r="H19" t="str">
        <f>"ggn"</f>
        <v>ggn</v>
      </c>
      <c r="I19" t="str">
        <f>"ng"</f>
        <v>ng</v>
      </c>
      <c r="J19" t="str">
        <f>"雅"</f>
        <v>雅</v>
      </c>
      <c r="K19" t="str">
        <f>"g/ng 本不分，此處分語/雅"</f>
        <v>g/ng 本不分，此處分語/雅</v>
      </c>
    </row>
    <row r="20" spans="1:11">
      <c r="A20" t="str">
        <f>"19"</f>
        <v>19</v>
      </c>
      <c r="B20" t="str">
        <f>"ㆢ"</f>
        <v>ㆢ</v>
      </c>
      <c r="C20" t="str">
        <f>"入"</f>
        <v>入</v>
      </c>
      <c r="D20" t="str">
        <f>"ʥ"</f>
        <v>ʥ</v>
      </c>
      <c r="E20" t="str">
        <f>"ji"</f>
        <v>ji</v>
      </c>
      <c r="F20" t="str">
        <f>"ji"</f>
        <v>ji</v>
      </c>
      <c r="G20" t="str">
        <f>"jji"</f>
        <v>jji</v>
      </c>
      <c r="H20" t="str">
        <f>"zzi"</f>
        <v>zzi</v>
      </c>
      <c r="I20" t="str">
        <f>"ji"</f>
        <v>ji</v>
      </c>
      <c r="J20" t="str">
        <f>"熱"</f>
        <v>熱</v>
      </c>
      <c r="K20" t="str">
        <f>"ㆢ = ㆡㄧ"</f>
        <v>ㆢ = ㆡㄧ</v>
      </c>
    </row>
    <row r="21" spans="1:11">
      <c r="A21" t="str">
        <f>"20"</f>
        <v>20</v>
      </c>
      <c r="B21" t="str">
        <f>"ㄐ"</f>
        <v>ㄐ</v>
      </c>
      <c r="C21" t="str">
        <f>"曾"</f>
        <v>曾</v>
      </c>
      <c r="D21" t="str">
        <f>"ʨ"</f>
        <v>ʨ</v>
      </c>
      <c r="E21" t="str">
        <f>"zi"</f>
        <v>zi</v>
      </c>
      <c r="F21" t="str">
        <f>"tsi"</f>
        <v>tsi</v>
      </c>
      <c r="G21" t="str">
        <f>"ji"</f>
        <v>ji</v>
      </c>
      <c r="H21" t="str">
        <f>"zi"</f>
        <v>zi</v>
      </c>
      <c r="I21" t="str">
        <f>"chi"</f>
        <v>chi</v>
      </c>
      <c r="J21" t="str">
        <f>"止"</f>
        <v>止</v>
      </c>
      <c r="K21" t="str">
        <f>"ㄐ = ㄗㄧ"</f>
        <v>ㄐ = ㄗㄧ</v>
      </c>
    </row>
    <row r="22" spans="1:11">
      <c r="A22" t="str">
        <f>"21"</f>
        <v>21</v>
      </c>
      <c r="B22" t="str">
        <f>"ㄑ"</f>
        <v>ㄑ</v>
      </c>
      <c r="C22" t="str">
        <f>"出"</f>
        <v>出</v>
      </c>
      <c r="D22" t="str">
        <f>"ʨʰ"</f>
        <v>ʨʰ</v>
      </c>
      <c r="E22" t="str">
        <f>"ci"</f>
        <v>ci</v>
      </c>
      <c r="F22" t="str">
        <f>"tshi"</f>
        <v>tshi</v>
      </c>
      <c r="G22" t="str">
        <f>"chi"</f>
        <v>chi</v>
      </c>
      <c r="H22" t="str">
        <f>"ci"</f>
        <v>ci</v>
      </c>
      <c r="I22" t="str">
        <f>"chhi"</f>
        <v>chhi</v>
      </c>
      <c r="J22" t="str">
        <f>"測"</f>
        <v>測</v>
      </c>
      <c r="K22" t="str">
        <f>"ㄑ = ㄘㄧ"</f>
        <v>ㄑ = ㄘㄧ</v>
      </c>
    </row>
    <row r="23" spans="1:11">
      <c r="A23" t="str">
        <f>"22"</f>
        <v>22</v>
      </c>
      <c r="B23" t="str">
        <f>"ㄒ"</f>
        <v>ㄒ</v>
      </c>
      <c r="C23" t="str">
        <f>"時"</f>
        <v>時</v>
      </c>
      <c r="D23" t="str">
        <f>"ɕ"</f>
        <v>ɕ</v>
      </c>
      <c r="E23" t="str">
        <f>"si"</f>
        <v>si</v>
      </c>
      <c r="F23" t="str">
        <f>"si"</f>
        <v>si</v>
      </c>
      <c r="G23" t="str">
        <f>"shi"</f>
        <v>shi</v>
      </c>
      <c r="H23" t="str">
        <f>"si"</f>
        <v>si</v>
      </c>
      <c r="I23" t="str">
        <f>"si"</f>
        <v>si</v>
      </c>
      <c r="J23" t="str">
        <f>"惜"</f>
        <v>惜</v>
      </c>
      <c r="K23" t="str">
        <f>"ㄒ = ㄙㄧ"</f>
        <v>ㄒ = ㄙㄧ</v>
      </c>
    </row>
  </sheetData>
  <phoneticPr fontId="4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86" hidden="1" customWidth="1" outlineLevel="1"/>
    <col min="4" max="4" width="8.6640625" collapsed="1"/>
    <col min="6" max="6" width="0" style="86" hidden="1" customWidth="1" outlineLevel="1"/>
    <col min="7" max="7" width="8.6640625" collapsed="1"/>
  </cols>
  <sheetData>
    <row r="1" spans="1:25" ht="26.25" thickBot="1"/>
    <row r="2" spans="1:25" ht="26.25" thickBot="1">
      <c r="B2" s="77" t="s">
        <v>937</v>
      </c>
      <c r="C2" s="87"/>
      <c r="D2" s="80" t="s">
        <v>1083</v>
      </c>
      <c r="E2" s="80"/>
      <c r="F2" s="87"/>
      <c r="G2" s="80" t="s">
        <v>878</v>
      </c>
      <c r="H2" s="80"/>
      <c r="I2" s="80" t="s">
        <v>1237</v>
      </c>
      <c r="J2" s="80"/>
      <c r="K2" s="80" t="s">
        <v>759</v>
      </c>
      <c r="L2" s="80"/>
      <c r="M2" s="81"/>
      <c r="N2" s="81"/>
      <c r="O2" s="81"/>
      <c r="P2" s="81"/>
      <c r="Q2" s="81"/>
      <c r="R2" s="81"/>
      <c r="S2" s="20" t="s">
        <v>1136</v>
      </c>
      <c r="T2" s="20" t="s">
        <v>1118</v>
      </c>
      <c r="U2" s="20" t="s">
        <v>1119</v>
      </c>
      <c r="V2" s="20"/>
      <c r="W2" s="20" t="s">
        <v>1120</v>
      </c>
      <c r="X2" t="s">
        <v>1118</v>
      </c>
      <c r="Y2" t="s">
        <v>1119</v>
      </c>
    </row>
    <row r="3" spans="1:25" ht="33.75" thickBot="1">
      <c r="A3">
        <f xml:space="preserve"> ROW() - 2</f>
        <v>1</v>
      </c>
      <c r="B3" s="90" t="s">
        <v>15</v>
      </c>
      <c r="C3" s="88" t="s">
        <v>960</v>
      </c>
      <c r="D3" s="84" t="s">
        <v>14</v>
      </c>
      <c r="E3" s="84" t="s">
        <v>22</v>
      </c>
      <c r="F3" s="88" t="s">
        <v>14</v>
      </c>
      <c r="G3" s="84" t="s">
        <v>14</v>
      </c>
      <c r="H3" s="84" t="s">
        <v>22</v>
      </c>
      <c r="I3" s="84" t="s">
        <v>14</v>
      </c>
      <c r="J3" s="84" t="s">
        <v>22</v>
      </c>
      <c r="K3" s="84" t="s">
        <v>14</v>
      </c>
      <c r="L3" s="84" t="s">
        <v>22</v>
      </c>
      <c r="M3" s="82"/>
      <c r="N3" s="83" t="str">
        <f t="shared" ref="N3:N52" si="0" xml:space="preserve"> Q3 &amp; T3 &amp; X3</f>
        <v/>
      </c>
      <c r="O3" s="83" t="str">
        <f xml:space="preserve"> U3 &amp; Y3</f>
        <v/>
      </c>
      <c r="P3" s="83"/>
      <c r="Q3" s="82"/>
      <c r="R3" s="82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0" t="s">
        <v>28</v>
      </c>
      <c r="C4" s="88" t="s">
        <v>961</v>
      </c>
      <c r="D4" s="84" t="s">
        <v>27</v>
      </c>
      <c r="E4" s="84" t="s">
        <v>34</v>
      </c>
      <c r="F4" s="88" t="s">
        <v>1137</v>
      </c>
      <c r="G4" s="84" t="s">
        <v>1162</v>
      </c>
      <c r="H4" s="84" t="s">
        <v>1163</v>
      </c>
      <c r="I4" s="84" t="s">
        <v>1177</v>
      </c>
      <c r="J4" s="84" t="s">
        <v>1178</v>
      </c>
      <c r="K4" s="84" t="s">
        <v>1177</v>
      </c>
      <c r="L4" s="84" t="s">
        <v>1178</v>
      </c>
      <c r="M4" s="82"/>
      <c r="N4" s="83" t="str">
        <f t="shared" si="0"/>
        <v>ian</v>
      </c>
      <c r="O4" s="83" t="str">
        <f t="shared" ref="O4:O52" si="3" xml:space="preserve"> U4 &amp; Y4</f>
        <v>iat̚</v>
      </c>
      <c r="P4" s="83"/>
      <c r="Q4" s="83" t="str">
        <f xml:space="preserve"> IF( AND(S4="", W4=""), F4, "")</f>
        <v/>
      </c>
      <c r="R4" s="82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0" t="s">
        <v>39</v>
      </c>
      <c r="C5" s="88" t="s">
        <v>962</v>
      </c>
      <c r="D5" s="84" t="s">
        <v>38</v>
      </c>
      <c r="E5" s="84" t="s">
        <v>46</v>
      </c>
      <c r="F5" s="88" t="s">
        <v>1138</v>
      </c>
      <c r="G5" s="84" t="s">
        <v>38</v>
      </c>
      <c r="H5" s="84" t="s">
        <v>44</v>
      </c>
      <c r="I5" s="84" t="s">
        <v>38</v>
      </c>
      <c r="J5" s="84" t="s">
        <v>1179</v>
      </c>
      <c r="K5" s="84" t="s">
        <v>38</v>
      </c>
      <c r="L5" s="84" t="s">
        <v>1179</v>
      </c>
      <c r="M5" s="82"/>
      <c r="N5" s="83" t="str">
        <f t="shared" si="0"/>
        <v>im</v>
      </c>
      <c r="O5" s="83" t="str">
        <f t="shared" si="3"/>
        <v>ip̚</v>
      </c>
      <c r="P5" s="83"/>
      <c r="Q5" s="83" t="str">
        <f t="shared" ref="Q5:Q52" si="7" xml:space="preserve"> IF( AND(S5="", W5=""), F5, "")</f>
        <v/>
      </c>
      <c r="R5" s="82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0" t="s">
        <v>51</v>
      </c>
      <c r="C6" s="88" t="s">
        <v>50</v>
      </c>
      <c r="D6" s="84" t="s">
        <v>50</v>
      </c>
      <c r="E6" s="89" t="s">
        <v>637</v>
      </c>
      <c r="F6" s="88" t="s">
        <v>50</v>
      </c>
      <c r="G6" s="84" t="s">
        <v>50</v>
      </c>
      <c r="H6" s="89" t="s">
        <v>637</v>
      </c>
      <c r="I6" s="84" t="s">
        <v>50</v>
      </c>
      <c r="J6" s="89" t="s">
        <v>637</v>
      </c>
      <c r="K6" s="84" t="s">
        <v>50</v>
      </c>
      <c r="L6" s="89" t="s">
        <v>637</v>
      </c>
      <c r="M6" s="82"/>
      <c r="N6" s="83" t="str">
        <f t="shared" si="0"/>
        <v>ui</v>
      </c>
      <c r="O6" s="83" t="str">
        <f t="shared" si="3"/>
        <v/>
      </c>
      <c r="P6" s="83"/>
      <c r="Q6" s="83" t="str">
        <f t="shared" si="7"/>
        <v>ui</v>
      </c>
      <c r="R6" s="83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0" t="s">
        <v>57</v>
      </c>
      <c r="C7" s="88" t="s">
        <v>1084</v>
      </c>
      <c r="D7" s="84" t="s">
        <v>56</v>
      </c>
      <c r="E7" s="84" t="s">
        <v>893</v>
      </c>
      <c r="F7" s="88" t="s">
        <v>1084</v>
      </c>
      <c r="G7" s="84" t="s">
        <v>56</v>
      </c>
      <c r="H7" s="84" t="s">
        <v>893</v>
      </c>
      <c r="I7" s="84" t="s">
        <v>1181</v>
      </c>
      <c r="J7" s="84" t="s">
        <v>1180</v>
      </c>
      <c r="K7" s="84" t="s">
        <v>1239</v>
      </c>
      <c r="L7" s="84" t="s">
        <v>1238</v>
      </c>
      <c r="M7" s="82"/>
      <c r="N7" s="83" t="str">
        <f t="shared" si="0"/>
        <v>ɛ</v>
      </c>
      <c r="O7" s="83" t="str">
        <f t="shared" si="3"/>
        <v>ɛʔ</v>
      </c>
      <c r="P7" s="83"/>
      <c r="Q7" s="83" t="str">
        <f t="shared" si="7"/>
        <v/>
      </c>
      <c r="R7" s="82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0" t="s">
        <v>1254</v>
      </c>
      <c r="C8" s="88" t="s">
        <v>964</v>
      </c>
      <c r="D8" s="84" t="s">
        <v>69</v>
      </c>
      <c r="E8" s="84" t="s">
        <v>77</v>
      </c>
      <c r="F8" s="88" t="s">
        <v>1139</v>
      </c>
      <c r="G8" s="84" t="s">
        <v>69</v>
      </c>
      <c r="H8" s="84" t="s">
        <v>75</v>
      </c>
      <c r="I8" s="84" t="s">
        <v>1182</v>
      </c>
      <c r="J8" s="84" t="s">
        <v>1183</v>
      </c>
      <c r="K8" s="84" t="s">
        <v>1182</v>
      </c>
      <c r="L8" s="84" t="s">
        <v>1183</v>
      </c>
      <c r="M8" s="82"/>
      <c r="N8" s="83" t="str">
        <f t="shared" si="0"/>
        <v>an</v>
      </c>
      <c r="O8" s="83" t="str">
        <f t="shared" si="3"/>
        <v>at̚</v>
      </c>
      <c r="P8" s="83"/>
      <c r="Q8" s="83" t="str">
        <f t="shared" si="7"/>
        <v/>
      </c>
      <c r="R8" s="82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0" t="s">
        <v>82</v>
      </c>
      <c r="C9" s="88" t="s">
        <v>1085</v>
      </c>
      <c r="D9" s="84" t="s">
        <v>81</v>
      </c>
      <c r="E9" s="84" t="s">
        <v>853</v>
      </c>
      <c r="F9" s="88" t="s">
        <v>1140</v>
      </c>
      <c r="G9" s="84" t="s">
        <v>81</v>
      </c>
      <c r="H9" s="84" t="s">
        <v>88</v>
      </c>
      <c r="I9" s="84" t="s">
        <v>1186</v>
      </c>
      <c r="J9" s="84" t="s">
        <v>1185</v>
      </c>
      <c r="K9" s="84" t="s">
        <v>1186</v>
      </c>
      <c r="L9" s="84" t="s">
        <v>1185</v>
      </c>
      <c r="M9" s="82"/>
      <c r="N9" s="83" t="str">
        <f t="shared" si="0"/>
        <v>on</v>
      </c>
      <c r="O9" s="83" t="str">
        <f t="shared" si="3"/>
        <v>ok̚</v>
      </c>
      <c r="P9" s="83"/>
      <c r="Q9" s="83" t="str">
        <f t="shared" si="7"/>
        <v/>
      </c>
      <c r="R9" s="82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0" t="s">
        <v>95</v>
      </c>
      <c r="C10" s="88" t="s">
        <v>1086</v>
      </c>
      <c r="D10" s="84" t="s">
        <v>94</v>
      </c>
      <c r="E10" s="84" t="s">
        <v>1121</v>
      </c>
      <c r="F10" s="88" t="s">
        <v>1086</v>
      </c>
      <c r="G10" s="84" t="s">
        <v>94</v>
      </c>
      <c r="H10" s="84" t="s">
        <v>1121</v>
      </c>
      <c r="I10" s="84" t="s">
        <v>1211</v>
      </c>
      <c r="J10" s="84" t="s">
        <v>1187</v>
      </c>
      <c r="K10" s="84" t="s">
        <v>1211</v>
      </c>
      <c r="L10" s="84" t="s">
        <v>1187</v>
      </c>
      <c r="M10" s="82"/>
      <c r="N10" s="83" t="str">
        <f t="shared" si="0"/>
        <v>uai</v>
      </c>
      <c r="O10" s="83" t="str">
        <f t="shared" si="3"/>
        <v>uaiʔ</v>
      </c>
      <c r="P10" s="83"/>
      <c r="Q10" s="83" t="str">
        <f t="shared" si="7"/>
        <v/>
      </c>
      <c r="R10" s="82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0" t="s">
        <v>107</v>
      </c>
      <c r="C11" s="88" t="s">
        <v>1087</v>
      </c>
      <c r="D11" s="84" t="s">
        <v>1122</v>
      </c>
      <c r="E11" s="84" t="s">
        <v>1123</v>
      </c>
      <c r="F11" s="88" t="s">
        <v>1141</v>
      </c>
      <c r="G11" s="84" t="s">
        <v>1164</v>
      </c>
      <c r="H11" s="84" t="s">
        <v>1165</v>
      </c>
      <c r="I11" s="84" t="s">
        <v>1212</v>
      </c>
      <c r="J11" s="84" t="s">
        <v>1188</v>
      </c>
      <c r="K11" s="84" t="s">
        <v>1212</v>
      </c>
      <c r="L11" s="84" t="s">
        <v>1188</v>
      </c>
      <c r="M11" s="82"/>
      <c r="N11" s="83" t="str">
        <f t="shared" si="0"/>
        <v>in</v>
      </c>
      <c r="O11" s="83" t="str">
        <f t="shared" si="3"/>
        <v>ik̚</v>
      </c>
      <c r="P11" s="83"/>
      <c r="Q11" s="83" t="str">
        <f t="shared" si="7"/>
        <v/>
      </c>
      <c r="R11" s="82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0" t="s">
        <v>121</v>
      </c>
      <c r="C12" s="88" t="s">
        <v>968</v>
      </c>
      <c r="D12" s="84" t="s">
        <v>120</v>
      </c>
      <c r="E12" s="84" t="s">
        <v>129</v>
      </c>
      <c r="F12" s="88" t="s">
        <v>1142</v>
      </c>
      <c r="G12" s="84" t="s">
        <v>120</v>
      </c>
      <c r="H12" s="84" t="s">
        <v>127</v>
      </c>
      <c r="I12" s="84" t="s">
        <v>1213</v>
      </c>
      <c r="J12" s="84" t="s">
        <v>1189</v>
      </c>
      <c r="K12" s="84" t="s">
        <v>1213</v>
      </c>
      <c r="L12" s="84" t="s">
        <v>1189</v>
      </c>
      <c r="M12" s="82"/>
      <c r="N12" s="83" t="str">
        <f t="shared" si="0"/>
        <v>uan</v>
      </c>
      <c r="O12" s="83" t="str">
        <f t="shared" si="3"/>
        <v>uat̚</v>
      </c>
      <c r="P12" s="83"/>
      <c r="Q12" s="83" t="str">
        <f t="shared" si="7"/>
        <v/>
      </c>
      <c r="R12" s="82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0" t="s">
        <v>135</v>
      </c>
      <c r="C13" s="88" t="s">
        <v>861</v>
      </c>
      <c r="D13" s="84" t="s">
        <v>861</v>
      </c>
      <c r="E13" s="89" t="s">
        <v>637</v>
      </c>
      <c r="F13" s="88" t="s">
        <v>854</v>
      </c>
      <c r="G13" s="84" t="s">
        <v>854</v>
      </c>
      <c r="H13" s="89" t="s">
        <v>637</v>
      </c>
      <c r="I13" s="84" t="s">
        <v>136</v>
      </c>
      <c r="J13" s="89" t="s">
        <v>637</v>
      </c>
      <c r="K13" s="84" t="s">
        <v>136</v>
      </c>
      <c r="L13" s="89" t="s">
        <v>637</v>
      </c>
      <c r="M13" s="82"/>
      <c r="N13" s="83" t="str">
        <f t="shared" si="0"/>
        <v>ɔ</v>
      </c>
      <c r="O13" s="83" t="str">
        <f t="shared" si="3"/>
        <v/>
      </c>
      <c r="P13" s="83"/>
      <c r="Q13" s="83" t="str">
        <f t="shared" si="7"/>
        <v>ɔ</v>
      </c>
      <c r="R13" s="82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0" t="s">
        <v>142</v>
      </c>
      <c r="C14" s="88" t="s">
        <v>1088</v>
      </c>
      <c r="D14" s="84" t="s">
        <v>141</v>
      </c>
      <c r="E14" s="84" t="s">
        <v>784</v>
      </c>
      <c r="F14" s="88" t="s">
        <v>1143</v>
      </c>
      <c r="G14" s="84" t="s">
        <v>1166</v>
      </c>
      <c r="H14" s="84" t="s">
        <v>1167</v>
      </c>
      <c r="I14" s="84" t="s">
        <v>1214</v>
      </c>
      <c r="J14" s="84" t="s">
        <v>1190</v>
      </c>
      <c r="K14" s="84" t="s">
        <v>1241</v>
      </c>
      <c r="L14" s="84" t="s">
        <v>1240</v>
      </c>
      <c r="M14" s="82"/>
      <c r="N14" s="83" t="str">
        <f t="shared" si="0"/>
        <v>ɪaʊ</v>
      </c>
      <c r="O14" s="83" t="str">
        <f t="shared" si="3"/>
        <v>ɪaʊʔ</v>
      </c>
      <c r="P14" s="83"/>
      <c r="Q14" s="83" t="str">
        <f t="shared" si="7"/>
        <v/>
      </c>
      <c r="R14" s="82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0" t="s">
        <v>154</v>
      </c>
      <c r="C15" s="88" t="s">
        <v>153</v>
      </c>
      <c r="D15" s="84" t="s">
        <v>153</v>
      </c>
      <c r="E15" s="89" t="s">
        <v>637</v>
      </c>
      <c r="F15" s="88" t="s">
        <v>60</v>
      </c>
      <c r="G15" s="84" t="s">
        <v>60</v>
      </c>
      <c r="H15" s="89" t="s">
        <v>637</v>
      </c>
      <c r="I15" s="84" t="s">
        <v>60</v>
      </c>
      <c r="J15" s="89"/>
      <c r="K15" s="84" t="s">
        <v>60</v>
      </c>
      <c r="L15" s="89"/>
      <c r="M15" s="82"/>
      <c r="N15" s="83" t="str">
        <f t="shared" si="0"/>
        <v>e</v>
      </c>
      <c r="O15" s="83" t="str">
        <f t="shared" si="3"/>
        <v/>
      </c>
      <c r="P15" s="83"/>
      <c r="Q15" s="83" t="str">
        <f t="shared" si="7"/>
        <v>e</v>
      </c>
      <c r="R15" s="82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0" t="s">
        <v>160</v>
      </c>
      <c r="C16" s="88" t="s">
        <v>1089</v>
      </c>
      <c r="D16" s="84" t="s">
        <v>159</v>
      </c>
      <c r="E16" s="84" t="s">
        <v>1124</v>
      </c>
      <c r="F16" s="88" t="s">
        <v>1144</v>
      </c>
      <c r="G16" s="84" t="s">
        <v>1168</v>
      </c>
      <c r="H16" s="84" t="s">
        <v>1169</v>
      </c>
      <c r="I16" s="84" t="s">
        <v>1215</v>
      </c>
      <c r="J16" s="84" t="s">
        <v>1191</v>
      </c>
      <c r="K16" s="84" t="s">
        <v>1215</v>
      </c>
      <c r="L16" s="84" t="s">
        <v>1191</v>
      </c>
      <c r="M16" s="82"/>
      <c r="N16" s="83" t="str">
        <f t="shared" si="0"/>
        <v>ion</v>
      </c>
      <c r="O16" s="83" t="str">
        <f t="shared" si="3"/>
        <v>iok̚</v>
      </c>
      <c r="P16" s="83"/>
      <c r="Q16" s="83" t="str">
        <f t="shared" si="7"/>
        <v/>
      </c>
      <c r="R16" s="82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0" t="s">
        <v>172</v>
      </c>
      <c r="C17" s="88" t="s">
        <v>1090</v>
      </c>
      <c r="D17" s="84" t="s">
        <v>171</v>
      </c>
      <c r="E17" s="84" t="s">
        <v>852</v>
      </c>
      <c r="F17" s="88" t="s">
        <v>1090</v>
      </c>
      <c r="G17" s="84" t="s">
        <v>171</v>
      </c>
      <c r="H17" s="84" t="s">
        <v>852</v>
      </c>
      <c r="I17" s="84" t="s">
        <v>1216</v>
      </c>
      <c r="J17" s="84" t="s">
        <v>1192</v>
      </c>
      <c r="K17" s="84" t="s">
        <v>1216</v>
      </c>
      <c r="L17" s="84" t="s">
        <v>1192</v>
      </c>
      <c r="M17" s="82"/>
      <c r="N17" s="83" t="str">
        <f t="shared" si="0"/>
        <v>o</v>
      </c>
      <c r="O17" s="83" t="str">
        <f t="shared" si="3"/>
        <v>oʔ</v>
      </c>
      <c r="P17" s="83"/>
      <c r="Q17" s="83" t="str">
        <f t="shared" si="7"/>
        <v/>
      </c>
      <c r="R17" s="82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0" t="s">
        <v>184</v>
      </c>
      <c r="C18" s="88" t="s">
        <v>183</v>
      </c>
      <c r="D18" s="84" t="s">
        <v>183</v>
      </c>
      <c r="E18" s="89" t="s">
        <v>637</v>
      </c>
      <c r="F18" s="88" t="s">
        <v>1145</v>
      </c>
      <c r="G18" s="84" t="s">
        <v>1145</v>
      </c>
      <c r="H18" s="89" t="s">
        <v>637</v>
      </c>
      <c r="I18" s="84" t="s">
        <v>183</v>
      </c>
      <c r="J18" s="89" t="s">
        <v>637</v>
      </c>
      <c r="K18" s="84" t="s">
        <v>183</v>
      </c>
      <c r="L18" s="89" t="s">
        <v>637</v>
      </c>
      <c r="M18" s="82"/>
      <c r="N18" s="83" t="str">
        <f t="shared" si="0"/>
        <v>aɪ</v>
      </c>
      <c r="O18" s="83" t="str">
        <f t="shared" si="3"/>
        <v/>
      </c>
      <c r="P18" s="83"/>
      <c r="Q18" s="83" t="str">
        <f t="shared" si="7"/>
        <v>aɪ</v>
      </c>
      <c r="R18" s="82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0" t="s">
        <v>190</v>
      </c>
      <c r="C19" s="88" t="s">
        <v>994</v>
      </c>
      <c r="D19" s="84" t="s">
        <v>189</v>
      </c>
      <c r="E19" s="84" t="s">
        <v>197</v>
      </c>
      <c r="F19" s="88" t="s">
        <v>1146</v>
      </c>
      <c r="G19" s="84" t="s">
        <v>189</v>
      </c>
      <c r="H19" s="84" t="s">
        <v>195</v>
      </c>
      <c r="I19" s="84" t="s">
        <v>1217</v>
      </c>
      <c r="J19" s="84" t="s">
        <v>1193</v>
      </c>
      <c r="K19" s="84" t="s">
        <v>1217</v>
      </c>
      <c r="L19" s="84" t="s">
        <v>1193</v>
      </c>
      <c r="M19" s="82"/>
      <c r="N19" s="83" t="str">
        <f t="shared" si="0"/>
        <v>in</v>
      </c>
      <c r="O19" s="83" t="str">
        <f t="shared" si="3"/>
        <v>it̚</v>
      </c>
      <c r="P19" s="83"/>
      <c r="Q19" s="83" t="str">
        <f t="shared" si="7"/>
        <v/>
      </c>
      <c r="R19" s="82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0" t="s">
        <v>202</v>
      </c>
      <c r="C20" s="88" t="s">
        <v>1091</v>
      </c>
      <c r="D20" s="84" t="s">
        <v>201</v>
      </c>
      <c r="E20" s="84" t="s">
        <v>207</v>
      </c>
      <c r="F20" s="88" t="s">
        <v>1147</v>
      </c>
      <c r="G20" s="84" t="s">
        <v>1170</v>
      </c>
      <c r="H20" s="84" t="s">
        <v>1171</v>
      </c>
      <c r="I20" s="84" t="s">
        <v>1218</v>
      </c>
      <c r="J20" s="84" t="s">
        <v>1194</v>
      </c>
      <c r="K20" s="84" t="s">
        <v>1218</v>
      </c>
      <c r="L20" s="84" t="s">
        <v>1194</v>
      </c>
      <c r="M20" s="82"/>
      <c r="N20" s="83" t="str">
        <f t="shared" si="0"/>
        <v>ian</v>
      </c>
      <c r="O20" s="83" t="str">
        <f t="shared" si="3"/>
        <v>iak̚</v>
      </c>
      <c r="P20" s="83"/>
      <c r="Q20" s="83" t="str">
        <f t="shared" si="7"/>
        <v/>
      </c>
      <c r="R20" s="82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0" t="s">
        <v>212</v>
      </c>
      <c r="C21" s="88" t="s">
        <v>996</v>
      </c>
      <c r="D21" s="84" t="s">
        <v>211</v>
      </c>
      <c r="E21" s="84" t="s">
        <v>219</v>
      </c>
      <c r="F21" s="88" t="s">
        <v>1148</v>
      </c>
      <c r="G21" s="84" t="s">
        <v>211</v>
      </c>
      <c r="H21" s="84" t="s">
        <v>217</v>
      </c>
      <c r="I21" s="84" t="s">
        <v>1219</v>
      </c>
      <c r="J21" s="84" t="s">
        <v>1195</v>
      </c>
      <c r="K21" s="84" t="s">
        <v>1219</v>
      </c>
      <c r="L21" s="84" t="s">
        <v>1195</v>
      </c>
      <c r="M21" s="82"/>
      <c r="N21" s="83" t="str">
        <f t="shared" si="0"/>
        <v>am</v>
      </c>
      <c r="O21" s="83" t="str">
        <f t="shared" si="3"/>
        <v>ap̚</v>
      </c>
      <c r="P21" s="83"/>
      <c r="Q21" s="83" t="str">
        <f t="shared" si="7"/>
        <v/>
      </c>
      <c r="R21" s="82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0" t="s">
        <v>224</v>
      </c>
      <c r="C22" s="88" t="s">
        <v>1092</v>
      </c>
      <c r="D22" s="84" t="s">
        <v>223</v>
      </c>
      <c r="E22" s="84" t="s">
        <v>826</v>
      </c>
      <c r="F22" s="88" t="s">
        <v>1092</v>
      </c>
      <c r="G22" s="84" t="s">
        <v>223</v>
      </c>
      <c r="H22" s="84" t="s">
        <v>826</v>
      </c>
      <c r="I22" s="84" t="s">
        <v>1220</v>
      </c>
      <c r="J22" s="84" t="s">
        <v>1196</v>
      </c>
      <c r="K22" s="84" t="s">
        <v>1220</v>
      </c>
      <c r="L22" s="84" t="s">
        <v>1196</v>
      </c>
      <c r="M22" s="82"/>
      <c r="N22" s="83" t="str">
        <f t="shared" si="0"/>
        <v>ua</v>
      </c>
      <c r="O22" s="83" t="str">
        <f t="shared" si="3"/>
        <v>uaʔ</v>
      </c>
      <c r="P22" s="83"/>
      <c r="Q22" s="83" t="str">
        <f t="shared" si="7"/>
        <v/>
      </c>
      <c r="R22" s="82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0" t="s">
        <v>236</v>
      </c>
      <c r="C23" s="88" t="s">
        <v>1093</v>
      </c>
      <c r="D23" s="84" t="s">
        <v>235</v>
      </c>
      <c r="E23" s="84" t="s">
        <v>243</v>
      </c>
      <c r="F23" s="88" t="s">
        <v>1149</v>
      </c>
      <c r="G23" s="84" t="s">
        <v>235</v>
      </c>
      <c r="H23" s="84" t="s">
        <v>241</v>
      </c>
      <c r="I23" s="84" t="s">
        <v>1221</v>
      </c>
      <c r="J23" s="84" t="s">
        <v>1184</v>
      </c>
      <c r="K23" s="84" t="s">
        <v>1221</v>
      </c>
      <c r="L23" s="84" t="s">
        <v>1184</v>
      </c>
      <c r="M23" s="82"/>
      <c r="N23" s="83" t="str">
        <f t="shared" si="0"/>
        <v>an</v>
      </c>
      <c r="O23" s="83" t="str">
        <f t="shared" si="3"/>
        <v>ak̚</v>
      </c>
      <c r="P23" s="83"/>
      <c r="Q23" s="83" t="str">
        <f t="shared" si="7"/>
        <v/>
      </c>
      <c r="R23" s="82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0" t="s">
        <v>248</v>
      </c>
      <c r="C24" s="88" t="s">
        <v>1020</v>
      </c>
      <c r="D24" s="84" t="s">
        <v>247</v>
      </c>
      <c r="E24" s="84" t="s">
        <v>256</v>
      </c>
      <c r="F24" s="88" t="s">
        <v>1150</v>
      </c>
      <c r="G24" s="84" t="s">
        <v>247</v>
      </c>
      <c r="H24" s="84" t="s">
        <v>254</v>
      </c>
      <c r="I24" s="84" t="s">
        <v>1222</v>
      </c>
      <c r="J24" s="84" t="s">
        <v>1197</v>
      </c>
      <c r="K24" s="84" t="s">
        <v>1222</v>
      </c>
      <c r="L24" s="84" t="s">
        <v>1197</v>
      </c>
      <c r="M24" s="82"/>
      <c r="N24" s="83" t="str">
        <f t="shared" si="0"/>
        <v>iam</v>
      </c>
      <c r="O24" s="83" t="str">
        <f t="shared" si="3"/>
        <v>iap̚</v>
      </c>
      <c r="P24" s="83"/>
      <c r="Q24" s="83" t="str">
        <f t="shared" si="7"/>
        <v/>
      </c>
      <c r="R24" s="82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0" t="s">
        <v>261</v>
      </c>
      <c r="C25" s="88" t="s">
        <v>1094</v>
      </c>
      <c r="D25" s="84" t="s">
        <v>260</v>
      </c>
      <c r="E25" s="84" t="s">
        <v>798</v>
      </c>
      <c r="F25" s="88" t="s">
        <v>1151</v>
      </c>
      <c r="G25" s="84" t="s">
        <v>1172</v>
      </c>
      <c r="H25" s="84" t="s">
        <v>1173</v>
      </c>
      <c r="I25" s="84" t="s">
        <v>1223</v>
      </c>
      <c r="J25" s="84" t="s">
        <v>1198</v>
      </c>
      <c r="K25" s="84" t="s">
        <v>1243</v>
      </c>
      <c r="L25" s="84" t="s">
        <v>1242</v>
      </c>
      <c r="M25" s="82"/>
      <c r="N25" s="83" t="str">
        <f t="shared" si="0"/>
        <v>aʊ</v>
      </c>
      <c r="O25" s="83" t="str">
        <f t="shared" si="3"/>
        <v>aʊʔ</v>
      </c>
      <c r="P25" s="83"/>
      <c r="Q25" s="83" t="str">
        <f t="shared" si="7"/>
        <v/>
      </c>
      <c r="R25" s="82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0" t="s">
        <v>273</v>
      </c>
      <c r="C26" s="88" t="s">
        <v>1095</v>
      </c>
      <c r="D26" s="84" t="s">
        <v>272</v>
      </c>
      <c r="E26" s="84" t="s">
        <v>800</v>
      </c>
      <c r="F26" s="88" t="s">
        <v>1152</v>
      </c>
      <c r="G26" s="84" t="s">
        <v>1174</v>
      </c>
      <c r="H26" s="84" t="s">
        <v>1255</v>
      </c>
      <c r="I26" s="84" t="s">
        <v>1224</v>
      </c>
      <c r="J26" s="84" t="s">
        <v>1199</v>
      </c>
      <c r="K26" s="84" t="s">
        <v>1224</v>
      </c>
      <c r="L26" s="84" t="s">
        <v>1199</v>
      </c>
      <c r="M26" s="82"/>
      <c r="N26" s="83" t="str">
        <f t="shared" si="0"/>
        <v>ɪa</v>
      </c>
      <c r="O26" s="83" t="str">
        <f t="shared" si="3"/>
        <v>ɪaʔ</v>
      </c>
      <c r="P26" s="83"/>
      <c r="Q26" s="83" t="str">
        <f t="shared" si="7"/>
        <v/>
      </c>
      <c r="R26" s="82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0" t="s">
        <v>283</v>
      </c>
      <c r="C27" s="88" t="s">
        <v>1096</v>
      </c>
      <c r="D27" s="84" t="s">
        <v>282</v>
      </c>
      <c r="E27" s="84" t="s">
        <v>1125</v>
      </c>
      <c r="F27" s="88" t="s">
        <v>1153</v>
      </c>
      <c r="G27" s="84" t="s">
        <v>285</v>
      </c>
      <c r="H27" s="84" t="s">
        <v>1256</v>
      </c>
      <c r="I27" s="84" t="s">
        <v>1225</v>
      </c>
      <c r="J27" s="84" t="s">
        <v>1200</v>
      </c>
      <c r="K27" s="84" t="s">
        <v>1225</v>
      </c>
      <c r="L27" s="84" t="s">
        <v>1200</v>
      </c>
      <c r="M27" s="82"/>
      <c r="N27" s="83" t="str">
        <f t="shared" si="0"/>
        <v>ue</v>
      </c>
      <c r="O27" s="83" t="str">
        <f t="shared" si="3"/>
        <v>ue(</v>
      </c>
      <c r="P27" s="83"/>
      <c r="Q27" s="83" t="str">
        <f t="shared" si="7"/>
        <v/>
      </c>
      <c r="R27" s="82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0" t="s">
        <v>295</v>
      </c>
      <c r="C28" s="88" t="s">
        <v>1097</v>
      </c>
      <c r="D28" s="84" t="s">
        <v>1126</v>
      </c>
      <c r="E28" s="84" t="s">
        <v>813</v>
      </c>
      <c r="F28" s="88" t="s">
        <v>1097</v>
      </c>
      <c r="G28" s="84" t="s">
        <v>1126</v>
      </c>
      <c r="H28" s="84" t="s">
        <v>813</v>
      </c>
      <c r="I28" s="84" t="s">
        <v>1226</v>
      </c>
      <c r="J28" s="84" t="s">
        <v>1201</v>
      </c>
      <c r="K28" s="84" t="s">
        <v>1245</v>
      </c>
      <c r="L28" s="84" t="s">
        <v>1244</v>
      </c>
      <c r="M28" s="82"/>
      <c r="N28" s="83" t="str">
        <f t="shared" si="0"/>
        <v>ã</v>
      </c>
      <c r="O28" s="83" t="str">
        <f t="shared" si="3"/>
        <v>ãʔ</v>
      </c>
      <c r="P28" s="83"/>
      <c r="Q28" s="83" t="str">
        <f t="shared" si="7"/>
        <v/>
      </c>
      <c r="R28" s="82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0" t="s">
        <v>309</v>
      </c>
      <c r="C29" s="88" t="s">
        <v>1098</v>
      </c>
      <c r="D29" s="84" t="s">
        <v>308</v>
      </c>
      <c r="E29" s="84" t="s">
        <v>857</v>
      </c>
      <c r="F29" s="88" t="s">
        <v>1098</v>
      </c>
      <c r="G29" s="84" t="s">
        <v>308</v>
      </c>
      <c r="H29" s="84" t="s">
        <v>857</v>
      </c>
      <c r="I29" s="84" t="s">
        <v>1227</v>
      </c>
      <c r="J29" s="84" t="s">
        <v>1202</v>
      </c>
      <c r="K29" s="84" t="s">
        <v>1227</v>
      </c>
      <c r="L29" s="84" t="s">
        <v>1202</v>
      </c>
      <c r="M29" s="82"/>
      <c r="N29" s="83" t="str">
        <f t="shared" si="0"/>
        <v>u</v>
      </c>
      <c r="O29" s="83" t="str">
        <f t="shared" si="3"/>
        <v>uʔ</v>
      </c>
      <c r="P29" s="83"/>
      <c r="Q29" s="83" t="str">
        <f t="shared" si="7"/>
        <v/>
      </c>
      <c r="R29" s="82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0" t="s">
        <v>317</v>
      </c>
      <c r="C30" s="88" t="s">
        <v>1099</v>
      </c>
      <c r="D30" s="84" t="s">
        <v>316</v>
      </c>
      <c r="E30" s="84" t="s">
        <v>833</v>
      </c>
      <c r="F30" s="88" t="s">
        <v>1099</v>
      </c>
      <c r="G30" s="84" t="s">
        <v>316</v>
      </c>
      <c r="H30" s="84" t="s">
        <v>833</v>
      </c>
      <c r="I30" s="84" t="s">
        <v>1228</v>
      </c>
      <c r="J30" s="84" t="s">
        <v>777</v>
      </c>
      <c r="K30" s="84" t="s">
        <v>1228</v>
      </c>
      <c r="L30" s="84" t="s">
        <v>777</v>
      </c>
      <c r="M30" s="82"/>
      <c r="N30" s="83" t="str">
        <f t="shared" si="0"/>
        <v>a</v>
      </c>
      <c r="O30" s="83" t="str">
        <f t="shared" si="3"/>
        <v>aʔ</v>
      </c>
      <c r="P30" s="83"/>
      <c r="Q30" s="83" t="str">
        <f t="shared" si="7"/>
        <v/>
      </c>
      <c r="R30" s="82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0" t="s">
        <v>325</v>
      </c>
      <c r="C31" s="88" t="s">
        <v>1100</v>
      </c>
      <c r="D31" s="84" t="s">
        <v>324</v>
      </c>
      <c r="E31" s="84" t="s">
        <v>848</v>
      </c>
      <c r="F31" s="88" t="s">
        <v>1100</v>
      </c>
      <c r="G31" s="84" t="s">
        <v>324</v>
      </c>
      <c r="H31" s="84" t="s">
        <v>848</v>
      </c>
      <c r="I31" s="84" t="s">
        <v>1229</v>
      </c>
      <c r="J31" s="84" t="s">
        <v>1203</v>
      </c>
      <c r="K31" s="84" t="s">
        <v>1229</v>
      </c>
      <c r="L31" s="84" t="s">
        <v>1203</v>
      </c>
      <c r="M31" s="82"/>
      <c r="N31" s="83" t="str">
        <f t="shared" si="0"/>
        <v>i</v>
      </c>
      <c r="O31" s="83" t="str">
        <f t="shared" si="3"/>
        <v>iʔ</v>
      </c>
      <c r="P31" s="83"/>
      <c r="Q31" s="83" t="str">
        <f t="shared" si="7"/>
        <v/>
      </c>
      <c r="R31" s="82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0" t="s">
        <v>333</v>
      </c>
      <c r="C32" s="88" t="s">
        <v>332</v>
      </c>
      <c r="D32" s="84" t="s">
        <v>332</v>
      </c>
      <c r="E32" s="89" t="s">
        <v>637</v>
      </c>
      <c r="F32" s="88" t="s">
        <v>332</v>
      </c>
      <c r="G32" s="84" t="s">
        <v>332</v>
      </c>
      <c r="H32" s="89" t="s">
        <v>637</v>
      </c>
      <c r="I32" s="84" t="s">
        <v>332</v>
      </c>
      <c r="J32" s="89" t="s">
        <v>637</v>
      </c>
      <c r="K32" s="84" t="s">
        <v>332</v>
      </c>
      <c r="L32" s="89" t="s">
        <v>637</v>
      </c>
      <c r="M32" s="82"/>
      <c r="N32" s="83" t="str">
        <f t="shared" si="0"/>
        <v>iu</v>
      </c>
      <c r="O32" s="83" t="str">
        <f t="shared" si="3"/>
        <v/>
      </c>
      <c r="P32" s="83"/>
      <c r="Q32" s="83" t="str">
        <f t="shared" si="7"/>
        <v>iu</v>
      </c>
      <c r="R32" s="82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0" t="s">
        <v>338</v>
      </c>
      <c r="C33" s="88" t="s">
        <v>337</v>
      </c>
      <c r="D33" s="84" t="s">
        <v>337</v>
      </c>
      <c r="E33" s="89" t="s">
        <v>637</v>
      </c>
      <c r="F33" s="88" t="s">
        <v>1154</v>
      </c>
      <c r="G33" s="84" t="s">
        <v>1154</v>
      </c>
      <c r="H33" s="89" t="s">
        <v>637</v>
      </c>
      <c r="I33" s="84" t="s">
        <v>342</v>
      </c>
      <c r="J33" s="89" t="s">
        <v>637</v>
      </c>
      <c r="K33" s="84" t="s">
        <v>340</v>
      </c>
      <c r="L33" s="89" t="s">
        <v>637</v>
      </c>
      <c r="M33" s="82"/>
      <c r="N33" s="83" t="str">
        <f t="shared" si="0"/>
        <v>ẽ</v>
      </c>
      <c r="O33" s="83" t="str">
        <f t="shared" si="3"/>
        <v/>
      </c>
      <c r="P33" s="83"/>
      <c r="Q33" s="83" t="str">
        <f t="shared" si="7"/>
        <v>ẽ</v>
      </c>
      <c r="R33" s="82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0" t="s">
        <v>349</v>
      </c>
      <c r="C34" s="88" t="s">
        <v>1101</v>
      </c>
      <c r="D34" s="84" t="s">
        <v>1101</v>
      </c>
      <c r="E34" s="89" t="s">
        <v>637</v>
      </c>
      <c r="F34" s="88" t="s">
        <v>1101</v>
      </c>
      <c r="G34" s="84" t="s">
        <v>2126</v>
      </c>
      <c r="H34" s="89" t="s">
        <v>637</v>
      </c>
      <c r="I34" s="84" t="s">
        <v>353</v>
      </c>
      <c r="J34" s="89" t="s">
        <v>637</v>
      </c>
      <c r="K34" s="84" t="s">
        <v>351</v>
      </c>
      <c r="L34" s="89" t="s">
        <v>637</v>
      </c>
      <c r="M34" s="82"/>
      <c r="N34" s="83" t="str">
        <f t="shared" si="0"/>
        <v>ũĩ</v>
      </c>
      <c r="O34" s="83" t="str">
        <f t="shared" si="3"/>
        <v/>
      </c>
      <c r="P34" s="83"/>
      <c r="Q34" s="83" t="str">
        <f t="shared" si="7"/>
        <v>ũĩ</v>
      </c>
      <c r="R34" s="82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0" t="s">
        <v>358</v>
      </c>
      <c r="C35" s="88" t="s">
        <v>1102</v>
      </c>
      <c r="D35" s="84" t="s">
        <v>357</v>
      </c>
      <c r="E35" s="84" t="s">
        <v>809</v>
      </c>
      <c r="F35" s="88" t="s">
        <v>1155</v>
      </c>
      <c r="G35" s="84" t="s">
        <v>1175</v>
      </c>
      <c r="H35" s="84" t="s">
        <v>1176</v>
      </c>
      <c r="I35" s="84" t="s">
        <v>1230</v>
      </c>
      <c r="J35" s="84" t="s">
        <v>874</v>
      </c>
      <c r="K35" s="84" t="s">
        <v>1230</v>
      </c>
      <c r="L35" s="84" t="s">
        <v>874</v>
      </c>
      <c r="M35" s="82"/>
      <c r="N35" s="83" t="str">
        <f t="shared" si="0"/>
        <v>ɪo</v>
      </c>
      <c r="O35" s="83" t="str">
        <f t="shared" si="3"/>
        <v>ɪoʔ</v>
      </c>
      <c r="P35" s="83"/>
      <c r="Q35" s="83" t="str">
        <f t="shared" si="7"/>
        <v/>
      </c>
      <c r="R35" s="82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0" t="s">
        <v>368</v>
      </c>
      <c r="C36" s="88" t="s">
        <v>1103</v>
      </c>
      <c r="D36" s="84" t="s">
        <v>367</v>
      </c>
      <c r="E36" s="84" t="s">
        <v>1127</v>
      </c>
      <c r="F36" s="88" t="s">
        <v>1103</v>
      </c>
      <c r="G36" s="84" t="s">
        <v>367</v>
      </c>
      <c r="H36" s="84" t="s">
        <v>1127</v>
      </c>
      <c r="I36" s="84" t="s">
        <v>1231</v>
      </c>
      <c r="J36" s="84" t="s">
        <v>1204</v>
      </c>
      <c r="K36" s="84" t="s">
        <v>1247</v>
      </c>
      <c r="L36" s="84" t="s">
        <v>1246</v>
      </c>
      <c r="M36" s="82"/>
      <c r="N36" s="83" t="str">
        <f t="shared" si="0"/>
        <v>ĩ</v>
      </c>
      <c r="O36" s="83" t="str">
        <f t="shared" si="3"/>
        <v>ĩʔ</v>
      </c>
      <c r="P36" s="83"/>
      <c r="Q36" s="83" t="str">
        <f t="shared" si="7"/>
        <v/>
      </c>
      <c r="R36" s="82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0" t="s">
        <v>381</v>
      </c>
      <c r="C37" s="88" t="s">
        <v>1104</v>
      </c>
      <c r="D37" s="84" t="s">
        <v>1104</v>
      </c>
      <c r="E37" s="89" t="s">
        <v>637</v>
      </c>
      <c r="F37" s="88" t="s">
        <v>1156</v>
      </c>
      <c r="G37" s="84" t="s">
        <v>380</v>
      </c>
      <c r="H37" s="89" t="s">
        <v>637</v>
      </c>
      <c r="I37" s="84" t="s">
        <v>385</v>
      </c>
      <c r="J37" s="89" t="s">
        <v>637</v>
      </c>
      <c r="K37" s="84" t="s">
        <v>383</v>
      </c>
      <c r="L37" s="89" t="s">
        <v>637</v>
      </c>
      <c r="M37" s="82"/>
      <c r="N37" s="83" t="str">
        <f t="shared" si="0"/>
        <v>ĩɔ̃</v>
      </c>
      <c r="O37" s="83" t="str">
        <f t="shared" si="3"/>
        <v/>
      </c>
      <c r="P37" s="83"/>
      <c r="Q37" s="83" t="str">
        <f t="shared" si="7"/>
        <v>ĩɔ̃</v>
      </c>
      <c r="R37" s="82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0" t="s">
        <v>389</v>
      </c>
      <c r="C38" s="88" t="s">
        <v>1105</v>
      </c>
      <c r="D38" s="84" t="s">
        <v>1105</v>
      </c>
      <c r="E38" s="89" t="s">
        <v>637</v>
      </c>
      <c r="F38" s="88" t="s">
        <v>1105</v>
      </c>
      <c r="G38" s="84" t="s">
        <v>1671</v>
      </c>
      <c r="H38" s="89" t="s">
        <v>637</v>
      </c>
      <c r="I38" s="84" t="s">
        <v>394</v>
      </c>
      <c r="J38" s="89" t="s">
        <v>637</v>
      </c>
      <c r="K38" s="84" t="s">
        <v>391</v>
      </c>
      <c r="L38" s="89" t="s">
        <v>637</v>
      </c>
      <c r="M38" s="82"/>
      <c r="N38" s="83" t="str">
        <f t="shared" si="0"/>
        <v>ĩã</v>
      </c>
      <c r="O38" s="83" t="str">
        <f t="shared" si="3"/>
        <v/>
      </c>
      <c r="P38" s="83"/>
      <c r="Q38" s="83" t="str">
        <f t="shared" si="7"/>
        <v>ĩã</v>
      </c>
      <c r="R38" s="82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0" t="s">
        <v>397</v>
      </c>
      <c r="C39" s="88" t="s">
        <v>1106</v>
      </c>
      <c r="D39" s="84" t="s">
        <v>1106</v>
      </c>
      <c r="E39" s="89" t="s">
        <v>637</v>
      </c>
      <c r="F39" s="88" t="s">
        <v>1106</v>
      </c>
      <c r="G39" s="84" t="s">
        <v>2018</v>
      </c>
      <c r="H39" s="89" t="s">
        <v>637</v>
      </c>
      <c r="I39" s="84" t="s">
        <v>401</v>
      </c>
      <c r="J39" s="89" t="s">
        <v>637</v>
      </c>
      <c r="K39" s="84" t="s">
        <v>399</v>
      </c>
      <c r="L39" s="89" t="s">
        <v>637</v>
      </c>
      <c r="M39" s="82"/>
      <c r="N39" s="83" t="str">
        <f t="shared" si="0"/>
        <v>ũã</v>
      </c>
      <c r="O39" s="83" t="str">
        <f t="shared" si="3"/>
        <v/>
      </c>
      <c r="P39" s="83"/>
      <c r="Q39" s="83" t="str">
        <f t="shared" si="7"/>
        <v>ũã</v>
      </c>
      <c r="R39" s="82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0" t="s">
        <v>405</v>
      </c>
      <c r="C40" s="88" t="s">
        <v>596</v>
      </c>
      <c r="D40" s="84" t="s">
        <v>596</v>
      </c>
      <c r="E40" s="89" t="s">
        <v>637</v>
      </c>
      <c r="F40" s="88" t="s">
        <v>404</v>
      </c>
      <c r="G40" s="84" t="s">
        <v>404</v>
      </c>
      <c r="H40" s="89" t="s">
        <v>637</v>
      </c>
      <c r="I40" s="84" t="s">
        <v>407</v>
      </c>
      <c r="J40" s="89" t="s">
        <v>637</v>
      </c>
      <c r="K40" s="84" t="s">
        <v>407</v>
      </c>
      <c r="L40" s="89" t="s">
        <v>637</v>
      </c>
      <c r="M40" s="82"/>
      <c r="N40" s="83" t="str">
        <f t="shared" si="0"/>
        <v>ŋ̍</v>
      </c>
      <c r="O40" s="83" t="str">
        <f t="shared" si="3"/>
        <v/>
      </c>
      <c r="P40" s="83"/>
      <c r="Q40" s="83" t="str">
        <f t="shared" si="7"/>
        <v>ŋ̍</v>
      </c>
      <c r="R40" s="82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0" t="s">
        <v>410</v>
      </c>
      <c r="C41" s="88" t="s">
        <v>1107</v>
      </c>
      <c r="D41" s="84" t="s">
        <v>60</v>
      </c>
      <c r="E41" s="84" t="s">
        <v>840</v>
      </c>
      <c r="F41" s="88" t="s">
        <v>1107</v>
      </c>
      <c r="G41" s="84" t="s">
        <v>60</v>
      </c>
      <c r="H41" s="84" t="s">
        <v>840</v>
      </c>
      <c r="I41" s="84" t="s">
        <v>1181</v>
      </c>
      <c r="J41" s="84" t="s">
        <v>1180</v>
      </c>
      <c r="K41" s="84" t="s">
        <v>1181</v>
      </c>
      <c r="L41" s="84" t="s">
        <v>1180</v>
      </c>
      <c r="M41" s="82"/>
      <c r="N41" s="83" t="str">
        <f t="shared" si="0"/>
        <v>e</v>
      </c>
      <c r="O41" s="83" t="str">
        <f t="shared" si="3"/>
        <v>eʔ</v>
      </c>
      <c r="P41" s="83"/>
      <c r="Q41" s="83" t="str">
        <f t="shared" si="7"/>
        <v/>
      </c>
      <c r="R41" s="82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0" t="s">
        <v>415</v>
      </c>
      <c r="C42" s="88" t="s">
        <v>1108</v>
      </c>
      <c r="D42" s="84" t="s">
        <v>1108</v>
      </c>
      <c r="E42" s="89" t="s">
        <v>637</v>
      </c>
      <c r="F42" s="88" t="s">
        <v>1108</v>
      </c>
      <c r="G42" s="84" t="s">
        <v>2433</v>
      </c>
      <c r="H42" s="89" t="s">
        <v>637</v>
      </c>
      <c r="I42" s="84" t="s">
        <v>419</v>
      </c>
      <c r="J42" s="89" t="s">
        <v>637</v>
      </c>
      <c r="K42" s="84" t="s">
        <v>417</v>
      </c>
      <c r="L42" s="89" t="s">
        <v>637</v>
      </c>
      <c r="M42" s="82"/>
      <c r="N42" s="83" t="str">
        <f t="shared" si="0"/>
        <v>ãĩ</v>
      </c>
      <c r="O42" s="83" t="str">
        <f t="shared" si="3"/>
        <v/>
      </c>
      <c r="P42" s="83"/>
      <c r="Q42" s="83" t="str">
        <f t="shared" si="7"/>
        <v>ãĩ</v>
      </c>
      <c r="R42" s="82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0" t="s">
        <v>422</v>
      </c>
      <c r="C43" s="88" t="s">
        <v>1109</v>
      </c>
      <c r="D43" s="84" t="s">
        <v>1109</v>
      </c>
      <c r="E43" s="89" t="s">
        <v>637</v>
      </c>
      <c r="F43" s="88" t="s">
        <v>822</v>
      </c>
      <c r="G43" s="84" t="s">
        <v>822</v>
      </c>
      <c r="H43" s="89" t="s">
        <v>637</v>
      </c>
      <c r="I43" s="84" t="s">
        <v>427</v>
      </c>
      <c r="J43" s="89" t="s">
        <v>637</v>
      </c>
      <c r="K43" s="84" t="s">
        <v>425</v>
      </c>
      <c r="L43" s="89" t="s">
        <v>637</v>
      </c>
      <c r="M43" s="82"/>
      <c r="N43" s="83" t="str">
        <f t="shared" si="0"/>
        <v>ɔ̃</v>
      </c>
      <c r="O43" s="83" t="str">
        <f t="shared" si="3"/>
        <v/>
      </c>
      <c r="P43" s="83"/>
      <c r="Q43" s="83" t="str">
        <f t="shared" si="7"/>
        <v>ɔ̃</v>
      </c>
      <c r="R43" s="82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0" t="s">
        <v>429</v>
      </c>
      <c r="C44" s="88" t="s">
        <v>432</v>
      </c>
      <c r="D44" s="84" t="s">
        <v>432</v>
      </c>
      <c r="E44" s="89" t="s">
        <v>637</v>
      </c>
      <c r="F44" s="88" t="s">
        <v>430</v>
      </c>
      <c r="G44" s="84" t="s">
        <v>430</v>
      </c>
      <c r="H44" s="89" t="s">
        <v>637</v>
      </c>
      <c r="I44" s="84" t="s">
        <v>432</v>
      </c>
      <c r="J44" s="89" t="s">
        <v>637</v>
      </c>
      <c r="K44" s="84" t="s">
        <v>432</v>
      </c>
      <c r="L44" s="89" t="s">
        <v>637</v>
      </c>
      <c r="M44" s="82"/>
      <c r="N44" s="83" t="str">
        <f t="shared" si="0"/>
        <v>m̩</v>
      </c>
      <c r="O44" s="83" t="str">
        <f t="shared" si="3"/>
        <v/>
      </c>
      <c r="P44" s="83"/>
      <c r="Q44" s="83" t="str">
        <f t="shared" si="7"/>
        <v>m̩</v>
      </c>
      <c r="R44" s="82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0" t="s">
        <v>436</v>
      </c>
      <c r="C45" s="88" t="s">
        <v>1110</v>
      </c>
      <c r="D45" s="84" t="s">
        <v>435</v>
      </c>
      <c r="E45" s="84" t="s">
        <v>443</v>
      </c>
      <c r="F45" s="88" t="s">
        <v>1157</v>
      </c>
      <c r="G45" s="84" t="s">
        <v>435</v>
      </c>
      <c r="H45" s="84" t="s">
        <v>441</v>
      </c>
      <c r="I45" s="84" t="s">
        <v>1232</v>
      </c>
      <c r="J45" s="84" t="s">
        <v>1210</v>
      </c>
      <c r="K45" s="84" t="s">
        <v>1232</v>
      </c>
      <c r="L45" s="84" t="s">
        <v>1210</v>
      </c>
      <c r="M45" s="82"/>
      <c r="N45" s="83" t="str">
        <f t="shared" si="0"/>
        <v>uan</v>
      </c>
      <c r="O45" s="83" t="str">
        <f t="shared" si="3"/>
        <v>uak̚</v>
      </c>
      <c r="P45" s="83"/>
      <c r="Q45" s="83" t="str">
        <f t="shared" si="7"/>
        <v/>
      </c>
      <c r="R45" s="82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0" t="s">
        <v>447</v>
      </c>
      <c r="C46" s="88" t="s">
        <v>1111</v>
      </c>
      <c r="D46" s="84" t="s">
        <v>1128</v>
      </c>
      <c r="E46" s="84" t="s">
        <v>1129</v>
      </c>
      <c r="F46" s="88" t="s">
        <v>1111</v>
      </c>
      <c r="G46" s="84" t="s">
        <v>2073</v>
      </c>
      <c r="H46" s="84" t="s">
        <v>2082</v>
      </c>
      <c r="I46" s="84" t="s">
        <v>1233</v>
      </c>
      <c r="J46" s="84" t="s">
        <v>1209</v>
      </c>
      <c r="K46" s="84" t="s">
        <v>1251</v>
      </c>
      <c r="L46" s="84" t="s">
        <v>1248</v>
      </c>
      <c r="M46" s="82"/>
      <c r="N46" s="83" t="str">
        <f t="shared" si="0"/>
        <v>ũãĩ</v>
      </c>
      <c r="O46" s="83" t="str">
        <f t="shared" si="3"/>
        <v>ũãĩʔ</v>
      </c>
      <c r="P46" s="83"/>
      <c r="Q46" s="83" t="str">
        <f t="shared" si="7"/>
        <v/>
      </c>
      <c r="R46" s="82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1129</v>
      </c>
    </row>
    <row r="47" spans="1:25" ht="33.75" thickBot="1">
      <c r="A47">
        <f t="shared" si="2"/>
        <v>45</v>
      </c>
      <c r="B47" s="90" t="s">
        <v>458</v>
      </c>
      <c r="C47" s="88" t="s">
        <v>1112</v>
      </c>
      <c r="D47" s="84" t="s">
        <v>1130</v>
      </c>
      <c r="E47" s="84" t="s">
        <v>1131</v>
      </c>
      <c r="F47" s="88" t="s">
        <v>1158</v>
      </c>
      <c r="G47" s="84" t="s">
        <v>2434</v>
      </c>
      <c r="H47" s="84" t="s">
        <v>2435</v>
      </c>
      <c r="I47" s="84" t="s">
        <v>1234</v>
      </c>
      <c r="J47" s="84" t="s">
        <v>1208</v>
      </c>
      <c r="K47" s="84" t="s">
        <v>1252</v>
      </c>
      <c r="L47" s="84" t="s">
        <v>1249</v>
      </c>
      <c r="M47" s="82"/>
      <c r="N47" s="83" t="str">
        <f t="shared" si="0"/>
        <v>ũẽ</v>
      </c>
      <c r="O47" s="83" t="str">
        <f t="shared" si="3"/>
        <v>ũẽʔ</v>
      </c>
      <c r="P47" s="83"/>
      <c r="Q47" s="83" t="str">
        <f t="shared" si="7"/>
        <v/>
      </c>
      <c r="R47" s="82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1161</v>
      </c>
    </row>
    <row r="48" spans="1:25" ht="33.75" thickBot="1">
      <c r="A48">
        <f t="shared" si="2"/>
        <v>46</v>
      </c>
      <c r="B48" s="90" t="s">
        <v>465</v>
      </c>
      <c r="C48" s="88" t="s">
        <v>1113</v>
      </c>
      <c r="D48" s="84" t="s">
        <v>1132</v>
      </c>
      <c r="E48" s="84" t="s">
        <v>1133</v>
      </c>
      <c r="F48" s="88" t="s">
        <v>1113</v>
      </c>
      <c r="G48" s="84" t="s">
        <v>2436</v>
      </c>
      <c r="H48" s="84" t="s">
        <v>2437</v>
      </c>
      <c r="I48" s="84" t="s">
        <v>1235</v>
      </c>
      <c r="J48" s="84" t="s">
        <v>1207</v>
      </c>
      <c r="K48" s="84" t="s">
        <v>1253</v>
      </c>
      <c r="L48" s="84" t="s">
        <v>872</v>
      </c>
      <c r="M48" s="82"/>
      <c r="N48" s="83" t="str">
        <f t="shared" si="0"/>
        <v>ĩãũ</v>
      </c>
      <c r="O48" s="83" t="str">
        <f t="shared" si="3"/>
        <v>ĩãũʔ</v>
      </c>
      <c r="P48" s="83"/>
      <c r="Q48" s="83" t="str">
        <f t="shared" si="7"/>
        <v/>
      </c>
      <c r="R48" s="82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1133</v>
      </c>
    </row>
    <row r="49" spans="1:25" ht="33.75" thickBot="1">
      <c r="A49">
        <f t="shared" si="2"/>
        <v>47</v>
      </c>
      <c r="B49" s="90" t="s">
        <v>477</v>
      </c>
      <c r="C49" s="88" t="s">
        <v>1114</v>
      </c>
      <c r="D49" s="84" t="s">
        <v>476</v>
      </c>
      <c r="E49" s="84" t="s">
        <v>855</v>
      </c>
      <c r="F49" s="88" t="s">
        <v>1159</v>
      </c>
      <c r="G49" s="84" t="s">
        <v>476</v>
      </c>
      <c r="H49" s="84" t="s">
        <v>483</v>
      </c>
      <c r="I49" s="84" t="s">
        <v>1077</v>
      </c>
      <c r="J49" s="84" t="s">
        <v>1206</v>
      </c>
      <c r="K49" s="84" t="s">
        <v>1077</v>
      </c>
      <c r="L49" s="84" t="s">
        <v>1206</v>
      </c>
      <c r="M49" s="82"/>
      <c r="N49" s="83" t="str">
        <f t="shared" si="0"/>
        <v>om</v>
      </c>
      <c r="O49" s="83" t="str">
        <f t="shared" si="3"/>
        <v>op̚</v>
      </c>
      <c r="P49" s="83"/>
      <c r="Q49" s="83" t="str">
        <f t="shared" si="7"/>
        <v/>
      </c>
      <c r="R49" s="82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637</v>
      </c>
    </row>
    <row r="50" spans="1:25" ht="33.75" thickBot="1">
      <c r="A50">
        <f t="shared" si="2"/>
        <v>48</v>
      </c>
      <c r="B50" s="90" t="s">
        <v>489</v>
      </c>
      <c r="C50" s="88" t="s">
        <v>1115</v>
      </c>
      <c r="D50" s="84" t="s">
        <v>1115</v>
      </c>
      <c r="E50" s="89" t="s">
        <v>637</v>
      </c>
      <c r="F50" s="88" t="s">
        <v>1115</v>
      </c>
      <c r="G50" s="84" t="s">
        <v>2438</v>
      </c>
      <c r="H50" s="89" t="s">
        <v>637</v>
      </c>
      <c r="I50" s="84" t="s">
        <v>493</v>
      </c>
      <c r="J50" s="89" t="s">
        <v>637</v>
      </c>
      <c r="K50" s="84" t="s">
        <v>491</v>
      </c>
      <c r="L50" s="89" t="s">
        <v>637</v>
      </c>
      <c r="M50" s="82"/>
      <c r="N50" s="83" t="str">
        <f t="shared" si="0"/>
        <v>ãũ</v>
      </c>
      <c r="O50" s="83" t="str">
        <f t="shared" si="3"/>
        <v/>
      </c>
      <c r="P50" s="83"/>
      <c r="Q50" s="83" t="str">
        <f t="shared" si="7"/>
        <v>ãũ</v>
      </c>
      <c r="R50" s="82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637</v>
      </c>
    </row>
    <row r="51" spans="1:25" ht="33.75" thickBot="1">
      <c r="A51">
        <f t="shared" si="2"/>
        <v>49</v>
      </c>
      <c r="B51" s="90" t="s">
        <v>496</v>
      </c>
      <c r="C51" s="88" t="s">
        <v>1116</v>
      </c>
      <c r="D51" s="84" t="s">
        <v>1134</v>
      </c>
      <c r="E51" s="84" t="s">
        <v>1135</v>
      </c>
      <c r="F51" s="88" t="s">
        <v>1160</v>
      </c>
      <c r="G51" s="84" t="s">
        <v>822</v>
      </c>
      <c r="H51" s="84" t="s">
        <v>794</v>
      </c>
      <c r="I51" s="84" t="s">
        <v>1236</v>
      </c>
      <c r="J51" s="84" t="s">
        <v>1205</v>
      </c>
      <c r="K51" s="84" t="s">
        <v>908</v>
      </c>
      <c r="L51" s="84" t="s">
        <v>1250</v>
      </c>
      <c r="M51" s="82"/>
      <c r="N51" s="83" t="str">
        <f t="shared" si="0"/>
        <v>ɔ̃</v>
      </c>
      <c r="O51" s="83" t="str">
        <f t="shared" si="3"/>
        <v>ɔ̃ʔ</v>
      </c>
      <c r="P51" s="83"/>
      <c r="Q51" s="83" t="str">
        <f t="shared" si="7"/>
        <v/>
      </c>
      <c r="R51" s="82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5" t="s">
        <v>909</v>
      </c>
    </row>
    <row r="52" spans="1:25" ht="33.75" thickBot="1">
      <c r="A52">
        <f t="shared" si="2"/>
        <v>50</v>
      </c>
      <c r="B52" s="90" t="s">
        <v>505</v>
      </c>
      <c r="C52" s="88" t="s">
        <v>1117</v>
      </c>
      <c r="D52" s="84" t="s">
        <v>1117</v>
      </c>
      <c r="E52" s="89" t="s">
        <v>637</v>
      </c>
      <c r="F52" s="88" t="s">
        <v>1117</v>
      </c>
      <c r="G52" s="84" t="s">
        <v>1861</v>
      </c>
      <c r="H52" s="89" t="s">
        <v>637</v>
      </c>
      <c r="I52" s="84" t="s">
        <v>509</v>
      </c>
      <c r="J52" s="89" t="s">
        <v>637</v>
      </c>
      <c r="K52" s="84" t="s">
        <v>507</v>
      </c>
      <c r="L52" s="89" t="s">
        <v>637</v>
      </c>
      <c r="M52" s="82"/>
      <c r="N52" s="83" t="str">
        <f t="shared" si="0"/>
        <v>ĩũ</v>
      </c>
      <c r="O52" s="83" t="str">
        <f t="shared" si="3"/>
        <v/>
      </c>
      <c r="P52" s="83"/>
      <c r="Q52" s="83" t="str">
        <f t="shared" si="7"/>
        <v>ĩũ</v>
      </c>
      <c r="R52" s="82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674</v>
      </c>
      <c r="C2" s="21" t="s">
        <v>675</v>
      </c>
      <c r="D2" s="22" t="s">
        <v>676</v>
      </c>
      <c r="E2" s="22" t="s">
        <v>677</v>
      </c>
      <c r="F2" s="21" t="s">
        <v>678</v>
      </c>
      <c r="G2" s="21" t="s">
        <v>679</v>
      </c>
      <c r="H2" s="23" t="s">
        <v>680</v>
      </c>
      <c r="I2" s="21" t="s">
        <v>681</v>
      </c>
      <c r="J2" s="21" t="s">
        <v>682</v>
      </c>
      <c r="K2" s="21" t="s">
        <v>683</v>
      </c>
      <c r="L2" s="23" t="s">
        <v>684</v>
      </c>
      <c r="M2" s="24" t="s">
        <v>685</v>
      </c>
      <c r="N2" s="22" t="s">
        <v>686</v>
      </c>
      <c r="O2" s="21" t="s">
        <v>687</v>
      </c>
      <c r="P2" s="21" t="s">
        <v>688</v>
      </c>
      <c r="Q2" s="21" t="s">
        <v>689</v>
      </c>
      <c r="R2" s="21" t="s">
        <v>4</v>
      </c>
      <c r="S2" s="21" t="s">
        <v>690</v>
      </c>
    </row>
    <row r="3" spans="2:19" ht="57.75">
      <c r="B3" s="25">
        <v>0</v>
      </c>
      <c r="C3" s="25">
        <v>9</v>
      </c>
      <c r="D3" s="26" t="s">
        <v>691</v>
      </c>
      <c r="E3" s="26" t="s">
        <v>692</v>
      </c>
      <c r="F3" s="27">
        <v>20</v>
      </c>
      <c r="G3" s="28" t="s">
        <v>693</v>
      </c>
      <c r="H3" s="29" t="s">
        <v>694</v>
      </c>
      <c r="I3" s="30" t="s">
        <v>695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696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697</v>
      </c>
      <c r="S3" s="35" t="s">
        <v>698</v>
      </c>
    </row>
    <row r="4" spans="2:19" ht="57.75">
      <c r="B4" s="25">
        <v>1</v>
      </c>
      <c r="C4" s="25">
        <v>1</v>
      </c>
      <c r="D4" s="26" t="s">
        <v>634</v>
      </c>
      <c r="E4" s="26" t="s">
        <v>699</v>
      </c>
      <c r="F4" s="27">
        <v>44</v>
      </c>
      <c r="G4" s="28" t="s">
        <v>700</v>
      </c>
      <c r="H4" s="29" t="s">
        <v>701</v>
      </c>
      <c r="I4" s="30" t="s">
        <v>702</v>
      </c>
      <c r="J4" s="31" t="str">
        <f xml:space="preserve"> IFERROR( _xlfn.CONCAT("a", _xlfn.UNICHAR(HEX2DEC(RIGHT(I4,4)))), "")</f>
        <v>ā</v>
      </c>
      <c r="K4" s="32" t="s">
        <v>703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704</v>
      </c>
      <c r="R4" s="35" t="s">
        <v>705</v>
      </c>
      <c r="S4" s="35" t="s">
        <v>706</v>
      </c>
    </row>
    <row r="5" spans="2:19" ht="57.75">
      <c r="B5" s="37">
        <v>2</v>
      </c>
      <c r="C5" s="37">
        <v>5</v>
      </c>
      <c r="D5" s="38" t="s">
        <v>651</v>
      </c>
      <c r="E5" s="38" t="s">
        <v>707</v>
      </c>
      <c r="F5" s="39">
        <v>13</v>
      </c>
      <c r="G5" s="40" t="s">
        <v>708</v>
      </c>
      <c r="H5" s="41" t="s">
        <v>709</v>
      </c>
      <c r="I5" s="42" t="s">
        <v>710</v>
      </c>
      <c r="J5" s="43" t="str">
        <f xml:space="preserve"> IFERROR( _xlfn.CONCAT("a", _xlfn.UNICHAR(HEX2DEC(RIGHT(I5,4)))), "")</f>
        <v>á</v>
      </c>
      <c r="K5" s="44" t="s">
        <v>711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710</v>
      </c>
      <c r="P5" s="48" t="str">
        <f xml:space="preserve"> _xlfn.CONCAT("ㄚ ",_xlfn.UNICHAR(HEX2DEC(RIGHT(O5,4))))</f>
        <v>ㄚ ́</v>
      </c>
      <c r="Q5" s="47" t="s">
        <v>712</v>
      </c>
      <c r="R5" s="47" t="s">
        <v>713</v>
      </c>
      <c r="S5" s="47" t="s">
        <v>714</v>
      </c>
    </row>
    <row r="6" spans="2:19" ht="57.75">
      <c r="B6" s="25">
        <v>3</v>
      </c>
      <c r="C6" s="25">
        <v>4</v>
      </c>
      <c r="D6" s="26" t="s">
        <v>715</v>
      </c>
      <c r="E6" s="26" t="s">
        <v>716</v>
      </c>
      <c r="F6" s="27">
        <v>53</v>
      </c>
      <c r="G6" s="28" t="s">
        <v>717</v>
      </c>
      <c r="H6" s="29" t="s">
        <v>718</v>
      </c>
      <c r="I6" s="30" t="s">
        <v>719</v>
      </c>
      <c r="J6" s="31" t="str">
        <f xml:space="preserve"> IFERROR( _xlfn.CONCAT("a", _xlfn.UNICHAR(HEX2DEC(RIGHT(I6,4)))), "")</f>
        <v>ǎ</v>
      </c>
      <c r="K6" s="32" t="s">
        <v>720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721</v>
      </c>
      <c r="P6" s="36" t="str">
        <f xml:space="preserve"> _xlfn.CONCAT("ㄚ ",_xlfn.UNICHAR(HEX2DEC(RIGHT(O6,4))))</f>
        <v>ㄚ ̀</v>
      </c>
      <c r="Q6" s="35" t="s">
        <v>31</v>
      </c>
      <c r="R6" s="35" t="s">
        <v>722</v>
      </c>
      <c r="S6" s="35" t="s">
        <v>723</v>
      </c>
    </row>
    <row r="7" spans="2:19" ht="57.75">
      <c r="B7" s="37">
        <v>4</v>
      </c>
      <c r="C7" s="37">
        <v>99</v>
      </c>
      <c r="D7" s="38" t="s">
        <v>724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637</v>
      </c>
      <c r="R7" s="47"/>
      <c r="S7" s="47"/>
    </row>
    <row r="8" spans="2:19" ht="57.75">
      <c r="B8" s="25">
        <v>5</v>
      </c>
      <c r="C8" s="25">
        <v>3</v>
      </c>
      <c r="D8" s="26" t="s">
        <v>643</v>
      </c>
      <c r="E8" s="26" t="s">
        <v>725</v>
      </c>
      <c r="F8" s="27">
        <v>21</v>
      </c>
      <c r="G8" s="28" t="s">
        <v>726</v>
      </c>
      <c r="H8" s="29" t="s">
        <v>727</v>
      </c>
      <c r="I8" s="30" t="s">
        <v>721</v>
      </c>
      <c r="J8" s="31" t="str">
        <f xml:space="preserve"> IFERROR( _xlfn.CONCAT("a", _xlfn.UNICHAR(HEX2DEC(RIGHT(I8,4)))), "")</f>
        <v>à</v>
      </c>
      <c r="K8" s="32" t="s">
        <v>728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729</v>
      </c>
      <c r="P8" s="36" t="str">
        <f xml:space="preserve"> _xlfn.CONCAT("ㄚ",_xlfn.UNICHAR(HEX2DEC(RIGHT(O8,4))))</f>
        <v>ㄚ˪</v>
      </c>
      <c r="Q8" s="35" t="s">
        <v>25</v>
      </c>
      <c r="R8" s="35" t="s">
        <v>730</v>
      </c>
      <c r="S8" s="35" t="s">
        <v>731</v>
      </c>
    </row>
    <row r="9" spans="2:19" ht="57.75">
      <c r="B9" s="37">
        <v>6</v>
      </c>
      <c r="C9" s="37">
        <v>2</v>
      </c>
      <c r="D9" s="38" t="s">
        <v>638</v>
      </c>
      <c r="E9" s="38" t="s">
        <v>732</v>
      </c>
      <c r="F9" s="39">
        <v>22</v>
      </c>
      <c r="G9" s="40" t="s">
        <v>733</v>
      </c>
      <c r="H9" s="41" t="s">
        <v>734</v>
      </c>
      <c r="I9" s="42" t="s">
        <v>735</v>
      </c>
      <c r="J9" s="43" t="str">
        <f xml:space="preserve"> IFERROR( _xlfn.CONCAT("a", _xlfn.UNICHAR(HEX2DEC(RIGHT(I9,4)))), "")</f>
        <v>â</v>
      </c>
      <c r="K9" s="44" t="s">
        <v>736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737</v>
      </c>
      <c r="P9" s="48" t="str">
        <f xml:space="preserve"> _xlfn.CONCAT("ㄚ",_xlfn.UNICHAR(HEX2DEC(RIGHT(O9,4))))</f>
        <v>ㄚ˫</v>
      </c>
      <c r="Q9" s="47" t="s">
        <v>738</v>
      </c>
      <c r="R9" s="47" t="s">
        <v>739</v>
      </c>
      <c r="S9" s="47" t="s">
        <v>740</v>
      </c>
    </row>
    <row r="10" spans="2:19" ht="57.75">
      <c r="B10" s="25">
        <v>7</v>
      </c>
      <c r="C10" s="25">
        <v>7</v>
      </c>
      <c r="D10" s="26" t="s">
        <v>655</v>
      </c>
      <c r="E10" s="26" t="s">
        <v>741</v>
      </c>
      <c r="F10" s="27">
        <v>32</v>
      </c>
      <c r="G10" s="28" t="s">
        <v>742</v>
      </c>
      <c r="H10" s="29" t="s">
        <v>743</v>
      </c>
      <c r="I10" s="30" t="s">
        <v>702</v>
      </c>
      <c r="J10" s="31" t="str">
        <f xml:space="preserve"> IFERROR( _xlfn.CONCAT("a", _xlfn.UNICHAR(HEX2DEC(RIGHT(I10,4))), "h"), "")</f>
        <v>āh</v>
      </c>
      <c r="K10" s="32" t="s">
        <v>744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658</v>
      </c>
      <c r="R10" s="35" t="s">
        <v>745</v>
      </c>
      <c r="S10" s="35" t="s">
        <v>746</v>
      </c>
    </row>
    <row r="11" spans="2:19" ht="57.75">
      <c r="B11" s="37">
        <v>8</v>
      </c>
      <c r="C11" s="37">
        <v>8</v>
      </c>
      <c r="D11" s="38" t="s">
        <v>659</v>
      </c>
      <c r="E11" s="38" t="s">
        <v>747</v>
      </c>
      <c r="F11" s="39">
        <v>121</v>
      </c>
      <c r="G11" s="40" t="s">
        <v>748</v>
      </c>
      <c r="H11" s="41" t="s">
        <v>749</v>
      </c>
      <c r="I11" s="42" t="s">
        <v>710</v>
      </c>
      <c r="J11" s="43" t="str">
        <f xml:space="preserve"> IFERROR( _xlfn.CONCAT("a", _xlfn.UNICHAR(HEX2DEC(RIGHT(I11,4))), "h"), "")</f>
        <v>áh</v>
      </c>
      <c r="K11" s="44" t="s">
        <v>750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751</v>
      </c>
      <c r="P11" s="48" t="str">
        <f xml:space="preserve"> _xlfn.CONCAT("ㄚ", "ㆷ", _xlfn.UNICHAR(HEX2DEC(RIGHT(O11,4))))</f>
        <v>ㄚㆷ˙</v>
      </c>
      <c r="Q11" s="47" t="s">
        <v>750</v>
      </c>
      <c r="R11" s="47" t="s">
        <v>752</v>
      </c>
      <c r="S11" s="47" t="s">
        <v>753</v>
      </c>
    </row>
  </sheetData>
  <phoneticPr fontId="4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0" t="s">
        <v>0</v>
      </c>
      <c r="B1" s="71" t="s">
        <v>3</v>
      </c>
      <c r="C1" s="71" t="s">
        <v>1</v>
      </c>
      <c r="D1" s="71" t="s">
        <v>4</v>
      </c>
      <c r="E1" s="71" t="s">
        <v>5</v>
      </c>
      <c r="F1" s="71" t="s">
        <v>2</v>
      </c>
      <c r="G1" s="71" t="s">
        <v>8</v>
      </c>
      <c r="H1" s="71" t="s">
        <v>6</v>
      </c>
      <c r="I1" s="71" t="s">
        <v>9</v>
      </c>
      <c r="J1" s="71" t="s">
        <v>7</v>
      </c>
      <c r="K1" s="71" t="s">
        <v>511</v>
      </c>
      <c r="L1" s="71" t="s">
        <v>10</v>
      </c>
      <c r="M1" s="72" t="s">
        <v>11</v>
      </c>
    </row>
    <row r="2" spans="1:13" ht="29.25">
      <c r="A2" s="63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1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4" t="s">
        <v>18</v>
      </c>
    </row>
    <row r="3" spans="1:13" ht="29.25">
      <c r="A3" s="63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1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4" t="s">
        <v>24</v>
      </c>
    </row>
    <row r="4" spans="1:13" ht="29.25">
      <c r="A4" s="63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1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4" t="s">
        <v>30</v>
      </c>
    </row>
    <row r="5" spans="1:13" ht="29.25">
      <c r="A5" s="63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1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4" t="s">
        <v>35</v>
      </c>
    </row>
    <row r="6" spans="1:13" ht="29.25">
      <c r="A6" s="63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1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4" t="s">
        <v>41</v>
      </c>
    </row>
    <row r="7" spans="1:13" ht="29.25">
      <c r="A7" s="63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1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4" t="s">
        <v>47</v>
      </c>
    </row>
    <row r="8" spans="1:13" ht="29.25">
      <c r="A8" s="63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1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4" t="s">
        <v>53</v>
      </c>
    </row>
    <row r="9" spans="1:13" ht="29.25">
      <c r="A9" s="63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1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4" t="s">
        <v>61</v>
      </c>
    </row>
    <row r="10" spans="1:13" ht="29.25">
      <c r="A10" s="63">
        <v>10</v>
      </c>
      <c r="B10" s="4" t="s">
        <v>57</v>
      </c>
      <c r="C10" s="3" t="s">
        <v>63</v>
      </c>
      <c r="D10" s="1" t="s">
        <v>911</v>
      </c>
      <c r="E10" s="1" t="s">
        <v>64</v>
      </c>
      <c r="F10" s="91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4" t="s">
        <v>66</v>
      </c>
    </row>
    <row r="11" spans="1:13" ht="29.25">
      <c r="A11" s="63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1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4" t="s">
        <v>72</v>
      </c>
    </row>
    <row r="12" spans="1:13" ht="29.25">
      <c r="A12" s="63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1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4" t="s">
        <v>78</v>
      </c>
    </row>
    <row r="13" spans="1:13" ht="29.25">
      <c r="A13" s="63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1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4" t="s">
        <v>85</v>
      </c>
    </row>
    <row r="14" spans="1:13" ht="29.25">
      <c r="A14" s="63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1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4" t="s">
        <v>91</v>
      </c>
    </row>
    <row r="15" spans="1:13" ht="29.25">
      <c r="A15" s="63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1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4" t="s">
        <v>98</v>
      </c>
    </row>
    <row r="16" spans="1:13" ht="39">
      <c r="A16" s="63">
        <v>16</v>
      </c>
      <c r="B16" s="3" t="s">
        <v>95</v>
      </c>
      <c r="C16" s="3" t="s">
        <v>512</v>
      </c>
      <c r="D16" s="1" t="s">
        <v>912</v>
      </c>
      <c r="E16" s="1" t="s">
        <v>101</v>
      </c>
      <c r="F16" s="91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4" t="s">
        <v>103</v>
      </c>
    </row>
    <row r="17" spans="1:13" ht="29.25">
      <c r="A17" s="63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1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4" t="s">
        <v>111</v>
      </c>
    </row>
    <row r="18" spans="1:13" ht="29.25">
      <c r="A18" s="63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1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4" t="s">
        <v>117</v>
      </c>
    </row>
    <row r="19" spans="1:13" ht="29.25">
      <c r="A19" s="63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1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4" t="s">
        <v>124</v>
      </c>
    </row>
    <row r="20" spans="1:13" ht="29.25">
      <c r="A20" s="63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1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4" t="s">
        <v>131</v>
      </c>
    </row>
    <row r="21" spans="1:13" ht="29.25">
      <c r="A21" s="63">
        <v>21</v>
      </c>
      <c r="B21" s="3" t="s">
        <v>135</v>
      </c>
      <c r="C21" s="3" t="s">
        <v>133</v>
      </c>
      <c r="D21" s="1" t="s">
        <v>913</v>
      </c>
      <c r="E21" s="1" t="s">
        <v>136</v>
      </c>
      <c r="F21" s="91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4" t="s">
        <v>138</v>
      </c>
    </row>
    <row r="22" spans="1:13" ht="29.25">
      <c r="A22" s="63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1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4" t="s">
        <v>145</v>
      </c>
    </row>
    <row r="23" spans="1:13" ht="29.25">
      <c r="A23" s="63">
        <v>24</v>
      </c>
      <c r="B23" s="3" t="s">
        <v>142</v>
      </c>
      <c r="C23" s="5" t="s">
        <v>147</v>
      </c>
      <c r="D23" s="1" t="s">
        <v>914</v>
      </c>
      <c r="E23" s="1" t="s">
        <v>148</v>
      </c>
      <c r="F23" s="91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4" t="s">
        <v>150</v>
      </c>
    </row>
    <row r="24" spans="1:13" ht="29.25">
      <c r="A24" s="63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1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4" t="s">
        <v>156</v>
      </c>
    </row>
    <row r="25" spans="1:13" ht="29.25">
      <c r="A25" s="63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1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4" t="s">
        <v>163</v>
      </c>
    </row>
    <row r="26" spans="1:13" ht="29.25">
      <c r="A26" s="63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1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896</v>
      </c>
      <c r="J26" s="1" t="s">
        <v>167</v>
      </c>
      <c r="K26" s="1" t="s">
        <v>86</v>
      </c>
      <c r="L26" s="1" t="s">
        <v>23</v>
      </c>
      <c r="M26" s="64" t="s">
        <v>168</v>
      </c>
    </row>
    <row r="27" spans="1:13" ht="29.25">
      <c r="A27" s="63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1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4" t="s">
        <v>175</v>
      </c>
    </row>
    <row r="28" spans="1:13" ht="29.25">
      <c r="A28" s="63">
        <v>30</v>
      </c>
      <c r="B28" s="3" t="s">
        <v>172</v>
      </c>
      <c r="C28" s="4" t="s">
        <v>177</v>
      </c>
      <c r="D28" s="1" t="s">
        <v>915</v>
      </c>
      <c r="E28" s="1" t="s">
        <v>178</v>
      </c>
      <c r="F28" s="91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4" t="s">
        <v>180</v>
      </c>
    </row>
    <row r="29" spans="1:13" ht="29.25">
      <c r="A29" s="63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1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4" t="s">
        <v>186</v>
      </c>
    </row>
    <row r="30" spans="1:13" ht="29.25">
      <c r="A30" s="63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1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4" t="s">
        <v>192</v>
      </c>
    </row>
    <row r="31" spans="1:13" ht="29.25">
      <c r="A31" s="63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1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4" t="s">
        <v>198</v>
      </c>
    </row>
    <row r="32" spans="1:13" ht="29.25">
      <c r="A32" s="63">
        <v>35</v>
      </c>
      <c r="B32" s="5" t="s">
        <v>202</v>
      </c>
      <c r="C32" s="5" t="s">
        <v>200</v>
      </c>
      <c r="D32" s="1" t="s">
        <v>916</v>
      </c>
      <c r="E32" s="1" t="s">
        <v>203</v>
      </c>
      <c r="F32" s="91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4" t="s">
        <v>204</v>
      </c>
    </row>
    <row r="33" spans="1:13" ht="29.25">
      <c r="A33" s="63">
        <v>36</v>
      </c>
      <c r="B33" s="5" t="s">
        <v>202</v>
      </c>
      <c r="C33" s="4" t="s">
        <v>206</v>
      </c>
      <c r="D33" s="1" t="s">
        <v>917</v>
      </c>
      <c r="E33" s="1" t="s">
        <v>207</v>
      </c>
      <c r="F33" s="91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4" t="s">
        <v>208</v>
      </c>
    </row>
    <row r="34" spans="1:13" ht="29.25">
      <c r="A34" s="63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1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4" t="s">
        <v>214</v>
      </c>
    </row>
    <row r="35" spans="1:13" ht="29.25">
      <c r="A35" s="63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1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4" t="s">
        <v>220</v>
      </c>
    </row>
    <row r="36" spans="1:13" ht="29.25">
      <c r="A36" s="63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1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4" t="s">
        <v>227</v>
      </c>
    </row>
    <row r="37" spans="1:13" ht="29.25">
      <c r="A37" s="63">
        <v>40</v>
      </c>
      <c r="B37" s="3" t="s">
        <v>224</v>
      </c>
      <c r="C37" s="3" t="s">
        <v>229</v>
      </c>
      <c r="D37" s="1" t="s">
        <v>918</v>
      </c>
      <c r="E37" s="1" t="s">
        <v>230</v>
      </c>
      <c r="F37" s="91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4" t="s">
        <v>232</v>
      </c>
    </row>
    <row r="38" spans="1:13" ht="29.25">
      <c r="A38" s="63">
        <v>41</v>
      </c>
      <c r="B38" s="3" t="s">
        <v>236</v>
      </c>
      <c r="C38" s="3" t="s">
        <v>234</v>
      </c>
      <c r="D38" s="1" t="s">
        <v>919</v>
      </c>
      <c r="E38" s="1" t="s">
        <v>237</v>
      </c>
      <c r="F38" s="91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4" t="s">
        <v>238</v>
      </c>
    </row>
    <row r="39" spans="1:13" ht="29.25">
      <c r="A39" s="63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1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4" t="s">
        <v>244</v>
      </c>
    </row>
    <row r="40" spans="1:13" ht="29.25">
      <c r="A40" s="63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1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4" t="s">
        <v>250</v>
      </c>
    </row>
    <row r="41" spans="1:13" ht="29.25">
      <c r="A41" s="63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1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4" t="s">
        <v>257</v>
      </c>
    </row>
    <row r="42" spans="1:13" ht="29.25">
      <c r="A42" s="63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1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4" t="s">
        <v>264</v>
      </c>
    </row>
    <row r="43" spans="1:13" ht="29.25">
      <c r="A43" s="63">
        <v>46</v>
      </c>
      <c r="B43" s="3" t="s">
        <v>261</v>
      </c>
      <c r="C43" s="6" t="s">
        <v>266</v>
      </c>
      <c r="D43" s="1" t="s">
        <v>920</v>
      </c>
      <c r="E43" s="1" t="s">
        <v>267</v>
      </c>
      <c r="F43" s="91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4" t="s">
        <v>269</v>
      </c>
    </row>
    <row r="44" spans="1:13" ht="29.25">
      <c r="A44" s="63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1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4" t="s">
        <v>275</v>
      </c>
    </row>
    <row r="45" spans="1:13" ht="29.25">
      <c r="A45" s="63">
        <v>48</v>
      </c>
      <c r="B45" s="4" t="s">
        <v>273</v>
      </c>
      <c r="C45" s="3" t="s">
        <v>277</v>
      </c>
      <c r="D45" s="1" t="s">
        <v>921</v>
      </c>
      <c r="E45" s="1" t="s">
        <v>278</v>
      </c>
      <c r="F45" s="91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4" t="s">
        <v>279</v>
      </c>
    </row>
    <row r="46" spans="1:13" ht="29.25">
      <c r="A46" s="63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1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4" t="s">
        <v>287</v>
      </c>
    </row>
    <row r="47" spans="1:13" ht="29.25">
      <c r="A47" s="63">
        <v>50</v>
      </c>
      <c r="B47" s="3" t="s">
        <v>283</v>
      </c>
      <c r="C47" s="4" t="s">
        <v>289</v>
      </c>
      <c r="D47" s="1" t="s">
        <v>922</v>
      </c>
      <c r="E47" s="1" t="s">
        <v>290</v>
      </c>
      <c r="F47" s="91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4" t="s">
        <v>292</v>
      </c>
    </row>
    <row r="48" spans="1:13" ht="29.25">
      <c r="A48" s="63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1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4" t="s">
        <v>300</v>
      </c>
    </row>
    <row r="49" spans="1:13" ht="29.25">
      <c r="A49" s="63">
        <v>52</v>
      </c>
      <c r="B49" s="3" t="s">
        <v>295</v>
      </c>
      <c r="C49" s="9" t="s">
        <v>302</v>
      </c>
      <c r="D49" s="1" t="s">
        <v>923</v>
      </c>
      <c r="E49" s="1" t="s">
        <v>303</v>
      </c>
      <c r="F49" s="91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901</v>
      </c>
      <c r="K49" s="1" t="s">
        <v>301</v>
      </c>
      <c r="L49" s="1" t="s">
        <v>23</v>
      </c>
      <c r="M49" s="64" t="s">
        <v>306</v>
      </c>
    </row>
    <row r="50" spans="1:13" ht="29.25">
      <c r="A50" s="63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1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4" t="s">
        <v>311</v>
      </c>
    </row>
    <row r="51" spans="1:13" ht="29.25">
      <c r="A51" s="63">
        <v>54</v>
      </c>
      <c r="B51" s="3" t="s">
        <v>309</v>
      </c>
      <c r="C51" s="4" t="s">
        <v>312</v>
      </c>
      <c r="D51" s="1" t="s">
        <v>924</v>
      </c>
      <c r="E51" s="1" t="s">
        <v>313</v>
      </c>
      <c r="F51" s="91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4" t="s">
        <v>314</v>
      </c>
    </row>
    <row r="52" spans="1:13" ht="29.25">
      <c r="A52" s="63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1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4" t="s">
        <v>319</v>
      </c>
    </row>
    <row r="53" spans="1:13" ht="29.25">
      <c r="A53" s="63">
        <v>56</v>
      </c>
      <c r="B53" s="3" t="s">
        <v>317</v>
      </c>
      <c r="C53" s="3" t="s">
        <v>320</v>
      </c>
      <c r="D53" s="1" t="s">
        <v>925</v>
      </c>
      <c r="E53" s="1" t="s">
        <v>321</v>
      </c>
      <c r="F53" s="91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4" t="s">
        <v>322</v>
      </c>
    </row>
    <row r="54" spans="1:13" ht="29.25">
      <c r="A54" s="63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1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4" t="s">
        <v>327</v>
      </c>
    </row>
    <row r="55" spans="1:13" ht="29.25">
      <c r="A55" s="63">
        <v>58</v>
      </c>
      <c r="B55" s="3" t="s">
        <v>325</v>
      </c>
      <c r="C55" s="5" t="s">
        <v>328</v>
      </c>
      <c r="D55" s="1" t="s">
        <v>926</v>
      </c>
      <c r="E55" s="1" t="s">
        <v>329</v>
      </c>
      <c r="F55" s="91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4" t="s">
        <v>330</v>
      </c>
    </row>
    <row r="56" spans="1:13" ht="29.25">
      <c r="A56" s="63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1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4" t="s">
        <v>335</v>
      </c>
    </row>
    <row r="57" spans="1:13" ht="29.25">
      <c r="A57" s="63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1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4" t="s">
        <v>343</v>
      </c>
    </row>
    <row r="58" spans="1:13" ht="29.25">
      <c r="A58" s="63">
        <v>62</v>
      </c>
      <c r="B58" s="8" t="s">
        <v>338</v>
      </c>
      <c r="C58" s="10" t="s">
        <v>344</v>
      </c>
      <c r="D58" s="1" t="s">
        <v>927</v>
      </c>
      <c r="E58" s="1" t="s">
        <v>345</v>
      </c>
      <c r="F58" s="91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902</v>
      </c>
      <c r="K58" s="1" t="s">
        <v>181</v>
      </c>
      <c r="L58" s="1" t="s">
        <v>23</v>
      </c>
      <c r="M58" s="64" t="s">
        <v>347</v>
      </c>
    </row>
    <row r="59" spans="1:13" ht="29.25">
      <c r="A59" s="63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1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4" t="s">
        <v>354</v>
      </c>
    </row>
    <row r="60" spans="1:13" ht="29.25">
      <c r="A60" s="63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1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4" t="s">
        <v>361</v>
      </c>
    </row>
    <row r="61" spans="1:13" ht="29.25">
      <c r="A61" s="63">
        <v>66</v>
      </c>
      <c r="B61" s="3" t="s">
        <v>358</v>
      </c>
      <c r="C61" s="4" t="s">
        <v>362</v>
      </c>
      <c r="D61" s="1" t="s">
        <v>928</v>
      </c>
      <c r="E61" s="1" t="s">
        <v>363</v>
      </c>
      <c r="F61" s="91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4" t="s">
        <v>365</v>
      </c>
    </row>
    <row r="62" spans="1:13" ht="29.25">
      <c r="A62" s="63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1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4" t="s">
        <v>373</v>
      </c>
    </row>
    <row r="63" spans="1:13" ht="29.25">
      <c r="A63" s="63">
        <v>68</v>
      </c>
      <c r="B63" s="3" t="s">
        <v>368</v>
      </c>
      <c r="C63" s="4" t="s">
        <v>374</v>
      </c>
      <c r="D63" s="1" t="s">
        <v>929</v>
      </c>
      <c r="E63" s="1" t="s">
        <v>375</v>
      </c>
      <c r="F63" s="91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903</v>
      </c>
      <c r="K63" s="1" t="s">
        <v>193</v>
      </c>
      <c r="L63" s="1" t="s">
        <v>23</v>
      </c>
      <c r="M63" s="64" t="s">
        <v>378</v>
      </c>
    </row>
    <row r="64" spans="1:13" ht="29.25">
      <c r="A64" s="63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1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4" t="s">
        <v>387</v>
      </c>
    </row>
    <row r="65" spans="1:13" ht="29.25">
      <c r="A65" s="63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1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4" t="s">
        <v>395</v>
      </c>
    </row>
    <row r="66" spans="1:13" ht="29.25">
      <c r="A66" s="63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1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4" t="s">
        <v>402</v>
      </c>
    </row>
    <row r="67" spans="1:13" ht="29.25">
      <c r="A67" s="63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1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4" t="s">
        <v>408</v>
      </c>
    </row>
    <row r="68" spans="1:13" ht="29.25">
      <c r="A68" s="63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1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4" t="s">
        <v>411</v>
      </c>
    </row>
    <row r="69" spans="1:13" ht="29.25">
      <c r="A69" s="63">
        <v>78</v>
      </c>
      <c r="B69" s="3" t="s">
        <v>410</v>
      </c>
      <c r="C69" s="3" t="s">
        <v>412</v>
      </c>
      <c r="D69" s="1" t="s">
        <v>930</v>
      </c>
      <c r="E69" s="1" t="s">
        <v>65</v>
      </c>
      <c r="F69" s="91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4" t="s">
        <v>413</v>
      </c>
    </row>
    <row r="70" spans="1:13" ht="29.25">
      <c r="A70" s="63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1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ãi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4" t="s">
        <v>420</v>
      </c>
    </row>
    <row r="71" spans="1:13" ht="29.25">
      <c r="A71" s="63">
        <v>81</v>
      </c>
      <c r="B71" s="11" t="s">
        <v>422</v>
      </c>
      <c r="C71" s="6" t="s">
        <v>421</v>
      </c>
      <c r="D71" s="1" t="s">
        <v>931</v>
      </c>
      <c r="E71" s="1" t="s">
        <v>908</v>
      </c>
      <c r="F71" s="91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4" t="s">
        <v>428</v>
      </c>
    </row>
    <row r="72" spans="1:13" ht="29.25">
      <c r="A72" s="63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1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4" t="s">
        <v>433</v>
      </c>
    </row>
    <row r="73" spans="1:13" ht="29.25">
      <c r="A73" s="63">
        <v>85</v>
      </c>
      <c r="B73" s="5" t="s">
        <v>436</v>
      </c>
      <c r="C73" s="6" t="s">
        <v>434</v>
      </c>
      <c r="D73" s="1" t="s">
        <v>932</v>
      </c>
      <c r="E73" s="1" t="s">
        <v>437</v>
      </c>
      <c r="F73" s="91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4" t="s">
        <v>439</v>
      </c>
    </row>
    <row r="74" spans="1:13" ht="29.25">
      <c r="A74" s="63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1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4" t="s">
        <v>445</v>
      </c>
    </row>
    <row r="75" spans="1:13" ht="29.25">
      <c r="A75" s="63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1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4" t="s">
        <v>452</v>
      </c>
    </row>
    <row r="76" spans="1:13" ht="29.25">
      <c r="A76" s="63">
        <v>88</v>
      </c>
      <c r="B76" s="7" t="s">
        <v>447</v>
      </c>
      <c r="C76" s="9" t="s">
        <v>453</v>
      </c>
      <c r="D76" s="1" t="s">
        <v>933</v>
      </c>
      <c r="E76" s="1" t="s">
        <v>454</v>
      </c>
      <c r="F76" s="91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uãiʔ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904</v>
      </c>
      <c r="K76" s="1" t="s">
        <v>252</v>
      </c>
      <c r="L76" s="1" t="s">
        <v>23</v>
      </c>
      <c r="M76" s="64" t="s">
        <v>457</v>
      </c>
    </row>
    <row r="77" spans="1:13" ht="39">
      <c r="A77" s="63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1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4" t="s">
        <v>463</v>
      </c>
    </row>
    <row r="78" spans="1:13" ht="29.25">
      <c r="A78" s="63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1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4" t="s">
        <v>470</v>
      </c>
    </row>
    <row r="79" spans="1:13" ht="39">
      <c r="A79" s="63">
        <v>92</v>
      </c>
      <c r="B79" s="3" t="s">
        <v>465</v>
      </c>
      <c r="C79" s="3" t="s">
        <v>512</v>
      </c>
      <c r="D79" s="1" t="s">
        <v>934</v>
      </c>
      <c r="E79" s="1" t="s">
        <v>471</v>
      </c>
      <c r="F79" s="91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iãuʔ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905</v>
      </c>
      <c r="K79" s="1" t="s">
        <v>265</v>
      </c>
      <c r="L79" s="1" t="s">
        <v>23</v>
      </c>
      <c r="M79" s="64" t="s">
        <v>474</v>
      </c>
    </row>
    <row r="80" spans="1:13" ht="29.25">
      <c r="A80" s="63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1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4" t="s">
        <v>481</v>
      </c>
    </row>
    <row r="81" spans="1:13" ht="29.25">
      <c r="A81" s="63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1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4" t="s">
        <v>487</v>
      </c>
    </row>
    <row r="82" spans="1:13" ht="29.25">
      <c r="A82" s="63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1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ãu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4" t="s">
        <v>494</v>
      </c>
    </row>
    <row r="83" spans="1:13" ht="29.25">
      <c r="A83" s="63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1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4" t="s">
        <v>499</v>
      </c>
    </row>
    <row r="84" spans="1:13" ht="39">
      <c r="A84" s="63">
        <v>98</v>
      </c>
      <c r="B84" s="12" t="s">
        <v>496</v>
      </c>
      <c r="C84" s="3" t="s">
        <v>512</v>
      </c>
      <c r="D84" s="1" t="s">
        <v>935</v>
      </c>
      <c r="E84" s="1" t="s">
        <v>500</v>
      </c>
      <c r="F84" s="91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906</v>
      </c>
      <c r="K84" s="1" t="s">
        <v>280</v>
      </c>
      <c r="L84" s="1" t="s">
        <v>23</v>
      </c>
      <c r="M84" s="64" t="s">
        <v>503</v>
      </c>
    </row>
    <row r="85" spans="1:13" ht="29.25">
      <c r="A85" s="65">
        <v>99</v>
      </c>
      <c r="B85" s="66" t="s">
        <v>505</v>
      </c>
      <c r="C85" s="67" t="s">
        <v>504</v>
      </c>
      <c r="D85" s="68" t="s">
        <v>506</v>
      </c>
      <c r="E85" s="68" t="s">
        <v>507</v>
      </c>
      <c r="F85" s="91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68" t="s">
        <v>507</v>
      </c>
      <c r="J85" s="68" t="s">
        <v>508</v>
      </c>
      <c r="K85" s="68" t="s">
        <v>288</v>
      </c>
      <c r="L85" s="68" t="s">
        <v>17</v>
      </c>
      <c r="M85" s="69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82" t="s">
        <v>936</v>
      </c>
      <c r="B1" s="183"/>
      <c r="C1" s="183"/>
      <c r="D1" s="183"/>
      <c r="E1" s="183"/>
      <c r="F1" s="183"/>
      <c r="G1" s="183"/>
      <c r="H1" s="183"/>
      <c r="I1" s="183"/>
      <c r="J1" s="183"/>
      <c r="K1" s="183"/>
    </row>
    <row r="2" spans="1:11" ht="26.25" thickBot="1">
      <c r="A2" s="77" t="s">
        <v>937</v>
      </c>
      <c r="B2" s="77" t="s">
        <v>15</v>
      </c>
      <c r="C2" s="77" t="s">
        <v>28</v>
      </c>
      <c r="D2" s="77" t="s">
        <v>39</v>
      </c>
      <c r="E2" s="77" t="s">
        <v>51</v>
      </c>
      <c r="F2" s="77" t="s">
        <v>57</v>
      </c>
      <c r="G2" s="77" t="s">
        <v>938</v>
      </c>
      <c r="H2" s="77" t="s">
        <v>82</v>
      </c>
      <c r="I2" s="77" t="s">
        <v>95</v>
      </c>
      <c r="J2" s="77" t="s">
        <v>107</v>
      </c>
      <c r="K2" s="77" t="s">
        <v>121</v>
      </c>
    </row>
    <row r="3" spans="1:11" ht="26.25" thickBot="1">
      <c r="A3" s="77" t="s">
        <v>970</v>
      </c>
      <c r="B3" s="78" t="s">
        <v>939</v>
      </c>
      <c r="C3" s="78" t="s">
        <v>940</v>
      </c>
      <c r="D3" s="78" t="s">
        <v>941</v>
      </c>
      <c r="E3" s="78" t="s">
        <v>942</v>
      </c>
      <c r="F3" s="78" t="s">
        <v>943</v>
      </c>
      <c r="G3" s="78" t="s">
        <v>944</v>
      </c>
      <c r="H3" s="78" t="s">
        <v>945</v>
      </c>
      <c r="I3" s="78" t="s">
        <v>946</v>
      </c>
      <c r="J3" s="78" t="s">
        <v>947</v>
      </c>
      <c r="K3" s="78" t="s">
        <v>948</v>
      </c>
    </row>
    <row r="4" spans="1:11" ht="26.25" thickBot="1">
      <c r="A4" s="77" t="s">
        <v>2</v>
      </c>
      <c r="B4" s="79" t="s">
        <v>949</v>
      </c>
      <c r="C4" s="79" t="s">
        <v>950</v>
      </c>
      <c r="D4" s="79" t="s">
        <v>951</v>
      </c>
      <c r="E4" s="79" t="s">
        <v>952</v>
      </c>
      <c r="F4" s="79" t="s">
        <v>953</v>
      </c>
      <c r="G4" s="79" t="s">
        <v>954</v>
      </c>
      <c r="H4" s="79" t="s">
        <v>955</v>
      </c>
      <c r="I4" s="79" t="s">
        <v>956</v>
      </c>
      <c r="J4" s="79" t="s">
        <v>957</v>
      </c>
      <c r="K4" s="79" t="s">
        <v>958</v>
      </c>
    </row>
    <row r="5" spans="1:11" ht="26.25" thickBot="1">
      <c r="A5" s="77" t="s">
        <v>959</v>
      </c>
      <c r="B5" s="79" t="s">
        <v>960</v>
      </c>
      <c r="C5" s="79" t="s">
        <v>961</v>
      </c>
      <c r="D5" s="79" t="s">
        <v>962</v>
      </c>
      <c r="E5" s="79" t="s">
        <v>50</v>
      </c>
      <c r="F5" s="79" t="s">
        <v>963</v>
      </c>
      <c r="G5" s="79" t="s">
        <v>964</v>
      </c>
      <c r="H5" s="79" t="s">
        <v>965</v>
      </c>
      <c r="I5" s="79" t="s">
        <v>966</v>
      </c>
      <c r="J5" s="79" t="s">
        <v>967</v>
      </c>
      <c r="K5" s="79" t="s">
        <v>968</v>
      </c>
    </row>
    <row r="6" spans="1:11" ht="26.25" thickBot="1">
      <c r="A6" s="77" t="s">
        <v>6</v>
      </c>
      <c r="B6" s="79" t="s">
        <v>960</v>
      </c>
      <c r="C6" s="79" t="s">
        <v>961</v>
      </c>
      <c r="D6" s="79" t="s">
        <v>962</v>
      </c>
      <c r="E6" s="79" t="s">
        <v>50</v>
      </c>
      <c r="F6" s="79" t="s">
        <v>969</v>
      </c>
      <c r="G6" s="79" t="s">
        <v>964</v>
      </c>
      <c r="H6" s="79" t="s">
        <v>965</v>
      </c>
      <c r="I6" s="79" t="s">
        <v>966</v>
      </c>
      <c r="J6" s="79" t="s">
        <v>967</v>
      </c>
      <c r="K6" s="79" t="s">
        <v>968</v>
      </c>
    </row>
    <row r="7" spans="1:11" ht="26.25" thickBot="1">
      <c r="A7" s="77" t="s">
        <v>937</v>
      </c>
      <c r="B7" s="77" t="s">
        <v>135</v>
      </c>
      <c r="C7" s="77" t="s">
        <v>142</v>
      </c>
      <c r="D7" s="77" t="s">
        <v>154</v>
      </c>
      <c r="E7" s="77" t="s">
        <v>160</v>
      </c>
      <c r="F7" s="77" t="s">
        <v>172</v>
      </c>
      <c r="G7" s="77" t="s">
        <v>184</v>
      </c>
      <c r="H7" s="77" t="s">
        <v>190</v>
      </c>
      <c r="I7" s="77" t="s">
        <v>202</v>
      </c>
      <c r="J7" s="77" t="s">
        <v>212</v>
      </c>
      <c r="K7" s="77" t="s">
        <v>224</v>
      </c>
    </row>
    <row r="8" spans="1:11" ht="26.25" thickBot="1">
      <c r="A8" s="77" t="s">
        <v>970</v>
      </c>
      <c r="B8" s="78" t="s">
        <v>971</v>
      </c>
      <c r="C8" s="78" t="s">
        <v>972</v>
      </c>
      <c r="D8" s="78" t="s">
        <v>973</v>
      </c>
      <c r="E8" s="78" t="s">
        <v>974</v>
      </c>
      <c r="F8" s="78" t="s">
        <v>975</v>
      </c>
      <c r="G8" s="78" t="s">
        <v>976</v>
      </c>
      <c r="H8" s="78" t="s">
        <v>977</v>
      </c>
      <c r="I8" s="78" t="s">
        <v>978</v>
      </c>
      <c r="J8" s="78" t="s">
        <v>979</v>
      </c>
      <c r="K8" s="78" t="s">
        <v>980</v>
      </c>
    </row>
    <row r="9" spans="1:11" ht="26.25" thickBot="1">
      <c r="A9" s="77" t="s">
        <v>2</v>
      </c>
      <c r="B9" s="79" t="s">
        <v>981</v>
      </c>
      <c r="C9" s="79" t="s">
        <v>982</v>
      </c>
      <c r="D9" s="79" t="s">
        <v>983</v>
      </c>
      <c r="E9" s="79" t="s">
        <v>984</v>
      </c>
      <c r="F9" s="79" t="s">
        <v>985</v>
      </c>
      <c r="G9" s="79" t="s">
        <v>986</v>
      </c>
      <c r="H9" s="79" t="s">
        <v>987</v>
      </c>
      <c r="I9" s="79" t="s">
        <v>988</v>
      </c>
      <c r="J9" s="79" t="s">
        <v>989</v>
      </c>
      <c r="K9" s="79" t="s">
        <v>990</v>
      </c>
    </row>
    <row r="10" spans="1:11" ht="26.25" thickBot="1">
      <c r="A10" s="77" t="s">
        <v>959</v>
      </c>
      <c r="B10" s="79" t="s">
        <v>136</v>
      </c>
      <c r="C10" s="79" t="s">
        <v>991</v>
      </c>
      <c r="D10" s="79" t="s">
        <v>60</v>
      </c>
      <c r="E10" s="79" t="s">
        <v>992</v>
      </c>
      <c r="F10" s="79" t="s">
        <v>993</v>
      </c>
      <c r="G10" s="79" t="s">
        <v>183</v>
      </c>
      <c r="H10" s="79" t="s">
        <v>994</v>
      </c>
      <c r="I10" s="79" t="s">
        <v>995</v>
      </c>
      <c r="J10" s="79" t="s">
        <v>996</v>
      </c>
      <c r="K10" s="79" t="s">
        <v>997</v>
      </c>
    </row>
    <row r="11" spans="1:11" ht="26.25" thickBot="1">
      <c r="A11" s="77" t="s">
        <v>6</v>
      </c>
      <c r="B11" s="79" t="s">
        <v>136</v>
      </c>
      <c r="C11" s="79" t="s">
        <v>998</v>
      </c>
      <c r="D11" s="79" t="s">
        <v>60</v>
      </c>
      <c r="E11" s="79" t="s">
        <v>992</v>
      </c>
      <c r="F11" s="79" t="s">
        <v>993</v>
      </c>
      <c r="G11" s="79" t="s">
        <v>183</v>
      </c>
      <c r="H11" s="79" t="s">
        <v>994</v>
      </c>
      <c r="I11" s="79" t="s">
        <v>995</v>
      </c>
      <c r="J11" s="79" t="s">
        <v>996</v>
      </c>
      <c r="K11" s="79" t="s">
        <v>997</v>
      </c>
    </row>
    <row r="12" spans="1:11" ht="26.25" thickBot="1">
      <c r="A12" s="77" t="s">
        <v>937</v>
      </c>
      <c r="B12" s="77" t="s">
        <v>236</v>
      </c>
      <c r="C12" s="77" t="s">
        <v>248</v>
      </c>
      <c r="D12" s="77" t="s">
        <v>261</v>
      </c>
      <c r="E12" s="77" t="s">
        <v>273</v>
      </c>
      <c r="F12" s="77" t="s">
        <v>283</v>
      </c>
      <c r="G12" s="77" t="s">
        <v>295</v>
      </c>
      <c r="H12" s="77" t="s">
        <v>309</v>
      </c>
      <c r="I12" s="77" t="s">
        <v>317</v>
      </c>
      <c r="J12" s="77" t="s">
        <v>325</v>
      </c>
      <c r="K12" s="77" t="s">
        <v>333</v>
      </c>
    </row>
    <row r="13" spans="1:11" ht="26.25" thickBot="1">
      <c r="A13" s="77" t="s">
        <v>970</v>
      </c>
      <c r="B13" s="78" t="s">
        <v>999</v>
      </c>
      <c r="C13" s="78" t="s">
        <v>1000</v>
      </c>
      <c r="D13" s="78" t="s">
        <v>1001</v>
      </c>
      <c r="E13" s="78" t="s">
        <v>1002</v>
      </c>
      <c r="F13" s="78" t="s">
        <v>1003</v>
      </c>
      <c r="G13" s="78" t="s">
        <v>1004</v>
      </c>
      <c r="H13" s="78" t="s">
        <v>1005</v>
      </c>
      <c r="I13" s="78" t="s">
        <v>1006</v>
      </c>
      <c r="J13" s="78" t="s">
        <v>1007</v>
      </c>
      <c r="K13" s="78" t="s">
        <v>1008</v>
      </c>
    </row>
    <row r="14" spans="1:11" ht="26.25" thickBot="1">
      <c r="A14" s="77" t="s">
        <v>2</v>
      </c>
      <c r="B14" s="79" t="s">
        <v>1009</v>
      </c>
      <c r="C14" s="79" t="s">
        <v>1010</v>
      </c>
      <c r="D14" s="79" t="s">
        <v>1011</v>
      </c>
      <c r="E14" s="79" t="s">
        <v>1012</v>
      </c>
      <c r="F14" s="79" t="s">
        <v>1013</v>
      </c>
      <c r="G14" s="79" t="s">
        <v>1014</v>
      </c>
      <c r="H14" s="79" t="s">
        <v>1015</v>
      </c>
      <c r="I14" s="79" t="s">
        <v>1016</v>
      </c>
      <c r="J14" s="79" t="s">
        <v>1017</v>
      </c>
      <c r="K14" s="79" t="s">
        <v>1018</v>
      </c>
    </row>
    <row r="15" spans="1:11" ht="26.25" thickBot="1">
      <c r="A15" s="77" t="s">
        <v>959</v>
      </c>
      <c r="B15" s="79" t="s">
        <v>1019</v>
      </c>
      <c r="C15" s="79" t="s">
        <v>1020</v>
      </c>
      <c r="D15" s="79" t="s">
        <v>1021</v>
      </c>
      <c r="E15" s="79" t="s">
        <v>1022</v>
      </c>
      <c r="F15" s="79" t="s">
        <v>1023</v>
      </c>
      <c r="G15" s="79" t="s">
        <v>1024</v>
      </c>
      <c r="H15" s="79" t="s">
        <v>1025</v>
      </c>
      <c r="I15" s="79" t="s">
        <v>1026</v>
      </c>
      <c r="J15" s="79" t="s">
        <v>1027</v>
      </c>
      <c r="K15" s="79" t="s">
        <v>332</v>
      </c>
    </row>
    <row r="16" spans="1:11" ht="26.25" thickBot="1">
      <c r="A16" s="77" t="s">
        <v>6</v>
      </c>
      <c r="B16" s="79" t="s">
        <v>1019</v>
      </c>
      <c r="C16" s="79" t="s">
        <v>1020</v>
      </c>
      <c r="D16" s="79" t="s">
        <v>1028</v>
      </c>
      <c r="E16" s="79" t="s">
        <v>1022</v>
      </c>
      <c r="F16" s="79" t="s">
        <v>1023</v>
      </c>
      <c r="G16" s="79" t="s">
        <v>1029</v>
      </c>
      <c r="H16" s="79" t="s">
        <v>1025</v>
      </c>
      <c r="I16" s="79" t="s">
        <v>1026</v>
      </c>
      <c r="J16" s="79" t="s">
        <v>1027</v>
      </c>
      <c r="K16" s="79" t="s">
        <v>332</v>
      </c>
    </row>
    <row r="17" spans="1:11" ht="26.25" thickBot="1">
      <c r="A17" s="77" t="s">
        <v>937</v>
      </c>
      <c r="B17" s="77" t="s">
        <v>338</v>
      </c>
      <c r="C17" s="77" t="s">
        <v>349</v>
      </c>
      <c r="D17" s="77" t="s">
        <v>358</v>
      </c>
      <c r="E17" s="77" t="s">
        <v>368</v>
      </c>
      <c r="F17" s="77" t="s">
        <v>381</v>
      </c>
      <c r="G17" s="77" t="s">
        <v>389</v>
      </c>
      <c r="H17" s="77" t="s">
        <v>397</v>
      </c>
      <c r="I17" s="77" t="s">
        <v>405</v>
      </c>
      <c r="J17" s="77" t="s">
        <v>410</v>
      </c>
      <c r="K17" s="77" t="s">
        <v>415</v>
      </c>
    </row>
    <row r="18" spans="1:11" ht="26.25" thickBot="1">
      <c r="A18" s="77" t="s">
        <v>970</v>
      </c>
      <c r="B18" s="78" t="s">
        <v>1030</v>
      </c>
      <c r="C18" s="78" t="s">
        <v>1031</v>
      </c>
      <c r="D18" s="78" t="s">
        <v>1032</v>
      </c>
      <c r="E18" s="78" t="s">
        <v>1033</v>
      </c>
      <c r="F18" s="78" t="s">
        <v>1034</v>
      </c>
      <c r="G18" s="78" t="s">
        <v>1035</v>
      </c>
      <c r="H18" s="78" t="s">
        <v>1036</v>
      </c>
      <c r="I18" s="78" t="s">
        <v>1037</v>
      </c>
      <c r="J18" s="78" t="s">
        <v>1038</v>
      </c>
      <c r="K18" s="78" t="s">
        <v>1039</v>
      </c>
    </row>
    <row r="19" spans="1:11" ht="26.25" thickBot="1">
      <c r="A19" s="77" t="s">
        <v>2</v>
      </c>
      <c r="B19" s="79" t="s">
        <v>1040</v>
      </c>
      <c r="C19" s="79" t="s">
        <v>1041</v>
      </c>
      <c r="D19" s="79" t="s">
        <v>1042</v>
      </c>
      <c r="E19" s="79" t="s">
        <v>1043</v>
      </c>
      <c r="F19" s="79" t="s">
        <v>1044</v>
      </c>
      <c r="G19" s="79" t="s">
        <v>1045</v>
      </c>
      <c r="H19" s="79" t="s">
        <v>1046</v>
      </c>
      <c r="I19" s="79" t="s">
        <v>1047</v>
      </c>
      <c r="J19" s="79" t="s">
        <v>1048</v>
      </c>
      <c r="K19" s="79" t="s">
        <v>1049</v>
      </c>
    </row>
    <row r="20" spans="1:11" ht="26.25" thickBot="1">
      <c r="A20" s="77" t="s">
        <v>959</v>
      </c>
      <c r="B20" s="79" t="s">
        <v>342</v>
      </c>
      <c r="C20" s="79" t="s">
        <v>353</v>
      </c>
      <c r="D20" s="79" t="s">
        <v>1050</v>
      </c>
      <c r="E20" s="79" t="s">
        <v>1051</v>
      </c>
      <c r="F20" s="79" t="s">
        <v>385</v>
      </c>
      <c r="G20" s="79" t="s">
        <v>394</v>
      </c>
      <c r="H20" s="79" t="s">
        <v>401</v>
      </c>
      <c r="I20" s="79" t="s">
        <v>407</v>
      </c>
      <c r="J20" s="79" t="s">
        <v>963</v>
      </c>
      <c r="K20" s="79" t="s">
        <v>419</v>
      </c>
    </row>
    <row r="21" spans="1:11" ht="26.25" thickBot="1">
      <c r="A21" s="77" t="s">
        <v>6</v>
      </c>
      <c r="B21" s="79" t="s">
        <v>340</v>
      </c>
      <c r="C21" s="79" t="s">
        <v>351</v>
      </c>
      <c r="D21" s="79" t="s">
        <v>1050</v>
      </c>
      <c r="E21" s="79" t="s">
        <v>1052</v>
      </c>
      <c r="F21" s="79" t="s">
        <v>383</v>
      </c>
      <c r="G21" s="79" t="s">
        <v>391</v>
      </c>
      <c r="H21" s="79" t="s">
        <v>399</v>
      </c>
      <c r="I21" s="79" t="s">
        <v>407</v>
      </c>
      <c r="J21" s="79" t="s">
        <v>963</v>
      </c>
      <c r="K21" s="79" t="s">
        <v>417</v>
      </c>
    </row>
    <row r="22" spans="1:11" ht="26.25" thickBot="1">
      <c r="A22" s="77" t="s">
        <v>937</v>
      </c>
      <c r="B22" s="77" t="s">
        <v>422</v>
      </c>
      <c r="C22" s="77" t="s">
        <v>429</v>
      </c>
      <c r="D22" s="77" t="s">
        <v>436</v>
      </c>
      <c r="E22" s="77" t="s">
        <v>447</v>
      </c>
      <c r="F22" s="77" t="s">
        <v>458</v>
      </c>
      <c r="G22" s="77" t="s">
        <v>465</v>
      </c>
      <c r="H22" s="77" t="s">
        <v>477</v>
      </c>
      <c r="I22" s="77" t="s">
        <v>489</v>
      </c>
      <c r="J22" s="77" t="s">
        <v>496</v>
      </c>
      <c r="K22" s="77" t="s">
        <v>505</v>
      </c>
    </row>
    <row r="23" spans="1:11" ht="26.25" thickBot="1">
      <c r="A23" s="77" t="s">
        <v>970</v>
      </c>
      <c r="B23" s="78" t="s">
        <v>1053</v>
      </c>
      <c r="C23" s="78" t="s">
        <v>1054</v>
      </c>
      <c r="D23" s="78" t="s">
        <v>1055</v>
      </c>
      <c r="E23" s="78" t="s">
        <v>1056</v>
      </c>
      <c r="F23" s="78" t="s">
        <v>1057</v>
      </c>
      <c r="G23" s="78" t="s">
        <v>1058</v>
      </c>
      <c r="H23" s="78" t="s">
        <v>1059</v>
      </c>
      <c r="I23" s="78" t="s">
        <v>1060</v>
      </c>
      <c r="J23" s="78" t="s">
        <v>1061</v>
      </c>
      <c r="K23" s="78" t="s">
        <v>1062</v>
      </c>
    </row>
    <row r="24" spans="1:11" ht="26.25" thickBot="1">
      <c r="A24" s="77" t="s">
        <v>2</v>
      </c>
      <c r="B24" s="79" t="s">
        <v>1063</v>
      </c>
      <c r="C24" s="79" t="s">
        <v>1064</v>
      </c>
      <c r="D24" s="79" t="s">
        <v>1065</v>
      </c>
      <c r="E24" s="79" t="s">
        <v>1066</v>
      </c>
      <c r="F24" s="79" t="s">
        <v>1067</v>
      </c>
      <c r="G24" s="79" t="s">
        <v>1068</v>
      </c>
      <c r="H24" s="79" t="s">
        <v>1069</v>
      </c>
      <c r="I24" s="79" t="s">
        <v>1070</v>
      </c>
      <c r="J24" s="79" t="s">
        <v>1071</v>
      </c>
      <c r="K24" s="79" t="s">
        <v>1072</v>
      </c>
    </row>
    <row r="25" spans="1:11" ht="26.25" thickBot="1">
      <c r="A25" s="77" t="s">
        <v>959</v>
      </c>
      <c r="B25" s="79" t="s">
        <v>427</v>
      </c>
      <c r="C25" s="79" t="s">
        <v>432</v>
      </c>
      <c r="D25" s="79" t="s">
        <v>1073</v>
      </c>
      <c r="E25" s="79" t="s">
        <v>1074</v>
      </c>
      <c r="F25" s="79" t="s">
        <v>1075</v>
      </c>
      <c r="G25" s="79" t="s">
        <v>1076</v>
      </c>
      <c r="H25" s="79" t="s">
        <v>1077</v>
      </c>
      <c r="I25" s="79" t="s">
        <v>493</v>
      </c>
      <c r="J25" s="79" t="s">
        <v>1078</v>
      </c>
      <c r="K25" s="79" t="s">
        <v>509</v>
      </c>
    </row>
    <row r="26" spans="1:11" ht="26.25" thickBot="1">
      <c r="A26" s="77" t="s">
        <v>6</v>
      </c>
      <c r="B26" s="79" t="s">
        <v>425</v>
      </c>
      <c r="C26" s="79" t="s">
        <v>432</v>
      </c>
      <c r="D26" s="79" t="s">
        <v>1073</v>
      </c>
      <c r="E26" s="79" t="s">
        <v>1079</v>
      </c>
      <c r="F26" s="79" t="s">
        <v>1080</v>
      </c>
      <c r="G26" s="79" t="s">
        <v>1081</v>
      </c>
      <c r="H26" s="79" t="s">
        <v>1077</v>
      </c>
      <c r="I26" s="79" t="s">
        <v>491</v>
      </c>
      <c r="J26" s="79" t="s">
        <v>1082</v>
      </c>
      <c r="K26" s="79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輸入工具</vt:lpstr>
      <vt:lpstr>【聲】聲母對照表</vt:lpstr>
      <vt:lpstr>【韻】韻母對照表</vt:lpstr>
      <vt:lpstr>【韻】韻母對照表（十五音）</vt:lpstr>
      <vt:lpstr>【韻】韻母清單（工作表） </vt:lpstr>
      <vt:lpstr>【調】聲調對照表</vt:lpstr>
      <vt:lpstr>【調】韻母標調</vt:lpstr>
      <vt:lpstr>【韻】韻母清單（台語音標）</vt:lpstr>
      <vt:lpstr>工作表4</vt:lpstr>
      <vt:lpstr>台語音標韻母清單【依字長反排序】 (2)</vt:lpstr>
      <vt:lpstr>韻母轉換規則</vt:lpstr>
      <vt:lpstr>台語注音二式轉換</vt:lpstr>
      <vt:lpstr>工作表1</vt:lpstr>
      <vt:lpstr>工作表2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2026-06-03T15:58:25Z</dcterms:modified>
</cp:coreProperties>
</file>