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F7D268D6-69D6-4A2A-86EE-E1B1CF43B45B}" xr6:coauthVersionLast="47" xr6:coauthVersionMax="47" xr10:uidLastSave="{00000000-0000-0000-0000-000000000000}"/>
  <bookViews>
    <workbookView xWindow="-120" yWindow="-120" windowWidth="38640" windowHeight="15720" tabRatio="811" activeTab="7" xr2:uid="{7E808FC4-FD7B-4D2F-8735-FF65DCE8E5C1}"/>
  </bookViews>
  <sheets>
    <sheet name="輸入工具" sheetId="20" r:id="rId1"/>
    <sheet name="輸入工具 (閩拼方案)" sheetId="21" r:id="rId2"/>
    <sheet name="輸入工具 (台語注音二式)" sheetId="22" r:id="rId3"/>
    <sheet name="輸入工具 (台語音標)" sheetId="24" r:id="rId4"/>
    <sheet name="輸入工具 (台羅拼音)" sheetId="23" r:id="rId5"/>
    <sheet name="輸入工具 (白話字)" sheetId="25" r:id="rId6"/>
    <sheet name="【聲】聲母對照表" sheetId="1" r:id="rId7"/>
    <sheet name="【韻】韻母對照表" sheetId="17" r:id="rId8"/>
    <sheet name="【韻】韻母對照表（十五音）" sheetId="2" r:id="rId9"/>
    <sheet name="【韻】韻母清單（工作表） " sheetId="18" r:id="rId10"/>
    <sheet name="【調】聲調對照表" sheetId="3" r:id="rId11"/>
    <sheet name="【調】韻母標調" sheetId="19" r:id="rId12"/>
    <sheet name="【韻】韻母清單（台語音標）" sheetId="14" r:id="rId13"/>
    <sheet name="工作表4" sheetId="16" r:id="rId14"/>
    <sheet name="台語音標韻母清單【依字長反排序】 (2)" sheetId="15" r:id="rId15"/>
    <sheet name="韻母轉換規則" sheetId="6" r:id="rId16"/>
    <sheet name="台語注音二式轉換" sheetId="7" r:id="rId17"/>
    <sheet name="工作表1" sheetId="12" r:id="rId18"/>
    <sheet name="工作表2" sheetId="13" r:id="rId19"/>
    <sheet name="十五音韻母" sheetId="9" r:id="rId20"/>
    <sheet name="舊版聲調對照表" sheetId="4" r:id="rId21"/>
    <sheet name="【韻】韻母對照表 (2)" sheetId="10" r:id="rId22"/>
    <sheet name="工作表3" sheetId="8" r:id="rId23"/>
  </sheets>
  <definedNames>
    <definedName name="_xlnm._FilterDatabase" localSheetId="9" hidden="1">'【韻】韻母清單（工作表） '!$B$3:$L$85</definedName>
    <definedName name="_xlnm._FilterDatabase" localSheetId="12" hidden="1">'【韻】韻母清單（台語音標）'!$B$3:$L$99</definedName>
    <definedName name="_xlnm._FilterDatabase" localSheetId="7" hidden="1">【韻】韻母對照表!$B$3:$O$89</definedName>
    <definedName name="_xlnm._FilterDatabase" localSheetId="14" hidden="1">'台語音標韻母清單【依字長反排序】 (2)'!$B$3:$K$99</definedName>
    <definedName name="_xlnm._FilterDatabase" localSheetId="15" hidden="1">韻母轉換規則!$B$2:$J$98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25" l="1"/>
  <c r="D15" i="25"/>
  <c r="J6" i="25" a="1"/>
  <c r="J6" i="25" s="1"/>
  <c r="K6" i="25" a="1"/>
  <c r="K6" i="25" s="1"/>
  <c r="J7" i="25" a="1"/>
  <c r="J7" i="25"/>
  <c r="K7" i="25" a="1"/>
  <c r="K7" i="25" s="1"/>
  <c r="J8" i="25" a="1"/>
  <c r="J8" i="25"/>
  <c r="K8" i="25" a="1"/>
  <c r="K8" i="25" s="1"/>
  <c r="J9" i="25" a="1"/>
  <c r="J9" i="25"/>
  <c r="K9" i="25" a="1"/>
  <c r="K9" i="25"/>
  <c r="J10" i="25" a="1"/>
  <c r="J10" i="25" s="1"/>
  <c r="K10" i="25" a="1"/>
  <c r="K10" i="25" s="1"/>
  <c r="J11" i="25" a="1"/>
  <c r="J11" i="25" s="1"/>
  <c r="J12" i="25" a="1"/>
  <c r="J12" i="25"/>
  <c r="K12" i="25" a="1"/>
  <c r="K12" i="25" s="1"/>
  <c r="J13" i="25" a="1"/>
  <c r="J13" i="25"/>
  <c r="K13" i="25" a="1"/>
  <c r="K13" i="25" s="1"/>
  <c r="J14" i="25" a="1"/>
  <c r="J14" i="25" s="1"/>
  <c r="K14" i="25" a="1"/>
  <c r="K14" i="25" s="1"/>
  <c r="J15" i="25" a="1"/>
  <c r="J15" i="25"/>
  <c r="K15" i="25" a="1"/>
  <c r="K15" i="25" s="1"/>
  <c r="J16" i="25" a="1"/>
  <c r="J16" i="25"/>
  <c r="K16" i="25" a="1"/>
  <c r="K16" i="25" s="1"/>
  <c r="J17" i="25" a="1"/>
  <c r="J17" i="25" s="1"/>
  <c r="K17" i="25" a="1"/>
  <c r="K17" i="25"/>
  <c r="J18" i="25" a="1"/>
  <c r="J18" i="25" s="1"/>
  <c r="K18" i="25" a="1"/>
  <c r="K18" i="25" s="1"/>
  <c r="J19" i="25" a="1"/>
  <c r="J19" i="25"/>
  <c r="K19" i="25" a="1"/>
  <c r="K19" i="25" s="1"/>
  <c r="J20" i="25" a="1"/>
  <c r="J20" i="25"/>
  <c r="K20" i="25" a="1"/>
  <c r="K20" i="25" s="1"/>
  <c r="J21" i="25" a="1"/>
  <c r="J21" i="25"/>
  <c r="K21" i="25" a="1"/>
  <c r="K21" i="25" s="1"/>
  <c r="J22" i="25" a="1"/>
  <c r="J22" i="25" s="1"/>
  <c r="K22" i="25" a="1"/>
  <c r="K22" i="25" s="1"/>
  <c r="J23" i="25" a="1"/>
  <c r="J23" i="25"/>
  <c r="K23" i="25" a="1"/>
  <c r="K23" i="25" s="1"/>
  <c r="J24" i="25" a="1"/>
  <c r="J24" i="25"/>
  <c r="K24" i="25" a="1"/>
  <c r="K24" i="25" s="1"/>
  <c r="J25" i="25" a="1"/>
  <c r="J25" i="25"/>
  <c r="K25" i="25" a="1"/>
  <c r="K25" i="25" s="1"/>
  <c r="J26" i="25" a="1"/>
  <c r="J26" i="25" s="1"/>
  <c r="J27" i="25" a="1"/>
  <c r="J27" i="25"/>
  <c r="K27" i="25" a="1"/>
  <c r="K27" i="25" s="1"/>
  <c r="J28" i="25" a="1"/>
  <c r="J28" i="25"/>
  <c r="K28" i="25" a="1"/>
  <c r="K28" i="25" s="1"/>
  <c r="J29" i="25" a="1"/>
  <c r="J29" i="25" s="1"/>
  <c r="J30" i="25" a="1"/>
  <c r="J30" i="25" s="1"/>
  <c r="K30" i="25" a="1"/>
  <c r="K30" i="25" s="1"/>
  <c r="J31" i="25" a="1"/>
  <c r="J31" i="25"/>
  <c r="K31" i="25" a="1"/>
  <c r="K31" i="25" s="1"/>
  <c r="J32" i="25" a="1"/>
  <c r="J32" i="25"/>
  <c r="K32" i="25" a="1"/>
  <c r="K32" i="25" s="1"/>
  <c r="J33" i="25" a="1"/>
  <c r="J33" i="25"/>
  <c r="K33" i="25" a="1"/>
  <c r="K33" i="25" s="1"/>
  <c r="J34" i="25" a="1"/>
  <c r="J34" i="25" s="1"/>
  <c r="J35" i="25" a="1"/>
  <c r="J35" i="25"/>
  <c r="J36" i="25" a="1"/>
  <c r="J36" i="25"/>
  <c r="K36" i="25" a="1"/>
  <c r="K36" i="25" s="1"/>
  <c r="K5" i="25" a="1"/>
  <c r="K5" i="25" s="1"/>
  <c r="J5" i="25" a="1"/>
  <c r="J5" i="25" s="1"/>
  <c r="G6" i="25"/>
  <c r="G7" i="25"/>
  <c r="G8" i="25"/>
  <c r="G9" i="25"/>
  <c r="G10" i="25"/>
  <c r="B23" i="17"/>
  <c r="B24" i="17"/>
  <c r="L39" i="25" a="1"/>
  <c r="L39" i="25" s="1"/>
  <c r="K39" i="25" a="1"/>
  <c r="K39" i="25" s="1"/>
  <c r="J39" i="25" a="1"/>
  <c r="J39" i="25" s="1"/>
  <c r="H36" i="25"/>
  <c r="L36" i="25" s="1" a="1"/>
  <c r="L36" i="25" s="1"/>
  <c r="G36" i="25"/>
  <c r="B36" i="25"/>
  <c r="H35" i="25"/>
  <c r="L35" i="25" s="1" a="1"/>
  <c r="L35" i="25" s="1"/>
  <c r="G35" i="25"/>
  <c r="K35" i="25" s="1" a="1"/>
  <c r="K35" i="25" s="1"/>
  <c r="B35" i="25"/>
  <c r="H34" i="25"/>
  <c r="L34" i="25" s="1" a="1"/>
  <c r="L34" i="25" s="1"/>
  <c r="G34" i="25"/>
  <c r="K34" i="25" s="1" a="1"/>
  <c r="K34" i="25" s="1"/>
  <c r="B34" i="25"/>
  <c r="L33" i="25" a="1"/>
  <c r="L33" i="25" s="1"/>
  <c r="H33" i="25"/>
  <c r="G33" i="25"/>
  <c r="B33" i="25"/>
  <c r="H32" i="25"/>
  <c r="L32" i="25" s="1" a="1"/>
  <c r="L32" i="25" s="1"/>
  <c r="G32" i="25"/>
  <c r="B32" i="25"/>
  <c r="L31" i="25" a="1"/>
  <c r="L31" i="25" s="1"/>
  <c r="H31" i="25"/>
  <c r="G31" i="25"/>
  <c r="B31" i="25"/>
  <c r="L30" i="25" a="1"/>
  <c r="L30" i="25" s="1"/>
  <c r="H30" i="25"/>
  <c r="G30" i="25"/>
  <c r="B30" i="25"/>
  <c r="H29" i="25"/>
  <c r="L29" i="25" s="1" a="1"/>
  <c r="L29" i="25" s="1"/>
  <c r="G29" i="25"/>
  <c r="K29" i="25" s="1" a="1"/>
  <c r="K29" i="25" s="1"/>
  <c r="B29" i="25"/>
  <c r="L28" i="25" a="1"/>
  <c r="L28" i="25" s="1"/>
  <c r="H28" i="25"/>
  <c r="G28" i="25"/>
  <c r="B28" i="25"/>
  <c r="L27" i="25" a="1"/>
  <c r="L27" i="25" s="1"/>
  <c r="H27" i="25"/>
  <c r="G27" i="25"/>
  <c r="B27" i="25"/>
  <c r="H26" i="25"/>
  <c r="L26" i="25" s="1" a="1"/>
  <c r="L26" i="25" s="1"/>
  <c r="G26" i="25"/>
  <c r="K26" i="25" s="1" a="1"/>
  <c r="K26" i="25" s="1"/>
  <c r="B26" i="25"/>
  <c r="L25" i="25" a="1"/>
  <c r="L25" i="25" s="1"/>
  <c r="H25" i="25"/>
  <c r="B25" i="25"/>
  <c r="L24" i="25" a="1"/>
  <c r="L24" i="25" s="1"/>
  <c r="H24" i="25"/>
  <c r="G24" i="25"/>
  <c r="B24" i="25"/>
  <c r="L23" i="25" a="1"/>
  <c r="L23" i="25" s="1"/>
  <c r="H23" i="25"/>
  <c r="G23" i="25"/>
  <c r="B23" i="25"/>
  <c r="H22" i="25"/>
  <c r="L22" i="25" s="1" a="1"/>
  <c r="L22" i="25" s="1"/>
  <c r="G22" i="25"/>
  <c r="B22" i="25"/>
  <c r="L21" i="25" a="1"/>
  <c r="L21" i="25" s="1"/>
  <c r="H21" i="25"/>
  <c r="G21" i="25"/>
  <c r="B21" i="25"/>
  <c r="L20" i="25" a="1"/>
  <c r="L20" i="25" s="1"/>
  <c r="H20" i="25"/>
  <c r="G20" i="25"/>
  <c r="B20" i="25"/>
  <c r="L19" i="25" a="1"/>
  <c r="L19" i="25" s="1"/>
  <c r="H19" i="25"/>
  <c r="G19" i="25"/>
  <c r="B19" i="25"/>
  <c r="L18" i="25" a="1"/>
  <c r="L18" i="25" s="1"/>
  <c r="H18" i="25"/>
  <c r="G18" i="25"/>
  <c r="B18" i="25"/>
  <c r="L17" i="25" a="1"/>
  <c r="L17" i="25" s="1"/>
  <c r="H17" i="25"/>
  <c r="G17" i="25"/>
  <c r="B17" i="25"/>
  <c r="H16" i="25"/>
  <c r="L16" i="25" s="1" a="1"/>
  <c r="L16" i="25" s="1"/>
  <c r="G16" i="25"/>
  <c r="B16" i="25"/>
  <c r="H15" i="25"/>
  <c r="L15" i="25" s="1" a="1"/>
  <c r="L15" i="25" s="1"/>
  <c r="G15" i="25"/>
  <c r="B15" i="25"/>
  <c r="L14" i="25" a="1"/>
  <c r="L14" i="25" s="1"/>
  <c r="H14" i="25"/>
  <c r="G14" i="25"/>
  <c r="B14" i="25"/>
  <c r="H13" i="25"/>
  <c r="L13" i="25" s="1" a="1"/>
  <c r="L13" i="25" s="1"/>
  <c r="G13" i="25"/>
  <c r="B13" i="25"/>
  <c r="L12" i="25" a="1"/>
  <c r="L12" i="25" s="1"/>
  <c r="H12" i="25"/>
  <c r="G12" i="25"/>
  <c r="B12" i="25"/>
  <c r="H11" i="25"/>
  <c r="L11" i="25" s="1" a="1"/>
  <c r="L11" i="25" s="1"/>
  <c r="G11" i="25"/>
  <c r="K11" i="25" s="1" a="1"/>
  <c r="K11" i="25" s="1"/>
  <c r="B11" i="25"/>
  <c r="L10" i="25" a="1"/>
  <c r="L10" i="25" s="1"/>
  <c r="H10" i="25"/>
  <c r="B10" i="25"/>
  <c r="H9" i="25"/>
  <c r="L9" i="25" s="1" a="1"/>
  <c r="L9" i="25" s="1"/>
  <c r="B9" i="25"/>
  <c r="L8" i="25" a="1"/>
  <c r="L8" i="25" s="1"/>
  <c r="H8" i="25"/>
  <c r="B8" i="25"/>
  <c r="L7" i="25" a="1"/>
  <c r="L7" i="25" s="1"/>
  <c r="H7" i="25"/>
  <c r="B7" i="25"/>
  <c r="H6" i="25"/>
  <c r="L6" i="25" s="1" a="1"/>
  <c r="L6" i="25" s="1"/>
  <c r="B6" i="25"/>
  <c r="H5" i="25"/>
  <c r="G5" i="25"/>
  <c r="B5" i="25"/>
  <c r="B2" i="25"/>
  <c r="J6" i="24" a="1"/>
  <c r="J6" i="24" s="1"/>
  <c r="K6" i="24" a="1"/>
  <c r="K6" i="24" s="1"/>
  <c r="J7" i="24" a="1"/>
  <c r="J7" i="24"/>
  <c r="K7" i="24" a="1"/>
  <c r="K7" i="24" s="1"/>
  <c r="J8" i="24" a="1"/>
  <c r="J8" i="24"/>
  <c r="K8" i="24" a="1"/>
  <c r="K8" i="24" s="1"/>
  <c r="J9" i="24" a="1"/>
  <c r="J9" i="24"/>
  <c r="K9" i="24" a="1"/>
  <c r="K9" i="24" s="1"/>
  <c r="J10" i="24" a="1"/>
  <c r="J10" i="24" s="1"/>
  <c r="K10" i="24" a="1"/>
  <c r="K10" i="24" s="1"/>
  <c r="J11" i="24" a="1"/>
  <c r="J11" i="24"/>
  <c r="K11" i="24" a="1"/>
  <c r="K11" i="24" s="1"/>
  <c r="J12" i="24" a="1"/>
  <c r="J12" i="24"/>
  <c r="K12" i="24" a="1"/>
  <c r="K12" i="24" s="1"/>
  <c r="J13" i="24" a="1"/>
  <c r="J13" i="24" s="1"/>
  <c r="K13" i="24" a="1"/>
  <c r="K13" i="24" s="1"/>
  <c r="J14" i="24" a="1"/>
  <c r="J14" i="24" s="1"/>
  <c r="K14" i="24" a="1"/>
  <c r="K14" i="24" s="1"/>
  <c r="J15" i="24" a="1"/>
  <c r="J15" i="24"/>
  <c r="K15" i="24" a="1"/>
  <c r="K15" i="24" s="1"/>
  <c r="J16" i="24" a="1"/>
  <c r="J16" i="24"/>
  <c r="K16" i="24" a="1"/>
  <c r="K16" i="24" s="1"/>
  <c r="J17" i="24" a="1"/>
  <c r="J17" i="24"/>
  <c r="K17" i="24" a="1"/>
  <c r="K17" i="24" s="1"/>
  <c r="J18" i="24" a="1"/>
  <c r="J18" i="24" s="1"/>
  <c r="K18" i="24" a="1"/>
  <c r="K18" i="24" s="1"/>
  <c r="J19" i="24" a="1"/>
  <c r="J19" i="24" s="1"/>
  <c r="K19" i="24" a="1"/>
  <c r="K19" i="24" s="1"/>
  <c r="J20" i="24" a="1"/>
  <c r="J20" i="24"/>
  <c r="K20" i="24" a="1"/>
  <c r="K20" i="24" s="1"/>
  <c r="J21" i="24" a="1"/>
  <c r="J21" i="24"/>
  <c r="J22" i="24" a="1"/>
  <c r="J22" i="24" s="1"/>
  <c r="K22" i="24" a="1"/>
  <c r="K22" i="24" s="1"/>
  <c r="J23" i="24" a="1"/>
  <c r="J23" i="24"/>
  <c r="K23" i="24" a="1"/>
  <c r="K23" i="24" s="1"/>
  <c r="J24" i="24" a="1"/>
  <c r="J24" i="24"/>
  <c r="K24" i="24" a="1"/>
  <c r="K24" i="24" s="1"/>
  <c r="J25" i="24" a="1"/>
  <c r="J25" i="24" s="1"/>
  <c r="K25" i="24" a="1"/>
  <c r="K25" i="24" s="1"/>
  <c r="J26" i="24" a="1"/>
  <c r="J26" i="24" s="1"/>
  <c r="J27" i="24" a="1"/>
  <c r="J27" i="24"/>
  <c r="J28" i="24" a="1"/>
  <c r="J28" i="24"/>
  <c r="K28" i="24" a="1"/>
  <c r="K28" i="24" s="1"/>
  <c r="J29" i="24" a="1"/>
  <c r="J29" i="24"/>
  <c r="K29" i="24" a="1"/>
  <c r="K29" i="24" s="1"/>
  <c r="J30" i="24" a="1"/>
  <c r="J30" i="24" s="1"/>
  <c r="K30" i="24" a="1"/>
  <c r="K30" i="24" s="1"/>
  <c r="J31" i="24" a="1"/>
  <c r="J31" i="24"/>
  <c r="K31" i="24" a="1"/>
  <c r="K31" i="24" s="1"/>
  <c r="J32" i="24" a="1"/>
  <c r="J32" i="24"/>
  <c r="K32" i="24" a="1"/>
  <c r="K32" i="24" s="1"/>
  <c r="J33" i="24" a="1"/>
  <c r="J33" i="24"/>
  <c r="K33" i="24" a="1"/>
  <c r="K33" i="24" s="1"/>
  <c r="J34" i="24" a="1"/>
  <c r="J34" i="24" s="1"/>
  <c r="J35" i="24" a="1"/>
  <c r="J35" i="24"/>
  <c r="K35" i="24" a="1"/>
  <c r="K35" i="24" s="1"/>
  <c r="J36" i="24" a="1"/>
  <c r="J36" i="24"/>
  <c r="K36" i="24" a="1"/>
  <c r="K36" i="24" s="1"/>
  <c r="K5" i="24" a="1"/>
  <c r="K5" i="24" s="1"/>
  <c r="J5" i="24" a="1"/>
  <c r="J5" i="24" s="1"/>
  <c r="L39" i="24"/>
  <c r="L39" i="24" a="1"/>
  <c r="K39" i="24" a="1"/>
  <c r="K39" i="24" s="1"/>
  <c r="J39" i="24" a="1"/>
  <c r="J39" i="24" s="1"/>
  <c r="H36" i="24"/>
  <c r="L36" i="24" s="1" a="1"/>
  <c r="L36" i="24" s="1"/>
  <c r="G36" i="24"/>
  <c r="E36" i="24" s="1"/>
  <c r="B36" i="24"/>
  <c r="L35" i="24" a="1"/>
  <c r="L35" i="24" s="1"/>
  <c r="H35" i="24"/>
  <c r="G35" i="24"/>
  <c r="B35" i="24"/>
  <c r="H34" i="24"/>
  <c r="L34" i="24" s="1" a="1"/>
  <c r="L34" i="24" s="1"/>
  <c r="G34" i="24"/>
  <c r="K34" i="24" s="1" a="1"/>
  <c r="K34" i="24" s="1"/>
  <c r="B34" i="24"/>
  <c r="H33" i="24"/>
  <c r="L33" i="24" s="1" a="1"/>
  <c r="L33" i="24" s="1"/>
  <c r="G33" i="24"/>
  <c r="B33" i="24"/>
  <c r="L32" i="24" a="1"/>
  <c r="L32" i="24" s="1"/>
  <c r="H32" i="24"/>
  <c r="G32" i="24"/>
  <c r="B32" i="24"/>
  <c r="L31" i="24" a="1"/>
  <c r="L31" i="24" s="1"/>
  <c r="H31" i="24"/>
  <c r="G31" i="24"/>
  <c r="B31" i="24"/>
  <c r="H30" i="24"/>
  <c r="L30" i="24" s="1" a="1"/>
  <c r="L30" i="24" s="1"/>
  <c r="G30" i="24"/>
  <c r="B30" i="24"/>
  <c r="H29" i="24"/>
  <c r="L29" i="24" s="1" a="1"/>
  <c r="L29" i="24" s="1"/>
  <c r="G29" i="24"/>
  <c r="B29" i="24"/>
  <c r="H28" i="24"/>
  <c r="L28" i="24" s="1" a="1"/>
  <c r="L28" i="24" s="1"/>
  <c r="G28" i="24"/>
  <c r="B28" i="24"/>
  <c r="L27" i="24" a="1"/>
  <c r="L27" i="24" s="1"/>
  <c r="H27" i="24"/>
  <c r="G27" i="24"/>
  <c r="B27" i="24"/>
  <c r="L26" i="24" a="1"/>
  <c r="L26" i="24" s="1"/>
  <c r="H26" i="24"/>
  <c r="G26" i="24"/>
  <c r="B26" i="24"/>
  <c r="H25" i="24"/>
  <c r="L25" i="24" s="1" a="1"/>
  <c r="L25" i="24" s="1"/>
  <c r="G25" i="24"/>
  <c r="B25" i="24"/>
  <c r="L24" i="24" a="1"/>
  <c r="L24" i="24" s="1"/>
  <c r="H24" i="24"/>
  <c r="G24" i="24"/>
  <c r="B24" i="24"/>
  <c r="L23" i="24" a="1"/>
  <c r="L23" i="24" s="1"/>
  <c r="H23" i="24"/>
  <c r="G23" i="24"/>
  <c r="B23" i="24"/>
  <c r="H22" i="24"/>
  <c r="L22" i="24" s="1" a="1"/>
  <c r="L22" i="24" s="1"/>
  <c r="G22" i="24"/>
  <c r="B22" i="24"/>
  <c r="L21" i="24"/>
  <c r="L21" i="24" a="1"/>
  <c r="H21" i="24"/>
  <c r="G21" i="24"/>
  <c r="B21" i="24"/>
  <c r="H20" i="24"/>
  <c r="L20" i="24" s="1" a="1"/>
  <c r="L20" i="24" s="1"/>
  <c r="G20" i="24"/>
  <c r="E20" i="24" s="1"/>
  <c r="B20" i="24"/>
  <c r="L19" i="24" a="1"/>
  <c r="L19" i="24" s="1"/>
  <c r="H19" i="24"/>
  <c r="G19" i="24"/>
  <c r="B19" i="24"/>
  <c r="L18" i="24" a="1"/>
  <c r="L18" i="24" s="1"/>
  <c r="H18" i="24"/>
  <c r="G18" i="24"/>
  <c r="B18" i="24"/>
  <c r="H17" i="24"/>
  <c r="L17" i="24" s="1" a="1"/>
  <c r="L17" i="24" s="1"/>
  <c r="G17" i="24"/>
  <c r="B17" i="24"/>
  <c r="L16" i="24" a="1"/>
  <c r="L16" i="24" s="1"/>
  <c r="H16" i="24"/>
  <c r="G16" i="24"/>
  <c r="B16" i="24"/>
  <c r="L15" i="24" a="1"/>
  <c r="L15" i="24" s="1"/>
  <c r="H15" i="24"/>
  <c r="G15" i="24"/>
  <c r="B15" i="24"/>
  <c r="H14" i="24"/>
  <c r="L14" i="24" s="1" a="1"/>
  <c r="L14" i="24" s="1"/>
  <c r="G14" i="24"/>
  <c r="B14" i="24"/>
  <c r="L13" i="24"/>
  <c r="L13" i="24" a="1"/>
  <c r="H13" i="24"/>
  <c r="G13" i="24"/>
  <c r="B13" i="24"/>
  <c r="H12" i="24"/>
  <c r="L12" i="24" s="1" a="1"/>
  <c r="L12" i="24" s="1"/>
  <c r="G12" i="24"/>
  <c r="E12" i="24" s="1"/>
  <c r="B12" i="24"/>
  <c r="L11" i="24" a="1"/>
  <c r="L11" i="24" s="1"/>
  <c r="H11" i="24"/>
  <c r="G11" i="24"/>
  <c r="B11" i="24"/>
  <c r="L10" i="24" a="1"/>
  <c r="L10" i="24" s="1"/>
  <c r="H10" i="24"/>
  <c r="G10" i="24"/>
  <c r="B10" i="24"/>
  <c r="H9" i="24"/>
  <c r="L9" i="24" s="1" a="1"/>
  <c r="L9" i="24" s="1"/>
  <c r="G9" i="24"/>
  <c r="B9" i="24"/>
  <c r="L8" i="24" a="1"/>
  <c r="L8" i="24" s="1"/>
  <c r="H8" i="24"/>
  <c r="G8" i="24"/>
  <c r="B8" i="24"/>
  <c r="L7" i="24" a="1"/>
  <c r="L7" i="24" s="1"/>
  <c r="H7" i="24"/>
  <c r="B7" i="24"/>
  <c r="H6" i="24"/>
  <c r="L6" i="24" s="1" a="1"/>
  <c r="L6" i="24" s="1"/>
  <c r="G6" i="24"/>
  <c r="B6" i="24"/>
  <c r="L5" i="24" a="1"/>
  <c r="L5" i="24" s="1"/>
  <c r="H5" i="24"/>
  <c r="G5" i="24"/>
  <c r="B5" i="24"/>
  <c r="B2" i="24"/>
  <c r="B2" i="21"/>
  <c r="J6" i="23" a="1"/>
  <c r="J6" i="23" s="1"/>
  <c r="K6" i="23" a="1"/>
  <c r="K6" i="23" s="1"/>
  <c r="J7" i="23" a="1"/>
  <c r="J7" i="23" s="1"/>
  <c r="K7" i="23" a="1"/>
  <c r="K7" i="23" s="1"/>
  <c r="J8" i="23" a="1"/>
  <c r="J8" i="23"/>
  <c r="J9" i="23" a="1"/>
  <c r="J9" i="23"/>
  <c r="J10" i="23" a="1"/>
  <c r="J10" i="23" s="1"/>
  <c r="K10" i="23" a="1"/>
  <c r="K10" i="23" s="1"/>
  <c r="J11" i="23" a="1"/>
  <c r="J11" i="23" s="1"/>
  <c r="J12" i="23" a="1"/>
  <c r="J12" i="23"/>
  <c r="K12" i="23" a="1"/>
  <c r="K12" i="23" s="1"/>
  <c r="J13" i="23" a="1"/>
  <c r="J13" i="23" s="1"/>
  <c r="K13" i="23" a="1"/>
  <c r="K13" i="23" s="1"/>
  <c r="J14" i="23" a="1"/>
  <c r="J14" i="23" s="1"/>
  <c r="J15" i="23" a="1"/>
  <c r="J15" i="23" s="1"/>
  <c r="J16" i="23" a="1"/>
  <c r="J16" i="23" s="1"/>
  <c r="J17" i="23" a="1"/>
  <c r="J17" i="23" s="1"/>
  <c r="J18" i="23" a="1"/>
  <c r="J18" i="23" s="1"/>
  <c r="J19" i="23" a="1"/>
  <c r="J19" i="23" s="1"/>
  <c r="K19" i="23" a="1"/>
  <c r="K19" i="23" s="1"/>
  <c r="J20" i="23" a="1"/>
  <c r="J20" i="23" s="1"/>
  <c r="K20" i="23" a="1"/>
  <c r="K20" i="23" s="1"/>
  <c r="J21" i="23" a="1"/>
  <c r="J21" i="23"/>
  <c r="J22" i="23" a="1"/>
  <c r="J22" i="23" s="1"/>
  <c r="J23" i="23" a="1"/>
  <c r="J23" i="23" s="1"/>
  <c r="J24" i="23" a="1"/>
  <c r="J24" i="23"/>
  <c r="K24" i="23" a="1"/>
  <c r="K24" i="23" s="1"/>
  <c r="J25" i="23" a="1"/>
  <c r="J25" i="23"/>
  <c r="J26" i="23" a="1"/>
  <c r="J26" i="23" s="1"/>
  <c r="J27" i="23" a="1"/>
  <c r="J27" i="23" s="1"/>
  <c r="J28" i="23" a="1"/>
  <c r="J28" i="23"/>
  <c r="K28" i="23" a="1"/>
  <c r="K28" i="23" s="1"/>
  <c r="J29" i="23" a="1"/>
  <c r="J29" i="23" s="1"/>
  <c r="K29" i="23" a="1"/>
  <c r="K29" i="23" s="1"/>
  <c r="J30" i="23" a="1"/>
  <c r="J30" i="23" s="1"/>
  <c r="K30" i="23" a="1"/>
  <c r="K30" i="23" s="1"/>
  <c r="J31" i="23" a="1"/>
  <c r="J31" i="23" s="1"/>
  <c r="K31" i="23" a="1"/>
  <c r="K31" i="23" s="1"/>
  <c r="J32" i="23" a="1"/>
  <c r="J32" i="23" s="1"/>
  <c r="J33" i="23" a="1"/>
  <c r="J33" i="23" s="1"/>
  <c r="J34" i="23" a="1"/>
  <c r="J34" i="23" s="1"/>
  <c r="J35" i="23" a="1"/>
  <c r="J35" i="23" s="1"/>
  <c r="J36" i="23" a="1"/>
  <c r="J36" i="23"/>
  <c r="K36" i="23" a="1"/>
  <c r="K36" i="23" s="1"/>
  <c r="K5" i="23" a="1"/>
  <c r="K5" i="23" s="1"/>
  <c r="J5" i="23" a="1"/>
  <c r="J5" i="23" s="1"/>
  <c r="B2" i="23"/>
  <c r="B2" i="22"/>
  <c r="L39" i="23" a="1"/>
  <c r="L39" i="23" s="1"/>
  <c r="K39" i="23" a="1"/>
  <c r="K39" i="23" s="1"/>
  <c r="J39" i="23" a="1"/>
  <c r="J39" i="23" s="1"/>
  <c r="H36" i="23"/>
  <c r="L36" i="23" s="1" a="1"/>
  <c r="L36" i="23" s="1"/>
  <c r="G36" i="23"/>
  <c r="E36" i="23"/>
  <c r="B36" i="23"/>
  <c r="H35" i="23"/>
  <c r="L35" i="23" s="1" a="1"/>
  <c r="L35" i="23" s="1"/>
  <c r="G35" i="23"/>
  <c r="K35" i="23" s="1" a="1"/>
  <c r="K35" i="23" s="1"/>
  <c r="B35" i="23"/>
  <c r="H34" i="23"/>
  <c r="L34" i="23" s="1" a="1"/>
  <c r="L34" i="23" s="1"/>
  <c r="G34" i="23"/>
  <c r="K34" i="23" s="1" a="1"/>
  <c r="K34" i="23" s="1"/>
  <c r="B34" i="23"/>
  <c r="H33" i="23"/>
  <c r="L33" i="23" s="1" a="1"/>
  <c r="L33" i="23" s="1"/>
  <c r="G33" i="23"/>
  <c r="K33" i="23" s="1" a="1"/>
  <c r="K33" i="23" s="1"/>
  <c r="B33" i="23"/>
  <c r="L32" i="23" a="1"/>
  <c r="L32" i="23" s="1"/>
  <c r="H32" i="23"/>
  <c r="G32" i="23"/>
  <c r="K32" i="23" s="1" a="1"/>
  <c r="K32" i="23" s="1"/>
  <c r="B32" i="23"/>
  <c r="H31" i="23"/>
  <c r="L31" i="23" s="1" a="1"/>
  <c r="L31" i="23" s="1"/>
  <c r="G31" i="23"/>
  <c r="B31" i="23"/>
  <c r="H30" i="23"/>
  <c r="L30" i="23" s="1" a="1"/>
  <c r="L30" i="23" s="1"/>
  <c r="G30" i="23"/>
  <c r="B30" i="23"/>
  <c r="L29" i="23" a="1"/>
  <c r="L29" i="23" s="1"/>
  <c r="H29" i="23"/>
  <c r="G29" i="23"/>
  <c r="B29" i="23"/>
  <c r="H28" i="23"/>
  <c r="L28" i="23" s="1" a="1"/>
  <c r="L28" i="23" s="1"/>
  <c r="G28" i="23"/>
  <c r="E28" i="23"/>
  <c r="B28" i="23"/>
  <c r="H27" i="23"/>
  <c r="L27" i="23" s="1" a="1"/>
  <c r="L27" i="23" s="1"/>
  <c r="G27" i="23"/>
  <c r="B27" i="23"/>
  <c r="L26" i="23" a="1"/>
  <c r="L26" i="23" s="1"/>
  <c r="H26" i="23"/>
  <c r="G26" i="23"/>
  <c r="B26" i="23"/>
  <c r="H25" i="23"/>
  <c r="L25" i="23" s="1" a="1"/>
  <c r="L25" i="23" s="1"/>
  <c r="G25" i="23"/>
  <c r="K25" i="23" s="1" a="1"/>
  <c r="K25" i="23" s="1"/>
  <c r="E25" i="23" s="1"/>
  <c r="B25" i="23"/>
  <c r="L24" i="23" a="1"/>
  <c r="L24" i="23" s="1"/>
  <c r="H24" i="23"/>
  <c r="G24" i="23"/>
  <c r="B24" i="23"/>
  <c r="H23" i="23"/>
  <c r="L23" i="23" s="1" a="1"/>
  <c r="L23" i="23" s="1"/>
  <c r="G23" i="23"/>
  <c r="K23" i="23" s="1" a="1"/>
  <c r="K23" i="23" s="1"/>
  <c r="B23" i="23"/>
  <c r="H22" i="23"/>
  <c r="L22" i="23" s="1" a="1"/>
  <c r="L22" i="23" s="1"/>
  <c r="G22" i="23"/>
  <c r="K22" i="23" s="1" a="1"/>
  <c r="K22" i="23" s="1"/>
  <c r="B22" i="23"/>
  <c r="L21" i="23" a="1"/>
  <c r="L21" i="23" s="1"/>
  <c r="H21" i="23"/>
  <c r="G21" i="23"/>
  <c r="B21" i="23"/>
  <c r="H20" i="23"/>
  <c r="L20" i="23" s="1" a="1"/>
  <c r="L20" i="23" s="1"/>
  <c r="G20" i="23"/>
  <c r="E20" i="23"/>
  <c r="B20" i="23"/>
  <c r="H19" i="23"/>
  <c r="L19" i="23" s="1" a="1"/>
  <c r="L19" i="23" s="1"/>
  <c r="G19" i="23"/>
  <c r="B19" i="23"/>
  <c r="H18" i="23"/>
  <c r="L18" i="23" s="1" a="1"/>
  <c r="L18" i="23" s="1"/>
  <c r="G18" i="23"/>
  <c r="K18" i="23" s="1" a="1"/>
  <c r="K18" i="23" s="1"/>
  <c r="B18" i="23"/>
  <c r="H17" i="23"/>
  <c r="L17" i="23" s="1" a="1"/>
  <c r="L17" i="23" s="1"/>
  <c r="G17" i="23"/>
  <c r="K17" i="23" s="1" a="1"/>
  <c r="K17" i="23" s="1"/>
  <c r="B17" i="23"/>
  <c r="H16" i="23"/>
  <c r="L16" i="23" s="1" a="1"/>
  <c r="L16" i="23" s="1"/>
  <c r="G16" i="23"/>
  <c r="K16" i="23" s="1" a="1"/>
  <c r="K16" i="23" s="1"/>
  <c r="B16" i="23"/>
  <c r="H15" i="23"/>
  <c r="L15" i="23" s="1" a="1"/>
  <c r="L15" i="23" s="1"/>
  <c r="G15" i="23"/>
  <c r="K15" i="23" s="1" a="1"/>
  <c r="K15" i="23" s="1"/>
  <c r="B15" i="23"/>
  <c r="H14" i="23"/>
  <c r="L14" i="23" s="1" a="1"/>
  <c r="L14" i="23" s="1"/>
  <c r="G14" i="23"/>
  <c r="K14" i="23" s="1" a="1"/>
  <c r="K14" i="23" s="1"/>
  <c r="B14" i="23"/>
  <c r="L13" i="23" a="1"/>
  <c r="L13" i="23" s="1"/>
  <c r="H13" i="23"/>
  <c r="G13" i="23"/>
  <c r="B13" i="23"/>
  <c r="H12" i="23"/>
  <c r="L12" i="23" s="1" a="1"/>
  <c r="L12" i="23" s="1"/>
  <c r="G12" i="23"/>
  <c r="E12" i="23"/>
  <c r="B12" i="23"/>
  <c r="H11" i="23"/>
  <c r="L11" i="23" s="1" a="1"/>
  <c r="L11" i="23" s="1"/>
  <c r="G11" i="23"/>
  <c r="K11" i="23" s="1" a="1"/>
  <c r="K11" i="23" s="1"/>
  <c r="B11" i="23"/>
  <c r="L10" i="23" a="1"/>
  <c r="L10" i="23" s="1"/>
  <c r="H10" i="23"/>
  <c r="G10" i="23"/>
  <c r="B10" i="23"/>
  <c r="H9" i="23"/>
  <c r="L9" i="23" s="1" a="1"/>
  <c r="L9" i="23" s="1"/>
  <c r="G9" i="23"/>
  <c r="K9" i="23" s="1" a="1"/>
  <c r="K9" i="23" s="1"/>
  <c r="B9" i="23"/>
  <c r="H8" i="23"/>
  <c r="L8" i="23" s="1" a="1"/>
  <c r="L8" i="23" s="1"/>
  <c r="G8" i="23"/>
  <c r="K8" i="23" s="1" a="1"/>
  <c r="K8" i="23" s="1"/>
  <c r="B8" i="23"/>
  <c r="H7" i="23"/>
  <c r="L7" i="23" s="1" a="1"/>
  <c r="L7" i="23" s="1"/>
  <c r="B7" i="23"/>
  <c r="H6" i="23"/>
  <c r="L6" i="23" s="1" a="1"/>
  <c r="L6" i="23" s="1"/>
  <c r="G6" i="23"/>
  <c r="B6" i="23"/>
  <c r="L5" i="23" a="1"/>
  <c r="L5" i="23" s="1"/>
  <c r="H5" i="23"/>
  <c r="G5" i="23"/>
  <c r="B5" i="23"/>
  <c r="K32" i="22" a="1"/>
  <c r="K32" i="22" s="1"/>
  <c r="K35" i="22" a="1"/>
  <c r="K35" i="22" s="1"/>
  <c r="G31" i="22"/>
  <c r="G32" i="22"/>
  <c r="G33" i="22"/>
  <c r="K33" i="22" s="1" a="1"/>
  <c r="K33" i="22" s="1"/>
  <c r="G34" i="22"/>
  <c r="K34" i="22" s="1" a="1"/>
  <c r="K34" i="22" s="1"/>
  <c r="G35" i="22"/>
  <c r="G24" i="22"/>
  <c r="G25" i="22"/>
  <c r="K25" i="22" s="1" a="1"/>
  <c r="K25" i="22" s="1"/>
  <c r="G26" i="22"/>
  <c r="J6" i="22" a="1"/>
  <c r="J6" i="22" s="1"/>
  <c r="J7" i="22" a="1"/>
  <c r="J7" i="22"/>
  <c r="K7" i="22" a="1"/>
  <c r="K7" i="22" s="1"/>
  <c r="L7" i="22" a="1"/>
  <c r="L7" i="22"/>
  <c r="J8" i="22" a="1"/>
  <c r="J8" i="22" s="1"/>
  <c r="L8" i="22" a="1"/>
  <c r="L8" i="22" s="1"/>
  <c r="J9" i="22" a="1"/>
  <c r="J9" i="22" s="1"/>
  <c r="K9" i="22" a="1"/>
  <c r="K9" i="22" s="1"/>
  <c r="L9" i="22" a="1"/>
  <c r="L9" i="22"/>
  <c r="J10" i="22" a="1"/>
  <c r="J10" i="22"/>
  <c r="K10" i="22" a="1"/>
  <c r="K10" i="22" s="1"/>
  <c r="L10" i="22" a="1"/>
  <c r="L10" i="22"/>
  <c r="J11" i="22" a="1"/>
  <c r="J11" i="22"/>
  <c r="K11" i="22" a="1"/>
  <c r="K11" i="22" s="1"/>
  <c r="L11" i="22" a="1"/>
  <c r="L11" i="22" s="1"/>
  <c r="J12" i="22" a="1"/>
  <c r="J12" i="22" s="1"/>
  <c r="K12" i="22" a="1"/>
  <c r="K12" i="22" s="1"/>
  <c r="L12" i="22" a="1"/>
  <c r="L12" i="22"/>
  <c r="J13" i="22" a="1"/>
  <c r="J13" i="22" s="1"/>
  <c r="K13" i="22" a="1"/>
  <c r="K13" i="22" s="1"/>
  <c r="L13" i="22" a="1"/>
  <c r="L13" i="22"/>
  <c r="J14" i="22" a="1"/>
  <c r="J14" i="22" s="1"/>
  <c r="K14" i="22" a="1"/>
  <c r="K14" i="22" s="1"/>
  <c r="L14" i="22" a="1"/>
  <c r="L14" i="22" s="1"/>
  <c r="J15" i="22" a="1"/>
  <c r="J15" i="22"/>
  <c r="K15" i="22" a="1"/>
  <c r="K15" i="22" s="1"/>
  <c r="L15" i="22" a="1"/>
  <c r="L15" i="22" s="1"/>
  <c r="J16" i="22" a="1"/>
  <c r="J16" i="22"/>
  <c r="L16" i="22" a="1"/>
  <c r="L16" i="22" s="1"/>
  <c r="J17" i="22" a="1"/>
  <c r="J17" i="22" s="1"/>
  <c r="J18" i="22" a="1"/>
  <c r="J18" i="22"/>
  <c r="J19" i="22" a="1"/>
  <c r="J19" i="22"/>
  <c r="K19" i="22" a="1"/>
  <c r="K19" i="22" s="1"/>
  <c r="L19" i="22" a="1"/>
  <c r="L19" i="22" s="1"/>
  <c r="J20" i="22" a="1"/>
  <c r="J20" i="22" s="1"/>
  <c r="K20" i="22" a="1"/>
  <c r="K20" i="22" s="1"/>
  <c r="L20" i="22" a="1"/>
  <c r="L20" i="22"/>
  <c r="J21" i="22" a="1"/>
  <c r="J21" i="22" s="1"/>
  <c r="L21" i="22" a="1"/>
  <c r="L21" i="22"/>
  <c r="J22" i="22" a="1"/>
  <c r="J22" i="22" s="1"/>
  <c r="J23" i="22" a="1"/>
  <c r="J23" i="22"/>
  <c r="J24" i="22" a="1"/>
  <c r="J24" i="22"/>
  <c r="K24" i="22" a="1"/>
  <c r="K24" i="22" s="1"/>
  <c r="L24" i="22" a="1"/>
  <c r="L24" i="22" s="1"/>
  <c r="J25" i="22" a="1"/>
  <c r="J25" i="22" s="1"/>
  <c r="J26" i="22" a="1"/>
  <c r="J26" i="22" s="1"/>
  <c r="J27" i="22" a="1"/>
  <c r="J27" i="22"/>
  <c r="J28" i="22" a="1"/>
  <c r="J28" i="22" s="1"/>
  <c r="K28" i="22" a="1"/>
  <c r="K28" i="22" s="1"/>
  <c r="L28" i="22" a="1"/>
  <c r="L28" i="22"/>
  <c r="J29" i="22" a="1"/>
  <c r="J29" i="22" s="1"/>
  <c r="K29" i="22" a="1"/>
  <c r="K29" i="22" s="1"/>
  <c r="L29" i="22" a="1"/>
  <c r="L29" i="22"/>
  <c r="J30" i="22" a="1"/>
  <c r="J30" i="22" s="1"/>
  <c r="K30" i="22" a="1"/>
  <c r="K30" i="22" s="1"/>
  <c r="L30" i="22" a="1"/>
  <c r="L30" i="22" s="1"/>
  <c r="J31" i="22" a="1"/>
  <c r="J31" i="22"/>
  <c r="J32" i="22" a="1"/>
  <c r="J32" i="22"/>
  <c r="J33" i="22" a="1"/>
  <c r="J33" i="22" s="1"/>
  <c r="J34" i="22" a="1"/>
  <c r="J34" i="22" s="1"/>
  <c r="J35" i="22" a="1"/>
  <c r="J35" i="22"/>
  <c r="L35" i="22" a="1"/>
  <c r="L35" i="22" s="1"/>
  <c r="L5" i="22" a="1"/>
  <c r="L5" i="22" s="1"/>
  <c r="K5" i="22" a="1"/>
  <c r="K5" i="22" s="1"/>
  <c r="J5" i="22" a="1"/>
  <c r="J5" i="22" s="1"/>
  <c r="E20" i="22"/>
  <c r="E28" i="22"/>
  <c r="E36" i="22"/>
  <c r="E12" i="22"/>
  <c r="L39" i="22" a="1"/>
  <c r="L39" i="22" s="1"/>
  <c r="K39" i="22" a="1"/>
  <c r="K39" i="22" s="1"/>
  <c r="J39" i="22" a="1"/>
  <c r="J39" i="22" s="1"/>
  <c r="J36" i="22" a="1"/>
  <c r="J36" i="22" s="1"/>
  <c r="H36" i="22"/>
  <c r="L36" i="22" s="1" a="1"/>
  <c r="L36" i="22" s="1"/>
  <c r="G36" i="22"/>
  <c r="K36" i="22" s="1" a="1"/>
  <c r="K36" i="22" s="1"/>
  <c r="B36" i="22"/>
  <c r="H35" i="22"/>
  <c r="B35" i="22"/>
  <c r="H34" i="22"/>
  <c r="L34" i="22" s="1" a="1"/>
  <c r="L34" i="22" s="1"/>
  <c r="B34" i="22"/>
  <c r="H33" i="22"/>
  <c r="L33" i="22" s="1" a="1"/>
  <c r="L33" i="22" s="1"/>
  <c r="B33" i="22"/>
  <c r="H32" i="22"/>
  <c r="L32" i="22" s="1" a="1"/>
  <c r="L32" i="22" s="1"/>
  <c r="B32" i="22"/>
  <c r="H31" i="22"/>
  <c r="L31" i="22" s="1" a="1"/>
  <c r="L31" i="22" s="1"/>
  <c r="K31" i="22" a="1"/>
  <c r="K31" i="22" s="1"/>
  <c r="B31" i="22"/>
  <c r="H30" i="22"/>
  <c r="G30" i="22"/>
  <c r="B30" i="22"/>
  <c r="H29" i="22"/>
  <c r="G29" i="22"/>
  <c r="B29" i="22"/>
  <c r="H28" i="22"/>
  <c r="G28" i="22"/>
  <c r="B28" i="22"/>
  <c r="H27" i="22"/>
  <c r="L27" i="22" s="1" a="1"/>
  <c r="L27" i="22" s="1"/>
  <c r="G27" i="22"/>
  <c r="B27" i="22"/>
  <c r="H26" i="22"/>
  <c r="L26" i="22" s="1" a="1"/>
  <c r="L26" i="22" s="1"/>
  <c r="B26" i="22"/>
  <c r="H25" i="22"/>
  <c r="L25" i="22" s="1" a="1"/>
  <c r="L25" i="22" s="1"/>
  <c r="B25" i="22"/>
  <c r="H24" i="22"/>
  <c r="B24" i="22"/>
  <c r="H23" i="22"/>
  <c r="L23" i="22" s="1" a="1"/>
  <c r="L23" i="22" s="1"/>
  <c r="G23" i="22"/>
  <c r="K23" i="22" s="1" a="1"/>
  <c r="K23" i="22" s="1"/>
  <c r="B23" i="22"/>
  <c r="H22" i="22"/>
  <c r="L22" i="22" s="1" a="1"/>
  <c r="L22" i="22" s="1"/>
  <c r="G22" i="22"/>
  <c r="K22" i="22" s="1" a="1"/>
  <c r="K22" i="22" s="1"/>
  <c r="B22" i="22"/>
  <c r="H21" i="22"/>
  <c r="G21" i="22"/>
  <c r="B21" i="22"/>
  <c r="H20" i="22"/>
  <c r="G20" i="22"/>
  <c r="B20" i="22"/>
  <c r="H19" i="22"/>
  <c r="G19" i="22"/>
  <c r="B19" i="22"/>
  <c r="H18" i="22"/>
  <c r="L18" i="22" s="1" a="1"/>
  <c r="L18" i="22" s="1"/>
  <c r="G18" i="22"/>
  <c r="K18" i="22" s="1" a="1"/>
  <c r="K18" i="22" s="1"/>
  <c r="B18" i="22"/>
  <c r="H17" i="22"/>
  <c r="L17" i="22" s="1" a="1"/>
  <c r="L17" i="22" s="1"/>
  <c r="G17" i="22"/>
  <c r="K17" i="22" s="1" a="1"/>
  <c r="K17" i="22" s="1"/>
  <c r="B17" i="22"/>
  <c r="H16" i="22"/>
  <c r="G16" i="22"/>
  <c r="K16" i="22" s="1" a="1"/>
  <c r="K16" i="22" s="1"/>
  <c r="B16" i="22"/>
  <c r="H15" i="22"/>
  <c r="G15" i="22"/>
  <c r="B15" i="22"/>
  <c r="H14" i="22"/>
  <c r="G14" i="22"/>
  <c r="B14" i="22"/>
  <c r="H13" i="22"/>
  <c r="G13" i="22"/>
  <c r="B13" i="22"/>
  <c r="H12" i="22"/>
  <c r="G12" i="22"/>
  <c r="B12" i="22"/>
  <c r="H11" i="22"/>
  <c r="G11" i="22"/>
  <c r="B11" i="22"/>
  <c r="H10" i="22"/>
  <c r="G10" i="22"/>
  <c r="B10" i="22"/>
  <c r="H9" i="22"/>
  <c r="G9" i="22"/>
  <c r="B9" i="22"/>
  <c r="H8" i="22"/>
  <c r="G8" i="22"/>
  <c r="K8" i="22" s="1" a="1"/>
  <c r="K8" i="22" s="1"/>
  <c r="B8" i="22"/>
  <c r="H7" i="22"/>
  <c r="B7" i="22"/>
  <c r="H6" i="22"/>
  <c r="L6" i="22" s="1" a="1"/>
  <c r="L6" i="22" s="1"/>
  <c r="G6" i="22"/>
  <c r="K6" i="22" s="1" a="1"/>
  <c r="K6" i="22" s="1"/>
  <c r="B6" i="22"/>
  <c r="H5" i="22"/>
  <c r="G5" i="22"/>
  <c r="B5" i="22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7" i="21"/>
  <c r="B8" i="21"/>
  <c r="B9" i="21"/>
  <c r="B10" i="21"/>
  <c r="B11" i="21"/>
  <c r="B12" i="21"/>
  <c r="B13" i="21"/>
  <c r="B14" i="21"/>
  <c r="B15" i="21"/>
  <c r="B16" i="21"/>
  <c r="B17" i="21"/>
  <c r="B6" i="21"/>
  <c r="B5" i="21"/>
  <c r="G6" i="21"/>
  <c r="G8" i="21"/>
  <c r="K8" i="21" s="1" a="1"/>
  <c r="K8" i="21" s="1"/>
  <c r="G9" i="21"/>
  <c r="K9" i="21" s="1" a="1"/>
  <c r="K9" i="21" s="1"/>
  <c r="G10" i="21"/>
  <c r="G11" i="21"/>
  <c r="G12" i="21"/>
  <c r="G13" i="21"/>
  <c r="G14" i="21"/>
  <c r="K14" i="21" s="1" a="1"/>
  <c r="K14" i="21" s="1"/>
  <c r="G15" i="21"/>
  <c r="K15" i="21" s="1" a="1"/>
  <c r="K15" i="21" s="1"/>
  <c r="G16" i="21"/>
  <c r="G17" i="21"/>
  <c r="K17" i="21" s="1" a="1"/>
  <c r="K17" i="21" s="1"/>
  <c r="G18" i="21"/>
  <c r="K18" i="21" s="1" a="1"/>
  <c r="K18" i="21" s="1"/>
  <c r="G19" i="21"/>
  <c r="G20" i="21"/>
  <c r="K20" i="21" s="1" a="1"/>
  <c r="K20" i="21" s="1"/>
  <c r="G21" i="21"/>
  <c r="G22" i="21"/>
  <c r="G23" i="21"/>
  <c r="G24" i="21"/>
  <c r="K25" i="21" a="1"/>
  <c r="K25" i="21" s="1"/>
  <c r="G27" i="21"/>
  <c r="G28" i="21"/>
  <c r="K28" i="21" s="1" a="1"/>
  <c r="K28" i="21" s="1"/>
  <c r="G29" i="21"/>
  <c r="G30" i="21"/>
  <c r="G31" i="21"/>
  <c r="G32" i="21"/>
  <c r="K32" i="21" s="1" a="1"/>
  <c r="K32" i="21" s="1"/>
  <c r="G33" i="21"/>
  <c r="K33" i="21" s="1" a="1"/>
  <c r="K33" i="21" s="1"/>
  <c r="G34" i="21"/>
  <c r="K34" i="21" s="1" a="1"/>
  <c r="K34" i="21" s="1"/>
  <c r="G35" i="21"/>
  <c r="K35" i="21" s="1" a="1"/>
  <c r="K35" i="21" s="1"/>
  <c r="G36" i="21"/>
  <c r="K36" i="21" s="1" a="1"/>
  <c r="K36" i="21" s="1"/>
  <c r="G5" i="21"/>
  <c r="K5" i="21" s="1" a="1"/>
  <c r="K5" i="21" s="1"/>
  <c r="K6" i="21" a="1"/>
  <c r="K6" i="21" s="1"/>
  <c r="K7" i="21" a="1"/>
  <c r="K7" i="21" s="1"/>
  <c r="K12" i="21" a="1"/>
  <c r="K12" i="21" s="1"/>
  <c r="K22" i="21" a="1"/>
  <c r="K22" i="21" s="1"/>
  <c r="K24" i="21" a="1"/>
  <c r="K24" i="21" s="1"/>
  <c r="K29" i="21" a="1"/>
  <c r="K29" i="21" s="1"/>
  <c r="K30" i="21" a="1"/>
  <c r="K30" i="21" s="1"/>
  <c r="K31" i="21" a="1"/>
  <c r="K31" i="21" s="1"/>
  <c r="J6" i="21" a="1"/>
  <c r="J6" i="21" s="1"/>
  <c r="J7" i="21" a="1"/>
  <c r="J7" i="21" s="1"/>
  <c r="J8" i="21" a="1"/>
  <c r="J8" i="21" s="1"/>
  <c r="J9" i="21" a="1"/>
  <c r="J9" i="21" s="1"/>
  <c r="J10" i="21" a="1"/>
  <c r="J10" i="21" s="1"/>
  <c r="J11" i="21" a="1"/>
  <c r="J11" i="21" s="1"/>
  <c r="J12" i="21" a="1"/>
  <c r="J12" i="21"/>
  <c r="J13" i="21" a="1"/>
  <c r="J13" i="21"/>
  <c r="J14" i="21" a="1"/>
  <c r="J14" i="21" s="1"/>
  <c r="J15" i="21" a="1"/>
  <c r="J15" i="21" s="1"/>
  <c r="J16" i="21" a="1"/>
  <c r="J16" i="21"/>
  <c r="J17" i="21" a="1"/>
  <c r="J17" i="21" s="1"/>
  <c r="J18" i="21" a="1"/>
  <c r="J18" i="21"/>
  <c r="J19" i="21" a="1"/>
  <c r="J19" i="21" s="1"/>
  <c r="J20" i="21" a="1"/>
  <c r="J20" i="21" s="1"/>
  <c r="J21" i="21" a="1"/>
  <c r="J21" i="21"/>
  <c r="J22" i="21" a="1"/>
  <c r="J22" i="21" s="1"/>
  <c r="J23" i="21" a="1"/>
  <c r="J23" i="21"/>
  <c r="J24" i="21" a="1"/>
  <c r="J24" i="21" s="1"/>
  <c r="J25" i="21" a="1"/>
  <c r="J25" i="21" s="1"/>
  <c r="J26" i="21" a="1"/>
  <c r="J26" i="21" s="1"/>
  <c r="J27" i="21" a="1"/>
  <c r="J27" i="21" s="1"/>
  <c r="J28" i="21" a="1"/>
  <c r="J28" i="21"/>
  <c r="J29" i="21" a="1"/>
  <c r="J29" i="21" s="1"/>
  <c r="J30" i="21" a="1"/>
  <c r="J30" i="21" s="1"/>
  <c r="J31" i="21" a="1"/>
  <c r="J31" i="21" s="1"/>
  <c r="J32" i="21" a="1"/>
  <c r="J32" i="21"/>
  <c r="J33" i="21" a="1"/>
  <c r="J33" i="21"/>
  <c r="J34" i="21" a="1"/>
  <c r="J34" i="21" s="1"/>
  <c r="J35" i="21" a="1"/>
  <c r="J35" i="21" s="1"/>
  <c r="J36" i="21" a="1"/>
  <c r="J36" i="21"/>
  <c r="J5" i="21" a="1"/>
  <c r="J5" i="21" s="1"/>
  <c r="L7" i="21" a="1"/>
  <c r="L7" i="21"/>
  <c r="L8" i="21" a="1"/>
  <c r="L8" i="21" s="1"/>
  <c r="L10" i="21" a="1"/>
  <c r="L10" i="21"/>
  <c r="L11" i="21" a="1"/>
  <c r="L11" i="21"/>
  <c r="L17" i="21" a="1"/>
  <c r="L17" i="21" s="1"/>
  <c r="L23" i="21" a="1"/>
  <c r="L23" i="21"/>
  <c r="L24" i="21" a="1"/>
  <c r="L24" i="21" s="1"/>
  <c r="L26" i="21" a="1"/>
  <c r="L26" i="21" s="1"/>
  <c r="L28" i="21" a="1"/>
  <c r="L28" i="21"/>
  <c r="L29" i="21" a="1"/>
  <c r="L29" i="21" s="1"/>
  <c r="L32" i="21" a="1"/>
  <c r="L32" i="21" s="1"/>
  <c r="L33" i="21" a="1"/>
  <c r="L33" i="21"/>
  <c r="L34" i="21" a="1"/>
  <c r="L34" i="21"/>
  <c r="H20" i="21"/>
  <c r="L20" i="21" s="1" a="1"/>
  <c r="L20" i="21" s="1"/>
  <c r="H21" i="21"/>
  <c r="L21" i="21" s="1" a="1"/>
  <c r="L21" i="21" s="1"/>
  <c r="H22" i="21"/>
  <c r="L22" i="21" s="1" a="1"/>
  <c r="L22" i="21" s="1"/>
  <c r="H23" i="21"/>
  <c r="H24" i="21"/>
  <c r="H25" i="21"/>
  <c r="L25" i="21" s="1" a="1"/>
  <c r="L25" i="21" s="1"/>
  <c r="H26" i="21"/>
  <c r="H27" i="21"/>
  <c r="L27" i="21" s="1" a="1"/>
  <c r="L27" i="21" s="1"/>
  <c r="H28" i="21"/>
  <c r="H29" i="21"/>
  <c r="H30" i="21"/>
  <c r="L30" i="21" s="1" a="1"/>
  <c r="L30" i="21" s="1"/>
  <c r="H31" i="21"/>
  <c r="H32" i="21"/>
  <c r="H33" i="21"/>
  <c r="H34" i="21"/>
  <c r="H35" i="21"/>
  <c r="L35" i="21" s="1" a="1"/>
  <c r="L35" i="21" s="1"/>
  <c r="H36" i="21"/>
  <c r="L36" i="21" s="1" a="1"/>
  <c r="L36" i="21" s="1"/>
  <c r="H6" i="21"/>
  <c r="L6" i="21" s="1" a="1"/>
  <c r="L6" i="21" s="1"/>
  <c r="H7" i="21"/>
  <c r="H8" i="21"/>
  <c r="H9" i="21"/>
  <c r="L9" i="21" s="1" a="1"/>
  <c r="L9" i="21" s="1"/>
  <c r="H10" i="21"/>
  <c r="H11" i="21"/>
  <c r="H12" i="21"/>
  <c r="L12" i="21" s="1" a="1"/>
  <c r="L12" i="21" s="1"/>
  <c r="H13" i="21"/>
  <c r="L13" i="21" s="1" a="1"/>
  <c r="L13" i="21" s="1"/>
  <c r="H14" i="21"/>
  <c r="L14" i="21" s="1" a="1"/>
  <c r="L14" i="21" s="1"/>
  <c r="H15" i="21"/>
  <c r="L15" i="21" s="1" a="1"/>
  <c r="L15" i="21" s="1"/>
  <c r="H16" i="21"/>
  <c r="L16" i="21" s="1" a="1"/>
  <c r="L16" i="21" s="1"/>
  <c r="H17" i="21"/>
  <c r="H18" i="21"/>
  <c r="L18" i="21" s="1" a="1"/>
  <c r="L18" i="21" s="1"/>
  <c r="H19" i="21"/>
  <c r="L19" i="21" s="1" a="1"/>
  <c r="L19" i="21" s="1"/>
  <c r="H5" i="21"/>
  <c r="L5" i="21" s="1" a="1"/>
  <c r="L5" i="21" s="1"/>
  <c r="L39" i="21" a="1"/>
  <c r="L39" i="21" s="1"/>
  <c r="K39" i="21" a="1"/>
  <c r="K39" i="21" s="1"/>
  <c r="J39" i="21" a="1"/>
  <c r="J39" i="21" s="1"/>
  <c r="J9" i="20" a="1"/>
  <c r="J9" i="20" s="1"/>
  <c r="K9" i="20" a="1"/>
  <c r="K9" i="20" s="1"/>
  <c r="L9" i="20" a="1"/>
  <c r="L9" i="20"/>
  <c r="L4" i="20" a="1"/>
  <c r="L4" i="20" s="1"/>
  <c r="L5" i="20" a="1"/>
  <c r="L5" i="20" s="1"/>
  <c r="L6" i="20" a="1"/>
  <c r="L6" i="20" s="1"/>
  <c r="L7" i="20" a="1"/>
  <c r="L7" i="20" s="1"/>
  <c r="L8" i="20" a="1"/>
  <c r="L8" i="20" s="1"/>
  <c r="L3" i="20" a="1"/>
  <c r="L3" i="20" s="1"/>
  <c r="J7" i="20" a="1"/>
  <c r="J7" i="20" s="1"/>
  <c r="K4" i="20" a="1"/>
  <c r="K4" i="20" s="1"/>
  <c r="K5" i="20" a="1"/>
  <c r="K5" i="20" s="1"/>
  <c r="J4" i="20" a="1"/>
  <c r="J4" i="20"/>
  <c r="J5" i="20" a="1"/>
  <c r="J5" i="20"/>
  <c r="J6" i="20" a="1"/>
  <c r="J6" i="20"/>
  <c r="J8" i="20" a="1"/>
  <c r="J8" i="20" s="1"/>
  <c r="K3" i="20" a="1"/>
  <c r="K3" i="20" s="1"/>
  <c r="J3" i="20" a="1"/>
  <c r="J3" i="20" s="1"/>
  <c r="J13" i="17"/>
  <c r="J5" i="17"/>
  <c r="J14" i="17"/>
  <c r="J10" i="17"/>
  <c r="J11" i="17"/>
  <c r="J12" i="17"/>
  <c r="J15" i="17"/>
  <c r="J16" i="17"/>
  <c r="J9" i="17"/>
  <c r="J6" i="17"/>
  <c r="J8" i="17"/>
  <c r="J7" i="17"/>
  <c r="J17" i="17"/>
  <c r="J18" i="17"/>
  <c r="J20" i="17"/>
  <c r="J21" i="17"/>
  <c r="J24" i="17"/>
  <c r="J23" i="17"/>
  <c r="J19" i="17"/>
  <c r="J25" i="17"/>
  <c r="J22" i="17"/>
  <c r="J26" i="17"/>
  <c r="J27" i="17"/>
  <c r="J46" i="17"/>
  <c r="J41" i="17"/>
  <c r="J43" i="17"/>
  <c r="J44" i="17"/>
  <c r="J45" i="17"/>
  <c r="J51" i="17"/>
  <c r="J52" i="17"/>
  <c r="J42" i="17"/>
  <c r="J28" i="17"/>
  <c r="J34" i="17"/>
  <c r="J29" i="17"/>
  <c r="J35" i="17"/>
  <c r="J31" i="17"/>
  <c r="J32" i="17"/>
  <c r="J33" i="17"/>
  <c r="J36" i="17"/>
  <c r="J37" i="17"/>
  <c r="J30" i="17"/>
  <c r="J38" i="17"/>
  <c r="J40" i="17"/>
  <c r="J39" i="17"/>
  <c r="J47" i="17"/>
  <c r="J53" i="17"/>
  <c r="J48" i="17"/>
  <c r="J50" i="17"/>
  <c r="J49" i="17"/>
  <c r="J54" i="17"/>
  <c r="J55" i="17"/>
  <c r="J56" i="17"/>
  <c r="J61" i="17"/>
  <c r="J68" i="17"/>
  <c r="J66" i="17"/>
  <c r="J62" i="17"/>
  <c r="J69" i="17"/>
  <c r="J67" i="17"/>
  <c r="J64" i="17"/>
  <c r="J65" i="17"/>
  <c r="J70" i="17"/>
  <c r="J63" i="17"/>
  <c r="J71" i="17"/>
  <c r="J84" i="17"/>
  <c r="J88" i="17"/>
  <c r="J89" i="17"/>
  <c r="J72" i="17"/>
  <c r="J80" i="17"/>
  <c r="J73" i="17"/>
  <c r="J78" i="17"/>
  <c r="J79" i="17"/>
  <c r="J81" i="17"/>
  <c r="J74" i="17"/>
  <c r="J75" i="17"/>
  <c r="J76" i="17"/>
  <c r="J77" i="17"/>
  <c r="J82" i="17"/>
  <c r="J83" i="17"/>
  <c r="J85" i="17"/>
  <c r="J87" i="17"/>
  <c r="J86" i="17"/>
  <c r="J57" i="17"/>
  <c r="J58" i="17"/>
  <c r="J59" i="17"/>
  <c r="J60" i="17"/>
  <c r="J4" i="17"/>
  <c r="E9" i="20"/>
  <c r="B22" i="18"/>
  <c r="B21" i="18"/>
  <c r="B20" i="18"/>
  <c r="E19" i="24" l="1"/>
  <c r="E32" i="21"/>
  <c r="E7" i="24"/>
  <c r="E33" i="25"/>
  <c r="E9" i="25"/>
  <c r="E35" i="25"/>
  <c r="E30" i="25"/>
  <c r="E18" i="25"/>
  <c r="E14" i="25"/>
  <c r="E17" i="25"/>
  <c r="E8" i="24"/>
  <c r="E10" i="25"/>
  <c r="E13" i="25"/>
  <c r="E7" i="25"/>
  <c r="E22" i="25"/>
  <c r="E25" i="25"/>
  <c r="E29" i="25"/>
  <c r="E12" i="25"/>
  <c r="E20" i="25"/>
  <c r="E28" i="25"/>
  <c r="E36" i="25"/>
  <c r="E34" i="25"/>
  <c r="L5" i="25" a="1"/>
  <c r="L5" i="25" s="1"/>
  <c r="E5" i="25" s="1"/>
  <c r="E31" i="25"/>
  <c r="E15" i="25"/>
  <c r="E23" i="25"/>
  <c r="E6" i="25"/>
  <c r="E11" i="25"/>
  <c r="E19" i="25"/>
  <c r="E8" i="25"/>
  <c r="E16" i="25"/>
  <c r="E24" i="25"/>
  <c r="E32" i="25"/>
  <c r="E6" i="24"/>
  <c r="E24" i="24"/>
  <c r="E5" i="24"/>
  <c r="E29" i="24"/>
  <c r="E32" i="24"/>
  <c r="E35" i="24"/>
  <c r="E22" i="24"/>
  <c r="E18" i="24"/>
  <c r="E30" i="24"/>
  <c r="E17" i="24"/>
  <c r="E33" i="24"/>
  <c r="E9" i="24"/>
  <c r="E31" i="24"/>
  <c r="E25" i="24"/>
  <c r="E11" i="24"/>
  <c r="E14" i="24"/>
  <c r="E13" i="24"/>
  <c r="E16" i="24"/>
  <c r="E28" i="24"/>
  <c r="E10" i="24"/>
  <c r="E34" i="24"/>
  <c r="E15" i="24"/>
  <c r="E23" i="24"/>
  <c r="E7" i="23"/>
  <c r="E34" i="21"/>
  <c r="E33" i="21"/>
  <c r="E33" i="23"/>
  <c r="E32" i="23"/>
  <c r="E9" i="23"/>
  <c r="E13" i="23"/>
  <c r="E10" i="23"/>
  <c r="E29" i="23"/>
  <c r="E5" i="23"/>
  <c r="E35" i="23"/>
  <c r="E17" i="23"/>
  <c r="E16" i="23"/>
  <c r="E19" i="23"/>
  <c r="E6" i="23"/>
  <c r="E8" i="23"/>
  <c r="E24" i="23"/>
  <c r="E11" i="23"/>
  <c r="E18" i="23"/>
  <c r="E34" i="23"/>
  <c r="E31" i="23"/>
  <c r="E15" i="23"/>
  <c r="E23" i="23"/>
  <c r="E14" i="23"/>
  <c r="E22" i="23"/>
  <c r="E30" i="23"/>
  <c r="E16" i="22"/>
  <c r="E15" i="22"/>
  <c r="E29" i="22"/>
  <c r="E7" i="22"/>
  <c r="E25" i="21"/>
  <c r="E34" i="22"/>
  <c r="E23" i="22"/>
  <c r="E18" i="22"/>
  <c r="E17" i="22"/>
  <c r="E6" i="22"/>
  <c r="E9" i="22"/>
  <c r="E33" i="22"/>
  <c r="E30" i="22"/>
  <c r="E32" i="22"/>
  <c r="E19" i="22"/>
  <c r="E14" i="22"/>
  <c r="E35" i="22"/>
  <c r="E24" i="22"/>
  <c r="E31" i="22"/>
  <c r="E22" i="22"/>
  <c r="E25" i="22"/>
  <c r="E5" i="22"/>
  <c r="E11" i="22"/>
  <c r="E10" i="22"/>
  <c r="E8" i="22"/>
  <c r="E13" i="22"/>
  <c r="E29" i="21"/>
  <c r="E24" i="21"/>
  <c r="E22" i="21"/>
  <c r="E35" i="21"/>
  <c r="L31" i="21" a="1"/>
  <c r="L31" i="21" s="1"/>
  <c r="E31" i="21" s="1"/>
  <c r="E28" i="21"/>
  <c r="E30" i="21"/>
  <c r="E12" i="21"/>
  <c r="K23" i="21" a="1"/>
  <c r="K23" i="21" s="1"/>
  <c r="E23" i="21" s="1"/>
  <c r="E14" i="21"/>
  <c r="K13" i="21" a="1"/>
  <c r="K13" i="21" s="1"/>
  <c r="E13" i="21" s="1"/>
  <c r="K11" i="21" a="1"/>
  <c r="K11" i="21" s="1"/>
  <c r="E11" i="21" s="1"/>
  <c r="K10" i="21" a="1"/>
  <c r="K10" i="21" s="1"/>
  <c r="E10" i="21" s="1"/>
  <c r="E9" i="21"/>
  <c r="E8" i="21"/>
  <c r="E15" i="21"/>
  <c r="K16" i="21" a="1"/>
  <c r="K16" i="21" s="1"/>
  <c r="E16" i="21" s="1"/>
  <c r="K19" i="21" a="1"/>
  <c r="K19" i="21" s="1"/>
  <c r="E19" i="21" s="1"/>
  <c r="E17" i="21"/>
  <c r="E6" i="21"/>
  <c r="E7" i="21"/>
  <c r="E18" i="21"/>
  <c r="E5" i="21"/>
  <c r="E5" i="20"/>
  <c r="E4" i="20"/>
  <c r="E3" i="20"/>
  <c r="B21" i="17"/>
  <c r="A20" i="17"/>
  <c r="A21" i="17"/>
  <c r="N20" i="17"/>
  <c r="N21" i="17"/>
  <c r="A24" i="17"/>
  <c r="A23" i="17"/>
  <c r="N24" i="17"/>
  <c r="N23" i="17"/>
  <c r="D60" i="2" a="1"/>
  <c r="D60" i="2" s="1"/>
  <c r="D61" i="2" a="1"/>
  <c r="D61" i="2" s="1"/>
  <c r="B21" i="15" s="1" a="1"/>
  <c r="B21" i="15" s="1"/>
  <c r="D58" i="2"/>
  <c r="D10" i="2"/>
  <c r="D3" i="2" a="1"/>
  <c r="D3" i="2" s="1"/>
  <c r="D4" i="2" a="1"/>
  <c r="D4" i="2" s="1"/>
  <c r="D5" i="2" a="1"/>
  <c r="D5" i="2" s="1"/>
  <c r="B20" i="15" s="1" a="1"/>
  <c r="B20" i="15" s="1"/>
  <c r="D6" i="2" a="1"/>
  <c r="D6" i="2" s="1"/>
  <c r="D7" i="2" a="1"/>
  <c r="D7" i="2" s="1"/>
  <c r="D8" i="2" a="1"/>
  <c r="D8" i="2" s="1"/>
  <c r="D11" i="2" a="1"/>
  <c r="D11" i="2" s="1"/>
  <c r="D13" i="2" a="1"/>
  <c r="D13" i="2" s="1"/>
  <c r="D14" i="2" a="1"/>
  <c r="D14" i="2" s="1"/>
  <c r="D15" i="2" a="1"/>
  <c r="D15" i="2" s="1"/>
  <c r="D16" i="2" a="1"/>
  <c r="D16" i="2" s="1"/>
  <c r="D17" i="2" a="1"/>
  <c r="D17" i="2" s="1"/>
  <c r="D18" i="2" a="1"/>
  <c r="D18" i="2" s="1"/>
  <c r="D19" i="2" a="1"/>
  <c r="D19" i="2" s="1"/>
  <c r="D20" i="2" a="1"/>
  <c r="D20" i="2" s="1"/>
  <c r="D21" i="2" a="1"/>
  <c r="D21" i="2" s="1"/>
  <c r="D22" i="2" a="1"/>
  <c r="D22" i="2" s="1"/>
  <c r="D24" i="2" a="1"/>
  <c r="D24" i="2" s="1"/>
  <c r="D25" i="2" a="1"/>
  <c r="D25" i="2" s="1"/>
  <c r="D26" i="2" a="1"/>
  <c r="D26" i="2" s="1"/>
  <c r="B22" i="15" s="1" a="1"/>
  <c r="B22" i="15" s="1"/>
  <c r="D27" i="2" a="1"/>
  <c r="D27" i="2" s="1"/>
  <c r="D28" i="2" a="1"/>
  <c r="D28" i="2" s="1"/>
  <c r="D29" i="2" a="1"/>
  <c r="D29" i="2" s="1"/>
  <c r="D30" i="2" a="1"/>
  <c r="D30" i="2" s="1"/>
  <c r="D31" i="2" a="1"/>
  <c r="D31" i="2" s="1"/>
  <c r="D32" i="2" a="1"/>
  <c r="D32" i="2" s="1"/>
  <c r="D33" i="2" a="1"/>
  <c r="D33" i="2" s="1"/>
  <c r="D34" i="2" a="1"/>
  <c r="D34" i="2" s="1"/>
  <c r="D36" i="2" a="1"/>
  <c r="D36" i="2" s="1"/>
  <c r="D37" i="2" a="1"/>
  <c r="D37" i="2" s="1"/>
  <c r="D38" i="2" a="1"/>
  <c r="D38" i="2" s="1"/>
  <c r="D40" i="2" a="1"/>
  <c r="D40" i="2" s="1"/>
  <c r="D41" i="2" a="1"/>
  <c r="D41" i="2" s="1"/>
  <c r="B19" i="15" s="1" a="1"/>
  <c r="B19" i="15" s="1"/>
  <c r="D42" i="2" a="1"/>
  <c r="D42" i="2" s="1"/>
  <c r="D43" i="2" a="1"/>
  <c r="D43" i="2" s="1"/>
  <c r="D44" i="2" a="1"/>
  <c r="D44" i="2" s="1"/>
  <c r="D46" i="2" a="1"/>
  <c r="D46" i="2" s="1"/>
  <c r="D47" i="2" a="1"/>
  <c r="D47" i="2" s="1"/>
  <c r="D48" i="2" a="1"/>
  <c r="D48" i="2" s="1"/>
  <c r="D49" i="2" a="1"/>
  <c r="D49" i="2" s="1"/>
  <c r="D50" i="2" a="1"/>
  <c r="D50" i="2" s="1"/>
  <c r="D51" i="2" a="1"/>
  <c r="D51" i="2" s="1"/>
  <c r="D52" i="2" a="1"/>
  <c r="D52" i="2" s="1"/>
  <c r="D53" i="2" a="1"/>
  <c r="D53" i="2" s="1"/>
  <c r="D54" i="2" a="1"/>
  <c r="D54" i="2" s="1"/>
  <c r="D55" i="2" a="1"/>
  <c r="D55" i="2" s="1"/>
  <c r="D57" i="2" a="1"/>
  <c r="D57" i="2" s="1"/>
  <c r="D2" i="2" a="1"/>
  <c r="D2" i="2" s="1"/>
  <c r="B15" i="17"/>
  <c r="D35" i="2" s="1" a="1"/>
  <c r="D35" i="2" s="1"/>
  <c r="B16" i="17"/>
  <c r="D12" i="2" s="1" a="1"/>
  <c r="D12" i="2" s="1"/>
  <c r="B9" i="17"/>
  <c r="D39" i="2" s="1" a="1"/>
  <c r="D39" i="2" s="1"/>
  <c r="B34" i="17"/>
  <c r="B35" i="17" s="1"/>
  <c r="B29" i="17"/>
  <c r="D45" i="2" s="1" a="1"/>
  <c r="D45" i="2" s="1"/>
  <c r="B40" i="17"/>
  <c r="B39" i="17"/>
  <c r="D23" i="2" s="1" a="1"/>
  <c r="D23" i="2" s="1"/>
  <c r="B54" i="17"/>
  <c r="K27" i="21" s="1" a="1"/>
  <c r="K27" i="21" s="1"/>
  <c r="E27" i="21" s="1"/>
  <c r="B55" i="17"/>
  <c r="K21" i="21" s="1" a="1"/>
  <c r="K21" i="21" s="1"/>
  <c r="E21" i="21" s="1"/>
  <c r="Y4" i="2"/>
  <c r="Y52" i="2"/>
  <c r="Y59" i="2"/>
  <c r="Y69" i="2"/>
  <c r="AA101" i="2"/>
  <c r="X61" i="2"/>
  <c r="X64" i="2"/>
  <c r="V9" i="2"/>
  <c r="T3" i="2" a="1"/>
  <c r="T3" i="2" s="1"/>
  <c r="X3" i="2" s="1"/>
  <c r="T4" i="2" a="1"/>
  <c r="T4" i="2" s="1"/>
  <c r="X4" i="2" s="1"/>
  <c r="T5" i="2" a="1"/>
  <c r="T5" i="2" s="1"/>
  <c r="T6" i="2" a="1"/>
  <c r="T6" i="2" s="1"/>
  <c r="T7" i="2" a="1"/>
  <c r="T7" i="2" s="1"/>
  <c r="T8" i="2" a="1"/>
  <c r="T8" i="2" s="1"/>
  <c r="Y8" i="2" s="1"/>
  <c r="T10" i="2" a="1"/>
  <c r="T10" i="2" s="1"/>
  <c r="X10" i="2" s="1"/>
  <c r="T11" i="2" a="1"/>
  <c r="T11" i="2" s="1"/>
  <c r="X11" i="2" s="1"/>
  <c r="T12" i="2" a="1"/>
  <c r="T12" i="2" s="1"/>
  <c r="T13" i="2" a="1"/>
  <c r="T13" i="2"/>
  <c r="Y13" i="2" s="1"/>
  <c r="T14" i="2" a="1"/>
  <c r="T14" i="2"/>
  <c r="X14" i="2" s="1"/>
  <c r="T15" i="2" a="1"/>
  <c r="T15" i="2" s="1"/>
  <c r="X15" i="2" s="1"/>
  <c r="T16" i="2" a="1"/>
  <c r="T16" i="2" s="1"/>
  <c r="X16" i="2" s="1"/>
  <c r="T17" i="2" a="1"/>
  <c r="T17" i="2" s="1"/>
  <c r="X17" i="2" s="1"/>
  <c r="T18" i="2" a="1"/>
  <c r="T18" i="2" s="1"/>
  <c r="X18" i="2" s="1"/>
  <c r="T19" i="2" a="1"/>
  <c r="T19" i="2" s="1"/>
  <c r="X19" i="2" s="1"/>
  <c r="T20" i="2" a="1"/>
  <c r="T20" i="2"/>
  <c r="X20" i="2" s="1"/>
  <c r="T21" i="2" a="1"/>
  <c r="T21" i="2" s="1"/>
  <c r="T22" i="2" a="1"/>
  <c r="T22" i="2" s="1"/>
  <c r="X22" i="2" s="1"/>
  <c r="T23" i="2" a="1"/>
  <c r="T23" i="2"/>
  <c r="X23" i="2" s="1"/>
  <c r="T24" i="2" a="1"/>
  <c r="T24" i="2"/>
  <c r="X24" i="2" s="1"/>
  <c r="T25" i="2" a="1"/>
  <c r="T25" i="2" s="1"/>
  <c r="X25" i="2" s="1"/>
  <c r="T26" i="2" a="1"/>
  <c r="T26" i="2" s="1"/>
  <c r="X26" i="2" s="1"/>
  <c r="T27" i="2" a="1"/>
  <c r="T27" i="2" s="1"/>
  <c r="X27" i="2" s="1"/>
  <c r="T28" i="2" a="1"/>
  <c r="T28" i="2" s="1"/>
  <c r="X28" i="2" s="1"/>
  <c r="T29" i="2" a="1"/>
  <c r="T29" i="2" s="1"/>
  <c r="T30" i="2" a="1"/>
  <c r="T30" i="2" s="1"/>
  <c r="X30" i="2" s="1"/>
  <c r="T31" i="2" a="1"/>
  <c r="T31" i="2" s="1"/>
  <c r="T32" i="2" a="1"/>
  <c r="T32" i="2"/>
  <c r="X32" i="2" s="1"/>
  <c r="T33" i="2" a="1"/>
  <c r="T33" i="2"/>
  <c r="Y33" i="2" s="1"/>
  <c r="T34" i="2" a="1"/>
  <c r="T34" i="2" s="1"/>
  <c r="X34" i="2" s="1"/>
  <c r="T35" i="2" a="1"/>
  <c r="T35" i="2" s="1"/>
  <c r="X35" i="2" s="1"/>
  <c r="T36" i="2" a="1"/>
  <c r="T36" i="2" s="1"/>
  <c r="X36" i="2" s="1"/>
  <c r="T37" i="2" a="1"/>
  <c r="T37" i="2" s="1"/>
  <c r="X37" i="2" s="1"/>
  <c r="T38" i="2" a="1"/>
  <c r="T38" i="2"/>
  <c r="X38" i="2" s="1"/>
  <c r="T39" i="2" a="1"/>
  <c r="T39" i="2" s="1"/>
  <c r="T40" i="2" a="1"/>
  <c r="T40" i="2"/>
  <c r="X40" i="2" s="1"/>
  <c r="T41" i="2" a="1"/>
  <c r="T41" i="2"/>
  <c r="X41" i="2" s="1"/>
  <c r="T42" i="2" a="1"/>
  <c r="T42" i="2" s="1"/>
  <c r="X42" i="2" s="1"/>
  <c r="T43" i="2" a="1"/>
  <c r="T43" i="2" s="1"/>
  <c r="X43" i="2" s="1"/>
  <c r="T44" i="2" a="1"/>
  <c r="T44" i="2" s="1"/>
  <c r="X44" i="2" s="1"/>
  <c r="T45" i="2" a="1"/>
  <c r="T45" i="2" s="1"/>
  <c r="X45" i="2" s="1"/>
  <c r="T46" i="2" a="1"/>
  <c r="T46" i="2" s="1"/>
  <c r="X46" i="2" s="1"/>
  <c r="T47" i="2" a="1"/>
  <c r="T47" i="2"/>
  <c r="X47" i="2" s="1"/>
  <c r="T48" i="2" a="1"/>
  <c r="T48" i="2" s="1"/>
  <c r="X48" i="2" s="1"/>
  <c r="T49" i="2" a="1"/>
  <c r="T49" i="2" s="1"/>
  <c r="T50" i="2" a="1"/>
  <c r="T50" i="2" s="1"/>
  <c r="T51" i="2" a="1"/>
  <c r="T51" i="2" s="1"/>
  <c r="X51" i="2" s="1"/>
  <c r="T52" i="2" a="1"/>
  <c r="T52" i="2" s="1"/>
  <c r="X52" i="2" s="1"/>
  <c r="T53" i="2" a="1"/>
  <c r="T53" i="2" s="1"/>
  <c r="T54" i="2" a="1"/>
  <c r="T54" i="2"/>
  <c r="X54" i="2" s="1"/>
  <c r="T55" i="2" a="1"/>
  <c r="T55" i="2"/>
  <c r="X55" i="2" s="1"/>
  <c r="T56" i="2" a="1"/>
  <c r="T56" i="2" s="1"/>
  <c r="X56" i="2" s="1"/>
  <c r="T57" i="2" a="1"/>
  <c r="T57" i="2"/>
  <c r="X57" i="2" s="1"/>
  <c r="T58" i="2" a="1"/>
  <c r="T58" i="2" s="1"/>
  <c r="T59" i="2" a="1"/>
  <c r="T59" i="2" s="1"/>
  <c r="X59" i="2" s="1"/>
  <c r="T60" i="2" a="1"/>
  <c r="T60" i="2" s="1"/>
  <c r="T61" i="2" a="1"/>
  <c r="T61" i="2"/>
  <c r="Y61" i="2" s="1"/>
  <c r="T62" i="2" a="1"/>
  <c r="T62" i="2" s="1"/>
  <c r="X62" i="2" s="1"/>
  <c r="T63" i="2" a="1"/>
  <c r="T63" i="2" s="1"/>
  <c r="T64" i="2" a="1"/>
  <c r="T64" i="2"/>
  <c r="Y64" i="2" s="1"/>
  <c r="T65" i="2" a="1"/>
  <c r="T65" i="2" s="1"/>
  <c r="X65" i="2" s="1"/>
  <c r="T66" i="2" a="1"/>
  <c r="T66" i="2"/>
  <c r="X66" i="2" s="1"/>
  <c r="T67" i="2" a="1"/>
  <c r="T67" i="2" s="1"/>
  <c r="X67" i="2" s="1"/>
  <c r="T68" i="2" a="1"/>
  <c r="T68" i="2" s="1"/>
  <c r="T69" i="2" a="1"/>
  <c r="T69" i="2" s="1"/>
  <c r="X69" i="2" s="1"/>
  <c r="T70" i="2" a="1"/>
  <c r="T70" i="2" s="1"/>
  <c r="T71" i="2" a="1"/>
  <c r="T71" i="2" s="1"/>
  <c r="T72" i="2" a="1"/>
  <c r="T72" i="2"/>
  <c r="X72" i="2" s="1"/>
  <c r="T73" i="2" a="1"/>
  <c r="T73" i="2"/>
  <c r="X73" i="2" s="1"/>
  <c r="T74" i="2" a="1"/>
  <c r="T74" i="2" s="1"/>
  <c r="X74" i="2" s="1"/>
  <c r="T75" i="2" a="1"/>
  <c r="T75" i="2" s="1"/>
  <c r="X75" i="2" s="1"/>
  <c r="T76" i="2" a="1"/>
  <c r="T76" i="2"/>
  <c r="X76" i="2" s="1"/>
  <c r="T77" i="2" a="1"/>
  <c r="T77" i="2" s="1"/>
  <c r="X77" i="2" s="1"/>
  <c r="T78" i="2" a="1"/>
  <c r="T78" i="2" s="1"/>
  <c r="X78" i="2" s="1"/>
  <c r="T79" i="2" a="1"/>
  <c r="T79" i="2"/>
  <c r="X79" i="2" s="1"/>
  <c r="T80" i="2" a="1"/>
  <c r="T80" i="2"/>
  <c r="X80" i="2" s="1"/>
  <c r="T81" i="2" a="1"/>
  <c r="T81" i="2" s="1"/>
  <c r="T82" i="2" a="1"/>
  <c r="T82" i="2" s="1"/>
  <c r="T83" i="2" a="1"/>
  <c r="T83" i="2" s="1"/>
  <c r="X83" i="2" s="1"/>
  <c r="T84" i="2" a="1"/>
  <c r="T84" i="2" s="1"/>
  <c r="X84" i="2" s="1"/>
  <c r="T85" i="2" a="1"/>
  <c r="T85" i="2" s="1"/>
  <c r="X85" i="2" s="1"/>
  <c r="V86" i="2" a="1"/>
  <c r="V86" i="2"/>
  <c r="Z86" i="2" s="1"/>
  <c r="V87" i="2" a="1"/>
  <c r="V87" i="2" s="1"/>
  <c r="Z87" i="2" s="1"/>
  <c r="V88" i="2" a="1"/>
  <c r="V88" i="2" s="1"/>
  <c r="Z88" i="2" s="1"/>
  <c r="V89" i="2" a="1"/>
  <c r="V89" i="2"/>
  <c r="AA89" i="2" s="1"/>
  <c r="V90" i="2" a="1"/>
  <c r="V90" i="2" s="1"/>
  <c r="V91" i="2" a="1"/>
  <c r="V91" i="2" s="1"/>
  <c r="Z91" i="2" s="1"/>
  <c r="V92" i="2" a="1"/>
  <c r="V92" i="2" s="1"/>
  <c r="Z92" i="2" s="1"/>
  <c r="V93" i="2" a="1"/>
  <c r="V93" i="2" s="1"/>
  <c r="AA93" i="2" s="1"/>
  <c r="V94" i="2" a="1"/>
  <c r="V94" i="2" s="1"/>
  <c r="AA94" i="2" s="1"/>
  <c r="V95" i="2" a="1"/>
  <c r="V95" i="2" s="1"/>
  <c r="Z95" i="2" s="1"/>
  <c r="V96" i="2" a="1"/>
  <c r="V96" i="2" s="1"/>
  <c r="Z96" i="2" s="1"/>
  <c r="V97" i="2" a="1"/>
  <c r="V97" i="2" s="1"/>
  <c r="Z97" i="2" s="1"/>
  <c r="V98" i="2" a="1"/>
  <c r="V98" i="2" s="1"/>
  <c r="Z98" i="2" s="1"/>
  <c r="V99" i="2" a="1"/>
  <c r="V99" i="2" s="1"/>
  <c r="Z99" i="2" s="1"/>
  <c r="V100" i="2" a="1"/>
  <c r="V100" i="2" s="1"/>
  <c r="V101" i="2" a="1"/>
  <c r="V101" i="2" s="1"/>
  <c r="Z101" i="2" s="1"/>
  <c r="T2" i="2" a="1"/>
  <c r="T2" i="2" s="1"/>
  <c r="Y2" i="2" s="1"/>
  <c r="V81" i="2"/>
  <c r="V77" i="2"/>
  <c r="V75" i="2"/>
  <c r="V73" i="2"/>
  <c r="V71" i="2"/>
  <c r="V65" i="2"/>
  <c r="V61" i="2"/>
  <c r="V33" i="2"/>
  <c r="L3" i="3"/>
  <c r="L4" i="3"/>
  <c r="L5" i="3"/>
  <c r="L6" i="3"/>
  <c r="L7" i="3"/>
  <c r="L8" i="3"/>
  <c r="L2" i="3"/>
  <c r="I3" i="3"/>
  <c r="I4" i="3"/>
  <c r="I5" i="3"/>
  <c r="I6" i="3"/>
  <c r="I7" i="3"/>
  <c r="I8" i="3"/>
  <c r="I2" i="3"/>
  <c r="G8" i="3"/>
  <c r="G7" i="3"/>
  <c r="G3" i="3"/>
  <c r="G4" i="3"/>
  <c r="G5" i="3"/>
  <c r="G6" i="3"/>
  <c r="G2" i="3"/>
  <c r="K8" i="3"/>
  <c r="K7" i="3"/>
  <c r="O31" i="3"/>
  <c r="K3" i="3"/>
  <c r="K4" i="3"/>
  <c r="K5" i="3"/>
  <c r="K6" i="3"/>
  <c r="K2" i="3"/>
  <c r="I31" i="19"/>
  <c r="I32" i="19"/>
  <c r="I33" i="19"/>
  <c r="I34" i="19"/>
  <c r="I35" i="19"/>
  <c r="I36" i="19"/>
  <c r="I37" i="19"/>
  <c r="I30" i="19"/>
  <c r="H37" i="19"/>
  <c r="H33" i="19"/>
  <c r="H31" i="19"/>
  <c r="H32" i="19"/>
  <c r="H34" i="19"/>
  <c r="H35" i="19"/>
  <c r="H36" i="19"/>
  <c r="E32" i="19"/>
  <c r="E33" i="19"/>
  <c r="E34" i="19"/>
  <c r="E35" i="19"/>
  <c r="E36" i="19"/>
  <c r="E37" i="19"/>
  <c r="E30" i="19"/>
  <c r="E31" i="19"/>
  <c r="H30" i="19"/>
  <c r="Q37" i="19"/>
  <c r="P37" i="19"/>
  <c r="O37" i="19"/>
  <c r="N37" i="19"/>
  <c r="M37" i="19"/>
  <c r="L37" i="19"/>
  <c r="K37" i="19"/>
  <c r="Q36" i="19"/>
  <c r="P36" i="19"/>
  <c r="O36" i="19"/>
  <c r="N36" i="19"/>
  <c r="M36" i="19"/>
  <c r="L36" i="19"/>
  <c r="K36" i="19"/>
  <c r="Q35" i="19"/>
  <c r="P35" i="19"/>
  <c r="O35" i="19"/>
  <c r="N35" i="19"/>
  <c r="M35" i="19"/>
  <c r="L35" i="19"/>
  <c r="K35" i="19"/>
  <c r="Q34" i="19"/>
  <c r="P34" i="19"/>
  <c r="O34" i="19"/>
  <c r="N34" i="19"/>
  <c r="M34" i="19"/>
  <c r="L34" i="19"/>
  <c r="K34" i="19"/>
  <c r="Q33" i="19"/>
  <c r="P33" i="19"/>
  <c r="O33" i="19"/>
  <c r="N33" i="19"/>
  <c r="M33" i="19"/>
  <c r="L33" i="19"/>
  <c r="K33" i="19"/>
  <c r="Q32" i="19"/>
  <c r="P32" i="19"/>
  <c r="O32" i="19"/>
  <c r="N32" i="19"/>
  <c r="M32" i="19"/>
  <c r="L32" i="19"/>
  <c r="K32" i="19"/>
  <c r="Q31" i="19"/>
  <c r="P31" i="19"/>
  <c r="O31" i="19"/>
  <c r="N31" i="19"/>
  <c r="M31" i="19"/>
  <c r="L31" i="19"/>
  <c r="K31" i="19"/>
  <c r="Q30" i="19"/>
  <c r="P30" i="19"/>
  <c r="O30" i="19"/>
  <c r="N30" i="19"/>
  <c r="M30" i="19"/>
  <c r="L30" i="19"/>
  <c r="K30" i="19"/>
  <c r="K17" i="19"/>
  <c r="L17" i="19"/>
  <c r="M17" i="19"/>
  <c r="N17" i="19"/>
  <c r="O17" i="19"/>
  <c r="P17" i="19"/>
  <c r="Q17" i="19"/>
  <c r="K18" i="19"/>
  <c r="L18" i="19"/>
  <c r="M18" i="19"/>
  <c r="N18" i="19"/>
  <c r="O18" i="19"/>
  <c r="P18" i="19"/>
  <c r="Q18" i="19"/>
  <c r="K19" i="19"/>
  <c r="L19" i="19"/>
  <c r="M19" i="19"/>
  <c r="N19" i="19"/>
  <c r="O19" i="19"/>
  <c r="P19" i="19"/>
  <c r="Q19" i="19"/>
  <c r="K20" i="19"/>
  <c r="L20" i="19"/>
  <c r="M20" i="19"/>
  <c r="N20" i="19"/>
  <c r="O20" i="19"/>
  <c r="P20" i="19"/>
  <c r="Q20" i="19"/>
  <c r="K21" i="19"/>
  <c r="L21" i="19"/>
  <c r="M21" i="19"/>
  <c r="N21" i="19"/>
  <c r="O21" i="19"/>
  <c r="P21" i="19"/>
  <c r="Q21" i="19"/>
  <c r="K22" i="19"/>
  <c r="L22" i="19"/>
  <c r="M22" i="19"/>
  <c r="N22" i="19"/>
  <c r="O22" i="19"/>
  <c r="P22" i="19"/>
  <c r="Q22" i="19"/>
  <c r="K23" i="19"/>
  <c r="L23" i="19"/>
  <c r="M23" i="19"/>
  <c r="N23" i="19"/>
  <c r="O23" i="19"/>
  <c r="P23" i="19"/>
  <c r="Q23" i="19"/>
  <c r="K24" i="19"/>
  <c r="L24" i="19"/>
  <c r="M24" i="19"/>
  <c r="N24" i="19"/>
  <c r="O24" i="19"/>
  <c r="P24" i="19"/>
  <c r="Q24" i="19"/>
  <c r="M4" i="19"/>
  <c r="N4" i="19"/>
  <c r="O4" i="19"/>
  <c r="P4" i="19"/>
  <c r="Q4" i="19"/>
  <c r="R4" i="19"/>
  <c r="M5" i="19"/>
  <c r="N5" i="19"/>
  <c r="O5" i="19"/>
  <c r="P5" i="19"/>
  <c r="Q5" i="19"/>
  <c r="R5" i="19"/>
  <c r="M6" i="19"/>
  <c r="N6" i="19"/>
  <c r="O6" i="19"/>
  <c r="P6" i="19"/>
  <c r="Q6" i="19"/>
  <c r="R6" i="19"/>
  <c r="M7" i="19"/>
  <c r="N7" i="19"/>
  <c r="O7" i="19"/>
  <c r="P7" i="19"/>
  <c r="Q7" i="19"/>
  <c r="R7" i="19"/>
  <c r="M8" i="19"/>
  <c r="N8" i="19"/>
  <c r="O8" i="19"/>
  <c r="P8" i="19"/>
  <c r="Q8" i="19"/>
  <c r="R8" i="19"/>
  <c r="M9" i="19"/>
  <c r="N9" i="19"/>
  <c r="O9" i="19"/>
  <c r="P9" i="19"/>
  <c r="Q9" i="19"/>
  <c r="R9" i="19"/>
  <c r="M10" i="19"/>
  <c r="N10" i="19"/>
  <c r="O10" i="19"/>
  <c r="P10" i="19"/>
  <c r="Q10" i="19"/>
  <c r="R10" i="19"/>
  <c r="M11" i="19"/>
  <c r="N11" i="19"/>
  <c r="O11" i="19"/>
  <c r="P11" i="19"/>
  <c r="Q11" i="19"/>
  <c r="R11" i="19"/>
  <c r="M12" i="19"/>
  <c r="N12" i="19"/>
  <c r="O12" i="19"/>
  <c r="P12" i="19"/>
  <c r="Q12" i="19"/>
  <c r="R12" i="19"/>
  <c r="M13" i="19"/>
  <c r="N13" i="19"/>
  <c r="O13" i="19"/>
  <c r="P13" i="19"/>
  <c r="Q13" i="19"/>
  <c r="R13" i="19"/>
  <c r="L5" i="19"/>
  <c r="L6" i="19"/>
  <c r="L7" i="19"/>
  <c r="L8" i="19"/>
  <c r="L9" i="19"/>
  <c r="L10" i="19"/>
  <c r="L11" i="19"/>
  <c r="L12" i="19"/>
  <c r="L13" i="19"/>
  <c r="L4" i="19"/>
  <c r="E24" i="19"/>
  <c r="E22" i="19"/>
  <c r="E20" i="19"/>
  <c r="E18" i="19"/>
  <c r="E23" i="19"/>
  <c r="E21" i="19"/>
  <c r="E19" i="19"/>
  <c r="E17" i="19"/>
  <c r="K13" i="19"/>
  <c r="H26" i="19"/>
  <c r="H13" i="19"/>
  <c r="E13" i="19"/>
  <c r="K12" i="19"/>
  <c r="H25" i="19"/>
  <c r="H12" i="19"/>
  <c r="E12" i="19"/>
  <c r="K11" i="19"/>
  <c r="I24" i="19"/>
  <c r="H24" i="19"/>
  <c r="H11" i="19"/>
  <c r="G11" i="19"/>
  <c r="E11" i="19"/>
  <c r="K10" i="19"/>
  <c r="I23" i="19"/>
  <c r="H23" i="19"/>
  <c r="H10" i="19"/>
  <c r="G10" i="19"/>
  <c r="E10" i="19"/>
  <c r="K9" i="19"/>
  <c r="I22" i="19"/>
  <c r="H22" i="19"/>
  <c r="H9" i="19"/>
  <c r="G9" i="19"/>
  <c r="E9" i="19"/>
  <c r="K8" i="19"/>
  <c r="I21" i="19"/>
  <c r="H21" i="19"/>
  <c r="H8" i="19"/>
  <c r="G8" i="19"/>
  <c r="E8" i="19"/>
  <c r="I20" i="19"/>
  <c r="H20" i="19"/>
  <c r="H7" i="19"/>
  <c r="G7" i="19"/>
  <c r="E7" i="19"/>
  <c r="K6" i="19"/>
  <c r="I19" i="19"/>
  <c r="H19" i="19"/>
  <c r="H6" i="19"/>
  <c r="G6" i="19"/>
  <c r="E6" i="19"/>
  <c r="K5" i="19"/>
  <c r="I18" i="19"/>
  <c r="H18" i="19"/>
  <c r="H5" i="19"/>
  <c r="G5" i="19"/>
  <c r="E5" i="19"/>
  <c r="I17" i="19"/>
  <c r="H17" i="19"/>
  <c r="H4" i="19"/>
  <c r="G4" i="19"/>
  <c r="E4" i="19"/>
  <c r="K3" i="19"/>
  <c r="V25" i="3"/>
  <c r="V26" i="3"/>
  <c r="U23" i="3"/>
  <c r="V28" i="3"/>
  <c r="V29" i="3"/>
  <c r="V30" i="3"/>
  <c r="V31" i="3"/>
  <c r="V32" i="3"/>
  <c r="V33" i="3"/>
  <c r="M84" i="18"/>
  <c r="L84" i="18" s="1"/>
  <c r="N84" i="18"/>
  <c r="M47" i="18"/>
  <c r="L47" i="18" s="1"/>
  <c r="N47" i="18"/>
  <c r="M64" i="18"/>
  <c r="L64" i="18" s="1"/>
  <c r="N64" i="18"/>
  <c r="M23" i="18"/>
  <c r="L23" i="18" s="1"/>
  <c r="N23" i="18"/>
  <c r="M30" i="18"/>
  <c r="L30" i="18" s="1"/>
  <c r="N30" i="18"/>
  <c r="M73" i="18"/>
  <c r="L73" i="18" s="1"/>
  <c r="N73" i="18"/>
  <c r="M38" i="18"/>
  <c r="L38" i="18" s="1"/>
  <c r="N38" i="18"/>
  <c r="M39" i="18"/>
  <c r="L39" i="18" s="1"/>
  <c r="N39" i="18"/>
  <c r="M61" i="18"/>
  <c r="L61" i="18" s="1"/>
  <c r="N61" i="18"/>
  <c r="M6" i="18"/>
  <c r="L6" i="18" s="1"/>
  <c r="N6" i="18"/>
  <c r="M41" i="18"/>
  <c r="L41" i="18" s="1"/>
  <c r="N41" i="18"/>
  <c r="M68" i="18"/>
  <c r="L68" i="18" s="1"/>
  <c r="N68" i="18"/>
  <c r="M15" i="18"/>
  <c r="L15" i="18" s="1"/>
  <c r="N15" i="18"/>
  <c r="M74" i="18"/>
  <c r="L74" i="18" s="1"/>
  <c r="N74" i="18"/>
  <c r="M52" i="18"/>
  <c r="L52" i="18" s="1"/>
  <c r="N52" i="18"/>
  <c r="M75" i="18"/>
  <c r="L75" i="18" s="1"/>
  <c r="N75" i="18"/>
  <c r="M40" i="18"/>
  <c r="L40" i="18" s="1"/>
  <c r="N40" i="18"/>
  <c r="M42" i="18"/>
  <c r="L42" i="18" s="1"/>
  <c r="N42" i="18"/>
  <c r="M78" i="18"/>
  <c r="L78" i="18" s="1"/>
  <c r="N78" i="18"/>
  <c r="M76" i="18"/>
  <c r="L76" i="18" s="1"/>
  <c r="N76" i="18"/>
  <c r="M48" i="18"/>
  <c r="L48" i="18" s="1"/>
  <c r="N48" i="18"/>
  <c r="M80" i="18"/>
  <c r="L80" i="18" s="1"/>
  <c r="N80" i="18"/>
  <c r="M49" i="18"/>
  <c r="L49" i="18" s="1"/>
  <c r="N49" i="18"/>
  <c r="M22" i="18"/>
  <c r="L22" i="18" s="1"/>
  <c r="N22" i="18"/>
  <c r="M9" i="18"/>
  <c r="L9" i="18" s="1"/>
  <c r="N9" i="18"/>
  <c r="M24" i="18"/>
  <c r="L24" i="18" s="1"/>
  <c r="N24" i="18"/>
  <c r="M4" i="18"/>
  <c r="L4" i="18" s="1"/>
  <c r="N4" i="18"/>
  <c r="M12" i="18"/>
  <c r="L12" i="18" s="1"/>
  <c r="N12" i="18"/>
  <c r="M21" i="18"/>
  <c r="L21" i="18" s="1"/>
  <c r="N21" i="18"/>
  <c r="M58" i="18"/>
  <c r="L58" i="18" s="1"/>
  <c r="N58" i="18"/>
  <c r="M63" i="18"/>
  <c r="L63" i="18" s="1"/>
  <c r="N63" i="18"/>
  <c r="M13" i="18"/>
  <c r="L13" i="18" s="1"/>
  <c r="N13" i="18"/>
  <c r="M26" i="18"/>
  <c r="L26" i="18" s="1"/>
  <c r="N26" i="18"/>
  <c r="M43" i="18"/>
  <c r="L43" i="18" s="1"/>
  <c r="N43" i="18"/>
  <c r="M33" i="18"/>
  <c r="L33" i="18" s="1"/>
  <c r="N33" i="18"/>
  <c r="M5" i="18"/>
  <c r="L5" i="18" s="1"/>
  <c r="N5" i="18"/>
  <c r="M59" i="18"/>
  <c r="L59" i="18" s="1"/>
  <c r="N59" i="18"/>
  <c r="M34" i="18"/>
  <c r="L34" i="18" s="1"/>
  <c r="N34" i="18"/>
  <c r="M70" i="18"/>
  <c r="L70" i="18" s="1"/>
  <c r="N70" i="18"/>
  <c r="M56" i="18"/>
  <c r="L56" i="18" s="1"/>
  <c r="N56" i="18"/>
  <c r="M35" i="18"/>
  <c r="L35" i="18" s="1"/>
  <c r="N35" i="18"/>
  <c r="M27" i="18"/>
  <c r="L27" i="18" s="1"/>
  <c r="N27" i="18"/>
  <c r="M32" i="18"/>
  <c r="L32" i="18" s="1"/>
  <c r="N32" i="18"/>
  <c r="M44" i="18"/>
  <c r="L44" i="18" s="1"/>
  <c r="N44" i="18"/>
  <c r="M65" i="18"/>
  <c r="L65" i="18" s="1"/>
  <c r="N65" i="18"/>
  <c r="M7" i="18"/>
  <c r="L7" i="18" s="1"/>
  <c r="N7" i="18"/>
  <c r="M85" i="18"/>
  <c r="L85" i="18" s="1"/>
  <c r="N85" i="18"/>
  <c r="M71" i="18"/>
  <c r="L71" i="18" s="1"/>
  <c r="N71" i="18"/>
  <c r="M16" i="18"/>
  <c r="L16" i="18" s="1"/>
  <c r="N16" i="18"/>
  <c r="M83" i="18"/>
  <c r="L83" i="18" s="1"/>
  <c r="N83" i="18"/>
  <c r="M66" i="18"/>
  <c r="L66" i="18" s="1"/>
  <c r="N66" i="18"/>
  <c r="M14" i="18"/>
  <c r="L14" i="18" s="1"/>
  <c r="N14" i="18"/>
  <c r="M36" i="18"/>
  <c r="L36" i="18" s="1"/>
  <c r="N36" i="18"/>
  <c r="M45" i="18"/>
  <c r="L45" i="18" s="1"/>
  <c r="N45" i="18"/>
  <c r="M53" i="18"/>
  <c r="L53" i="18" s="1"/>
  <c r="N53" i="18"/>
  <c r="M11" i="18"/>
  <c r="L11" i="18" s="1"/>
  <c r="N11" i="18"/>
  <c r="M37" i="18"/>
  <c r="L37" i="18" s="1"/>
  <c r="N37" i="18"/>
  <c r="M17" i="18"/>
  <c r="L17" i="18" s="1"/>
  <c r="N17" i="18"/>
  <c r="M25" i="18"/>
  <c r="L25" i="18" s="1"/>
  <c r="N25" i="18"/>
  <c r="M18" i="18"/>
  <c r="L18" i="18" s="1"/>
  <c r="N18" i="18"/>
  <c r="M55" i="18"/>
  <c r="L55" i="18" s="1"/>
  <c r="N55" i="18"/>
  <c r="M31" i="18"/>
  <c r="L31" i="18" s="1"/>
  <c r="N31" i="18"/>
  <c r="M81" i="18"/>
  <c r="L81" i="18" s="1"/>
  <c r="N81" i="18"/>
  <c r="M57" i="18"/>
  <c r="L57" i="18" s="1"/>
  <c r="N57" i="18"/>
  <c r="M10" i="18"/>
  <c r="L10" i="18" s="1"/>
  <c r="N10" i="18"/>
  <c r="M28" i="18"/>
  <c r="L28" i="18" s="1"/>
  <c r="N28" i="18"/>
  <c r="M79" i="18"/>
  <c r="L79" i="18" s="1"/>
  <c r="N79" i="18"/>
  <c r="M60" i="18"/>
  <c r="L60" i="18" s="1"/>
  <c r="N60" i="18"/>
  <c r="M29" i="18"/>
  <c r="L29" i="18" s="1"/>
  <c r="N29" i="18"/>
  <c r="M20" i="18"/>
  <c r="L20" i="18" s="1"/>
  <c r="N20" i="18"/>
  <c r="M67" i="18"/>
  <c r="L67" i="18" s="1"/>
  <c r="N67" i="18"/>
  <c r="M51" i="18"/>
  <c r="L51" i="18" s="1"/>
  <c r="N51" i="18"/>
  <c r="M77" i="18"/>
  <c r="L77" i="18" s="1"/>
  <c r="N77" i="18"/>
  <c r="M46" i="18"/>
  <c r="L46" i="18" s="1"/>
  <c r="N46" i="18"/>
  <c r="M69" i="18"/>
  <c r="L69" i="18" s="1"/>
  <c r="N69" i="18"/>
  <c r="M72" i="18"/>
  <c r="L72" i="18" s="1"/>
  <c r="N72" i="18"/>
  <c r="M82" i="18"/>
  <c r="L82" i="18" s="1"/>
  <c r="N82" i="18"/>
  <c r="M8" i="18"/>
  <c r="L8" i="18" s="1"/>
  <c r="N8" i="18"/>
  <c r="M50" i="18"/>
  <c r="L50" i="18" s="1"/>
  <c r="N50" i="18"/>
  <c r="M62" i="18"/>
  <c r="L62" i="18" s="1"/>
  <c r="N62" i="18"/>
  <c r="M54" i="18"/>
  <c r="L54" i="18" s="1"/>
  <c r="N54" i="18"/>
  <c r="N19" i="18"/>
  <c r="M19" i="18"/>
  <c r="N3" i="18"/>
  <c r="M3" i="18"/>
  <c r="C96" i="18"/>
  <c r="D96" i="18" s="1"/>
  <c r="D95" i="18"/>
  <c r="C95" i="18"/>
  <c r="D93" i="18"/>
  <c r="C93" i="18"/>
  <c r="D92" i="18"/>
  <c r="C92" i="18"/>
  <c r="AG10" i="18"/>
  <c r="AR10" i="18" s="1"/>
  <c r="AF10" i="18"/>
  <c r="AQ10" i="18" s="1"/>
  <c r="AE10" i="18"/>
  <c r="AP10" i="18" s="1"/>
  <c r="AD10" i="18"/>
  <c r="AO10" i="18" s="1"/>
  <c r="AC10" i="18"/>
  <c r="AN10" i="18" s="1"/>
  <c r="AB10" i="18"/>
  <c r="AM10" i="18" s="1"/>
  <c r="AA10" i="18"/>
  <c r="AL10" i="18" s="1"/>
  <c r="Z10" i="18"/>
  <c r="AK10" i="18" s="1"/>
  <c r="Y10" i="18"/>
  <c r="AJ10" i="18" s="1"/>
  <c r="X10" i="18"/>
  <c r="AI10" i="18" s="1"/>
  <c r="AG9" i="18"/>
  <c r="AR9" i="18" s="1"/>
  <c r="AF9" i="18"/>
  <c r="AQ9" i="18" s="1"/>
  <c r="AE9" i="18"/>
  <c r="AP9" i="18" s="1"/>
  <c r="AD9" i="18"/>
  <c r="AO9" i="18" s="1"/>
  <c r="AC9" i="18"/>
  <c r="AN9" i="18" s="1"/>
  <c r="AB9" i="18"/>
  <c r="AM9" i="18" s="1"/>
  <c r="AA9" i="18"/>
  <c r="AL9" i="18" s="1"/>
  <c r="Z9" i="18"/>
  <c r="AK9" i="18" s="1"/>
  <c r="Y9" i="18"/>
  <c r="AJ9" i="18" s="1"/>
  <c r="X9" i="18"/>
  <c r="AI9" i="18" s="1"/>
  <c r="AG8" i="18"/>
  <c r="AR8" i="18" s="1"/>
  <c r="AF8" i="18"/>
  <c r="AQ8" i="18" s="1"/>
  <c r="AE8" i="18"/>
  <c r="AP8" i="18" s="1"/>
  <c r="AD8" i="18"/>
  <c r="AO8" i="18" s="1"/>
  <c r="AC8" i="18"/>
  <c r="AN8" i="18" s="1"/>
  <c r="AB8" i="18"/>
  <c r="AM8" i="18" s="1"/>
  <c r="AA8" i="18"/>
  <c r="AL8" i="18" s="1"/>
  <c r="Z8" i="18"/>
  <c r="AK8" i="18" s="1"/>
  <c r="Y8" i="18"/>
  <c r="AJ8" i="18" s="1"/>
  <c r="X8" i="18"/>
  <c r="AI8" i="18" s="1"/>
  <c r="AG7" i="18"/>
  <c r="AR7" i="18" s="1"/>
  <c r="AF7" i="18"/>
  <c r="AQ7" i="18" s="1"/>
  <c r="AE7" i="18"/>
  <c r="AP7" i="18" s="1"/>
  <c r="AD7" i="18"/>
  <c r="AO7" i="18" s="1"/>
  <c r="AC7" i="18"/>
  <c r="AN7" i="18" s="1"/>
  <c r="AB7" i="18"/>
  <c r="AM7" i="18" s="1"/>
  <c r="AA7" i="18"/>
  <c r="AL7" i="18" s="1"/>
  <c r="Z7" i="18"/>
  <c r="AK7" i="18" s="1"/>
  <c r="Y7" i="18"/>
  <c r="AJ7" i="18" s="1"/>
  <c r="X7" i="18"/>
  <c r="AI7" i="18" s="1"/>
  <c r="AG6" i="18"/>
  <c r="AR6" i="18" s="1"/>
  <c r="AF6" i="18"/>
  <c r="AQ6" i="18" s="1"/>
  <c r="AE6" i="18"/>
  <c r="AP6" i="18" s="1"/>
  <c r="AD6" i="18"/>
  <c r="AO6" i="18" s="1"/>
  <c r="AC6" i="18"/>
  <c r="AN6" i="18" s="1"/>
  <c r="AB6" i="18"/>
  <c r="AM6" i="18" s="1"/>
  <c r="AA6" i="18"/>
  <c r="AL6" i="18" s="1"/>
  <c r="Z6" i="18"/>
  <c r="AK6" i="18" s="1"/>
  <c r="Y6" i="18"/>
  <c r="AJ6" i="18" s="1"/>
  <c r="X6" i="18"/>
  <c r="AI6" i="18" s="1"/>
  <c r="AG5" i="18"/>
  <c r="AR5" i="18" s="1"/>
  <c r="AF5" i="18"/>
  <c r="AQ5" i="18" s="1"/>
  <c r="AE5" i="18"/>
  <c r="AP5" i="18" s="1"/>
  <c r="AD5" i="18"/>
  <c r="AO5" i="18" s="1"/>
  <c r="AC5" i="18"/>
  <c r="AN5" i="18" s="1"/>
  <c r="AB5" i="18"/>
  <c r="AM5" i="18" s="1"/>
  <c r="AA5" i="18"/>
  <c r="AL5" i="18" s="1"/>
  <c r="Z5" i="18"/>
  <c r="AK5" i="18" s="1"/>
  <c r="Y5" i="18"/>
  <c r="AJ5" i="18" s="1"/>
  <c r="X5" i="18"/>
  <c r="AI5" i="18" s="1"/>
  <c r="AG4" i="18"/>
  <c r="AR4" i="18" s="1"/>
  <c r="AF4" i="18"/>
  <c r="AQ4" i="18" s="1"/>
  <c r="AE4" i="18"/>
  <c r="AP4" i="18" s="1"/>
  <c r="AD4" i="18"/>
  <c r="AO4" i="18" s="1"/>
  <c r="AC4" i="18"/>
  <c r="AN4" i="18" s="1"/>
  <c r="AB4" i="18"/>
  <c r="AM4" i="18" s="1"/>
  <c r="AA4" i="18"/>
  <c r="AL4" i="18" s="1"/>
  <c r="Z4" i="18"/>
  <c r="AK4" i="18" s="1"/>
  <c r="Y4" i="18"/>
  <c r="AJ4" i="18" s="1"/>
  <c r="X4" i="18"/>
  <c r="AI4" i="18" s="1"/>
  <c r="C96" i="17"/>
  <c r="D96" i="17" s="1"/>
  <c r="D95" i="17"/>
  <c r="C95" i="17"/>
  <c r="D93" i="17"/>
  <c r="C93" i="17"/>
  <c r="D92" i="17"/>
  <c r="C92" i="17"/>
  <c r="P86" i="17"/>
  <c r="A60" i="17"/>
  <c r="P87" i="17"/>
  <c r="A59" i="17"/>
  <c r="P85" i="17"/>
  <c r="A58" i="17"/>
  <c r="P83" i="17"/>
  <c r="A57" i="17"/>
  <c r="P82" i="17"/>
  <c r="A86" i="17"/>
  <c r="P77" i="17"/>
  <c r="A87" i="17"/>
  <c r="P76" i="17"/>
  <c r="S76" i="17" s="1"/>
  <c r="A85" i="17"/>
  <c r="P75" i="17"/>
  <c r="A83" i="17"/>
  <c r="P74" i="17"/>
  <c r="A82" i="17"/>
  <c r="P81" i="17"/>
  <c r="A77" i="17"/>
  <c r="P79" i="17"/>
  <c r="A76" i="17"/>
  <c r="P78" i="17"/>
  <c r="A75" i="17"/>
  <c r="P73" i="17"/>
  <c r="A74" i="17"/>
  <c r="P80" i="17"/>
  <c r="A81" i="17"/>
  <c r="P72" i="17"/>
  <c r="A79" i="17"/>
  <c r="P89" i="17"/>
  <c r="A78" i="17"/>
  <c r="P88" i="17"/>
  <c r="A73" i="17"/>
  <c r="P84" i="17"/>
  <c r="A80" i="17"/>
  <c r="P71" i="17"/>
  <c r="A72" i="17"/>
  <c r="P63" i="17"/>
  <c r="A89" i="17"/>
  <c r="P70" i="17"/>
  <c r="A88" i="17"/>
  <c r="P65" i="17"/>
  <c r="A84" i="17"/>
  <c r="P64" i="17"/>
  <c r="A71" i="17"/>
  <c r="P67" i="17"/>
  <c r="A63" i="17"/>
  <c r="P69" i="17"/>
  <c r="A70" i="17"/>
  <c r="P62" i="17"/>
  <c r="A65" i="17"/>
  <c r="P66" i="17"/>
  <c r="A64" i="17"/>
  <c r="P68" i="17"/>
  <c r="A67" i="17"/>
  <c r="P61" i="17"/>
  <c r="A69" i="17"/>
  <c r="P56" i="17"/>
  <c r="A62" i="17"/>
  <c r="P55" i="17"/>
  <c r="A66" i="17"/>
  <c r="P54" i="17"/>
  <c r="A68" i="17"/>
  <c r="P49" i="17"/>
  <c r="A61" i="17"/>
  <c r="P50" i="17"/>
  <c r="A56" i="17"/>
  <c r="P48" i="17"/>
  <c r="A55" i="17"/>
  <c r="P53" i="17"/>
  <c r="A54" i="17"/>
  <c r="P47" i="17"/>
  <c r="A49" i="17"/>
  <c r="P39" i="17"/>
  <c r="A50" i="17"/>
  <c r="P40" i="17"/>
  <c r="A48" i="17"/>
  <c r="P38" i="17"/>
  <c r="A53" i="17"/>
  <c r="P30" i="17"/>
  <c r="A47" i="17"/>
  <c r="P37" i="17"/>
  <c r="A39" i="17"/>
  <c r="P36" i="17"/>
  <c r="A40" i="17"/>
  <c r="P33" i="17"/>
  <c r="A38" i="17"/>
  <c r="P32" i="17"/>
  <c r="A30" i="17"/>
  <c r="P31" i="17"/>
  <c r="A37" i="17"/>
  <c r="P35" i="17"/>
  <c r="A36" i="17"/>
  <c r="P29" i="17"/>
  <c r="A33" i="17"/>
  <c r="P34" i="17"/>
  <c r="A32" i="17"/>
  <c r="P28" i="17"/>
  <c r="A31" i="17"/>
  <c r="P42" i="17"/>
  <c r="A35" i="17"/>
  <c r="P52" i="17"/>
  <c r="A29" i="17"/>
  <c r="P51" i="17"/>
  <c r="A34" i="17"/>
  <c r="P45" i="17"/>
  <c r="A28" i="17"/>
  <c r="P44" i="17"/>
  <c r="A42" i="17"/>
  <c r="P43" i="17"/>
  <c r="A52" i="17"/>
  <c r="P41" i="17"/>
  <c r="A51" i="17"/>
  <c r="P46" i="17"/>
  <c r="A45" i="17"/>
  <c r="P27" i="17"/>
  <c r="A44" i="17"/>
  <c r="P26" i="17"/>
  <c r="A43" i="17"/>
  <c r="P22" i="17"/>
  <c r="A41" i="17"/>
  <c r="P25" i="17"/>
  <c r="A46" i="17"/>
  <c r="P19" i="17"/>
  <c r="A27" i="17"/>
  <c r="P23" i="17"/>
  <c r="A26" i="17"/>
  <c r="P24" i="17"/>
  <c r="A22" i="17"/>
  <c r="P21" i="17"/>
  <c r="A25" i="17"/>
  <c r="P20" i="17"/>
  <c r="A19" i="17"/>
  <c r="P18" i="17"/>
  <c r="A18" i="17"/>
  <c r="P17" i="17"/>
  <c r="A17" i="17"/>
  <c r="P7" i="17"/>
  <c r="A7" i="17"/>
  <c r="P8" i="17"/>
  <c r="A8" i="17"/>
  <c r="P6" i="17"/>
  <c r="A6" i="17"/>
  <c r="P9" i="17"/>
  <c r="A9" i="17"/>
  <c r="P16" i="17"/>
  <c r="A16" i="17"/>
  <c r="P15" i="17"/>
  <c r="A15" i="17"/>
  <c r="AJ12" i="17"/>
  <c r="AU12" i="17" s="1"/>
  <c r="AI12" i="17"/>
  <c r="AT12" i="17" s="1"/>
  <c r="AH12" i="17"/>
  <c r="AS12" i="17" s="1"/>
  <c r="AG12" i="17"/>
  <c r="AR12" i="17" s="1"/>
  <c r="AF12" i="17"/>
  <c r="AQ12" i="17" s="1"/>
  <c r="AE12" i="17"/>
  <c r="AP12" i="17" s="1"/>
  <c r="AD12" i="17"/>
  <c r="AO12" i="17" s="1"/>
  <c r="AC12" i="17"/>
  <c r="AN12" i="17" s="1"/>
  <c r="AB12" i="17"/>
  <c r="AM12" i="17" s="1"/>
  <c r="AA12" i="17"/>
  <c r="AL12" i="17" s="1"/>
  <c r="P12" i="17"/>
  <c r="A12" i="17"/>
  <c r="AJ11" i="17"/>
  <c r="AU11" i="17" s="1"/>
  <c r="AI11" i="17"/>
  <c r="AT11" i="17" s="1"/>
  <c r="AH11" i="17"/>
  <c r="AS11" i="17" s="1"/>
  <c r="AG11" i="17"/>
  <c r="AR11" i="17" s="1"/>
  <c r="AF11" i="17"/>
  <c r="AQ11" i="17" s="1"/>
  <c r="AE11" i="17"/>
  <c r="AP11" i="17" s="1"/>
  <c r="AD11" i="17"/>
  <c r="AO11" i="17" s="1"/>
  <c r="AC11" i="17"/>
  <c r="AN11" i="17" s="1"/>
  <c r="AB11" i="17"/>
  <c r="AM11" i="17" s="1"/>
  <c r="AA11" i="17"/>
  <c r="AL11" i="17" s="1"/>
  <c r="P11" i="17"/>
  <c r="A11" i="17"/>
  <c r="AJ10" i="17"/>
  <c r="AU10" i="17" s="1"/>
  <c r="AI10" i="17"/>
  <c r="AT10" i="17" s="1"/>
  <c r="AH10" i="17"/>
  <c r="AS10" i="17" s="1"/>
  <c r="AG10" i="17"/>
  <c r="AR10" i="17" s="1"/>
  <c r="AF10" i="17"/>
  <c r="AQ10" i="17" s="1"/>
  <c r="AE10" i="17"/>
  <c r="AP10" i="17" s="1"/>
  <c r="AD10" i="17"/>
  <c r="AO10" i="17" s="1"/>
  <c r="AC10" i="17"/>
  <c r="AN10" i="17" s="1"/>
  <c r="AB10" i="17"/>
  <c r="AM10" i="17" s="1"/>
  <c r="AA10" i="17"/>
  <c r="AL10" i="17" s="1"/>
  <c r="P10" i="17"/>
  <c r="A10" i="17"/>
  <c r="AJ14" i="17"/>
  <c r="AU14" i="17" s="1"/>
  <c r="AI14" i="17"/>
  <c r="AT14" i="17" s="1"/>
  <c r="AH14" i="17"/>
  <c r="AS14" i="17" s="1"/>
  <c r="AG14" i="17"/>
  <c r="AR14" i="17" s="1"/>
  <c r="AF14" i="17"/>
  <c r="AQ14" i="17" s="1"/>
  <c r="AE14" i="17"/>
  <c r="AP14" i="17" s="1"/>
  <c r="AD14" i="17"/>
  <c r="AO14" i="17" s="1"/>
  <c r="AC14" i="17"/>
  <c r="AN14" i="17" s="1"/>
  <c r="AB14" i="17"/>
  <c r="AM14" i="17" s="1"/>
  <c r="AA14" i="17"/>
  <c r="AL14" i="17" s="1"/>
  <c r="P14" i="17"/>
  <c r="A14" i="17"/>
  <c r="AJ5" i="17"/>
  <c r="AU5" i="17" s="1"/>
  <c r="AI5" i="17"/>
  <c r="AT5" i="17" s="1"/>
  <c r="AH5" i="17"/>
  <c r="AS5" i="17" s="1"/>
  <c r="AG5" i="17"/>
  <c r="AR5" i="17" s="1"/>
  <c r="AF5" i="17"/>
  <c r="AQ5" i="17" s="1"/>
  <c r="AE5" i="17"/>
  <c r="AP5" i="17" s="1"/>
  <c r="AD5" i="17"/>
  <c r="AO5" i="17" s="1"/>
  <c r="AC5" i="17"/>
  <c r="AN5" i="17" s="1"/>
  <c r="AB5" i="17"/>
  <c r="AM5" i="17" s="1"/>
  <c r="AA5" i="17"/>
  <c r="AL5" i="17" s="1"/>
  <c r="P5" i="17"/>
  <c r="A5" i="17"/>
  <c r="AJ13" i="17"/>
  <c r="AU13" i="17" s="1"/>
  <c r="AI13" i="17"/>
  <c r="AT13" i="17" s="1"/>
  <c r="AH13" i="17"/>
  <c r="AS13" i="17" s="1"/>
  <c r="AG13" i="17"/>
  <c r="AR13" i="17" s="1"/>
  <c r="AF13" i="17"/>
  <c r="AQ13" i="17" s="1"/>
  <c r="AE13" i="17"/>
  <c r="AP13" i="17" s="1"/>
  <c r="AD13" i="17"/>
  <c r="AO13" i="17" s="1"/>
  <c r="AC13" i="17"/>
  <c r="AN13" i="17" s="1"/>
  <c r="AB13" i="17"/>
  <c r="AM13" i="17" s="1"/>
  <c r="AA13" i="17"/>
  <c r="AL13" i="17" s="1"/>
  <c r="P13" i="17"/>
  <c r="A13" i="17"/>
  <c r="AJ4" i="17"/>
  <c r="AU4" i="17" s="1"/>
  <c r="AI4" i="17"/>
  <c r="AT4" i="17" s="1"/>
  <c r="AH4" i="17"/>
  <c r="AS4" i="17" s="1"/>
  <c r="AG4" i="17"/>
  <c r="AR4" i="17" s="1"/>
  <c r="AF4" i="17"/>
  <c r="AQ4" i="17" s="1"/>
  <c r="AE4" i="17"/>
  <c r="AP4" i="17" s="1"/>
  <c r="AD4" i="17"/>
  <c r="AO4" i="17" s="1"/>
  <c r="AC4" i="17"/>
  <c r="AN4" i="17" s="1"/>
  <c r="AB4" i="17"/>
  <c r="AM4" i="17" s="1"/>
  <c r="AA4" i="17"/>
  <c r="AL4" i="17" s="1"/>
  <c r="P4" i="17"/>
  <c r="A4" i="17"/>
  <c r="B40" i="14"/>
  <c r="B23" i="14"/>
  <c r="B22" i="14"/>
  <c r="B21" i="14"/>
  <c r="B20" i="14"/>
  <c r="B19" i="14"/>
  <c r="B18" i="14"/>
  <c r="B17" i="14"/>
  <c r="B16" i="14"/>
  <c r="B14" i="14"/>
  <c r="B7" i="14"/>
  <c r="B6" i="14"/>
  <c r="C105" i="14"/>
  <c r="C103" i="14"/>
  <c r="C102" i="14"/>
  <c r="D103" i="14"/>
  <c r="D102" i="14"/>
  <c r="D105" i="14"/>
  <c r="I5" i="14" a="1"/>
  <c r="I5" i="14" s="1"/>
  <c r="I8" i="14" a="1"/>
  <c r="I8" i="14" s="1"/>
  <c r="I9" i="14" a="1"/>
  <c r="I9" i="14" s="1"/>
  <c r="I10" i="14" a="1"/>
  <c r="I10" i="14" s="1"/>
  <c r="I11" i="14" a="1"/>
  <c r="I11" i="14" s="1"/>
  <c r="I12" i="14" a="1"/>
  <c r="I12" i="14" s="1"/>
  <c r="I14" i="14" a="1"/>
  <c r="I14" i="14" s="1"/>
  <c r="I15" i="14" a="1"/>
  <c r="I15" i="14" s="1"/>
  <c r="I16" i="14" a="1"/>
  <c r="I16" i="14" s="1"/>
  <c r="I17" i="14" a="1"/>
  <c r="I17" i="14" s="1"/>
  <c r="I18" i="14" a="1"/>
  <c r="I18" i="14" s="1"/>
  <c r="I19" i="14" a="1"/>
  <c r="I19" i="14" s="1"/>
  <c r="I20" i="14" a="1"/>
  <c r="I20" i="14" s="1"/>
  <c r="I21" i="14" a="1"/>
  <c r="I21" i="14" s="1"/>
  <c r="I22" i="14" a="1"/>
  <c r="I22" i="14" s="1"/>
  <c r="I23" i="14" a="1"/>
  <c r="I23" i="14" s="1"/>
  <c r="I25" i="14" a="1"/>
  <c r="I25" i="14" s="1"/>
  <c r="I26" i="14" a="1"/>
  <c r="I26" i="14" s="1"/>
  <c r="I27" i="14" a="1"/>
  <c r="I27" i="14" s="1"/>
  <c r="I28" i="14" a="1"/>
  <c r="I28" i="14" s="1"/>
  <c r="I29" i="14" a="1"/>
  <c r="I29" i="14" s="1"/>
  <c r="I30" i="14" a="1"/>
  <c r="I30" i="14" s="1"/>
  <c r="I31" i="14" a="1"/>
  <c r="I31" i="14" s="1"/>
  <c r="I32" i="14" a="1"/>
  <c r="I32" i="14" s="1"/>
  <c r="I33" i="14" a="1"/>
  <c r="I33" i="14" s="1"/>
  <c r="I34" i="14" a="1"/>
  <c r="I34" i="14" s="1"/>
  <c r="I35" i="14" a="1"/>
  <c r="I35" i="14" s="1"/>
  <c r="I36" i="14" a="1"/>
  <c r="I36" i="14" s="1"/>
  <c r="I37" i="14" a="1"/>
  <c r="I37" i="14" s="1"/>
  <c r="I38" i="14" a="1"/>
  <c r="I38" i="14" s="1"/>
  <c r="I40" i="14" a="1"/>
  <c r="I40" i="14" s="1"/>
  <c r="I42" i="14" a="1"/>
  <c r="I42" i="14" s="1"/>
  <c r="I43" i="14" a="1"/>
  <c r="I43" i="14" s="1"/>
  <c r="I45" i="14" a="1"/>
  <c r="I45" i="14" s="1"/>
  <c r="I46" i="14" a="1"/>
  <c r="I46" i="14" s="1"/>
  <c r="I47" i="14" a="1"/>
  <c r="I47" i="14" s="1"/>
  <c r="I48" i="14" a="1"/>
  <c r="I48" i="14" s="1"/>
  <c r="I49" i="14" a="1"/>
  <c r="I49" i="14" s="1"/>
  <c r="I50" i="14" a="1"/>
  <c r="I50" i="14" s="1"/>
  <c r="I51" i="14" a="1"/>
  <c r="I51" i="14" s="1"/>
  <c r="I52" i="14" a="1"/>
  <c r="I52" i="14" s="1"/>
  <c r="I55" i="14" a="1"/>
  <c r="I55" i="14" s="1"/>
  <c r="I56" i="14" a="1"/>
  <c r="I56" i="14" s="1"/>
  <c r="I57" i="14" a="1"/>
  <c r="I57" i="14" s="1"/>
  <c r="I58" i="14" a="1"/>
  <c r="I58" i="14" s="1"/>
  <c r="I59" i="14" a="1"/>
  <c r="I59" i="14" s="1"/>
  <c r="I60" i="14" a="1"/>
  <c r="I60" i="14" s="1"/>
  <c r="I61" i="14" a="1"/>
  <c r="I61" i="14" s="1"/>
  <c r="I62" i="14" a="1"/>
  <c r="I62" i="14" s="1"/>
  <c r="I63" i="14" a="1"/>
  <c r="I63" i="14" s="1"/>
  <c r="I64" i="14" a="1"/>
  <c r="I64" i="14" s="1"/>
  <c r="I66" i="14" a="1"/>
  <c r="I66" i="14" s="1"/>
  <c r="I67" i="14" a="1"/>
  <c r="I67" i="14" s="1"/>
  <c r="I68" i="14" a="1"/>
  <c r="I68" i="14" s="1"/>
  <c r="I69" i="14" a="1"/>
  <c r="I69" i="14" s="1"/>
  <c r="I70" i="14" a="1"/>
  <c r="I70" i="14" s="1"/>
  <c r="I71" i="14" a="1"/>
  <c r="I71" i="14" s="1"/>
  <c r="I72" i="14" a="1"/>
  <c r="I72" i="14" s="1"/>
  <c r="I73" i="14" a="1"/>
  <c r="I73" i="14" s="1"/>
  <c r="I74" i="14" a="1"/>
  <c r="I74" i="14" s="1"/>
  <c r="I75" i="14" a="1"/>
  <c r="I75" i="14" s="1"/>
  <c r="I77" i="14" a="1"/>
  <c r="I77" i="14" s="1"/>
  <c r="I78" i="14" a="1"/>
  <c r="I78" i="14" s="1"/>
  <c r="I79" i="14" a="1"/>
  <c r="I79" i="14" s="1"/>
  <c r="I80" i="14" a="1"/>
  <c r="I80" i="14" s="1"/>
  <c r="I81" i="14" a="1"/>
  <c r="I81" i="14" s="1"/>
  <c r="I82" i="14" a="1"/>
  <c r="I82" i="14" s="1"/>
  <c r="I83" i="14" a="1"/>
  <c r="I83" i="14" s="1"/>
  <c r="I84" i="14" a="1"/>
  <c r="I84" i="14" s="1"/>
  <c r="I85" i="14" a="1"/>
  <c r="I85" i="14" s="1"/>
  <c r="I86" i="14" a="1"/>
  <c r="I86" i="14" s="1"/>
  <c r="I87" i="14" a="1"/>
  <c r="I87" i="14" s="1"/>
  <c r="I94" i="14" a="1"/>
  <c r="I94" i="14" s="1"/>
  <c r="I95" i="14" a="1"/>
  <c r="I95" i="14" s="1"/>
  <c r="I96" i="14" a="1"/>
  <c r="I96" i="14" s="1"/>
  <c r="I97" i="14" a="1"/>
  <c r="I97" i="14" s="1"/>
  <c r="I98" i="14" a="1"/>
  <c r="I98" i="14" s="1"/>
  <c r="I99" i="14" a="1"/>
  <c r="I99" i="14" s="1"/>
  <c r="E5" i="14" a="1"/>
  <c r="E5" i="14" s="1"/>
  <c r="E6" i="14" a="1"/>
  <c r="E6" i="14" s="1"/>
  <c r="E7" i="14" a="1"/>
  <c r="E7" i="14" s="1"/>
  <c r="E8" i="14" a="1"/>
  <c r="E8" i="14" s="1"/>
  <c r="E9" i="14" a="1"/>
  <c r="E9" i="14" s="1"/>
  <c r="E10" i="14" a="1"/>
  <c r="E10" i="14" s="1"/>
  <c r="E11" i="14" a="1"/>
  <c r="E11" i="14" s="1"/>
  <c r="E12" i="14" a="1"/>
  <c r="E12" i="14" s="1"/>
  <c r="E13" i="14" a="1"/>
  <c r="E13" i="14" s="1"/>
  <c r="E14" i="14" a="1"/>
  <c r="E14" i="14" s="1"/>
  <c r="E15" i="14" a="1"/>
  <c r="E15" i="14" s="1"/>
  <c r="E16" i="14" a="1"/>
  <c r="E16" i="14" s="1"/>
  <c r="E17" i="14" a="1"/>
  <c r="E17" i="14" s="1"/>
  <c r="E18" i="14" a="1"/>
  <c r="E18" i="14" s="1"/>
  <c r="E19" i="14" a="1"/>
  <c r="E19" i="14" s="1"/>
  <c r="E20" i="14" a="1"/>
  <c r="E20" i="14" s="1"/>
  <c r="E21" i="14" a="1"/>
  <c r="E21" i="14" s="1"/>
  <c r="E22" i="14" a="1"/>
  <c r="E22" i="14" s="1"/>
  <c r="E23" i="14" a="1"/>
  <c r="E23" i="14" s="1"/>
  <c r="E24" i="14" a="1"/>
  <c r="E24" i="14" s="1"/>
  <c r="E25" i="14" a="1"/>
  <c r="E25" i="14" s="1"/>
  <c r="E26" i="14" a="1"/>
  <c r="E26" i="14" s="1"/>
  <c r="E27" i="14" a="1"/>
  <c r="E27" i="14" s="1"/>
  <c r="E28" i="14" a="1"/>
  <c r="E28" i="14" s="1"/>
  <c r="E29" i="14" a="1"/>
  <c r="E29" i="14" s="1"/>
  <c r="E30" i="14" a="1"/>
  <c r="E30" i="14" s="1"/>
  <c r="E31" i="14" a="1"/>
  <c r="E31" i="14" s="1"/>
  <c r="E32" i="14" a="1"/>
  <c r="E32" i="14" s="1"/>
  <c r="E33" i="14" a="1"/>
  <c r="E33" i="14" s="1"/>
  <c r="E34" i="14" a="1"/>
  <c r="E34" i="14" s="1"/>
  <c r="E35" i="14" a="1"/>
  <c r="E35" i="14" s="1"/>
  <c r="E36" i="14" a="1"/>
  <c r="E36" i="14" s="1"/>
  <c r="E37" i="14" a="1"/>
  <c r="E37" i="14" s="1"/>
  <c r="E38" i="14" a="1"/>
  <c r="E38" i="14" s="1"/>
  <c r="E39" i="14" a="1"/>
  <c r="E39" i="14" s="1"/>
  <c r="E40" i="14" a="1"/>
  <c r="E40" i="14" s="1"/>
  <c r="E41" i="14" a="1"/>
  <c r="E41" i="14" s="1"/>
  <c r="E42" i="14" a="1"/>
  <c r="E42" i="14" s="1"/>
  <c r="E43" i="14" a="1"/>
  <c r="E43" i="14" s="1"/>
  <c r="E44" i="14" a="1"/>
  <c r="E44" i="14" s="1"/>
  <c r="E45" i="14" a="1"/>
  <c r="E45" i="14" s="1"/>
  <c r="E46" i="14" a="1"/>
  <c r="E46" i="14" s="1"/>
  <c r="E47" i="14" a="1"/>
  <c r="E47" i="14" s="1"/>
  <c r="E48" i="14" a="1"/>
  <c r="E48" i="14" s="1"/>
  <c r="E49" i="14" a="1"/>
  <c r="E49" i="14" s="1"/>
  <c r="E50" i="14" a="1"/>
  <c r="E50" i="14" s="1"/>
  <c r="E51" i="14" a="1"/>
  <c r="E51" i="14" s="1"/>
  <c r="E52" i="14" a="1"/>
  <c r="E52" i="14" s="1"/>
  <c r="E53" i="14" a="1"/>
  <c r="E53" i="14" s="1"/>
  <c r="E54" i="14" a="1"/>
  <c r="E54" i="14" s="1"/>
  <c r="E55" i="14" a="1"/>
  <c r="E55" i="14" s="1"/>
  <c r="E56" i="14" a="1"/>
  <c r="E56" i="14" s="1"/>
  <c r="E57" i="14" a="1"/>
  <c r="E57" i="14" s="1"/>
  <c r="E58" i="14" a="1"/>
  <c r="E58" i="14" s="1"/>
  <c r="E59" i="14" a="1"/>
  <c r="E59" i="14" s="1"/>
  <c r="E60" i="14" a="1"/>
  <c r="E60" i="14" s="1"/>
  <c r="E61" i="14" a="1"/>
  <c r="E61" i="14" s="1"/>
  <c r="E62" i="14" a="1"/>
  <c r="E62" i="14" s="1"/>
  <c r="E63" i="14" a="1"/>
  <c r="E63" i="14" s="1"/>
  <c r="E64" i="14" a="1"/>
  <c r="E64" i="14" s="1"/>
  <c r="E65" i="14" a="1"/>
  <c r="E65" i="14" s="1"/>
  <c r="E66" i="14" a="1"/>
  <c r="E66" i="14" s="1"/>
  <c r="E67" i="14" a="1"/>
  <c r="E67" i="14" s="1"/>
  <c r="E68" i="14" a="1"/>
  <c r="E68" i="14" s="1"/>
  <c r="E69" i="14" a="1"/>
  <c r="E69" i="14" s="1"/>
  <c r="E70" i="14" a="1"/>
  <c r="E70" i="14" s="1"/>
  <c r="E71" i="14" a="1"/>
  <c r="E71" i="14" s="1"/>
  <c r="E72" i="14" a="1"/>
  <c r="E72" i="14" s="1"/>
  <c r="E73" i="14" a="1"/>
  <c r="E73" i="14" s="1"/>
  <c r="E74" i="14" a="1"/>
  <c r="E74" i="14" s="1"/>
  <c r="E75" i="14" a="1"/>
  <c r="E75" i="14" s="1"/>
  <c r="E76" i="14" a="1"/>
  <c r="E76" i="14" s="1"/>
  <c r="E77" i="14" a="1"/>
  <c r="E77" i="14" s="1"/>
  <c r="E78" i="14" a="1"/>
  <c r="E78" i="14" s="1"/>
  <c r="E79" i="14" a="1"/>
  <c r="E79" i="14" s="1"/>
  <c r="E80" i="14" a="1"/>
  <c r="E80" i="14" s="1"/>
  <c r="E81" i="14" a="1"/>
  <c r="E81" i="14" s="1"/>
  <c r="E82" i="14" a="1"/>
  <c r="E82" i="14" s="1"/>
  <c r="E83" i="14" a="1"/>
  <c r="E83" i="14" s="1"/>
  <c r="E84" i="14" a="1"/>
  <c r="E84" i="14" s="1"/>
  <c r="E85" i="14" a="1"/>
  <c r="E85" i="14" s="1"/>
  <c r="E86" i="14" a="1"/>
  <c r="E86" i="14" s="1"/>
  <c r="E87" i="14" a="1"/>
  <c r="E87" i="14" s="1"/>
  <c r="E88" i="14" a="1"/>
  <c r="E88" i="14" s="1"/>
  <c r="E89" i="14" a="1"/>
  <c r="E89" i="14" s="1"/>
  <c r="E90" i="14" a="1"/>
  <c r="E90" i="14" s="1"/>
  <c r="E91" i="14" a="1"/>
  <c r="E91" i="14" s="1"/>
  <c r="E92" i="14" a="1"/>
  <c r="E92" i="14" s="1"/>
  <c r="E93" i="14" a="1"/>
  <c r="E93" i="14" s="1"/>
  <c r="E94" i="14" a="1"/>
  <c r="E94" i="14" s="1"/>
  <c r="E95" i="14" a="1"/>
  <c r="E95" i="14" s="1"/>
  <c r="E96" i="14" a="1"/>
  <c r="E96" i="14" s="1"/>
  <c r="E97" i="14" a="1"/>
  <c r="E97" i="14" s="1"/>
  <c r="E98" i="14" a="1"/>
  <c r="E98" i="14" s="1"/>
  <c r="E99" i="14" a="1"/>
  <c r="E99" i="14" s="1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21" i="14"/>
  <c r="A22" i="14"/>
  <c r="A23" i="14"/>
  <c r="A24" i="14"/>
  <c r="A25" i="14"/>
  <c r="A26" i="14"/>
  <c r="A27" i="14"/>
  <c r="A28" i="14"/>
  <c r="A29" i="14"/>
  <c r="A30" i="14"/>
  <c r="A31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4" i="14"/>
  <c r="Y4" i="14"/>
  <c r="AJ4" i="14" s="1"/>
  <c r="Z4" i="14"/>
  <c r="AK4" i="14" s="1"/>
  <c r="AA4" i="14"/>
  <c r="AL4" i="14" s="1"/>
  <c r="AB4" i="14"/>
  <c r="AM4" i="14" s="1"/>
  <c r="AC4" i="14"/>
  <c r="AN4" i="14" s="1"/>
  <c r="AD4" i="14"/>
  <c r="AO4" i="14" s="1"/>
  <c r="AE4" i="14"/>
  <c r="AP4" i="14" s="1"/>
  <c r="AF4" i="14"/>
  <c r="AQ4" i="14" s="1"/>
  <c r="AG4" i="14"/>
  <c r="AR4" i="14" s="1"/>
  <c r="Y5" i="14"/>
  <c r="AJ5" i="14" s="1"/>
  <c r="Z5" i="14"/>
  <c r="AK5" i="14" s="1"/>
  <c r="AA5" i="14"/>
  <c r="AL5" i="14" s="1"/>
  <c r="AB5" i="14"/>
  <c r="AM5" i="14" s="1"/>
  <c r="AC5" i="14"/>
  <c r="AN5" i="14" s="1"/>
  <c r="AD5" i="14"/>
  <c r="AO5" i="14" s="1"/>
  <c r="AE5" i="14"/>
  <c r="AP5" i="14" s="1"/>
  <c r="AF5" i="14"/>
  <c r="AQ5" i="14" s="1"/>
  <c r="AG5" i="14"/>
  <c r="AR5" i="14" s="1"/>
  <c r="Y6" i="14"/>
  <c r="AJ6" i="14" s="1"/>
  <c r="Z6" i="14"/>
  <c r="AK6" i="14" s="1"/>
  <c r="AA6" i="14"/>
  <c r="AL6" i="14" s="1"/>
  <c r="AB6" i="14"/>
  <c r="AM6" i="14" s="1"/>
  <c r="AC6" i="14"/>
  <c r="AN6" i="14" s="1"/>
  <c r="AD6" i="14"/>
  <c r="AO6" i="14" s="1"/>
  <c r="AE6" i="14"/>
  <c r="AP6" i="14" s="1"/>
  <c r="AF6" i="14"/>
  <c r="AQ6" i="14" s="1"/>
  <c r="AG6" i="14"/>
  <c r="AR6" i="14" s="1"/>
  <c r="Y7" i="14"/>
  <c r="AJ7" i="14" s="1"/>
  <c r="Z7" i="14"/>
  <c r="AK7" i="14" s="1"/>
  <c r="AA7" i="14"/>
  <c r="AL7" i="14" s="1"/>
  <c r="AB7" i="14"/>
  <c r="AM7" i="14" s="1"/>
  <c r="AC7" i="14"/>
  <c r="AN7" i="14" s="1"/>
  <c r="AD7" i="14"/>
  <c r="AO7" i="14" s="1"/>
  <c r="AE7" i="14"/>
  <c r="AP7" i="14" s="1"/>
  <c r="AF7" i="14"/>
  <c r="AQ7" i="14" s="1"/>
  <c r="AG7" i="14"/>
  <c r="AR7" i="14" s="1"/>
  <c r="Y8" i="14"/>
  <c r="AJ8" i="14" s="1"/>
  <c r="Z8" i="14"/>
  <c r="AK8" i="14" s="1"/>
  <c r="AA8" i="14"/>
  <c r="AL8" i="14" s="1"/>
  <c r="AB8" i="14"/>
  <c r="AM8" i="14" s="1"/>
  <c r="AC8" i="14"/>
  <c r="AN8" i="14" s="1"/>
  <c r="AD8" i="14"/>
  <c r="AO8" i="14" s="1"/>
  <c r="AE8" i="14"/>
  <c r="AP8" i="14" s="1"/>
  <c r="AF8" i="14"/>
  <c r="AQ8" i="14" s="1"/>
  <c r="AG8" i="14"/>
  <c r="AR8" i="14" s="1"/>
  <c r="Y9" i="14"/>
  <c r="AJ9" i="14" s="1"/>
  <c r="Z9" i="14"/>
  <c r="AK9" i="14" s="1"/>
  <c r="AA9" i="14"/>
  <c r="AL9" i="14" s="1"/>
  <c r="AB9" i="14"/>
  <c r="AM9" i="14" s="1"/>
  <c r="AC9" i="14"/>
  <c r="AN9" i="14" s="1"/>
  <c r="AD9" i="14"/>
  <c r="AO9" i="14" s="1"/>
  <c r="AE9" i="14"/>
  <c r="AP9" i="14" s="1"/>
  <c r="AF9" i="14"/>
  <c r="AQ9" i="14" s="1"/>
  <c r="AG9" i="14"/>
  <c r="AR9" i="14" s="1"/>
  <c r="Y10" i="14"/>
  <c r="AJ10" i="14" s="1"/>
  <c r="Z10" i="14"/>
  <c r="AK10" i="14" s="1"/>
  <c r="AA10" i="14"/>
  <c r="AL10" i="14" s="1"/>
  <c r="AB10" i="14"/>
  <c r="AM10" i="14" s="1"/>
  <c r="AC10" i="14"/>
  <c r="AN10" i="14" s="1"/>
  <c r="AD10" i="14"/>
  <c r="AO10" i="14" s="1"/>
  <c r="AE10" i="14"/>
  <c r="AP10" i="14" s="1"/>
  <c r="AF10" i="14"/>
  <c r="AQ10" i="14" s="1"/>
  <c r="AG10" i="14"/>
  <c r="AR10" i="14" s="1"/>
  <c r="X5" i="14"/>
  <c r="AI5" i="14" s="1"/>
  <c r="X6" i="14"/>
  <c r="AI6" i="14" s="1"/>
  <c r="X7" i="14"/>
  <c r="AI7" i="14" s="1"/>
  <c r="X8" i="14"/>
  <c r="AI8" i="14" s="1"/>
  <c r="X9" i="14"/>
  <c r="AI9" i="14" s="1"/>
  <c r="X10" i="14"/>
  <c r="AI10" i="14" s="1"/>
  <c r="X4" i="14"/>
  <c r="AI4" i="14" s="1"/>
  <c r="M5" i="14"/>
  <c r="N5" i="14"/>
  <c r="M6" i="14"/>
  <c r="N6" i="14"/>
  <c r="M7" i="14"/>
  <c r="N7" i="14"/>
  <c r="M8" i="14"/>
  <c r="N8" i="14"/>
  <c r="M9" i="14"/>
  <c r="N9" i="14"/>
  <c r="M10" i="14"/>
  <c r="N10" i="14"/>
  <c r="M11" i="14"/>
  <c r="N11" i="14"/>
  <c r="M12" i="14"/>
  <c r="N12" i="14"/>
  <c r="M13" i="14"/>
  <c r="N13" i="14"/>
  <c r="M14" i="14"/>
  <c r="N14" i="14"/>
  <c r="M15" i="14"/>
  <c r="N15" i="14"/>
  <c r="M16" i="14"/>
  <c r="N16" i="14"/>
  <c r="M17" i="14"/>
  <c r="N17" i="14"/>
  <c r="M18" i="14"/>
  <c r="N18" i="14"/>
  <c r="M19" i="14"/>
  <c r="N19" i="14"/>
  <c r="M20" i="14"/>
  <c r="N20" i="14"/>
  <c r="M21" i="14"/>
  <c r="N21" i="14"/>
  <c r="M22" i="14"/>
  <c r="N22" i="14"/>
  <c r="M23" i="14"/>
  <c r="N23" i="14"/>
  <c r="M24" i="14"/>
  <c r="N24" i="14"/>
  <c r="M25" i="14"/>
  <c r="N25" i="14"/>
  <c r="M26" i="14"/>
  <c r="N26" i="14"/>
  <c r="M27" i="14"/>
  <c r="N27" i="14"/>
  <c r="M28" i="14"/>
  <c r="N28" i="14"/>
  <c r="M29" i="14"/>
  <c r="N29" i="14"/>
  <c r="M30" i="14"/>
  <c r="N30" i="14"/>
  <c r="M31" i="14"/>
  <c r="N31" i="14"/>
  <c r="M32" i="14"/>
  <c r="N32" i="14"/>
  <c r="M33" i="14"/>
  <c r="N33" i="14"/>
  <c r="M34" i="14"/>
  <c r="N34" i="14"/>
  <c r="M35" i="14"/>
  <c r="N35" i="14"/>
  <c r="M36" i="14"/>
  <c r="N36" i="14"/>
  <c r="M37" i="14"/>
  <c r="N37" i="14"/>
  <c r="M38" i="14"/>
  <c r="N38" i="14"/>
  <c r="M39" i="14"/>
  <c r="N39" i="14"/>
  <c r="M40" i="14"/>
  <c r="N40" i="14"/>
  <c r="M41" i="14"/>
  <c r="N41" i="14"/>
  <c r="M42" i="14"/>
  <c r="N42" i="14"/>
  <c r="M43" i="14"/>
  <c r="N43" i="14"/>
  <c r="M44" i="14"/>
  <c r="N44" i="14"/>
  <c r="M45" i="14"/>
  <c r="N45" i="14"/>
  <c r="M46" i="14"/>
  <c r="N46" i="14"/>
  <c r="M47" i="14"/>
  <c r="N47" i="14"/>
  <c r="M48" i="14"/>
  <c r="N48" i="14"/>
  <c r="M49" i="14"/>
  <c r="N49" i="14"/>
  <c r="M50" i="14"/>
  <c r="N50" i="14"/>
  <c r="M51" i="14"/>
  <c r="N51" i="14"/>
  <c r="M52" i="14"/>
  <c r="N52" i="14"/>
  <c r="M53" i="14"/>
  <c r="N53" i="14"/>
  <c r="M54" i="14"/>
  <c r="N54" i="14"/>
  <c r="M55" i="14"/>
  <c r="N55" i="14"/>
  <c r="M56" i="14"/>
  <c r="N56" i="14"/>
  <c r="M57" i="14"/>
  <c r="N57" i="14"/>
  <c r="M58" i="14"/>
  <c r="N58" i="14"/>
  <c r="M59" i="14"/>
  <c r="N59" i="14"/>
  <c r="M60" i="14"/>
  <c r="N60" i="14"/>
  <c r="M61" i="14"/>
  <c r="N61" i="14"/>
  <c r="M62" i="14"/>
  <c r="N62" i="14"/>
  <c r="M63" i="14"/>
  <c r="N63" i="14"/>
  <c r="M64" i="14"/>
  <c r="N64" i="14"/>
  <c r="M65" i="14"/>
  <c r="N65" i="14"/>
  <c r="M66" i="14"/>
  <c r="N66" i="14"/>
  <c r="M67" i="14"/>
  <c r="N67" i="14"/>
  <c r="M68" i="14"/>
  <c r="N68" i="14"/>
  <c r="M69" i="14"/>
  <c r="N69" i="14"/>
  <c r="M70" i="14"/>
  <c r="N70" i="14"/>
  <c r="M71" i="14"/>
  <c r="N71" i="14"/>
  <c r="M72" i="14"/>
  <c r="N72" i="14"/>
  <c r="M73" i="14"/>
  <c r="N73" i="14"/>
  <c r="M74" i="14"/>
  <c r="N74" i="14"/>
  <c r="M75" i="14"/>
  <c r="N75" i="14"/>
  <c r="M76" i="14"/>
  <c r="N76" i="14"/>
  <c r="M77" i="14"/>
  <c r="N77" i="14"/>
  <c r="M78" i="14"/>
  <c r="N78" i="14"/>
  <c r="M79" i="14"/>
  <c r="N79" i="14"/>
  <c r="M80" i="14"/>
  <c r="N80" i="14"/>
  <c r="M81" i="14"/>
  <c r="N81" i="14"/>
  <c r="M82" i="14"/>
  <c r="N82" i="14"/>
  <c r="M83" i="14"/>
  <c r="N83" i="14"/>
  <c r="M84" i="14"/>
  <c r="N84" i="14"/>
  <c r="M85" i="14"/>
  <c r="N85" i="14"/>
  <c r="M86" i="14"/>
  <c r="N86" i="14"/>
  <c r="M87" i="14"/>
  <c r="N87" i="14"/>
  <c r="M88" i="14"/>
  <c r="N88" i="14"/>
  <c r="M89" i="14"/>
  <c r="N89" i="14"/>
  <c r="M90" i="14"/>
  <c r="N90" i="14"/>
  <c r="M91" i="14"/>
  <c r="N91" i="14"/>
  <c r="M92" i="14"/>
  <c r="R92" i="14" s="1"/>
  <c r="S92" i="14" s="1"/>
  <c r="N92" i="14"/>
  <c r="M93" i="14"/>
  <c r="R93" i="14" s="1"/>
  <c r="S93" i="14" s="1"/>
  <c r="N93" i="14"/>
  <c r="M94" i="14"/>
  <c r="R94" i="14" s="1"/>
  <c r="S94" i="14" s="1"/>
  <c r="N94" i="14"/>
  <c r="M95" i="14"/>
  <c r="R95" i="14" s="1"/>
  <c r="S95" i="14" s="1"/>
  <c r="N95" i="14"/>
  <c r="M96" i="14"/>
  <c r="R96" i="14" s="1"/>
  <c r="S96" i="14" s="1"/>
  <c r="N96" i="14"/>
  <c r="M97" i="14"/>
  <c r="R97" i="14" s="1"/>
  <c r="S97" i="14" s="1"/>
  <c r="N97" i="14"/>
  <c r="M98" i="14"/>
  <c r="R98" i="14" s="1"/>
  <c r="S98" i="14" s="1"/>
  <c r="N98" i="14"/>
  <c r="M99" i="14"/>
  <c r="N99" i="14"/>
  <c r="N4" i="14"/>
  <c r="M4" i="14"/>
  <c r="F103" i="15"/>
  <c r="F104" i="15" s="1"/>
  <c r="O99" i="15"/>
  <c r="M99" i="15"/>
  <c r="L99" i="15"/>
  <c r="J99" i="15"/>
  <c r="I99" i="15" a="1"/>
  <c r="I99" i="15" s="1"/>
  <c r="H99" i="15" a="1"/>
  <c r="H99" i="15" s="1"/>
  <c r="G99" i="15" a="1"/>
  <c r="G99" i="15" s="1"/>
  <c r="E99" i="15" a="1"/>
  <c r="E99" i="15" s="1"/>
  <c r="A99" i="15"/>
  <c r="O98" i="15"/>
  <c r="M98" i="15"/>
  <c r="L98" i="15"/>
  <c r="J98" i="15"/>
  <c r="I98" i="15" a="1"/>
  <c r="I98" i="15" s="1"/>
  <c r="H98" i="15" a="1"/>
  <c r="H98" i="15" s="1"/>
  <c r="G98" i="15" a="1"/>
  <c r="G98" i="15" s="1"/>
  <c r="E98" i="15" a="1"/>
  <c r="E98" i="15" s="1"/>
  <c r="A98" i="15"/>
  <c r="O97" i="15"/>
  <c r="M97" i="15"/>
  <c r="L97" i="15"/>
  <c r="J97" i="15"/>
  <c r="I97" i="15" a="1"/>
  <c r="I97" i="15" s="1"/>
  <c r="H97" i="15" a="1"/>
  <c r="H97" i="15" s="1"/>
  <c r="G97" i="15" a="1"/>
  <c r="G97" i="15" s="1"/>
  <c r="E97" i="15" a="1"/>
  <c r="E97" i="15" s="1"/>
  <c r="A97" i="15"/>
  <c r="O96" i="15"/>
  <c r="M96" i="15"/>
  <c r="L96" i="15"/>
  <c r="J96" i="15"/>
  <c r="I96" i="15" a="1"/>
  <c r="I96" i="15" s="1"/>
  <c r="H96" i="15" a="1"/>
  <c r="H96" i="15" s="1"/>
  <c r="G96" i="15" a="1"/>
  <c r="G96" i="15" s="1"/>
  <c r="E96" i="15" a="1"/>
  <c r="E96" i="15" s="1"/>
  <c r="A96" i="15"/>
  <c r="O95" i="15"/>
  <c r="M95" i="15"/>
  <c r="L95" i="15"/>
  <c r="J95" i="15"/>
  <c r="I95" i="15" a="1"/>
  <c r="I95" i="15" s="1"/>
  <c r="H95" i="15" a="1"/>
  <c r="H95" i="15" s="1"/>
  <c r="G95" i="15" a="1"/>
  <c r="G95" i="15" s="1"/>
  <c r="E95" i="15" a="1"/>
  <c r="E95" i="15" s="1"/>
  <c r="A95" i="15"/>
  <c r="O94" i="15"/>
  <c r="M94" i="15"/>
  <c r="L94" i="15"/>
  <c r="J94" i="15"/>
  <c r="I94" i="15" a="1"/>
  <c r="I94" i="15" s="1"/>
  <c r="H94" i="15" a="1"/>
  <c r="H94" i="15" s="1"/>
  <c r="G94" i="15" a="1"/>
  <c r="G94" i="15" s="1"/>
  <c r="E94" i="15" a="1"/>
  <c r="E94" i="15" s="1"/>
  <c r="A94" i="15"/>
  <c r="O93" i="15"/>
  <c r="L93" i="15"/>
  <c r="J93" i="15"/>
  <c r="I93" i="15" a="1"/>
  <c r="I93" i="15" s="1"/>
  <c r="H93" i="15" a="1"/>
  <c r="H93" i="15" s="1"/>
  <c r="G93" i="15" a="1"/>
  <c r="G93" i="15" s="1"/>
  <c r="E93" i="15" a="1"/>
  <c r="E93" i="15" s="1"/>
  <c r="A93" i="15"/>
  <c r="O92" i="15"/>
  <c r="L92" i="15"/>
  <c r="J92" i="15"/>
  <c r="I92" i="15" a="1"/>
  <c r="I92" i="15" s="1"/>
  <c r="H92" i="15" a="1"/>
  <c r="H92" i="15" s="1"/>
  <c r="G92" i="15" a="1"/>
  <c r="G92" i="15" s="1"/>
  <c r="E92" i="15" a="1"/>
  <c r="E92" i="15" s="1"/>
  <c r="A92" i="15"/>
  <c r="O91" i="15"/>
  <c r="L91" i="15"/>
  <c r="J91" i="15"/>
  <c r="I91" i="15" a="1"/>
  <c r="I91" i="15" s="1"/>
  <c r="H91" i="15" a="1"/>
  <c r="H91" i="15" s="1"/>
  <c r="G91" i="15" a="1"/>
  <c r="G91" i="15" s="1"/>
  <c r="E91" i="15" a="1"/>
  <c r="E91" i="15" s="1"/>
  <c r="A91" i="15"/>
  <c r="O90" i="15"/>
  <c r="L90" i="15"/>
  <c r="Q90" i="15" s="1"/>
  <c r="J90" i="15"/>
  <c r="I90" i="15" a="1"/>
  <c r="I90" i="15" s="1"/>
  <c r="H90" i="15" a="1"/>
  <c r="H90" i="15" s="1"/>
  <c r="G90" i="15" a="1"/>
  <c r="G90" i="15" s="1"/>
  <c r="E90" i="15" a="1"/>
  <c r="E90" i="15" s="1"/>
  <c r="A90" i="15"/>
  <c r="L89" i="15"/>
  <c r="J89" i="15"/>
  <c r="I89" i="15" a="1"/>
  <c r="I89" i="15" s="1"/>
  <c r="H89" i="15" a="1"/>
  <c r="H89" i="15" s="1"/>
  <c r="G89" i="15" a="1"/>
  <c r="G89" i="15" s="1"/>
  <c r="E89" i="15" a="1"/>
  <c r="E89" i="15" s="1"/>
  <c r="A89" i="15"/>
  <c r="M88" i="15"/>
  <c r="L88" i="15"/>
  <c r="J88" i="15"/>
  <c r="I88" i="15" a="1"/>
  <c r="I88" i="15" s="1"/>
  <c r="H88" i="15" a="1"/>
  <c r="H88" i="15" s="1"/>
  <c r="G88" i="15" a="1"/>
  <c r="G88" i="15" s="1"/>
  <c r="E88" i="15" a="1"/>
  <c r="E88" i="15" s="1"/>
  <c r="A88" i="15"/>
  <c r="M87" i="15"/>
  <c r="L87" i="15"/>
  <c r="J87" i="15"/>
  <c r="I87" i="15" a="1"/>
  <c r="I87" i="15" s="1"/>
  <c r="H87" i="15" a="1"/>
  <c r="H87" i="15" s="1"/>
  <c r="G87" i="15" a="1"/>
  <c r="G87" i="15" s="1"/>
  <c r="E87" i="15" a="1"/>
  <c r="E87" i="15" s="1"/>
  <c r="A87" i="15"/>
  <c r="M86" i="15"/>
  <c r="L86" i="15"/>
  <c r="J86" i="15"/>
  <c r="I86" i="15" a="1"/>
  <c r="I86" i="15" s="1"/>
  <c r="H86" i="15" a="1"/>
  <c r="H86" i="15" s="1"/>
  <c r="E86" i="15" a="1"/>
  <c r="E86" i="15" s="1"/>
  <c r="A86" i="15"/>
  <c r="M85" i="15"/>
  <c r="L85" i="15"/>
  <c r="J85" i="15"/>
  <c r="I85" i="15" a="1"/>
  <c r="I85" i="15" s="1"/>
  <c r="H85" i="15" a="1"/>
  <c r="H85" i="15" s="1"/>
  <c r="G85" i="15" a="1"/>
  <c r="G85" i="15" s="1"/>
  <c r="E85" i="15" a="1"/>
  <c r="E85" i="15" s="1"/>
  <c r="A85" i="15"/>
  <c r="M84" i="15"/>
  <c r="L84" i="15"/>
  <c r="J84" i="15"/>
  <c r="I84" i="15" a="1"/>
  <c r="I84" i="15" s="1"/>
  <c r="H84" i="15" a="1"/>
  <c r="H84" i="15" s="1"/>
  <c r="G84" i="15" a="1"/>
  <c r="G84" i="15" s="1"/>
  <c r="E84" i="15" a="1"/>
  <c r="E84" i="15" s="1"/>
  <c r="A84" i="15"/>
  <c r="M83" i="15"/>
  <c r="L83" i="15"/>
  <c r="J83" i="15"/>
  <c r="I83" i="15" a="1"/>
  <c r="I83" i="15" s="1"/>
  <c r="H83" i="15" a="1"/>
  <c r="H83" i="15" s="1"/>
  <c r="G83" i="15" a="1"/>
  <c r="G83" i="15" s="1"/>
  <c r="E83" i="15" a="1"/>
  <c r="E83" i="15" s="1"/>
  <c r="A83" i="15"/>
  <c r="M82" i="15"/>
  <c r="L82" i="15"/>
  <c r="J82" i="15"/>
  <c r="I82" i="15" a="1"/>
  <c r="I82" i="15" s="1"/>
  <c r="H82" i="15" a="1"/>
  <c r="H82" i="15" s="1"/>
  <c r="G82" i="15" a="1"/>
  <c r="G82" i="15" s="1"/>
  <c r="E82" i="15" a="1"/>
  <c r="E82" i="15" s="1"/>
  <c r="A82" i="15"/>
  <c r="M81" i="15"/>
  <c r="L81" i="15"/>
  <c r="J81" i="15"/>
  <c r="I81" i="15" a="1"/>
  <c r="I81" i="15" s="1"/>
  <c r="H81" i="15" a="1"/>
  <c r="H81" i="15" s="1"/>
  <c r="G81" i="15" a="1"/>
  <c r="G81" i="15" s="1"/>
  <c r="E81" i="15" a="1"/>
  <c r="E81" i="15" s="1"/>
  <c r="A81" i="15"/>
  <c r="M80" i="15"/>
  <c r="L80" i="15"/>
  <c r="J80" i="15"/>
  <c r="I80" i="15" a="1"/>
  <c r="I80" i="15" s="1"/>
  <c r="H80" i="15" a="1"/>
  <c r="H80" i="15" s="1"/>
  <c r="G80" i="15" a="1"/>
  <c r="G80" i="15" s="1"/>
  <c r="E80" i="15" a="1"/>
  <c r="E80" i="15" s="1"/>
  <c r="A80" i="15"/>
  <c r="M79" i="15"/>
  <c r="L79" i="15"/>
  <c r="J79" i="15"/>
  <c r="I79" i="15" a="1"/>
  <c r="I79" i="15" s="1"/>
  <c r="H79" i="15" a="1"/>
  <c r="H79" i="15" s="1"/>
  <c r="G79" i="15" a="1"/>
  <c r="G79" i="15" s="1"/>
  <c r="E79" i="15" a="1"/>
  <c r="E79" i="15" s="1"/>
  <c r="A79" i="15"/>
  <c r="O78" i="15"/>
  <c r="M78" i="15"/>
  <c r="L78" i="15"/>
  <c r="J78" i="15"/>
  <c r="I78" i="15" a="1"/>
  <c r="I78" i="15" s="1"/>
  <c r="H78" i="15" a="1"/>
  <c r="H78" i="15" s="1"/>
  <c r="G78" i="15" a="1"/>
  <c r="G78" i="15" s="1"/>
  <c r="E78" i="15" a="1"/>
  <c r="E78" i="15" s="1"/>
  <c r="A78" i="15"/>
  <c r="M77" i="15"/>
  <c r="L77" i="15"/>
  <c r="J77" i="15"/>
  <c r="I77" i="15" a="1"/>
  <c r="I77" i="15" s="1"/>
  <c r="H77" i="15" a="1"/>
  <c r="H77" i="15" s="1"/>
  <c r="G77" i="15" a="1"/>
  <c r="G77" i="15" s="1"/>
  <c r="E77" i="15" a="1"/>
  <c r="E77" i="15" s="1"/>
  <c r="A77" i="15"/>
  <c r="M76" i="15"/>
  <c r="L76" i="15"/>
  <c r="J76" i="15"/>
  <c r="I76" i="15" a="1"/>
  <c r="I76" i="15" s="1"/>
  <c r="H76" i="15" a="1"/>
  <c r="H76" i="15" s="1"/>
  <c r="G76" i="15" a="1"/>
  <c r="G76" i="15" s="1"/>
  <c r="E76" i="15" a="1"/>
  <c r="E76" i="15" s="1"/>
  <c r="A76" i="15"/>
  <c r="M75" i="15"/>
  <c r="L75" i="15"/>
  <c r="J75" i="15"/>
  <c r="I75" i="15" a="1"/>
  <c r="I75" i="15" s="1"/>
  <c r="H75" i="15" a="1"/>
  <c r="H75" i="15" s="1"/>
  <c r="G75" i="15" a="1"/>
  <c r="G75" i="15" s="1"/>
  <c r="E75" i="15" a="1"/>
  <c r="E75" i="15" s="1"/>
  <c r="A75" i="15"/>
  <c r="O74" i="15"/>
  <c r="M74" i="15"/>
  <c r="L74" i="15"/>
  <c r="J74" i="15"/>
  <c r="I74" i="15" a="1"/>
  <c r="I74" i="15" s="1"/>
  <c r="H74" i="15" a="1"/>
  <c r="H74" i="15" s="1"/>
  <c r="G74" i="15" a="1"/>
  <c r="G74" i="15" s="1"/>
  <c r="E74" i="15" a="1"/>
  <c r="E74" i="15" s="1"/>
  <c r="A74" i="15"/>
  <c r="M73" i="15"/>
  <c r="L73" i="15"/>
  <c r="J73" i="15"/>
  <c r="I73" i="15" a="1"/>
  <c r="I73" i="15" s="1"/>
  <c r="H73" i="15" a="1"/>
  <c r="H73" i="15" s="1"/>
  <c r="G73" i="15" a="1"/>
  <c r="G73" i="15" s="1"/>
  <c r="E73" i="15" a="1"/>
  <c r="E73" i="15" s="1"/>
  <c r="A73" i="15"/>
  <c r="M72" i="15"/>
  <c r="L72" i="15"/>
  <c r="J72" i="15"/>
  <c r="I72" i="15" a="1"/>
  <c r="I72" i="15" s="1"/>
  <c r="H72" i="15" a="1"/>
  <c r="H72" i="15" s="1"/>
  <c r="G72" i="15" a="1"/>
  <c r="G72" i="15" s="1"/>
  <c r="E72" i="15" a="1"/>
  <c r="E72" i="15" s="1"/>
  <c r="A72" i="15"/>
  <c r="M71" i="15"/>
  <c r="L71" i="15"/>
  <c r="J71" i="15"/>
  <c r="I71" i="15" a="1"/>
  <c r="I71" i="15" s="1"/>
  <c r="H71" i="15" a="1"/>
  <c r="H71" i="15" s="1"/>
  <c r="G71" i="15" a="1"/>
  <c r="G71" i="15" s="1"/>
  <c r="E71" i="15" a="1"/>
  <c r="E71" i="15" s="1"/>
  <c r="A71" i="15"/>
  <c r="M70" i="15"/>
  <c r="L70" i="15"/>
  <c r="J70" i="15"/>
  <c r="I70" i="15" a="1"/>
  <c r="I70" i="15" s="1"/>
  <c r="H70" i="15" a="1"/>
  <c r="H70" i="15" s="1"/>
  <c r="G70" i="15" a="1"/>
  <c r="G70" i="15" s="1"/>
  <c r="E70" i="15" a="1"/>
  <c r="E70" i="15" s="1"/>
  <c r="A70" i="15"/>
  <c r="M69" i="15"/>
  <c r="L69" i="15"/>
  <c r="J69" i="15"/>
  <c r="I69" i="15" a="1"/>
  <c r="I69" i="15" s="1"/>
  <c r="H69" i="15" a="1"/>
  <c r="H69" i="15" s="1"/>
  <c r="G69" i="15" a="1"/>
  <c r="G69" i="15" s="1"/>
  <c r="E69" i="15" a="1"/>
  <c r="E69" i="15" s="1"/>
  <c r="A69" i="15"/>
  <c r="O68" i="15"/>
  <c r="M68" i="15"/>
  <c r="L68" i="15"/>
  <c r="J68" i="15"/>
  <c r="I68" i="15" a="1"/>
  <c r="I68" i="15" s="1"/>
  <c r="H68" i="15" a="1"/>
  <c r="H68" i="15" s="1"/>
  <c r="G68" i="15" a="1"/>
  <c r="G68" i="15" s="1"/>
  <c r="E68" i="15" a="1"/>
  <c r="E68" i="15" s="1"/>
  <c r="A68" i="15"/>
  <c r="M67" i="15"/>
  <c r="L67" i="15"/>
  <c r="J67" i="15"/>
  <c r="I67" i="15" a="1"/>
  <c r="I67" i="15" s="1"/>
  <c r="H67" i="15" a="1"/>
  <c r="H67" i="15" s="1"/>
  <c r="G67" i="15" a="1"/>
  <c r="G67" i="15" s="1"/>
  <c r="E67" i="15" a="1"/>
  <c r="E67" i="15" s="1"/>
  <c r="A67" i="15"/>
  <c r="M66" i="15"/>
  <c r="L66" i="15"/>
  <c r="J66" i="15"/>
  <c r="I66" i="15" a="1"/>
  <c r="I66" i="15" s="1"/>
  <c r="H66" i="15" a="1"/>
  <c r="H66" i="15" s="1"/>
  <c r="G66" i="15" a="1"/>
  <c r="G66" i="15" s="1"/>
  <c r="E66" i="15" a="1"/>
  <c r="E66" i="15" s="1"/>
  <c r="A66" i="15"/>
  <c r="M65" i="15"/>
  <c r="L65" i="15"/>
  <c r="J65" i="15"/>
  <c r="I65" i="15" a="1"/>
  <c r="I65" i="15" s="1"/>
  <c r="H65" i="15" a="1"/>
  <c r="H65" i="15" s="1"/>
  <c r="G65" i="15" a="1"/>
  <c r="G65" i="15" s="1"/>
  <c r="E65" i="15" a="1"/>
  <c r="E65" i="15" s="1"/>
  <c r="A65" i="15"/>
  <c r="M64" i="15"/>
  <c r="L64" i="15"/>
  <c r="J64" i="15"/>
  <c r="I64" i="15" a="1"/>
  <c r="I64" i="15" s="1"/>
  <c r="H64" i="15" a="1"/>
  <c r="H64" i="15" s="1"/>
  <c r="G64" i="15" a="1"/>
  <c r="G64" i="15" s="1"/>
  <c r="E64" i="15" a="1"/>
  <c r="E64" i="15" s="1"/>
  <c r="A64" i="15"/>
  <c r="M63" i="15"/>
  <c r="L63" i="15"/>
  <c r="J63" i="15"/>
  <c r="I63" i="15" a="1"/>
  <c r="I63" i="15" s="1"/>
  <c r="H63" i="15" a="1"/>
  <c r="H63" i="15" s="1"/>
  <c r="G63" i="15" a="1"/>
  <c r="G63" i="15" s="1"/>
  <c r="E63" i="15" a="1"/>
  <c r="E63" i="15" s="1"/>
  <c r="A63" i="15"/>
  <c r="M62" i="15"/>
  <c r="L62" i="15"/>
  <c r="J62" i="15"/>
  <c r="I62" i="15" a="1"/>
  <c r="I62" i="15" s="1"/>
  <c r="H62" i="15" a="1"/>
  <c r="H62" i="15" s="1"/>
  <c r="G62" i="15" a="1"/>
  <c r="G62" i="15" s="1"/>
  <c r="E62" i="15" a="1"/>
  <c r="E62" i="15" s="1"/>
  <c r="A62" i="15"/>
  <c r="M61" i="15"/>
  <c r="L61" i="15"/>
  <c r="J61" i="15"/>
  <c r="I61" i="15" a="1"/>
  <c r="I61" i="15" s="1"/>
  <c r="H61" i="15" a="1"/>
  <c r="H61" i="15" s="1"/>
  <c r="G61" i="15" a="1"/>
  <c r="G61" i="15" s="1"/>
  <c r="E61" i="15" a="1"/>
  <c r="E61" i="15" s="1"/>
  <c r="A61" i="15"/>
  <c r="M60" i="15"/>
  <c r="L60" i="15"/>
  <c r="J60" i="15"/>
  <c r="I60" i="15" a="1"/>
  <c r="I60" i="15" s="1"/>
  <c r="H60" i="15" a="1"/>
  <c r="H60" i="15" s="1"/>
  <c r="G60" i="15" a="1"/>
  <c r="G60" i="15" s="1"/>
  <c r="E60" i="15" a="1"/>
  <c r="E60" i="15" s="1"/>
  <c r="A60" i="15"/>
  <c r="M59" i="15"/>
  <c r="L59" i="15"/>
  <c r="J59" i="15"/>
  <c r="I59" i="15" a="1"/>
  <c r="I59" i="15" s="1"/>
  <c r="H59" i="15" a="1"/>
  <c r="H59" i="15" s="1"/>
  <c r="G59" i="15" a="1"/>
  <c r="G59" i="15" s="1"/>
  <c r="E59" i="15" a="1"/>
  <c r="E59" i="15" s="1"/>
  <c r="A59" i="15"/>
  <c r="M58" i="15"/>
  <c r="L58" i="15"/>
  <c r="J58" i="15"/>
  <c r="I58" i="15" a="1"/>
  <c r="I58" i="15" s="1"/>
  <c r="H58" i="15" a="1"/>
  <c r="H58" i="15" s="1"/>
  <c r="G58" i="15" a="1"/>
  <c r="G58" i="15" s="1"/>
  <c r="E58" i="15" a="1"/>
  <c r="E58" i="15" s="1"/>
  <c r="A58" i="15"/>
  <c r="O57" i="15"/>
  <c r="M57" i="15"/>
  <c r="L57" i="15"/>
  <c r="J57" i="15"/>
  <c r="I57" i="15" a="1"/>
  <c r="I57" i="15" s="1"/>
  <c r="H57" i="15" a="1"/>
  <c r="H57" i="15" s="1"/>
  <c r="G57" i="15" a="1"/>
  <c r="G57" i="15" s="1"/>
  <c r="E57" i="15" a="1"/>
  <c r="E57" i="15" s="1"/>
  <c r="A57" i="15"/>
  <c r="M56" i="15"/>
  <c r="L56" i="15"/>
  <c r="J56" i="15"/>
  <c r="I56" i="15" a="1"/>
  <c r="I56" i="15" s="1"/>
  <c r="H56" i="15" a="1"/>
  <c r="H56" i="15" s="1"/>
  <c r="G56" i="15" a="1"/>
  <c r="G56" i="15" s="1"/>
  <c r="E56" i="15" a="1"/>
  <c r="E56" i="15" s="1"/>
  <c r="A56" i="15"/>
  <c r="M55" i="15"/>
  <c r="L55" i="15"/>
  <c r="J55" i="15"/>
  <c r="I55" i="15" a="1"/>
  <c r="I55" i="15" s="1"/>
  <c r="H55" i="15" a="1"/>
  <c r="H55" i="15" s="1"/>
  <c r="E55" i="15" a="1"/>
  <c r="E55" i="15" s="1"/>
  <c r="A55" i="15"/>
  <c r="L54" i="15"/>
  <c r="J54" i="15"/>
  <c r="I54" i="15" a="1"/>
  <c r="I54" i="15" s="1"/>
  <c r="H54" i="15" a="1"/>
  <c r="H54" i="15" s="1"/>
  <c r="G54" i="15" a="1"/>
  <c r="G54" i="15" s="1"/>
  <c r="E54" i="15" a="1"/>
  <c r="E54" i="15" s="1"/>
  <c r="A54" i="15"/>
  <c r="L53" i="15"/>
  <c r="J53" i="15"/>
  <c r="I53" i="15" a="1"/>
  <c r="I53" i="15" s="1"/>
  <c r="H53" i="15" a="1"/>
  <c r="H53" i="15" s="1"/>
  <c r="G53" i="15" a="1"/>
  <c r="G53" i="15" s="1"/>
  <c r="E53" i="15" a="1"/>
  <c r="E53" i="15" s="1"/>
  <c r="A53" i="15"/>
  <c r="L52" i="15"/>
  <c r="J52" i="15"/>
  <c r="I52" i="15" a="1"/>
  <c r="I52" i="15" s="1"/>
  <c r="H52" i="15" a="1"/>
  <c r="H52" i="15" s="1"/>
  <c r="G52" i="15" a="1"/>
  <c r="G52" i="15" s="1"/>
  <c r="E52" i="15" a="1"/>
  <c r="E52" i="15" s="1"/>
  <c r="A52" i="15"/>
  <c r="M51" i="15"/>
  <c r="L51" i="15"/>
  <c r="J51" i="15"/>
  <c r="I51" i="15" a="1"/>
  <c r="I51" i="15" s="1"/>
  <c r="H51" i="15" a="1"/>
  <c r="H51" i="15" s="1"/>
  <c r="G51" i="15" a="1"/>
  <c r="G51" i="15" s="1"/>
  <c r="E51" i="15" a="1"/>
  <c r="E51" i="15" s="1"/>
  <c r="A51" i="15"/>
  <c r="M50" i="15"/>
  <c r="L50" i="15"/>
  <c r="J50" i="15"/>
  <c r="I50" i="15" a="1"/>
  <c r="I50" i="15" s="1"/>
  <c r="H50" i="15" a="1"/>
  <c r="H50" i="15" s="1"/>
  <c r="G50" i="15" a="1"/>
  <c r="G50" i="15" s="1"/>
  <c r="E50" i="15" a="1"/>
  <c r="E50" i="15" s="1"/>
  <c r="A50" i="15"/>
  <c r="M49" i="15"/>
  <c r="L49" i="15"/>
  <c r="J49" i="15"/>
  <c r="I49" i="15" a="1"/>
  <c r="I49" i="15" s="1"/>
  <c r="H49" i="15" a="1"/>
  <c r="H49" i="15" s="1"/>
  <c r="G49" i="15" a="1"/>
  <c r="G49" i="15" s="1"/>
  <c r="E49" i="15" a="1"/>
  <c r="E49" i="15" s="1"/>
  <c r="A49" i="15"/>
  <c r="M48" i="15"/>
  <c r="L48" i="15"/>
  <c r="J48" i="15"/>
  <c r="I48" i="15" a="1"/>
  <c r="I48" i="15" s="1"/>
  <c r="H48" i="15" a="1"/>
  <c r="H48" i="15" s="1"/>
  <c r="G48" i="15" a="1"/>
  <c r="G48" i="15" s="1"/>
  <c r="E48" i="15" a="1"/>
  <c r="E48" i="15" s="1"/>
  <c r="A48" i="15"/>
  <c r="M47" i="15"/>
  <c r="L47" i="15"/>
  <c r="J47" i="15"/>
  <c r="I47" i="15" a="1"/>
  <c r="I47" i="15" s="1"/>
  <c r="H47" i="15" a="1"/>
  <c r="H47" i="15" s="1"/>
  <c r="G47" i="15" a="1"/>
  <c r="G47" i="15" s="1"/>
  <c r="E47" i="15" a="1"/>
  <c r="E47" i="15" s="1"/>
  <c r="A47" i="15"/>
  <c r="M46" i="15"/>
  <c r="L46" i="15"/>
  <c r="J46" i="15"/>
  <c r="I46" i="15" a="1"/>
  <c r="I46" i="15" s="1"/>
  <c r="H46" i="15" a="1"/>
  <c r="H46" i="15" s="1"/>
  <c r="G46" i="15" a="1"/>
  <c r="G46" i="15" s="1"/>
  <c r="E46" i="15" a="1"/>
  <c r="E46" i="15" s="1"/>
  <c r="A46" i="15"/>
  <c r="M45" i="15"/>
  <c r="L45" i="15"/>
  <c r="J45" i="15"/>
  <c r="I45" i="15" a="1"/>
  <c r="I45" i="15" s="1"/>
  <c r="H45" i="15" a="1"/>
  <c r="H45" i="15" s="1"/>
  <c r="G45" i="15" a="1"/>
  <c r="G45" i="15" s="1"/>
  <c r="E45" i="15" a="1"/>
  <c r="E45" i="15" s="1"/>
  <c r="A45" i="15"/>
  <c r="M44" i="15"/>
  <c r="L44" i="15"/>
  <c r="J44" i="15"/>
  <c r="I44" i="15" a="1"/>
  <c r="I44" i="15" s="1"/>
  <c r="H44" i="15" a="1"/>
  <c r="H44" i="15" s="1"/>
  <c r="G44" i="15" a="1"/>
  <c r="G44" i="15" s="1"/>
  <c r="E44" i="15" a="1"/>
  <c r="E44" i="15" s="1"/>
  <c r="A44" i="15"/>
  <c r="M43" i="15"/>
  <c r="L43" i="15"/>
  <c r="J43" i="15"/>
  <c r="I43" i="15" a="1"/>
  <c r="I43" i="15" s="1"/>
  <c r="H43" i="15" a="1"/>
  <c r="H43" i="15" s="1"/>
  <c r="G43" i="15" a="1"/>
  <c r="G43" i="15" s="1"/>
  <c r="E43" i="15" a="1"/>
  <c r="E43" i="15" s="1"/>
  <c r="A43" i="15"/>
  <c r="M42" i="15"/>
  <c r="L42" i="15"/>
  <c r="J42" i="15"/>
  <c r="I42" i="15" a="1"/>
  <c r="I42" i="15" s="1"/>
  <c r="H42" i="15" a="1"/>
  <c r="H42" i="15" s="1"/>
  <c r="G42" i="15" a="1"/>
  <c r="G42" i="15" s="1"/>
  <c r="E42" i="15" a="1"/>
  <c r="E42" i="15" s="1"/>
  <c r="A42" i="15"/>
  <c r="M41" i="15"/>
  <c r="L41" i="15"/>
  <c r="J41" i="15"/>
  <c r="I41" i="15" a="1"/>
  <c r="I41" i="15" s="1"/>
  <c r="H41" i="15" a="1"/>
  <c r="H41" i="15" s="1"/>
  <c r="G41" i="15" a="1"/>
  <c r="G41" i="15" s="1"/>
  <c r="E41" i="15" a="1"/>
  <c r="E41" i="15" s="1"/>
  <c r="A41" i="15"/>
  <c r="M40" i="15"/>
  <c r="L40" i="15"/>
  <c r="J40" i="15"/>
  <c r="I40" i="15" a="1"/>
  <c r="I40" i="15" s="1"/>
  <c r="H40" i="15" a="1"/>
  <c r="H40" i="15" s="1"/>
  <c r="G40" i="15" a="1"/>
  <c r="G40" i="15" s="1"/>
  <c r="E40" i="15" a="1"/>
  <c r="E40" i="15" s="1"/>
  <c r="A40" i="15"/>
  <c r="M39" i="15"/>
  <c r="L39" i="15"/>
  <c r="J39" i="15"/>
  <c r="I39" i="15" a="1"/>
  <c r="I39" i="15" s="1"/>
  <c r="H39" i="15" a="1"/>
  <c r="H39" i="15" s="1"/>
  <c r="G39" i="15" a="1"/>
  <c r="G39" i="15" s="1"/>
  <c r="E39" i="15" a="1"/>
  <c r="E39" i="15" s="1"/>
  <c r="A39" i="15"/>
  <c r="M38" i="15"/>
  <c r="L38" i="15"/>
  <c r="J38" i="15"/>
  <c r="I38" i="15" a="1"/>
  <c r="I38" i="15" s="1"/>
  <c r="H38" i="15" a="1"/>
  <c r="H38" i="15" s="1"/>
  <c r="G38" i="15" a="1"/>
  <c r="G38" i="15" s="1"/>
  <c r="E38" i="15" a="1"/>
  <c r="E38" i="15" s="1"/>
  <c r="A38" i="15"/>
  <c r="M37" i="15"/>
  <c r="L37" i="15"/>
  <c r="J37" i="15"/>
  <c r="I37" i="15" a="1"/>
  <c r="I37" i="15" s="1"/>
  <c r="H37" i="15" a="1"/>
  <c r="H37" i="15" s="1"/>
  <c r="G37" i="15" a="1"/>
  <c r="G37" i="15" s="1"/>
  <c r="E37" i="15" a="1"/>
  <c r="E37" i="15" s="1"/>
  <c r="A37" i="15"/>
  <c r="M36" i="15"/>
  <c r="L36" i="15"/>
  <c r="J36" i="15"/>
  <c r="I36" i="15" a="1"/>
  <c r="I36" i="15" s="1"/>
  <c r="H36" i="15" a="1"/>
  <c r="H36" i="15" s="1"/>
  <c r="G36" i="15" a="1"/>
  <c r="G36" i="15" s="1"/>
  <c r="E36" i="15" a="1"/>
  <c r="E36" i="15" s="1"/>
  <c r="A36" i="15"/>
  <c r="M35" i="15"/>
  <c r="L35" i="15"/>
  <c r="J35" i="15"/>
  <c r="I35" i="15" a="1"/>
  <c r="I35" i="15" s="1"/>
  <c r="H35" i="15" a="1"/>
  <c r="H35" i="15" s="1"/>
  <c r="G35" i="15" a="1"/>
  <c r="G35" i="15" s="1"/>
  <c r="E35" i="15" a="1"/>
  <c r="E35" i="15" s="1"/>
  <c r="A35" i="15"/>
  <c r="M34" i="15"/>
  <c r="L34" i="15"/>
  <c r="J34" i="15"/>
  <c r="I34" i="15" a="1"/>
  <c r="I34" i="15" s="1"/>
  <c r="H34" i="15" a="1"/>
  <c r="H34" i="15" s="1"/>
  <c r="G34" i="15" a="1"/>
  <c r="G34" i="15" s="1"/>
  <c r="E34" i="15" a="1"/>
  <c r="E34" i="15" s="1"/>
  <c r="A34" i="15"/>
  <c r="M33" i="15"/>
  <c r="L33" i="15"/>
  <c r="J33" i="15"/>
  <c r="I33" i="15" a="1"/>
  <c r="I33" i="15" s="1"/>
  <c r="H33" i="15" a="1"/>
  <c r="H33" i="15" s="1"/>
  <c r="G33" i="15" a="1"/>
  <c r="G33" i="15" s="1"/>
  <c r="E33" i="15" a="1"/>
  <c r="E33" i="15" s="1"/>
  <c r="A33" i="15"/>
  <c r="M32" i="15"/>
  <c r="L32" i="15"/>
  <c r="J32" i="15"/>
  <c r="I32" i="15" a="1"/>
  <c r="I32" i="15" s="1"/>
  <c r="H32" i="15" a="1"/>
  <c r="H32" i="15" s="1"/>
  <c r="G32" i="15" a="1"/>
  <c r="G32" i="15" s="1"/>
  <c r="E32" i="15" a="1"/>
  <c r="E32" i="15" s="1"/>
  <c r="A32" i="15"/>
  <c r="M31" i="15"/>
  <c r="L31" i="15"/>
  <c r="J31" i="15"/>
  <c r="I31" i="15" a="1"/>
  <c r="I31" i="15" s="1"/>
  <c r="H31" i="15" a="1"/>
  <c r="H31" i="15" s="1"/>
  <c r="G31" i="15" a="1"/>
  <c r="G31" i="15" s="1"/>
  <c r="E31" i="15" a="1"/>
  <c r="E31" i="15" s="1"/>
  <c r="A31" i="15"/>
  <c r="M30" i="15"/>
  <c r="L30" i="15"/>
  <c r="J30" i="15"/>
  <c r="I30" i="15" a="1"/>
  <c r="I30" i="15" s="1"/>
  <c r="H30" i="15" a="1"/>
  <c r="H30" i="15" s="1"/>
  <c r="G30" i="15" a="1"/>
  <c r="G30" i="15" s="1"/>
  <c r="E30" i="15" a="1"/>
  <c r="E30" i="15" s="1"/>
  <c r="A30" i="15"/>
  <c r="M29" i="15"/>
  <c r="L29" i="15"/>
  <c r="J29" i="15"/>
  <c r="I29" i="15" a="1"/>
  <c r="I29" i="15" s="1"/>
  <c r="H29" i="15" a="1"/>
  <c r="H29" i="15" s="1"/>
  <c r="G29" i="15" a="1"/>
  <c r="G29" i="15" s="1"/>
  <c r="E29" i="15" a="1"/>
  <c r="E29" i="15" s="1"/>
  <c r="A29" i="15"/>
  <c r="M28" i="15"/>
  <c r="L28" i="15"/>
  <c r="J28" i="15"/>
  <c r="I28" i="15" a="1"/>
  <c r="I28" i="15" s="1"/>
  <c r="H28" i="15" a="1"/>
  <c r="H28" i="15" s="1"/>
  <c r="G28" i="15" a="1"/>
  <c r="G28" i="15" s="1"/>
  <c r="E28" i="15" a="1"/>
  <c r="E28" i="15" s="1"/>
  <c r="A28" i="15"/>
  <c r="M27" i="15"/>
  <c r="L27" i="15"/>
  <c r="J27" i="15"/>
  <c r="I27" i="15" a="1"/>
  <c r="I27" i="15" s="1"/>
  <c r="H27" i="15" a="1"/>
  <c r="H27" i="15" s="1"/>
  <c r="G27" i="15" a="1"/>
  <c r="G27" i="15" s="1"/>
  <c r="E27" i="15" a="1"/>
  <c r="E27" i="15" s="1"/>
  <c r="A27" i="15"/>
  <c r="M26" i="15"/>
  <c r="L26" i="15"/>
  <c r="J26" i="15"/>
  <c r="I26" i="15" a="1"/>
  <c r="I26" i="15" s="1"/>
  <c r="H26" i="15" a="1"/>
  <c r="H26" i="15" s="1"/>
  <c r="E26" i="15" a="1"/>
  <c r="E26" i="15" s="1"/>
  <c r="A26" i="15"/>
  <c r="L25" i="15"/>
  <c r="J25" i="15"/>
  <c r="I25" i="15" a="1"/>
  <c r="I25" i="15" s="1"/>
  <c r="H25" i="15" a="1"/>
  <c r="H25" i="15" s="1"/>
  <c r="G25" i="15" a="1"/>
  <c r="G25" i="15" s="1"/>
  <c r="E25" i="15" a="1"/>
  <c r="E25" i="15" s="1"/>
  <c r="A25" i="15"/>
  <c r="L24" i="15"/>
  <c r="J24" i="15"/>
  <c r="I24" i="15" a="1"/>
  <c r="I24" i="15" s="1"/>
  <c r="H24" i="15" a="1"/>
  <c r="H24" i="15" s="1"/>
  <c r="G24" i="15" a="1"/>
  <c r="G24" i="15" s="1"/>
  <c r="E24" i="15" a="1"/>
  <c r="E24" i="15" s="1"/>
  <c r="A24" i="15"/>
  <c r="M23" i="15"/>
  <c r="L23" i="15"/>
  <c r="J23" i="15"/>
  <c r="I23" i="15" a="1"/>
  <c r="I23" i="15" s="1"/>
  <c r="H23" i="15" a="1"/>
  <c r="H23" i="15" s="1"/>
  <c r="G23" i="15" a="1"/>
  <c r="G23" i="15" s="1"/>
  <c r="E23" i="15" a="1"/>
  <c r="E23" i="15" s="1"/>
  <c r="A23" i="15"/>
  <c r="M22" i="15"/>
  <c r="L22" i="15"/>
  <c r="J22" i="15"/>
  <c r="I22" i="15" a="1"/>
  <c r="I22" i="15" s="1"/>
  <c r="H22" i="15" a="1"/>
  <c r="H22" i="15" s="1"/>
  <c r="G22" i="15" a="1"/>
  <c r="G22" i="15" s="1"/>
  <c r="E22" i="15" a="1"/>
  <c r="E22" i="15" s="1"/>
  <c r="A22" i="15"/>
  <c r="Q21" i="15"/>
  <c r="M21" i="15"/>
  <c r="L21" i="15"/>
  <c r="J21" i="15"/>
  <c r="I21" i="15" a="1"/>
  <c r="I21" i="15" s="1"/>
  <c r="H21" i="15" a="1"/>
  <c r="H21" i="15" s="1"/>
  <c r="G21" i="15" a="1"/>
  <c r="G21" i="15" s="1"/>
  <c r="E21" i="15" a="1"/>
  <c r="E21" i="15" s="1"/>
  <c r="A21" i="15"/>
  <c r="M20" i="15"/>
  <c r="L20" i="15"/>
  <c r="J20" i="15"/>
  <c r="I20" i="15" a="1"/>
  <c r="I20" i="15" s="1"/>
  <c r="H20" i="15" a="1"/>
  <c r="H20" i="15" s="1"/>
  <c r="G20" i="15" a="1"/>
  <c r="G20" i="15" s="1"/>
  <c r="E20" i="15" a="1"/>
  <c r="E20" i="15" s="1"/>
  <c r="A20" i="15"/>
  <c r="M19" i="15"/>
  <c r="L19" i="15"/>
  <c r="J19" i="15"/>
  <c r="I19" i="15" a="1"/>
  <c r="I19" i="15" s="1"/>
  <c r="H19" i="15" a="1"/>
  <c r="H19" i="15" s="1"/>
  <c r="G19" i="15" a="1"/>
  <c r="G19" i="15" s="1"/>
  <c r="E19" i="15" a="1"/>
  <c r="E19" i="15" s="1"/>
  <c r="A19" i="15"/>
  <c r="M18" i="15"/>
  <c r="L18" i="15"/>
  <c r="J18" i="15"/>
  <c r="I18" i="15" a="1"/>
  <c r="I18" i="15" s="1"/>
  <c r="H18" i="15" a="1"/>
  <c r="H18" i="15" s="1"/>
  <c r="G18" i="15" a="1"/>
  <c r="G18" i="15" s="1"/>
  <c r="E18" i="15" a="1"/>
  <c r="E18" i="15" s="1"/>
  <c r="A18" i="15"/>
  <c r="M17" i="15"/>
  <c r="L17" i="15"/>
  <c r="J17" i="15"/>
  <c r="I17" i="15" a="1"/>
  <c r="I17" i="15" s="1"/>
  <c r="H17" i="15" a="1"/>
  <c r="H17" i="15" s="1"/>
  <c r="G17" i="15" a="1"/>
  <c r="G17" i="15" s="1"/>
  <c r="E17" i="15" a="1"/>
  <c r="E17" i="15" s="1"/>
  <c r="A17" i="15"/>
  <c r="M16" i="15"/>
  <c r="L16" i="15"/>
  <c r="J16" i="15"/>
  <c r="I16" i="15" a="1"/>
  <c r="I16" i="15" s="1"/>
  <c r="H16" i="15" a="1"/>
  <c r="H16" i="15" s="1"/>
  <c r="G16" i="15" a="1"/>
  <c r="G16" i="15" s="1"/>
  <c r="E16" i="15" a="1"/>
  <c r="E16" i="15" s="1"/>
  <c r="A16" i="15"/>
  <c r="M15" i="15"/>
  <c r="L15" i="15"/>
  <c r="J15" i="15"/>
  <c r="I15" i="15" a="1"/>
  <c r="I15" i="15" s="1"/>
  <c r="H15" i="15" a="1"/>
  <c r="H15" i="15" s="1"/>
  <c r="G15" i="15" a="1"/>
  <c r="G15" i="15" s="1"/>
  <c r="E15" i="15" a="1"/>
  <c r="E15" i="15" s="1"/>
  <c r="A15" i="15"/>
  <c r="M14" i="15"/>
  <c r="L14" i="15"/>
  <c r="J14" i="15"/>
  <c r="I14" i="15" a="1"/>
  <c r="I14" i="15" s="1"/>
  <c r="H14" i="15" a="1"/>
  <c r="H14" i="15" s="1"/>
  <c r="G14" i="15" a="1"/>
  <c r="G14" i="15" s="1"/>
  <c r="E14" i="15" a="1"/>
  <c r="E14" i="15" s="1"/>
  <c r="B14" i="15" a="1"/>
  <c r="B14" i="15" s="1"/>
  <c r="A14" i="15"/>
  <c r="M13" i="15"/>
  <c r="L13" i="15"/>
  <c r="J13" i="15"/>
  <c r="I13" i="15" a="1"/>
  <c r="I13" i="15" s="1"/>
  <c r="H13" i="15" a="1"/>
  <c r="H13" i="15" s="1"/>
  <c r="G13" i="15" a="1"/>
  <c r="G13" i="15" s="1"/>
  <c r="E13" i="15" a="1"/>
  <c r="E13" i="15" s="1"/>
  <c r="A13" i="15"/>
  <c r="M12" i="15"/>
  <c r="L12" i="15"/>
  <c r="J12" i="15"/>
  <c r="I12" i="15" a="1"/>
  <c r="I12" i="15" s="1"/>
  <c r="H12" i="15" a="1"/>
  <c r="H12" i="15" s="1"/>
  <c r="G12" i="15" a="1"/>
  <c r="G12" i="15" s="1"/>
  <c r="E12" i="15" a="1"/>
  <c r="E12" i="15" s="1"/>
  <c r="A12" i="15"/>
  <c r="M11" i="15"/>
  <c r="L11" i="15"/>
  <c r="J11" i="15"/>
  <c r="I11" i="15" a="1"/>
  <c r="I11" i="15" s="1"/>
  <c r="H11" i="15" a="1"/>
  <c r="H11" i="15" s="1"/>
  <c r="G11" i="15" a="1"/>
  <c r="G11" i="15" s="1"/>
  <c r="E11" i="15" a="1"/>
  <c r="E11" i="15" s="1"/>
  <c r="A11" i="15"/>
  <c r="M10" i="15"/>
  <c r="L10" i="15"/>
  <c r="J10" i="15"/>
  <c r="I10" i="15" a="1"/>
  <c r="I10" i="15" s="1"/>
  <c r="H10" i="15" a="1"/>
  <c r="H10" i="15" s="1"/>
  <c r="G10" i="15" a="1"/>
  <c r="G10" i="15" s="1"/>
  <c r="E10" i="15" a="1"/>
  <c r="E10" i="15" s="1"/>
  <c r="A10" i="15"/>
  <c r="M9" i="15"/>
  <c r="L9" i="15"/>
  <c r="J9" i="15"/>
  <c r="I9" i="15" a="1"/>
  <c r="I9" i="15" s="1"/>
  <c r="H9" i="15" a="1"/>
  <c r="H9" i="15" s="1"/>
  <c r="G9" i="15" a="1"/>
  <c r="G9" i="15" s="1"/>
  <c r="E9" i="15" a="1"/>
  <c r="E9" i="15" s="1"/>
  <c r="A9" i="15"/>
  <c r="M8" i="15"/>
  <c r="L8" i="15"/>
  <c r="J8" i="15"/>
  <c r="I8" i="15" a="1"/>
  <c r="I8" i="15" s="1"/>
  <c r="H8" i="15" a="1"/>
  <c r="H8" i="15" s="1"/>
  <c r="G8" i="15" a="1"/>
  <c r="G8" i="15" s="1"/>
  <c r="E8" i="15" a="1"/>
  <c r="E8" i="15" s="1"/>
  <c r="A8" i="15"/>
  <c r="M7" i="15"/>
  <c r="L7" i="15"/>
  <c r="J7" i="15"/>
  <c r="I7" i="15" a="1"/>
  <c r="I7" i="15" s="1"/>
  <c r="H7" i="15" a="1"/>
  <c r="H7" i="15" s="1"/>
  <c r="G7" i="15" a="1"/>
  <c r="G7" i="15" s="1"/>
  <c r="E7" i="15" a="1"/>
  <c r="E7" i="15" s="1"/>
  <c r="A7" i="15"/>
  <c r="M6" i="15"/>
  <c r="L6" i="15"/>
  <c r="J6" i="15"/>
  <c r="I6" i="15" a="1"/>
  <c r="I6" i="15" s="1"/>
  <c r="H6" i="15" a="1"/>
  <c r="H6" i="15" s="1"/>
  <c r="G6" i="15" a="1"/>
  <c r="G6" i="15" s="1"/>
  <c r="E6" i="15" a="1"/>
  <c r="E6" i="15" s="1"/>
  <c r="A6" i="15"/>
  <c r="M5" i="15"/>
  <c r="L5" i="15"/>
  <c r="J5" i="15"/>
  <c r="I5" i="15" a="1"/>
  <c r="I5" i="15" s="1"/>
  <c r="H5" i="15" a="1"/>
  <c r="H5" i="15" s="1"/>
  <c r="G5" i="15" a="1"/>
  <c r="G5" i="15" s="1"/>
  <c r="E5" i="15" a="1"/>
  <c r="E5" i="15" s="1"/>
  <c r="A5" i="15"/>
  <c r="Q4" i="15"/>
  <c r="M4" i="15"/>
  <c r="L4" i="15"/>
  <c r="J4" i="15"/>
  <c r="I4" i="15" a="1"/>
  <c r="I4" i="15" s="1"/>
  <c r="H4" i="15" a="1"/>
  <c r="H4" i="15" s="1"/>
  <c r="G4" i="15" a="1"/>
  <c r="G4" i="15" s="1"/>
  <c r="E4" i="15" a="1"/>
  <c r="E4" i="15" s="1"/>
  <c r="A4" i="15"/>
  <c r="K5" i="14"/>
  <c r="K10" i="14"/>
  <c r="K11" i="14"/>
  <c r="K12" i="14"/>
  <c r="K13" i="14"/>
  <c r="K6" i="14"/>
  <c r="K7" i="14"/>
  <c r="K8" i="14"/>
  <c r="K14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15" i="14"/>
  <c r="K16" i="14"/>
  <c r="K17" i="14"/>
  <c r="K41" i="14"/>
  <c r="K18" i="14"/>
  <c r="K19" i="14"/>
  <c r="K20" i="14"/>
  <c r="K42" i="14"/>
  <c r="K21" i="14"/>
  <c r="K22" i="14"/>
  <c r="K43" i="14"/>
  <c r="K44" i="14"/>
  <c r="K45" i="14"/>
  <c r="K46" i="14"/>
  <c r="K9" i="14"/>
  <c r="K47" i="14"/>
  <c r="K48" i="14"/>
  <c r="K49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50" i="14"/>
  <c r="K77" i="14"/>
  <c r="K51" i="14"/>
  <c r="K78" i="14"/>
  <c r="K79" i="14"/>
  <c r="K80" i="14"/>
  <c r="K81" i="14"/>
  <c r="K82" i="14"/>
  <c r="K83" i="14"/>
  <c r="K84" i="14"/>
  <c r="K85" i="14"/>
  <c r="K86" i="14"/>
  <c r="K87" i="14"/>
  <c r="K94" i="14"/>
  <c r="K95" i="14"/>
  <c r="K96" i="14"/>
  <c r="K97" i="14"/>
  <c r="K98" i="14"/>
  <c r="K99" i="14"/>
  <c r="K88" i="14"/>
  <c r="K23" i="14"/>
  <c r="K24" i="14"/>
  <c r="K89" i="14"/>
  <c r="K90" i="14"/>
  <c r="K91" i="14"/>
  <c r="K52" i="14"/>
  <c r="K25" i="14"/>
  <c r="K92" i="14"/>
  <c r="K53" i="14"/>
  <c r="K54" i="14"/>
  <c r="K93" i="14"/>
  <c r="K4" i="14"/>
  <c r="C106" i="14"/>
  <c r="D106" i="14" s="1"/>
  <c r="H93" i="14" a="1"/>
  <c r="H93" i="14" s="1"/>
  <c r="G93" i="14" a="1"/>
  <c r="G93" i="14" s="1"/>
  <c r="P98" i="14"/>
  <c r="H54" i="14" a="1"/>
  <c r="H54" i="14" s="1"/>
  <c r="G54" i="14" a="1"/>
  <c r="G54" i="14" s="1"/>
  <c r="P97" i="14"/>
  <c r="H53" i="14" a="1"/>
  <c r="H53" i="14" s="1"/>
  <c r="G53" i="14" a="1"/>
  <c r="G53" i="14" s="1"/>
  <c r="P96" i="14"/>
  <c r="H92" i="14" a="1"/>
  <c r="H92" i="14" s="1"/>
  <c r="G92" i="14" a="1"/>
  <c r="G92" i="14" s="1"/>
  <c r="P95" i="14"/>
  <c r="H25" i="14" a="1"/>
  <c r="H25" i="14" s="1"/>
  <c r="G25" i="14" a="1"/>
  <c r="G25" i="14" s="1"/>
  <c r="P94" i="14"/>
  <c r="H52" i="14" a="1"/>
  <c r="H52" i="14" s="1"/>
  <c r="G52" i="14" a="1"/>
  <c r="G52" i="14" s="1"/>
  <c r="P93" i="14"/>
  <c r="H91" i="14" a="1"/>
  <c r="H91" i="14" s="1"/>
  <c r="G91" i="14" a="1"/>
  <c r="G91" i="14" s="1"/>
  <c r="P92" i="14"/>
  <c r="H90" i="14" a="1"/>
  <c r="H90" i="14" s="1"/>
  <c r="G90" i="14" a="1"/>
  <c r="G90" i="14" s="1"/>
  <c r="H89" i="14" a="1"/>
  <c r="H89" i="14" s="1"/>
  <c r="G89" i="14" a="1"/>
  <c r="G89" i="14" s="1"/>
  <c r="H24" i="14" a="1"/>
  <c r="H24" i="14" s="1"/>
  <c r="G24" i="14" a="1"/>
  <c r="G24" i="14" s="1"/>
  <c r="H23" i="14" a="1"/>
  <c r="H23" i="14" s="1"/>
  <c r="G23" i="14" a="1"/>
  <c r="G23" i="14" s="1"/>
  <c r="H88" i="14" a="1"/>
  <c r="H88" i="14" s="1"/>
  <c r="G88" i="14" a="1"/>
  <c r="G88" i="14" s="1"/>
  <c r="H99" i="14" a="1"/>
  <c r="H99" i="14" s="1"/>
  <c r="G99" i="14" a="1"/>
  <c r="G99" i="14" s="1"/>
  <c r="H98" i="14" a="1"/>
  <c r="H98" i="14" s="1"/>
  <c r="G98" i="14" a="1"/>
  <c r="G98" i="14" s="1"/>
  <c r="H97" i="14" a="1"/>
  <c r="H97" i="14" s="1"/>
  <c r="G97" i="14" a="1"/>
  <c r="G97" i="14" s="1"/>
  <c r="H96" i="14" a="1"/>
  <c r="H96" i="14" s="1"/>
  <c r="G96" i="14" a="1"/>
  <c r="G96" i="14" s="1"/>
  <c r="H95" i="14" a="1"/>
  <c r="H95" i="14" s="1"/>
  <c r="G95" i="14" a="1"/>
  <c r="G95" i="14" s="1"/>
  <c r="H94" i="14" a="1"/>
  <c r="H94" i="14" s="1"/>
  <c r="G94" i="14" a="1"/>
  <c r="G94" i="14" s="1"/>
  <c r="H87" i="14" a="1"/>
  <c r="H87" i="14" s="1"/>
  <c r="G87" i="14" a="1"/>
  <c r="G87" i="14" s="1"/>
  <c r="H86" i="14" a="1"/>
  <c r="H86" i="14" s="1"/>
  <c r="H85" i="14" a="1"/>
  <c r="H85" i="14" s="1"/>
  <c r="G85" i="14" a="1"/>
  <c r="G85" i="14" s="1"/>
  <c r="H84" i="14" a="1"/>
  <c r="H84" i="14" s="1"/>
  <c r="G84" i="14" a="1"/>
  <c r="G84" i="14" s="1"/>
  <c r="H83" i="14" a="1"/>
  <c r="H83" i="14" s="1"/>
  <c r="G83" i="14" a="1"/>
  <c r="G83" i="14" s="1"/>
  <c r="H82" i="14" a="1"/>
  <c r="H82" i="14" s="1"/>
  <c r="G82" i="14" a="1"/>
  <c r="G82" i="14" s="1"/>
  <c r="H81" i="14" a="1"/>
  <c r="H81" i="14" s="1"/>
  <c r="G81" i="14" a="1"/>
  <c r="G81" i="14" s="1"/>
  <c r="H80" i="14" a="1"/>
  <c r="H80" i="14" s="1"/>
  <c r="G80" i="14" a="1"/>
  <c r="G80" i="14" s="1"/>
  <c r="H79" i="14" a="1"/>
  <c r="H79" i="14" s="1"/>
  <c r="G79" i="14" a="1"/>
  <c r="G79" i="14" s="1"/>
  <c r="H78" i="14" a="1"/>
  <c r="H78" i="14" s="1"/>
  <c r="G78" i="14" a="1"/>
  <c r="G78" i="14" s="1"/>
  <c r="H51" i="14" a="1"/>
  <c r="H51" i="14" s="1"/>
  <c r="G51" i="14" a="1"/>
  <c r="G51" i="14" s="1"/>
  <c r="H77" i="14" a="1"/>
  <c r="H77" i="14" s="1"/>
  <c r="G77" i="14" a="1"/>
  <c r="G77" i="14" s="1"/>
  <c r="H50" i="14" a="1"/>
  <c r="H50" i="14" s="1"/>
  <c r="G50" i="14" a="1"/>
  <c r="G50" i="14" s="1"/>
  <c r="H76" i="14" a="1"/>
  <c r="H76" i="14" s="1"/>
  <c r="G76" i="14" a="1"/>
  <c r="G76" i="14" s="1"/>
  <c r="H75" i="14" a="1"/>
  <c r="H75" i="14" s="1"/>
  <c r="G75" i="14" a="1"/>
  <c r="G75" i="14" s="1"/>
  <c r="H74" i="14" a="1"/>
  <c r="H74" i="14" s="1"/>
  <c r="G74" i="14" a="1"/>
  <c r="G74" i="14" s="1"/>
  <c r="H73" i="14" a="1"/>
  <c r="H73" i="14" s="1"/>
  <c r="G73" i="14" a="1"/>
  <c r="G73" i="14" s="1"/>
  <c r="H72" i="14" a="1"/>
  <c r="H72" i="14" s="1"/>
  <c r="G72" i="14" a="1"/>
  <c r="G72" i="14" s="1"/>
  <c r="H71" i="14" a="1"/>
  <c r="H71" i="14" s="1"/>
  <c r="G71" i="14" a="1"/>
  <c r="G71" i="14" s="1"/>
  <c r="H70" i="14" a="1"/>
  <c r="H70" i="14" s="1"/>
  <c r="G70" i="14" a="1"/>
  <c r="G70" i="14" s="1"/>
  <c r="H69" i="14" a="1"/>
  <c r="H69" i="14" s="1"/>
  <c r="G69" i="14" a="1"/>
  <c r="G69" i="14" s="1"/>
  <c r="H68" i="14" a="1"/>
  <c r="H68" i="14" s="1"/>
  <c r="G68" i="14" a="1"/>
  <c r="G68" i="14" s="1"/>
  <c r="H67" i="14" a="1"/>
  <c r="H67" i="14" s="1"/>
  <c r="G67" i="14" a="1"/>
  <c r="G67" i="14" s="1"/>
  <c r="H66" i="14" a="1"/>
  <c r="H66" i="14" s="1"/>
  <c r="G66" i="14" a="1"/>
  <c r="G66" i="14" s="1"/>
  <c r="H65" i="14" a="1"/>
  <c r="H65" i="14" s="1"/>
  <c r="G65" i="14" a="1"/>
  <c r="G65" i="14" s="1"/>
  <c r="H64" i="14" a="1"/>
  <c r="H64" i="14" s="1"/>
  <c r="G64" i="14" a="1"/>
  <c r="G64" i="14" s="1"/>
  <c r="H63" i="14" a="1"/>
  <c r="H63" i="14" s="1"/>
  <c r="G63" i="14" a="1"/>
  <c r="G63" i="14" s="1"/>
  <c r="H62" i="14" a="1"/>
  <c r="H62" i="14" s="1"/>
  <c r="G62" i="14" a="1"/>
  <c r="G62" i="14" s="1"/>
  <c r="H61" i="14" a="1"/>
  <c r="H61" i="14" s="1"/>
  <c r="G61" i="14" a="1"/>
  <c r="G61" i="14" s="1"/>
  <c r="H60" i="14" a="1"/>
  <c r="H60" i="14" s="1"/>
  <c r="G60" i="14" a="1"/>
  <c r="G60" i="14" s="1"/>
  <c r="H59" i="14" a="1"/>
  <c r="H59" i="14" s="1"/>
  <c r="G59" i="14" a="1"/>
  <c r="G59" i="14" s="1"/>
  <c r="H58" i="14" a="1"/>
  <c r="H58" i="14" s="1"/>
  <c r="G58" i="14" a="1"/>
  <c r="G58" i="14" s="1"/>
  <c r="H57" i="14" a="1"/>
  <c r="H57" i="14" s="1"/>
  <c r="G57" i="14" a="1"/>
  <c r="G57" i="14" s="1"/>
  <c r="H56" i="14" a="1"/>
  <c r="H56" i="14" s="1"/>
  <c r="G56" i="14" a="1"/>
  <c r="G56" i="14" s="1"/>
  <c r="H55" i="14" a="1"/>
  <c r="H55" i="14" s="1"/>
  <c r="H49" i="14" a="1"/>
  <c r="H49" i="14" s="1"/>
  <c r="G49" i="14" a="1"/>
  <c r="G49" i="14" s="1"/>
  <c r="H48" i="14" a="1"/>
  <c r="H48" i="14" s="1"/>
  <c r="G48" i="14" a="1"/>
  <c r="G48" i="14" s="1"/>
  <c r="H47" i="14" a="1"/>
  <c r="H47" i="14" s="1"/>
  <c r="G47" i="14" a="1"/>
  <c r="G47" i="14" s="1"/>
  <c r="H9" i="14" a="1"/>
  <c r="H9" i="14" s="1"/>
  <c r="G9" i="14" a="1"/>
  <c r="G9" i="14" s="1"/>
  <c r="H46" i="14" a="1"/>
  <c r="H46" i="14" s="1"/>
  <c r="G46" i="14" a="1"/>
  <c r="G46" i="14" s="1"/>
  <c r="H45" i="14" a="1"/>
  <c r="H45" i="14" s="1"/>
  <c r="G45" i="14" a="1"/>
  <c r="G45" i="14" s="1"/>
  <c r="H44" i="14" a="1"/>
  <c r="H44" i="14" s="1"/>
  <c r="G44" i="14" a="1"/>
  <c r="G44" i="14" s="1"/>
  <c r="H43" i="14" a="1"/>
  <c r="H43" i="14" s="1"/>
  <c r="G43" i="14" a="1"/>
  <c r="G43" i="14" s="1"/>
  <c r="H22" i="14" a="1"/>
  <c r="H22" i="14" s="1"/>
  <c r="G22" i="14" a="1"/>
  <c r="G22" i="14" s="1"/>
  <c r="H21" i="14" a="1"/>
  <c r="H21" i="14" s="1"/>
  <c r="G21" i="14" a="1"/>
  <c r="G21" i="14" s="1"/>
  <c r="H42" i="14" a="1"/>
  <c r="H42" i="14" s="1"/>
  <c r="G42" i="14" a="1"/>
  <c r="G42" i="14" s="1"/>
  <c r="H20" i="14" a="1"/>
  <c r="H20" i="14" s="1"/>
  <c r="G20" i="14" a="1"/>
  <c r="G20" i="14" s="1"/>
  <c r="H19" i="14" a="1"/>
  <c r="H19" i="14" s="1"/>
  <c r="G19" i="14" a="1"/>
  <c r="G19" i="14" s="1"/>
  <c r="H18" i="14" a="1"/>
  <c r="H18" i="14" s="1"/>
  <c r="G18" i="14" a="1"/>
  <c r="G18" i="14" s="1"/>
  <c r="H41" i="14" a="1"/>
  <c r="H41" i="14" s="1"/>
  <c r="G41" i="14" a="1"/>
  <c r="G41" i="14" s="1"/>
  <c r="H17" i="14" a="1"/>
  <c r="H17" i="14" s="1"/>
  <c r="G17" i="14" a="1"/>
  <c r="G17" i="14" s="1"/>
  <c r="H16" i="14" a="1"/>
  <c r="H16" i="14" s="1"/>
  <c r="G16" i="14" a="1"/>
  <c r="G16" i="14" s="1"/>
  <c r="H15" i="14" a="1"/>
  <c r="H15" i="14" s="1"/>
  <c r="G15" i="14" a="1"/>
  <c r="G15" i="14" s="1"/>
  <c r="H40" i="14" a="1"/>
  <c r="H40" i="14" s="1"/>
  <c r="G40" i="14" a="1"/>
  <c r="G40" i="14" s="1"/>
  <c r="H39" i="14" a="1"/>
  <c r="H39" i="14" s="1"/>
  <c r="G39" i="14" a="1"/>
  <c r="G39" i="14" s="1"/>
  <c r="H38" i="14" a="1"/>
  <c r="H38" i="14" s="1"/>
  <c r="G38" i="14" a="1"/>
  <c r="G38" i="14" s="1"/>
  <c r="H37" i="14" a="1"/>
  <c r="H37" i="14" s="1"/>
  <c r="G37" i="14" a="1"/>
  <c r="G37" i="14" s="1"/>
  <c r="H36" i="14" a="1"/>
  <c r="H36" i="14" s="1"/>
  <c r="G36" i="14" a="1"/>
  <c r="G36" i="14" s="1"/>
  <c r="H35" i="14" a="1"/>
  <c r="H35" i="14" s="1"/>
  <c r="G35" i="14" a="1"/>
  <c r="G35" i="14" s="1"/>
  <c r="H34" i="14" a="1"/>
  <c r="H34" i="14" s="1"/>
  <c r="G34" i="14" a="1"/>
  <c r="G34" i="14" s="1"/>
  <c r="H33" i="14" a="1"/>
  <c r="H33" i="14" s="1"/>
  <c r="G33" i="14" a="1"/>
  <c r="G33" i="14" s="1"/>
  <c r="H32" i="14" a="1"/>
  <c r="H32" i="14" s="1"/>
  <c r="G32" i="14" a="1"/>
  <c r="G32" i="14" s="1"/>
  <c r="H31" i="14" a="1"/>
  <c r="H31" i="14" s="1"/>
  <c r="G31" i="14" a="1"/>
  <c r="G31" i="14" s="1"/>
  <c r="H30" i="14" a="1"/>
  <c r="H30" i="14" s="1"/>
  <c r="G30" i="14" a="1"/>
  <c r="G30" i="14" s="1"/>
  <c r="H29" i="14" a="1"/>
  <c r="H29" i="14" s="1"/>
  <c r="G29" i="14" a="1"/>
  <c r="G29" i="14" s="1"/>
  <c r="H28" i="14" a="1"/>
  <c r="H28" i="14" s="1"/>
  <c r="G28" i="14" a="1"/>
  <c r="G28" i="14" s="1"/>
  <c r="H27" i="14" a="1"/>
  <c r="H27" i="14" s="1"/>
  <c r="G27" i="14" a="1"/>
  <c r="G27" i="14" s="1"/>
  <c r="H26" i="14" a="1"/>
  <c r="H26" i="14" s="1"/>
  <c r="H14" i="14" a="1"/>
  <c r="H14" i="14" s="1"/>
  <c r="G14" i="14" a="1"/>
  <c r="G14" i="14" s="1"/>
  <c r="H8" i="14" a="1"/>
  <c r="H8" i="14" s="1"/>
  <c r="G8" i="14" a="1"/>
  <c r="G8" i="14" s="1"/>
  <c r="H7" i="14" a="1"/>
  <c r="H7" i="14" s="1"/>
  <c r="G7" i="14" a="1"/>
  <c r="G7" i="14" s="1"/>
  <c r="H6" i="14" a="1"/>
  <c r="H6" i="14" s="1"/>
  <c r="G6" i="14" a="1"/>
  <c r="G6" i="14" s="1"/>
  <c r="H13" i="14" a="1"/>
  <c r="H13" i="14" s="1"/>
  <c r="G13" i="14" a="1"/>
  <c r="G13" i="14" s="1"/>
  <c r="H12" i="14" a="1"/>
  <c r="H12" i="14" s="1"/>
  <c r="G12" i="14" a="1"/>
  <c r="G12" i="14" s="1"/>
  <c r="H11" i="14" a="1"/>
  <c r="H11" i="14" s="1"/>
  <c r="G11" i="14" a="1"/>
  <c r="G11" i="14" s="1"/>
  <c r="H10" i="14" a="1"/>
  <c r="H10" i="14" s="1"/>
  <c r="G10" i="14" a="1"/>
  <c r="G10" i="14" s="1"/>
  <c r="H5" i="14" a="1"/>
  <c r="H5" i="14" s="1"/>
  <c r="G5" i="14" a="1"/>
  <c r="G5" i="14" s="1"/>
  <c r="R4" i="14"/>
  <c r="I4" i="14" a="1"/>
  <c r="I4" i="14" s="1"/>
  <c r="H4" i="14" a="1"/>
  <c r="H4" i="14" s="1"/>
  <c r="G4" i="14" a="1"/>
  <c r="G4" i="14" s="1"/>
  <c r="E4" i="14" a="1"/>
  <c r="E4" i="14" s="1"/>
  <c r="K73" i="3"/>
  <c r="A1" i="13"/>
  <c r="F1" i="13"/>
  <c r="E1" i="13"/>
  <c r="D1" i="13"/>
  <c r="J1" i="13"/>
  <c r="C1" i="13"/>
  <c r="B1" i="13"/>
  <c r="G1" i="13"/>
  <c r="H1" i="13"/>
  <c r="I1" i="13"/>
  <c r="K1" i="13"/>
  <c r="A2" i="13"/>
  <c r="F2" i="13"/>
  <c r="E2" i="13"/>
  <c r="D2" i="13"/>
  <c r="J2" i="13"/>
  <c r="C2" i="13"/>
  <c r="B2" i="13"/>
  <c r="G2" i="13"/>
  <c r="H2" i="13"/>
  <c r="I2" i="13"/>
  <c r="K2" i="13"/>
  <c r="A3" i="13"/>
  <c r="F3" i="13"/>
  <c r="E3" i="13"/>
  <c r="D3" i="13"/>
  <c r="J3" i="13"/>
  <c r="C3" i="13"/>
  <c r="B3" i="13"/>
  <c r="G3" i="13"/>
  <c r="H3" i="13"/>
  <c r="I3" i="13"/>
  <c r="K3" i="13"/>
  <c r="A4" i="13"/>
  <c r="F4" i="13"/>
  <c r="E4" i="13"/>
  <c r="D4" i="13"/>
  <c r="J4" i="13"/>
  <c r="C4" i="13"/>
  <c r="B4" i="13"/>
  <c r="G4" i="13"/>
  <c r="H4" i="13"/>
  <c r="I4" i="13"/>
  <c r="K4" i="13"/>
  <c r="A5" i="13"/>
  <c r="F5" i="13"/>
  <c r="E5" i="13"/>
  <c r="D5" i="13"/>
  <c r="J5" i="13"/>
  <c r="C5" i="13"/>
  <c r="B5" i="13"/>
  <c r="G5" i="13"/>
  <c r="H5" i="13"/>
  <c r="I5" i="13"/>
  <c r="K5" i="13"/>
  <c r="A6" i="13"/>
  <c r="F6" i="13"/>
  <c r="E6" i="13"/>
  <c r="D6" i="13"/>
  <c r="J6" i="13"/>
  <c r="C6" i="13"/>
  <c r="B6" i="13"/>
  <c r="G6" i="13"/>
  <c r="H6" i="13"/>
  <c r="I6" i="13"/>
  <c r="K6" i="13"/>
  <c r="A7" i="13"/>
  <c r="F7" i="13"/>
  <c r="E7" i="13"/>
  <c r="D7" i="13"/>
  <c r="J7" i="13"/>
  <c r="C7" i="13"/>
  <c r="B7" i="13"/>
  <c r="G7" i="13"/>
  <c r="H7" i="13"/>
  <c r="I7" i="13"/>
  <c r="K7" i="13"/>
  <c r="A8" i="13"/>
  <c r="F8" i="13"/>
  <c r="E8" i="13"/>
  <c r="D8" i="13"/>
  <c r="J8" i="13"/>
  <c r="C8" i="13"/>
  <c r="B8" i="13"/>
  <c r="G8" i="13"/>
  <c r="H8" i="13"/>
  <c r="I8" i="13"/>
  <c r="K8" i="13"/>
  <c r="A9" i="13"/>
  <c r="F9" i="13"/>
  <c r="E9" i="13"/>
  <c r="D9" i="13"/>
  <c r="J9" i="13"/>
  <c r="C9" i="13"/>
  <c r="B9" i="13"/>
  <c r="G9" i="13"/>
  <c r="H9" i="13"/>
  <c r="I9" i="13"/>
  <c r="K9" i="13"/>
  <c r="A10" i="13"/>
  <c r="F10" i="13"/>
  <c r="E10" i="13"/>
  <c r="D10" i="13"/>
  <c r="J10" i="13"/>
  <c r="C10" i="13"/>
  <c r="B10" i="13"/>
  <c r="G10" i="13"/>
  <c r="H10" i="13"/>
  <c r="I10" i="13"/>
  <c r="K10" i="13"/>
  <c r="A11" i="13"/>
  <c r="F11" i="13"/>
  <c r="E11" i="13"/>
  <c r="D11" i="13"/>
  <c r="J11" i="13"/>
  <c r="C11" i="13"/>
  <c r="B11" i="13"/>
  <c r="G11" i="13"/>
  <c r="H11" i="13"/>
  <c r="I11" i="13"/>
  <c r="K11" i="13"/>
  <c r="A12" i="13"/>
  <c r="F12" i="13"/>
  <c r="E12" i="13"/>
  <c r="D12" i="13"/>
  <c r="J12" i="13"/>
  <c r="C12" i="13"/>
  <c r="B12" i="13"/>
  <c r="G12" i="13"/>
  <c r="H12" i="13"/>
  <c r="I12" i="13"/>
  <c r="K12" i="13"/>
  <c r="A13" i="13"/>
  <c r="F13" i="13"/>
  <c r="E13" i="13"/>
  <c r="D13" i="13"/>
  <c r="J13" i="13"/>
  <c r="C13" i="13"/>
  <c r="B13" i="13"/>
  <c r="G13" i="13"/>
  <c r="H13" i="13"/>
  <c r="I13" i="13"/>
  <c r="K13" i="13"/>
  <c r="A14" i="13"/>
  <c r="F14" i="13"/>
  <c r="E14" i="13"/>
  <c r="D14" i="13"/>
  <c r="J14" i="13"/>
  <c r="C14" i="13"/>
  <c r="B14" i="13"/>
  <c r="G14" i="13"/>
  <c r="H14" i="13"/>
  <c r="I14" i="13"/>
  <c r="K14" i="13"/>
  <c r="A15" i="13"/>
  <c r="F15" i="13"/>
  <c r="E15" i="13"/>
  <c r="D15" i="13"/>
  <c r="J15" i="13"/>
  <c r="C15" i="13"/>
  <c r="B15" i="13"/>
  <c r="G15" i="13"/>
  <c r="H15" i="13"/>
  <c r="I15" i="13"/>
  <c r="K15" i="13"/>
  <c r="A16" i="13"/>
  <c r="F16" i="13"/>
  <c r="E16" i="13"/>
  <c r="D16" i="13"/>
  <c r="J16" i="13"/>
  <c r="C16" i="13"/>
  <c r="B16" i="13"/>
  <c r="G16" i="13"/>
  <c r="H16" i="13"/>
  <c r="I16" i="13"/>
  <c r="K16" i="13"/>
  <c r="A17" i="13"/>
  <c r="F17" i="13"/>
  <c r="E17" i="13"/>
  <c r="D17" i="13"/>
  <c r="J17" i="13"/>
  <c r="C17" i="13"/>
  <c r="B17" i="13"/>
  <c r="G17" i="13"/>
  <c r="H17" i="13"/>
  <c r="I17" i="13"/>
  <c r="K17" i="13"/>
  <c r="A18" i="13"/>
  <c r="F18" i="13"/>
  <c r="E18" i="13"/>
  <c r="D18" i="13"/>
  <c r="J18" i="13"/>
  <c r="C18" i="13"/>
  <c r="B18" i="13"/>
  <c r="G18" i="13"/>
  <c r="H18" i="13"/>
  <c r="I18" i="13"/>
  <c r="K18" i="13"/>
  <c r="A19" i="13"/>
  <c r="F19" i="13"/>
  <c r="E19" i="13"/>
  <c r="D19" i="13"/>
  <c r="J19" i="13"/>
  <c r="C19" i="13"/>
  <c r="B19" i="13"/>
  <c r="G19" i="13"/>
  <c r="H19" i="13"/>
  <c r="I19" i="13"/>
  <c r="K19" i="13"/>
  <c r="A20" i="13"/>
  <c r="F20" i="13"/>
  <c r="E20" i="13"/>
  <c r="D20" i="13"/>
  <c r="J20" i="13"/>
  <c r="C20" i="13"/>
  <c r="B20" i="13"/>
  <c r="G20" i="13"/>
  <c r="H20" i="13"/>
  <c r="I20" i="13"/>
  <c r="K20" i="13"/>
  <c r="A21" i="13"/>
  <c r="F21" i="13"/>
  <c r="E21" i="13"/>
  <c r="D21" i="13"/>
  <c r="J21" i="13"/>
  <c r="C21" i="13"/>
  <c r="B21" i="13"/>
  <c r="G21" i="13"/>
  <c r="H21" i="13"/>
  <c r="I21" i="13"/>
  <c r="K21" i="13"/>
  <c r="A22" i="13"/>
  <c r="F22" i="13"/>
  <c r="E22" i="13"/>
  <c r="D22" i="13"/>
  <c r="J22" i="13"/>
  <c r="C22" i="13"/>
  <c r="B22" i="13"/>
  <c r="G22" i="13"/>
  <c r="H22" i="13"/>
  <c r="I22" i="13"/>
  <c r="K22" i="13"/>
  <c r="A23" i="13"/>
  <c r="F23" i="13"/>
  <c r="E23" i="13"/>
  <c r="D23" i="13"/>
  <c r="J23" i="13"/>
  <c r="C23" i="13"/>
  <c r="B23" i="13"/>
  <c r="G23" i="13"/>
  <c r="H23" i="13"/>
  <c r="I23" i="13"/>
  <c r="K23" i="13"/>
  <c r="A1" i="12"/>
  <c r="H1" i="12"/>
  <c r="G1" i="12"/>
  <c r="F1" i="12"/>
  <c r="L1" i="12"/>
  <c r="E1" i="12"/>
  <c r="C1" i="12"/>
  <c r="D1" i="12"/>
  <c r="B1" i="12"/>
  <c r="I1" i="12"/>
  <c r="J1" i="12"/>
  <c r="K1" i="12"/>
  <c r="A2" i="12"/>
  <c r="H2" i="12"/>
  <c r="G2" i="12"/>
  <c r="F2" i="12"/>
  <c r="L2" i="12"/>
  <c r="E2" i="12"/>
  <c r="C2" i="12"/>
  <c r="D2" i="12"/>
  <c r="B2" i="12"/>
  <c r="I2" i="12"/>
  <c r="J2" i="12"/>
  <c r="K2" i="12"/>
  <c r="A3" i="12"/>
  <c r="H3" i="12"/>
  <c r="G3" i="12"/>
  <c r="F3" i="12"/>
  <c r="L3" i="12"/>
  <c r="E3" i="12"/>
  <c r="C3" i="12"/>
  <c r="D3" i="12"/>
  <c r="B3" i="12"/>
  <c r="I3" i="12"/>
  <c r="J3" i="12"/>
  <c r="K3" i="12"/>
  <c r="A4" i="12"/>
  <c r="H4" i="12"/>
  <c r="G4" i="12"/>
  <c r="F4" i="12"/>
  <c r="L4" i="12"/>
  <c r="E4" i="12"/>
  <c r="C4" i="12"/>
  <c r="D4" i="12"/>
  <c r="B4" i="12"/>
  <c r="I4" i="12"/>
  <c r="J4" i="12"/>
  <c r="K4" i="12"/>
  <c r="A5" i="12"/>
  <c r="H5" i="12"/>
  <c r="G5" i="12"/>
  <c r="F5" i="12"/>
  <c r="L5" i="12"/>
  <c r="E5" i="12"/>
  <c r="C5" i="12"/>
  <c r="D5" i="12"/>
  <c r="B5" i="12"/>
  <c r="I5" i="12"/>
  <c r="J5" i="12"/>
  <c r="K5" i="12"/>
  <c r="A6" i="12"/>
  <c r="H6" i="12"/>
  <c r="G6" i="12"/>
  <c r="F6" i="12"/>
  <c r="L6" i="12"/>
  <c r="E6" i="12"/>
  <c r="C6" i="12"/>
  <c r="D6" i="12"/>
  <c r="B6" i="12"/>
  <c r="I6" i="12"/>
  <c r="J6" i="12"/>
  <c r="K6" i="12"/>
  <c r="A7" i="12"/>
  <c r="H7" i="12"/>
  <c r="G7" i="12"/>
  <c r="F7" i="12"/>
  <c r="L7" i="12"/>
  <c r="E7" i="12"/>
  <c r="C7" i="12"/>
  <c r="D7" i="12"/>
  <c r="B7" i="12"/>
  <c r="I7" i="12"/>
  <c r="J7" i="12"/>
  <c r="K7" i="12"/>
  <c r="A8" i="12"/>
  <c r="H8" i="12"/>
  <c r="G8" i="12"/>
  <c r="F8" i="12"/>
  <c r="L8" i="12"/>
  <c r="E8" i="12"/>
  <c r="C8" i="12"/>
  <c r="D8" i="12"/>
  <c r="B8" i="12"/>
  <c r="I8" i="12"/>
  <c r="J8" i="12"/>
  <c r="K8" i="12"/>
  <c r="A9" i="12"/>
  <c r="H9" i="12"/>
  <c r="G9" i="12"/>
  <c r="F9" i="12"/>
  <c r="L9" i="12"/>
  <c r="E9" i="12"/>
  <c r="C9" i="12"/>
  <c r="D9" i="12"/>
  <c r="B9" i="12"/>
  <c r="I9" i="12"/>
  <c r="J9" i="12"/>
  <c r="K9" i="12"/>
  <c r="A10" i="12"/>
  <c r="H10" i="12"/>
  <c r="G10" i="12"/>
  <c r="F10" i="12"/>
  <c r="L10" i="12"/>
  <c r="E10" i="12"/>
  <c r="C10" i="12"/>
  <c r="D10" i="12"/>
  <c r="B10" i="12"/>
  <c r="I10" i="12"/>
  <c r="J10" i="12"/>
  <c r="K10" i="12"/>
  <c r="A11" i="12"/>
  <c r="H11" i="12"/>
  <c r="G11" i="12"/>
  <c r="F11" i="12"/>
  <c r="L11" i="12"/>
  <c r="E11" i="12"/>
  <c r="C11" i="12"/>
  <c r="D11" i="12"/>
  <c r="B11" i="12"/>
  <c r="I11" i="12"/>
  <c r="J11" i="12"/>
  <c r="K11" i="12"/>
  <c r="A12" i="12"/>
  <c r="H12" i="12"/>
  <c r="G12" i="12"/>
  <c r="F12" i="12"/>
  <c r="L12" i="12"/>
  <c r="E12" i="12"/>
  <c r="C12" i="12"/>
  <c r="D12" i="12"/>
  <c r="B12" i="12"/>
  <c r="I12" i="12"/>
  <c r="J12" i="12"/>
  <c r="K12" i="12"/>
  <c r="A13" i="12"/>
  <c r="H13" i="12"/>
  <c r="G13" i="12"/>
  <c r="F13" i="12"/>
  <c r="L13" i="12"/>
  <c r="E13" i="12"/>
  <c r="C13" i="12"/>
  <c r="D13" i="12"/>
  <c r="B13" i="12"/>
  <c r="I13" i="12"/>
  <c r="J13" i="12"/>
  <c r="K13" i="12"/>
  <c r="A14" i="12"/>
  <c r="H14" i="12"/>
  <c r="G14" i="12"/>
  <c r="F14" i="12"/>
  <c r="L14" i="12"/>
  <c r="E14" i="12"/>
  <c r="C14" i="12"/>
  <c r="D14" i="12"/>
  <c r="B14" i="12"/>
  <c r="I14" i="12"/>
  <c r="J14" i="12"/>
  <c r="K14" i="12"/>
  <c r="A15" i="12"/>
  <c r="H15" i="12"/>
  <c r="G15" i="12"/>
  <c r="F15" i="12"/>
  <c r="L15" i="12"/>
  <c r="E15" i="12"/>
  <c r="C15" i="12"/>
  <c r="D15" i="12"/>
  <c r="B15" i="12"/>
  <c r="I15" i="12"/>
  <c r="J15" i="12"/>
  <c r="K15" i="12"/>
  <c r="A16" i="12"/>
  <c r="H16" i="12"/>
  <c r="G16" i="12"/>
  <c r="F16" i="12"/>
  <c r="L16" i="12"/>
  <c r="E16" i="12"/>
  <c r="C16" i="12"/>
  <c r="D16" i="12"/>
  <c r="B16" i="12"/>
  <c r="I16" i="12"/>
  <c r="J16" i="12"/>
  <c r="K16" i="12"/>
  <c r="A17" i="12"/>
  <c r="H17" i="12"/>
  <c r="G17" i="12"/>
  <c r="F17" i="12"/>
  <c r="L17" i="12"/>
  <c r="E17" i="12"/>
  <c r="C17" i="12"/>
  <c r="D17" i="12"/>
  <c r="B17" i="12"/>
  <c r="I17" i="12"/>
  <c r="J17" i="12"/>
  <c r="K17" i="12"/>
  <c r="A18" i="12"/>
  <c r="H18" i="12"/>
  <c r="G18" i="12"/>
  <c r="F18" i="12"/>
  <c r="L18" i="12"/>
  <c r="E18" i="12"/>
  <c r="C18" i="12"/>
  <c r="D18" i="12"/>
  <c r="B18" i="12"/>
  <c r="I18" i="12"/>
  <c r="J18" i="12"/>
  <c r="K18" i="12"/>
  <c r="A19" i="12"/>
  <c r="H19" i="12"/>
  <c r="G19" i="12"/>
  <c r="F19" i="12"/>
  <c r="L19" i="12"/>
  <c r="E19" i="12"/>
  <c r="C19" i="12"/>
  <c r="D19" i="12"/>
  <c r="B19" i="12"/>
  <c r="I19" i="12"/>
  <c r="J19" i="12"/>
  <c r="K19" i="12"/>
  <c r="A20" i="12"/>
  <c r="H20" i="12"/>
  <c r="G20" i="12"/>
  <c r="F20" i="12"/>
  <c r="L20" i="12"/>
  <c r="E20" i="12"/>
  <c r="C20" i="12"/>
  <c r="D20" i="12"/>
  <c r="B20" i="12"/>
  <c r="I20" i="12"/>
  <c r="J20" i="12"/>
  <c r="K20" i="12"/>
  <c r="A21" i="12"/>
  <c r="H21" i="12"/>
  <c r="G21" i="12"/>
  <c r="F21" i="12"/>
  <c r="L21" i="12"/>
  <c r="E21" i="12"/>
  <c r="C21" i="12"/>
  <c r="D21" i="12"/>
  <c r="B21" i="12"/>
  <c r="I21" i="12"/>
  <c r="J21" i="12"/>
  <c r="K21" i="12"/>
  <c r="A22" i="12"/>
  <c r="H22" i="12"/>
  <c r="G22" i="12"/>
  <c r="F22" i="12"/>
  <c r="L22" i="12"/>
  <c r="E22" i="12"/>
  <c r="C22" i="12"/>
  <c r="D22" i="12"/>
  <c r="B22" i="12"/>
  <c r="I22" i="12"/>
  <c r="J22" i="12"/>
  <c r="K22" i="12"/>
  <c r="A23" i="12"/>
  <c r="H23" i="12"/>
  <c r="G23" i="12"/>
  <c r="F23" i="12"/>
  <c r="L23" i="12"/>
  <c r="E23" i="12"/>
  <c r="C23" i="12"/>
  <c r="D23" i="12"/>
  <c r="B23" i="12"/>
  <c r="I23" i="12"/>
  <c r="J23" i="12"/>
  <c r="K23" i="12"/>
  <c r="A24" i="12"/>
  <c r="H24" i="12"/>
  <c r="G24" i="12"/>
  <c r="F24" i="12"/>
  <c r="L24" i="12"/>
  <c r="E24" i="12"/>
  <c r="C24" i="12"/>
  <c r="D24" i="12"/>
  <c r="B24" i="12"/>
  <c r="I24" i="12"/>
  <c r="J24" i="12"/>
  <c r="K24" i="12"/>
  <c r="A25" i="12"/>
  <c r="H25" i="12"/>
  <c r="G25" i="12"/>
  <c r="F25" i="12"/>
  <c r="L25" i="12"/>
  <c r="E25" i="12"/>
  <c r="C25" i="12"/>
  <c r="D25" i="12"/>
  <c r="B25" i="12"/>
  <c r="I25" i="12"/>
  <c r="J25" i="12"/>
  <c r="K25" i="12"/>
  <c r="A26" i="12"/>
  <c r="H26" i="12"/>
  <c r="G26" i="12"/>
  <c r="F26" i="12"/>
  <c r="L26" i="12"/>
  <c r="E26" i="12"/>
  <c r="C26" i="12"/>
  <c r="D26" i="12"/>
  <c r="B26" i="12"/>
  <c r="I26" i="12"/>
  <c r="J26" i="12"/>
  <c r="K26" i="12"/>
  <c r="A27" i="12"/>
  <c r="H27" i="12"/>
  <c r="G27" i="12"/>
  <c r="F27" i="12"/>
  <c r="L27" i="12"/>
  <c r="E27" i="12"/>
  <c r="C27" i="12"/>
  <c r="D27" i="12"/>
  <c r="B27" i="12"/>
  <c r="I27" i="12"/>
  <c r="J27" i="12"/>
  <c r="K27" i="12"/>
  <c r="A28" i="12"/>
  <c r="H28" i="12"/>
  <c r="G28" i="12"/>
  <c r="F28" i="12"/>
  <c r="L28" i="12"/>
  <c r="E28" i="12"/>
  <c r="C28" i="12"/>
  <c r="D28" i="12"/>
  <c r="B28" i="12"/>
  <c r="I28" i="12"/>
  <c r="J28" i="12"/>
  <c r="K28" i="12"/>
  <c r="A29" i="12"/>
  <c r="H29" i="12"/>
  <c r="G29" i="12"/>
  <c r="F29" i="12"/>
  <c r="L29" i="12"/>
  <c r="E29" i="12"/>
  <c r="C29" i="12"/>
  <c r="D29" i="12"/>
  <c r="B29" i="12"/>
  <c r="I29" i="12"/>
  <c r="J29" i="12"/>
  <c r="K29" i="12"/>
  <c r="A30" i="12"/>
  <c r="H30" i="12"/>
  <c r="G30" i="12"/>
  <c r="F30" i="12"/>
  <c r="L30" i="12"/>
  <c r="E30" i="12"/>
  <c r="C30" i="12"/>
  <c r="D30" i="12"/>
  <c r="B30" i="12"/>
  <c r="I30" i="12"/>
  <c r="J30" i="12"/>
  <c r="K30" i="12"/>
  <c r="A31" i="12"/>
  <c r="H31" i="12"/>
  <c r="G31" i="12"/>
  <c r="F31" i="12"/>
  <c r="L31" i="12"/>
  <c r="E31" i="12"/>
  <c r="C31" i="12"/>
  <c r="D31" i="12"/>
  <c r="B31" i="12"/>
  <c r="I31" i="12"/>
  <c r="J31" i="12"/>
  <c r="K31" i="12"/>
  <c r="A32" i="12"/>
  <c r="H32" i="12"/>
  <c r="G32" i="12"/>
  <c r="F32" i="12"/>
  <c r="L32" i="12"/>
  <c r="E32" i="12"/>
  <c r="C32" i="12"/>
  <c r="D32" i="12"/>
  <c r="B32" i="12"/>
  <c r="I32" i="12"/>
  <c r="J32" i="12"/>
  <c r="K32" i="12"/>
  <c r="A33" i="12"/>
  <c r="H33" i="12"/>
  <c r="G33" i="12"/>
  <c r="F33" i="12"/>
  <c r="L33" i="12"/>
  <c r="E33" i="12"/>
  <c r="C33" i="12"/>
  <c r="D33" i="12"/>
  <c r="B33" i="12"/>
  <c r="I33" i="12"/>
  <c r="J33" i="12"/>
  <c r="K33" i="12"/>
  <c r="A34" i="12"/>
  <c r="H34" i="12"/>
  <c r="G34" i="12"/>
  <c r="F34" i="12"/>
  <c r="L34" i="12"/>
  <c r="E34" i="12"/>
  <c r="C34" i="12"/>
  <c r="D34" i="12"/>
  <c r="B34" i="12"/>
  <c r="I34" i="12"/>
  <c r="J34" i="12"/>
  <c r="K34" i="12"/>
  <c r="A35" i="12"/>
  <c r="H35" i="12"/>
  <c r="G35" i="12"/>
  <c r="F35" i="12"/>
  <c r="L35" i="12"/>
  <c r="E35" i="12"/>
  <c r="C35" i="12"/>
  <c r="D35" i="12"/>
  <c r="B35" i="12"/>
  <c r="I35" i="12"/>
  <c r="J35" i="12"/>
  <c r="K35" i="12"/>
  <c r="A36" i="12"/>
  <c r="H36" i="12"/>
  <c r="G36" i="12"/>
  <c r="F36" i="12"/>
  <c r="L36" i="12"/>
  <c r="E36" i="12"/>
  <c r="C36" i="12"/>
  <c r="D36" i="12"/>
  <c r="B36" i="12"/>
  <c r="I36" i="12"/>
  <c r="J36" i="12"/>
  <c r="K36" i="12"/>
  <c r="A37" i="12"/>
  <c r="H37" i="12"/>
  <c r="G37" i="12"/>
  <c r="F37" i="12"/>
  <c r="L37" i="12"/>
  <c r="E37" i="12"/>
  <c r="C37" i="12"/>
  <c r="D37" i="12"/>
  <c r="B37" i="12"/>
  <c r="I37" i="12"/>
  <c r="J37" i="12"/>
  <c r="K37" i="12"/>
  <c r="A38" i="12"/>
  <c r="H38" i="12"/>
  <c r="G38" i="12"/>
  <c r="F38" i="12"/>
  <c r="L38" i="12"/>
  <c r="E38" i="12"/>
  <c r="C38" i="12"/>
  <c r="D38" i="12"/>
  <c r="B38" i="12"/>
  <c r="I38" i="12"/>
  <c r="J38" i="12"/>
  <c r="K38" i="12"/>
  <c r="A39" i="12"/>
  <c r="H39" i="12"/>
  <c r="G39" i="12"/>
  <c r="F39" i="12"/>
  <c r="L39" i="12"/>
  <c r="E39" i="12"/>
  <c r="C39" i="12"/>
  <c r="D39" i="12"/>
  <c r="B39" i="12"/>
  <c r="I39" i="12"/>
  <c r="J39" i="12"/>
  <c r="K39" i="12"/>
  <c r="A40" i="12"/>
  <c r="H40" i="12"/>
  <c r="G40" i="12"/>
  <c r="F40" i="12"/>
  <c r="L40" i="12"/>
  <c r="E40" i="12"/>
  <c r="C40" i="12"/>
  <c r="D40" i="12"/>
  <c r="B40" i="12"/>
  <c r="I40" i="12"/>
  <c r="J40" i="12"/>
  <c r="K40" i="12"/>
  <c r="A41" i="12"/>
  <c r="H41" i="12"/>
  <c r="G41" i="12"/>
  <c r="F41" i="12"/>
  <c r="L41" i="12"/>
  <c r="E41" i="12"/>
  <c r="C41" i="12"/>
  <c r="D41" i="12"/>
  <c r="B41" i="12"/>
  <c r="I41" i="12"/>
  <c r="J41" i="12"/>
  <c r="K41" i="12"/>
  <c r="A42" i="12"/>
  <c r="H42" i="12"/>
  <c r="G42" i="12"/>
  <c r="F42" i="12"/>
  <c r="L42" i="12"/>
  <c r="E42" i="12"/>
  <c r="C42" i="12"/>
  <c r="D42" i="12"/>
  <c r="B42" i="12"/>
  <c r="I42" i="12"/>
  <c r="J42" i="12"/>
  <c r="K42" i="12"/>
  <c r="A43" i="12"/>
  <c r="H43" i="12"/>
  <c r="G43" i="12"/>
  <c r="F43" i="12"/>
  <c r="L43" i="12"/>
  <c r="E43" i="12"/>
  <c r="C43" i="12"/>
  <c r="D43" i="12"/>
  <c r="B43" i="12"/>
  <c r="I43" i="12"/>
  <c r="J43" i="12"/>
  <c r="K43" i="12"/>
  <c r="A44" i="12"/>
  <c r="H44" i="12"/>
  <c r="G44" i="12"/>
  <c r="F44" i="12"/>
  <c r="L44" i="12"/>
  <c r="E44" i="12"/>
  <c r="C44" i="12"/>
  <c r="D44" i="12"/>
  <c r="B44" i="12"/>
  <c r="I44" i="12"/>
  <c r="J44" i="12"/>
  <c r="K44" i="12"/>
  <c r="A45" i="12"/>
  <c r="H45" i="12"/>
  <c r="G45" i="12"/>
  <c r="F45" i="12"/>
  <c r="L45" i="12"/>
  <c r="E45" i="12"/>
  <c r="C45" i="12"/>
  <c r="D45" i="12"/>
  <c r="B45" i="12"/>
  <c r="I45" i="12"/>
  <c r="J45" i="12"/>
  <c r="K45" i="12"/>
  <c r="A46" i="12"/>
  <c r="H46" i="12"/>
  <c r="G46" i="12"/>
  <c r="F46" i="12"/>
  <c r="L46" i="12"/>
  <c r="E46" i="12"/>
  <c r="C46" i="12"/>
  <c r="D46" i="12"/>
  <c r="B46" i="12"/>
  <c r="I46" i="12"/>
  <c r="J46" i="12"/>
  <c r="K46" i="12"/>
  <c r="A47" i="12"/>
  <c r="H47" i="12"/>
  <c r="G47" i="12"/>
  <c r="F47" i="12"/>
  <c r="L47" i="12"/>
  <c r="E47" i="12"/>
  <c r="C47" i="12"/>
  <c r="D47" i="12"/>
  <c r="B47" i="12"/>
  <c r="I47" i="12"/>
  <c r="J47" i="12"/>
  <c r="K47" i="12"/>
  <c r="A48" i="12"/>
  <c r="H48" i="12"/>
  <c r="G48" i="12"/>
  <c r="F48" i="12"/>
  <c r="L48" i="12"/>
  <c r="E48" i="12"/>
  <c r="C48" i="12"/>
  <c r="D48" i="12"/>
  <c r="B48" i="12"/>
  <c r="I48" i="12"/>
  <c r="J48" i="12"/>
  <c r="K48" i="12"/>
  <c r="A49" i="12"/>
  <c r="H49" i="12"/>
  <c r="G49" i="12"/>
  <c r="F49" i="12"/>
  <c r="L49" i="12"/>
  <c r="E49" i="12"/>
  <c r="C49" i="12"/>
  <c r="D49" i="12"/>
  <c r="B49" i="12"/>
  <c r="I49" i="12"/>
  <c r="J49" i="12"/>
  <c r="K49" i="12"/>
  <c r="A50" i="12"/>
  <c r="H50" i="12"/>
  <c r="G50" i="12"/>
  <c r="F50" i="12"/>
  <c r="L50" i="12"/>
  <c r="E50" i="12"/>
  <c r="C50" i="12"/>
  <c r="D50" i="12"/>
  <c r="B50" i="12"/>
  <c r="I50" i="12"/>
  <c r="J50" i="12"/>
  <c r="K50" i="12"/>
  <c r="A51" i="12"/>
  <c r="H51" i="12"/>
  <c r="G51" i="12"/>
  <c r="F51" i="12"/>
  <c r="L51" i="12"/>
  <c r="E51" i="12"/>
  <c r="C51" i="12"/>
  <c r="D51" i="12"/>
  <c r="B51" i="12"/>
  <c r="I51" i="12"/>
  <c r="J51" i="12"/>
  <c r="K51" i="12"/>
  <c r="A52" i="12"/>
  <c r="H52" i="12"/>
  <c r="G52" i="12"/>
  <c r="F52" i="12"/>
  <c r="L52" i="12"/>
  <c r="E52" i="12"/>
  <c r="C52" i="12"/>
  <c r="D52" i="12"/>
  <c r="B52" i="12"/>
  <c r="I52" i="12"/>
  <c r="J52" i="12"/>
  <c r="K52" i="12"/>
  <c r="A53" i="12"/>
  <c r="H53" i="12"/>
  <c r="G53" i="12"/>
  <c r="F53" i="12"/>
  <c r="L53" i="12"/>
  <c r="E53" i="12"/>
  <c r="C53" i="12"/>
  <c r="D53" i="12"/>
  <c r="B53" i="12"/>
  <c r="I53" i="12"/>
  <c r="J53" i="12"/>
  <c r="K53" i="12"/>
  <c r="A54" i="12"/>
  <c r="H54" i="12"/>
  <c r="G54" i="12"/>
  <c r="F54" i="12"/>
  <c r="L54" i="12"/>
  <c r="E54" i="12"/>
  <c r="C54" i="12"/>
  <c r="D54" i="12"/>
  <c r="B54" i="12"/>
  <c r="I54" i="12"/>
  <c r="J54" i="12"/>
  <c r="K54" i="12"/>
  <c r="A55" i="12"/>
  <c r="H55" i="12"/>
  <c r="G55" i="12"/>
  <c r="F55" i="12"/>
  <c r="L55" i="12"/>
  <c r="E55" i="12"/>
  <c r="C55" i="12"/>
  <c r="D55" i="12"/>
  <c r="B55" i="12"/>
  <c r="I55" i="12"/>
  <c r="J55" i="12"/>
  <c r="K55" i="12"/>
  <c r="A56" i="12"/>
  <c r="H56" i="12"/>
  <c r="G56" i="12"/>
  <c r="F56" i="12"/>
  <c r="L56" i="12"/>
  <c r="E56" i="12"/>
  <c r="C56" i="12"/>
  <c r="D56" i="12"/>
  <c r="B56" i="12"/>
  <c r="I56" i="12"/>
  <c r="J56" i="12"/>
  <c r="K56" i="12"/>
  <c r="A57" i="12"/>
  <c r="H57" i="12"/>
  <c r="G57" i="12"/>
  <c r="F57" i="12"/>
  <c r="L57" i="12"/>
  <c r="E57" i="12"/>
  <c r="C57" i="12"/>
  <c r="D57" i="12"/>
  <c r="B57" i="12"/>
  <c r="I57" i="12"/>
  <c r="J57" i="12"/>
  <c r="K57" i="12"/>
  <c r="A58" i="12"/>
  <c r="H58" i="12"/>
  <c r="G58" i="12"/>
  <c r="F58" i="12"/>
  <c r="L58" i="12"/>
  <c r="E58" i="12"/>
  <c r="C58" i="12"/>
  <c r="D58" i="12"/>
  <c r="B58" i="12"/>
  <c r="I58" i="12"/>
  <c r="J58" i="12"/>
  <c r="K58" i="12"/>
  <c r="A59" i="12"/>
  <c r="H59" i="12"/>
  <c r="G59" i="12"/>
  <c r="F59" i="12"/>
  <c r="L59" i="12"/>
  <c r="E59" i="12"/>
  <c r="C59" i="12"/>
  <c r="D59" i="12"/>
  <c r="B59" i="12"/>
  <c r="I59" i="12"/>
  <c r="J59" i="12"/>
  <c r="K59" i="12"/>
  <c r="A60" i="12"/>
  <c r="H60" i="12"/>
  <c r="G60" i="12"/>
  <c r="F60" i="12"/>
  <c r="L60" i="12"/>
  <c r="E60" i="12"/>
  <c r="C60" i="12"/>
  <c r="D60" i="12"/>
  <c r="B60" i="12"/>
  <c r="I60" i="12"/>
  <c r="J60" i="12"/>
  <c r="K60" i="12"/>
  <c r="A61" i="12"/>
  <c r="H61" i="12"/>
  <c r="G61" i="12"/>
  <c r="F61" i="12"/>
  <c r="L61" i="12"/>
  <c r="E61" i="12"/>
  <c r="C61" i="12"/>
  <c r="D61" i="12"/>
  <c r="B61" i="12"/>
  <c r="I61" i="12"/>
  <c r="J61" i="12"/>
  <c r="K61" i="12"/>
  <c r="A62" i="12"/>
  <c r="H62" i="12"/>
  <c r="G62" i="12"/>
  <c r="F62" i="12"/>
  <c r="L62" i="12"/>
  <c r="E62" i="12"/>
  <c r="C62" i="12"/>
  <c r="D62" i="12"/>
  <c r="B62" i="12"/>
  <c r="I62" i="12"/>
  <c r="J62" i="12"/>
  <c r="K62" i="12"/>
  <c r="A63" i="12"/>
  <c r="H63" i="12"/>
  <c r="G63" i="12"/>
  <c r="F63" i="12"/>
  <c r="L63" i="12"/>
  <c r="E63" i="12"/>
  <c r="C63" i="12"/>
  <c r="D63" i="12"/>
  <c r="B63" i="12"/>
  <c r="I63" i="12"/>
  <c r="J63" i="12"/>
  <c r="K63" i="12"/>
  <c r="A64" i="12"/>
  <c r="H64" i="12"/>
  <c r="G64" i="12"/>
  <c r="F64" i="12"/>
  <c r="L64" i="12"/>
  <c r="E64" i="12"/>
  <c r="C64" i="12"/>
  <c r="D64" i="12"/>
  <c r="B64" i="12"/>
  <c r="I64" i="12"/>
  <c r="J64" i="12"/>
  <c r="K64" i="12"/>
  <c r="A65" i="12"/>
  <c r="H65" i="12"/>
  <c r="G65" i="12"/>
  <c r="F65" i="12"/>
  <c r="L65" i="12"/>
  <c r="E65" i="12"/>
  <c r="C65" i="12"/>
  <c r="D65" i="12"/>
  <c r="B65" i="12"/>
  <c r="I65" i="12"/>
  <c r="J65" i="12"/>
  <c r="K65" i="12"/>
  <c r="A66" i="12"/>
  <c r="H66" i="12"/>
  <c r="G66" i="12"/>
  <c r="F66" i="12"/>
  <c r="L66" i="12"/>
  <c r="E66" i="12"/>
  <c r="C66" i="12"/>
  <c r="D66" i="12"/>
  <c r="B66" i="12"/>
  <c r="I66" i="12"/>
  <c r="J66" i="12"/>
  <c r="K66" i="12"/>
  <c r="A67" i="12"/>
  <c r="H67" i="12"/>
  <c r="G67" i="12"/>
  <c r="F67" i="12"/>
  <c r="L67" i="12"/>
  <c r="E67" i="12"/>
  <c r="C67" i="12"/>
  <c r="D67" i="12"/>
  <c r="B67" i="12"/>
  <c r="I67" i="12"/>
  <c r="J67" i="12"/>
  <c r="K67" i="12"/>
  <c r="A68" i="12"/>
  <c r="H68" i="12"/>
  <c r="G68" i="12"/>
  <c r="F68" i="12"/>
  <c r="L68" i="12"/>
  <c r="E68" i="12"/>
  <c r="C68" i="12"/>
  <c r="D68" i="12"/>
  <c r="B68" i="12"/>
  <c r="I68" i="12"/>
  <c r="J68" i="12"/>
  <c r="K68" i="12"/>
  <c r="A69" i="12"/>
  <c r="H69" i="12"/>
  <c r="G69" i="12"/>
  <c r="F69" i="12"/>
  <c r="L69" i="12"/>
  <c r="E69" i="12"/>
  <c r="C69" i="12"/>
  <c r="D69" i="12"/>
  <c r="B69" i="12"/>
  <c r="I69" i="12"/>
  <c r="J69" i="12"/>
  <c r="K69" i="12"/>
  <c r="A70" i="12"/>
  <c r="H70" i="12"/>
  <c r="G70" i="12"/>
  <c r="F70" i="12"/>
  <c r="L70" i="12"/>
  <c r="E70" i="12"/>
  <c r="C70" i="12"/>
  <c r="D70" i="12"/>
  <c r="B70" i="12"/>
  <c r="I70" i="12"/>
  <c r="J70" i="12"/>
  <c r="K70" i="12"/>
  <c r="A71" i="12"/>
  <c r="H71" i="12"/>
  <c r="G71" i="12"/>
  <c r="F71" i="12"/>
  <c r="L71" i="12"/>
  <c r="E71" i="12"/>
  <c r="C71" i="12"/>
  <c r="D71" i="12"/>
  <c r="B71" i="12"/>
  <c r="I71" i="12"/>
  <c r="J71" i="12"/>
  <c r="K71" i="12"/>
  <c r="A72" i="12"/>
  <c r="H72" i="12"/>
  <c r="G72" i="12"/>
  <c r="F72" i="12"/>
  <c r="L72" i="12"/>
  <c r="E72" i="12"/>
  <c r="C72" i="12"/>
  <c r="D72" i="12"/>
  <c r="B72" i="12"/>
  <c r="I72" i="12"/>
  <c r="J72" i="12"/>
  <c r="K72" i="12"/>
  <c r="A73" i="12"/>
  <c r="H73" i="12"/>
  <c r="G73" i="12"/>
  <c r="F73" i="12"/>
  <c r="L73" i="12"/>
  <c r="E73" i="12"/>
  <c r="C73" i="12"/>
  <c r="D73" i="12"/>
  <c r="B73" i="12"/>
  <c r="I73" i="12"/>
  <c r="J73" i="12"/>
  <c r="K73" i="12"/>
  <c r="A74" i="12"/>
  <c r="H74" i="12"/>
  <c r="G74" i="12"/>
  <c r="F74" i="12"/>
  <c r="L74" i="12"/>
  <c r="E74" i="12"/>
  <c r="C74" i="12"/>
  <c r="D74" i="12"/>
  <c r="B74" i="12"/>
  <c r="I74" i="12"/>
  <c r="J74" i="12"/>
  <c r="K74" i="12"/>
  <c r="A75" i="12"/>
  <c r="H75" i="12"/>
  <c r="G75" i="12"/>
  <c r="F75" i="12"/>
  <c r="L75" i="12"/>
  <c r="E75" i="12"/>
  <c r="C75" i="12"/>
  <c r="D75" i="12"/>
  <c r="B75" i="12"/>
  <c r="I75" i="12"/>
  <c r="J75" i="12"/>
  <c r="K75" i="12"/>
  <c r="A76" i="12"/>
  <c r="H76" i="12"/>
  <c r="G76" i="12"/>
  <c r="F76" i="12"/>
  <c r="L76" i="12"/>
  <c r="E76" i="12"/>
  <c r="C76" i="12"/>
  <c r="D76" i="12"/>
  <c r="B76" i="12"/>
  <c r="I76" i="12"/>
  <c r="J76" i="12"/>
  <c r="K76" i="12"/>
  <c r="A77" i="12"/>
  <c r="H77" i="12"/>
  <c r="G77" i="12"/>
  <c r="F77" i="12"/>
  <c r="L77" i="12"/>
  <c r="E77" i="12"/>
  <c r="C77" i="12"/>
  <c r="D77" i="12"/>
  <c r="B77" i="12"/>
  <c r="I77" i="12"/>
  <c r="J77" i="12"/>
  <c r="K77" i="12"/>
  <c r="A78" i="12"/>
  <c r="H78" i="12"/>
  <c r="G78" i="12"/>
  <c r="F78" i="12"/>
  <c r="L78" i="12"/>
  <c r="E78" i="12"/>
  <c r="C78" i="12"/>
  <c r="D78" i="12"/>
  <c r="B78" i="12"/>
  <c r="I78" i="12"/>
  <c r="J78" i="12"/>
  <c r="K78" i="12"/>
  <c r="A79" i="12"/>
  <c r="H79" i="12"/>
  <c r="G79" i="12"/>
  <c r="F79" i="12"/>
  <c r="L79" i="12"/>
  <c r="E79" i="12"/>
  <c r="C79" i="12"/>
  <c r="D79" i="12"/>
  <c r="B79" i="12"/>
  <c r="I79" i="12"/>
  <c r="J79" i="12"/>
  <c r="K79" i="12"/>
  <c r="A80" i="12"/>
  <c r="H80" i="12"/>
  <c r="G80" i="12"/>
  <c r="F80" i="12"/>
  <c r="L80" i="12"/>
  <c r="E80" i="12"/>
  <c r="C80" i="12"/>
  <c r="D80" i="12"/>
  <c r="B80" i="12"/>
  <c r="I80" i="12"/>
  <c r="J80" i="12"/>
  <c r="K80" i="12"/>
  <c r="A81" i="12"/>
  <c r="H81" i="12"/>
  <c r="G81" i="12"/>
  <c r="F81" i="12"/>
  <c r="L81" i="12"/>
  <c r="E81" i="12"/>
  <c r="C81" i="12"/>
  <c r="D81" i="12"/>
  <c r="B81" i="12"/>
  <c r="I81" i="12"/>
  <c r="J81" i="12"/>
  <c r="K81" i="12"/>
  <c r="A82" i="12"/>
  <c r="H82" i="12"/>
  <c r="G82" i="12"/>
  <c r="F82" i="12"/>
  <c r="L82" i="12"/>
  <c r="E82" i="12"/>
  <c r="C82" i="12"/>
  <c r="D82" i="12"/>
  <c r="B82" i="12"/>
  <c r="I82" i="12"/>
  <c r="J82" i="12"/>
  <c r="K82" i="12"/>
  <c r="A83" i="12"/>
  <c r="H83" i="12"/>
  <c r="G83" i="12"/>
  <c r="F83" i="12"/>
  <c r="L83" i="12"/>
  <c r="E83" i="12"/>
  <c r="C83" i="12"/>
  <c r="D83" i="12"/>
  <c r="B83" i="12"/>
  <c r="I83" i="12"/>
  <c r="J83" i="12"/>
  <c r="K83" i="12"/>
  <c r="A84" i="12"/>
  <c r="H84" i="12"/>
  <c r="G84" i="12"/>
  <c r="F84" i="12"/>
  <c r="L84" i="12"/>
  <c r="E84" i="12"/>
  <c r="C84" i="12"/>
  <c r="D84" i="12"/>
  <c r="B84" i="12"/>
  <c r="I84" i="12"/>
  <c r="J84" i="12"/>
  <c r="K84" i="12"/>
  <c r="A85" i="12"/>
  <c r="H85" i="12"/>
  <c r="G85" i="12"/>
  <c r="F85" i="12"/>
  <c r="L85" i="12"/>
  <c r="E85" i="12"/>
  <c r="C85" i="12"/>
  <c r="D85" i="12"/>
  <c r="B85" i="12"/>
  <c r="I85" i="12"/>
  <c r="J85" i="12"/>
  <c r="K85" i="12"/>
  <c r="O24" i="3"/>
  <c r="N60" i="3"/>
  <c r="N59" i="3"/>
  <c r="N58" i="3"/>
  <c r="N57" i="3"/>
  <c r="N56" i="3"/>
  <c r="N55" i="3"/>
  <c r="N54" i="3"/>
  <c r="N53" i="3"/>
  <c r="N52" i="3"/>
  <c r="E98" i="6" a="1"/>
  <c r="E98" i="6" s="1"/>
  <c r="G98" i="6" a="1"/>
  <c r="G98" i="6" s="1"/>
  <c r="I98" i="6" a="1"/>
  <c r="I98" i="6" s="1"/>
  <c r="H98" i="6" a="1"/>
  <c r="H98" i="6" s="1"/>
  <c r="E97" i="6" a="1"/>
  <c r="E97" i="6" s="1"/>
  <c r="G97" i="6" a="1"/>
  <c r="G97" i="6" s="1"/>
  <c r="I97" i="6" a="1"/>
  <c r="I97" i="6" s="1"/>
  <c r="H97" i="6" a="1"/>
  <c r="H97" i="6" s="1"/>
  <c r="E96" i="6" a="1"/>
  <c r="E96" i="6" s="1"/>
  <c r="G96" i="6" a="1"/>
  <c r="G96" i="6" s="1"/>
  <c r="I96" i="6" a="1"/>
  <c r="I96" i="6" s="1"/>
  <c r="H96" i="6" a="1"/>
  <c r="H96" i="6" s="1"/>
  <c r="E95" i="6" a="1"/>
  <c r="E95" i="6" s="1"/>
  <c r="G95" i="6" a="1"/>
  <c r="G95" i="6" s="1"/>
  <c r="I95" i="6" a="1"/>
  <c r="I95" i="6" s="1"/>
  <c r="H95" i="6" a="1"/>
  <c r="H95" i="6" s="1"/>
  <c r="E94" i="6" a="1"/>
  <c r="E94" i="6" s="1"/>
  <c r="G94" i="6" a="1"/>
  <c r="G94" i="6" s="1"/>
  <c r="I94" i="6" a="1"/>
  <c r="I94" i="6" s="1"/>
  <c r="H94" i="6" a="1"/>
  <c r="H94" i="6" s="1"/>
  <c r="E93" i="6" a="1"/>
  <c r="E93" i="6" s="1"/>
  <c r="G93" i="6" a="1"/>
  <c r="G93" i="6" s="1"/>
  <c r="I93" i="6" a="1"/>
  <c r="I93" i="6" s="1"/>
  <c r="H93" i="6" a="1"/>
  <c r="H93" i="6" s="1"/>
  <c r="E92" i="6" a="1"/>
  <c r="E92" i="6" s="1"/>
  <c r="G92" i="6" a="1"/>
  <c r="G92" i="6" s="1"/>
  <c r="I92" i="6" a="1"/>
  <c r="I92" i="6" s="1"/>
  <c r="H92" i="6" a="1"/>
  <c r="H92" i="6" s="1"/>
  <c r="E91" i="6" a="1"/>
  <c r="E91" i="6" s="1"/>
  <c r="G91" i="6" a="1"/>
  <c r="G91" i="6" s="1"/>
  <c r="I91" i="6" a="1"/>
  <c r="I91" i="6" s="1"/>
  <c r="H91" i="6" a="1"/>
  <c r="H91" i="6" s="1"/>
  <c r="E90" i="6" a="1"/>
  <c r="E90" i="6" s="1"/>
  <c r="G90" i="6" a="1"/>
  <c r="G90" i="6" s="1"/>
  <c r="I90" i="6" a="1"/>
  <c r="I90" i="6" s="1"/>
  <c r="H90" i="6" a="1"/>
  <c r="H90" i="6" s="1"/>
  <c r="E89" i="6" a="1"/>
  <c r="E89" i="6" s="1"/>
  <c r="G89" i="6" a="1"/>
  <c r="G89" i="6" s="1"/>
  <c r="I89" i="6" a="1"/>
  <c r="I89" i="6" s="1"/>
  <c r="H89" i="6" a="1"/>
  <c r="H89" i="6" s="1"/>
  <c r="E88" i="6" a="1"/>
  <c r="E88" i="6" s="1"/>
  <c r="G88" i="6" a="1"/>
  <c r="G88" i="6" s="1"/>
  <c r="I88" i="6" a="1"/>
  <c r="I88" i="6" s="1"/>
  <c r="H88" i="6" a="1"/>
  <c r="H88" i="6" s="1"/>
  <c r="E87" i="6" a="1"/>
  <c r="E87" i="6" s="1"/>
  <c r="G87" i="6" a="1"/>
  <c r="G87" i="6" s="1"/>
  <c r="I87" i="6" a="1"/>
  <c r="I87" i="6" s="1"/>
  <c r="H87" i="6" a="1"/>
  <c r="H87" i="6" s="1"/>
  <c r="E86" i="6" a="1"/>
  <c r="E86" i="6" s="1"/>
  <c r="G86" i="6" a="1"/>
  <c r="G86" i="6" s="1"/>
  <c r="I86" i="6" a="1"/>
  <c r="I86" i="6" s="1"/>
  <c r="H86" i="6" a="1"/>
  <c r="H86" i="6" s="1"/>
  <c r="E85" i="6" a="1"/>
  <c r="E85" i="6" s="1"/>
  <c r="G85" i="6" a="1"/>
  <c r="G85" i="6" s="1"/>
  <c r="I85" i="6" a="1"/>
  <c r="I85" i="6" s="1"/>
  <c r="H85" i="6" a="1"/>
  <c r="H85" i="6" s="1"/>
  <c r="E84" i="6" a="1"/>
  <c r="E84" i="6" s="1"/>
  <c r="G84" i="6" a="1"/>
  <c r="G84" i="6" s="1"/>
  <c r="I84" i="6" a="1"/>
  <c r="I84" i="6" s="1"/>
  <c r="H84" i="6" a="1"/>
  <c r="H84" i="6" s="1"/>
  <c r="E83" i="6" a="1"/>
  <c r="E83" i="6" s="1"/>
  <c r="G83" i="6" a="1"/>
  <c r="G83" i="6" s="1"/>
  <c r="I83" i="6" a="1"/>
  <c r="I83" i="6" s="1"/>
  <c r="H83" i="6" a="1"/>
  <c r="H83" i="6" s="1"/>
  <c r="E82" i="6" a="1"/>
  <c r="E82" i="6" s="1"/>
  <c r="G82" i="6" a="1"/>
  <c r="G82" i="6" s="1"/>
  <c r="I82" i="6" a="1"/>
  <c r="I82" i="6" s="1"/>
  <c r="H82" i="6" a="1"/>
  <c r="H82" i="6" s="1"/>
  <c r="E81" i="6" a="1"/>
  <c r="E81" i="6" s="1"/>
  <c r="G81" i="6" a="1"/>
  <c r="G81" i="6" s="1"/>
  <c r="I81" i="6" a="1"/>
  <c r="I81" i="6" s="1"/>
  <c r="H81" i="6" a="1"/>
  <c r="H81" i="6" s="1"/>
  <c r="E80" i="6" a="1"/>
  <c r="E80" i="6" s="1"/>
  <c r="G80" i="6" a="1"/>
  <c r="G80" i="6" s="1"/>
  <c r="I80" i="6" a="1"/>
  <c r="I80" i="6" s="1"/>
  <c r="H80" i="6" a="1"/>
  <c r="H80" i="6" s="1"/>
  <c r="E79" i="6" a="1"/>
  <c r="E79" i="6" s="1"/>
  <c r="G79" i="6" a="1"/>
  <c r="G79" i="6" s="1"/>
  <c r="I79" i="6" a="1"/>
  <c r="I79" i="6" s="1"/>
  <c r="H79" i="6" a="1"/>
  <c r="H79" i="6" s="1"/>
  <c r="E78" i="6" a="1"/>
  <c r="E78" i="6" s="1"/>
  <c r="G78" i="6" a="1"/>
  <c r="G78" i="6" s="1"/>
  <c r="I78" i="6" a="1"/>
  <c r="I78" i="6" s="1"/>
  <c r="H78" i="6" a="1"/>
  <c r="H78" i="6" s="1"/>
  <c r="E77" i="6" a="1"/>
  <c r="E77" i="6" s="1"/>
  <c r="G77" i="6" a="1"/>
  <c r="G77" i="6" s="1"/>
  <c r="I77" i="6" a="1"/>
  <c r="I77" i="6" s="1"/>
  <c r="H77" i="6" a="1"/>
  <c r="H77" i="6" s="1"/>
  <c r="E76" i="6" a="1"/>
  <c r="E76" i="6" s="1"/>
  <c r="G76" i="6" a="1"/>
  <c r="G76" i="6" s="1"/>
  <c r="I76" i="6" a="1"/>
  <c r="I76" i="6" s="1"/>
  <c r="H76" i="6" a="1"/>
  <c r="H76" i="6" s="1"/>
  <c r="E75" i="6" a="1"/>
  <c r="E75" i="6" s="1"/>
  <c r="G75" i="6" a="1"/>
  <c r="G75" i="6" s="1"/>
  <c r="I75" i="6" a="1"/>
  <c r="I75" i="6" s="1"/>
  <c r="H75" i="6" a="1"/>
  <c r="H75" i="6" s="1"/>
  <c r="E74" i="6" a="1"/>
  <c r="E74" i="6" s="1"/>
  <c r="G74" i="6" a="1"/>
  <c r="G74" i="6" s="1"/>
  <c r="I74" i="6" a="1"/>
  <c r="I74" i="6" s="1"/>
  <c r="H74" i="6" a="1"/>
  <c r="H74" i="6" s="1"/>
  <c r="E73" i="6" a="1"/>
  <c r="E73" i="6" s="1"/>
  <c r="I73" i="6" a="1"/>
  <c r="I73" i="6" s="1"/>
  <c r="H73" i="6" a="1"/>
  <c r="H73" i="6" s="1"/>
  <c r="E72" i="6" a="1"/>
  <c r="E72" i="6" s="1"/>
  <c r="G72" i="6" a="1"/>
  <c r="G72" i="6" s="1"/>
  <c r="I72" i="6" a="1"/>
  <c r="I72" i="6" s="1"/>
  <c r="H72" i="6" a="1"/>
  <c r="H72" i="6" s="1"/>
  <c r="E71" i="6" a="1"/>
  <c r="E71" i="6" s="1"/>
  <c r="G71" i="6" a="1"/>
  <c r="G71" i="6" s="1"/>
  <c r="I71" i="6" a="1"/>
  <c r="I71" i="6" s="1"/>
  <c r="H71" i="6" a="1"/>
  <c r="H71" i="6" s="1"/>
  <c r="E70" i="6" a="1"/>
  <c r="E70" i="6" s="1"/>
  <c r="G70" i="6" a="1"/>
  <c r="G70" i="6" s="1"/>
  <c r="I70" i="6" a="1"/>
  <c r="I70" i="6" s="1"/>
  <c r="H70" i="6" a="1"/>
  <c r="H70" i="6" s="1"/>
  <c r="E69" i="6" a="1"/>
  <c r="E69" i="6" s="1"/>
  <c r="G69" i="6" a="1"/>
  <c r="G69" i="6" s="1"/>
  <c r="I69" i="6" a="1"/>
  <c r="I69" i="6" s="1"/>
  <c r="H69" i="6" a="1"/>
  <c r="H69" i="6" s="1"/>
  <c r="E68" i="6" a="1"/>
  <c r="E68" i="6" s="1"/>
  <c r="G68" i="6" a="1"/>
  <c r="G68" i="6" s="1"/>
  <c r="I68" i="6" a="1"/>
  <c r="I68" i="6" s="1"/>
  <c r="H68" i="6" a="1"/>
  <c r="H68" i="6" s="1"/>
  <c r="E67" i="6" a="1"/>
  <c r="E67" i="6" s="1"/>
  <c r="G67" i="6" a="1"/>
  <c r="G67" i="6" s="1"/>
  <c r="I67" i="6" a="1"/>
  <c r="I67" i="6" s="1"/>
  <c r="H67" i="6" a="1"/>
  <c r="H67" i="6" s="1"/>
  <c r="E66" i="6" a="1"/>
  <c r="E66" i="6" s="1"/>
  <c r="G66" i="6" a="1"/>
  <c r="G66" i="6" s="1"/>
  <c r="I66" i="6" a="1"/>
  <c r="I66" i="6" s="1"/>
  <c r="H66" i="6" a="1"/>
  <c r="H66" i="6" s="1"/>
  <c r="E65" i="6" a="1"/>
  <c r="E65" i="6" s="1"/>
  <c r="G65" i="6" a="1"/>
  <c r="G65" i="6" s="1"/>
  <c r="I65" i="6" a="1"/>
  <c r="I65" i="6" s="1"/>
  <c r="H65" i="6" a="1"/>
  <c r="H65" i="6" s="1"/>
  <c r="E64" i="6" a="1"/>
  <c r="E64" i="6" s="1"/>
  <c r="G64" i="6" a="1"/>
  <c r="G64" i="6" s="1"/>
  <c r="I64" i="6" a="1"/>
  <c r="I64" i="6" s="1"/>
  <c r="H64" i="6" a="1"/>
  <c r="H64" i="6" s="1"/>
  <c r="E63" i="6" a="1"/>
  <c r="E63" i="6" s="1"/>
  <c r="G63" i="6" a="1"/>
  <c r="G63" i="6" s="1"/>
  <c r="I63" i="6" a="1"/>
  <c r="I63" i="6" s="1"/>
  <c r="H63" i="6" a="1"/>
  <c r="H63" i="6" s="1"/>
  <c r="E62" i="6" a="1"/>
  <c r="E62" i="6" s="1"/>
  <c r="G62" i="6" a="1"/>
  <c r="G62" i="6" s="1"/>
  <c r="I62" i="6" a="1"/>
  <c r="I62" i="6" s="1"/>
  <c r="H62" i="6" a="1"/>
  <c r="H62" i="6" s="1"/>
  <c r="E61" i="6" a="1"/>
  <c r="E61" i="6" s="1"/>
  <c r="G61" i="6" a="1"/>
  <c r="G61" i="6" s="1"/>
  <c r="I61" i="6" a="1"/>
  <c r="I61" i="6" s="1"/>
  <c r="H61" i="6" a="1"/>
  <c r="H61" i="6" s="1"/>
  <c r="E60" i="6" a="1"/>
  <c r="E60" i="6" s="1"/>
  <c r="G60" i="6" a="1"/>
  <c r="G60" i="6" s="1"/>
  <c r="I60" i="6" a="1"/>
  <c r="I60" i="6" s="1"/>
  <c r="H60" i="6" a="1"/>
  <c r="H60" i="6" s="1"/>
  <c r="E59" i="6" a="1"/>
  <c r="E59" i="6" s="1"/>
  <c r="G59" i="6" a="1"/>
  <c r="G59" i="6" s="1"/>
  <c r="I59" i="6" a="1"/>
  <c r="I59" i="6" s="1"/>
  <c r="H59" i="6" a="1"/>
  <c r="H59" i="6" s="1"/>
  <c r="E58" i="6" a="1"/>
  <c r="E58" i="6" s="1"/>
  <c r="G58" i="6" a="1"/>
  <c r="G58" i="6" s="1"/>
  <c r="I58" i="6" a="1"/>
  <c r="I58" i="6" s="1"/>
  <c r="H58" i="6" a="1"/>
  <c r="H58" i="6" s="1"/>
  <c r="E57" i="6" a="1"/>
  <c r="E57" i="6" s="1"/>
  <c r="G57" i="6" a="1"/>
  <c r="G57" i="6" s="1"/>
  <c r="I57" i="6" a="1"/>
  <c r="I57" i="6" s="1"/>
  <c r="H57" i="6" a="1"/>
  <c r="H57" i="6" s="1"/>
  <c r="E56" i="6" a="1"/>
  <c r="E56" i="6" s="1"/>
  <c r="G56" i="6" a="1"/>
  <c r="G56" i="6" s="1"/>
  <c r="I56" i="6" a="1"/>
  <c r="I56" i="6" s="1"/>
  <c r="H56" i="6" a="1"/>
  <c r="H56" i="6" s="1"/>
  <c r="E55" i="6" a="1"/>
  <c r="E55" i="6" s="1"/>
  <c r="G55" i="6" a="1"/>
  <c r="G55" i="6" s="1"/>
  <c r="I55" i="6" a="1"/>
  <c r="I55" i="6" s="1"/>
  <c r="H55" i="6" a="1"/>
  <c r="H55" i="6" s="1"/>
  <c r="E54" i="6" a="1"/>
  <c r="E54" i="6" s="1"/>
  <c r="G54" i="6" a="1"/>
  <c r="G54" i="6" s="1"/>
  <c r="I54" i="6" a="1"/>
  <c r="I54" i="6" s="1"/>
  <c r="H54" i="6" a="1"/>
  <c r="H54" i="6" s="1"/>
  <c r="E53" i="6" a="1"/>
  <c r="E53" i="6" s="1"/>
  <c r="G53" i="6" a="1"/>
  <c r="G53" i="6" s="1"/>
  <c r="I53" i="6" a="1"/>
  <c r="I53" i="6" s="1"/>
  <c r="H53" i="6" a="1"/>
  <c r="H53" i="6" s="1"/>
  <c r="E52" i="6" a="1"/>
  <c r="E52" i="6" s="1"/>
  <c r="G52" i="6" a="1"/>
  <c r="G52" i="6" s="1"/>
  <c r="I52" i="6" a="1"/>
  <c r="I52" i="6" s="1"/>
  <c r="H52" i="6" a="1"/>
  <c r="H52" i="6" s="1"/>
  <c r="E51" i="6" a="1"/>
  <c r="E51" i="6" s="1"/>
  <c r="G51" i="6" a="1"/>
  <c r="G51" i="6" s="1"/>
  <c r="I51" i="6" a="1"/>
  <c r="I51" i="6" s="1"/>
  <c r="H51" i="6" a="1"/>
  <c r="H51" i="6" s="1"/>
  <c r="E50" i="6" a="1"/>
  <c r="E50" i="6" s="1"/>
  <c r="G50" i="6" a="1"/>
  <c r="G50" i="6" s="1"/>
  <c r="I50" i="6" a="1"/>
  <c r="I50" i="6" s="1"/>
  <c r="H50" i="6" a="1"/>
  <c r="H50" i="6" s="1"/>
  <c r="E49" i="6" a="1"/>
  <c r="E49" i="6" s="1"/>
  <c r="G49" i="6" a="1"/>
  <c r="G49" i="6" s="1"/>
  <c r="I49" i="6" a="1"/>
  <c r="I49" i="6" s="1"/>
  <c r="H49" i="6" a="1"/>
  <c r="H49" i="6" s="1"/>
  <c r="E48" i="6" a="1"/>
  <c r="E48" i="6" s="1"/>
  <c r="G48" i="6" a="1"/>
  <c r="G48" i="6" s="1"/>
  <c r="I48" i="6" a="1"/>
  <c r="I48" i="6" s="1"/>
  <c r="H48" i="6" a="1"/>
  <c r="H48" i="6" s="1"/>
  <c r="E47" i="6" a="1"/>
  <c r="E47" i="6" s="1"/>
  <c r="G47" i="6" a="1"/>
  <c r="G47" i="6" s="1"/>
  <c r="I47" i="6" a="1"/>
  <c r="I47" i="6" s="1"/>
  <c r="H47" i="6" a="1"/>
  <c r="H47" i="6" s="1"/>
  <c r="E46" i="6" a="1"/>
  <c r="E46" i="6" s="1"/>
  <c r="I46" i="6" a="1"/>
  <c r="I46" i="6" s="1"/>
  <c r="H46" i="6" a="1"/>
  <c r="H46" i="6" s="1"/>
  <c r="E45" i="6" a="1"/>
  <c r="E45" i="6" s="1"/>
  <c r="G45" i="6" a="1"/>
  <c r="G45" i="6" s="1"/>
  <c r="I45" i="6" a="1"/>
  <c r="I45" i="6" s="1"/>
  <c r="H45" i="6" a="1"/>
  <c r="H45" i="6" s="1"/>
  <c r="E44" i="6" a="1"/>
  <c r="E44" i="6" s="1"/>
  <c r="G44" i="6" a="1"/>
  <c r="G44" i="6" s="1"/>
  <c r="I44" i="6" a="1"/>
  <c r="I44" i="6" s="1"/>
  <c r="H44" i="6" a="1"/>
  <c r="H44" i="6" s="1"/>
  <c r="E43" i="6" a="1"/>
  <c r="E43" i="6" s="1"/>
  <c r="G43" i="6" a="1"/>
  <c r="G43" i="6" s="1"/>
  <c r="I43" i="6" a="1"/>
  <c r="I43" i="6" s="1"/>
  <c r="H43" i="6" a="1"/>
  <c r="H43" i="6" s="1"/>
  <c r="E42" i="6" a="1"/>
  <c r="E42" i="6" s="1"/>
  <c r="G42" i="6" a="1"/>
  <c r="G42" i="6" s="1"/>
  <c r="I42" i="6" a="1"/>
  <c r="I42" i="6" s="1"/>
  <c r="H42" i="6" a="1"/>
  <c r="H42" i="6" s="1"/>
  <c r="E41" i="6" a="1"/>
  <c r="E41" i="6" s="1"/>
  <c r="G41" i="6" a="1"/>
  <c r="G41" i="6" s="1"/>
  <c r="I41" i="6" a="1"/>
  <c r="I41" i="6" s="1"/>
  <c r="H41" i="6" a="1"/>
  <c r="H41" i="6" s="1"/>
  <c r="E40" i="6" a="1"/>
  <c r="E40" i="6" s="1"/>
  <c r="G40" i="6" a="1"/>
  <c r="G40" i="6" s="1"/>
  <c r="I40" i="6" a="1"/>
  <c r="I40" i="6" s="1"/>
  <c r="H40" i="6" a="1"/>
  <c r="H40" i="6" s="1"/>
  <c r="E39" i="6" a="1"/>
  <c r="E39" i="6" s="1"/>
  <c r="G39" i="6" a="1"/>
  <c r="G39" i="6" s="1"/>
  <c r="I39" i="6" a="1"/>
  <c r="I39" i="6" s="1"/>
  <c r="H39" i="6" a="1"/>
  <c r="H39" i="6" s="1"/>
  <c r="E38" i="6" a="1"/>
  <c r="E38" i="6" s="1"/>
  <c r="G38" i="6" a="1"/>
  <c r="G38" i="6" s="1"/>
  <c r="I38" i="6" a="1"/>
  <c r="I38" i="6" s="1"/>
  <c r="H38" i="6" a="1"/>
  <c r="H38" i="6" s="1"/>
  <c r="E37" i="6" a="1"/>
  <c r="E37" i="6" s="1"/>
  <c r="G37" i="6" a="1"/>
  <c r="G37" i="6" s="1"/>
  <c r="I37" i="6" a="1"/>
  <c r="I37" i="6" s="1"/>
  <c r="H37" i="6" a="1"/>
  <c r="H37" i="6" s="1"/>
  <c r="E36" i="6" a="1"/>
  <c r="E36" i="6" s="1"/>
  <c r="G36" i="6" a="1"/>
  <c r="G36" i="6" s="1"/>
  <c r="I36" i="6" a="1"/>
  <c r="I36" i="6" s="1"/>
  <c r="H36" i="6" a="1"/>
  <c r="H36" i="6" s="1"/>
  <c r="E35" i="6" a="1"/>
  <c r="E35" i="6" s="1"/>
  <c r="G35" i="6" a="1"/>
  <c r="G35" i="6" s="1"/>
  <c r="I35" i="6" a="1"/>
  <c r="I35" i="6" s="1"/>
  <c r="H35" i="6" a="1"/>
  <c r="H35" i="6" s="1"/>
  <c r="E34" i="6" a="1"/>
  <c r="E34" i="6" s="1"/>
  <c r="G34" i="6" a="1"/>
  <c r="G34" i="6" s="1"/>
  <c r="I34" i="6" a="1"/>
  <c r="I34" i="6" s="1"/>
  <c r="H34" i="6" a="1"/>
  <c r="H34" i="6" s="1"/>
  <c r="E33" i="6" a="1"/>
  <c r="E33" i="6" s="1"/>
  <c r="G33" i="6" a="1"/>
  <c r="G33" i="6" s="1"/>
  <c r="I33" i="6" a="1"/>
  <c r="I33" i="6" s="1"/>
  <c r="H33" i="6" a="1"/>
  <c r="H33" i="6" s="1"/>
  <c r="E32" i="6" a="1"/>
  <c r="E32" i="6" s="1"/>
  <c r="G32" i="6" a="1"/>
  <c r="G32" i="6" s="1"/>
  <c r="I32" i="6" a="1"/>
  <c r="I32" i="6" s="1"/>
  <c r="H32" i="6" a="1"/>
  <c r="H32" i="6" s="1"/>
  <c r="E31" i="6" a="1"/>
  <c r="E31" i="6" s="1"/>
  <c r="G31" i="6" a="1"/>
  <c r="G31" i="6" s="1"/>
  <c r="I31" i="6" a="1"/>
  <c r="I31" i="6" s="1"/>
  <c r="H31" i="6" a="1"/>
  <c r="H31" i="6" s="1"/>
  <c r="E30" i="6" a="1"/>
  <c r="E30" i="6" s="1"/>
  <c r="G30" i="6" a="1"/>
  <c r="G30" i="6" s="1"/>
  <c r="I30" i="6" a="1"/>
  <c r="I30" i="6" s="1"/>
  <c r="H30" i="6" a="1"/>
  <c r="H30" i="6" s="1"/>
  <c r="E29" i="6" a="1"/>
  <c r="E29" i="6" s="1"/>
  <c r="G29" i="6" a="1"/>
  <c r="G29" i="6" s="1"/>
  <c r="I29" i="6" a="1"/>
  <c r="I29" i="6" s="1"/>
  <c r="H29" i="6" a="1"/>
  <c r="H29" i="6" s="1"/>
  <c r="E28" i="6" a="1"/>
  <c r="E28" i="6" s="1"/>
  <c r="G28" i="6" a="1"/>
  <c r="G28" i="6" s="1"/>
  <c r="I28" i="6" a="1"/>
  <c r="I28" i="6" s="1"/>
  <c r="H28" i="6" a="1"/>
  <c r="H28" i="6" s="1"/>
  <c r="E27" i="6" a="1"/>
  <c r="E27" i="6" s="1"/>
  <c r="G27" i="6" a="1"/>
  <c r="G27" i="6" s="1"/>
  <c r="I27" i="6" a="1"/>
  <c r="I27" i="6" s="1"/>
  <c r="H27" i="6" a="1"/>
  <c r="H27" i="6" s="1"/>
  <c r="E26" i="6" a="1"/>
  <c r="E26" i="6" s="1"/>
  <c r="G26" i="6" a="1"/>
  <c r="G26" i="6" s="1"/>
  <c r="I26" i="6" a="1"/>
  <c r="I26" i="6" s="1"/>
  <c r="H26" i="6" a="1"/>
  <c r="H26" i="6" s="1"/>
  <c r="E25" i="6" a="1"/>
  <c r="E25" i="6" s="1"/>
  <c r="G25" i="6" a="1"/>
  <c r="G25" i="6" s="1"/>
  <c r="I25" i="6" a="1"/>
  <c r="I25" i="6" s="1"/>
  <c r="H25" i="6" a="1"/>
  <c r="H25" i="6" s="1"/>
  <c r="E24" i="6" a="1"/>
  <c r="E24" i="6" s="1"/>
  <c r="G24" i="6" a="1"/>
  <c r="G24" i="6" s="1"/>
  <c r="I24" i="6" a="1"/>
  <c r="I24" i="6" s="1"/>
  <c r="H24" i="6" a="1"/>
  <c r="H24" i="6" s="1"/>
  <c r="E23" i="6" a="1"/>
  <c r="E23" i="6" s="1"/>
  <c r="G23" i="6" a="1"/>
  <c r="G23" i="6" s="1"/>
  <c r="I23" i="6" a="1"/>
  <c r="I23" i="6" s="1"/>
  <c r="H23" i="6" a="1"/>
  <c r="H23" i="6" s="1"/>
  <c r="E22" i="6" a="1"/>
  <c r="E22" i="6" s="1"/>
  <c r="G22" i="6" a="1"/>
  <c r="G22" i="6" s="1"/>
  <c r="I22" i="6" a="1"/>
  <c r="I22" i="6" s="1"/>
  <c r="H22" i="6" a="1"/>
  <c r="H22" i="6" s="1"/>
  <c r="E21" i="6" a="1"/>
  <c r="E21" i="6" s="1"/>
  <c r="G21" i="6" a="1"/>
  <c r="G21" i="6" s="1"/>
  <c r="I21" i="6" a="1"/>
  <c r="I21" i="6" s="1"/>
  <c r="H21" i="6" a="1"/>
  <c r="H21" i="6" s="1"/>
  <c r="E20" i="6" a="1"/>
  <c r="E20" i="6" s="1"/>
  <c r="G20" i="6" a="1"/>
  <c r="G20" i="6" s="1"/>
  <c r="I20" i="6" a="1"/>
  <c r="I20" i="6" s="1"/>
  <c r="H20" i="6" a="1"/>
  <c r="H20" i="6" s="1"/>
  <c r="E19" i="6" a="1"/>
  <c r="E19" i="6" s="1"/>
  <c r="G19" i="6" a="1"/>
  <c r="G19" i="6" s="1"/>
  <c r="I19" i="6" a="1"/>
  <c r="I19" i="6" s="1"/>
  <c r="H19" i="6" a="1"/>
  <c r="H19" i="6" s="1"/>
  <c r="E18" i="6" a="1"/>
  <c r="E18" i="6" s="1"/>
  <c r="G18" i="6" a="1"/>
  <c r="G18" i="6" s="1"/>
  <c r="I18" i="6" a="1"/>
  <c r="I18" i="6" s="1"/>
  <c r="H18" i="6" a="1"/>
  <c r="H18" i="6" s="1"/>
  <c r="E17" i="6" a="1"/>
  <c r="E17" i="6" s="1"/>
  <c r="G17" i="6" a="1"/>
  <c r="G17" i="6" s="1"/>
  <c r="I17" i="6" a="1"/>
  <c r="I17" i="6" s="1"/>
  <c r="H17" i="6" a="1"/>
  <c r="H17" i="6" s="1"/>
  <c r="E16" i="6" a="1"/>
  <c r="E16" i="6" s="1"/>
  <c r="G16" i="6" a="1"/>
  <c r="G16" i="6" s="1"/>
  <c r="I16" i="6" a="1"/>
  <c r="I16" i="6" s="1"/>
  <c r="H16" i="6" a="1"/>
  <c r="H16" i="6" s="1"/>
  <c r="E15" i="6" a="1"/>
  <c r="E15" i="6" s="1"/>
  <c r="G15" i="6" a="1"/>
  <c r="G15" i="6" s="1"/>
  <c r="I15" i="6" a="1"/>
  <c r="I15" i="6" s="1"/>
  <c r="H15" i="6" a="1"/>
  <c r="H15" i="6" s="1"/>
  <c r="E14" i="6" a="1"/>
  <c r="E14" i="6" s="1"/>
  <c r="G14" i="6" a="1"/>
  <c r="G14" i="6" s="1"/>
  <c r="I14" i="6" a="1"/>
  <c r="I14" i="6" s="1"/>
  <c r="H14" i="6" a="1"/>
  <c r="H14" i="6" s="1"/>
  <c r="E13" i="6" a="1"/>
  <c r="E13" i="6" s="1"/>
  <c r="I13" i="6" a="1"/>
  <c r="I13" i="6" s="1"/>
  <c r="H13" i="6" a="1"/>
  <c r="H13" i="6" s="1"/>
  <c r="E12" i="6" a="1"/>
  <c r="E12" i="6" s="1"/>
  <c r="G12" i="6" a="1"/>
  <c r="G12" i="6" s="1"/>
  <c r="I12" i="6" a="1"/>
  <c r="I12" i="6" s="1"/>
  <c r="H12" i="6" a="1"/>
  <c r="H12" i="6" s="1"/>
  <c r="E11" i="6" a="1"/>
  <c r="E11" i="6" s="1"/>
  <c r="G11" i="6" a="1"/>
  <c r="G11" i="6" s="1"/>
  <c r="I11" i="6" a="1"/>
  <c r="I11" i="6" s="1"/>
  <c r="H11" i="6" a="1"/>
  <c r="H11" i="6" s="1"/>
  <c r="E10" i="6" a="1"/>
  <c r="E10" i="6" s="1"/>
  <c r="G10" i="6" a="1"/>
  <c r="G10" i="6" s="1"/>
  <c r="I10" i="6" a="1"/>
  <c r="I10" i="6" s="1"/>
  <c r="H10" i="6" a="1"/>
  <c r="H10" i="6" s="1"/>
  <c r="E9" i="6" a="1"/>
  <c r="E9" i="6" s="1"/>
  <c r="G9" i="6" a="1"/>
  <c r="G9" i="6" s="1"/>
  <c r="I9" i="6" a="1"/>
  <c r="I9" i="6" s="1"/>
  <c r="H9" i="6" a="1"/>
  <c r="H9" i="6" s="1"/>
  <c r="E8" i="6" a="1"/>
  <c r="E8" i="6" s="1"/>
  <c r="G8" i="6" a="1"/>
  <c r="G8" i="6" s="1"/>
  <c r="I8" i="6" a="1"/>
  <c r="I8" i="6" s="1"/>
  <c r="H8" i="6" a="1"/>
  <c r="H8" i="6" s="1"/>
  <c r="E7" i="6" a="1"/>
  <c r="E7" i="6" s="1"/>
  <c r="G7" i="6" a="1"/>
  <c r="G7" i="6" s="1"/>
  <c r="I7" i="6" a="1"/>
  <c r="I7" i="6" s="1"/>
  <c r="H7" i="6" a="1"/>
  <c r="H7" i="6" s="1"/>
  <c r="E6" i="6" a="1"/>
  <c r="E6" i="6" s="1"/>
  <c r="G6" i="6" a="1"/>
  <c r="G6" i="6" s="1"/>
  <c r="I6" i="6" a="1"/>
  <c r="I6" i="6" s="1"/>
  <c r="H6" i="6" a="1"/>
  <c r="H6" i="6" s="1"/>
  <c r="E5" i="6" a="1"/>
  <c r="E5" i="6" s="1"/>
  <c r="G5" i="6" a="1"/>
  <c r="G5" i="6" s="1"/>
  <c r="I5" i="6" a="1"/>
  <c r="I5" i="6" s="1"/>
  <c r="H5" i="6" a="1"/>
  <c r="H5" i="6" s="1"/>
  <c r="E4" i="6" a="1"/>
  <c r="E4" i="6" s="1"/>
  <c r="G4" i="6" a="1"/>
  <c r="G4" i="6" s="1"/>
  <c r="I4" i="6" a="1"/>
  <c r="I4" i="6" s="1"/>
  <c r="H4" i="6" a="1"/>
  <c r="H4" i="6" s="1"/>
  <c r="E3" i="6" a="1"/>
  <c r="E3" i="6" s="1"/>
  <c r="G3" i="6" a="1"/>
  <c r="G3" i="6" s="1"/>
  <c r="I3" i="6" a="1"/>
  <c r="I3" i="6" s="1"/>
  <c r="H3" i="6" a="1"/>
  <c r="H3" i="6" s="1"/>
  <c r="B37" i="6" a="1"/>
  <c r="B37" i="6" s="1"/>
  <c r="B34" i="6" a="1"/>
  <c r="B34" i="6" s="1"/>
  <c r="B12" i="6" a="1"/>
  <c r="B12" i="6" s="1"/>
  <c r="B42" i="6" a="1"/>
  <c r="B42" i="6" s="1"/>
  <c r="B36" i="6" a="1"/>
  <c r="B36" i="6" s="1"/>
  <c r="B33" i="6" a="1"/>
  <c r="B33" i="6" s="1"/>
  <c r="I21" i="2"/>
  <c r="G86" i="14" s="1" a="1"/>
  <c r="G86" i="14" s="1"/>
  <c r="F102" i="6"/>
  <c r="F103" i="6" s="1"/>
  <c r="G3" i="10" a="1"/>
  <c r="G3" i="10" s="1"/>
  <c r="H3" i="10" a="1"/>
  <c r="H3" i="10" s="1"/>
  <c r="G4" i="10" a="1"/>
  <c r="G4" i="10" s="1"/>
  <c r="H4" i="10" a="1"/>
  <c r="H4" i="10" s="1"/>
  <c r="G5" i="10" a="1"/>
  <c r="G5" i="10" s="1"/>
  <c r="H5" i="10" a="1"/>
  <c r="H5" i="10" s="1"/>
  <c r="G6" i="10" a="1"/>
  <c r="G6" i="10" s="1"/>
  <c r="H6" i="10" a="1"/>
  <c r="H6" i="10" s="1"/>
  <c r="G7" i="10" a="1"/>
  <c r="G7" i="10" s="1"/>
  <c r="H7" i="10" a="1"/>
  <c r="H7" i="10" s="1"/>
  <c r="G8" i="10" a="1"/>
  <c r="G8" i="10" s="1"/>
  <c r="H8" i="10" a="1"/>
  <c r="H8" i="10" s="1"/>
  <c r="G9" i="10" a="1"/>
  <c r="G9" i="10"/>
  <c r="H9" i="10" a="1"/>
  <c r="H9" i="10" s="1"/>
  <c r="G10" i="10" a="1"/>
  <c r="G10" i="10" s="1"/>
  <c r="H10" i="10" a="1"/>
  <c r="H10" i="10" s="1"/>
  <c r="G11" i="10" a="1"/>
  <c r="G11" i="10"/>
  <c r="H11" i="10" a="1"/>
  <c r="H11" i="10" s="1"/>
  <c r="G12" i="10" a="1"/>
  <c r="G12" i="10" s="1"/>
  <c r="H12" i="10" a="1"/>
  <c r="H12" i="10" s="1"/>
  <c r="G13" i="10" a="1"/>
  <c r="G13" i="10" s="1"/>
  <c r="H13" i="10" a="1"/>
  <c r="H13" i="10" s="1"/>
  <c r="G14" i="10" a="1"/>
  <c r="G14" i="10" s="1"/>
  <c r="H14" i="10" a="1"/>
  <c r="H14" i="10"/>
  <c r="G15" i="10" a="1"/>
  <c r="G15" i="10" s="1"/>
  <c r="H15" i="10" a="1"/>
  <c r="H15" i="10" s="1"/>
  <c r="G16" i="10" a="1"/>
  <c r="G16" i="10" s="1"/>
  <c r="H16" i="10" a="1"/>
  <c r="H16" i="10" s="1"/>
  <c r="G17" i="10" a="1"/>
  <c r="G17" i="10" s="1"/>
  <c r="H17" i="10" a="1"/>
  <c r="H17" i="10" s="1"/>
  <c r="G18" i="10" a="1"/>
  <c r="G18" i="10" s="1"/>
  <c r="H18" i="10" a="1"/>
  <c r="H18" i="10" s="1"/>
  <c r="G19" i="10" a="1"/>
  <c r="G19" i="10" s="1"/>
  <c r="H19" i="10" a="1"/>
  <c r="H19" i="10" s="1"/>
  <c r="G20" i="10" a="1"/>
  <c r="G20" i="10" s="1"/>
  <c r="H20" i="10" a="1"/>
  <c r="H20" i="10" s="1"/>
  <c r="G21" i="10" a="1"/>
  <c r="G21" i="10" s="1"/>
  <c r="H21" i="10" a="1"/>
  <c r="H21" i="10" s="1"/>
  <c r="G22" i="10" a="1"/>
  <c r="G22" i="10" s="1"/>
  <c r="H22" i="10" a="1"/>
  <c r="H22" i="10" s="1"/>
  <c r="G23" i="10" a="1"/>
  <c r="G23" i="10" s="1"/>
  <c r="H23" i="10" a="1"/>
  <c r="H23" i="10" s="1"/>
  <c r="G24" i="10" a="1"/>
  <c r="G24" i="10" s="1"/>
  <c r="H24" i="10" a="1"/>
  <c r="H24" i="10" s="1"/>
  <c r="G25" i="10" a="1"/>
  <c r="G25" i="10" s="1"/>
  <c r="H25" i="10" a="1"/>
  <c r="H25" i="10" s="1"/>
  <c r="G26" i="10" a="1"/>
  <c r="G26" i="10" s="1"/>
  <c r="H26" i="10" a="1"/>
  <c r="H26" i="10" s="1"/>
  <c r="G27" i="10" a="1"/>
  <c r="G27" i="10" s="1"/>
  <c r="H27" i="10" a="1"/>
  <c r="H27" i="10" s="1"/>
  <c r="G28" i="10" a="1"/>
  <c r="G28" i="10" s="1"/>
  <c r="H28" i="10" a="1"/>
  <c r="H28" i="10" s="1"/>
  <c r="G29" i="10" a="1"/>
  <c r="G29" i="10" s="1"/>
  <c r="H29" i="10" a="1"/>
  <c r="H29" i="10" s="1"/>
  <c r="G30" i="10" a="1"/>
  <c r="G30" i="10" s="1"/>
  <c r="H30" i="10" a="1"/>
  <c r="H30" i="10" s="1"/>
  <c r="G31" i="10" a="1"/>
  <c r="G31" i="10" s="1"/>
  <c r="H31" i="10" a="1"/>
  <c r="H31" i="10" s="1"/>
  <c r="G32" i="10" a="1"/>
  <c r="G32" i="10" s="1"/>
  <c r="H32" i="10" a="1"/>
  <c r="H32" i="10" s="1"/>
  <c r="G33" i="10" a="1"/>
  <c r="G33" i="10" s="1"/>
  <c r="H33" i="10" a="1"/>
  <c r="H33" i="10" s="1"/>
  <c r="G34" i="10" a="1"/>
  <c r="G34" i="10" s="1"/>
  <c r="H34" i="10" a="1"/>
  <c r="H34" i="10"/>
  <c r="G35" i="10" a="1"/>
  <c r="G35" i="10"/>
  <c r="H35" i="10" a="1"/>
  <c r="H35" i="10"/>
  <c r="G36" i="10" a="1"/>
  <c r="G36" i="10"/>
  <c r="H36" i="10" a="1"/>
  <c r="H36" i="10"/>
  <c r="G37" i="10" a="1"/>
  <c r="G37" i="10"/>
  <c r="H37" i="10" a="1"/>
  <c r="H37" i="10"/>
  <c r="G38" i="10" a="1"/>
  <c r="G38" i="10"/>
  <c r="H38" i="10" a="1"/>
  <c r="H38" i="10"/>
  <c r="G39" i="10" a="1"/>
  <c r="G39" i="10"/>
  <c r="H39" i="10" a="1"/>
  <c r="H39" i="10"/>
  <c r="G40" i="10" a="1"/>
  <c r="G40" i="10"/>
  <c r="H40" i="10" a="1"/>
  <c r="H40" i="10" s="1"/>
  <c r="G41" i="10" a="1"/>
  <c r="G41" i="10" s="1"/>
  <c r="H41" i="10" a="1"/>
  <c r="H41" i="10" s="1"/>
  <c r="G42" i="10" a="1"/>
  <c r="G42" i="10" s="1"/>
  <c r="H42" i="10" a="1"/>
  <c r="H42" i="10" s="1"/>
  <c r="G43" i="10" a="1"/>
  <c r="G43" i="10" s="1"/>
  <c r="H43" i="10" a="1"/>
  <c r="H43" i="10" s="1"/>
  <c r="G44" i="10" a="1"/>
  <c r="G44" i="10" s="1"/>
  <c r="H44" i="10" a="1"/>
  <c r="H44" i="10" s="1"/>
  <c r="G45" i="10" a="1"/>
  <c r="G45" i="10" s="1"/>
  <c r="H45" i="10" a="1"/>
  <c r="H45" i="10" s="1"/>
  <c r="G46" i="10" a="1"/>
  <c r="G46" i="10" s="1"/>
  <c r="H46" i="10" a="1"/>
  <c r="H46" i="10" s="1"/>
  <c r="G47" i="10" a="1"/>
  <c r="G47" i="10" s="1"/>
  <c r="H47" i="10" a="1"/>
  <c r="H47" i="10" s="1"/>
  <c r="G48" i="10" a="1"/>
  <c r="G48" i="10" s="1"/>
  <c r="H48" i="10" a="1"/>
  <c r="H48" i="10" s="1"/>
  <c r="G49" i="10" a="1"/>
  <c r="G49" i="10" s="1"/>
  <c r="H49" i="10" a="1"/>
  <c r="H49" i="10" s="1"/>
  <c r="G50" i="10" a="1"/>
  <c r="G50" i="10" s="1"/>
  <c r="H50" i="10" a="1"/>
  <c r="H50" i="10" s="1"/>
  <c r="G51" i="10" a="1"/>
  <c r="G51" i="10" s="1"/>
  <c r="H51" i="10" a="1"/>
  <c r="H51" i="10" s="1"/>
  <c r="G52" i="10" a="1"/>
  <c r="G52" i="10" s="1"/>
  <c r="H52" i="10" a="1"/>
  <c r="H52" i="10" s="1"/>
  <c r="G53" i="10" a="1"/>
  <c r="G53" i="10" s="1"/>
  <c r="H53" i="10" a="1"/>
  <c r="H53" i="10" s="1"/>
  <c r="G54" i="10" a="1"/>
  <c r="G54" i="10" s="1"/>
  <c r="H54" i="10" a="1"/>
  <c r="H54" i="10" s="1"/>
  <c r="G55" i="10" a="1"/>
  <c r="G55" i="10" s="1"/>
  <c r="H55" i="10" a="1"/>
  <c r="H55" i="10" s="1"/>
  <c r="G56" i="10" a="1"/>
  <c r="G56" i="10" s="1"/>
  <c r="H56" i="10" a="1"/>
  <c r="H56" i="10" s="1"/>
  <c r="G57" i="10" a="1"/>
  <c r="G57" i="10" s="1"/>
  <c r="H57" i="10" a="1"/>
  <c r="H57" i="10" s="1"/>
  <c r="G58" i="10" a="1"/>
  <c r="G58" i="10" s="1"/>
  <c r="H58" i="10" a="1"/>
  <c r="H58" i="10" s="1"/>
  <c r="G59" i="10" a="1"/>
  <c r="G59" i="10" s="1"/>
  <c r="H59" i="10" a="1"/>
  <c r="H59" i="10" s="1"/>
  <c r="G60" i="10" a="1"/>
  <c r="G60" i="10" s="1"/>
  <c r="H60" i="10" a="1"/>
  <c r="H60" i="10" s="1"/>
  <c r="G61" i="10" a="1"/>
  <c r="G61" i="10" s="1"/>
  <c r="H61" i="10" a="1"/>
  <c r="H61" i="10" s="1"/>
  <c r="G62" i="10" a="1"/>
  <c r="G62" i="10" s="1"/>
  <c r="H62" i="10" a="1"/>
  <c r="H62" i="10" s="1"/>
  <c r="G63" i="10" a="1"/>
  <c r="G63" i="10" s="1"/>
  <c r="H63" i="10" a="1"/>
  <c r="H63" i="10" s="1"/>
  <c r="G64" i="10" a="1"/>
  <c r="G64" i="10" s="1"/>
  <c r="H64" i="10" a="1"/>
  <c r="H64" i="10" s="1"/>
  <c r="G65" i="10" a="1"/>
  <c r="G65" i="10" s="1"/>
  <c r="H65" i="10" a="1"/>
  <c r="H65" i="10" s="1"/>
  <c r="G66" i="10" a="1"/>
  <c r="G66" i="10" s="1"/>
  <c r="H66" i="10" a="1"/>
  <c r="H66" i="10"/>
  <c r="G67" i="10" a="1"/>
  <c r="G67" i="10"/>
  <c r="H67" i="10" a="1"/>
  <c r="H67" i="10"/>
  <c r="G68" i="10" a="1"/>
  <c r="G68" i="10"/>
  <c r="H68" i="10" a="1"/>
  <c r="H68" i="10"/>
  <c r="G69" i="10" a="1"/>
  <c r="G69" i="10"/>
  <c r="H69" i="10" a="1"/>
  <c r="H69" i="10"/>
  <c r="G70" i="10" a="1"/>
  <c r="G70" i="10"/>
  <c r="H70" i="10" a="1"/>
  <c r="H70" i="10"/>
  <c r="G71" i="10" a="1"/>
  <c r="G71" i="10"/>
  <c r="H71" i="10" a="1"/>
  <c r="H71" i="10"/>
  <c r="G72" i="10" a="1"/>
  <c r="G72" i="10"/>
  <c r="H72" i="10" a="1"/>
  <c r="H72" i="10"/>
  <c r="G73" i="10" a="1"/>
  <c r="G73" i="10"/>
  <c r="H73" i="10" a="1"/>
  <c r="H73" i="10"/>
  <c r="G74" i="10" a="1"/>
  <c r="G74" i="10"/>
  <c r="H74" i="10" a="1"/>
  <c r="H74" i="10"/>
  <c r="G75" i="10" a="1"/>
  <c r="G75" i="10"/>
  <c r="H75" i="10" a="1"/>
  <c r="H75" i="10"/>
  <c r="G76" i="10" a="1"/>
  <c r="G76" i="10"/>
  <c r="H76" i="10" a="1"/>
  <c r="H76" i="10"/>
  <c r="G77" i="10" a="1"/>
  <c r="G77" i="10"/>
  <c r="H77" i="10" a="1"/>
  <c r="H77" i="10"/>
  <c r="G78" i="10" a="1"/>
  <c r="G78" i="10"/>
  <c r="H78" i="10" a="1"/>
  <c r="H78" i="10"/>
  <c r="G79" i="10" a="1"/>
  <c r="G79" i="10"/>
  <c r="H79" i="10" a="1"/>
  <c r="H79" i="10" s="1"/>
  <c r="G80" i="10" a="1"/>
  <c r="G80" i="10" s="1"/>
  <c r="H80" i="10" a="1"/>
  <c r="H80" i="10" s="1"/>
  <c r="G81" i="10" a="1"/>
  <c r="G81" i="10" s="1"/>
  <c r="H81" i="10" a="1"/>
  <c r="H81" i="10" s="1"/>
  <c r="G82" i="10" a="1"/>
  <c r="G82" i="10" s="1"/>
  <c r="H82" i="10" a="1"/>
  <c r="H82" i="10" s="1"/>
  <c r="G83" i="10" a="1"/>
  <c r="G83" i="10" s="1"/>
  <c r="H83" i="10" a="1"/>
  <c r="H83" i="10" s="1"/>
  <c r="G84" i="10" a="1"/>
  <c r="G84" i="10" s="1"/>
  <c r="H84" i="10" a="1"/>
  <c r="H84" i="10" s="1"/>
  <c r="G85" i="10" a="1"/>
  <c r="G85" i="10" s="1"/>
  <c r="H85" i="10" a="1"/>
  <c r="H85" i="10" s="1"/>
  <c r="H2" i="10" a="1"/>
  <c r="H2" i="10" s="1"/>
  <c r="G2" i="10" a="1"/>
  <c r="G2" i="10" s="1"/>
  <c r="F3" i="10" a="1"/>
  <c r="F3" i="10" s="1"/>
  <c r="F4" i="10" a="1"/>
  <c r="F4" i="10" s="1"/>
  <c r="F5" i="10" a="1"/>
  <c r="F5" i="10" s="1"/>
  <c r="F6" i="10" a="1"/>
  <c r="F6" i="10" s="1"/>
  <c r="F7" i="10" a="1"/>
  <c r="F7" i="10" s="1"/>
  <c r="F8" i="10" a="1"/>
  <c r="F8" i="10" s="1"/>
  <c r="F9" i="10" a="1"/>
  <c r="F9" i="10" s="1"/>
  <c r="F10" i="10" a="1"/>
  <c r="F10" i="10" s="1"/>
  <c r="F11" i="10" a="1"/>
  <c r="F11" i="10" s="1"/>
  <c r="F12" i="10" a="1"/>
  <c r="F12" i="10" s="1"/>
  <c r="F13" i="10" a="1"/>
  <c r="F13" i="10" s="1"/>
  <c r="F14" i="10" a="1"/>
  <c r="F14" i="10" s="1"/>
  <c r="F15" i="10" a="1"/>
  <c r="F15" i="10" s="1"/>
  <c r="F16" i="10" a="1"/>
  <c r="F16" i="10" s="1"/>
  <c r="F17" i="10" a="1"/>
  <c r="F17" i="10" s="1"/>
  <c r="F18" i="10" a="1"/>
  <c r="F18" i="10" s="1"/>
  <c r="F19" i="10" a="1"/>
  <c r="F19" i="10" s="1"/>
  <c r="F20" i="10" a="1"/>
  <c r="F20" i="10" s="1"/>
  <c r="F21" i="10" a="1"/>
  <c r="F21" i="10" s="1"/>
  <c r="F22" i="10" a="1"/>
  <c r="F22" i="10" s="1"/>
  <c r="F23" i="10" a="1"/>
  <c r="F23" i="10" s="1"/>
  <c r="F24" i="10" a="1"/>
  <c r="F24" i="10" s="1"/>
  <c r="F25" i="10" a="1"/>
  <c r="F25" i="10" s="1"/>
  <c r="F26" i="10" a="1"/>
  <c r="F26" i="10" s="1"/>
  <c r="F27" i="10" a="1"/>
  <c r="F27" i="10" s="1"/>
  <c r="F28" i="10" a="1"/>
  <c r="F28" i="10" s="1"/>
  <c r="F29" i="10" a="1"/>
  <c r="F29" i="10" s="1"/>
  <c r="F30" i="10" a="1"/>
  <c r="F30" i="10" s="1"/>
  <c r="F31" i="10" a="1"/>
  <c r="F31" i="10" s="1"/>
  <c r="F32" i="10" a="1"/>
  <c r="F32" i="10" s="1"/>
  <c r="F33" i="10" a="1"/>
  <c r="F33" i="10" s="1"/>
  <c r="F34" i="10" a="1"/>
  <c r="F34" i="10" s="1"/>
  <c r="F35" i="10" a="1"/>
  <c r="F35" i="10" s="1"/>
  <c r="F36" i="10" a="1"/>
  <c r="F36" i="10" s="1"/>
  <c r="F37" i="10" a="1"/>
  <c r="F37" i="10" s="1"/>
  <c r="F38" i="10" a="1"/>
  <c r="F38" i="10" s="1"/>
  <c r="F39" i="10" a="1"/>
  <c r="F39" i="10" s="1"/>
  <c r="F40" i="10" a="1"/>
  <c r="F40" i="10" s="1"/>
  <c r="F41" i="10" a="1"/>
  <c r="F41" i="10" s="1"/>
  <c r="F42" i="10" a="1"/>
  <c r="F42" i="10" s="1"/>
  <c r="F43" i="10" a="1"/>
  <c r="F43" i="10" s="1"/>
  <c r="F44" i="10" a="1"/>
  <c r="F44" i="10" s="1"/>
  <c r="F45" i="10" a="1"/>
  <c r="F45" i="10" s="1"/>
  <c r="F46" i="10" a="1"/>
  <c r="F46" i="10" s="1"/>
  <c r="F47" i="10" a="1"/>
  <c r="F47" i="10" s="1"/>
  <c r="F48" i="10" a="1"/>
  <c r="F48" i="10" s="1"/>
  <c r="F49" i="10" a="1"/>
  <c r="F49" i="10" s="1"/>
  <c r="F50" i="10" a="1"/>
  <c r="F50" i="10" s="1"/>
  <c r="F51" i="10" a="1"/>
  <c r="F51" i="10" s="1"/>
  <c r="F52" i="10" a="1"/>
  <c r="F52" i="10" s="1"/>
  <c r="F53" i="10" a="1"/>
  <c r="F53" i="10" s="1"/>
  <c r="F54" i="10" a="1"/>
  <c r="F54" i="10" s="1"/>
  <c r="F55" i="10" a="1"/>
  <c r="F55" i="10" s="1"/>
  <c r="F56" i="10" a="1"/>
  <c r="F56" i="10"/>
  <c r="F57" i="10" a="1"/>
  <c r="F57" i="10"/>
  <c r="F58" i="10" a="1"/>
  <c r="F58" i="10"/>
  <c r="F59" i="10" a="1"/>
  <c r="F59" i="10"/>
  <c r="F60" i="10" a="1"/>
  <c r="F60" i="10" s="1"/>
  <c r="F61" i="10" a="1"/>
  <c r="F61" i="10" s="1"/>
  <c r="F62" i="10" a="1"/>
  <c r="F62" i="10" s="1"/>
  <c r="F63" i="10" a="1"/>
  <c r="F63" i="10" s="1"/>
  <c r="F64" i="10" a="1"/>
  <c r="F64" i="10" s="1"/>
  <c r="F65" i="10" a="1"/>
  <c r="F65" i="10" s="1"/>
  <c r="F66" i="10" a="1"/>
  <c r="F66" i="10" s="1"/>
  <c r="F67" i="10" a="1"/>
  <c r="F67" i="10" s="1"/>
  <c r="F68" i="10" a="1"/>
  <c r="F68" i="10" s="1"/>
  <c r="F69" i="10" a="1"/>
  <c r="F69" i="10" s="1"/>
  <c r="F70" i="10" a="1"/>
  <c r="F70" i="10" s="1"/>
  <c r="F71" i="10" a="1"/>
  <c r="F71" i="10" s="1"/>
  <c r="F72" i="10" a="1"/>
  <c r="F72" i="10" s="1"/>
  <c r="F73" i="10" a="1"/>
  <c r="F73" i="10" s="1"/>
  <c r="F74" i="10" a="1"/>
  <c r="F74" i="10" s="1"/>
  <c r="F75" i="10" a="1"/>
  <c r="F75" i="10" s="1"/>
  <c r="F76" i="10" a="1"/>
  <c r="F76" i="10" s="1"/>
  <c r="F77" i="10" a="1"/>
  <c r="F77" i="10" s="1"/>
  <c r="F78" i="10" a="1"/>
  <c r="F78" i="10" s="1"/>
  <c r="F79" i="10" a="1"/>
  <c r="F79" i="10" s="1"/>
  <c r="F80" i="10" a="1"/>
  <c r="F80" i="10" s="1"/>
  <c r="F81" i="10" a="1"/>
  <c r="F81" i="10" s="1"/>
  <c r="F82" i="10" a="1"/>
  <c r="F82" i="10" s="1"/>
  <c r="F83" i="10" a="1"/>
  <c r="F83" i="10" s="1"/>
  <c r="F84" i="10" a="1"/>
  <c r="F84" i="10" s="1"/>
  <c r="F85" i="10" a="1"/>
  <c r="F85" i="10" s="1"/>
  <c r="F2" i="10" a="1"/>
  <c r="F2" i="10" s="1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3" i="9"/>
  <c r="T3" i="9" s="1"/>
  <c r="W4" i="9"/>
  <c r="X4" i="9" s="1"/>
  <c r="W5" i="9"/>
  <c r="X5" i="9" s="1"/>
  <c r="W6" i="9"/>
  <c r="X6" i="9" s="1"/>
  <c r="W7" i="9"/>
  <c r="X7" i="9" s="1"/>
  <c r="W8" i="9"/>
  <c r="X8" i="9" s="1"/>
  <c r="W9" i="9"/>
  <c r="X9" i="9" s="1"/>
  <c r="W10" i="9"/>
  <c r="X10" i="9" s="1"/>
  <c r="W11" i="9"/>
  <c r="X11" i="9" s="1"/>
  <c r="W12" i="9"/>
  <c r="X12" i="9" s="1"/>
  <c r="W13" i="9"/>
  <c r="X13" i="9" s="1"/>
  <c r="W14" i="9"/>
  <c r="X14" i="9" s="1"/>
  <c r="W15" i="9"/>
  <c r="X15" i="9" s="1"/>
  <c r="W16" i="9"/>
  <c r="X16" i="9" s="1"/>
  <c r="W17" i="9"/>
  <c r="X17" i="9" s="1"/>
  <c r="W18" i="9"/>
  <c r="X18" i="9" s="1"/>
  <c r="W19" i="9"/>
  <c r="X19" i="9" s="1"/>
  <c r="W20" i="9"/>
  <c r="X20" i="9" s="1"/>
  <c r="W21" i="9"/>
  <c r="X21" i="9" s="1"/>
  <c r="W22" i="9"/>
  <c r="X22" i="9" s="1"/>
  <c r="W23" i="9"/>
  <c r="X23" i="9" s="1"/>
  <c r="W24" i="9"/>
  <c r="X24" i="9" s="1"/>
  <c r="W25" i="9"/>
  <c r="X25" i="9" s="1"/>
  <c r="W26" i="9"/>
  <c r="X26" i="9" s="1"/>
  <c r="W27" i="9"/>
  <c r="X27" i="9" s="1"/>
  <c r="W28" i="9"/>
  <c r="X28" i="9" s="1"/>
  <c r="W29" i="9"/>
  <c r="X29" i="9" s="1"/>
  <c r="W30" i="9"/>
  <c r="X30" i="9" s="1"/>
  <c r="W31" i="9"/>
  <c r="X31" i="9" s="1"/>
  <c r="W32" i="9"/>
  <c r="X32" i="9" s="1"/>
  <c r="W33" i="9"/>
  <c r="X33" i="9" s="1"/>
  <c r="W34" i="9"/>
  <c r="X34" i="9" s="1"/>
  <c r="W35" i="9"/>
  <c r="X35" i="9" s="1"/>
  <c r="W36" i="9"/>
  <c r="X36" i="9" s="1"/>
  <c r="W37" i="9"/>
  <c r="X37" i="9" s="1"/>
  <c r="W38" i="9"/>
  <c r="X38" i="9" s="1"/>
  <c r="W39" i="9"/>
  <c r="X39" i="9" s="1"/>
  <c r="W40" i="9"/>
  <c r="X40" i="9" s="1"/>
  <c r="W41" i="9"/>
  <c r="X41" i="9" s="1"/>
  <c r="W42" i="9"/>
  <c r="X42" i="9" s="1"/>
  <c r="W43" i="9"/>
  <c r="X43" i="9" s="1"/>
  <c r="W44" i="9"/>
  <c r="X44" i="9" s="1"/>
  <c r="W45" i="9"/>
  <c r="X45" i="9" s="1"/>
  <c r="W46" i="9"/>
  <c r="X46" i="9" s="1"/>
  <c r="W47" i="9"/>
  <c r="X47" i="9" s="1"/>
  <c r="W48" i="9"/>
  <c r="X48" i="9" s="1"/>
  <c r="W49" i="9"/>
  <c r="X49" i="9" s="1"/>
  <c r="W50" i="9"/>
  <c r="X50" i="9" s="1"/>
  <c r="W51" i="9"/>
  <c r="X51" i="9" s="1"/>
  <c r="W52" i="9"/>
  <c r="X52" i="9" s="1"/>
  <c r="W3" i="9"/>
  <c r="X3" i="9" s="1"/>
  <c r="S4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3" i="9"/>
  <c r="B3" i="7"/>
  <c r="B8" i="7"/>
  <c r="B9" i="7"/>
  <c r="B10" i="7"/>
  <c r="B11" i="7"/>
  <c r="B4" i="7"/>
  <c r="B5" i="7"/>
  <c r="B26" i="7"/>
  <c r="B12" i="7"/>
  <c r="B55" i="7"/>
  <c r="B27" i="7"/>
  <c r="B28" i="7"/>
  <c r="B29" i="7"/>
  <c r="B30" i="7"/>
  <c r="B31" i="7"/>
  <c r="B32" i="7"/>
  <c r="B33" i="7"/>
  <c r="B34" i="7"/>
  <c r="B35" i="7"/>
  <c r="B36" i="7"/>
  <c r="B13" i="7"/>
  <c r="B14" i="7"/>
  <c r="B37" i="7"/>
  <c r="B38" i="7"/>
  <c r="B15" i="7"/>
  <c r="B16" i="7"/>
  <c r="B17" i="7"/>
  <c r="B39" i="7"/>
  <c r="B18" i="7"/>
  <c r="B19" i="7"/>
  <c r="B20" i="7"/>
  <c r="B21" i="7"/>
  <c r="B22" i="7"/>
  <c r="B23" i="7"/>
  <c r="B40" i="7"/>
  <c r="B41" i="7"/>
  <c r="B42" i="7"/>
  <c r="B43" i="7"/>
  <c r="B6" i="7"/>
  <c r="B44" i="7"/>
  <c r="B45" i="7"/>
  <c r="B46" i="7"/>
  <c r="B88" i="7"/>
  <c r="B56" i="7"/>
  <c r="B57" i="7"/>
  <c r="B58" i="7"/>
  <c r="B59" i="7"/>
  <c r="B60" i="7"/>
  <c r="B61" i="7"/>
  <c r="B62" i="7"/>
  <c r="B63" i="7"/>
  <c r="B64" i="7"/>
  <c r="B89" i="7"/>
  <c r="B65" i="7"/>
  <c r="B90" i="7"/>
  <c r="B66" i="7"/>
  <c r="B67" i="7"/>
  <c r="B68" i="7"/>
  <c r="B69" i="7"/>
  <c r="B47" i="7"/>
  <c r="B70" i="7"/>
  <c r="B71" i="7"/>
  <c r="B72" i="7"/>
  <c r="B73" i="7"/>
  <c r="B48" i="7"/>
  <c r="B74" i="7"/>
  <c r="B49" i="7"/>
  <c r="B50" i="7"/>
  <c r="B75" i="7"/>
  <c r="B76" i="7"/>
  <c r="B51" i="7"/>
  <c r="B77" i="7"/>
  <c r="B78" i="7"/>
  <c r="B79" i="7"/>
  <c r="B80" i="7"/>
  <c r="B81" i="7"/>
  <c r="B82" i="7"/>
  <c r="B91" i="7"/>
  <c r="B92" i="7"/>
  <c r="B93" i="7"/>
  <c r="B94" i="7"/>
  <c r="B83" i="7"/>
  <c r="B95" i="7"/>
  <c r="B52" i="7"/>
  <c r="B7" i="7"/>
  <c r="B24" i="7"/>
  <c r="B96" i="7"/>
  <c r="B84" i="7"/>
  <c r="B85" i="7"/>
  <c r="B53" i="7"/>
  <c r="B25" i="7"/>
  <c r="B86" i="7"/>
  <c r="B97" i="7"/>
  <c r="B54" i="7"/>
  <c r="B87" i="7"/>
  <c r="B2" i="7"/>
  <c r="E3" i="7"/>
  <c r="E8" i="7"/>
  <c r="E9" i="7"/>
  <c r="E10" i="7"/>
  <c r="E11" i="7"/>
  <c r="E4" i="7"/>
  <c r="E5" i="7"/>
  <c r="E26" i="7"/>
  <c r="E12" i="7"/>
  <c r="E55" i="7"/>
  <c r="E27" i="7"/>
  <c r="E28" i="7"/>
  <c r="E29" i="7"/>
  <c r="E30" i="7"/>
  <c r="E31" i="7"/>
  <c r="E32" i="7"/>
  <c r="E33" i="7"/>
  <c r="E34" i="7"/>
  <c r="E35" i="7"/>
  <c r="E36" i="7"/>
  <c r="E13" i="7"/>
  <c r="E14" i="7"/>
  <c r="E37" i="7"/>
  <c r="E38" i="7"/>
  <c r="E15" i="7"/>
  <c r="E16" i="7"/>
  <c r="E17" i="7"/>
  <c r="E39" i="7"/>
  <c r="E18" i="7"/>
  <c r="E19" i="7"/>
  <c r="E20" i="7"/>
  <c r="E21" i="7"/>
  <c r="E22" i="7"/>
  <c r="E23" i="7"/>
  <c r="E40" i="7"/>
  <c r="E41" i="7"/>
  <c r="E42" i="7"/>
  <c r="E43" i="7"/>
  <c r="E6" i="7"/>
  <c r="E44" i="7"/>
  <c r="E45" i="7"/>
  <c r="E46" i="7"/>
  <c r="E88" i="7"/>
  <c r="E56" i="7"/>
  <c r="E57" i="7"/>
  <c r="E58" i="7"/>
  <c r="E59" i="7"/>
  <c r="E60" i="7"/>
  <c r="E61" i="7"/>
  <c r="E62" i="7"/>
  <c r="E63" i="7"/>
  <c r="E64" i="7"/>
  <c r="E89" i="7"/>
  <c r="E65" i="7"/>
  <c r="E90" i="7"/>
  <c r="E66" i="7"/>
  <c r="E67" i="7"/>
  <c r="E68" i="7"/>
  <c r="E69" i="7"/>
  <c r="E47" i="7"/>
  <c r="E70" i="7"/>
  <c r="E71" i="7"/>
  <c r="E72" i="7"/>
  <c r="E73" i="7"/>
  <c r="E48" i="7"/>
  <c r="E74" i="7"/>
  <c r="E49" i="7"/>
  <c r="E50" i="7"/>
  <c r="E75" i="7"/>
  <c r="E76" i="7"/>
  <c r="E51" i="7"/>
  <c r="E77" i="7"/>
  <c r="E78" i="7"/>
  <c r="E79" i="7"/>
  <c r="E80" i="7"/>
  <c r="E81" i="7"/>
  <c r="E82" i="7"/>
  <c r="E91" i="7"/>
  <c r="E92" i="7"/>
  <c r="E93" i="7"/>
  <c r="E94" i="7"/>
  <c r="E83" i="7"/>
  <c r="E95" i="7"/>
  <c r="E52" i="7"/>
  <c r="E7" i="7"/>
  <c r="E24" i="7"/>
  <c r="E96" i="7"/>
  <c r="E84" i="7"/>
  <c r="E85" i="7"/>
  <c r="E53" i="7"/>
  <c r="E25" i="7"/>
  <c r="E86" i="7"/>
  <c r="E97" i="7"/>
  <c r="E54" i="7"/>
  <c r="E87" i="7"/>
  <c r="E2" i="7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3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" i="6"/>
  <c r="B1" i="6"/>
  <c r="T25" i="3"/>
  <c r="T26" i="3"/>
  <c r="T27" i="3"/>
  <c r="T28" i="3"/>
  <c r="T29" i="3"/>
  <c r="T30" i="3"/>
  <c r="T31" i="3"/>
  <c r="T24" i="3"/>
  <c r="S24" i="3"/>
  <c r="S25" i="3"/>
  <c r="S26" i="3"/>
  <c r="S27" i="3"/>
  <c r="S28" i="3"/>
  <c r="S29" i="3"/>
  <c r="S30" i="3"/>
  <c r="S31" i="3"/>
  <c r="S32" i="3"/>
  <c r="S33" i="3"/>
  <c r="Q33" i="3"/>
  <c r="Q32" i="3"/>
  <c r="Q31" i="3"/>
  <c r="Q30" i="3"/>
  <c r="Q29" i="3"/>
  <c r="Q28" i="3"/>
  <c r="Q27" i="3"/>
  <c r="Q26" i="3"/>
  <c r="Q25" i="3"/>
  <c r="Q24" i="3"/>
  <c r="J26" i="3"/>
  <c r="J27" i="3"/>
  <c r="J28" i="3"/>
  <c r="J29" i="3"/>
  <c r="J30" i="3"/>
  <c r="J31" i="3"/>
  <c r="J32" i="3"/>
  <c r="J33" i="3"/>
  <c r="J25" i="3"/>
  <c r="L29" i="3"/>
  <c r="L30" i="3"/>
  <c r="L26" i="3"/>
  <c r="L31" i="3"/>
  <c r="L27" i="3"/>
  <c r="L25" i="3"/>
  <c r="L28" i="3"/>
  <c r="J24" i="3"/>
  <c r="L24" i="3"/>
  <c r="O27" i="3"/>
  <c r="O25" i="3"/>
  <c r="O26" i="3"/>
  <c r="O28" i="3"/>
  <c r="O29" i="3"/>
  <c r="O30" i="3"/>
  <c r="O33" i="3"/>
  <c r="P11" i="4"/>
  <c r="N11" i="4"/>
  <c r="M11" i="4"/>
  <c r="L11" i="4"/>
  <c r="J11" i="4"/>
  <c r="P10" i="4"/>
  <c r="N10" i="4"/>
  <c r="M10" i="4"/>
  <c r="L10" i="4"/>
  <c r="J10" i="4"/>
  <c r="P9" i="4"/>
  <c r="N9" i="4"/>
  <c r="M9" i="4"/>
  <c r="L9" i="4"/>
  <c r="J9" i="4"/>
  <c r="P8" i="4"/>
  <c r="N8" i="4"/>
  <c r="M8" i="4"/>
  <c r="L8" i="4"/>
  <c r="J8" i="4"/>
  <c r="M7" i="4"/>
  <c r="P6" i="4"/>
  <c r="N6" i="4"/>
  <c r="M6" i="4"/>
  <c r="L6" i="4"/>
  <c r="J6" i="4"/>
  <c r="P5" i="4"/>
  <c r="N5" i="4"/>
  <c r="M5" i="4"/>
  <c r="L5" i="4"/>
  <c r="J5" i="4"/>
  <c r="P4" i="4"/>
  <c r="N4" i="4"/>
  <c r="M4" i="4"/>
  <c r="L4" i="4"/>
  <c r="J4" i="4"/>
  <c r="P3" i="4"/>
  <c r="N3" i="4"/>
  <c r="M3" i="4"/>
  <c r="L3" i="4"/>
  <c r="J3" i="4"/>
  <c r="K21" i="23" l="1" a="1"/>
  <c r="K21" i="23" s="1"/>
  <c r="E21" i="23" s="1"/>
  <c r="B56" i="17"/>
  <c r="K26" i="24" a="1"/>
  <c r="K26" i="24" s="1"/>
  <c r="E26" i="24" s="1"/>
  <c r="K21" i="24" a="1"/>
  <c r="K21" i="24" s="1"/>
  <c r="E21" i="24" s="1"/>
  <c r="K6" i="20" a="1"/>
  <c r="K6" i="20" s="1"/>
  <c r="E6" i="20" s="1"/>
  <c r="K7" i="20" a="1"/>
  <c r="K7" i="20" s="1"/>
  <c r="E7" i="20" s="1"/>
  <c r="K21" i="22" a="1"/>
  <c r="K21" i="22" s="1"/>
  <c r="E21" i="22" s="1"/>
  <c r="K26" i="21" a="1"/>
  <c r="K26" i="21" s="1"/>
  <c r="E26" i="21" s="1"/>
  <c r="K26" i="23" a="1"/>
  <c r="K26" i="23" s="1"/>
  <c r="E26" i="23" s="1"/>
  <c r="K26" i="22" a="1"/>
  <c r="K26" i="22" s="1"/>
  <c r="E26" i="22" s="1"/>
  <c r="E21" i="25"/>
  <c r="E26" i="25"/>
  <c r="D56" i="2" a="1"/>
  <c r="D56" i="2" s="1"/>
  <c r="F94" i="6" s="1" a="1"/>
  <c r="F94" i="6" s="1"/>
  <c r="K27" i="23" a="1"/>
  <c r="K27" i="23" s="1"/>
  <c r="E27" i="23" s="1"/>
  <c r="K27" i="24" a="1"/>
  <c r="K27" i="24" s="1"/>
  <c r="E27" i="24" s="1"/>
  <c r="K8" i="20" a="1"/>
  <c r="K8" i="20" s="1"/>
  <c r="E8" i="20" s="1"/>
  <c r="E27" i="25"/>
  <c r="K27" i="22" a="1"/>
  <c r="K27" i="22" s="1"/>
  <c r="E27" i="22" s="1"/>
  <c r="X53" i="2"/>
  <c r="Y53" i="2"/>
  <c r="Y63" i="2"/>
  <c r="X63" i="2"/>
  <c r="X50" i="2"/>
  <c r="Y50" i="2"/>
  <c r="Z100" i="2"/>
  <c r="AA100" i="2"/>
  <c r="X82" i="2"/>
  <c r="Y82" i="2"/>
  <c r="X71" i="2"/>
  <c r="Y71" i="2"/>
  <c r="X7" i="2"/>
  <c r="Y7" i="2"/>
  <c r="X81" i="2"/>
  <c r="Y81" i="2"/>
  <c r="X6" i="2"/>
  <c r="Y6" i="2"/>
  <c r="X5" i="2"/>
  <c r="Y5" i="2"/>
  <c r="Y31" i="2"/>
  <c r="X31" i="2"/>
  <c r="Y55" i="2"/>
  <c r="Y54" i="2"/>
  <c r="Y3" i="2"/>
  <c r="X13" i="2"/>
  <c r="Y51" i="2"/>
  <c r="AA99" i="2"/>
  <c r="AA91" i="2"/>
  <c r="Y32" i="2"/>
  <c r="AA87" i="2"/>
  <c r="Y83" i="2"/>
  <c r="Y23" i="2"/>
  <c r="Y22" i="2"/>
  <c r="Y20" i="2"/>
  <c r="Y80" i="2"/>
  <c r="Y19" i="2"/>
  <c r="Y78" i="2"/>
  <c r="Y11" i="2"/>
  <c r="X12" i="2"/>
  <c r="Y12" i="2"/>
  <c r="X29" i="2"/>
  <c r="Y29" i="2"/>
  <c r="X60" i="2"/>
  <c r="Y60" i="2"/>
  <c r="X39" i="2"/>
  <c r="Y39" i="2"/>
  <c r="X21" i="2"/>
  <c r="Y21" i="2"/>
  <c r="Y49" i="2"/>
  <c r="X49" i="2"/>
  <c r="AA90" i="2"/>
  <c r="Z90" i="2"/>
  <c r="Y70" i="2"/>
  <c r="X70" i="2"/>
  <c r="X58" i="2"/>
  <c r="Y58" i="2"/>
  <c r="X68" i="2"/>
  <c r="Y68" i="2"/>
  <c r="AA96" i="2"/>
  <c r="AA95" i="2"/>
  <c r="Y15" i="2"/>
  <c r="Z94" i="2"/>
  <c r="Y62" i="2"/>
  <c r="Y46" i="2"/>
  <c r="Y30" i="2"/>
  <c r="Y14" i="2"/>
  <c r="Y85" i="2"/>
  <c r="Y37" i="2"/>
  <c r="Y67" i="2"/>
  <c r="Y79" i="2"/>
  <c r="Y47" i="2"/>
  <c r="Z93" i="2"/>
  <c r="Y77" i="2"/>
  <c r="Y45" i="2"/>
  <c r="Y17" i="2"/>
  <c r="AA92" i="2"/>
  <c r="Y76" i="2"/>
  <c r="Y44" i="2"/>
  <c r="Y28" i="2"/>
  <c r="Y84" i="2"/>
  <c r="Y36" i="2"/>
  <c r="X33" i="2"/>
  <c r="Y16" i="2"/>
  <c r="Z89" i="2"/>
  <c r="Y75" i="2"/>
  <c r="Y43" i="2"/>
  <c r="Y27" i="2"/>
  <c r="Y74" i="2"/>
  <c r="Y42" i="2"/>
  <c r="Y26" i="2"/>
  <c r="Y10" i="2"/>
  <c r="AA86" i="2"/>
  <c r="Y38" i="2"/>
  <c r="Y35" i="2"/>
  <c r="AA98" i="2"/>
  <c r="Y66" i="2"/>
  <c r="Y34" i="2"/>
  <c r="AA97" i="2"/>
  <c r="Y65" i="2"/>
  <c r="Y48" i="2"/>
  <c r="Y73" i="2"/>
  <c r="Y57" i="2"/>
  <c r="Y41" i="2"/>
  <c r="Y25" i="2"/>
  <c r="Y18" i="2"/>
  <c r="AA88" i="2"/>
  <c r="Y72" i="2"/>
  <c r="Y56" i="2"/>
  <c r="Y40" i="2"/>
  <c r="Y24" i="2"/>
  <c r="B9" i="14" a="1"/>
  <c r="B9" i="14" s="1"/>
  <c r="B9" i="15" a="1"/>
  <c r="B9" i="15" s="1"/>
  <c r="F52" i="14" a="1"/>
  <c r="F52" i="14" s="1"/>
  <c r="F92" i="15" a="1"/>
  <c r="F92" i="15" s="1"/>
  <c r="M92" i="15" s="1"/>
  <c r="F52" i="15" a="1"/>
  <c r="F52" i="15" s="1"/>
  <c r="M52" i="15" s="1"/>
  <c r="F93" i="15" a="1"/>
  <c r="F93" i="15" s="1"/>
  <c r="M93" i="15" s="1"/>
  <c r="F25" i="15" a="1"/>
  <c r="F25" i="15" s="1"/>
  <c r="M25" i="15" s="1"/>
  <c r="F92" i="14" a="1"/>
  <c r="F92" i="14" s="1"/>
  <c r="F25" i="14" a="1"/>
  <c r="F25" i="14" s="1"/>
  <c r="F93" i="14" a="1"/>
  <c r="F93" i="14" s="1"/>
  <c r="X8" i="2"/>
  <c r="T9" i="2"/>
  <c r="X2" i="2"/>
  <c r="W25" i="3"/>
  <c r="W26" i="3"/>
  <c r="W28" i="3"/>
  <c r="W29" i="3"/>
  <c r="W30" i="3"/>
  <c r="W31" i="3"/>
  <c r="W32" i="3"/>
  <c r="W33" i="3"/>
  <c r="V27" i="3"/>
  <c r="W27" i="3" s="1"/>
  <c r="V24" i="3"/>
  <c r="W24" i="3" s="1"/>
  <c r="K7" i="19"/>
  <c r="K4" i="19"/>
  <c r="P68" i="18"/>
  <c r="R73" i="18"/>
  <c r="S73" i="18" s="1"/>
  <c r="P72" i="18"/>
  <c r="P64" i="18"/>
  <c r="P65" i="18"/>
  <c r="P67" i="18"/>
  <c r="L19" i="18"/>
  <c r="R85" i="18"/>
  <c r="S85" i="18" s="1"/>
  <c r="P85" i="18"/>
  <c r="R84" i="18"/>
  <c r="S84" i="18" s="1"/>
  <c r="P84" i="18"/>
  <c r="R83" i="18"/>
  <c r="S83" i="18" s="1"/>
  <c r="P83" i="18"/>
  <c r="R82" i="18"/>
  <c r="S82" i="18" s="1"/>
  <c r="P82" i="18"/>
  <c r="R81" i="18"/>
  <c r="S81" i="18" s="1"/>
  <c r="P81" i="18"/>
  <c r="R80" i="18"/>
  <c r="S80" i="18" s="1"/>
  <c r="P80" i="18"/>
  <c r="P79" i="18"/>
  <c r="R79" i="18"/>
  <c r="S79" i="18" s="1"/>
  <c r="R78" i="18"/>
  <c r="S78" i="18" s="1"/>
  <c r="P78" i="18"/>
  <c r="R77" i="18"/>
  <c r="S77" i="18" s="1"/>
  <c r="P77" i="18"/>
  <c r="P76" i="18"/>
  <c r="R76" i="18"/>
  <c r="S76" i="18" s="1"/>
  <c r="U76" i="18" s="1"/>
  <c r="P75" i="18"/>
  <c r="R75" i="18"/>
  <c r="S75" i="18" s="1"/>
  <c r="U75" i="18" s="1"/>
  <c r="P74" i="18"/>
  <c r="R74" i="18"/>
  <c r="S74" i="18" s="1"/>
  <c r="P73" i="18"/>
  <c r="R72" i="18"/>
  <c r="S72" i="18" s="1"/>
  <c r="R71" i="18"/>
  <c r="S71" i="18" s="1"/>
  <c r="P71" i="18"/>
  <c r="P70" i="18"/>
  <c r="R70" i="18"/>
  <c r="S70" i="18" s="1"/>
  <c r="R69" i="18"/>
  <c r="S69" i="18" s="1"/>
  <c r="P69" i="18"/>
  <c r="R68" i="18"/>
  <c r="S68" i="18" s="1"/>
  <c r="R67" i="18"/>
  <c r="S67" i="18" s="1"/>
  <c r="U67" i="18" s="1"/>
  <c r="R66" i="18"/>
  <c r="S66" i="18" s="1"/>
  <c r="P66" i="18"/>
  <c r="R65" i="18"/>
  <c r="S65" i="18" s="1"/>
  <c r="R64" i="18"/>
  <c r="S64" i="18" s="1"/>
  <c r="R63" i="18"/>
  <c r="S63" i="18" s="1"/>
  <c r="P63" i="18"/>
  <c r="R55" i="18"/>
  <c r="S55" i="18" s="1"/>
  <c r="P55" i="18"/>
  <c r="R50" i="18"/>
  <c r="S50" i="18" s="1"/>
  <c r="P50" i="18"/>
  <c r="R49" i="18"/>
  <c r="S49" i="18" s="1"/>
  <c r="P49" i="18"/>
  <c r="P47" i="18"/>
  <c r="R47" i="18"/>
  <c r="S47" i="18" s="1"/>
  <c r="U47" i="18" s="1"/>
  <c r="R46" i="18"/>
  <c r="S46" i="18" s="1"/>
  <c r="P46" i="18"/>
  <c r="R45" i="18"/>
  <c r="S45" i="18" s="1"/>
  <c r="P45" i="18"/>
  <c r="P44" i="18"/>
  <c r="R44" i="18"/>
  <c r="S44" i="18" s="1"/>
  <c r="U44" i="18" s="1"/>
  <c r="R43" i="18"/>
  <c r="S43" i="18" s="1"/>
  <c r="P43" i="18"/>
  <c r="P42" i="18"/>
  <c r="R42" i="18"/>
  <c r="S42" i="18" s="1"/>
  <c r="R41" i="18"/>
  <c r="S41" i="18" s="1"/>
  <c r="P41" i="18"/>
  <c r="R40" i="18"/>
  <c r="S40" i="18" s="1"/>
  <c r="P40" i="18"/>
  <c r="R39" i="18"/>
  <c r="S39" i="18" s="1"/>
  <c r="P39" i="18"/>
  <c r="R38" i="18"/>
  <c r="S38" i="18" s="1"/>
  <c r="P38" i="18"/>
  <c r="R37" i="18"/>
  <c r="S37" i="18" s="1"/>
  <c r="P37" i="18"/>
  <c r="R36" i="18"/>
  <c r="S36" i="18" s="1"/>
  <c r="P36" i="18"/>
  <c r="R35" i="18"/>
  <c r="S35" i="18" s="1"/>
  <c r="P35" i="18"/>
  <c r="R34" i="18"/>
  <c r="S34" i="18" s="1"/>
  <c r="P34" i="18"/>
  <c r="P33" i="18"/>
  <c r="R33" i="18"/>
  <c r="S33" i="18" s="1"/>
  <c r="P32" i="18"/>
  <c r="R32" i="18"/>
  <c r="S32" i="18" s="1"/>
  <c r="R31" i="18"/>
  <c r="S31" i="18" s="1"/>
  <c r="P31" i="18"/>
  <c r="P30" i="18"/>
  <c r="R30" i="18"/>
  <c r="S30" i="18" s="1"/>
  <c r="P29" i="18"/>
  <c r="R29" i="18"/>
  <c r="S29" i="18" s="1"/>
  <c r="R28" i="18"/>
  <c r="S28" i="18" s="1"/>
  <c r="P28" i="18"/>
  <c r="P27" i="18"/>
  <c r="R27" i="18"/>
  <c r="S27" i="18" s="1"/>
  <c r="U27" i="18" s="1"/>
  <c r="R26" i="18"/>
  <c r="S26" i="18" s="1"/>
  <c r="P26" i="18"/>
  <c r="P25" i="18"/>
  <c r="R25" i="18"/>
  <c r="S25" i="18" s="1"/>
  <c r="R24" i="18"/>
  <c r="S24" i="18" s="1"/>
  <c r="P24" i="18"/>
  <c r="P23" i="18"/>
  <c r="R23" i="18"/>
  <c r="S23" i="18" s="1"/>
  <c r="U23" i="18" s="1"/>
  <c r="P22" i="18"/>
  <c r="R22" i="18"/>
  <c r="S22" i="18" s="1"/>
  <c r="R21" i="18"/>
  <c r="S21" i="18" s="1"/>
  <c r="P21" i="18"/>
  <c r="P20" i="18"/>
  <c r="R20" i="18"/>
  <c r="S20" i="18" s="1"/>
  <c r="U20" i="18" s="1"/>
  <c r="R19" i="18"/>
  <c r="S19" i="18" s="1"/>
  <c r="P19" i="18"/>
  <c r="P18" i="18"/>
  <c r="R18" i="18"/>
  <c r="S18" i="18" s="1"/>
  <c r="U18" i="18" s="1"/>
  <c r="P17" i="18"/>
  <c r="R17" i="18"/>
  <c r="S17" i="18" s="1"/>
  <c r="P10" i="18"/>
  <c r="R10" i="18"/>
  <c r="S10" i="18" s="1"/>
  <c r="R9" i="18"/>
  <c r="S9" i="18" s="1"/>
  <c r="P9" i="18"/>
  <c r="R8" i="18"/>
  <c r="S8" i="18" s="1"/>
  <c r="P8" i="18"/>
  <c r="P7" i="18"/>
  <c r="R7" i="18"/>
  <c r="S7" i="18" s="1"/>
  <c r="P5" i="18"/>
  <c r="R5" i="18"/>
  <c r="S5" i="18" s="1"/>
  <c r="U5" i="18" s="1"/>
  <c r="P4" i="18"/>
  <c r="R4" i="18"/>
  <c r="S4" i="18" s="1"/>
  <c r="A101" i="18"/>
  <c r="B3" i="6" a="1"/>
  <c r="B3" i="6" s="1"/>
  <c r="B4" i="15" a="1"/>
  <c r="B4" i="15" s="1"/>
  <c r="B4" i="14" a="1"/>
  <c r="B4" i="14" s="1"/>
  <c r="B4" i="6" a="1"/>
  <c r="B4" i="6" s="1"/>
  <c r="B5" i="14" a="1"/>
  <c r="B5" i="14" s="1"/>
  <c r="B5" i="15" a="1"/>
  <c r="B5" i="15" s="1"/>
  <c r="G73" i="6" a="1"/>
  <c r="G73" i="6" s="1"/>
  <c r="G86" i="15" a="1"/>
  <c r="G86" i="15" s="1"/>
  <c r="A101" i="17"/>
  <c r="N13" i="17"/>
  <c r="Q13" i="17"/>
  <c r="N5" i="17"/>
  <c r="Q5" i="17"/>
  <c r="N14" i="17"/>
  <c r="Q14" i="17"/>
  <c r="Q10" i="17"/>
  <c r="N10" i="17"/>
  <c r="N11" i="17"/>
  <c r="Q11" i="17"/>
  <c r="N12" i="17"/>
  <c r="Q12" i="17"/>
  <c r="N15" i="17"/>
  <c r="Q15" i="17"/>
  <c r="N16" i="17"/>
  <c r="Q16" i="17"/>
  <c r="N9" i="17"/>
  <c r="Q9" i="17"/>
  <c r="N6" i="17"/>
  <c r="Q6" i="17"/>
  <c r="N8" i="17"/>
  <c r="Q8" i="17"/>
  <c r="N7" i="17"/>
  <c r="Q7" i="17"/>
  <c r="N17" i="17"/>
  <c r="Q17" i="17"/>
  <c r="N18" i="17"/>
  <c r="Q18" i="17"/>
  <c r="N19" i="17"/>
  <c r="Q20" i="17"/>
  <c r="N25" i="17"/>
  <c r="Q21" i="17"/>
  <c r="N22" i="17"/>
  <c r="Q24" i="17"/>
  <c r="N26" i="17"/>
  <c r="Q23" i="17"/>
  <c r="N27" i="17"/>
  <c r="Q19" i="17"/>
  <c r="N46" i="17"/>
  <c r="Q25" i="17"/>
  <c r="N41" i="17"/>
  <c r="Q22" i="17"/>
  <c r="N43" i="17"/>
  <c r="Q26" i="17"/>
  <c r="N44" i="17"/>
  <c r="Q27" i="17"/>
  <c r="N45" i="17"/>
  <c r="Q46" i="17"/>
  <c r="N51" i="17"/>
  <c r="Q41" i="17"/>
  <c r="N52" i="17"/>
  <c r="Q43" i="17"/>
  <c r="N42" i="17"/>
  <c r="Q44" i="17"/>
  <c r="N28" i="17"/>
  <c r="Q45" i="17"/>
  <c r="N34" i="17"/>
  <c r="Q51" i="17"/>
  <c r="N29" i="17"/>
  <c r="Q52" i="17"/>
  <c r="N35" i="17"/>
  <c r="Q42" i="17"/>
  <c r="N31" i="17"/>
  <c r="Q28" i="17"/>
  <c r="N32" i="17"/>
  <c r="Q34" i="17"/>
  <c r="N33" i="17"/>
  <c r="Q29" i="17"/>
  <c r="N36" i="17"/>
  <c r="Q35" i="17"/>
  <c r="N37" i="17"/>
  <c r="Q31" i="17"/>
  <c r="N30" i="17"/>
  <c r="Q32" i="17"/>
  <c r="N38" i="17"/>
  <c r="Q33" i="17"/>
  <c r="N40" i="17"/>
  <c r="Q36" i="17"/>
  <c r="N39" i="17"/>
  <c r="Q37" i="17"/>
  <c r="N47" i="17"/>
  <c r="Q30" i="17"/>
  <c r="N53" i="17"/>
  <c r="Q38" i="17"/>
  <c r="N48" i="17"/>
  <c r="Q40" i="17"/>
  <c r="N50" i="17"/>
  <c r="Q39" i="17"/>
  <c r="N49" i="17"/>
  <c r="Q47" i="17"/>
  <c r="N54" i="17"/>
  <c r="Q53" i="17"/>
  <c r="N55" i="17"/>
  <c r="Q48" i="17"/>
  <c r="N56" i="17"/>
  <c r="Q50" i="17"/>
  <c r="N61" i="17"/>
  <c r="Q49" i="17"/>
  <c r="N68" i="17"/>
  <c r="Q54" i="17"/>
  <c r="N66" i="17"/>
  <c r="Q55" i="17"/>
  <c r="N62" i="17"/>
  <c r="Q56" i="17"/>
  <c r="N69" i="17"/>
  <c r="Q61" i="17"/>
  <c r="N67" i="17"/>
  <c r="Q68" i="17"/>
  <c r="N64" i="17"/>
  <c r="Q66" i="17"/>
  <c r="N65" i="17"/>
  <c r="Q62" i="17"/>
  <c r="N70" i="17"/>
  <c r="Q69" i="17"/>
  <c r="N63" i="17"/>
  <c r="Q67" i="17"/>
  <c r="N71" i="17"/>
  <c r="Q64" i="17"/>
  <c r="N84" i="17"/>
  <c r="Q65" i="17"/>
  <c r="N88" i="17"/>
  <c r="Q70" i="17"/>
  <c r="N89" i="17"/>
  <c r="Q63" i="17"/>
  <c r="N72" i="17"/>
  <c r="Q71" i="17"/>
  <c r="Q84" i="17"/>
  <c r="N80" i="17"/>
  <c r="N73" i="17"/>
  <c r="Q88" i="17"/>
  <c r="Q89" i="17"/>
  <c r="N78" i="17"/>
  <c r="Q72" i="17"/>
  <c r="N79" i="17"/>
  <c r="N81" i="17"/>
  <c r="Q80" i="17"/>
  <c r="N74" i="17"/>
  <c r="Q73" i="17"/>
  <c r="N75" i="17"/>
  <c r="Q78" i="17"/>
  <c r="N76" i="17"/>
  <c r="Q79" i="17"/>
  <c r="Q81" i="17"/>
  <c r="N77" i="17"/>
  <c r="N82" i="17"/>
  <c r="Q74" i="17"/>
  <c r="N83" i="17"/>
  <c r="Q75" i="17"/>
  <c r="N85" i="17"/>
  <c r="Q76" i="17"/>
  <c r="N87" i="17"/>
  <c r="Q77" i="17"/>
  <c r="N86" i="17"/>
  <c r="Q82" i="17"/>
  <c r="Q83" i="17"/>
  <c r="N57" i="17"/>
  <c r="N58" i="17"/>
  <c r="Q85" i="17"/>
  <c r="N59" i="17"/>
  <c r="Q87" i="17"/>
  <c r="N60" i="17"/>
  <c r="Q86" i="17"/>
  <c r="N4" i="17"/>
  <c r="Q4" i="17"/>
  <c r="U89" i="17"/>
  <c r="V89" i="17" s="1"/>
  <c r="S89" i="17"/>
  <c r="S86" i="17"/>
  <c r="U86" i="17"/>
  <c r="V86" i="17" s="1"/>
  <c r="S87" i="17"/>
  <c r="U87" i="17"/>
  <c r="V87" i="17" s="1"/>
  <c r="S85" i="17"/>
  <c r="U85" i="17"/>
  <c r="V85" i="17" s="1"/>
  <c r="S83" i="17"/>
  <c r="U83" i="17"/>
  <c r="V83" i="17" s="1"/>
  <c r="S82" i="17"/>
  <c r="U82" i="17"/>
  <c r="V82" i="17" s="1"/>
  <c r="S77" i="17"/>
  <c r="U77" i="17"/>
  <c r="V77" i="17" s="1"/>
  <c r="U76" i="17"/>
  <c r="V76" i="17" s="1"/>
  <c r="S75" i="17"/>
  <c r="U75" i="17"/>
  <c r="V75" i="17" s="1"/>
  <c r="U74" i="17"/>
  <c r="V74" i="17" s="1"/>
  <c r="S74" i="17"/>
  <c r="S81" i="17"/>
  <c r="U81" i="17"/>
  <c r="V81" i="17" s="1"/>
  <c r="U79" i="17"/>
  <c r="V79" i="17" s="1"/>
  <c r="S79" i="17"/>
  <c r="U78" i="17"/>
  <c r="V78" i="17" s="1"/>
  <c r="S78" i="17"/>
  <c r="S73" i="17"/>
  <c r="U73" i="17"/>
  <c r="V73" i="17" s="1"/>
  <c r="U80" i="17"/>
  <c r="V80" i="17" s="1"/>
  <c r="S80" i="17"/>
  <c r="S72" i="17"/>
  <c r="U72" i="17"/>
  <c r="V72" i="17" s="1"/>
  <c r="S88" i="17"/>
  <c r="U88" i="17"/>
  <c r="V88" i="17" s="1"/>
  <c r="U84" i="17"/>
  <c r="V84" i="17" s="1"/>
  <c r="S84" i="17"/>
  <c r="U71" i="17"/>
  <c r="V71" i="17" s="1"/>
  <c r="S71" i="17"/>
  <c r="S63" i="17"/>
  <c r="U63" i="17"/>
  <c r="V63" i="17" s="1"/>
  <c r="S70" i="17"/>
  <c r="U70" i="17"/>
  <c r="V70" i="17" s="1"/>
  <c r="U65" i="17"/>
  <c r="V65" i="17" s="1"/>
  <c r="S65" i="17"/>
  <c r="U64" i="17"/>
  <c r="V64" i="17" s="1"/>
  <c r="S64" i="17"/>
  <c r="S67" i="17"/>
  <c r="U67" i="17"/>
  <c r="V67" i="17" s="1"/>
  <c r="S69" i="17"/>
  <c r="U69" i="17"/>
  <c r="V69" i="17" s="1"/>
  <c r="S62" i="17"/>
  <c r="U62" i="17"/>
  <c r="V62" i="17" s="1"/>
  <c r="S66" i="17"/>
  <c r="U66" i="17"/>
  <c r="V66" i="17" s="1"/>
  <c r="S68" i="17"/>
  <c r="U68" i="17"/>
  <c r="V68" i="17" s="1"/>
  <c r="U61" i="17"/>
  <c r="V61" i="17" s="1"/>
  <c r="S61" i="17"/>
  <c r="U56" i="17"/>
  <c r="V56" i="17" s="1"/>
  <c r="S56" i="17"/>
  <c r="U55" i="17"/>
  <c r="V55" i="17" s="1"/>
  <c r="S55" i="17"/>
  <c r="U54" i="17"/>
  <c r="V54" i="17" s="1"/>
  <c r="S54" i="17"/>
  <c r="U49" i="17"/>
  <c r="V49" i="17" s="1"/>
  <c r="S49" i="17"/>
  <c r="S50" i="17"/>
  <c r="U50" i="17"/>
  <c r="V50" i="17" s="1"/>
  <c r="U48" i="17"/>
  <c r="V48" i="17" s="1"/>
  <c r="S48" i="17"/>
  <c r="U53" i="17"/>
  <c r="V53" i="17" s="1"/>
  <c r="S53" i="17"/>
  <c r="U47" i="17"/>
  <c r="V47" i="17" s="1"/>
  <c r="S47" i="17"/>
  <c r="U39" i="17"/>
  <c r="V39" i="17" s="1"/>
  <c r="S39" i="17"/>
  <c r="U40" i="17"/>
  <c r="V40" i="17" s="1"/>
  <c r="S40" i="17"/>
  <c r="S38" i="17"/>
  <c r="U38" i="17"/>
  <c r="V38" i="17" s="1"/>
  <c r="U30" i="17"/>
  <c r="V30" i="17" s="1"/>
  <c r="S30" i="17"/>
  <c r="U37" i="17"/>
  <c r="V37" i="17" s="1"/>
  <c r="S37" i="17"/>
  <c r="U36" i="17"/>
  <c r="V36" i="17" s="1"/>
  <c r="S36" i="17"/>
  <c r="S33" i="17"/>
  <c r="U33" i="17"/>
  <c r="V33" i="17" s="1"/>
  <c r="S32" i="17"/>
  <c r="U32" i="17"/>
  <c r="V32" i="17" s="1"/>
  <c r="S31" i="17"/>
  <c r="U31" i="17"/>
  <c r="V31" i="17" s="1"/>
  <c r="S35" i="17"/>
  <c r="U35" i="17"/>
  <c r="V35" i="17" s="1"/>
  <c r="S29" i="17"/>
  <c r="U29" i="17"/>
  <c r="V29" i="17" s="1"/>
  <c r="S34" i="17"/>
  <c r="U34" i="17"/>
  <c r="V34" i="17" s="1"/>
  <c r="S28" i="17"/>
  <c r="U28" i="17"/>
  <c r="V28" i="17" s="1"/>
  <c r="U42" i="17"/>
  <c r="V42" i="17" s="1"/>
  <c r="S42" i="17"/>
  <c r="U52" i="17"/>
  <c r="V52" i="17" s="1"/>
  <c r="S52" i="17"/>
  <c r="U51" i="17"/>
  <c r="V51" i="17" s="1"/>
  <c r="S51" i="17"/>
  <c r="S45" i="17"/>
  <c r="U45" i="17"/>
  <c r="V45" i="17" s="1"/>
  <c r="U44" i="17"/>
  <c r="V44" i="17" s="1"/>
  <c r="S44" i="17"/>
  <c r="U43" i="17"/>
  <c r="V43" i="17" s="1"/>
  <c r="S43" i="17"/>
  <c r="S41" i="17"/>
  <c r="U41" i="17"/>
  <c r="V41" i="17" s="1"/>
  <c r="S46" i="17"/>
  <c r="U46" i="17"/>
  <c r="V46" i="17" s="1"/>
  <c r="S27" i="17"/>
  <c r="U27" i="17"/>
  <c r="V27" i="17" s="1"/>
  <c r="U26" i="17"/>
  <c r="V26" i="17" s="1"/>
  <c r="S26" i="17"/>
  <c r="U22" i="17"/>
  <c r="V22" i="17" s="1"/>
  <c r="S22" i="17"/>
  <c r="S25" i="17"/>
  <c r="U25" i="17"/>
  <c r="V25" i="17" s="1"/>
  <c r="U19" i="17"/>
  <c r="V19" i="17" s="1"/>
  <c r="S19" i="17"/>
  <c r="U23" i="17"/>
  <c r="V23" i="17" s="1"/>
  <c r="S23" i="17"/>
  <c r="S24" i="17"/>
  <c r="U24" i="17"/>
  <c r="V24" i="17" s="1"/>
  <c r="S21" i="17"/>
  <c r="U21" i="17"/>
  <c r="V21" i="17" s="1"/>
  <c r="S20" i="17"/>
  <c r="U20" i="17"/>
  <c r="V20" i="17" s="1"/>
  <c r="S18" i="17"/>
  <c r="U18" i="17"/>
  <c r="V18" i="17" s="1"/>
  <c r="S17" i="17"/>
  <c r="U17" i="17"/>
  <c r="V17" i="17" s="1"/>
  <c r="S7" i="17"/>
  <c r="U7" i="17"/>
  <c r="V7" i="17" s="1"/>
  <c r="U8" i="17"/>
  <c r="V8" i="17" s="1"/>
  <c r="S8" i="17"/>
  <c r="S6" i="17"/>
  <c r="U6" i="17"/>
  <c r="V6" i="17" s="1"/>
  <c r="S9" i="17"/>
  <c r="U9" i="17"/>
  <c r="V9" i="17" s="1"/>
  <c r="S16" i="17"/>
  <c r="U16" i="17"/>
  <c r="V16" i="17" s="1"/>
  <c r="U15" i="17"/>
  <c r="V15" i="17" s="1"/>
  <c r="S15" i="17"/>
  <c r="U12" i="17"/>
  <c r="V12" i="17" s="1"/>
  <c r="S12" i="17"/>
  <c r="U11" i="17"/>
  <c r="V11" i="17" s="1"/>
  <c r="S11" i="17"/>
  <c r="U10" i="17"/>
  <c r="V10" i="17" s="1"/>
  <c r="S10" i="17"/>
  <c r="U14" i="17"/>
  <c r="V14" i="17" s="1"/>
  <c r="S14" i="17"/>
  <c r="S5" i="17"/>
  <c r="U5" i="17"/>
  <c r="V5" i="17" s="1"/>
  <c r="S13" i="17"/>
  <c r="U13" i="17"/>
  <c r="V13" i="17" s="1"/>
  <c r="U4" i="17"/>
  <c r="V4" i="17" s="1"/>
  <c r="S4" i="17"/>
  <c r="U94" i="14"/>
  <c r="U95" i="14"/>
  <c r="U96" i="14"/>
  <c r="U97" i="14"/>
  <c r="U98" i="14"/>
  <c r="U93" i="14"/>
  <c r="U92" i="14"/>
  <c r="R99" i="14"/>
  <c r="S99" i="14" s="1"/>
  <c r="P99" i="14"/>
  <c r="S4" i="14"/>
  <c r="R6" i="14"/>
  <c r="S6" i="14" s="1"/>
  <c r="P6" i="14"/>
  <c r="U6" i="14" s="1"/>
  <c r="R7" i="14"/>
  <c r="S7" i="14" s="1"/>
  <c r="P7" i="14"/>
  <c r="R8" i="14"/>
  <c r="S8" i="14" s="1"/>
  <c r="P8" i="14"/>
  <c r="P9" i="14"/>
  <c r="R9" i="14"/>
  <c r="S9" i="14" s="1"/>
  <c r="P12" i="14"/>
  <c r="R12" i="14"/>
  <c r="S12" i="14" s="1"/>
  <c r="R13" i="14"/>
  <c r="S13" i="14" s="1"/>
  <c r="P13" i="14"/>
  <c r="R14" i="14"/>
  <c r="S14" i="14" s="1"/>
  <c r="P14" i="14"/>
  <c r="R16" i="14"/>
  <c r="S16" i="14" s="1"/>
  <c r="P16" i="14"/>
  <c r="R17" i="14"/>
  <c r="S17" i="14" s="1"/>
  <c r="P17" i="14"/>
  <c r="R18" i="14"/>
  <c r="S18" i="14" s="1"/>
  <c r="P18" i="14"/>
  <c r="R19" i="14"/>
  <c r="S19" i="14" s="1"/>
  <c r="P19" i="14"/>
  <c r="R20" i="14"/>
  <c r="S20" i="14" s="1"/>
  <c r="P20" i="14"/>
  <c r="R21" i="14"/>
  <c r="S21" i="14" s="1"/>
  <c r="P21" i="14"/>
  <c r="R22" i="14"/>
  <c r="S22" i="14" s="1"/>
  <c r="P22" i="14"/>
  <c r="U22" i="14" s="1"/>
  <c r="R23" i="14"/>
  <c r="S23" i="14" s="1"/>
  <c r="P23" i="14"/>
  <c r="R24" i="14"/>
  <c r="S24" i="14" s="1"/>
  <c r="P24" i="14"/>
  <c r="R25" i="14"/>
  <c r="S25" i="14" s="1"/>
  <c r="P25" i="14"/>
  <c r="R26" i="14"/>
  <c r="S26" i="14" s="1"/>
  <c r="P26" i="14"/>
  <c r="R27" i="14"/>
  <c r="S27" i="14" s="1"/>
  <c r="P27" i="14"/>
  <c r="U27" i="14" s="1"/>
  <c r="R28" i="14"/>
  <c r="S28" i="14" s="1"/>
  <c r="P28" i="14"/>
  <c r="R29" i="14"/>
  <c r="S29" i="14" s="1"/>
  <c r="P29" i="14"/>
  <c r="R30" i="14"/>
  <c r="S30" i="14" s="1"/>
  <c r="P30" i="14"/>
  <c r="R31" i="14"/>
  <c r="S31" i="14" s="1"/>
  <c r="P31" i="14"/>
  <c r="R32" i="14"/>
  <c r="S32" i="14" s="1"/>
  <c r="P32" i="14"/>
  <c r="R33" i="14"/>
  <c r="S33" i="14" s="1"/>
  <c r="P33" i="14"/>
  <c r="R34" i="14"/>
  <c r="S34" i="14" s="1"/>
  <c r="P34" i="14"/>
  <c r="P35" i="14"/>
  <c r="R35" i="14"/>
  <c r="S35" i="14" s="1"/>
  <c r="P36" i="14"/>
  <c r="R36" i="14"/>
  <c r="S36" i="14" s="1"/>
  <c r="U36" i="14" s="1"/>
  <c r="R37" i="14"/>
  <c r="S37" i="14" s="1"/>
  <c r="P37" i="14"/>
  <c r="R38" i="14"/>
  <c r="S38" i="14" s="1"/>
  <c r="U38" i="14" s="1"/>
  <c r="P38" i="14"/>
  <c r="P39" i="14"/>
  <c r="R39" i="14"/>
  <c r="S39" i="14" s="1"/>
  <c r="R40" i="14"/>
  <c r="S40" i="14" s="1"/>
  <c r="P40" i="14"/>
  <c r="R41" i="14"/>
  <c r="S41" i="14" s="1"/>
  <c r="P41" i="14"/>
  <c r="R42" i="14"/>
  <c r="S42" i="14" s="1"/>
  <c r="P42" i="14"/>
  <c r="R43" i="14"/>
  <c r="S43" i="14" s="1"/>
  <c r="P43" i="14"/>
  <c r="R44" i="14"/>
  <c r="S44" i="14" s="1"/>
  <c r="P44" i="14"/>
  <c r="R45" i="14"/>
  <c r="S45" i="14" s="1"/>
  <c r="P45" i="14"/>
  <c r="R46" i="14"/>
  <c r="S46" i="14" s="1"/>
  <c r="P46" i="14"/>
  <c r="P47" i="14"/>
  <c r="R47" i="14"/>
  <c r="S47" i="14" s="1"/>
  <c r="P48" i="14"/>
  <c r="R48" i="14"/>
  <c r="S48" i="14" s="1"/>
  <c r="R49" i="14"/>
  <c r="S49" i="14" s="1"/>
  <c r="P49" i="14"/>
  <c r="R50" i="14"/>
  <c r="S50" i="14" s="1"/>
  <c r="P50" i="14"/>
  <c r="R51" i="14"/>
  <c r="S51" i="14" s="1"/>
  <c r="P51" i="14"/>
  <c r="R52" i="14"/>
  <c r="S52" i="14" s="1"/>
  <c r="P52" i="14"/>
  <c r="U52" i="14" s="1"/>
  <c r="P53" i="14"/>
  <c r="R53" i="14"/>
  <c r="S53" i="14" s="1"/>
  <c r="P54" i="14"/>
  <c r="R54" i="14"/>
  <c r="S54" i="14" s="1"/>
  <c r="R55" i="14"/>
  <c r="S55" i="14" s="1"/>
  <c r="P55" i="14"/>
  <c r="R56" i="14"/>
  <c r="S56" i="14" s="1"/>
  <c r="P56" i="14"/>
  <c r="U56" i="14" s="1"/>
  <c r="P57" i="14"/>
  <c r="R57" i="14"/>
  <c r="S57" i="14" s="1"/>
  <c r="R58" i="14"/>
  <c r="S58" i="14" s="1"/>
  <c r="P58" i="14"/>
  <c r="R59" i="14"/>
  <c r="S59" i="14" s="1"/>
  <c r="P59" i="14"/>
  <c r="R60" i="14"/>
  <c r="S60" i="14" s="1"/>
  <c r="P60" i="14"/>
  <c r="R61" i="14"/>
  <c r="S61" i="14" s="1"/>
  <c r="P61" i="14"/>
  <c r="U61" i="14" s="1"/>
  <c r="P62" i="14"/>
  <c r="R62" i="14"/>
  <c r="S62" i="14" s="1"/>
  <c r="P63" i="14"/>
  <c r="R63" i="14"/>
  <c r="S63" i="14" s="1"/>
  <c r="R64" i="14"/>
  <c r="S64" i="14" s="1"/>
  <c r="P64" i="14"/>
  <c r="P65" i="14"/>
  <c r="R65" i="14"/>
  <c r="S65" i="14" s="1"/>
  <c r="R66" i="14"/>
  <c r="S66" i="14" s="1"/>
  <c r="P66" i="14"/>
  <c r="R67" i="14"/>
  <c r="S67" i="14" s="1"/>
  <c r="P67" i="14"/>
  <c r="P68" i="14"/>
  <c r="R68" i="14"/>
  <c r="S68" i="14" s="1"/>
  <c r="R69" i="14"/>
  <c r="S69" i="14" s="1"/>
  <c r="P69" i="14"/>
  <c r="P70" i="14"/>
  <c r="R70" i="14"/>
  <c r="S70" i="14" s="1"/>
  <c r="P71" i="14"/>
  <c r="R71" i="14"/>
  <c r="S71" i="14" s="1"/>
  <c r="P72" i="14"/>
  <c r="R72" i="14"/>
  <c r="S72" i="14" s="1"/>
  <c r="P73" i="14"/>
  <c r="R73" i="14"/>
  <c r="S73" i="14" s="1"/>
  <c r="P74" i="14"/>
  <c r="R74" i="14"/>
  <c r="S74" i="14" s="1"/>
  <c r="R75" i="14"/>
  <c r="S75" i="14" s="1"/>
  <c r="P75" i="14"/>
  <c r="R76" i="14"/>
  <c r="S76" i="14" s="1"/>
  <c r="P76" i="14"/>
  <c r="U76" i="14" s="1"/>
  <c r="R77" i="14"/>
  <c r="S77" i="14" s="1"/>
  <c r="P77" i="14"/>
  <c r="R78" i="14"/>
  <c r="S78" i="14" s="1"/>
  <c r="P78" i="14"/>
  <c r="R79" i="14"/>
  <c r="S79" i="14" s="1"/>
  <c r="P79" i="14"/>
  <c r="R80" i="14"/>
  <c r="S80" i="14" s="1"/>
  <c r="P80" i="14"/>
  <c r="R81" i="14"/>
  <c r="S81" i="14" s="1"/>
  <c r="P81" i="14"/>
  <c r="P82" i="14"/>
  <c r="R82" i="14"/>
  <c r="S82" i="14" s="1"/>
  <c r="P83" i="14"/>
  <c r="R83" i="14"/>
  <c r="S83" i="14" s="1"/>
  <c r="P84" i="14"/>
  <c r="R84" i="14"/>
  <c r="S84" i="14" s="1"/>
  <c r="P85" i="14"/>
  <c r="R85" i="14"/>
  <c r="S85" i="14" s="1"/>
  <c r="R86" i="14"/>
  <c r="S86" i="14" s="1"/>
  <c r="P86" i="14"/>
  <c r="R87" i="14"/>
  <c r="S87" i="14" s="1"/>
  <c r="P87" i="14"/>
  <c r="U87" i="14" s="1"/>
  <c r="R88" i="14"/>
  <c r="S88" i="14" s="1"/>
  <c r="P88" i="14"/>
  <c r="P89" i="14"/>
  <c r="U89" i="14" s="1"/>
  <c r="R89" i="14"/>
  <c r="R90" i="14"/>
  <c r="P90" i="14"/>
  <c r="U90" i="14" s="1"/>
  <c r="R91" i="14"/>
  <c r="S91" i="14" s="1"/>
  <c r="P91" i="14"/>
  <c r="U91" i="14" s="1"/>
  <c r="Q99" i="15"/>
  <c r="R99" i="15"/>
  <c r="T99" i="15" s="1"/>
  <c r="Q98" i="15"/>
  <c r="R98" i="15"/>
  <c r="T98" i="15" s="1"/>
  <c r="Q97" i="15"/>
  <c r="R97" i="15"/>
  <c r="T97" i="15" s="1"/>
  <c r="Q96" i="15"/>
  <c r="R96" i="15"/>
  <c r="T96" i="15" s="1"/>
  <c r="Q95" i="15"/>
  <c r="R95" i="15" s="1"/>
  <c r="T95" i="15" s="1"/>
  <c r="Q94" i="15"/>
  <c r="R94" i="15" s="1"/>
  <c r="T94" i="15" s="1"/>
  <c r="Q93" i="15"/>
  <c r="R93" i="15" s="1"/>
  <c r="Q92" i="15"/>
  <c r="R92" i="15" s="1"/>
  <c r="Q91" i="15"/>
  <c r="R91" i="15"/>
  <c r="O89" i="15"/>
  <c r="Q89" i="15"/>
  <c r="Q88" i="15"/>
  <c r="O88" i="15"/>
  <c r="T88" i="15" s="1"/>
  <c r="R88" i="15"/>
  <c r="Q87" i="15"/>
  <c r="O87" i="15"/>
  <c r="R87" i="15"/>
  <c r="Q86" i="15"/>
  <c r="R86" i="15" s="1"/>
  <c r="T86" i="15" s="1"/>
  <c r="O86" i="15"/>
  <c r="Q85" i="15"/>
  <c r="R85" i="15" s="1"/>
  <c r="T85" i="15" s="1"/>
  <c r="O85" i="15"/>
  <c r="Q84" i="15"/>
  <c r="O84" i="15"/>
  <c r="R84" i="15"/>
  <c r="Q83" i="15"/>
  <c r="R83" i="15" s="1"/>
  <c r="T83" i="15" s="1"/>
  <c r="O83" i="15"/>
  <c r="Q82" i="15"/>
  <c r="R82" i="15" s="1"/>
  <c r="T82" i="15" s="1"/>
  <c r="O82" i="15"/>
  <c r="Q81" i="15"/>
  <c r="R81" i="15" s="1"/>
  <c r="T81" i="15" s="1"/>
  <c r="O81" i="15"/>
  <c r="Q80" i="15"/>
  <c r="R80" i="15" s="1"/>
  <c r="T80" i="15" s="1"/>
  <c r="O80" i="15"/>
  <c r="Q79" i="15"/>
  <c r="R79" i="15"/>
  <c r="O79" i="15"/>
  <c r="T79" i="15" s="1"/>
  <c r="Q78" i="15"/>
  <c r="R78" i="15"/>
  <c r="T78" i="15" s="1"/>
  <c r="O77" i="15"/>
  <c r="Q77" i="15"/>
  <c r="R77" i="15" s="1"/>
  <c r="O76" i="15"/>
  <c r="Q76" i="15"/>
  <c r="R76" i="15" s="1"/>
  <c r="O75" i="15"/>
  <c r="Q75" i="15"/>
  <c r="R75" i="15" s="1"/>
  <c r="Q74" i="15"/>
  <c r="R74" i="15" s="1"/>
  <c r="T74" i="15" s="1"/>
  <c r="O73" i="15"/>
  <c r="Q73" i="15"/>
  <c r="R73" i="15" s="1"/>
  <c r="O72" i="15"/>
  <c r="Q72" i="15"/>
  <c r="R72" i="15"/>
  <c r="Q71" i="15"/>
  <c r="R71" i="15"/>
  <c r="O71" i="15"/>
  <c r="T71" i="15" s="1"/>
  <c r="Q70" i="15"/>
  <c r="R70" i="15"/>
  <c r="O70" i="15"/>
  <c r="T70" i="15" s="1"/>
  <c r="Q69" i="15"/>
  <c r="O69" i="15"/>
  <c r="R69" i="15"/>
  <c r="Q68" i="15"/>
  <c r="R68" i="15" s="1"/>
  <c r="T68" i="15" s="1"/>
  <c r="O67" i="15"/>
  <c r="Q67" i="15"/>
  <c r="R67" i="15" s="1"/>
  <c r="Q66" i="15"/>
  <c r="R66" i="15" s="1"/>
  <c r="T66" i="15" s="1"/>
  <c r="O66" i="15"/>
  <c r="Q65" i="15"/>
  <c r="R65" i="15" s="1"/>
  <c r="T65" i="15" s="1"/>
  <c r="O65" i="15"/>
  <c r="Q64" i="15"/>
  <c r="R64" i="15" s="1"/>
  <c r="O64" i="15"/>
  <c r="O63" i="15"/>
  <c r="Q63" i="15"/>
  <c r="R63" i="15" s="1"/>
  <c r="T63" i="15" s="1"/>
  <c r="Q62" i="15"/>
  <c r="R62" i="15" s="1"/>
  <c r="T62" i="15" s="1"/>
  <c r="O62" i="15"/>
  <c r="Q61" i="15"/>
  <c r="R61" i="15"/>
  <c r="O61" i="15"/>
  <c r="O60" i="15"/>
  <c r="Q60" i="15"/>
  <c r="R60" i="15" s="1"/>
  <c r="O59" i="15"/>
  <c r="Q59" i="15"/>
  <c r="R59" i="15" s="1"/>
  <c r="O58" i="15"/>
  <c r="Q58" i="15"/>
  <c r="R58" i="15" s="1"/>
  <c r="T58" i="15" s="1"/>
  <c r="Q57" i="15"/>
  <c r="R57" i="15" s="1"/>
  <c r="T57" i="15" s="1"/>
  <c r="O56" i="15"/>
  <c r="Q56" i="15"/>
  <c r="R56" i="15" s="1"/>
  <c r="Q55" i="15"/>
  <c r="R55" i="15" s="1"/>
  <c r="T55" i="15" s="1"/>
  <c r="O55" i="15"/>
  <c r="Q54" i="15"/>
  <c r="O54" i="15"/>
  <c r="R54" i="15"/>
  <c r="Q53" i="15"/>
  <c r="R53" i="15" s="1"/>
  <c r="O53" i="15"/>
  <c r="Q52" i="15"/>
  <c r="O52" i="15"/>
  <c r="R52" i="15"/>
  <c r="Q51" i="15"/>
  <c r="R51" i="15"/>
  <c r="O51" i="15"/>
  <c r="T51" i="15" s="1"/>
  <c r="O50" i="15"/>
  <c r="Q50" i="15"/>
  <c r="R50" i="15" s="1"/>
  <c r="O49" i="15"/>
  <c r="Q49" i="15"/>
  <c r="R49" i="15" s="1"/>
  <c r="Q48" i="15"/>
  <c r="R48" i="15" s="1"/>
  <c r="O48" i="15"/>
  <c r="O47" i="15"/>
  <c r="Q47" i="15"/>
  <c r="R47" i="15" s="1"/>
  <c r="O46" i="15"/>
  <c r="Q46" i="15"/>
  <c r="R46" i="15" s="1"/>
  <c r="T46" i="15" s="1"/>
  <c r="O45" i="15"/>
  <c r="Q45" i="15"/>
  <c r="R45" i="15" s="1"/>
  <c r="T45" i="15" s="1"/>
  <c r="O44" i="15"/>
  <c r="Q44" i="15"/>
  <c r="R44" i="15"/>
  <c r="Q43" i="15"/>
  <c r="R43" i="15" s="1"/>
  <c r="T43" i="15" s="1"/>
  <c r="O43" i="15"/>
  <c r="O42" i="15"/>
  <c r="Q42" i="15"/>
  <c r="R42" i="15" s="1"/>
  <c r="O41" i="15"/>
  <c r="Q41" i="15"/>
  <c r="R41" i="15" s="1"/>
  <c r="T41" i="15" s="1"/>
  <c r="O40" i="15"/>
  <c r="Q40" i="15"/>
  <c r="R40" i="15" s="1"/>
  <c r="T40" i="15" s="1"/>
  <c r="Q39" i="15"/>
  <c r="R39" i="15" s="1"/>
  <c r="O39" i="15"/>
  <c r="Q38" i="15"/>
  <c r="R38" i="15" s="1"/>
  <c r="T38" i="15" s="1"/>
  <c r="O38" i="15"/>
  <c r="Q37" i="15"/>
  <c r="R37" i="15" s="1"/>
  <c r="T37" i="15" s="1"/>
  <c r="O37" i="15"/>
  <c r="O36" i="15"/>
  <c r="Q36" i="15"/>
  <c r="R36" i="15" s="1"/>
  <c r="O35" i="15"/>
  <c r="Q35" i="15"/>
  <c r="R35" i="15" s="1"/>
  <c r="Q34" i="15"/>
  <c r="R34" i="15" s="1"/>
  <c r="O34" i="15"/>
  <c r="Q33" i="15"/>
  <c r="R33" i="15" s="1"/>
  <c r="O33" i="15"/>
  <c r="Q32" i="15"/>
  <c r="R32" i="15" s="1"/>
  <c r="T32" i="15" s="1"/>
  <c r="O32" i="15"/>
  <c r="O31" i="15"/>
  <c r="Q31" i="15"/>
  <c r="R31" i="15" s="1"/>
  <c r="T31" i="15" s="1"/>
  <c r="O30" i="15"/>
  <c r="Q30" i="15"/>
  <c r="R30" i="15" s="1"/>
  <c r="O29" i="15"/>
  <c r="Q29" i="15"/>
  <c r="R29" i="15" s="1"/>
  <c r="T29" i="15" s="1"/>
  <c r="Q28" i="15"/>
  <c r="R28" i="15" s="1"/>
  <c r="O28" i="15"/>
  <c r="O27" i="15"/>
  <c r="Q27" i="15"/>
  <c r="R27" i="15" s="1"/>
  <c r="T27" i="15" s="1"/>
  <c r="O26" i="15"/>
  <c r="Q26" i="15"/>
  <c r="R26" i="15" s="1"/>
  <c r="T26" i="15" s="1"/>
  <c r="O25" i="15"/>
  <c r="Q25" i="15"/>
  <c r="R25" i="15" s="1"/>
  <c r="O24" i="15"/>
  <c r="Q24" i="15"/>
  <c r="R24" i="15" s="1"/>
  <c r="O23" i="15"/>
  <c r="Q23" i="15"/>
  <c r="R23" i="15" s="1"/>
  <c r="Q22" i="15"/>
  <c r="R22" i="15" s="1"/>
  <c r="T22" i="15" s="1"/>
  <c r="O22" i="15"/>
  <c r="R21" i="15"/>
  <c r="O21" i="15"/>
  <c r="T21" i="15" s="1"/>
  <c r="Q20" i="15"/>
  <c r="R20" i="15" s="1"/>
  <c r="T20" i="15" s="1"/>
  <c r="O20" i="15"/>
  <c r="O19" i="15"/>
  <c r="Q19" i="15"/>
  <c r="R19" i="15" s="1"/>
  <c r="Q18" i="15"/>
  <c r="R18" i="15"/>
  <c r="O18" i="15"/>
  <c r="T18" i="15" s="1"/>
  <c r="O17" i="15"/>
  <c r="Q17" i="15"/>
  <c r="R17" i="15" s="1"/>
  <c r="T17" i="15" s="1"/>
  <c r="O16" i="15"/>
  <c r="Q16" i="15"/>
  <c r="R16" i="15"/>
  <c r="O15" i="15"/>
  <c r="Q15" i="15"/>
  <c r="R15" i="15"/>
  <c r="O14" i="15"/>
  <c r="Q14" i="15"/>
  <c r="R14" i="15" s="1"/>
  <c r="O13" i="15"/>
  <c r="Q13" i="15"/>
  <c r="R13" i="15"/>
  <c r="Q12" i="15"/>
  <c r="R12" i="15" s="1"/>
  <c r="T12" i="15" s="1"/>
  <c r="O12" i="15"/>
  <c r="O11" i="15"/>
  <c r="Q11" i="15"/>
  <c r="R11" i="15" s="1"/>
  <c r="O10" i="15"/>
  <c r="Q10" i="15"/>
  <c r="R10" i="15" s="1"/>
  <c r="T10" i="15" s="1"/>
  <c r="Q9" i="15"/>
  <c r="R9" i="15" s="1"/>
  <c r="T9" i="15" s="1"/>
  <c r="O9" i="15"/>
  <c r="Q8" i="15"/>
  <c r="O8" i="15"/>
  <c r="R8" i="15"/>
  <c r="O7" i="15"/>
  <c r="R7" i="15"/>
  <c r="Q7" i="15"/>
  <c r="O6" i="15"/>
  <c r="Q6" i="15"/>
  <c r="R6" i="15" s="1"/>
  <c r="T6" i="15" s="1"/>
  <c r="O5" i="15"/>
  <c r="Q5" i="15"/>
  <c r="R5" i="15" s="1"/>
  <c r="T5" i="15" s="1"/>
  <c r="O4" i="15"/>
  <c r="R4" i="15"/>
  <c r="P15" i="14"/>
  <c r="R15" i="14"/>
  <c r="S15" i="14" s="1"/>
  <c r="P11" i="14"/>
  <c r="R11" i="14"/>
  <c r="S11" i="14" s="1"/>
  <c r="P10" i="14"/>
  <c r="R10" i="14"/>
  <c r="S10" i="14" s="1"/>
  <c r="P5" i="14"/>
  <c r="R5" i="14"/>
  <c r="S5" i="14" s="1"/>
  <c r="P4" i="14"/>
  <c r="K96" i="6"/>
  <c r="N96" i="6" s="1"/>
  <c r="K58" i="6"/>
  <c r="N58" i="6" s="1"/>
  <c r="K56" i="6"/>
  <c r="N56" i="6" s="1"/>
  <c r="K35" i="6"/>
  <c r="N35" i="6" s="1"/>
  <c r="U4" i="9"/>
  <c r="Q4" i="9"/>
  <c r="Q5" i="9"/>
  <c r="U5" i="9"/>
  <c r="Q6" i="9"/>
  <c r="U6" i="9"/>
  <c r="Q7" i="9"/>
  <c r="U7" i="9"/>
  <c r="Q8" i="9"/>
  <c r="U8" i="9"/>
  <c r="Q9" i="9"/>
  <c r="U9" i="9"/>
  <c r="Q10" i="9"/>
  <c r="U10" i="9"/>
  <c r="U11" i="9"/>
  <c r="Q11" i="9"/>
  <c r="Q12" i="9"/>
  <c r="U12" i="9"/>
  <c r="Q13" i="9"/>
  <c r="U13" i="9"/>
  <c r="Q14" i="9"/>
  <c r="U14" i="9"/>
  <c r="Q15" i="9"/>
  <c r="U15" i="9"/>
  <c r="Q16" i="9"/>
  <c r="U16" i="9"/>
  <c r="Q17" i="9"/>
  <c r="U17" i="9"/>
  <c r="Q18" i="9"/>
  <c r="U18" i="9"/>
  <c r="Q19" i="9"/>
  <c r="U19" i="9"/>
  <c r="Q20" i="9"/>
  <c r="U20" i="9"/>
  <c r="Q21" i="9"/>
  <c r="U21" i="9"/>
  <c r="Q22" i="9"/>
  <c r="U22" i="9"/>
  <c r="Q23" i="9"/>
  <c r="U23" i="9"/>
  <c r="U24" i="9"/>
  <c r="Q24" i="9"/>
  <c r="Q25" i="9"/>
  <c r="U25" i="9"/>
  <c r="Q26" i="9"/>
  <c r="U26" i="9"/>
  <c r="Q27" i="9"/>
  <c r="U27" i="9"/>
  <c r="Q28" i="9"/>
  <c r="N28" i="9" s="1"/>
  <c r="U28" i="9"/>
  <c r="Q29" i="9"/>
  <c r="U29" i="9"/>
  <c r="Q30" i="9"/>
  <c r="U30" i="9"/>
  <c r="U31" i="9"/>
  <c r="Q31" i="9"/>
  <c r="U32" i="9"/>
  <c r="Q32" i="9"/>
  <c r="Q33" i="9"/>
  <c r="U33" i="9"/>
  <c r="U34" i="9"/>
  <c r="Q34" i="9"/>
  <c r="U35" i="9"/>
  <c r="Q35" i="9"/>
  <c r="N35" i="9" s="1"/>
  <c r="U36" i="9"/>
  <c r="Q36" i="9"/>
  <c r="N36" i="9" s="1"/>
  <c r="Q37" i="9"/>
  <c r="U37" i="9"/>
  <c r="U38" i="9"/>
  <c r="Q38" i="9"/>
  <c r="Q39" i="9"/>
  <c r="U39" i="9"/>
  <c r="U40" i="9"/>
  <c r="Q40" i="9"/>
  <c r="Q41" i="9"/>
  <c r="U41" i="9"/>
  <c r="U42" i="9"/>
  <c r="Q42" i="9"/>
  <c r="U43" i="9"/>
  <c r="Q43" i="9"/>
  <c r="Q44" i="9"/>
  <c r="U44" i="9"/>
  <c r="Q45" i="9"/>
  <c r="N45" i="9" s="1"/>
  <c r="U45" i="9"/>
  <c r="U46" i="9"/>
  <c r="Q46" i="9"/>
  <c r="Q47" i="9"/>
  <c r="U47" i="9"/>
  <c r="U48" i="9"/>
  <c r="Q48" i="9"/>
  <c r="N48" i="9" s="1"/>
  <c r="U49" i="9"/>
  <c r="Q49" i="9"/>
  <c r="N49" i="9" s="1"/>
  <c r="U50" i="9"/>
  <c r="Q50" i="9"/>
  <c r="U51" i="9"/>
  <c r="Q51" i="9"/>
  <c r="Q52" i="9"/>
  <c r="U52" i="9"/>
  <c r="U3" i="9"/>
  <c r="Y11" i="9"/>
  <c r="Y12" i="9"/>
  <c r="Y13" i="9"/>
  <c r="Y21" i="9"/>
  <c r="Y6" i="9"/>
  <c r="N3" i="9"/>
  <c r="F95" i="6" l="1" a="1"/>
  <c r="F95" i="6" s="1"/>
  <c r="F89" i="6" a="1"/>
  <c r="F89" i="6" s="1"/>
  <c r="F97" i="6" a="1"/>
  <c r="F97" i="6" s="1"/>
  <c r="F92" i="6" a="1"/>
  <c r="F92" i="6" s="1"/>
  <c r="F53" i="15" a="1"/>
  <c r="F53" i="15" s="1"/>
  <c r="M53" i="15" s="1"/>
  <c r="T53" i="15" s="1"/>
  <c r="F89" i="15" a="1"/>
  <c r="F89" i="15" s="1"/>
  <c r="M89" i="15" s="1"/>
  <c r="T89" i="15" s="1"/>
  <c r="F54" i="15" a="1"/>
  <c r="F54" i="15" s="1"/>
  <c r="M54" i="15" s="1"/>
  <c r="F91" i="15" a="1"/>
  <c r="F91" i="15" s="1"/>
  <c r="M91" i="15" s="1"/>
  <c r="T91" i="15" s="1"/>
  <c r="F89" i="14" a="1"/>
  <c r="F89" i="14" s="1"/>
  <c r="F93" i="6" a="1"/>
  <c r="F93" i="6" s="1"/>
  <c r="F91" i="6" a="1"/>
  <c r="F91" i="6" s="1"/>
  <c r="F24" i="14" a="1"/>
  <c r="F24" i="14" s="1"/>
  <c r="F90" i="14" a="1"/>
  <c r="F90" i="14" s="1"/>
  <c r="F90" i="6" a="1"/>
  <c r="F90" i="6" s="1"/>
  <c r="F98" i="6" a="1"/>
  <c r="F98" i="6" s="1"/>
  <c r="F53" i="14" a="1"/>
  <c r="F53" i="14" s="1"/>
  <c r="F24" i="15" a="1"/>
  <c r="F24" i="15" s="1"/>
  <c r="F90" i="15" a="1"/>
  <c r="F90" i="15" s="1"/>
  <c r="M90" i="15" s="1"/>
  <c r="T90" i="15" s="1"/>
  <c r="F96" i="6" a="1"/>
  <c r="F96" i="6" s="1"/>
  <c r="F91" i="14" a="1"/>
  <c r="F91" i="14" s="1"/>
  <c r="F54" i="14" a="1"/>
  <c r="F54" i="14" s="1"/>
  <c r="X9" i="2"/>
  <c r="Y9" i="2"/>
  <c r="U22" i="18"/>
  <c r="U30" i="18"/>
  <c r="U64" i="18"/>
  <c r="U17" i="18"/>
  <c r="U25" i="18"/>
  <c r="U72" i="18"/>
  <c r="U7" i="18"/>
  <c r="U29" i="18"/>
  <c r="U68" i="18"/>
  <c r="U65" i="18"/>
  <c r="U69" i="18"/>
  <c r="U32" i="18"/>
  <c r="U70" i="18"/>
  <c r="X87" i="17"/>
  <c r="T93" i="15"/>
  <c r="T92" i="15"/>
  <c r="U71" i="18"/>
  <c r="U33" i="18"/>
  <c r="U24" i="18"/>
  <c r="U84" i="18"/>
  <c r="U81" i="18"/>
  <c r="U77" i="18"/>
  <c r="U66" i="18"/>
  <c r="P6" i="18"/>
  <c r="R6" i="18"/>
  <c r="S6" i="18" s="1"/>
  <c r="U55" i="18"/>
  <c r="U50" i="18"/>
  <c r="U49" i="18"/>
  <c r="U46" i="18"/>
  <c r="U35" i="18"/>
  <c r="U26" i="18"/>
  <c r="U21" i="18"/>
  <c r="U63" i="18"/>
  <c r="U83" i="18"/>
  <c r="P54" i="18"/>
  <c r="R54" i="18"/>
  <c r="S54" i="18" s="1"/>
  <c r="P51" i="18"/>
  <c r="R51" i="18"/>
  <c r="S51" i="18" s="1"/>
  <c r="U51" i="18" s="1"/>
  <c r="R13" i="18"/>
  <c r="S13" i="18" s="1"/>
  <c r="P13" i="18"/>
  <c r="P12" i="18"/>
  <c r="R12" i="18"/>
  <c r="S12" i="18" s="1"/>
  <c r="U12" i="18" s="1"/>
  <c r="P61" i="18"/>
  <c r="R61" i="18"/>
  <c r="S61" i="18" s="1"/>
  <c r="P56" i="18"/>
  <c r="R56" i="18"/>
  <c r="S56" i="18" s="1"/>
  <c r="R59" i="18"/>
  <c r="S59" i="18" s="1"/>
  <c r="P59" i="18"/>
  <c r="R62" i="18"/>
  <c r="S62" i="18" s="1"/>
  <c r="P62" i="18"/>
  <c r="R60" i="18"/>
  <c r="S60" i="18" s="1"/>
  <c r="P60" i="18"/>
  <c r="U60" i="18" s="1"/>
  <c r="R58" i="18"/>
  <c r="S58" i="18" s="1"/>
  <c r="P58" i="18"/>
  <c r="P53" i="18"/>
  <c r="R53" i="18"/>
  <c r="S53" i="18" s="1"/>
  <c r="P48" i="18"/>
  <c r="R48" i="18"/>
  <c r="S48" i="18" s="1"/>
  <c r="U48" i="18" s="1"/>
  <c r="R16" i="18"/>
  <c r="S16" i="18" s="1"/>
  <c r="P16" i="18"/>
  <c r="U16" i="18" s="1"/>
  <c r="P57" i="18"/>
  <c r="R57" i="18"/>
  <c r="S57" i="18" s="1"/>
  <c r="R11" i="18"/>
  <c r="S11" i="18" s="1"/>
  <c r="P11" i="18"/>
  <c r="P52" i="18"/>
  <c r="R52" i="18"/>
  <c r="S52" i="18" s="1"/>
  <c r="U52" i="18" s="1"/>
  <c r="P15" i="18"/>
  <c r="R15" i="18"/>
  <c r="S15" i="18" s="1"/>
  <c r="U15" i="18" s="1"/>
  <c r="P14" i="18"/>
  <c r="R14" i="18"/>
  <c r="S14" i="18" s="1"/>
  <c r="U19" i="18"/>
  <c r="U80" i="18"/>
  <c r="U73" i="18"/>
  <c r="U28" i="18"/>
  <c r="U13" i="18"/>
  <c r="U41" i="18"/>
  <c r="U38" i="18"/>
  <c r="U37" i="18"/>
  <c r="U36" i="18"/>
  <c r="U10" i="18"/>
  <c r="U45" i="18"/>
  <c r="U42" i="18"/>
  <c r="U40" i="18"/>
  <c r="U39" i="18"/>
  <c r="U31" i="18"/>
  <c r="U82" i="18"/>
  <c r="U79" i="18"/>
  <c r="U74" i="18"/>
  <c r="U4" i="18"/>
  <c r="U85" i="18"/>
  <c r="U54" i="18"/>
  <c r="U53" i="18"/>
  <c r="U9" i="18"/>
  <c r="U8" i="18"/>
  <c r="U78" i="18"/>
  <c r="U43" i="18"/>
  <c r="U34" i="18"/>
  <c r="X76" i="17"/>
  <c r="X89" i="17"/>
  <c r="X74" i="17"/>
  <c r="X79" i="17"/>
  <c r="X72" i="17"/>
  <c r="X84" i="17"/>
  <c r="X64" i="17"/>
  <c r="X69" i="17"/>
  <c r="X61" i="17"/>
  <c r="X55" i="17"/>
  <c r="X54" i="17"/>
  <c r="X49" i="17"/>
  <c r="X50" i="17"/>
  <c r="X48" i="17"/>
  <c r="X47" i="17"/>
  <c r="X29" i="17"/>
  <c r="X28" i="17"/>
  <c r="X52" i="17"/>
  <c r="X45" i="17"/>
  <c r="X26" i="17"/>
  <c r="X22" i="17"/>
  <c r="X34" i="17"/>
  <c r="X44" i="17"/>
  <c r="X19" i="17"/>
  <c r="X23" i="17"/>
  <c r="X8" i="17"/>
  <c r="X9" i="17"/>
  <c r="X15" i="17"/>
  <c r="X12" i="17"/>
  <c r="X11" i="17"/>
  <c r="X10" i="17"/>
  <c r="X14" i="17"/>
  <c r="X13" i="17"/>
  <c r="X4" i="17"/>
  <c r="X40" i="17"/>
  <c r="X30" i="17"/>
  <c r="X36" i="17"/>
  <c r="X43" i="17"/>
  <c r="X82" i="17"/>
  <c r="X71" i="17"/>
  <c r="X53" i="17"/>
  <c r="X65" i="17"/>
  <c r="X39" i="17"/>
  <c r="X42" i="17"/>
  <c r="X77" i="17"/>
  <c r="X75" i="17"/>
  <c r="X81" i="17"/>
  <c r="X78" i="17"/>
  <c r="X73" i="17"/>
  <c r="X80" i="17"/>
  <c r="X88" i="17"/>
  <c r="X63" i="17"/>
  <c r="X70" i="17"/>
  <c r="X67" i="17"/>
  <c r="X62" i="17"/>
  <c r="X66" i="17"/>
  <c r="X68" i="17"/>
  <c r="X56" i="17"/>
  <c r="X38" i="17"/>
  <c r="X32" i="17"/>
  <c r="X51" i="17"/>
  <c r="X41" i="17"/>
  <c r="X46" i="17"/>
  <c r="X27" i="17"/>
  <c r="X25" i="17"/>
  <c r="X24" i="17"/>
  <c r="X21" i="17"/>
  <c r="X20" i="17"/>
  <c r="X18" i="17"/>
  <c r="X17" i="17"/>
  <c r="X7" i="17"/>
  <c r="X6" i="17"/>
  <c r="X16" i="17"/>
  <c r="X5" i="17"/>
  <c r="X85" i="17"/>
  <c r="X37" i="17"/>
  <c r="X33" i="17"/>
  <c r="X35" i="17"/>
  <c r="X86" i="17"/>
  <c r="X83" i="17"/>
  <c r="X31" i="17"/>
  <c r="U34" i="14"/>
  <c r="U45" i="14"/>
  <c r="U7" i="14"/>
  <c r="U25" i="14"/>
  <c r="U21" i="14"/>
  <c r="U20" i="14"/>
  <c r="U43" i="14"/>
  <c r="U46" i="14"/>
  <c r="U99" i="14"/>
  <c r="U16" i="14"/>
  <c r="U17" i="14"/>
  <c r="U18" i="14"/>
  <c r="U19" i="14"/>
  <c r="U23" i="14"/>
  <c r="U24" i="14"/>
  <c r="U26" i="14"/>
  <c r="U28" i="14"/>
  <c r="U29" i="14"/>
  <c r="U30" i="14"/>
  <c r="U31" i="14"/>
  <c r="U32" i="14"/>
  <c r="U33" i="14"/>
  <c r="U41" i="14"/>
  <c r="U42" i="14"/>
  <c r="U4" i="14"/>
  <c r="U44" i="14"/>
  <c r="U35" i="14"/>
  <c r="U40" i="14"/>
  <c r="U48" i="14"/>
  <c r="U49" i="14"/>
  <c r="U54" i="14"/>
  <c r="U58" i="14"/>
  <c r="U63" i="14"/>
  <c r="U65" i="14"/>
  <c r="U69" i="14"/>
  <c r="U77" i="14"/>
  <c r="U79" i="14"/>
  <c r="U84" i="14"/>
  <c r="U14" i="14"/>
  <c r="U51" i="14"/>
  <c r="U53" i="14"/>
  <c r="U64" i="14"/>
  <c r="U66" i="14"/>
  <c r="U68" i="14"/>
  <c r="U70" i="14"/>
  <c r="U81" i="14"/>
  <c r="U83" i="14"/>
  <c r="U85" i="14"/>
  <c r="U8" i="14"/>
  <c r="U47" i="14"/>
  <c r="U57" i="14"/>
  <c r="U59" i="14"/>
  <c r="U50" i="14"/>
  <c r="U55" i="14"/>
  <c r="U60" i="14"/>
  <c r="U62" i="14"/>
  <c r="U67" i="14"/>
  <c r="U71" i="14"/>
  <c r="U73" i="14"/>
  <c r="U75" i="14"/>
  <c r="U82" i="14"/>
  <c r="U86" i="14"/>
  <c r="U9" i="14"/>
  <c r="U12" i="14"/>
  <c r="U13" i="14"/>
  <c r="U72" i="14"/>
  <c r="U74" i="14"/>
  <c r="U78" i="14"/>
  <c r="U80" i="14"/>
  <c r="U88" i="14"/>
  <c r="U37" i="14"/>
  <c r="U39" i="14"/>
  <c r="U10" i="14"/>
  <c r="U11" i="14"/>
  <c r="U15" i="14"/>
  <c r="U5" i="14"/>
  <c r="T77" i="15"/>
  <c r="T76" i="15"/>
  <c r="T75" i="15"/>
  <c r="T73" i="15"/>
  <c r="T72" i="15"/>
  <c r="T69" i="15"/>
  <c r="T67" i="15"/>
  <c r="T60" i="15"/>
  <c r="T56" i="15"/>
  <c r="T54" i="15"/>
  <c r="T50" i="15"/>
  <c r="T36" i="15"/>
  <c r="T34" i="15"/>
  <c r="T28" i="15"/>
  <c r="T25" i="15"/>
  <c r="T44" i="15"/>
  <c r="T39" i="15"/>
  <c r="T23" i="15"/>
  <c r="T33" i="15"/>
  <c r="T19" i="15"/>
  <c r="T16" i="15"/>
  <c r="T15" i="15"/>
  <c r="T14" i="15"/>
  <c r="T13" i="15"/>
  <c r="T11" i="15"/>
  <c r="T8" i="15"/>
  <c r="T7" i="15"/>
  <c r="T4" i="15"/>
  <c r="T64" i="15"/>
  <c r="T59" i="15"/>
  <c r="T52" i="15"/>
  <c r="T49" i="15"/>
  <c r="T48" i="15"/>
  <c r="T42" i="15"/>
  <c r="T35" i="15"/>
  <c r="T30" i="15"/>
  <c r="T87" i="15"/>
  <c r="T84" i="15"/>
  <c r="T61" i="15"/>
  <c r="T47" i="15"/>
  <c r="K91" i="6"/>
  <c r="N91" i="6" s="1"/>
  <c r="K89" i="6"/>
  <c r="N89" i="6" s="1"/>
  <c r="K65" i="6"/>
  <c r="N65" i="6" s="1"/>
  <c r="K64" i="6"/>
  <c r="N64" i="6" s="1"/>
  <c r="K63" i="6"/>
  <c r="N63" i="6" s="1"/>
  <c r="K57" i="6"/>
  <c r="N57" i="6" s="1"/>
  <c r="K49" i="6"/>
  <c r="N49" i="6" s="1"/>
  <c r="K45" i="6"/>
  <c r="N45" i="6" s="1"/>
  <c r="K39" i="6"/>
  <c r="N39" i="6" s="1"/>
  <c r="K34" i="6"/>
  <c r="N34" i="6" s="1"/>
  <c r="K32" i="6"/>
  <c r="N32" i="6" s="1"/>
  <c r="K31" i="6"/>
  <c r="N31" i="6" s="1"/>
  <c r="K30" i="6"/>
  <c r="N30" i="6" s="1"/>
  <c r="K29" i="6"/>
  <c r="N29" i="6" s="1"/>
  <c r="K28" i="6"/>
  <c r="N28" i="6" s="1"/>
  <c r="K26" i="6"/>
  <c r="N26" i="6" s="1"/>
  <c r="K98" i="6"/>
  <c r="N98" i="6" s="1"/>
  <c r="K97" i="6"/>
  <c r="N97" i="6" s="1"/>
  <c r="K95" i="6"/>
  <c r="N95" i="6" s="1"/>
  <c r="K94" i="6"/>
  <c r="N94" i="6" s="1"/>
  <c r="K93" i="6"/>
  <c r="N93" i="6" s="1"/>
  <c r="K92" i="6"/>
  <c r="N92" i="6" s="1"/>
  <c r="K37" i="6"/>
  <c r="N37" i="6" s="1"/>
  <c r="K33" i="6"/>
  <c r="N33" i="6" s="1"/>
  <c r="K90" i="6"/>
  <c r="N90" i="6" s="1"/>
  <c r="K88" i="6"/>
  <c r="N88" i="6" s="1"/>
  <c r="K87" i="6"/>
  <c r="N87" i="6" s="1"/>
  <c r="K86" i="6"/>
  <c r="N86" i="6" s="1"/>
  <c r="K85" i="6"/>
  <c r="N85" i="6" s="1"/>
  <c r="K84" i="6"/>
  <c r="N84" i="6" s="1"/>
  <c r="K83" i="6"/>
  <c r="N83" i="6" s="1"/>
  <c r="K82" i="6"/>
  <c r="N82" i="6" s="1"/>
  <c r="K81" i="6"/>
  <c r="N81" i="6" s="1"/>
  <c r="K80" i="6"/>
  <c r="N80" i="6" s="1"/>
  <c r="K79" i="6"/>
  <c r="N79" i="6" s="1"/>
  <c r="K78" i="6"/>
  <c r="N78" i="6" s="1"/>
  <c r="K77" i="6"/>
  <c r="N77" i="6" s="1"/>
  <c r="K76" i="6"/>
  <c r="N76" i="6" s="1"/>
  <c r="K75" i="6"/>
  <c r="N75" i="6" s="1"/>
  <c r="K74" i="6"/>
  <c r="N74" i="6" s="1"/>
  <c r="K73" i="6"/>
  <c r="N73" i="6" s="1"/>
  <c r="K72" i="6"/>
  <c r="N72" i="6" s="1"/>
  <c r="K71" i="6"/>
  <c r="N71" i="6" s="1"/>
  <c r="K70" i="6"/>
  <c r="N70" i="6" s="1"/>
  <c r="K69" i="6"/>
  <c r="N69" i="6" s="1"/>
  <c r="K68" i="6"/>
  <c r="N68" i="6" s="1"/>
  <c r="K67" i="6"/>
  <c r="N67" i="6" s="1"/>
  <c r="K66" i="6"/>
  <c r="N66" i="6" s="1"/>
  <c r="K62" i="6"/>
  <c r="N62" i="6" s="1"/>
  <c r="K61" i="6"/>
  <c r="N61" i="6" s="1"/>
  <c r="K60" i="6"/>
  <c r="N60" i="6" s="1"/>
  <c r="K59" i="6"/>
  <c r="N59" i="6" s="1"/>
  <c r="K55" i="6"/>
  <c r="N55" i="6" s="1"/>
  <c r="K54" i="6"/>
  <c r="N54" i="6" s="1"/>
  <c r="K53" i="6"/>
  <c r="N53" i="6" s="1"/>
  <c r="K52" i="6"/>
  <c r="N52" i="6" s="1"/>
  <c r="K51" i="6"/>
  <c r="N51" i="6" s="1"/>
  <c r="K50" i="6"/>
  <c r="N50" i="6" s="1"/>
  <c r="K48" i="6"/>
  <c r="N48" i="6" s="1"/>
  <c r="K47" i="6"/>
  <c r="N47" i="6" s="1"/>
  <c r="K46" i="6"/>
  <c r="N46" i="6" s="1"/>
  <c r="K44" i="6"/>
  <c r="N44" i="6" s="1"/>
  <c r="K43" i="6"/>
  <c r="N43" i="6" s="1"/>
  <c r="K42" i="6"/>
  <c r="N42" i="6" s="1"/>
  <c r="K41" i="6"/>
  <c r="N41" i="6" s="1"/>
  <c r="K40" i="6"/>
  <c r="N40" i="6" s="1"/>
  <c r="K38" i="6"/>
  <c r="N38" i="6" s="1"/>
  <c r="K36" i="6"/>
  <c r="N36" i="6" s="1"/>
  <c r="K27" i="6"/>
  <c r="N27" i="6" s="1"/>
  <c r="K24" i="6"/>
  <c r="N24" i="6" s="1"/>
  <c r="K23" i="6"/>
  <c r="N23" i="6" s="1"/>
  <c r="K22" i="6"/>
  <c r="N22" i="6" s="1"/>
  <c r="K21" i="6"/>
  <c r="N21" i="6" s="1"/>
  <c r="K20" i="6"/>
  <c r="N20" i="6" s="1"/>
  <c r="K19" i="6"/>
  <c r="N19" i="6" s="1"/>
  <c r="K18" i="6"/>
  <c r="N18" i="6" s="1"/>
  <c r="K17" i="6"/>
  <c r="N17" i="6" s="1"/>
  <c r="K16" i="6"/>
  <c r="N16" i="6" s="1"/>
  <c r="K15" i="6"/>
  <c r="N15" i="6" s="1"/>
  <c r="K14" i="6"/>
  <c r="N14" i="6" s="1"/>
  <c r="K13" i="6"/>
  <c r="N13" i="6" s="1"/>
  <c r="K12" i="6"/>
  <c r="N12" i="6" s="1"/>
  <c r="K11" i="6"/>
  <c r="N11" i="6" s="1"/>
  <c r="K10" i="6"/>
  <c r="N10" i="6" s="1"/>
  <c r="K9" i="6"/>
  <c r="N9" i="6" s="1"/>
  <c r="K8" i="6"/>
  <c r="N8" i="6" s="1"/>
  <c r="K7" i="6"/>
  <c r="N7" i="6" s="1"/>
  <c r="K6" i="6"/>
  <c r="N6" i="6" s="1"/>
  <c r="K5" i="6"/>
  <c r="N5" i="6" s="1"/>
  <c r="K4" i="6"/>
  <c r="N4" i="6" s="1"/>
  <c r="K25" i="6"/>
  <c r="N25" i="6" s="1"/>
  <c r="N47" i="9"/>
  <c r="O13" i="9"/>
  <c r="N29" i="9"/>
  <c r="N34" i="9"/>
  <c r="N43" i="9"/>
  <c r="N27" i="9"/>
  <c r="N31" i="9"/>
  <c r="N30" i="9"/>
  <c r="N46" i="9"/>
  <c r="N26" i="9"/>
  <c r="N42" i="9"/>
  <c r="N33" i="9"/>
  <c r="N39" i="9"/>
  <c r="N41" i="9"/>
  <c r="N44" i="9"/>
  <c r="N32" i="9"/>
  <c r="N38" i="9"/>
  <c r="N37" i="9"/>
  <c r="N40" i="9"/>
  <c r="N23" i="9"/>
  <c r="N24" i="9"/>
  <c r="N25" i="9"/>
  <c r="N50" i="9"/>
  <c r="N51" i="9"/>
  <c r="N52" i="9"/>
  <c r="N4" i="9"/>
  <c r="N5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O6" i="9"/>
  <c r="N6" i="9"/>
  <c r="O11" i="9"/>
  <c r="O12" i="9"/>
  <c r="O21" i="9"/>
  <c r="Y10" i="9"/>
  <c r="O10" i="9" s="1"/>
  <c r="Y14" i="9"/>
  <c r="O14" i="9" s="1"/>
  <c r="Y15" i="9"/>
  <c r="O15" i="9" s="1"/>
  <c r="Y16" i="9"/>
  <c r="O16" i="9" s="1"/>
  <c r="Y17" i="9"/>
  <c r="O17" i="9" s="1"/>
  <c r="Y18" i="9"/>
  <c r="O18" i="9" s="1"/>
  <c r="Y19" i="9"/>
  <c r="O19" i="9" s="1"/>
  <c r="Y20" i="9"/>
  <c r="O20" i="9" s="1"/>
  <c r="Y8" i="9"/>
  <c r="O8" i="9" s="1"/>
  <c r="Y22" i="9"/>
  <c r="O22" i="9" s="1"/>
  <c r="Y23" i="9"/>
  <c r="O23" i="9" s="1"/>
  <c r="Y24" i="9"/>
  <c r="O24" i="9" s="1"/>
  <c r="Y25" i="9"/>
  <c r="O25" i="9" s="1"/>
  <c r="Y26" i="9"/>
  <c r="O26" i="9" s="1"/>
  <c r="Y27" i="9"/>
  <c r="O27" i="9" s="1"/>
  <c r="Y28" i="9"/>
  <c r="O28" i="9" s="1"/>
  <c r="Y29" i="9"/>
  <c r="O29" i="9" s="1"/>
  <c r="Y30" i="9"/>
  <c r="O30" i="9" s="1"/>
  <c r="Y31" i="9"/>
  <c r="O31" i="9" s="1"/>
  <c r="Y32" i="9"/>
  <c r="O32" i="9" s="1"/>
  <c r="Y33" i="9"/>
  <c r="O33" i="9" s="1"/>
  <c r="Y34" i="9"/>
  <c r="O34" i="9" s="1"/>
  <c r="Y35" i="9"/>
  <c r="O35" i="9" s="1"/>
  <c r="Y36" i="9"/>
  <c r="O36" i="9" s="1"/>
  <c r="Y37" i="9"/>
  <c r="O37" i="9" s="1"/>
  <c r="Y38" i="9"/>
  <c r="O38" i="9" s="1"/>
  <c r="Y39" i="9"/>
  <c r="O39" i="9" s="1"/>
  <c r="Y40" i="9"/>
  <c r="O40" i="9" s="1"/>
  <c r="Y41" i="9"/>
  <c r="O41" i="9" s="1"/>
  <c r="Y42" i="9"/>
  <c r="O42" i="9" s="1"/>
  <c r="Y43" i="9"/>
  <c r="O43" i="9" s="1"/>
  <c r="Y44" i="9"/>
  <c r="O44" i="9" s="1"/>
  <c r="Y45" i="9"/>
  <c r="O45" i="9" s="1"/>
  <c r="O46" i="9"/>
  <c r="O47" i="9"/>
  <c r="O48" i="9"/>
  <c r="O49" i="9"/>
  <c r="O50" i="9"/>
  <c r="O51" i="9"/>
  <c r="Y52" i="9"/>
  <c r="O52" i="9" s="1"/>
  <c r="Y4" i="9"/>
  <c r="O4" i="9" s="1"/>
  <c r="Y5" i="9"/>
  <c r="O5" i="9" s="1"/>
  <c r="Y7" i="9"/>
  <c r="O7" i="9" s="1"/>
  <c r="Y9" i="9"/>
  <c r="O9" i="9" s="1"/>
  <c r="Y3" i="9"/>
  <c r="O3" i="9" s="1"/>
  <c r="B1" i="15" l="1"/>
  <c r="M24" i="15"/>
  <c r="T24" i="15" s="1"/>
  <c r="B1" i="14"/>
  <c r="U6" i="18"/>
  <c r="U62" i="18"/>
  <c r="U61" i="18"/>
  <c r="U11" i="18"/>
  <c r="U56" i="18"/>
  <c r="U57" i="18"/>
  <c r="U14" i="18"/>
  <c r="U59" i="18"/>
  <c r="U58" i="18"/>
  <c r="K3" i="6"/>
  <c r="N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32" authorId="0" shapeId="0" xr:uid="{2BC0BA2C-3664-4EBD-9ADF-B395B762A0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en</t>
        </r>
      </text>
    </comment>
    <comment ref="B37" authorId="0" shapeId="0" xr:uid="{20590C42-1460-4882-B8B1-A64D7F18DF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et̚</t>
        </r>
      </text>
    </comment>
    <comment ref="B42" authorId="0" shapeId="0" xr:uid="{C8FFA90A-1850-4F48-8241-9C5303CC98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ək̚</t>
        </r>
      </text>
    </comment>
    <comment ref="B47" authorId="0" shapeId="0" xr:uid="{999D316B-7A04-4D40-B223-B82131E8BBB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</t>
        </r>
      </text>
    </comment>
    <comment ref="B48" authorId="0" shapeId="0" xr:uid="{F6D1DEAF-4CCF-4F4A-8C81-DFF5E8F7F5F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əʔ/</t>
        </r>
      </text>
    </comment>
    <comment ref="B61" authorId="0" shapeId="0" xr:uid="{6D80FC1D-E508-4596-BC6E-996F06BDF6D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</t>
        </r>
      </text>
    </comment>
    <comment ref="B62" authorId="0" shapeId="0" xr:uid="{205DA633-F454-4801-B26D-D45E557C750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əʔ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<sst xmlns="http://schemas.openxmlformats.org/spreadsheetml/2006/main" count="8855" uniqueCount="2623">
  <si>
    <t>識別號</t>
  </si>
  <si>
    <t>漢字例</t>
  </si>
  <si>
    <t>國際音標</t>
  </si>
  <si>
    <t>十五音</t>
  </si>
  <si>
    <t>方音符號</t>
  </si>
  <si>
    <t>台語音標</t>
  </si>
  <si>
    <t>台羅拼音</t>
  </si>
  <si>
    <t>白話字</t>
  </si>
  <si>
    <t>閩拼方案</t>
  </si>
  <si>
    <t>注音二式</t>
  </si>
  <si>
    <t>舒促聲</t>
  </si>
  <si>
    <t>十五音識別碼</t>
  </si>
  <si>
    <t>1</t>
  </si>
  <si>
    <t>汾</t>
  </si>
  <si>
    <t>un</t>
  </si>
  <si>
    <t>君</t>
  </si>
  <si>
    <t>ㄨㄣ</t>
  </si>
  <si>
    <t>舒聲</t>
  </si>
  <si>
    <t>君舒</t>
  </si>
  <si>
    <t>2</t>
  </si>
  <si>
    <t>不</t>
  </si>
  <si>
    <t>ㄨㆵ</t>
  </si>
  <si>
    <t>ut</t>
  </si>
  <si>
    <t>促聲</t>
  </si>
  <si>
    <t>君促</t>
  </si>
  <si>
    <t>3</t>
  </si>
  <si>
    <t>掀</t>
  </si>
  <si>
    <t>ian</t>
  </si>
  <si>
    <t>堅</t>
  </si>
  <si>
    <t>ㄧㄢ</t>
  </si>
  <si>
    <t>堅舒</t>
  </si>
  <si>
    <t>4</t>
  </si>
  <si>
    <t>別</t>
  </si>
  <si>
    <t>ㄧㄚㆵ</t>
  </si>
  <si>
    <t>iat</t>
  </si>
  <si>
    <t>堅促</t>
  </si>
  <si>
    <t>5</t>
  </si>
  <si>
    <t>深</t>
  </si>
  <si>
    <t>im</t>
  </si>
  <si>
    <t>金</t>
  </si>
  <si>
    <t>ㄧㆬ</t>
  </si>
  <si>
    <t>金舒</t>
  </si>
  <si>
    <t>6</t>
  </si>
  <si>
    <t>蟄</t>
  </si>
  <si>
    <t>ip̚</t>
  </si>
  <si>
    <t>一ㆴ</t>
  </si>
  <si>
    <t>ip</t>
  </si>
  <si>
    <t>金促</t>
  </si>
  <si>
    <t>7</t>
  </si>
  <si>
    <t>歸</t>
  </si>
  <si>
    <t>ui</t>
  </si>
  <si>
    <t>規</t>
  </si>
  <si>
    <t>ㄨㄧ</t>
  </si>
  <si>
    <t>規舒</t>
  </si>
  <si>
    <t>9</t>
  </si>
  <si>
    <t>家</t>
  </si>
  <si>
    <t>ɛ</t>
  </si>
  <si>
    <t>嘉</t>
  </si>
  <si>
    <t>ㄝ</t>
  </si>
  <si>
    <t>ee</t>
  </si>
  <si>
    <t>e</t>
  </si>
  <si>
    <t>嘉舒</t>
  </si>
  <si>
    <t>10</t>
  </si>
  <si>
    <t>八</t>
  </si>
  <si>
    <t>eeh</t>
  </si>
  <si>
    <t>eh</t>
  </si>
  <si>
    <t>嘉促</t>
  </si>
  <si>
    <t>11</t>
  </si>
  <si>
    <t>蘭</t>
  </si>
  <si>
    <t>an</t>
  </si>
  <si>
    <t>干</t>
  </si>
  <si>
    <t>ㄢ</t>
  </si>
  <si>
    <t>干舒</t>
  </si>
  <si>
    <t>12</t>
  </si>
  <si>
    <t>識</t>
  </si>
  <si>
    <t>at̚</t>
  </si>
  <si>
    <t>ㄚㆵ</t>
  </si>
  <si>
    <t>at</t>
  </si>
  <si>
    <t>干促</t>
  </si>
  <si>
    <t>13</t>
  </si>
  <si>
    <t>風</t>
  </si>
  <si>
    <t>ɔŋ</t>
  </si>
  <si>
    <t>公</t>
  </si>
  <si>
    <t>ㆲ</t>
  </si>
  <si>
    <t>ong</t>
  </si>
  <si>
    <t>公舒</t>
  </si>
  <si>
    <t>14</t>
  </si>
  <si>
    <t>福</t>
  </si>
  <si>
    <t>ɔk̚</t>
  </si>
  <si>
    <t>ㆦㆻ</t>
  </si>
  <si>
    <t>ok</t>
  </si>
  <si>
    <t>公促</t>
  </si>
  <si>
    <t>15</t>
  </si>
  <si>
    <t>怪</t>
  </si>
  <si>
    <t>uai</t>
  </si>
  <si>
    <t>乖</t>
  </si>
  <si>
    <t>ㄨㄞ</t>
  </si>
  <si>
    <t>oai</t>
  </si>
  <si>
    <t>乖舒</t>
  </si>
  <si>
    <t>8</t>
  </si>
  <si>
    <t>16</t>
  </si>
  <si>
    <t>uaih</t>
  </si>
  <si>
    <t>oaih</t>
  </si>
  <si>
    <t>乖促</t>
  </si>
  <si>
    <t>17</t>
  </si>
  <si>
    <t>情</t>
  </si>
  <si>
    <t>iŋ</t>
  </si>
  <si>
    <t>經</t>
  </si>
  <si>
    <t>ㄧㄥ</t>
  </si>
  <si>
    <t>ing</t>
  </si>
  <si>
    <t>eng</t>
  </si>
  <si>
    <t>經舒</t>
  </si>
  <si>
    <t>18</t>
  </si>
  <si>
    <t>益</t>
  </si>
  <si>
    <t>ㄧㆻ</t>
  </si>
  <si>
    <t>ik</t>
  </si>
  <si>
    <t>ek</t>
  </si>
  <si>
    <t>經促</t>
  </si>
  <si>
    <t>19</t>
  </si>
  <si>
    <t>猿</t>
  </si>
  <si>
    <t>uan</t>
  </si>
  <si>
    <t>觀</t>
  </si>
  <si>
    <t>ㄨㄢ</t>
  </si>
  <si>
    <t>oan</t>
  </si>
  <si>
    <t>觀舒</t>
  </si>
  <si>
    <t>20</t>
  </si>
  <si>
    <t>說</t>
  </si>
  <si>
    <t>uat̚</t>
  </si>
  <si>
    <t>ㄨㄚㆵ</t>
  </si>
  <si>
    <t>uat</t>
  </si>
  <si>
    <t>oat</t>
  </si>
  <si>
    <t>觀促</t>
  </si>
  <si>
    <t>21</t>
  </si>
  <si>
    <t>捕</t>
  </si>
  <si>
    <t>ou</t>
  </si>
  <si>
    <t>沽</t>
  </si>
  <si>
    <t>oo</t>
  </si>
  <si>
    <t>o͘</t>
  </si>
  <si>
    <t>沽舒</t>
  </si>
  <si>
    <t>23</t>
  </si>
  <si>
    <t>遙</t>
  </si>
  <si>
    <t>iau</t>
  </si>
  <si>
    <t>嬌</t>
  </si>
  <si>
    <t>ㄧㄠ</t>
  </si>
  <si>
    <t>iao</t>
  </si>
  <si>
    <t>嬌舒</t>
  </si>
  <si>
    <t>24</t>
  </si>
  <si>
    <t>噭</t>
  </si>
  <si>
    <t>iauh</t>
  </si>
  <si>
    <t>iaoh</t>
  </si>
  <si>
    <t>嬌促</t>
  </si>
  <si>
    <t>25</t>
  </si>
  <si>
    <t>遞</t>
  </si>
  <si>
    <t>ei</t>
  </si>
  <si>
    <t>稽</t>
  </si>
  <si>
    <t>ㆤ</t>
  </si>
  <si>
    <t>稽舒</t>
  </si>
  <si>
    <t>27</t>
  </si>
  <si>
    <t>中</t>
  </si>
  <si>
    <t>iɔŋ</t>
  </si>
  <si>
    <t>恭</t>
  </si>
  <si>
    <t>ㄧㆲ</t>
  </si>
  <si>
    <t>iong</t>
  </si>
  <si>
    <t>恭舒</t>
  </si>
  <si>
    <t>28</t>
  </si>
  <si>
    <t>俗</t>
  </si>
  <si>
    <t>ㄧㆦㆻ</t>
  </si>
  <si>
    <t>iok</t>
  </si>
  <si>
    <t>恭促</t>
  </si>
  <si>
    <t>29</t>
  </si>
  <si>
    <t>果</t>
  </si>
  <si>
    <t>o</t>
  </si>
  <si>
    <t>高</t>
  </si>
  <si>
    <t>ㄜ</t>
  </si>
  <si>
    <t>or</t>
  </si>
  <si>
    <t>高舒</t>
  </si>
  <si>
    <t>30</t>
  </si>
  <si>
    <t>卜</t>
  </si>
  <si>
    <t>oh</t>
  </si>
  <si>
    <t>orh</t>
  </si>
  <si>
    <t>高促</t>
  </si>
  <si>
    <t>31</t>
  </si>
  <si>
    <t>埃</t>
  </si>
  <si>
    <t>ai</t>
  </si>
  <si>
    <t>皆</t>
  </si>
  <si>
    <t>ㄞ</t>
  </si>
  <si>
    <t>皆舒</t>
  </si>
  <si>
    <t>33</t>
  </si>
  <si>
    <t>恩</t>
  </si>
  <si>
    <t>in</t>
  </si>
  <si>
    <t>巾</t>
  </si>
  <si>
    <t>ㄧㄣ</t>
  </si>
  <si>
    <t>巾舒</t>
  </si>
  <si>
    <t>34</t>
  </si>
  <si>
    <t>一</t>
  </si>
  <si>
    <t>it̚</t>
  </si>
  <si>
    <t>ㄧㆵ</t>
  </si>
  <si>
    <t>it</t>
  </si>
  <si>
    <t>巾促</t>
  </si>
  <si>
    <t>35</t>
  </si>
  <si>
    <t>將</t>
  </si>
  <si>
    <t>iaŋ</t>
  </si>
  <si>
    <t>姜</t>
  </si>
  <si>
    <t>iang</t>
  </si>
  <si>
    <t>姜舒</t>
  </si>
  <si>
    <t>36</t>
  </si>
  <si>
    <t>爆</t>
  </si>
  <si>
    <t>iak</t>
  </si>
  <si>
    <t>姜促</t>
  </si>
  <si>
    <t>37</t>
  </si>
  <si>
    <t>堪</t>
  </si>
  <si>
    <t>am</t>
  </si>
  <si>
    <t>甘</t>
  </si>
  <si>
    <t>ㆰ</t>
  </si>
  <si>
    <t>甘舒</t>
  </si>
  <si>
    <t>38</t>
  </si>
  <si>
    <t>答</t>
  </si>
  <si>
    <t>ap̚</t>
  </si>
  <si>
    <t>ㄚㆴ</t>
  </si>
  <si>
    <t>ap</t>
  </si>
  <si>
    <t>甘促</t>
  </si>
  <si>
    <t>39</t>
  </si>
  <si>
    <t>花</t>
  </si>
  <si>
    <t>ua</t>
  </si>
  <si>
    <t>瓜</t>
  </si>
  <si>
    <t>ㄨㄚ</t>
  </si>
  <si>
    <t>oa</t>
  </si>
  <si>
    <t>瓜舒</t>
  </si>
  <si>
    <t>40</t>
  </si>
  <si>
    <t>缽</t>
  </si>
  <si>
    <t>uah</t>
  </si>
  <si>
    <t>oah</t>
  </si>
  <si>
    <t>瓜促</t>
  </si>
  <si>
    <t>41</t>
  </si>
  <si>
    <t>邦</t>
  </si>
  <si>
    <t>aŋ</t>
  </si>
  <si>
    <t>江</t>
  </si>
  <si>
    <t>ang</t>
  </si>
  <si>
    <t>江舒</t>
  </si>
  <si>
    <t>42</t>
  </si>
  <si>
    <t>角</t>
  </si>
  <si>
    <t>ak̚</t>
  </si>
  <si>
    <t>ㄚㆻ</t>
  </si>
  <si>
    <t>ak</t>
  </si>
  <si>
    <t>江促</t>
  </si>
  <si>
    <t>43</t>
  </si>
  <si>
    <t>尖</t>
  </si>
  <si>
    <t>iam</t>
  </si>
  <si>
    <t>兼</t>
  </si>
  <si>
    <t>ㄧㆰ</t>
  </si>
  <si>
    <t>兼舒</t>
  </si>
  <si>
    <t>22</t>
  </si>
  <si>
    <t>44</t>
  </si>
  <si>
    <t>接</t>
  </si>
  <si>
    <t>iap̚</t>
  </si>
  <si>
    <t>ㄧㄚㆴ</t>
  </si>
  <si>
    <t>iap</t>
  </si>
  <si>
    <t>兼促</t>
  </si>
  <si>
    <t>45</t>
  </si>
  <si>
    <t>鬧</t>
  </si>
  <si>
    <t>au</t>
  </si>
  <si>
    <t>交</t>
  </si>
  <si>
    <t>ㄠ</t>
  </si>
  <si>
    <t>ao</t>
  </si>
  <si>
    <t>交舒</t>
  </si>
  <si>
    <t>46</t>
  </si>
  <si>
    <t>暴</t>
  </si>
  <si>
    <t>auh</t>
  </si>
  <si>
    <t>aoh</t>
  </si>
  <si>
    <t>交促</t>
  </si>
  <si>
    <t>47</t>
  </si>
  <si>
    <t>名</t>
  </si>
  <si>
    <t>ia</t>
  </si>
  <si>
    <t>迦</t>
  </si>
  <si>
    <t>ㄧㄚ</t>
  </si>
  <si>
    <t>迦舒</t>
  </si>
  <si>
    <t>48</t>
  </si>
  <si>
    <t>壁</t>
  </si>
  <si>
    <t>iah</t>
  </si>
  <si>
    <t>迦促</t>
  </si>
  <si>
    <t>49</t>
  </si>
  <si>
    <t>話</t>
  </si>
  <si>
    <t>uei</t>
  </si>
  <si>
    <t>檜</t>
  </si>
  <si>
    <t>ㄨㆤ</t>
  </si>
  <si>
    <t>ue</t>
  </si>
  <si>
    <t>oe</t>
  </si>
  <si>
    <t>檜舒</t>
  </si>
  <si>
    <t>50</t>
  </si>
  <si>
    <t>拔</t>
  </si>
  <si>
    <t>ueh</t>
  </si>
  <si>
    <t>oeh</t>
  </si>
  <si>
    <t>檜促</t>
  </si>
  <si>
    <t>聽</t>
  </si>
  <si>
    <t>ã</t>
  </si>
  <si>
    <t>監</t>
  </si>
  <si>
    <t>ㆩ</t>
  </si>
  <si>
    <t>ann</t>
  </si>
  <si>
    <t>aⁿ</t>
  </si>
  <si>
    <t>na</t>
  </si>
  <si>
    <t>監舒</t>
  </si>
  <si>
    <t>26</t>
  </si>
  <si>
    <t>含</t>
  </si>
  <si>
    <t>ahnn</t>
  </si>
  <si>
    <t>annh</t>
  </si>
  <si>
    <t>nah</t>
  </si>
  <si>
    <t>監促</t>
  </si>
  <si>
    <t>夫</t>
  </si>
  <si>
    <t>u</t>
  </si>
  <si>
    <t>艍</t>
  </si>
  <si>
    <t>ㄨ</t>
  </si>
  <si>
    <t>艍舒</t>
  </si>
  <si>
    <t>勃</t>
  </si>
  <si>
    <t>uh</t>
  </si>
  <si>
    <t>艍促</t>
  </si>
  <si>
    <t>些</t>
  </si>
  <si>
    <t>a</t>
  </si>
  <si>
    <t>膠</t>
  </si>
  <si>
    <t>ㄚ</t>
  </si>
  <si>
    <t>膠舒</t>
  </si>
  <si>
    <t>百</t>
  </si>
  <si>
    <t>ah</t>
  </si>
  <si>
    <t>膠促</t>
  </si>
  <si>
    <t>爾</t>
  </si>
  <si>
    <t>i</t>
  </si>
  <si>
    <t>居</t>
  </si>
  <si>
    <t>ㄧ</t>
  </si>
  <si>
    <t>居舒</t>
  </si>
  <si>
    <t>逼</t>
  </si>
  <si>
    <t>ih</t>
  </si>
  <si>
    <t>居促</t>
  </si>
  <si>
    <t>油</t>
  </si>
  <si>
    <t>iu</t>
  </si>
  <si>
    <t>丩</t>
  </si>
  <si>
    <t>ㄧㄨ</t>
  </si>
  <si>
    <t>丩舒</t>
  </si>
  <si>
    <t>爭</t>
  </si>
  <si>
    <t>ɛ̃</t>
  </si>
  <si>
    <t>更</t>
  </si>
  <si>
    <t>ㆥ</t>
  </si>
  <si>
    <t>enn</t>
  </si>
  <si>
    <t>eⁿ</t>
  </si>
  <si>
    <t>ne</t>
  </si>
  <si>
    <t>更舒</t>
  </si>
  <si>
    <t>挾</t>
  </si>
  <si>
    <t>ehnn</t>
  </si>
  <si>
    <t>ennh</t>
  </si>
  <si>
    <t>更促</t>
  </si>
  <si>
    <t>荒</t>
  </si>
  <si>
    <t>褌</t>
  </si>
  <si>
    <t>ㄨㆪ</t>
  </si>
  <si>
    <t>uinn</t>
  </si>
  <si>
    <t>uiⁿ</t>
  </si>
  <si>
    <t>nui</t>
  </si>
  <si>
    <t>褌舒</t>
  </si>
  <si>
    <t>32</t>
  </si>
  <si>
    <t>少</t>
  </si>
  <si>
    <t>io</t>
  </si>
  <si>
    <t>茄</t>
  </si>
  <si>
    <t>ㄧㄜ</t>
  </si>
  <si>
    <t>ior</t>
  </si>
  <si>
    <t>茄舒</t>
  </si>
  <si>
    <t>著</t>
  </si>
  <si>
    <t>ioh</t>
  </si>
  <si>
    <t>iorh</t>
  </si>
  <si>
    <t>茄促</t>
  </si>
  <si>
    <t>庚</t>
  </si>
  <si>
    <t>ĩ</t>
  </si>
  <si>
    <t>梔</t>
  </si>
  <si>
    <t>ㆪ</t>
  </si>
  <si>
    <t>inn</t>
  </si>
  <si>
    <t>iⁿ</t>
  </si>
  <si>
    <t>ni</t>
  </si>
  <si>
    <t>梔舒</t>
  </si>
  <si>
    <t>欷</t>
  </si>
  <si>
    <t>ihnn</t>
  </si>
  <si>
    <t>innh</t>
  </si>
  <si>
    <t>nih</t>
  </si>
  <si>
    <t>梔促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</si>
  <si>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</si>
  <si>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</si>
  <si>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</si>
  <si>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</si>
  <si>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</si>
  <si>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</si>
  <si>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</si>
  <si>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</si>
  <si>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</si>
  <si>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且</t>
  </si>
  <si>
    <t>驚</t>
  </si>
  <si>
    <t>ㄧㆩ</t>
  </si>
  <si>
    <t>iann</t>
  </si>
  <si>
    <t>iannh</t>
  </si>
  <si>
    <t>iaⁿ</t>
  </si>
  <si>
    <t>nia</t>
  </si>
  <si>
    <t>驚舒</t>
  </si>
  <si>
    <t>肝</t>
  </si>
  <si>
    <t>官</t>
  </si>
  <si>
    <t>ㄨㆩ</t>
  </si>
  <si>
    <t>uann</t>
  </si>
  <si>
    <t>oaⁿ</t>
  </si>
  <si>
    <t>nua</t>
  </si>
  <si>
    <t>官舒</t>
  </si>
  <si>
    <t>床</t>
  </si>
  <si>
    <t>ŋ̍</t>
  </si>
  <si>
    <t>鋼</t>
  </si>
  <si>
    <t>ㆭ</t>
  </si>
  <si>
    <t>ng</t>
  </si>
  <si>
    <t>鋼舒</t>
  </si>
  <si>
    <t>會</t>
  </si>
  <si>
    <t>伽</t>
  </si>
  <si>
    <t>伽舒</t>
  </si>
  <si>
    <t>伯</t>
  </si>
  <si>
    <t>伽促</t>
  </si>
  <si>
    <t>挨</t>
  </si>
  <si>
    <t>閒</t>
  </si>
  <si>
    <t>ㆮ</t>
  </si>
  <si>
    <t>ainn</t>
  </si>
  <si>
    <t>aiⁿ</t>
  </si>
  <si>
    <t>nai</t>
  </si>
  <si>
    <t>閒舒</t>
  </si>
  <si>
    <t>張</t>
  </si>
  <si>
    <t>姑</t>
  </si>
  <si>
    <t>ㆧ</t>
  </si>
  <si>
    <t>oonn</t>
  </si>
  <si>
    <t>onn</t>
  </si>
  <si>
    <t>oⁿ</t>
  </si>
  <si>
    <t>noo</t>
  </si>
  <si>
    <t>姑舒</t>
  </si>
  <si>
    <t>姆</t>
  </si>
  <si>
    <t>m̩</t>
  </si>
  <si>
    <t>ㆬ</t>
  </si>
  <si>
    <t>m</t>
  </si>
  <si>
    <t>姆舒</t>
  </si>
  <si>
    <t>闖</t>
  </si>
  <si>
    <t>uaŋ</t>
  </si>
  <si>
    <t>光</t>
  </si>
  <si>
    <t>uang</t>
  </si>
  <si>
    <t>oang</t>
  </si>
  <si>
    <t>光舒</t>
  </si>
  <si>
    <t>伏</t>
  </si>
  <si>
    <t>uak̚</t>
  </si>
  <si>
    <t>ㄨㄚㆻ</t>
  </si>
  <si>
    <t>uak</t>
  </si>
  <si>
    <t>oak</t>
  </si>
  <si>
    <t>光促</t>
  </si>
  <si>
    <t>檨</t>
  </si>
  <si>
    <t>閂</t>
  </si>
  <si>
    <t>ㄨㆮ</t>
  </si>
  <si>
    <t>uainn</t>
  </si>
  <si>
    <t>oaiⁿ</t>
  </si>
  <si>
    <t>nuai</t>
  </si>
  <si>
    <t>閂舒</t>
  </si>
  <si>
    <t>蹶</t>
  </si>
  <si>
    <t>uaihnn</t>
  </si>
  <si>
    <t>uainnh</t>
  </si>
  <si>
    <t>nuaih</t>
  </si>
  <si>
    <t>閂促</t>
  </si>
  <si>
    <t>糜</t>
  </si>
  <si>
    <t>ㄨㆥ</t>
  </si>
  <si>
    <t>uenn</t>
  </si>
  <si>
    <t>oeⁿ</t>
  </si>
  <si>
    <t>nue</t>
  </si>
  <si>
    <t>糜舒</t>
  </si>
  <si>
    <t>鳥</t>
  </si>
  <si>
    <t>嘄</t>
  </si>
  <si>
    <t>ㄧㆯ</t>
  </si>
  <si>
    <t>iaunn</t>
  </si>
  <si>
    <t>iauⁿ</t>
  </si>
  <si>
    <t>niao</t>
  </si>
  <si>
    <t>嘄舒</t>
  </si>
  <si>
    <t>iauhnn</t>
  </si>
  <si>
    <t>iaunnh</t>
  </si>
  <si>
    <t>niaoh</t>
  </si>
  <si>
    <t>嘄促</t>
  </si>
  <si>
    <t>丼</t>
  </si>
  <si>
    <t>ɔm</t>
  </si>
  <si>
    <t>箴</t>
  </si>
  <si>
    <t>ㆱ</t>
  </si>
  <si>
    <t>om</t>
  </si>
  <si>
    <t>oom</t>
  </si>
  <si>
    <t>箴舒</t>
  </si>
  <si>
    <t>吷</t>
  </si>
  <si>
    <t>ɔp̚</t>
  </si>
  <si>
    <t>ㆦㆴ</t>
  </si>
  <si>
    <t>op</t>
  </si>
  <si>
    <t>oop</t>
  </si>
  <si>
    <t>箴促</t>
  </si>
  <si>
    <t>懸</t>
  </si>
  <si>
    <t>爻</t>
  </si>
  <si>
    <t>ㆯ</t>
  </si>
  <si>
    <t>aunn</t>
  </si>
  <si>
    <t>auⁿ</t>
  </si>
  <si>
    <t>nao</t>
  </si>
  <si>
    <t>爻舒</t>
  </si>
  <si>
    <t>呼</t>
  </si>
  <si>
    <t>扛</t>
  </si>
  <si>
    <t>on</t>
  </si>
  <si>
    <t>ornn</t>
  </si>
  <si>
    <t>扛舒</t>
  </si>
  <si>
    <t>ohnn</t>
  </si>
  <si>
    <t>onnh</t>
  </si>
  <si>
    <t>nooh</t>
  </si>
  <si>
    <t>扛促</t>
  </si>
  <si>
    <t>香</t>
  </si>
  <si>
    <t>牛</t>
  </si>
  <si>
    <t>ㄧㆫ</t>
  </si>
  <si>
    <t>iunn</t>
  </si>
  <si>
    <t>iuⁿ</t>
  </si>
  <si>
    <t>niu</t>
  </si>
  <si>
    <t>牛舒</t>
  </si>
  <si>
    <t>十五音序</t>
    <phoneticPr fontId="4" type="noConversion"/>
  </si>
  <si>
    <r>
      <rPr>
        <sz val="24"/>
        <color theme="1"/>
        <rFont val="Noto Sans TC Medium"/>
        <family val="2"/>
        <charset val="136"/>
      </rPr>
      <t>◯</t>
    </r>
  </si>
  <si>
    <t>備註</t>
  </si>
  <si>
    <t>理</t>
  </si>
  <si>
    <t>l</t>
  </si>
  <si>
    <t>柳</t>
  </si>
  <si>
    <t>ㄌ</t>
  </si>
  <si>
    <t>比</t>
  </si>
  <si>
    <t>p</t>
  </si>
  <si>
    <t>邊</t>
  </si>
  <si>
    <t>ㄅ</t>
  </si>
  <si>
    <t>b</t>
  </si>
  <si>
    <t>己</t>
  </si>
  <si>
    <t>k</t>
  </si>
  <si>
    <t>求</t>
  </si>
  <si>
    <t>ㄍ</t>
  </si>
  <si>
    <t>g</t>
  </si>
  <si>
    <t>起</t>
  </si>
  <si>
    <t>kʰ</t>
  </si>
  <si>
    <t>去</t>
  </si>
  <si>
    <t>ㄎ</t>
  </si>
  <si>
    <t>kh</t>
  </si>
  <si>
    <t>底</t>
  </si>
  <si>
    <t>t</t>
  </si>
  <si>
    <t>地</t>
  </si>
  <si>
    <t>ㄉ</t>
  </si>
  <si>
    <t>d</t>
  </si>
  <si>
    <t>鄙</t>
  </si>
  <si>
    <t>pʰ</t>
  </si>
  <si>
    <t>頗</t>
  </si>
  <si>
    <t>ㄆ</t>
  </si>
  <si>
    <t>ph</t>
  </si>
  <si>
    <t>恥</t>
  </si>
  <si>
    <t>tʰ</t>
  </si>
  <si>
    <t>他</t>
  </si>
  <si>
    <t>ㄊ</t>
  </si>
  <si>
    <t>th</t>
  </si>
  <si>
    <t>阻</t>
  </si>
  <si>
    <t>ʦ</t>
  </si>
  <si>
    <t>曾</t>
  </si>
  <si>
    <t>ㄗ</t>
  </si>
  <si>
    <t>z</t>
  </si>
  <si>
    <t>ts</t>
  </si>
  <si>
    <t>ch</t>
  </si>
  <si>
    <t>熱</t>
  </si>
  <si>
    <t>ʣ</t>
  </si>
  <si>
    <t>入</t>
  </si>
  <si>
    <t>ㆡ</t>
  </si>
  <si>
    <t>j</t>
  </si>
  <si>
    <t>zz</t>
  </si>
  <si>
    <t>詞</t>
  </si>
  <si>
    <t>s</t>
  </si>
  <si>
    <t>時</t>
  </si>
  <si>
    <t>以</t>
  </si>
  <si>
    <t>英</t>
  </si>
  <si>
    <t>Ø</t>
  </si>
  <si>
    <t>美</t>
  </si>
  <si>
    <t>門</t>
  </si>
  <si>
    <t>ㆠ</t>
  </si>
  <si>
    <t>bb</t>
  </si>
  <si>
    <t>禦</t>
  </si>
  <si>
    <t>ɡ</t>
  </si>
  <si>
    <t>語</t>
  </si>
  <si>
    <t>ㆣ</t>
  </si>
  <si>
    <t>gg</t>
  </si>
  <si>
    <t>取</t>
  </si>
  <si>
    <t>ʦʰ</t>
  </si>
  <si>
    <t>出</t>
  </si>
  <si>
    <t>c</t>
  </si>
  <si>
    <t>tsh</t>
  </si>
  <si>
    <t>chh</t>
  </si>
  <si>
    <t>喜</t>
  </si>
  <si>
    <t>h</t>
  </si>
  <si>
    <t>ㄏ</t>
  </si>
  <si>
    <t>毛</t>
  </si>
  <si>
    <t>ㄇ</t>
  </si>
  <si>
    <t>bbn</t>
  </si>
  <si>
    <t xml:space="preserve">b/m 本不分，此處分門/毛 </t>
  </si>
  <si>
    <t>耐</t>
  </si>
  <si>
    <t>n</t>
  </si>
  <si>
    <t>ㄋ</t>
  </si>
  <si>
    <t>ln</t>
  </si>
  <si>
    <t xml:space="preserve">l/n 本不分，此處分柳/耐 </t>
  </si>
  <si>
    <t>雅</t>
  </si>
  <si>
    <t>ŋ</t>
  </si>
  <si>
    <t>ㄫ</t>
  </si>
  <si>
    <t>ggn</t>
  </si>
  <si>
    <t xml:space="preserve">g/ng 本不分，此處分語/雅 </t>
  </si>
  <si>
    <t>ʥ</t>
  </si>
  <si>
    <t>ㆢ</t>
  </si>
  <si>
    <t>ji</t>
  </si>
  <si>
    <t>zzi</t>
  </si>
  <si>
    <t>止</t>
  </si>
  <si>
    <t>ʨ</t>
  </si>
  <si>
    <t>ㄐ</t>
  </si>
  <si>
    <t>zi</t>
  </si>
  <si>
    <t>tsi</t>
  </si>
  <si>
    <t>chi</t>
  </si>
  <si>
    <t>測</t>
  </si>
  <si>
    <t>ʨʰ</t>
  </si>
  <si>
    <t>ㄑ</t>
  </si>
  <si>
    <t>ci</t>
  </si>
  <si>
    <t>tshi</t>
  </si>
  <si>
    <t>chhi</t>
  </si>
  <si>
    <t>惜</t>
  </si>
  <si>
    <t>ɕ</t>
  </si>
  <si>
    <t>ㄒ</t>
  </si>
  <si>
    <t>si</t>
  </si>
  <si>
    <t>ㆢ = ㆡㄧ</t>
    <phoneticPr fontId="4" type="noConversion"/>
  </si>
  <si>
    <t>ㄐ = ㄗㄧ</t>
    <phoneticPr fontId="4" type="noConversion"/>
  </si>
  <si>
    <t>ㄙ</t>
    <phoneticPr fontId="4" type="noConversion"/>
  </si>
  <si>
    <t>ㄒ = ㄙㄧ</t>
    <phoneticPr fontId="4" type="noConversion"/>
  </si>
  <si>
    <t>ㄘ</t>
    <phoneticPr fontId="4" type="noConversion"/>
  </si>
  <si>
    <t>ㄑ = ㄘㄧ</t>
    <phoneticPr fontId="4" type="noConversion"/>
  </si>
  <si>
    <t>調值</t>
  </si>
  <si>
    <t>四聲八調</t>
  </si>
  <si>
    <t>W調名</t>
  </si>
  <si>
    <t>鍵盤按鍵</t>
  </si>
  <si>
    <t>注音調符</t>
  </si>
  <si>
    <t>台羅調號</t>
  </si>
  <si>
    <t>陰平</t>
  </si>
  <si>
    <t>東</t>
  </si>
  <si>
    <t>高音調</t>
  </si>
  <si>
    <t/>
  </si>
  <si>
    <t>陽去</t>
  </si>
  <si>
    <t>動</t>
  </si>
  <si>
    <t>中音調</t>
  </si>
  <si>
    <t>-</t>
  </si>
  <si>
    <t>ㄚ˫</t>
  </si>
  <si>
    <t>陰去</t>
  </si>
  <si>
    <t>棟</t>
  </si>
  <si>
    <t>低音調</t>
  </si>
  <si>
    <t>_</t>
  </si>
  <si>
    <t>ㄚ˪</t>
  </si>
  <si>
    <t>董</t>
  </si>
  <si>
    <t>高降調</t>
  </si>
  <si>
    <t>\</t>
  </si>
  <si>
    <t>陽平</t>
  </si>
  <si>
    <t>同</t>
  </si>
  <si>
    <t>低升調</t>
  </si>
  <si>
    <t>/</t>
  </si>
  <si>
    <t>陰入</t>
  </si>
  <si>
    <t>督</t>
  </si>
  <si>
    <t>低促調</t>
  </si>
  <si>
    <t>[</t>
  </si>
  <si>
    <t>陽入</t>
  </si>
  <si>
    <t>獨</t>
  </si>
  <si>
    <t>高促調</t>
  </si>
  <si>
    <t>]</t>
  </si>
  <si>
    <t>閩拼調號</t>
    <phoneticPr fontId="4" type="noConversion"/>
  </si>
  <si>
    <t>漢字</t>
    <phoneticPr fontId="4" type="noConversion"/>
  </si>
  <si>
    <t>台語音標</t>
    <phoneticPr fontId="4" type="noConversion"/>
  </si>
  <si>
    <t>羅馬拼音調符</t>
    <phoneticPr fontId="4" type="noConversion"/>
  </si>
  <si>
    <t>注音調符編碼</t>
    <phoneticPr fontId="4" type="noConversion"/>
  </si>
  <si>
    <t>拼音調符編碼</t>
    <phoneticPr fontId="4" type="noConversion"/>
  </si>
  <si>
    <t>U+0304</t>
  </si>
  <si>
    <t>U+0301</t>
  </si>
  <si>
    <t>調號</t>
  </si>
  <si>
    <t>U+030A</t>
  </si>
  <si>
    <t>U+030B</t>
  </si>
  <si>
    <t>閩拼調號</t>
    <phoneticPr fontId="23" type="noConversion"/>
  </si>
  <si>
    <t>W調序</t>
    <phoneticPr fontId="24" type="noConversion"/>
  </si>
  <si>
    <t>四聲八調</t>
    <phoneticPr fontId="25" type="noConversion"/>
  </si>
  <si>
    <t>W調名</t>
    <phoneticPr fontId="24" type="noConversion"/>
  </si>
  <si>
    <t>調值</t>
    <phoneticPr fontId="24" type="noConversion"/>
  </si>
  <si>
    <t>漢字</t>
    <phoneticPr fontId="24" type="noConversion"/>
  </si>
  <si>
    <t>台語音標</t>
    <phoneticPr fontId="24" type="noConversion"/>
  </si>
  <si>
    <t>拚音調符編碼</t>
    <phoneticPr fontId="24" type="noConversion"/>
  </si>
  <si>
    <t>帶調拚音字母</t>
    <phoneticPr fontId="24" type="noConversion"/>
  </si>
  <si>
    <t>拚音聲調按鍵</t>
    <phoneticPr fontId="24" type="noConversion"/>
  </si>
  <si>
    <t>閩拼音標</t>
    <phoneticPr fontId="24" type="noConversion"/>
  </si>
  <si>
    <t>帶調閩拚</t>
    <phoneticPr fontId="24" type="noConversion"/>
  </si>
  <si>
    <t>按鍵輸入</t>
    <phoneticPr fontId="25" type="noConversion"/>
  </si>
  <si>
    <t>注音調符編碼</t>
    <phoneticPr fontId="24" type="noConversion"/>
  </si>
  <si>
    <t>帶調注音符號</t>
    <phoneticPr fontId="24" type="noConversion"/>
  </si>
  <si>
    <t>注音聲調按鍵</t>
    <phoneticPr fontId="24" type="noConversion"/>
  </si>
  <si>
    <t>按鍵輸入</t>
  </si>
  <si>
    <t>輕聲</t>
    <phoneticPr fontId="24" type="noConversion"/>
  </si>
  <si>
    <t>輕聲調</t>
    <phoneticPr fontId="24" type="noConversion"/>
  </si>
  <si>
    <t>啊</t>
    <phoneticPr fontId="24" type="noConversion"/>
  </si>
  <si>
    <t>ah0</t>
    <phoneticPr fontId="24" type="noConversion"/>
  </si>
  <si>
    <t>U+030A</t>
    <phoneticPr fontId="24" type="noConversion"/>
  </si>
  <si>
    <t>U+0308</t>
    <phoneticPr fontId="24" type="noConversion"/>
  </si>
  <si>
    <t>ㄚㆷ˙</t>
  </si>
  <si>
    <t>ㄚㆷ7</t>
  </si>
  <si>
    <t>高音調</t>
    <phoneticPr fontId="24" type="noConversion"/>
  </si>
  <si>
    <t>東</t>
    <phoneticPr fontId="24" type="noConversion"/>
  </si>
  <si>
    <t>tong1</t>
    <phoneticPr fontId="24" type="noConversion"/>
  </si>
  <si>
    <t>U+0304</t>
    <phoneticPr fontId="24" type="noConversion"/>
  </si>
  <si>
    <t>;</t>
    <phoneticPr fontId="24" type="noConversion"/>
  </si>
  <si>
    <t>:</t>
  </si>
  <si>
    <t>ㄊㆲ</t>
  </si>
  <si>
    <t>ㄊㆲ:</t>
  </si>
  <si>
    <t>低升調</t>
    <phoneticPr fontId="24" type="noConversion"/>
  </si>
  <si>
    <t>同</t>
    <phoneticPr fontId="24" type="noConversion"/>
  </si>
  <si>
    <t>tong5</t>
    <phoneticPr fontId="24" type="noConversion"/>
  </si>
  <si>
    <t>U+0301</t>
    <phoneticPr fontId="24" type="noConversion"/>
  </si>
  <si>
    <t>/</t>
    <phoneticPr fontId="24" type="noConversion"/>
  </si>
  <si>
    <t>6</t>
    <phoneticPr fontId="24" type="noConversion"/>
  </si>
  <si>
    <t>ㄊㆲˊ</t>
  </si>
  <si>
    <t>ㄊㆲ6</t>
  </si>
  <si>
    <t>上声/陰上</t>
    <phoneticPr fontId="24" type="noConversion"/>
  </si>
  <si>
    <t>高降調</t>
    <phoneticPr fontId="24" type="noConversion"/>
  </si>
  <si>
    <t>董</t>
    <phoneticPr fontId="24" type="noConversion"/>
  </si>
  <si>
    <t>tong2</t>
    <phoneticPr fontId="24" type="noConversion"/>
  </si>
  <si>
    <t>U+030C</t>
    <phoneticPr fontId="24" type="noConversion"/>
  </si>
  <si>
    <t>\</t>
    <phoneticPr fontId="24" type="noConversion"/>
  </si>
  <si>
    <t>U+0300</t>
    <phoneticPr fontId="24" type="noConversion"/>
  </si>
  <si>
    <t>ㄊㆲˋ</t>
  </si>
  <si>
    <t>ㄊㆲ4</t>
  </si>
  <si>
    <t>上声/陽上</t>
    <phoneticPr fontId="24" type="noConversion"/>
  </si>
  <si>
    <t>低音調</t>
    <phoneticPr fontId="24" type="noConversion"/>
  </si>
  <si>
    <t>棟</t>
    <phoneticPr fontId="24" type="noConversion"/>
  </si>
  <si>
    <t>tong3</t>
    <phoneticPr fontId="24" type="noConversion"/>
  </si>
  <si>
    <t>_</t>
    <phoneticPr fontId="24" type="noConversion"/>
  </si>
  <si>
    <t>U+02EA</t>
    <phoneticPr fontId="24" type="noConversion"/>
  </si>
  <si>
    <t>ㄊㆲ˪</t>
  </si>
  <si>
    <t>ㄊㆲ3</t>
  </si>
  <si>
    <t>中音調</t>
    <phoneticPr fontId="24" type="noConversion"/>
  </si>
  <si>
    <t>動</t>
    <phoneticPr fontId="24" type="noConversion"/>
  </si>
  <si>
    <t>tong7</t>
    <phoneticPr fontId="24" type="noConversion"/>
  </si>
  <si>
    <t>U+0302</t>
    <phoneticPr fontId="24" type="noConversion"/>
  </si>
  <si>
    <t>-</t>
    <phoneticPr fontId="24" type="noConversion"/>
  </si>
  <si>
    <t>U+02EB</t>
    <phoneticPr fontId="24" type="noConversion"/>
  </si>
  <si>
    <t>5</t>
    <phoneticPr fontId="24" type="noConversion"/>
  </si>
  <si>
    <t>ㄊㆲ˫</t>
  </si>
  <si>
    <t>ㄊㆲ5</t>
  </si>
  <si>
    <t>低促調</t>
    <phoneticPr fontId="24" type="noConversion"/>
  </si>
  <si>
    <t>督</t>
    <phoneticPr fontId="24" type="noConversion"/>
  </si>
  <si>
    <t>tok4</t>
    <phoneticPr fontId="24" type="noConversion"/>
  </si>
  <si>
    <t>[</t>
    <phoneticPr fontId="24" type="noConversion"/>
  </si>
  <si>
    <t>ㄊㆦㆻ</t>
  </si>
  <si>
    <t>ㄊㆦㆻ[</t>
  </si>
  <si>
    <t>高促調</t>
    <phoneticPr fontId="24" type="noConversion"/>
  </si>
  <si>
    <t>獨</t>
    <phoneticPr fontId="24" type="noConversion"/>
  </si>
  <si>
    <t>tok8</t>
    <phoneticPr fontId="24" type="noConversion"/>
  </si>
  <si>
    <t>]</t>
    <phoneticPr fontId="24" type="noConversion"/>
  </si>
  <si>
    <t>U+02D9</t>
    <phoneticPr fontId="24" type="noConversion"/>
  </si>
  <si>
    <r>
      <rPr>
        <sz val="24"/>
        <color theme="5" tint="-0.249977111117893"/>
        <rFont val="Noto Sans TC"/>
        <family val="2"/>
        <charset val="136"/>
      </rPr>
      <t>ㄊㆦㆻ</t>
    </r>
    <r>
      <rPr>
        <sz val="24"/>
        <color theme="5" tint="-0.249977111117893"/>
        <rFont val="Arial"/>
        <family val="2"/>
      </rPr>
      <t>˙</t>
    </r>
    <phoneticPr fontId="24" type="noConversion"/>
  </si>
  <si>
    <t>ㄊㆦㆻ]</t>
  </si>
  <si>
    <t>U+02D9</t>
    <phoneticPr fontId="4" type="noConversion"/>
  </si>
  <si>
    <t>U+0300</t>
    <phoneticPr fontId="4" type="noConversion"/>
  </si>
  <si>
    <t>U+02EA</t>
    <phoneticPr fontId="4" type="noConversion"/>
  </si>
  <si>
    <t>U+0301</t>
    <phoneticPr fontId="4" type="noConversion"/>
  </si>
  <si>
    <t>U+02EB</t>
    <phoneticPr fontId="4" type="noConversion"/>
  </si>
  <si>
    <t>台羅拼音</t>
    <phoneticPr fontId="4" type="noConversion"/>
  </si>
  <si>
    <t>方音符號</t>
    <phoneticPr fontId="4" type="noConversion"/>
  </si>
  <si>
    <t>閩拼方案</t>
    <phoneticPr fontId="4" type="noConversion"/>
  </si>
  <si>
    <t>U+0302</t>
    <phoneticPr fontId="4" type="noConversion"/>
  </si>
  <si>
    <t>U+030C</t>
    <phoneticPr fontId="4" type="noConversion"/>
  </si>
  <si>
    <t>輕聲</t>
    <phoneticPr fontId="4" type="noConversion"/>
  </si>
  <si>
    <t>上平</t>
    <phoneticPr fontId="4" type="noConversion"/>
  </si>
  <si>
    <t>上聲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</si>
  <si>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</si>
  <si>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</si>
  <si>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</si>
  <si>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下入</t>
    <phoneticPr fontId="4" type="noConversion"/>
  </si>
  <si>
    <t>下去</t>
    <phoneticPr fontId="4" type="noConversion"/>
  </si>
  <si>
    <t>U+0304</t>
    <phoneticPr fontId="4" type="noConversion"/>
  </si>
  <si>
    <t>台羅調符編碼</t>
    <phoneticPr fontId="4" type="noConversion"/>
  </si>
  <si>
    <t>方音調符編碼</t>
    <phoneticPr fontId="4" type="noConversion"/>
  </si>
  <si>
    <t>閩拼調符編碼</t>
    <phoneticPr fontId="4" type="noConversion"/>
  </si>
  <si>
    <t>調名</t>
    <phoneticPr fontId="4" type="noConversion"/>
  </si>
  <si>
    <t>ah</t>
    <phoneticPr fontId="4" type="noConversion"/>
  </si>
  <si>
    <t>U+030D</t>
    <phoneticPr fontId="4" type="noConversion"/>
  </si>
  <si>
    <t>Charis</t>
    <phoneticPr fontId="4" type="noConversion"/>
  </si>
  <si>
    <t>niɑoh</t>
  </si>
  <si>
    <t>nuɑih</t>
  </si>
  <si>
    <t>iɑŋ</t>
  </si>
  <si>
    <t>iɑnɡ</t>
  </si>
  <si>
    <t>iauʔ</t>
  </si>
  <si>
    <t>ionɡ</t>
  </si>
  <si>
    <t>ɛ̃ʔ</t>
  </si>
  <si>
    <t>nɑeh</t>
  </si>
  <si>
    <t>ãuʔ</t>
  </si>
  <si>
    <t>aunnh</t>
  </si>
  <si>
    <t>nɑoh</t>
  </si>
  <si>
    <t>iãʔ</t>
  </si>
  <si>
    <t>niɑh</t>
  </si>
  <si>
    <t>niɑo</t>
  </si>
  <si>
    <t>ɔ̃ʔ</t>
  </si>
  <si>
    <t>ɑeh</t>
  </si>
  <si>
    <t>ɑŋ</t>
  </si>
  <si>
    <t>anɡ</t>
  </si>
  <si>
    <t>auʔ</t>
  </si>
  <si>
    <t>ɑoh</t>
  </si>
  <si>
    <t>iaʔ</t>
  </si>
  <si>
    <t>iɑh</t>
  </si>
  <si>
    <t>iɑk</t>
  </si>
  <si>
    <t>iɑm</t>
  </si>
  <si>
    <t>iɑn</t>
  </si>
  <si>
    <t>iɑo</t>
  </si>
  <si>
    <t>iɑp</t>
  </si>
  <si>
    <t>iɑt</t>
  </si>
  <si>
    <t>inɡ</t>
  </si>
  <si>
    <t>ioʔ</t>
  </si>
  <si>
    <t>iuʔ</t>
  </si>
  <si>
    <t>iuh</t>
  </si>
  <si>
    <t>nɑe</t>
  </si>
  <si>
    <t>ãʔ</t>
  </si>
  <si>
    <t>nɑh</t>
  </si>
  <si>
    <t>ãi</t>
  </si>
  <si>
    <t>nɑi</t>
  </si>
  <si>
    <t>ãu</t>
  </si>
  <si>
    <t>nɑo</t>
  </si>
  <si>
    <t>ŋ̍ʔ</t>
  </si>
  <si>
    <t>ngh</t>
  </si>
  <si>
    <t>iã</t>
  </si>
  <si>
    <t>ɔ̃</t>
  </si>
  <si>
    <t>onɡ</t>
  </si>
  <si>
    <t>ɔʔ</t>
  </si>
  <si>
    <t>ooh</t>
  </si>
  <si>
    <t>uaʔ</t>
  </si>
  <si>
    <t>uɑh</t>
  </si>
  <si>
    <t>uɑi</t>
  </si>
  <si>
    <t>uɑn</t>
  </si>
  <si>
    <t>uɑt</t>
  </si>
  <si>
    <t>ueʔ</t>
  </si>
  <si>
    <t>ɑe</t>
  </si>
  <si>
    <t>aʔ</t>
  </si>
  <si>
    <t>ɑh</t>
  </si>
  <si>
    <t>ɑk</t>
  </si>
  <si>
    <t>ɑm</t>
  </si>
  <si>
    <t>ɑn</t>
  </si>
  <si>
    <t>ɑp</t>
  </si>
  <si>
    <t>ɑt</t>
  </si>
  <si>
    <t>eʔ</t>
  </si>
  <si>
    <t>ɯ</t>
  </si>
  <si>
    <t>ir</t>
  </si>
  <si>
    <t>eu</t>
  </si>
  <si>
    <t>iɑ</t>
  </si>
  <si>
    <t>ə~ɤ</t>
  </si>
  <si>
    <t>er</t>
  </si>
  <si>
    <t>ie</t>
  </si>
  <si>
    <t>iʔ</t>
  </si>
  <si>
    <t>m̩ʔ</t>
  </si>
  <si>
    <t>mh</t>
  </si>
  <si>
    <t>ĩ</t>
  </si>
  <si>
    <t>oʔ</t>
  </si>
  <si>
    <t>ɔk</t>
  </si>
  <si>
    <t>ɔ</t>
  </si>
  <si>
    <t>ɔp</t>
  </si>
  <si>
    <t>uɑ</t>
  </si>
  <si>
    <t>uʔ</t>
  </si>
  <si>
    <t>ɑ</t>
  </si>
  <si>
    <t>iɔʔ</t>
  </si>
  <si>
    <t>iooh</t>
  </si>
  <si>
    <t>ɔu</t>
  </si>
  <si>
    <t>æ</t>
  </si>
  <si>
    <t>ae</t>
  </si>
  <si>
    <t>uæ</t>
  </si>
  <si>
    <t>uae</t>
  </si>
  <si>
    <t>æ̃</t>
  </si>
  <si>
    <t>aenn</t>
  </si>
  <si>
    <t>eu~eo</t>
  </si>
  <si>
    <t>iɔ</t>
  </si>
  <si>
    <t>ioo</t>
  </si>
  <si>
    <t>eŋ</t>
  </si>
  <si>
    <t>iaunnh</t>
    <phoneticPr fontId="4" type="noConversion"/>
  </si>
  <si>
    <t>白話字</t>
    <phoneticPr fontId="4" type="noConversion"/>
  </si>
  <si>
    <t>ioh</t>
    <phoneticPr fontId="4" type="noConversion"/>
  </si>
  <si>
    <t>台語注音二式</t>
  </si>
  <si>
    <t>台語注音二式</t>
    <phoneticPr fontId="4" type="noConversion"/>
  </si>
  <si>
    <t>十五音</t>
    <phoneticPr fontId="4" type="noConversion"/>
  </si>
  <si>
    <t>國際音標</t>
    <phoneticPr fontId="4" type="noConversion"/>
  </si>
  <si>
    <t>iat̚</t>
    <phoneticPr fontId="4" type="noConversion"/>
  </si>
  <si>
    <t>uat̚</t>
    <phoneticPr fontId="4" type="noConversion"/>
  </si>
  <si>
    <t>at̚</t>
    <phoneticPr fontId="4" type="noConversion"/>
  </si>
  <si>
    <t>it̚</t>
    <phoneticPr fontId="4" type="noConversion"/>
  </si>
  <si>
    <t>ut̚</t>
    <phoneticPr fontId="4" type="noConversion"/>
  </si>
  <si>
    <t>iap̚</t>
    <phoneticPr fontId="4" type="noConversion"/>
  </si>
  <si>
    <t>ap̚</t>
    <phoneticPr fontId="4" type="noConversion"/>
  </si>
  <si>
    <t>ip̚</t>
    <phoneticPr fontId="4" type="noConversion"/>
  </si>
  <si>
    <t>ɔp̚</t>
    <phoneticPr fontId="4" type="noConversion"/>
  </si>
  <si>
    <t>iɑk̚</t>
    <phoneticPr fontId="4" type="noConversion"/>
  </si>
  <si>
    <t>ɑk̚</t>
    <phoneticPr fontId="4" type="noConversion"/>
  </si>
  <si>
    <t>ik̚</t>
    <phoneticPr fontId="4" type="noConversion"/>
  </si>
  <si>
    <t>ɔk̚</t>
    <phoneticPr fontId="4" type="noConversion"/>
  </si>
  <si>
    <t>ek̚</t>
    <phoneticPr fontId="4" type="noConversion"/>
  </si>
  <si>
    <t>ɛʔ</t>
  </si>
  <si>
    <t>εʔ</t>
    <phoneticPr fontId="4" type="noConversion"/>
  </si>
  <si>
    <t>iook</t>
  </si>
  <si>
    <t>iook</t>
    <phoneticPr fontId="4" type="noConversion"/>
  </si>
  <si>
    <t>iɔk̚</t>
    <phoneticPr fontId="4" type="noConversion"/>
  </si>
  <si>
    <t>序號</t>
    <phoneticPr fontId="4" type="noConversion"/>
  </si>
  <si>
    <t>字長</t>
    <phoneticPr fontId="4" type="noConversion"/>
  </si>
  <si>
    <t>對映</t>
    <phoneticPr fontId="4" type="noConversion"/>
  </si>
  <si>
    <t>ahⁿ</t>
  </si>
  <si>
    <t>ehⁿ</t>
  </si>
  <si>
    <t>ihⁿ</t>
  </si>
  <si>
    <t>oaihⁿ</t>
  </si>
  <si>
    <t>iauhⁿ</t>
  </si>
  <si>
    <t>ohⁿ</t>
  </si>
  <si>
    <t>ɔu</t>
    <phoneticPr fontId="4" type="noConversion"/>
  </si>
  <si>
    <t>onn</t>
    <phoneticPr fontId="4" type="noConversion"/>
  </si>
  <si>
    <t>ɔ̃ʔ</t>
    <phoneticPr fontId="4" type="noConversion"/>
  </si>
  <si>
    <t>ɔ̃</t>
    <phoneticPr fontId="4" type="noConversion"/>
  </si>
  <si>
    <t>ㄝㆷ</t>
    <phoneticPr fontId="4" type="noConversion"/>
  </si>
  <si>
    <t>ㄨㄞㆷ</t>
    <phoneticPr fontId="4" type="noConversion"/>
  </si>
  <si>
    <t>ㆦ</t>
    <phoneticPr fontId="4" type="noConversion"/>
  </si>
  <si>
    <t>ㄧㄠㆷ</t>
    <phoneticPr fontId="4" type="noConversion"/>
  </si>
  <si>
    <t>ㄜㆷ</t>
    <phoneticPr fontId="4" type="noConversion"/>
  </si>
  <si>
    <t>ㄧㄤ</t>
    <phoneticPr fontId="4" type="noConversion"/>
  </si>
  <si>
    <t>ㄧㄚㆻ</t>
    <phoneticPr fontId="4" type="noConversion"/>
  </si>
  <si>
    <t>ㄨㄚㆷ</t>
    <phoneticPr fontId="4" type="noConversion"/>
  </si>
  <si>
    <t>ㄤ</t>
    <phoneticPr fontId="4" type="noConversion"/>
  </si>
  <si>
    <t>ㄠㆷ</t>
    <phoneticPr fontId="4" type="noConversion"/>
  </si>
  <si>
    <t>ㄧㄚㆷ</t>
    <phoneticPr fontId="4" type="noConversion"/>
  </si>
  <si>
    <t>ㄨㆤㆷ</t>
    <phoneticPr fontId="4" type="noConversion"/>
  </si>
  <si>
    <t>ㆩㆷ</t>
    <phoneticPr fontId="4" type="noConversion"/>
  </si>
  <si>
    <t>ㄨㆷ</t>
    <phoneticPr fontId="4" type="noConversion"/>
  </si>
  <si>
    <t>ㄚㆷ</t>
    <phoneticPr fontId="4" type="noConversion"/>
  </si>
  <si>
    <t>ㄧㆷ</t>
    <phoneticPr fontId="4" type="noConversion"/>
  </si>
  <si>
    <t>ㆥㆷ</t>
    <phoneticPr fontId="4" type="noConversion"/>
  </si>
  <si>
    <t>ㄧㄜㆷ</t>
    <phoneticPr fontId="4" type="noConversion"/>
  </si>
  <si>
    <t>ㆪㆷ</t>
    <phoneticPr fontId="4" type="noConversion"/>
  </si>
  <si>
    <t>ㆤㆷ</t>
    <phoneticPr fontId="4" type="noConversion"/>
  </si>
  <si>
    <t>ㆧ</t>
    <phoneticPr fontId="4" type="noConversion"/>
  </si>
  <si>
    <t>ㄨㄤ</t>
    <phoneticPr fontId="4" type="noConversion"/>
  </si>
  <si>
    <t>ㄨㆮㆷ</t>
    <phoneticPr fontId="4" type="noConversion"/>
  </si>
  <si>
    <t>ㄧㆯㆷ</t>
    <phoneticPr fontId="4" type="noConversion"/>
  </si>
  <si>
    <t>ㆧㆷ</t>
    <phoneticPr fontId="4" type="noConversion"/>
  </si>
  <si>
    <t>韻母五十字</t>
  </si>
  <si>
    <t>韻母</t>
  </si>
  <si>
    <t>千</t>
  </si>
  <si>
    <t>*un/t</t>
  </si>
  <si>
    <t>*ian/t</t>
  </si>
  <si>
    <t>*im/p</t>
  </si>
  <si>
    <t>*ui</t>
  </si>
  <si>
    <t>*ɛ(ʔ)</t>
  </si>
  <si>
    <t>*an/t</t>
  </si>
  <si>
    <t>*ɔŋ/k</t>
  </si>
  <si>
    <t>*uai(ʔ)</t>
  </si>
  <si>
    <t>*ɛŋ/k</t>
  </si>
  <si>
    <t>*uan/t</t>
  </si>
  <si>
    <t>[un/t̚]</t>
  </si>
  <si>
    <t>[ɪan/t̚]</t>
  </si>
  <si>
    <t>[im/p̚]</t>
  </si>
  <si>
    <t>[ui]</t>
  </si>
  <si>
    <t>[ɛ(ʔ)]</t>
  </si>
  <si>
    <t>[an/t̚]</t>
  </si>
  <si>
    <t>[ɔŋ/k̚]</t>
  </si>
  <si>
    <t>[uai(ʔ)]</t>
  </si>
  <si>
    <t>[ɪŋ/k̚]</t>
  </si>
  <si>
    <t>[uan/t̚]</t>
  </si>
  <si>
    <t>閩南拼音</t>
  </si>
  <si>
    <t>un/t</t>
  </si>
  <si>
    <t>ian/t</t>
  </si>
  <si>
    <t>im/p</t>
  </si>
  <si>
    <t>e(h)</t>
  </si>
  <si>
    <t>an/t</t>
  </si>
  <si>
    <t>ong/k</t>
  </si>
  <si>
    <t>uai(h)</t>
  </si>
  <si>
    <t>ing/k</t>
  </si>
  <si>
    <t>uan/t</t>
  </si>
  <si>
    <t>ee(h)</t>
  </si>
  <si>
    <t>馬重奇擬音</t>
  </si>
  <si>
    <t>*ɔu</t>
  </si>
  <si>
    <t>*iau(ʔ)</t>
  </si>
  <si>
    <t>*ei</t>
  </si>
  <si>
    <t>*iɔŋ/k</t>
  </si>
  <si>
    <t>*o(ʔ)</t>
  </si>
  <si>
    <t>*ai</t>
  </si>
  <si>
    <t>*in/t</t>
  </si>
  <si>
    <t>*iaŋ/k</t>
  </si>
  <si>
    <t>*am/p</t>
  </si>
  <si>
    <t>*ua(ʔ)</t>
  </si>
  <si>
    <t>[ɔ]</t>
  </si>
  <si>
    <t>[ɪaʊ(ʔ)]</t>
  </si>
  <si>
    <t>[e]</t>
  </si>
  <si>
    <t>[ɪɔŋ/k̚]</t>
  </si>
  <si>
    <t>[o(ʔ)]</t>
  </si>
  <si>
    <t>[aɪ]</t>
  </si>
  <si>
    <t>[in/t̚]</t>
  </si>
  <si>
    <t>[ɪaŋ/k̚]</t>
  </si>
  <si>
    <t>[am/p̚]</t>
  </si>
  <si>
    <t>[ua(ʔ)]</t>
  </si>
  <si>
    <t>iao(h)</t>
  </si>
  <si>
    <t>iong/k</t>
  </si>
  <si>
    <t>o(h)</t>
  </si>
  <si>
    <t>in/t</t>
  </si>
  <si>
    <t>iang/k</t>
  </si>
  <si>
    <t>am/p</t>
  </si>
  <si>
    <t>ua(h)</t>
  </si>
  <si>
    <t>iau(h)</t>
  </si>
  <si>
    <t>*aŋ/k</t>
  </si>
  <si>
    <t>*iam/p</t>
  </si>
  <si>
    <t>*au(ʔ)</t>
  </si>
  <si>
    <t>*ia(ʔ)</t>
  </si>
  <si>
    <t>*uei(ʔ)</t>
  </si>
  <si>
    <t>*ã(ʔ)</t>
  </si>
  <si>
    <t>*u(ʔ)</t>
  </si>
  <si>
    <t>*a(ʔ)</t>
  </si>
  <si>
    <t>*i(ʔ)</t>
  </si>
  <si>
    <t>*iu</t>
  </si>
  <si>
    <t>[aŋ/k̚]</t>
  </si>
  <si>
    <t>[iam/p̚]</t>
  </si>
  <si>
    <t>[aʊ(ʔ)]</t>
  </si>
  <si>
    <t>[ɪa(ʔ)]</t>
  </si>
  <si>
    <t>[ue(ʔ)]</t>
  </si>
  <si>
    <t>[ã(ʔ)]</t>
  </si>
  <si>
    <t>[u(ʔ)]</t>
  </si>
  <si>
    <t>[a(ʔ)]</t>
  </si>
  <si>
    <t>[i(ʔ)]</t>
  </si>
  <si>
    <t>[iu]</t>
  </si>
  <si>
    <t>ang/k</t>
  </si>
  <si>
    <t>iam/p</t>
  </si>
  <si>
    <t>ao(h)</t>
  </si>
  <si>
    <t>ia(h)</t>
  </si>
  <si>
    <t>ue(h)</t>
  </si>
  <si>
    <t>na(h)</t>
  </si>
  <si>
    <t>u(h)</t>
  </si>
  <si>
    <t>a(h)</t>
  </si>
  <si>
    <t>i(h)</t>
  </si>
  <si>
    <t>au(h)</t>
  </si>
  <si>
    <t>ann(h)</t>
  </si>
  <si>
    <t>*ɛ̃</t>
  </si>
  <si>
    <t>*ũĩ</t>
  </si>
  <si>
    <t>*io(ʔ)</t>
  </si>
  <si>
    <t>*ĩ(ʔ)</t>
  </si>
  <si>
    <t>*ĩõ</t>
  </si>
  <si>
    <t>*ĩã</t>
  </si>
  <si>
    <t>*ũã</t>
  </si>
  <si>
    <t>*ŋ</t>
  </si>
  <si>
    <t>*e(ʔ)</t>
  </si>
  <si>
    <t>*ãĩ</t>
  </si>
  <si>
    <t>[ẽ]</t>
  </si>
  <si>
    <t>[ũĩ]</t>
  </si>
  <si>
    <t>[ɪo(ʔ)]</t>
  </si>
  <si>
    <t>[ĩ(ʔ)]</t>
  </si>
  <si>
    <t>[ĩɔ̃]</t>
  </si>
  <si>
    <t>[ĩã]</t>
  </si>
  <si>
    <t>[ũã]</t>
  </si>
  <si>
    <t>[ŋ̍]</t>
  </si>
  <si>
    <t>[e(ʔ)]</t>
  </si>
  <si>
    <t>[ãĩ]</t>
  </si>
  <si>
    <t>io(h)</t>
  </si>
  <si>
    <t>ni(h)</t>
  </si>
  <si>
    <t>inn(h)</t>
  </si>
  <si>
    <t>*õũ</t>
  </si>
  <si>
    <t>*m</t>
  </si>
  <si>
    <t>*uaŋ/k</t>
  </si>
  <si>
    <t>*ũãĩ(ʔ)</t>
  </si>
  <si>
    <t>*ũẽĩ(ʔ)</t>
  </si>
  <si>
    <t>*ĩãũ(ʔ)</t>
  </si>
  <si>
    <t>*ɔm/p</t>
  </si>
  <si>
    <t>*ãũ</t>
  </si>
  <si>
    <t>*õ(ʔ)</t>
  </si>
  <si>
    <t>*ĩũ</t>
  </si>
  <si>
    <t>[ɔ̃]</t>
  </si>
  <si>
    <t>[m̩]</t>
  </si>
  <si>
    <t>[uaŋ/k̚]</t>
  </si>
  <si>
    <t>[ũãĩ(ʔ)]</t>
  </si>
  <si>
    <t>[ũẽ(ʔ)]</t>
  </si>
  <si>
    <t>[ĩãũ(ʔ)]</t>
  </si>
  <si>
    <t>[ɔm/p̚]</t>
  </si>
  <si>
    <t>[ãũ]</t>
  </si>
  <si>
    <t>[ɔ̃(ʔ)]</t>
  </si>
  <si>
    <t>[ĩũ]</t>
  </si>
  <si>
    <t>uang/k</t>
  </si>
  <si>
    <t>nuai(h)</t>
  </si>
  <si>
    <t>nue(h)</t>
  </si>
  <si>
    <t>niao(h)</t>
  </si>
  <si>
    <t>om/p</t>
  </si>
  <si>
    <t>noo(h)</t>
  </si>
  <si>
    <t>uainn(h)</t>
  </si>
  <si>
    <t>uenn(h)</t>
  </si>
  <si>
    <t>iaunn(h)</t>
  </si>
  <si>
    <t>onn(h)</t>
  </si>
  <si>
    <t>馬重奇擬音</t>
    <phoneticPr fontId="4" type="noConversion"/>
  </si>
  <si>
    <t>ɛ(ʔ)</t>
  </si>
  <si>
    <t>ɔŋ/k</t>
  </si>
  <si>
    <t>uai(ʔ)</t>
  </si>
  <si>
    <t>ɛŋ/k</t>
  </si>
  <si>
    <t>iau(ʔ)</t>
  </si>
  <si>
    <t>iɔŋ/k</t>
  </si>
  <si>
    <t>o(ʔ)</t>
  </si>
  <si>
    <t>iaŋ/k</t>
  </si>
  <si>
    <t>ua(ʔ)</t>
  </si>
  <si>
    <t>aŋ/k</t>
  </si>
  <si>
    <t>au(ʔ)</t>
  </si>
  <si>
    <t>ia(ʔ)</t>
  </si>
  <si>
    <t>uei(ʔ)</t>
  </si>
  <si>
    <t>ã(ʔ)</t>
  </si>
  <si>
    <t>u(ʔ)</t>
  </si>
  <si>
    <t>a(ʔ)</t>
  </si>
  <si>
    <t>i(ʔ)</t>
  </si>
  <si>
    <t>ũĩ</t>
  </si>
  <si>
    <t>io(ʔ)</t>
  </si>
  <si>
    <t>ĩ(ʔ)</t>
  </si>
  <si>
    <t>ĩõ</t>
  </si>
  <si>
    <t>ĩã</t>
  </si>
  <si>
    <t>ũã</t>
  </si>
  <si>
    <t>e(ʔ)</t>
  </si>
  <si>
    <t>ãĩ</t>
  </si>
  <si>
    <t>õũ</t>
  </si>
  <si>
    <t>uaŋ/k</t>
  </si>
  <si>
    <t>ũãĩ(ʔ)</t>
  </si>
  <si>
    <t>ũẽĩ(ʔ)</t>
  </si>
  <si>
    <t>ĩãũ(ʔ)</t>
  </si>
  <si>
    <t>ɔm/p</t>
  </si>
  <si>
    <t>ãũ</t>
  </si>
  <si>
    <t>õ(ʔ)</t>
  </si>
  <si>
    <t>ĩũ</t>
  </si>
  <si>
    <t>舒聲韻母</t>
    <phoneticPr fontId="4" type="noConversion"/>
  </si>
  <si>
    <t>促聲韻母</t>
    <phoneticPr fontId="4" type="noConversion"/>
  </si>
  <si>
    <t>(</t>
    <phoneticPr fontId="4" type="noConversion"/>
  </si>
  <si>
    <t>uaiʔ</t>
  </si>
  <si>
    <t>ɛŋ</t>
  </si>
  <si>
    <t>ɛk</t>
  </si>
  <si>
    <t>iɔk</t>
  </si>
  <si>
    <t>ueiʔ</t>
  </si>
  <si>
    <t>ã</t>
  </si>
  <si>
    <t>ĩʔ</t>
  </si>
  <si>
    <t>ũãĩ</t>
  </si>
  <si>
    <t>ũãĩʔ</t>
  </si>
  <si>
    <t>ũẽĩ</t>
  </si>
  <si>
    <t>ũẽĩʔ</t>
  </si>
  <si>
    <t>ĩãũ</t>
  </si>
  <si>
    <t>ĩãũʔ</t>
  </si>
  <si>
    <t>õ</t>
  </si>
  <si>
    <t>õʔ</t>
  </si>
  <si>
    <t>/</t>
    <phoneticPr fontId="4" type="noConversion"/>
  </si>
  <si>
    <t>ɪan/t̚</t>
  </si>
  <si>
    <t>im/p̚</t>
  </si>
  <si>
    <t>an/t̚</t>
  </si>
  <si>
    <t>ɔŋ/k̚</t>
  </si>
  <si>
    <t>ɪŋ/k̚</t>
  </si>
  <si>
    <t>uan/t̚</t>
  </si>
  <si>
    <t>ɪaʊ(ʔ)</t>
  </si>
  <si>
    <t>ɪɔŋ/k̚</t>
  </si>
  <si>
    <t>aɪ</t>
  </si>
  <si>
    <t>in/t̚</t>
  </si>
  <si>
    <t>ɪaŋ/k̚</t>
  </si>
  <si>
    <t>am/p̚</t>
  </si>
  <si>
    <t>aŋ/k̚</t>
  </si>
  <si>
    <t>iam/p̚</t>
  </si>
  <si>
    <t>aʊ(ʔ)</t>
  </si>
  <si>
    <t>ɪa(ʔ)</t>
  </si>
  <si>
    <t>ue(ʔ)</t>
  </si>
  <si>
    <t>ẽ</t>
  </si>
  <si>
    <t>ɪo(ʔ)</t>
  </si>
  <si>
    <t>ĩɔ̃</t>
  </si>
  <si>
    <t>uaŋ/k̚</t>
  </si>
  <si>
    <t>ũẽ(ʔ)</t>
  </si>
  <si>
    <t>ɔm/p̚</t>
  </si>
  <si>
    <t>ɔ̃(ʔ)</t>
  </si>
  <si>
    <r>
      <t>ũẽ</t>
    </r>
    <r>
      <rPr>
        <sz val="16"/>
        <color theme="1"/>
        <rFont val="Segoe UI"/>
        <family val="2"/>
        <charset val="1"/>
      </rPr>
      <t>ʔ</t>
    </r>
    <phoneticPr fontId="4" type="noConversion"/>
  </si>
  <si>
    <t>ɪan</t>
  </si>
  <si>
    <t>ɪat̚</t>
  </si>
  <si>
    <t>ɪŋ</t>
  </si>
  <si>
    <t>ɪk̚</t>
  </si>
  <si>
    <t>ɪaʊ</t>
  </si>
  <si>
    <t>ɪaʊʔ</t>
  </si>
  <si>
    <t>ɪɔŋ</t>
  </si>
  <si>
    <t>ɪɔk̚</t>
  </si>
  <si>
    <t>ɪaŋ</t>
  </si>
  <si>
    <t>ɪak̚</t>
  </si>
  <si>
    <t>aʊ</t>
  </si>
  <si>
    <t>aʊʔ</t>
  </si>
  <si>
    <t>ɪa</t>
  </si>
  <si>
    <t>ɪo</t>
  </si>
  <si>
    <t>ɪoʔ</t>
  </si>
  <si>
    <t>ian</t>
    <phoneticPr fontId="4" type="noConversion"/>
  </si>
  <si>
    <t>iat</t>
    <phoneticPr fontId="4" type="noConversion"/>
  </si>
  <si>
    <t>ip</t>
    <phoneticPr fontId="4" type="noConversion"/>
  </si>
  <si>
    <t>eh</t>
    <phoneticPr fontId="4" type="noConversion"/>
  </si>
  <si>
    <t>e</t>
    <phoneticPr fontId="4" type="noConversion"/>
  </si>
  <si>
    <t>an</t>
    <phoneticPr fontId="4" type="noConversion"/>
  </si>
  <si>
    <t>at</t>
    <phoneticPr fontId="4" type="noConversion"/>
  </si>
  <si>
    <t>ak</t>
    <phoneticPr fontId="4" type="noConversion"/>
  </si>
  <si>
    <t>ok</t>
    <phoneticPr fontId="4" type="noConversion"/>
  </si>
  <si>
    <t>ong</t>
    <phoneticPr fontId="4" type="noConversion"/>
  </si>
  <si>
    <t>uaih</t>
    <phoneticPr fontId="4" type="noConversion"/>
  </si>
  <si>
    <t>ik</t>
    <phoneticPr fontId="4" type="noConversion"/>
  </si>
  <si>
    <t>uat</t>
    <phoneticPr fontId="4" type="noConversion"/>
  </si>
  <si>
    <t>iaoh</t>
    <phoneticPr fontId="4" type="noConversion"/>
  </si>
  <si>
    <t>iok</t>
    <phoneticPr fontId="4" type="noConversion"/>
  </si>
  <si>
    <t>oh</t>
    <phoneticPr fontId="4" type="noConversion"/>
  </si>
  <si>
    <t>it</t>
    <phoneticPr fontId="4" type="noConversion"/>
  </si>
  <si>
    <t>iak</t>
    <phoneticPr fontId="4" type="noConversion"/>
  </si>
  <si>
    <t>ap</t>
    <phoneticPr fontId="4" type="noConversion"/>
  </si>
  <si>
    <t>uah</t>
    <phoneticPr fontId="4" type="noConversion"/>
  </si>
  <si>
    <t>iap</t>
    <phoneticPr fontId="4" type="noConversion"/>
  </si>
  <si>
    <t>aoh</t>
    <phoneticPr fontId="4" type="noConversion"/>
  </si>
  <si>
    <t>iah</t>
    <phoneticPr fontId="4" type="noConversion"/>
  </si>
  <si>
    <t>ueh</t>
    <phoneticPr fontId="4" type="noConversion"/>
  </si>
  <si>
    <t>nah</t>
    <phoneticPr fontId="4" type="noConversion"/>
  </si>
  <si>
    <t>uh</t>
    <phoneticPr fontId="4" type="noConversion"/>
  </si>
  <si>
    <t>ih</t>
    <phoneticPr fontId="4" type="noConversion"/>
  </si>
  <si>
    <t>nih</t>
    <phoneticPr fontId="4" type="noConversion"/>
  </si>
  <si>
    <t>nooh</t>
    <phoneticPr fontId="4" type="noConversion"/>
  </si>
  <si>
    <t>op</t>
    <phoneticPr fontId="4" type="noConversion"/>
  </si>
  <si>
    <t>niaoh</t>
    <phoneticPr fontId="4" type="noConversion"/>
  </si>
  <si>
    <t>nueh</t>
    <phoneticPr fontId="4" type="noConversion"/>
  </si>
  <si>
    <t>nuaih</t>
    <phoneticPr fontId="4" type="noConversion"/>
  </si>
  <si>
    <t>uak</t>
    <phoneticPr fontId="4" type="noConversion"/>
  </si>
  <si>
    <t>uai</t>
    <phoneticPr fontId="4" type="noConversion"/>
  </si>
  <si>
    <t>ing</t>
    <phoneticPr fontId="4" type="noConversion"/>
  </si>
  <si>
    <t>uan</t>
    <phoneticPr fontId="4" type="noConversion"/>
  </si>
  <si>
    <t>iao</t>
    <phoneticPr fontId="4" type="noConversion"/>
  </si>
  <si>
    <t>iong</t>
    <phoneticPr fontId="4" type="noConversion"/>
  </si>
  <si>
    <t>o</t>
    <phoneticPr fontId="4" type="noConversion"/>
  </si>
  <si>
    <t>in</t>
    <phoneticPr fontId="4" type="noConversion"/>
  </si>
  <si>
    <t>iang</t>
    <phoneticPr fontId="4" type="noConversion"/>
  </si>
  <si>
    <t>am</t>
    <phoneticPr fontId="4" type="noConversion"/>
  </si>
  <si>
    <t>ua</t>
    <phoneticPr fontId="4" type="noConversion"/>
  </si>
  <si>
    <t>ang</t>
    <phoneticPr fontId="4" type="noConversion"/>
  </si>
  <si>
    <t>iam</t>
    <phoneticPr fontId="4" type="noConversion"/>
  </si>
  <si>
    <t>ao</t>
    <phoneticPr fontId="4" type="noConversion"/>
  </si>
  <si>
    <t>ia</t>
    <phoneticPr fontId="4" type="noConversion"/>
  </si>
  <si>
    <t>ue</t>
    <phoneticPr fontId="4" type="noConversion"/>
  </si>
  <si>
    <t>na</t>
    <phoneticPr fontId="4" type="noConversion"/>
  </si>
  <si>
    <t>u</t>
    <phoneticPr fontId="4" type="noConversion"/>
  </si>
  <si>
    <t>a</t>
    <phoneticPr fontId="4" type="noConversion"/>
  </si>
  <si>
    <t>i</t>
    <phoneticPr fontId="4" type="noConversion"/>
  </si>
  <si>
    <t>io</t>
    <phoneticPr fontId="4" type="noConversion"/>
  </si>
  <si>
    <t>ni</t>
    <phoneticPr fontId="4" type="noConversion"/>
  </si>
  <si>
    <t>uang</t>
    <phoneticPr fontId="4" type="noConversion"/>
  </si>
  <si>
    <t>nuai</t>
    <phoneticPr fontId="4" type="noConversion"/>
  </si>
  <si>
    <t>nue</t>
    <phoneticPr fontId="4" type="noConversion"/>
  </si>
  <si>
    <t>niao</t>
    <phoneticPr fontId="4" type="noConversion"/>
  </si>
  <si>
    <t>noo</t>
    <phoneticPr fontId="4" type="noConversion"/>
  </si>
  <si>
    <t>閩南拼音</t>
    <phoneticPr fontId="4" type="noConversion"/>
  </si>
  <si>
    <t>eeh</t>
    <phoneticPr fontId="4" type="noConversion"/>
  </si>
  <si>
    <t>ee</t>
    <phoneticPr fontId="4" type="noConversion"/>
  </si>
  <si>
    <t>iauh</t>
    <phoneticPr fontId="4" type="noConversion"/>
  </si>
  <si>
    <t>iau</t>
    <phoneticPr fontId="4" type="noConversion"/>
  </si>
  <si>
    <t>auh</t>
    <phoneticPr fontId="4" type="noConversion"/>
  </si>
  <si>
    <t>au</t>
    <phoneticPr fontId="4" type="noConversion"/>
  </si>
  <si>
    <t>annh</t>
    <phoneticPr fontId="4" type="noConversion"/>
  </si>
  <si>
    <t>ann</t>
    <phoneticPr fontId="4" type="noConversion"/>
  </si>
  <si>
    <t>innh</t>
    <phoneticPr fontId="4" type="noConversion"/>
  </si>
  <si>
    <t>inn</t>
    <phoneticPr fontId="4" type="noConversion"/>
  </si>
  <si>
    <t>uainnh</t>
    <phoneticPr fontId="4" type="noConversion"/>
  </si>
  <si>
    <t>uennh</t>
    <phoneticPr fontId="4" type="noConversion"/>
  </si>
  <si>
    <t>onnh</t>
    <phoneticPr fontId="4" type="noConversion"/>
  </si>
  <si>
    <t>uainn</t>
    <phoneticPr fontId="4" type="noConversion"/>
  </si>
  <si>
    <t>uenn</t>
    <phoneticPr fontId="4" type="noConversion"/>
  </si>
  <si>
    <t>iaunn</t>
    <phoneticPr fontId="4" type="noConversion"/>
  </si>
  <si>
    <t>干</t>
    <phoneticPr fontId="4" type="noConversion"/>
  </si>
  <si>
    <t>ɪaʔ</t>
    <phoneticPr fontId="4" type="noConversion"/>
  </si>
  <si>
    <t>ueʔ</t>
    <phoneticPr fontId="4" type="noConversion"/>
  </si>
  <si>
    <r>
      <t>a</t>
    </r>
    <r>
      <rPr>
        <sz val="16"/>
        <color theme="1"/>
        <rFont val="Noto Sans TC Medium"/>
        <family val="2"/>
        <charset val="136"/>
      </rPr>
      <t>ⁿ</t>
    </r>
  </si>
  <si>
    <r>
      <t>ah</t>
    </r>
    <r>
      <rPr>
        <sz val="16"/>
        <color theme="1"/>
        <rFont val="Noto Sans TC Medium"/>
        <family val="2"/>
        <charset val="136"/>
      </rPr>
      <t>ⁿ</t>
    </r>
  </si>
  <si>
    <r>
      <t>e</t>
    </r>
    <r>
      <rPr>
        <sz val="16"/>
        <color theme="1"/>
        <rFont val="Noto Sans TC Medium"/>
        <family val="2"/>
        <charset val="136"/>
      </rPr>
      <t>ⁿ</t>
    </r>
  </si>
  <si>
    <r>
      <t>eh</t>
    </r>
    <r>
      <rPr>
        <sz val="16"/>
        <color theme="1"/>
        <rFont val="Noto Sans TC Medium"/>
        <family val="2"/>
        <charset val="136"/>
      </rPr>
      <t>ⁿ</t>
    </r>
  </si>
  <si>
    <r>
      <t>ui</t>
    </r>
    <r>
      <rPr>
        <sz val="16"/>
        <color theme="1"/>
        <rFont val="Noto Sans TC Medium"/>
        <family val="2"/>
        <charset val="136"/>
      </rPr>
      <t>ⁿ</t>
    </r>
  </si>
  <si>
    <r>
      <t>i</t>
    </r>
    <r>
      <rPr>
        <sz val="16"/>
        <color theme="1"/>
        <rFont val="Noto Sans TC Medium"/>
        <family val="2"/>
        <charset val="136"/>
      </rPr>
      <t>ⁿ</t>
    </r>
  </si>
  <si>
    <r>
      <t>ih</t>
    </r>
    <r>
      <rPr>
        <sz val="16"/>
        <color theme="1"/>
        <rFont val="Noto Sans TC Medium"/>
        <family val="2"/>
        <charset val="136"/>
      </rPr>
      <t>ⁿ</t>
    </r>
  </si>
  <si>
    <r>
      <t>io</t>
    </r>
    <r>
      <rPr>
        <sz val="16"/>
        <color theme="1"/>
        <rFont val="Noto Sans TC Medium"/>
        <family val="2"/>
        <charset val="136"/>
      </rPr>
      <t>ⁿ</t>
    </r>
  </si>
  <si>
    <r>
      <t>ia</t>
    </r>
    <r>
      <rPr>
        <sz val="16"/>
        <color theme="1"/>
        <rFont val="Noto Sans TC Medium"/>
        <family val="2"/>
        <charset val="136"/>
      </rPr>
      <t>ⁿ</t>
    </r>
  </si>
  <si>
    <r>
      <t>oa</t>
    </r>
    <r>
      <rPr>
        <sz val="16"/>
        <color theme="1"/>
        <rFont val="Noto Sans TC Medium"/>
        <family val="2"/>
        <charset val="136"/>
      </rPr>
      <t>ⁿ</t>
    </r>
  </si>
  <si>
    <r>
      <t>ai</t>
    </r>
    <r>
      <rPr>
        <sz val="16"/>
        <color theme="1"/>
        <rFont val="Noto Sans TC Medium"/>
        <family val="2"/>
        <charset val="136"/>
      </rPr>
      <t>ⁿ</t>
    </r>
  </si>
  <si>
    <r>
      <t>o</t>
    </r>
    <r>
      <rPr>
        <sz val="16"/>
        <color theme="1"/>
        <rFont val="Noto Sans TC Medium"/>
        <family val="2"/>
        <charset val="136"/>
      </rPr>
      <t>ⁿ</t>
    </r>
  </si>
  <si>
    <r>
      <t>oai</t>
    </r>
    <r>
      <rPr>
        <sz val="16"/>
        <color theme="1"/>
        <rFont val="Noto Sans TC Medium"/>
        <family val="2"/>
        <charset val="136"/>
      </rPr>
      <t>ⁿ</t>
    </r>
  </si>
  <si>
    <r>
      <t>oaih</t>
    </r>
    <r>
      <rPr>
        <sz val="16"/>
        <color theme="1"/>
        <rFont val="Noto Sans TC Medium"/>
        <family val="2"/>
        <charset val="136"/>
      </rPr>
      <t>ⁿ</t>
    </r>
  </si>
  <si>
    <r>
      <t>oe</t>
    </r>
    <r>
      <rPr>
        <sz val="16"/>
        <color theme="1"/>
        <rFont val="Noto Sans TC Medium"/>
        <family val="2"/>
        <charset val="136"/>
      </rPr>
      <t>ⁿ</t>
    </r>
  </si>
  <si>
    <r>
      <t>iau</t>
    </r>
    <r>
      <rPr>
        <sz val="16"/>
        <color theme="1"/>
        <rFont val="Noto Sans TC Medium"/>
        <family val="2"/>
        <charset val="136"/>
      </rPr>
      <t>ⁿ</t>
    </r>
  </si>
  <si>
    <r>
      <t>iauh</t>
    </r>
    <r>
      <rPr>
        <sz val="16"/>
        <color theme="1"/>
        <rFont val="Noto Sans TC Medium"/>
        <family val="2"/>
        <charset val="136"/>
      </rPr>
      <t>ⁿ</t>
    </r>
  </si>
  <si>
    <r>
      <t>au</t>
    </r>
    <r>
      <rPr>
        <sz val="16"/>
        <color theme="1"/>
        <rFont val="Noto Sans TC Medium"/>
        <family val="2"/>
        <charset val="136"/>
      </rPr>
      <t>ⁿ</t>
    </r>
  </si>
  <si>
    <r>
      <t>oh</t>
    </r>
    <r>
      <rPr>
        <sz val="16"/>
        <color theme="1"/>
        <rFont val="Noto Sans TC Medium"/>
        <family val="2"/>
        <charset val="136"/>
      </rPr>
      <t>ⁿ</t>
    </r>
  </si>
  <si>
    <r>
      <t>iu</t>
    </r>
    <r>
      <rPr>
        <sz val="16"/>
        <color theme="1"/>
        <rFont val="Noto Sans TC Medium"/>
        <family val="2"/>
        <charset val="136"/>
      </rPr>
      <t>ⁿ</t>
    </r>
  </si>
  <si>
    <t>'</t>
    <phoneticPr fontId="4" type="noConversion"/>
  </si>
  <si>
    <t>;</t>
    <phoneticPr fontId="4" type="noConversion"/>
  </si>
  <si>
    <t>\</t>
    <phoneticPr fontId="4" type="noConversion"/>
  </si>
  <si>
    <t>[</t>
    <phoneticPr fontId="4" type="noConversion"/>
  </si>
  <si>
    <t>-</t>
    <phoneticPr fontId="4" type="noConversion"/>
  </si>
  <si>
    <t>]</t>
    <phoneticPr fontId="4" type="noConversion"/>
  </si>
  <si>
    <t>入聲</t>
    <phoneticPr fontId="4" type="noConversion"/>
  </si>
  <si>
    <t>按鍵</t>
    <phoneticPr fontId="4" type="noConversion"/>
  </si>
  <si>
    <t>調符編碼</t>
    <phoneticPr fontId="4" type="noConversion"/>
  </si>
  <si>
    <t>一</t>
    <phoneticPr fontId="4" type="noConversion"/>
  </si>
  <si>
    <t>二</t>
    <phoneticPr fontId="4" type="noConversion"/>
  </si>
  <si>
    <t>三</t>
    <phoneticPr fontId="4" type="noConversion"/>
  </si>
  <si>
    <t>四</t>
    <phoneticPr fontId="4" type="noConversion"/>
  </si>
  <si>
    <t>五</t>
    <phoneticPr fontId="4" type="noConversion"/>
  </si>
  <si>
    <t>六</t>
    <phoneticPr fontId="4" type="noConversion"/>
  </si>
  <si>
    <t>七</t>
    <phoneticPr fontId="4" type="noConversion"/>
  </si>
  <si>
    <t>八</t>
    <phoneticPr fontId="4" type="noConversion"/>
  </si>
  <si>
    <t>入</t>
    <phoneticPr fontId="4" type="noConversion"/>
  </si>
  <si>
    <t>#</t>
    <phoneticPr fontId="4" type="noConversion"/>
  </si>
  <si>
    <t>ㄚ́</t>
  </si>
  <si>
    <t>ㄚ̀</t>
  </si>
  <si>
    <t>ㄚㆷ</t>
  </si>
  <si>
    <t>十五音調號</t>
    <phoneticPr fontId="4" type="noConversion"/>
  </si>
  <si>
    <t>四聲八調名</t>
    <phoneticPr fontId="4" type="noConversion"/>
  </si>
  <si>
    <t>U+00AF</t>
    <phoneticPr fontId="4" type="noConversion"/>
  </si>
  <si>
    <t>search()</t>
    <phoneticPr fontId="4" type="noConversion"/>
  </si>
  <si>
    <t>響度優先次第： a &gt; oo &gt; (e = o) &gt; (i = u)〈低元音 &gt; 高元音 &gt; 無擦通音 &gt; 擦音 &gt; 塞音〉</t>
  </si>
  <si>
    <t>標調字母</t>
    <phoneticPr fontId="4" type="noConversion"/>
  </si>
  <si>
    <t>n</t>
    <phoneticPr fontId="4" type="noConversion"/>
  </si>
  <si>
    <t>m</t>
    <phoneticPr fontId="4" type="noConversion"/>
  </si>
  <si>
    <t>》e${1}i</t>
  </si>
  <si>
    <t>》o${1}u</t>
  </si>
  <si>
    <t>U+0300</t>
  </si>
  <si>
    <t>U+030D</t>
  </si>
  <si>
    <t>聲韻調類</t>
    <phoneticPr fontId="4" type="noConversion"/>
  </si>
  <si>
    <t>韻-鼻</t>
    <phoneticPr fontId="4" type="noConversion"/>
  </si>
  <si>
    <t>ĩãũʔ</t>
  </si>
  <si>
    <t>Unicode 編碼</t>
    <phoneticPr fontId="4" type="noConversion"/>
  </si>
  <si>
    <t>U+0303</t>
    <phoneticPr fontId="4" type="noConversion"/>
  </si>
  <si>
    <t>U+0294</t>
    <phoneticPr fontId="4" type="noConversion"/>
  </si>
  <si>
    <t>o͘</t>
    <phoneticPr fontId="4" type="noConversion"/>
  </si>
  <si>
    <t>U+0856</t>
    <phoneticPr fontId="4" type="noConversion"/>
  </si>
  <si>
    <t>實例</t>
    <phoneticPr fontId="4" type="noConversion"/>
  </si>
  <si>
    <t>ㆯㆷ</t>
    <phoneticPr fontId="4" type="noConversion"/>
  </si>
  <si>
    <t>ㆩㆷ</t>
  </si>
  <si>
    <t>ㄧㆩ</t>
    <phoneticPr fontId="4" type="noConversion"/>
  </si>
  <si>
    <t>ㆥㆷ</t>
  </si>
  <si>
    <t>ㄧㆦㆷ</t>
    <phoneticPr fontId="4" type="noConversion"/>
  </si>
  <si>
    <t>ㄧㄨㆷ</t>
    <phoneticPr fontId="4" type="noConversion"/>
  </si>
  <si>
    <t>ㆭㆷ</t>
  </si>
  <si>
    <t>ㆭㆷ</t>
    <phoneticPr fontId="4" type="noConversion"/>
  </si>
  <si>
    <t>ㆦㆷ</t>
  </si>
  <si>
    <t>ㆦㆷ</t>
    <phoneticPr fontId="4" type="noConversion"/>
  </si>
  <si>
    <t>ㄧㆦ</t>
    <phoneticPr fontId="4" type="noConversion"/>
  </si>
  <si>
    <t>ㄧㄥ</t>
    <phoneticPr fontId="4" type="noConversion"/>
  </si>
  <si>
    <t>ㄥ</t>
  </si>
  <si>
    <t>[əŋ]</t>
    <phoneticPr fontId="4" type="noConversion"/>
  </si>
  <si>
    <t>ㆭ</t>
    <phoneticPr fontId="4" type="noConversion"/>
  </si>
  <si>
    <t>[ŋ̍]</t>
    <phoneticPr fontId="4" type="noConversion"/>
  </si>
  <si>
    <t>ㆨ</t>
    <phoneticPr fontId="4" type="noConversion"/>
  </si>
  <si>
    <t>ㆬ</t>
    <phoneticPr fontId="4" type="noConversion"/>
  </si>
  <si>
    <t>ㆱ</t>
    <phoneticPr fontId="4" type="noConversion"/>
  </si>
  <si>
    <t>ㆦ</t>
  </si>
  <si>
    <t>ㆤ</t>
    <phoneticPr fontId="4" type="noConversion"/>
  </si>
  <si>
    <t>ㄧㆻ</t>
    <phoneticPr fontId="4" type="noConversion"/>
  </si>
  <si>
    <t>音節表</t>
  </si>
  <si>
    <t>ʦ/ʨ</t>
  </si>
  <si>
    <t>ʦʰ/ʨʰ</t>
  </si>
  <si>
    <t>ʣ/ʥ</t>
  </si>
  <si>
    <t>s/ɕ</t>
  </si>
  <si>
    <t>ha</t>
  </si>
  <si>
    <t>pa</t>
  </si>
  <si>
    <t>pha</t>
  </si>
  <si>
    <t>ba</t>
  </si>
  <si>
    <t>ma</t>
  </si>
  <si>
    <t>ta</t>
  </si>
  <si>
    <t>tha</t>
  </si>
  <si>
    <t>la</t>
  </si>
  <si>
    <t>tsa</t>
  </si>
  <si>
    <t>tsha</t>
  </si>
  <si>
    <t>sa</t>
  </si>
  <si>
    <t>ka</t>
  </si>
  <si>
    <t>kha</t>
  </si>
  <si>
    <t>ga</t>
  </si>
  <si>
    <t>nga</t>
  </si>
  <si>
    <t>hann</t>
  </si>
  <si>
    <t>phann</t>
  </si>
  <si>
    <t>tann</t>
  </si>
  <si>
    <t>thann</t>
  </si>
  <si>
    <t>tsann</t>
  </si>
  <si>
    <t>tshann</t>
  </si>
  <si>
    <t>sann</t>
  </si>
  <si>
    <t>kann</t>
  </si>
  <si>
    <t>khann</t>
  </si>
  <si>
    <t>hah</t>
  </si>
  <si>
    <t>pah</t>
  </si>
  <si>
    <t>phah</t>
  </si>
  <si>
    <t>bah</t>
  </si>
  <si>
    <t>mah</t>
  </si>
  <si>
    <t>tah</t>
  </si>
  <si>
    <t>thah</t>
  </si>
  <si>
    <t>lah</t>
  </si>
  <si>
    <t>tsah</t>
  </si>
  <si>
    <t>tshah</t>
  </si>
  <si>
    <t>sah</t>
  </si>
  <si>
    <t>kah</t>
  </si>
  <si>
    <t>khah</t>
  </si>
  <si>
    <t>hannh</t>
  </si>
  <si>
    <t>sannh</t>
  </si>
  <si>
    <t>ham</t>
  </si>
  <si>
    <t>tam</t>
  </si>
  <si>
    <t>tham</t>
  </si>
  <si>
    <t>lam</t>
  </si>
  <si>
    <t>tsam</t>
  </si>
  <si>
    <t>tsham</t>
  </si>
  <si>
    <t>sam</t>
  </si>
  <si>
    <t>kam</t>
  </si>
  <si>
    <t>kham</t>
  </si>
  <si>
    <t>gam</t>
  </si>
  <si>
    <t>han</t>
  </si>
  <si>
    <t>pan</t>
  </si>
  <si>
    <t>phan</t>
  </si>
  <si>
    <t>ban</t>
  </si>
  <si>
    <t>tan</t>
  </si>
  <si>
    <t>than</t>
  </si>
  <si>
    <t>lan</t>
  </si>
  <si>
    <t>tsan</t>
  </si>
  <si>
    <t>tshan</t>
  </si>
  <si>
    <t>san</t>
  </si>
  <si>
    <t>kan</t>
  </si>
  <si>
    <t>khan</t>
  </si>
  <si>
    <t>gan</t>
  </si>
  <si>
    <t>hang</t>
  </si>
  <si>
    <t>pang</t>
  </si>
  <si>
    <t>phang</t>
  </si>
  <si>
    <t>bang</t>
  </si>
  <si>
    <t>tang</t>
  </si>
  <si>
    <t>thang</t>
  </si>
  <si>
    <t>lang</t>
  </si>
  <si>
    <t>tsang</t>
  </si>
  <si>
    <t>tshang</t>
  </si>
  <si>
    <t>sang</t>
  </si>
  <si>
    <t>kang</t>
  </si>
  <si>
    <t>khang</t>
  </si>
  <si>
    <t>gang</t>
  </si>
  <si>
    <t>hap</t>
  </si>
  <si>
    <t>tap</t>
  </si>
  <si>
    <t>thap</t>
  </si>
  <si>
    <t>lap</t>
  </si>
  <si>
    <t>tsap</t>
  </si>
  <si>
    <t>tshap</t>
  </si>
  <si>
    <t>sap</t>
  </si>
  <si>
    <t>kap</t>
  </si>
  <si>
    <t>khap</t>
  </si>
  <si>
    <t>hat</t>
  </si>
  <si>
    <t>pat</t>
  </si>
  <si>
    <t>phat</t>
  </si>
  <si>
    <t>bat</t>
  </si>
  <si>
    <t>tat</t>
  </si>
  <si>
    <t>that</t>
  </si>
  <si>
    <t>lat</t>
  </si>
  <si>
    <t>tsat</t>
  </si>
  <si>
    <t>tshat</t>
  </si>
  <si>
    <t>sat</t>
  </si>
  <si>
    <t>kat</t>
  </si>
  <si>
    <t>khat</t>
  </si>
  <si>
    <t>hak</t>
  </si>
  <si>
    <t>pak</t>
  </si>
  <si>
    <t>phak</t>
  </si>
  <si>
    <t>bak</t>
  </si>
  <si>
    <t>tak</t>
  </si>
  <si>
    <t>thak</t>
  </si>
  <si>
    <t>lak</t>
  </si>
  <si>
    <t>tsak</t>
  </si>
  <si>
    <t>tshak</t>
  </si>
  <si>
    <t>sak</t>
  </si>
  <si>
    <t>kak</t>
  </si>
  <si>
    <t>khak</t>
  </si>
  <si>
    <t>gak</t>
  </si>
  <si>
    <t>hai</t>
  </si>
  <si>
    <t>pai</t>
  </si>
  <si>
    <t>phai</t>
  </si>
  <si>
    <t>bai</t>
  </si>
  <si>
    <t>mai</t>
  </si>
  <si>
    <t>tai</t>
  </si>
  <si>
    <t>thai</t>
  </si>
  <si>
    <t>lai</t>
  </si>
  <si>
    <t>tsai</t>
  </si>
  <si>
    <t>tshai</t>
  </si>
  <si>
    <t>sai</t>
  </si>
  <si>
    <t>kai</t>
  </si>
  <si>
    <t>khai</t>
  </si>
  <si>
    <t>gai</t>
  </si>
  <si>
    <t>ngai</t>
  </si>
  <si>
    <t>ãɪ</t>
  </si>
  <si>
    <t>hainn</t>
  </si>
  <si>
    <t>phainn</t>
  </si>
  <si>
    <t>tainn</t>
  </si>
  <si>
    <t>tsainn</t>
  </si>
  <si>
    <t>kainn</t>
  </si>
  <si>
    <t>khainn</t>
  </si>
  <si>
    <t>aɪʔ</t>
  </si>
  <si>
    <t>aih</t>
  </si>
  <si>
    <t>haih</t>
  </si>
  <si>
    <t>laih</t>
  </si>
  <si>
    <t>saih</t>
  </si>
  <si>
    <t>hau</t>
  </si>
  <si>
    <t>pau</t>
  </si>
  <si>
    <t>phau</t>
  </si>
  <si>
    <t>bau</t>
  </si>
  <si>
    <t>mau</t>
  </si>
  <si>
    <t>tau</t>
  </si>
  <si>
    <t>thau</t>
  </si>
  <si>
    <t>nau</t>
  </si>
  <si>
    <t>lau</t>
  </si>
  <si>
    <t>tsau</t>
  </si>
  <si>
    <t>tshau</t>
  </si>
  <si>
    <t>sau</t>
  </si>
  <si>
    <t>kau</t>
  </si>
  <si>
    <t>khau</t>
  </si>
  <si>
    <t>gau</t>
  </si>
  <si>
    <t>ngau</t>
  </si>
  <si>
    <t>phauh</t>
  </si>
  <si>
    <t>mauh</t>
  </si>
  <si>
    <t>tauh</t>
  </si>
  <si>
    <t>nauh</t>
  </si>
  <si>
    <t>lauh</t>
  </si>
  <si>
    <t>tshauh</t>
  </si>
  <si>
    <t>kauh</t>
  </si>
  <si>
    <t>ngauh</t>
  </si>
  <si>
    <t>he</t>
  </si>
  <si>
    <t>pe</t>
  </si>
  <si>
    <t>phe</t>
  </si>
  <si>
    <t>be</t>
  </si>
  <si>
    <t>me</t>
  </si>
  <si>
    <t>te</t>
  </si>
  <si>
    <t>the</t>
  </si>
  <si>
    <t>le</t>
  </si>
  <si>
    <t>tse</t>
  </si>
  <si>
    <t>tshe</t>
  </si>
  <si>
    <t>se</t>
  </si>
  <si>
    <t>ke</t>
  </si>
  <si>
    <t>khe</t>
  </si>
  <si>
    <t>ge</t>
  </si>
  <si>
    <t>nge</t>
  </si>
  <si>
    <t>henn</t>
  </si>
  <si>
    <t>penn</t>
  </si>
  <si>
    <t>phenn</t>
  </si>
  <si>
    <t>tenn</t>
  </si>
  <si>
    <t>thenn</t>
  </si>
  <si>
    <t>tsenn</t>
  </si>
  <si>
    <t>tshenn</t>
  </si>
  <si>
    <t>senn</t>
  </si>
  <si>
    <t>kenn</t>
  </si>
  <si>
    <t>khenn</t>
  </si>
  <si>
    <t>heh</t>
  </si>
  <si>
    <t>peh</t>
  </si>
  <si>
    <t>pheh</t>
  </si>
  <si>
    <t>beh</t>
  </si>
  <si>
    <t>meh</t>
  </si>
  <si>
    <t>teh</t>
  </si>
  <si>
    <t>theh</t>
  </si>
  <si>
    <t>neh</t>
  </si>
  <si>
    <t>leh</t>
  </si>
  <si>
    <t>tseh</t>
  </si>
  <si>
    <t>tsheh</t>
  </si>
  <si>
    <t>seh</t>
  </si>
  <si>
    <t>keh</t>
  </si>
  <si>
    <t>kheh</t>
  </si>
  <si>
    <t>geh</t>
  </si>
  <si>
    <t>ngeh</t>
  </si>
  <si>
    <t>ẽʔ</t>
  </si>
  <si>
    <t>hennh</t>
  </si>
  <si>
    <t>khennh</t>
  </si>
  <si>
    <t>hi</t>
  </si>
  <si>
    <t>pi</t>
  </si>
  <si>
    <t>phi</t>
  </si>
  <si>
    <t>bi</t>
  </si>
  <si>
    <t>mi</t>
  </si>
  <si>
    <t>ti</t>
  </si>
  <si>
    <t>thi</t>
  </si>
  <si>
    <t>li</t>
  </si>
  <si>
    <t>ki</t>
  </si>
  <si>
    <t>khi</t>
  </si>
  <si>
    <t>gi</t>
  </si>
  <si>
    <t>ngi</t>
  </si>
  <si>
    <t>hinn</t>
  </si>
  <si>
    <t>pinn</t>
  </si>
  <si>
    <t>phinn</t>
  </si>
  <si>
    <t>tinn</t>
  </si>
  <si>
    <t>thinn</t>
  </si>
  <si>
    <t>tsinn</t>
  </si>
  <si>
    <t>tshinn</t>
  </si>
  <si>
    <t>sinn</t>
  </si>
  <si>
    <t>kinn</t>
  </si>
  <si>
    <t>khinn</t>
  </si>
  <si>
    <t>pih</t>
  </si>
  <si>
    <t>phih</t>
  </si>
  <si>
    <t>bih</t>
  </si>
  <si>
    <t>mih</t>
  </si>
  <si>
    <t>tih</t>
  </si>
  <si>
    <t>thih</t>
  </si>
  <si>
    <t>lih</t>
  </si>
  <si>
    <t>tsih</t>
  </si>
  <si>
    <t>tshih</t>
  </si>
  <si>
    <t>sih</t>
  </si>
  <si>
    <t>kih</t>
  </si>
  <si>
    <t>khih</t>
  </si>
  <si>
    <t>him</t>
  </si>
  <si>
    <t>tim</t>
  </si>
  <si>
    <t>thim</t>
  </si>
  <si>
    <t>lim</t>
  </si>
  <si>
    <t>tsim</t>
  </si>
  <si>
    <t>tshim</t>
  </si>
  <si>
    <t>jim</t>
  </si>
  <si>
    <t>sim</t>
  </si>
  <si>
    <t>kim</t>
  </si>
  <si>
    <t>khim</t>
  </si>
  <si>
    <t>gim</t>
  </si>
  <si>
    <t>hin</t>
  </si>
  <si>
    <t>pin</t>
  </si>
  <si>
    <t>phin</t>
  </si>
  <si>
    <t>bin</t>
  </si>
  <si>
    <t>tin</t>
  </si>
  <si>
    <t>thin</t>
  </si>
  <si>
    <t>lin</t>
  </si>
  <si>
    <t>tsin</t>
  </si>
  <si>
    <t>tshin</t>
  </si>
  <si>
    <t>jin</t>
  </si>
  <si>
    <t>sin</t>
  </si>
  <si>
    <t>kin</t>
  </si>
  <si>
    <t>khin</t>
  </si>
  <si>
    <t>gin</t>
  </si>
  <si>
    <t>hing</t>
  </si>
  <si>
    <t>ping</t>
  </si>
  <si>
    <t>phing</t>
  </si>
  <si>
    <t>bing</t>
  </si>
  <si>
    <t>ting</t>
  </si>
  <si>
    <t>thing</t>
  </si>
  <si>
    <t>ling</t>
  </si>
  <si>
    <t>tsing</t>
  </si>
  <si>
    <t>tshing</t>
  </si>
  <si>
    <t>sing</t>
  </si>
  <si>
    <t>king</t>
  </si>
  <si>
    <t>khing</t>
  </si>
  <si>
    <t>ging</t>
  </si>
  <si>
    <t>hip</t>
  </si>
  <si>
    <t>lip</t>
  </si>
  <si>
    <t>tsip</t>
  </si>
  <si>
    <t>tship</t>
  </si>
  <si>
    <t>jip</t>
  </si>
  <si>
    <t>sip</t>
  </si>
  <si>
    <t>kip</t>
  </si>
  <si>
    <t>khip</t>
  </si>
  <si>
    <t>hit</t>
  </si>
  <si>
    <t>pit</t>
  </si>
  <si>
    <t>phit</t>
  </si>
  <si>
    <t>bit</t>
  </si>
  <si>
    <t>tit</t>
  </si>
  <si>
    <t>thit</t>
  </si>
  <si>
    <t>lit</t>
  </si>
  <si>
    <t>tsit</t>
  </si>
  <si>
    <t>tshit</t>
  </si>
  <si>
    <t>jit</t>
  </si>
  <si>
    <t>sit</t>
  </si>
  <si>
    <t>kit</t>
  </si>
  <si>
    <t>khit</t>
  </si>
  <si>
    <t>ik̚/ɪək̚</t>
  </si>
  <si>
    <t>hik</t>
  </si>
  <si>
    <t>pik</t>
  </si>
  <si>
    <t>phik</t>
  </si>
  <si>
    <t>bik</t>
  </si>
  <si>
    <t>tik</t>
  </si>
  <si>
    <t>thik</t>
  </si>
  <si>
    <t>lik</t>
  </si>
  <si>
    <t>tsik</t>
  </si>
  <si>
    <t>tshik</t>
  </si>
  <si>
    <t>jik</t>
  </si>
  <si>
    <t>sik</t>
  </si>
  <si>
    <t>kik</t>
  </si>
  <si>
    <t>khik</t>
  </si>
  <si>
    <t>gik</t>
  </si>
  <si>
    <t>hia</t>
  </si>
  <si>
    <t>mia</t>
  </si>
  <si>
    <t>tia</t>
  </si>
  <si>
    <t>lia</t>
  </si>
  <si>
    <t>tsia</t>
  </si>
  <si>
    <t>tshia</t>
  </si>
  <si>
    <t>jia</t>
  </si>
  <si>
    <t>sia</t>
  </si>
  <si>
    <t>kia</t>
  </si>
  <si>
    <t>khia</t>
  </si>
  <si>
    <t>gia</t>
  </si>
  <si>
    <t>ngia</t>
  </si>
  <si>
    <t>iã</t>
  </si>
  <si>
    <t>hiann</t>
  </si>
  <si>
    <t>piann</t>
  </si>
  <si>
    <t>phiann</t>
  </si>
  <si>
    <t>tiann</t>
  </si>
  <si>
    <t>thiann</t>
  </si>
  <si>
    <t>tsiann</t>
  </si>
  <si>
    <t>tshiann</t>
  </si>
  <si>
    <t>siann</t>
  </si>
  <si>
    <t>kiann</t>
  </si>
  <si>
    <t>khiann</t>
  </si>
  <si>
    <t>ɪaʔ</t>
  </si>
  <si>
    <t>hiah</t>
  </si>
  <si>
    <t>piah</t>
  </si>
  <si>
    <t>phiah</t>
  </si>
  <si>
    <t>tiah</t>
  </si>
  <si>
    <t>thiah</t>
  </si>
  <si>
    <t>liah</t>
  </si>
  <si>
    <t>tsiah</t>
  </si>
  <si>
    <t>tshiah</t>
  </si>
  <si>
    <t>jiah</t>
  </si>
  <si>
    <t>siah</t>
  </si>
  <si>
    <t>kiah</t>
  </si>
  <si>
    <t>khiah</t>
  </si>
  <si>
    <t>giah</t>
  </si>
  <si>
    <t>hiannh</t>
  </si>
  <si>
    <t>siannh</t>
  </si>
  <si>
    <t>ɪam</t>
  </si>
  <si>
    <t>hiam</t>
  </si>
  <si>
    <t>tiam</t>
  </si>
  <si>
    <t>thiam</t>
  </si>
  <si>
    <t>liam</t>
  </si>
  <si>
    <t>tsiam</t>
  </si>
  <si>
    <t>tshiam</t>
  </si>
  <si>
    <t>jiam</t>
  </si>
  <si>
    <t>siam</t>
  </si>
  <si>
    <t>kiam</t>
  </si>
  <si>
    <t>khiam</t>
  </si>
  <si>
    <t>giam</t>
  </si>
  <si>
    <t>ɪan/en</t>
  </si>
  <si>
    <t>hian</t>
  </si>
  <si>
    <t>pian</t>
  </si>
  <si>
    <t>phian</t>
  </si>
  <si>
    <t>bian</t>
  </si>
  <si>
    <t>tian</t>
  </si>
  <si>
    <t>thian</t>
  </si>
  <si>
    <t>lian</t>
  </si>
  <si>
    <t>tsian</t>
  </si>
  <si>
    <t>tshian</t>
  </si>
  <si>
    <t>jian</t>
  </si>
  <si>
    <t>sian</t>
  </si>
  <si>
    <t>kian</t>
  </si>
  <si>
    <t>khian</t>
  </si>
  <si>
    <t>gian</t>
  </si>
  <si>
    <t>hiang</t>
  </si>
  <si>
    <t>piang</t>
  </si>
  <si>
    <t>phiang</t>
  </si>
  <si>
    <t>liang</t>
  </si>
  <si>
    <t>tsiang</t>
  </si>
  <si>
    <t>tshiang</t>
  </si>
  <si>
    <t>jiang</t>
  </si>
  <si>
    <t>siang</t>
  </si>
  <si>
    <t>kiang</t>
  </si>
  <si>
    <t>khiang</t>
  </si>
  <si>
    <t>giang</t>
  </si>
  <si>
    <t>ɪap̚</t>
  </si>
  <si>
    <t>hiap</t>
  </si>
  <si>
    <t>tiap</t>
  </si>
  <si>
    <t>thiap</t>
  </si>
  <si>
    <t>liap</t>
  </si>
  <si>
    <t>tsiap</t>
  </si>
  <si>
    <t>tshiap</t>
  </si>
  <si>
    <t>jiap</t>
  </si>
  <si>
    <t>siap</t>
  </si>
  <si>
    <t>kiap</t>
  </si>
  <si>
    <t>khiap</t>
  </si>
  <si>
    <t>giap</t>
  </si>
  <si>
    <t>ɪat̚/ɪet̚</t>
  </si>
  <si>
    <t>hiat</t>
  </si>
  <si>
    <t>piat</t>
  </si>
  <si>
    <t>phiat</t>
  </si>
  <si>
    <t>biat</t>
  </si>
  <si>
    <t>tiat</t>
  </si>
  <si>
    <t>thiat</t>
  </si>
  <si>
    <t>liat</t>
  </si>
  <si>
    <t>tsiat</t>
  </si>
  <si>
    <t>tshiat</t>
  </si>
  <si>
    <t>jiat</t>
  </si>
  <si>
    <t>siat</t>
  </si>
  <si>
    <t>kiat</t>
  </si>
  <si>
    <t>khiat</t>
  </si>
  <si>
    <t>giat</t>
  </si>
  <si>
    <t>piak</t>
  </si>
  <si>
    <t>phiak</t>
  </si>
  <si>
    <t>tiak</t>
  </si>
  <si>
    <t>tshiak</t>
  </si>
  <si>
    <t>siak</t>
  </si>
  <si>
    <t>khiak</t>
  </si>
  <si>
    <t>ɪau</t>
  </si>
  <si>
    <t>hiau</t>
  </si>
  <si>
    <t>piau</t>
  </si>
  <si>
    <t>phiau</t>
  </si>
  <si>
    <t>biau</t>
  </si>
  <si>
    <t>miau</t>
  </si>
  <si>
    <t>tiau</t>
  </si>
  <si>
    <t>thiau</t>
  </si>
  <si>
    <t>niau</t>
  </si>
  <si>
    <t>liau</t>
  </si>
  <si>
    <t>tsiau</t>
  </si>
  <si>
    <t>tshiau</t>
  </si>
  <si>
    <t>jiau</t>
  </si>
  <si>
    <t>siau</t>
  </si>
  <si>
    <t>kiau</t>
  </si>
  <si>
    <t>khiau</t>
  </si>
  <si>
    <t>giau</t>
  </si>
  <si>
    <t>ngiau</t>
  </si>
  <si>
    <t>ɪãu</t>
  </si>
  <si>
    <t>ɪauʔ</t>
  </si>
  <si>
    <t>hiauh</t>
  </si>
  <si>
    <t>khiauh</t>
  </si>
  <si>
    <t>ngiauh</t>
  </si>
  <si>
    <t>ɪə/ɪo</t>
  </si>
  <si>
    <t>hio</t>
  </si>
  <si>
    <t>pio</t>
  </si>
  <si>
    <t>phio</t>
  </si>
  <si>
    <t>bio</t>
  </si>
  <si>
    <t>tio</t>
  </si>
  <si>
    <t>thio</t>
  </si>
  <si>
    <t>lio</t>
  </si>
  <si>
    <t>tsio</t>
  </si>
  <si>
    <t>tshio</t>
  </si>
  <si>
    <t>jio</t>
  </si>
  <si>
    <t>sio</t>
  </si>
  <si>
    <t>kio</t>
  </si>
  <si>
    <t>khio</t>
  </si>
  <si>
    <t>gio</t>
  </si>
  <si>
    <t>ɪɔ̃</t>
  </si>
  <si>
    <t>hionn</t>
  </si>
  <si>
    <t>tionn</t>
  </si>
  <si>
    <t>tsionn</t>
  </si>
  <si>
    <t>tshionn</t>
  </si>
  <si>
    <t>sionn</t>
  </si>
  <si>
    <t>kionn</t>
  </si>
  <si>
    <t>khionn</t>
  </si>
  <si>
    <t>ɪəʔ/ɪoʔ</t>
  </si>
  <si>
    <t>hioh</t>
  </si>
  <si>
    <t>tioh</t>
  </si>
  <si>
    <t>lioh</t>
  </si>
  <si>
    <t>tsioh</t>
  </si>
  <si>
    <t>tshioh</t>
  </si>
  <si>
    <t>sioh</t>
  </si>
  <si>
    <t>kioh</t>
  </si>
  <si>
    <t>khioh</t>
  </si>
  <si>
    <t>gioh</t>
  </si>
  <si>
    <t>hiong</t>
  </si>
  <si>
    <t>tiong</t>
  </si>
  <si>
    <t>thiong</t>
  </si>
  <si>
    <t>liong</t>
  </si>
  <si>
    <t>tsiong</t>
  </si>
  <si>
    <t>tshiong</t>
  </si>
  <si>
    <t>jiong</t>
  </si>
  <si>
    <t>siong</t>
  </si>
  <si>
    <t>kiong</t>
  </si>
  <si>
    <t>khiong</t>
  </si>
  <si>
    <t>giong</t>
  </si>
  <si>
    <t>hiok</t>
  </si>
  <si>
    <t>tiok</t>
  </si>
  <si>
    <t>thiok</t>
  </si>
  <si>
    <t>liok</t>
  </si>
  <si>
    <t>tsiok</t>
  </si>
  <si>
    <t>tshiok</t>
  </si>
  <si>
    <t>jiok</t>
  </si>
  <si>
    <t>siok</t>
  </si>
  <si>
    <t>kiok</t>
  </si>
  <si>
    <t>khiok</t>
  </si>
  <si>
    <t>giok</t>
  </si>
  <si>
    <t>hiu</t>
  </si>
  <si>
    <t>piu</t>
  </si>
  <si>
    <t>biu</t>
  </si>
  <si>
    <t>tiu</t>
  </si>
  <si>
    <t>thiu</t>
  </si>
  <si>
    <t>liu</t>
  </si>
  <si>
    <t>tsiu</t>
  </si>
  <si>
    <t>tshiu</t>
  </si>
  <si>
    <t>jiu</t>
  </si>
  <si>
    <t>siu</t>
  </si>
  <si>
    <t>kiu</t>
  </si>
  <si>
    <t>khiu</t>
  </si>
  <si>
    <t>giu</t>
  </si>
  <si>
    <t>ngiu</t>
  </si>
  <si>
    <t>iũ</t>
  </si>
  <si>
    <t>hiunn</t>
  </si>
  <si>
    <t>tiunn</t>
  </si>
  <si>
    <t>tsiunn</t>
  </si>
  <si>
    <t>tshiunn</t>
  </si>
  <si>
    <t>siunn</t>
  </si>
  <si>
    <t>kiunn</t>
  </si>
  <si>
    <t>khiunn</t>
  </si>
  <si>
    <t>iũʔ</t>
  </si>
  <si>
    <t>iunnh</t>
  </si>
  <si>
    <t>hiunnh</t>
  </si>
  <si>
    <t>ə/o</t>
  </si>
  <si>
    <t>ho</t>
  </si>
  <si>
    <t>po</t>
  </si>
  <si>
    <t>pho</t>
  </si>
  <si>
    <t>bo</t>
  </si>
  <si>
    <t>to</t>
  </si>
  <si>
    <t>tho</t>
  </si>
  <si>
    <t>lo</t>
  </si>
  <si>
    <t>tso</t>
  </si>
  <si>
    <t>tsho</t>
  </si>
  <si>
    <t>so</t>
  </si>
  <si>
    <t>ko</t>
  </si>
  <si>
    <t>kho</t>
  </si>
  <si>
    <t>go</t>
  </si>
  <si>
    <t>hoo</t>
  </si>
  <si>
    <t>poo</t>
  </si>
  <si>
    <t>phoo</t>
  </si>
  <si>
    <t>boo</t>
  </si>
  <si>
    <t>moo</t>
  </si>
  <si>
    <t>too</t>
  </si>
  <si>
    <t>thoo</t>
  </si>
  <si>
    <t>loo</t>
  </si>
  <si>
    <t>tsoo</t>
  </si>
  <si>
    <t>tshoo</t>
  </si>
  <si>
    <t>soo</t>
  </si>
  <si>
    <t>koo</t>
  </si>
  <si>
    <t>khoo</t>
  </si>
  <si>
    <t>goo</t>
  </si>
  <si>
    <t>ngoo</t>
  </si>
  <si>
    <t>honn</t>
  </si>
  <si>
    <t>konn</t>
  </si>
  <si>
    <t>əʔ/oʔ</t>
  </si>
  <si>
    <t>hoh</t>
  </si>
  <si>
    <t>poh</t>
  </si>
  <si>
    <t>phoh</t>
  </si>
  <si>
    <t>boh</t>
  </si>
  <si>
    <t>toh</t>
  </si>
  <si>
    <t>thoh</t>
  </si>
  <si>
    <t>loh</t>
  </si>
  <si>
    <t>tsoh</t>
  </si>
  <si>
    <t>tshoh</t>
  </si>
  <si>
    <t>soh</t>
  </si>
  <si>
    <t>koh</t>
  </si>
  <si>
    <t>hooh</t>
  </si>
  <si>
    <t>mooh</t>
  </si>
  <si>
    <t>tooh</t>
  </si>
  <si>
    <t>looh</t>
  </si>
  <si>
    <t>kooh</t>
  </si>
  <si>
    <t>honnh</t>
  </si>
  <si>
    <t>tom</t>
  </si>
  <si>
    <t>som</t>
  </si>
  <si>
    <t>hong</t>
  </si>
  <si>
    <t>pong</t>
  </si>
  <si>
    <t>phong</t>
  </si>
  <si>
    <t>bong</t>
  </si>
  <si>
    <t>tong</t>
  </si>
  <si>
    <t>thong</t>
  </si>
  <si>
    <t>long</t>
  </si>
  <si>
    <t>tsong</t>
  </si>
  <si>
    <t>tshong</t>
  </si>
  <si>
    <t>song</t>
  </si>
  <si>
    <t>kong</t>
  </si>
  <si>
    <t>khong</t>
  </si>
  <si>
    <t>gong</t>
  </si>
  <si>
    <t>hop</t>
  </si>
  <si>
    <t>lop</t>
  </si>
  <si>
    <t>kop</t>
  </si>
  <si>
    <t>hok</t>
  </si>
  <si>
    <t>pok</t>
  </si>
  <si>
    <t>phok</t>
  </si>
  <si>
    <t>bok</t>
  </si>
  <si>
    <t>tok</t>
  </si>
  <si>
    <t>thok</t>
  </si>
  <si>
    <t>lok</t>
  </si>
  <si>
    <t>tsok</t>
  </si>
  <si>
    <t>tshok</t>
  </si>
  <si>
    <t>sok</t>
  </si>
  <si>
    <t>kok</t>
  </si>
  <si>
    <t>khok</t>
  </si>
  <si>
    <t>gok</t>
  </si>
  <si>
    <t>hu</t>
  </si>
  <si>
    <t>pu</t>
  </si>
  <si>
    <t>phu</t>
  </si>
  <si>
    <t>bu</t>
  </si>
  <si>
    <t>tu</t>
  </si>
  <si>
    <t>thu</t>
  </si>
  <si>
    <t>lu</t>
  </si>
  <si>
    <t>tsu</t>
  </si>
  <si>
    <t>tshu</t>
  </si>
  <si>
    <t>ju</t>
  </si>
  <si>
    <t>su</t>
  </si>
  <si>
    <t>ku</t>
  </si>
  <si>
    <t>khu</t>
  </si>
  <si>
    <t>gu</t>
  </si>
  <si>
    <t>puh</t>
  </si>
  <si>
    <t>phuh</t>
  </si>
  <si>
    <t>buh</t>
  </si>
  <si>
    <t>tuh</t>
  </si>
  <si>
    <t>thuh</t>
  </si>
  <si>
    <t>luh</t>
  </si>
  <si>
    <t>tsuh</t>
  </si>
  <si>
    <t>tshuh</t>
  </si>
  <si>
    <t>suh</t>
  </si>
  <si>
    <t>khuh</t>
  </si>
  <si>
    <t>hun</t>
  </si>
  <si>
    <t>pun</t>
  </si>
  <si>
    <t>phun</t>
  </si>
  <si>
    <t>bun</t>
  </si>
  <si>
    <t>tun</t>
  </si>
  <si>
    <t>thun</t>
  </si>
  <si>
    <t>lun</t>
  </si>
  <si>
    <t>tsun</t>
  </si>
  <si>
    <t>tshun</t>
  </si>
  <si>
    <t>jun</t>
  </si>
  <si>
    <t>sun</t>
  </si>
  <si>
    <t>kun</t>
  </si>
  <si>
    <t>khun</t>
  </si>
  <si>
    <t>gun</t>
  </si>
  <si>
    <t>ut̚</t>
  </si>
  <si>
    <t>hut</t>
  </si>
  <si>
    <t>put</t>
  </si>
  <si>
    <t>phut</t>
  </si>
  <si>
    <t>but</t>
  </si>
  <si>
    <t>tut</t>
  </si>
  <si>
    <t>thut</t>
  </si>
  <si>
    <t>lut</t>
  </si>
  <si>
    <t>tsut</t>
  </si>
  <si>
    <t>tshut</t>
  </si>
  <si>
    <t>sut</t>
  </si>
  <si>
    <t>kut</t>
  </si>
  <si>
    <t>khut</t>
  </si>
  <si>
    <t>hua</t>
  </si>
  <si>
    <t>pua</t>
  </si>
  <si>
    <t>phua</t>
  </si>
  <si>
    <t>bua</t>
  </si>
  <si>
    <t>mua</t>
  </si>
  <si>
    <t>tua</t>
  </si>
  <si>
    <t>thua</t>
  </si>
  <si>
    <t>lua</t>
  </si>
  <si>
    <t>tsua</t>
  </si>
  <si>
    <t>tshua</t>
  </si>
  <si>
    <t>jua</t>
  </si>
  <si>
    <t>sua</t>
  </si>
  <si>
    <t>kua</t>
  </si>
  <si>
    <t>khua</t>
  </si>
  <si>
    <t>gua</t>
  </si>
  <si>
    <t>uã</t>
  </si>
  <si>
    <t>huann</t>
  </si>
  <si>
    <t>puann</t>
  </si>
  <si>
    <t>phuann</t>
  </si>
  <si>
    <t>tuann</t>
  </si>
  <si>
    <t>thuann</t>
  </si>
  <si>
    <t>tsuann</t>
  </si>
  <si>
    <t>tshuann</t>
  </si>
  <si>
    <t>suann</t>
  </si>
  <si>
    <t>kuann</t>
  </si>
  <si>
    <t>khuann</t>
  </si>
  <si>
    <t>huah</t>
  </si>
  <si>
    <t>puah</t>
  </si>
  <si>
    <t>phuah</t>
  </si>
  <si>
    <t>buah</t>
  </si>
  <si>
    <t>tuah</t>
  </si>
  <si>
    <t>thuah</t>
  </si>
  <si>
    <t>luah</t>
  </si>
  <si>
    <t>tsuah</t>
  </si>
  <si>
    <t>tshuah</t>
  </si>
  <si>
    <t>juah</t>
  </si>
  <si>
    <t>suah</t>
  </si>
  <si>
    <t>kuah</t>
  </si>
  <si>
    <t>khuah</t>
  </si>
  <si>
    <t>huan</t>
  </si>
  <si>
    <t>puan</t>
  </si>
  <si>
    <t>phuan</t>
  </si>
  <si>
    <t>buan</t>
  </si>
  <si>
    <t>tuan</t>
  </si>
  <si>
    <t>thuan</t>
  </si>
  <si>
    <t>luan</t>
  </si>
  <si>
    <t>tsuan</t>
  </si>
  <si>
    <t>tshuan</t>
  </si>
  <si>
    <t>suan</t>
  </si>
  <si>
    <t>kuan</t>
  </si>
  <si>
    <t>khuan</t>
  </si>
  <si>
    <t>guan</t>
  </si>
  <si>
    <t>huang</t>
  </si>
  <si>
    <t>tshuang</t>
  </si>
  <si>
    <t>huat</t>
  </si>
  <si>
    <t>puat</t>
  </si>
  <si>
    <t>phuat</t>
  </si>
  <si>
    <t>buat</t>
  </si>
  <si>
    <t>tuat</t>
  </si>
  <si>
    <t>thuat</t>
  </si>
  <si>
    <t>luat</t>
  </si>
  <si>
    <t>tsuat</t>
  </si>
  <si>
    <t>suat</t>
  </si>
  <si>
    <t>kuat</t>
  </si>
  <si>
    <t>khuat</t>
  </si>
  <si>
    <t>guat</t>
  </si>
  <si>
    <t>huai</t>
  </si>
  <si>
    <t>suai</t>
  </si>
  <si>
    <t>kuai</t>
  </si>
  <si>
    <t>khuai</t>
  </si>
  <si>
    <t>uãi</t>
  </si>
  <si>
    <t>huainn</t>
  </si>
  <si>
    <t>tsuainn</t>
  </si>
  <si>
    <t>suainn</t>
  </si>
  <si>
    <t>kuainn</t>
  </si>
  <si>
    <t>buaih</t>
  </si>
  <si>
    <t>luaih</t>
  </si>
  <si>
    <t>tshuaih</t>
  </si>
  <si>
    <t>kuaih</t>
  </si>
  <si>
    <t>uãiʔ</t>
  </si>
  <si>
    <t>kuainnh</t>
  </si>
  <si>
    <t>hue</t>
  </si>
  <si>
    <t>pue</t>
  </si>
  <si>
    <t>phue</t>
  </si>
  <si>
    <t>bue</t>
  </si>
  <si>
    <t>mue</t>
  </si>
  <si>
    <t>tue</t>
  </si>
  <si>
    <t>thue</t>
  </si>
  <si>
    <t>lue</t>
  </si>
  <si>
    <t>tsue</t>
  </si>
  <si>
    <t>tshue</t>
  </si>
  <si>
    <t>jue</t>
  </si>
  <si>
    <t>sue</t>
  </si>
  <si>
    <t>kue</t>
  </si>
  <si>
    <t>khue</t>
  </si>
  <si>
    <t>gue</t>
  </si>
  <si>
    <t>hueh</t>
  </si>
  <si>
    <t>pueh</t>
  </si>
  <si>
    <t>phueh</t>
  </si>
  <si>
    <t>bueh</t>
  </si>
  <si>
    <t>thueh</t>
  </si>
  <si>
    <t>lueh</t>
  </si>
  <si>
    <t>tsueh</t>
  </si>
  <si>
    <t>tshueh</t>
  </si>
  <si>
    <t>sueh</t>
  </si>
  <si>
    <t>kueh</t>
  </si>
  <si>
    <t>khueh</t>
  </si>
  <si>
    <t>gueh</t>
  </si>
  <si>
    <t>ngueh</t>
  </si>
  <si>
    <t>hui</t>
  </si>
  <si>
    <t>pui</t>
  </si>
  <si>
    <t>phui</t>
  </si>
  <si>
    <t>bui</t>
  </si>
  <si>
    <t>mui</t>
  </si>
  <si>
    <t>tui</t>
  </si>
  <si>
    <t>thui</t>
  </si>
  <si>
    <t>lui</t>
  </si>
  <si>
    <t>tsui</t>
  </si>
  <si>
    <t>tshui</t>
  </si>
  <si>
    <t>sui</t>
  </si>
  <si>
    <t>kui</t>
  </si>
  <si>
    <t>khui</t>
  </si>
  <si>
    <t>gui</t>
  </si>
  <si>
    <t>uĩ</t>
  </si>
  <si>
    <t>huinn</t>
  </si>
  <si>
    <t>puinn</t>
  </si>
  <si>
    <t>tsuinn</t>
  </si>
  <si>
    <t>tshuinn</t>
  </si>
  <si>
    <t>suinn</t>
  </si>
  <si>
    <t>kuinn</t>
  </si>
  <si>
    <t>uiʔ</t>
  </si>
  <si>
    <t>uih</t>
  </si>
  <si>
    <t>huih</t>
  </si>
  <si>
    <t>kuih</t>
  </si>
  <si>
    <t>hm</t>
  </si>
  <si>
    <t>hmh</t>
  </si>
  <si>
    <t>hng</t>
  </si>
  <si>
    <t>png</t>
  </si>
  <si>
    <t>mng</t>
  </si>
  <si>
    <t>tng</t>
  </si>
  <si>
    <t>thng</t>
  </si>
  <si>
    <t>nng</t>
  </si>
  <si>
    <t>tsng</t>
  </si>
  <si>
    <t>tshng</t>
  </si>
  <si>
    <t>sng</t>
  </si>
  <si>
    <t>kng</t>
  </si>
  <si>
    <t>khng</t>
  </si>
  <si>
    <t>hngh</t>
  </si>
  <si>
    <t>phngh</t>
  </si>
  <si>
    <t>mngh</t>
  </si>
  <si>
    <t>tshngh</t>
  </si>
  <si>
    <t>sngh</t>
  </si>
  <si>
    <t>khngh</t>
  </si>
  <si>
    <t>om</t>
    <phoneticPr fontId="4" type="noConversion"/>
  </si>
  <si>
    <t>ㄥ</t>
    <phoneticPr fontId="4" type="noConversion"/>
  </si>
  <si>
    <t>aih</t>
    <phoneticPr fontId="4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</si>
  <si>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Microsoft JhengHei"/>
        <family val="2"/>
        <charset val="136"/>
      </rPr>
      <t>ㆷ</t>
    </r>
    <phoneticPr fontId="4" type="noConversion"/>
  </si>
  <si>
    <t>ennh</t>
    <phoneticPr fontId="4" type="noConversion"/>
  </si>
  <si>
    <t>iannh</t>
    <phoneticPr fontId="4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</si>
  <si>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ㆩㆷ</t>
    </r>
    <phoneticPr fontId="4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</si>
  <si>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ㆫㆷ</t>
    </r>
    <phoneticPr fontId="4" type="noConversion"/>
  </si>
  <si>
    <t>ㄨㄧㆷ</t>
  </si>
  <si>
    <t>ㄨㄧㆷ</t>
    <phoneticPr fontId="4" type="noConversion"/>
  </si>
  <si>
    <t>ㆬㆷ</t>
  </si>
  <si>
    <t>ㆬㆷ</t>
    <phoneticPr fontId="4" type="noConversion"/>
  </si>
  <si>
    <t>iunnh</t>
    <phoneticPr fontId="4" type="noConversion"/>
  </si>
  <si>
    <t>niuh</t>
  </si>
  <si>
    <t>niuh</t>
    <phoneticPr fontId="4" type="noConversion"/>
  </si>
  <si>
    <t>ooh</t>
    <phoneticPr fontId="4" type="noConversion"/>
  </si>
  <si>
    <t>o͘h</t>
  </si>
  <si>
    <t>uih</t>
    <phoneticPr fontId="4" type="noConversion"/>
  </si>
  <si>
    <t>mh</t>
    <phoneticPr fontId="4" type="noConversion"/>
  </si>
  <si>
    <t>姆促</t>
  </si>
  <si>
    <t>褌促</t>
  </si>
  <si>
    <t>鋼促</t>
  </si>
  <si>
    <t>ngh</t>
    <phoneticPr fontId="4" type="noConversion"/>
  </si>
  <si>
    <t>沽促</t>
  </si>
  <si>
    <t>牛促</t>
  </si>
  <si>
    <t>皆促</t>
  </si>
  <si>
    <t>ㄤ</t>
  </si>
  <si>
    <t>ㄞㆷ</t>
  </si>
  <si>
    <t>ㄠㆷ</t>
  </si>
  <si>
    <t>ㆤㆷ</t>
  </si>
  <si>
    <t>ㄧㆷ</t>
  </si>
  <si>
    <t>ㄧㄚㆷ</t>
  </si>
  <si>
    <t>ㄧㆩㆷ</t>
  </si>
  <si>
    <t>ㄧㄤ</t>
  </si>
  <si>
    <t>ㄧㄚㆻ</t>
  </si>
  <si>
    <t>ㄧㄠㆷ</t>
  </si>
  <si>
    <t>ㄧㄜㆷ</t>
  </si>
  <si>
    <t>ㄧㆫㆷ</t>
  </si>
  <si>
    <t>ㄜㆷ</t>
  </si>
  <si>
    <t>ㆧㆷ</t>
  </si>
  <si>
    <t>ㄨㆷ</t>
  </si>
  <si>
    <t>ㄨㄚㆷ</t>
  </si>
  <si>
    <t>ㄨㄤ</t>
  </si>
  <si>
    <t>ㄨㄞㆷ</t>
  </si>
  <si>
    <t>ㄨㆮㆷ</t>
  </si>
  <si>
    <t>ㄨㆤㆷ</t>
  </si>
  <si>
    <t>e</t>
    <phoneticPr fontId="24" type="noConversion"/>
  </si>
  <si>
    <t>ehⁿ</t>
    <phoneticPr fontId="24" type="noConversion"/>
  </si>
  <si>
    <t>iahⁿ</t>
    <phoneticPr fontId="24" type="noConversion"/>
  </si>
  <si>
    <t>iuhⁿ</t>
    <phoneticPr fontId="24" type="noConversion"/>
  </si>
  <si>
    <t>oⁿ</t>
    <phoneticPr fontId="24" type="noConversion"/>
  </si>
  <si>
    <t>閩拼調符編碼</t>
  </si>
  <si>
    <t>陰上</t>
  </si>
  <si>
    <t>陰上</t>
    <phoneticPr fontId="4" type="noConversion"/>
  </si>
  <si>
    <t>U+02EA</t>
  </si>
  <si>
    <t>U+02EB</t>
  </si>
  <si>
    <t>U+02D9</t>
  </si>
  <si>
    <t>漢字</t>
  </si>
  <si>
    <t>注音調符編碼</t>
  </si>
  <si>
    <t>ㄉㆲ</t>
  </si>
  <si>
    <t>ㄉㆲ˫</t>
  </si>
  <si>
    <t>ㄉㆲ˪</t>
  </si>
  <si>
    <t>ㄉㆲ̀</t>
  </si>
  <si>
    <t>ㄉㆲ́</t>
  </si>
  <si>
    <t>ㄉㆦㆻ</t>
  </si>
  <si>
    <t>ㄉㆦㆻ˙</t>
  </si>
  <si>
    <t>:</t>
    <phoneticPr fontId="4" type="noConversion"/>
  </si>
  <si>
    <t>台語注音</t>
  </si>
  <si>
    <t>ㄖ</t>
  </si>
  <si>
    <t>ㄙ</t>
  </si>
  <si>
    <t>ㄪ</t>
  </si>
  <si>
    <t>ㄘ</t>
  </si>
  <si>
    <t xml:space="preserve">⁰ㄫ </t>
  </si>
  <si>
    <t>ㄨㄉ</t>
  </si>
  <si>
    <t>ㄧㄚㄉ</t>
  </si>
  <si>
    <t>ㄧㄇ</t>
  </si>
  <si>
    <t>ㄧㄅ</t>
  </si>
  <si>
    <t>ㄝㄏ</t>
  </si>
  <si>
    <t>ㄚㄉ</t>
  </si>
  <si>
    <t>ㄛㄥ</t>
  </si>
  <si>
    <t>ㄛㄍ</t>
  </si>
  <si>
    <t>ㄨㄞㄏ</t>
  </si>
  <si>
    <t>ㄧㄍ</t>
  </si>
  <si>
    <t>ㄨㄚㄉ</t>
  </si>
  <si>
    <t>ㄛ</t>
  </si>
  <si>
    <t>ㄧㄠㄏ</t>
  </si>
  <si>
    <t>ㄧㄛㄥ</t>
  </si>
  <si>
    <t>ㄧㄛㄍ</t>
  </si>
  <si>
    <t>ㄜㄏ</t>
  </si>
  <si>
    <t>ㄧㄉ</t>
  </si>
  <si>
    <t>ㄧㄚㄍ</t>
  </si>
  <si>
    <t>ㄚㄇ</t>
  </si>
  <si>
    <t>ㄚㄅ</t>
  </si>
  <si>
    <t>ㄨㄚㄏ</t>
  </si>
  <si>
    <t>ㄚㄍ</t>
  </si>
  <si>
    <t>ㄧㄚㄇ</t>
  </si>
  <si>
    <t>ㄧㄚㄅ</t>
  </si>
  <si>
    <t>ㄠㄏ</t>
  </si>
  <si>
    <t>ㄧㄚㄏ</t>
  </si>
  <si>
    <t>ㄨㄝ</t>
  </si>
  <si>
    <t>ㄨㄝㄏ</t>
  </si>
  <si>
    <t>⁰ㄚ</t>
  </si>
  <si>
    <t>⁰ㄚㄏ</t>
  </si>
  <si>
    <t>ㄨㄏ</t>
  </si>
  <si>
    <t>ㄚㄏ</t>
  </si>
  <si>
    <t>ㄧㄏ</t>
  </si>
  <si>
    <t>⁰ㄝ</t>
  </si>
  <si>
    <t>⁰ㄝㄏ</t>
  </si>
  <si>
    <t>⁰ㄨㄧ</t>
  </si>
  <si>
    <t>ㄧㄜㄏ</t>
  </si>
  <si>
    <t>⁰ㄧ</t>
  </si>
  <si>
    <t>⁰ㄧㄏ</t>
  </si>
  <si>
    <t>⁰ㄧㄛ</t>
  </si>
  <si>
    <t>⁰ㄧㄚ</t>
  </si>
  <si>
    <t>⁰ㄨㄚ</t>
  </si>
  <si>
    <t>⁰ㄞ</t>
  </si>
  <si>
    <t>⁰ㄛ</t>
  </si>
  <si>
    <t>ㄨㄚㄍ</t>
  </si>
  <si>
    <t>⁰ㄨㄞ</t>
  </si>
  <si>
    <t>⁰ㄨㄞㄏ</t>
  </si>
  <si>
    <t>⁰ㄨㄝ</t>
  </si>
  <si>
    <t>⁰ㄧㄠ</t>
  </si>
  <si>
    <t>⁰ㄧㄠㄏ</t>
  </si>
  <si>
    <t>ㄛㄇ</t>
  </si>
  <si>
    <t>ㄛㄅ</t>
  </si>
  <si>
    <t>⁰ㄠ</t>
  </si>
  <si>
    <t>⁰ㄛㄏ</t>
  </si>
  <si>
    <t>⁰ㄧㆫ</t>
  </si>
  <si>
    <t xml:space="preserve">    - xform/o͘1/o͘/</t>
  </si>
  <si>
    <t>ó͘</t>
  </si>
  <si>
    <t xml:space="preserve">    - xform/o͘2/ó͘/</t>
  </si>
  <si>
    <t>ò͘</t>
  </si>
  <si>
    <t xml:space="preserve">    - xform/o͘3/ò͘/</t>
  </si>
  <si>
    <t xml:space="preserve">    - xform/o͘4/o͘/</t>
  </si>
  <si>
    <t>ǒ͘</t>
  </si>
  <si>
    <t xml:space="preserve">    - xform/o͘5/ǒ͘/</t>
  </si>
  <si>
    <t xml:space="preserve">    - xform/o͘6/ó͘/</t>
  </si>
  <si>
    <t>ō͘</t>
  </si>
  <si>
    <t xml:space="preserve">    - xform/o͘7/ō͘/</t>
  </si>
  <si>
    <t>o̍͘</t>
  </si>
  <si>
    <t xml:space="preserve">    - xform/o͘8/o̍͘/</t>
  </si>
  <si>
    <t>ő͘</t>
  </si>
  <si>
    <t xml:space="preserve">    - xform/o͘9/ő͘/</t>
  </si>
  <si>
    <t>o̊͘</t>
  </si>
  <si>
    <t xml:space="preserve">    - xform/o͘0/o̊͘/</t>
  </si>
  <si>
    <t>b</t>
    <phoneticPr fontId="4" type="noConversion"/>
  </si>
  <si>
    <t>p</t>
    <phoneticPr fontId="4" type="noConversion"/>
  </si>
  <si>
    <t>bb</t>
    <phoneticPr fontId="4" type="noConversion"/>
  </si>
  <si>
    <t>d</t>
    <phoneticPr fontId="4" type="noConversion"/>
  </si>
  <si>
    <t>t</t>
    <phoneticPr fontId="4" type="noConversion"/>
  </si>
  <si>
    <t>ln</t>
    <phoneticPr fontId="4" type="noConversion"/>
  </si>
  <si>
    <t>l</t>
    <phoneticPr fontId="4" type="noConversion"/>
  </si>
  <si>
    <t>g</t>
    <phoneticPr fontId="4" type="noConversion"/>
  </si>
  <si>
    <t>k</t>
    <phoneticPr fontId="4" type="noConversion"/>
  </si>
  <si>
    <t>gg</t>
    <phoneticPr fontId="4" type="noConversion"/>
  </si>
  <si>
    <t>h</t>
    <phoneticPr fontId="4" type="noConversion"/>
  </si>
  <si>
    <t>z</t>
    <phoneticPr fontId="4" type="noConversion"/>
  </si>
  <si>
    <t>c</t>
    <phoneticPr fontId="4" type="noConversion"/>
  </si>
  <si>
    <t>s</t>
    <phoneticPr fontId="4" type="noConversion"/>
  </si>
  <si>
    <t>zz</t>
    <phoneticPr fontId="4" type="noConversion"/>
  </si>
  <si>
    <t>jji</t>
    <phoneticPr fontId="4" type="noConversion"/>
  </si>
  <si>
    <t>ji</t>
    <phoneticPr fontId="4" type="noConversion"/>
  </si>
  <si>
    <t>chi</t>
    <phoneticPr fontId="4" type="noConversion"/>
  </si>
  <si>
    <t>shi</t>
    <phoneticPr fontId="4" type="noConversion"/>
  </si>
  <si>
    <t>ng</t>
    <phoneticPr fontId="4" type="noConversion"/>
  </si>
  <si>
    <t>s1</t>
    <phoneticPr fontId="4" type="noConversion"/>
  </si>
  <si>
    <t>s2</t>
    <phoneticPr fontId="4" type="noConversion"/>
  </si>
  <si>
    <t>ㄐ</t>
    <phoneticPr fontId="4" type="noConversion"/>
  </si>
  <si>
    <t>ㄑ</t>
    <phoneticPr fontId="4" type="noConversion"/>
  </si>
  <si>
    <t>ㄒ</t>
    <phoneticPr fontId="4" type="noConversion"/>
  </si>
  <si>
    <t>s3</t>
    <phoneticPr fontId="4" type="noConversion"/>
  </si>
  <si>
    <t>bbn</t>
    <phoneticPr fontId="4" type="noConversion"/>
  </si>
  <si>
    <t>ggn</t>
    <phoneticPr fontId="4" type="noConversion"/>
  </si>
  <si>
    <t>zzi</t>
    <phoneticPr fontId="4" type="noConversion"/>
  </si>
  <si>
    <t>zi</t>
    <phoneticPr fontId="4" type="noConversion"/>
  </si>
  <si>
    <t>ci</t>
    <phoneticPr fontId="4" type="noConversion"/>
  </si>
  <si>
    <t>si</t>
    <phoneticPr fontId="4" type="noConversion"/>
  </si>
  <si>
    <t>ㄝㆷ</t>
  </si>
  <si>
    <t>ㆪㆷ</t>
  </si>
  <si>
    <t>ㄧㆯㆷ</t>
  </si>
  <si>
    <t>◯</t>
  </si>
  <si>
    <t>iuh</t>
    <phoneticPr fontId="4" type="noConversion"/>
  </si>
  <si>
    <t>neh</t>
    <phoneticPr fontId="4" type="noConversion"/>
  </si>
  <si>
    <t>nuih</t>
    <phoneticPr fontId="4" type="noConversion"/>
  </si>
  <si>
    <t>nio</t>
    <phoneticPr fontId="4" type="noConversion"/>
  </si>
  <si>
    <t>nioh</t>
    <phoneticPr fontId="4" type="noConversion"/>
  </si>
  <si>
    <t>niah</t>
    <phoneticPr fontId="4" type="noConversion"/>
  </si>
  <si>
    <t>nuah</t>
    <phoneticPr fontId="4" type="noConversion"/>
  </si>
  <si>
    <t>naih</t>
    <phoneticPr fontId="4" type="noConversion"/>
  </si>
  <si>
    <t>oom</t>
    <phoneticPr fontId="4" type="noConversion"/>
  </si>
  <si>
    <t>oop</t>
    <phoneticPr fontId="4" type="noConversion"/>
  </si>
  <si>
    <t>no</t>
    <phoneticPr fontId="4" type="noConversion"/>
  </si>
  <si>
    <t>noh</t>
    <phoneticPr fontId="4" type="noConversion"/>
  </si>
  <si>
    <t>LEN()</t>
    <phoneticPr fontId="4" type="noConversion"/>
  </si>
  <si>
    <t>聲母</t>
    <phoneticPr fontId="4" type="noConversion"/>
  </si>
  <si>
    <t>韻母</t>
    <phoneticPr fontId="4" type="noConversion"/>
  </si>
  <si>
    <t>聲調</t>
    <phoneticPr fontId="4" type="noConversion"/>
  </si>
  <si>
    <t>¹</t>
  </si>
  <si>
    <t>⁶</t>
  </si>
  <si>
    <t>⁵</t>
  </si>
  <si>
    <t>³</t>
  </si>
  <si>
    <t>²</t>
  </si>
  <si>
    <t>⁷</t>
  </si>
  <si>
    <t>⁸</t>
  </si>
  <si>
    <t>IPA上標調號</t>
    <phoneticPr fontId="4" type="noConversion"/>
  </si>
  <si>
    <t>⁴</t>
  </si>
  <si>
    <t>閩拼上標調號</t>
    <phoneticPr fontId="4" type="noConversion"/>
  </si>
  <si>
    <t>aʊ</t>
    <phoneticPr fontId="4" type="noConversion"/>
  </si>
  <si>
    <t>ɪaʊ</t>
    <phoneticPr fontId="4" type="noConversion"/>
  </si>
  <si>
    <t>e</t>
    <phoneticPr fontId="4" type="noConversion"/>
  </si>
  <si>
    <t>ẽ</t>
    <phoneticPr fontId="4" type="noConversion"/>
  </si>
  <si>
    <t>eʔ</t>
    <phoneticPr fontId="4" type="noConversion"/>
  </si>
  <si>
    <t>ẽʔ</t>
    <phoneticPr fontId="4" type="noConversion"/>
  </si>
  <si>
    <t>i</t>
    <phoneticPr fontId="4" type="noConversion"/>
  </si>
  <si>
    <t>ĩ</t>
    <phoneticPr fontId="4" type="noConversion"/>
  </si>
  <si>
    <t>iʔ</t>
    <phoneticPr fontId="4" type="noConversion"/>
  </si>
  <si>
    <t>im</t>
    <phoneticPr fontId="4" type="noConversion"/>
  </si>
  <si>
    <t>in</t>
    <phoneticPr fontId="4" type="noConversion"/>
  </si>
  <si>
    <t>iŋ</t>
    <phoneticPr fontId="4" type="noConversion"/>
  </si>
  <si>
    <t>ip̚</t>
    <phoneticPr fontId="4" type="noConversion"/>
  </si>
  <si>
    <t>it̚</t>
    <phoneticPr fontId="4" type="noConversion"/>
  </si>
  <si>
    <t>ɪɔ̃</t>
    <phoneticPr fontId="4" type="noConversion"/>
  </si>
  <si>
    <t>ɪɔŋ</t>
    <phoneticPr fontId="4" type="noConversion"/>
  </si>
  <si>
    <t>ɪɔk̚</t>
    <phoneticPr fontId="4" type="noConversion"/>
  </si>
  <si>
    <t>ɔ</t>
    <phoneticPr fontId="4" type="noConversion"/>
  </si>
  <si>
    <t>ɔ̃</t>
    <phoneticPr fontId="4" type="noConversion"/>
  </si>
  <si>
    <t>ɔʔ</t>
    <phoneticPr fontId="4" type="noConversion"/>
  </si>
  <si>
    <t>ɔ̃ʔ</t>
    <phoneticPr fontId="4" type="noConversion"/>
  </si>
  <si>
    <t>ɔm</t>
    <phoneticPr fontId="4" type="noConversion"/>
  </si>
  <si>
    <t>ɔŋ</t>
    <phoneticPr fontId="4" type="noConversion"/>
  </si>
  <si>
    <t>ɔp̚</t>
    <phoneticPr fontId="4" type="noConversion"/>
  </si>
  <si>
    <t>ɔk̚</t>
    <phoneticPr fontId="4" type="noConversion"/>
  </si>
  <si>
    <t>u</t>
    <phoneticPr fontId="4" type="noConversion"/>
  </si>
  <si>
    <t>uʔ</t>
    <phoneticPr fontId="4" type="noConversion"/>
  </si>
  <si>
    <t>un</t>
    <phoneticPr fontId="4" type="noConversion"/>
  </si>
  <si>
    <t>ut̚</t>
    <phoneticPr fontId="4" type="noConversion"/>
  </si>
  <si>
    <t>ue</t>
    <phoneticPr fontId="4" type="noConversion"/>
  </si>
  <si>
    <t>ueʔ</t>
    <phoneticPr fontId="4" type="noConversion"/>
  </si>
  <si>
    <t>ui</t>
    <phoneticPr fontId="4" type="noConversion"/>
  </si>
  <si>
    <t>uĩ</t>
    <phoneticPr fontId="4" type="noConversion"/>
  </si>
  <si>
    <t>uiʔ</t>
    <phoneticPr fontId="4" type="noConversion"/>
  </si>
  <si>
    <t>m̩</t>
    <phoneticPr fontId="4" type="noConversion"/>
  </si>
  <si>
    <t>a</t>
    <phoneticPr fontId="4" type="noConversion"/>
  </si>
  <si>
    <t>ã</t>
    <phoneticPr fontId="4" type="noConversion"/>
  </si>
  <si>
    <t>aʔ</t>
    <phoneticPr fontId="4" type="noConversion"/>
  </si>
  <si>
    <t>ãʔ</t>
    <phoneticPr fontId="4" type="noConversion"/>
  </si>
  <si>
    <t>am</t>
    <phoneticPr fontId="4" type="noConversion"/>
  </si>
  <si>
    <t>an</t>
    <phoneticPr fontId="4" type="noConversion"/>
  </si>
  <si>
    <t>aŋ</t>
    <phoneticPr fontId="4" type="noConversion"/>
  </si>
  <si>
    <t>aɪ</t>
    <phoneticPr fontId="4" type="noConversion"/>
  </si>
  <si>
    <t>ãɪ</t>
    <phoneticPr fontId="4" type="noConversion"/>
  </si>
  <si>
    <t>aɪʔ</t>
    <phoneticPr fontId="4" type="noConversion"/>
  </si>
  <si>
    <t>auʔ</t>
    <phoneticPr fontId="4" type="noConversion"/>
  </si>
  <si>
    <t>ɪa</t>
    <phoneticPr fontId="4" type="noConversion"/>
  </si>
  <si>
    <t>ɪam</t>
    <phoneticPr fontId="4" type="noConversion"/>
  </si>
  <si>
    <t>ɪaŋ</t>
    <phoneticPr fontId="4" type="noConversion"/>
  </si>
  <si>
    <t>ɪap̚</t>
    <phoneticPr fontId="4" type="noConversion"/>
  </si>
  <si>
    <t>ɪak̚</t>
    <phoneticPr fontId="4" type="noConversion"/>
  </si>
  <si>
    <t>ua</t>
    <phoneticPr fontId="4" type="noConversion"/>
  </si>
  <si>
    <t>uã</t>
    <phoneticPr fontId="4" type="noConversion"/>
  </si>
  <si>
    <t>uaʔ</t>
    <phoneticPr fontId="4" type="noConversion"/>
  </si>
  <si>
    <t>uan</t>
    <phoneticPr fontId="4" type="noConversion"/>
  </si>
  <si>
    <t>uaŋ</t>
    <phoneticPr fontId="4" type="noConversion"/>
  </si>
  <si>
    <t>uat̚</t>
    <phoneticPr fontId="4" type="noConversion"/>
  </si>
  <si>
    <t>uai</t>
    <phoneticPr fontId="4" type="noConversion"/>
  </si>
  <si>
    <t>uãi</t>
    <phoneticPr fontId="4" type="noConversion"/>
  </si>
  <si>
    <t>uaiʔ</t>
    <phoneticPr fontId="4" type="noConversion"/>
  </si>
  <si>
    <t>uãiʔ</t>
    <phoneticPr fontId="4" type="noConversion"/>
  </si>
  <si>
    <t>ãi</t>
  </si>
  <si>
    <t>uẽ</t>
  </si>
  <si>
    <t>uẽʔ</t>
  </si>
  <si>
    <t>iãu</t>
  </si>
  <si>
    <t>iãuʔ</t>
  </si>
  <si>
    <t>ãu</t>
  </si>
  <si>
    <t>ɛ</t>
    <phoneticPr fontId="4" type="noConversion"/>
  </si>
  <si>
    <t>uĩ</t>
    <phoneticPr fontId="4" type="noConversion"/>
  </si>
  <si>
    <t>ĩ</t>
    <phoneticPr fontId="4" type="noConversion"/>
  </si>
  <si>
    <t>ĩʔ</t>
    <phoneticPr fontId="4" type="noConversion"/>
  </si>
  <si>
    <t>iɔ̃</t>
    <phoneticPr fontId="4" type="noConversion"/>
  </si>
  <si>
    <t>iã</t>
    <phoneticPr fontId="4" type="noConversion"/>
  </si>
  <si>
    <t>uã</t>
    <phoneticPr fontId="4" type="noConversion"/>
  </si>
  <si>
    <t>ŋ̍</t>
    <phoneticPr fontId="4" type="noConversion"/>
  </si>
  <si>
    <t>eʔ</t>
    <phoneticPr fontId="4" type="noConversion"/>
  </si>
  <si>
    <t>ãi</t>
    <phoneticPr fontId="4" type="noConversion"/>
  </si>
  <si>
    <t>m̩</t>
    <phoneticPr fontId="4" type="noConversion"/>
  </si>
  <si>
    <t>uaŋ</t>
    <phoneticPr fontId="4" type="noConversion"/>
  </si>
  <si>
    <t>uak̚</t>
    <phoneticPr fontId="4" type="noConversion"/>
  </si>
  <si>
    <t>uãi</t>
    <phoneticPr fontId="4" type="noConversion"/>
  </si>
  <si>
    <t>uãiʔ</t>
    <phoneticPr fontId="4" type="noConversion"/>
  </si>
  <si>
    <t>uẽ</t>
    <phoneticPr fontId="4" type="noConversion"/>
  </si>
  <si>
    <t>iãu</t>
    <phoneticPr fontId="4" type="noConversion"/>
  </si>
  <si>
    <t>iãuʔ</t>
    <phoneticPr fontId="4" type="noConversion"/>
  </si>
  <si>
    <t>ɔm</t>
    <phoneticPr fontId="4" type="noConversion"/>
  </si>
  <si>
    <t>ãu</t>
    <phoneticPr fontId="4" type="noConversion"/>
  </si>
  <si>
    <t>iũ</t>
    <phoneticPr fontId="4" type="noConversion"/>
  </si>
  <si>
    <t>ik̚</t>
    <phoneticPr fontId="4" type="noConversion"/>
  </si>
  <si>
    <t>ɪan</t>
    <phoneticPr fontId="4" type="noConversion"/>
  </si>
  <si>
    <t>ɪat̚</t>
    <phoneticPr fontId="4" type="noConversion"/>
  </si>
  <si>
    <t>ə</t>
    <phoneticPr fontId="4" type="noConversion"/>
  </si>
  <si>
    <t>əʔ</t>
    <phoneticPr fontId="4" type="noConversion"/>
  </si>
  <si>
    <t>ɪə</t>
    <phoneticPr fontId="4" type="noConversion"/>
  </si>
  <si>
    <t>ɪəʔ</t>
    <phoneticPr fontId="4" type="noConversion"/>
  </si>
  <si>
    <t>ɛ</t>
    <phoneticPr fontId="4" type="noConversion"/>
  </si>
  <si>
    <t>ee</t>
    <phoneticPr fontId="4" type="noConversion"/>
  </si>
  <si>
    <t>eeh</t>
    <phoneticPr fontId="4" type="noConversion"/>
  </si>
  <si>
    <t>eng</t>
    <phoneticPr fontId="4" type="noConversion"/>
  </si>
  <si>
    <t>ek</t>
    <phoneticPr fontId="4" type="noConversion"/>
  </si>
  <si>
    <t>嘉舒</t>
    <phoneticPr fontId="4" type="noConversion"/>
  </si>
  <si>
    <t>嘉促</t>
    <phoneticPr fontId="4" type="noConversion"/>
  </si>
  <si>
    <t>經舒</t>
    <phoneticPr fontId="4" type="noConversion"/>
  </si>
  <si>
    <t>經促</t>
    <phoneticPr fontId="4" type="noConversion"/>
  </si>
  <si>
    <t>ㄝ</t>
    <phoneticPr fontId="4" type="noConversion"/>
  </si>
  <si>
    <t>ㄠㆷ</t>
    <phoneticPr fontId="4" type="noConversion"/>
  </si>
  <si>
    <t>ㄝㆷ</t>
    <phoneticPr fontId="4" type="noConversion"/>
  </si>
  <si>
    <t>ㄝㆭ</t>
    <phoneticPr fontId="4" type="noConversion"/>
  </si>
  <si>
    <t>ㄚㆻ</t>
    <phoneticPr fontId="4" type="noConversion"/>
  </si>
  <si>
    <t>ㄝㆻ</t>
    <phoneticPr fontId="4" type="noConversion"/>
  </si>
  <si>
    <t>台語注音</t>
    <phoneticPr fontId="4" type="noConversion"/>
  </si>
  <si>
    <r>
      <rPr>
        <sz val="18"/>
        <color rgb="FF000000"/>
        <rFont val="Noto Sans TC"/>
        <family val="2"/>
        <charset val="136"/>
      </rPr>
      <t>ㄞ</t>
    </r>
    <r>
      <rPr>
        <sz val="18"/>
        <color rgb="FF000000"/>
        <rFont val="Microsoft JhengHei"/>
        <family val="2"/>
      </rPr>
      <t>ㄏ</t>
    </r>
    <phoneticPr fontId="4" type="noConversion"/>
  </si>
  <si>
    <t>ㄝㄥ</t>
    <phoneticPr fontId="4" type="noConversion"/>
  </si>
  <si>
    <t>ㄝㄍ</t>
    <phoneticPr fontId="4" type="noConversion"/>
  </si>
  <si>
    <t>ㄏ</t>
    <phoneticPr fontId="4" type="noConversion"/>
  </si>
  <si>
    <t>⁰</t>
    <phoneticPr fontId="4" type="noConversion"/>
  </si>
  <si>
    <t>⁰ㄧㄚㄏ</t>
  </si>
  <si>
    <t>⁰ㄧㄨ</t>
  </si>
  <si>
    <t>⁰ㄧㄨㄏ</t>
  </si>
  <si>
    <t>ㄛㄏ</t>
  </si>
  <si>
    <t>ㄨㄧㄏ</t>
  </si>
  <si>
    <t>ㄇㄏ</t>
  </si>
  <si>
    <t>ㄥㄏ</t>
  </si>
  <si>
    <t>ãʔ</t>
  </si>
  <si>
    <t>ãɪ</t>
  </si>
  <si>
    <t>ik̚</t>
  </si>
  <si>
    <t>ɪã</t>
  </si>
  <si>
    <t>ɪãʔ</t>
  </si>
  <si>
    <t>ɪãʊ</t>
  </si>
  <si>
    <t>ɪə</t>
  </si>
  <si>
    <t>ɪəʔ</t>
  </si>
  <si>
    <t>ɪu</t>
  </si>
  <si>
    <t>ɪũ</t>
  </si>
  <si>
    <t>ɪũʔ</t>
  </si>
  <si>
    <t>ə</t>
  </si>
  <si>
    <t>əʔ</t>
  </si>
  <si>
    <t>uã</t>
  </si>
  <si>
    <t>uãi</t>
  </si>
  <si>
    <t>uãiʔ</t>
  </si>
  <si>
    <t>響度優先次第： a &gt; oo &gt; (e = o) &gt; (i = u)〈低元音 &gt; 高元音 &gt; 無擦通音 &gt; 擦音 &gt; 塞音〉</t>
    <phoneticPr fontId="4" type="noConversion"/>
  </si>
  <si>
    <t>聲母</t>
  </si>
  <si>
    <t>聲調</t>
  </si>
  <si>
    <t>【閩拼方案】</t>
    <phoneticPr fontId="4" type="noConversion"/>
  </si>
  <si>
    <t>十五音識別碼</t>
    <phoneticPr fontId="4" type="noConversion"/>
  </si>
  <si>
    <t>漢字例</t>
    <phoneticPr fontId="4" type="noConversion"/>
  </si>
  <si>
    <t>jj</t>
    <phoneticPr fontId="4" type="noConversion"/>
  </si>
  <si>
    <t>j</t>
    <phoneticPr fontId="4" type="noConversion"/>
  </si>
  <si>
    <t>ch</t>
    <phoneticPr fontId="4" type="noConversion"/>
  </si>
  <si>
    <t>sh</t>
    <phoneticPr fontId="4" type="noConversion"/>
  </si>
  <si>
    <t>了</t>
    <phoneticPr fontId="4" type="noConversion"/>
  </si>
  <si>
    <t>門</t>
    <phoneticPr fontId="4" type="noConversion"/>
  </si>
  <si>
    <t>仞</t>
    <phoneticPr fontId="4" type="noConversion"/>
  </si>
  <si>
    <t>羌</t>
    <phoneticPr fontId="4" type="noConversion"/>
  </si>
  <si>
    <t>liao3</t>
    <phoneticPr fontId="4" type="noConversion"/>
  </si>
  <si>
    <t>bbng2</t>
    <phoneticPr fontId="4" type="noConversion"/>
  </si>
  <si>
    <t>gniu1</t>
    <phoneticPr fontId="4" type="noConversion"/>
  </si>
  <si>
    <t>楊</t>
    <phoneticPr fontId="4" type="noConversion"/>
  </si>
  <si>
    <t>柳</t>
    <phoneticPr fontId="4" type="noConversion"/>
  </si>
  <si>
    <t>liu3</t>
    <phoneticPr fontId="4" type="noConversion"/>
  </si>
  <si>
    <t>ynu2</t>
    <phoneticPr fontId="4" type="noConversion"/>
  </si>
  <si>
    <t>niu</t>
    <phoneticPr fontId="4" type="noConversion"/>
  </si>
  <si>
    <t>y</t>
    <phoneticPr fontId="4" type="noConversion"/>
  </si>
  <si>
    <t>iu</t>
    <phoneticPr fontId="4" type="noConversion"/>
  </si>
  <si>
    <t>zzim6</t>
    <phoneticPr fontId="4" type="noConversion"/>
  </si>
  <si>
    <t>黄</t>
    <phoneticPr fontId="4" type="noConversion"/>
  </si>
  <si>
    <t>河</t>
    <phoneticPr fontId="4" type="noConversion"/>
  </si>
  <si>
    <t>遠</t>
    <phoneticPr fontId="4" type="noConversion"/>
  </si>
  <si>
    <t>上</t>
    <phoneticPr fontId="4" type="noConversion"/>
  </si>
  <si>
    <t>白</t>
    <phoneticPr fontId="4" type="noConversion"/>
  </si>
  <si>
    <t>雲</t>
    <phoneticPr fontId="4" type="noConversion"/>
  </si>
  <si>
    <t>間</t>
    <phoneticPr fontId="4" type="noConversion"/>
  </si>
  <si>
    <t>片</t>
    <phoneticPr fontId="4" type="noConversion"/>
  </si>
  <si>
    <t>孤</t>
    <phoneticPr fontId="4" type="noConversion"/>
  </si>
  <si>
    <t>城</t>
    <phoneticPr fontId="4" type="noConversion"/>
  </si>
  <si>
    <t>萬</t>
    <phoneticPr fontId="4" type="noConversion"/>
  </si>
  <si>
    <t>山</t>
    <phoneticPr fontId="4" type="noConversion"/>
  </si>
  <si>
    <t>。</t>
    <phoneticPr fontId="4" type="noConversion"/>
  </si>
  <si>
    <t>，</t>
    <phoneticPr fontId="4" type="noConversion"/>
  </si>
  <si>
    <t>笛</t>
    <phoneticPr fontId="4" type="noConversion"/>
  </si>
  <si>
    <t>何</t>
    <phoneticPr fontId="4" type="noConversion"/>
  </si>
  <si>
    <t>須</t>
    <phoneticPr fontId="4" type="noConversion"/>
  </si>
  <si>
    <t>怨</t>
    <phoneticPr fontId="4" type="noConversion"/>
  </si>
  <si>
    <t>春</t>
    <phoneticPr fontId="4" type="noConversion"/>
  </si>
  <si>
    <t>風</t>
    <phoneticPr fontId="4" type="noConversion"/>
  </si>
  <si>
    <t>不</t>
    <phoneticPr fontId="4" type="noConversion"/>
  </si>
  <si>
    <t>度</t>
    <phoneticPr fontId="4" type="noConversion"/>
  </si>
  <si>
    <t>玉</t>
    <phoneticPr fontId="4" type="noConversion"/>
  </si>
  <si>
    <t>關</t>
    <phoneticPr fontId="4" type="noConversion"/>
  </si>
  <si>
    <t>hong5</t>
    <phoneticPr fontId="4" type="noConversion"/>
  </si>
  <si>
    <t>hong2</t>
    <phoneticPr fontId="4" type="noConversion"/>
  </si>
  <si>
    <t>ho2</t>
    <phoneticPr fontId="4" type="noConversion"/>
  </si>
  <si>
    <t>wan3</t>
    <phoneticPr fontId="4" type="noConversion"/>
  </si>
  <si>
    <t>siong3</t>
    <phoneticPr fontId="4" type="noConversion"/>
  </si>
  <si>
    <t>bik8</t>
    <phoneticPr fontId="4" type="noConversion"/>
  </si>
  <si>
    <t>hun2</t>
    <phoneticPr fontId="4" type="noConversion"/>
  </si>
  <si>
    <t>ging1</t>
    <phoneticPr fontId="4" type="noConversion"/>
  </si>
  <si>
    <t>yit7</t>
    <phoneticPr fontId="4" type="noConversion"/>
  </si>
  <si>
    <t>pian5</t>
    <phoneticPr fontId="4" type="noConversion"/>
  </si>
  <si>
    <t>goo1</t>
    <phoneticPr fontId="4" type="noConversion"/>
  </si>
  <si>
    <t>sing2</t>
    <phoneticPr fontId="4" type="noConversion"/>
  </si>
  <si>
    <t>bban3</t>
    <phoneticPr fontId="4" type="noConversion"/>
  </si>
  <si>
    <t>san1</t>
    <phoneticPr fontId="4" type="noConversion"/>
  </si>
  <si>
    <t>dik8</t>
    <phoneticPr fontId="4" type="noConversion"/>
  </si>
  <si>
    <t>su1</t>
    <phoneticPr fontId="4" type="noConversion"/>
  </si>
  <si>
    <t>cun1</t>
    <phoneticPr fontId="4" type="noConversion"/>
  </si>
  <si>
    <t>hong1</t>
    <phoneticPr fontId="4" type="noConversion"/>
  </si>
  <si>
    <t>but7</t>
    <phoneticPr fontId="4" type="noConversion"/>
  </si>
  <si>
    <t>doo6</t>
    <phoneticPr fontId="4" type="noConversion"/>
  </si>
  <si>
    <t>ggiok8</t>
    <phoneticPr fontId="4" type="noConversion"/>
  </si>
  <si>
    <t>guan1</t>
    <phoneticPr fontId="4" type="noConversion"/>
  </si>
  <si>
    <t>w</t>
    <phoneticPr fontId="4" type="noConversion"/>
  </si>
  <si>
    <t>ho5</t>
    <phoneticPr fontId="4" type="noConversion"/>
  </si>
  <si>
    <t>uan2</t>
    <phoneticPr fontId="4" type="noConversion"/>
  </si>
  <si>
    <t>shiong2</t>
    <phoneticPr fontId="4" type="noConversion"/>
  </si>
  <si>
    <t>biek8</t>
    <phoneticPr fontId="4" type="noConversion"/>
  </si>
  <si>
    <t>hun5</t>
    <phoneticPr fontId="4" type="noConversion"/>
  </si>
  <si>
    <t>it4</t>
    <phoneticPr fontId="4" type="noConversion"/>
  </si>
  <si>
    <t>doo7</t>
    <phoneticPr fontId="4" type="noConversion"/>
  </si>
  <si>
    <t>hor5</t>
    <phoneticPr fontId="4" type="noConversion"/>
  </si>
  <si>
    <t>zzim7</t>
    <phoneticPr fontId="4" type="noConversion"/>
  </si>
  <si>
    <t>giunn1</t>
    <phoneticPr fontId="4" type="noConversion"/>
  </si>
  <si>
    <t>diek8</t>
    <phoneticPr fontId="4" type="noConversion"/>
  </si>
  <si>
    <t>iunn5</t>
    <phoneticPr fontId="4" type="noConversion"/>
  </si>
  <si>
    <t>liu2</t>
    <phoneticPr fontId="4" type="noConversion"/>
  </si>
  <si>
    <t>but4</t>
    <phoneticPr fontId="4" type="noConversion"/>
  </si>
  <si>
    <t>iek</t>
    <phoneticPr fontId="4" type="noConversion"/>
  </si>
  <si>
    <t>ggiook8</t>
    <phoneticPr fontId="4" type="noConversion"/>
  </si>
  <si>
    <t>siong2</t>
    <phoneticPr fontId="4" type="noConversion"/>
  </si>
  <si>
    <t>pik8</t>
    <phoneticPr fontId="4" type="noConversion"/>
  </si>
  <si>
    <t>king1</t>
    <phoneticPr fontId="4" type="noConversion"/>
  </si>
  <si>
    <t>ph</t>
    <phoneticPr fontId="4" type="noConversion"/>
  </si>
  <si>
    <t>koo1</t>
    <phoneticPr fontId="4" type="noConversion"/>
  </si>
  <si>
    <t>jim7</t>
    <phoneticPr fontId="4" type="noConversion"/>
  </si>
  <si>
    <t>kiunn1</t>
    <phoneticPr fontId="4" type="noConversion"/>
  </si>
  <si>
    <t>tik8</t>
    <phoneticPr fontId="4" type="noConversion"/>
  </si>
  <si>
    <t>tshun1</t>
    <phoneticPr fontId="4" type="noConversion"/>
  </si>
  <si>
    <t>tsh</t>
    <phoneticPr fontId="4" type="noConversion"/>
  </si>
  <si>
    <t>put4</t>
    <phoneticPr fontId="4" type="noConversion"/>
  </si>
  <si>
    <t>too7</t>
    <phoneticPr fontId="4" type="noConversion"/>
  </si>
  <si>
    <t>giok8</t>
    <phoneticPr fontId="4" type="noConversion"/>
  </si>
  <si>
    <t>kuan1</t>
    <phoneticPr fontId="4" type="noConversion"/>
  </si>
  <si>
    <t>pian3</t>
    <phoneticPr fontId="4" type="noConversion"/>
  </si>
  <si>
    <t>sing5</t>
    <phoneticPr fontId="4" type="noConversion"/>
  </si>
  <si>
    <t>bban7</t>
    <phoneticPr fontId="4" type="noConversion"/>
  </si>
  <si>
    <t>phian3</t>
    <phoneticPr fontId="4" type="noConversion"/>
  </si>
  <si>
    <t>ban7</t>
    <phoneticPr fontId="4" type="noConversion"/>
  </si>
  <si>
    <t>uan3</t>
    <phoneticPr fontId="4" type="noConversion"/>
  </si>
  <si>
    <t>wan5</t>
    <phoneticPr fontId="4" type="noConversion"/>
  </si>
  <si>
    <t>pek8</t>
    <phoneticPr fontId="4" type="noConversion"/>
  </si>
  <si>
    <t>oan2</t>
    <phoneticPr fontId="4" type="noConversion"/>
  </si>
  <si>
    <t>keng1</t>
    <phoneticPr fontId="4" type="noConversion"/>
  </si>
  <si>
    <t>seng5</t>
    <phoneticPr fontId="4" type="noConversion"/>
  </si>
  <si>
    <t>aiⁿ</t>
    <phoneticPr fontId="4" type="noConversion"/>
  </si>
  <si>
    <t>kiuⁿ1</t>
  </si>
  <si>
    <t>iuⁿ5</t>
  </si>
  <si>
    <r>
      <t>o</t>
    </r>
    <r>
      <rPr>
        <sz val="16"/>
        <color theme="1"/>
        <rFont val="Arial"/>
        <family val="2"/>
        <charset val="254"/>
      </rPr>
      <t>͘</t>
    </r>
    <phoneticPr fontId="4" type="noConversion"/>
  </si>
  <si>
    <t>tek8</t>
    <phoneticPr fontId="4" type="noConversion"/>
  </si>
  <si>
    <t>oan</t>
    <phoneticPr fontId="4" type="noConversion"/>
  </si>
  <si>
    <t>chhun1</t>
    <phoneticPr fontId="4" type="noConversion"/>
  </si>
  <si>
    <t>chh</t>
    <phoneticPr fontId="4" type="noConversion"/>
  </si>
  <si>
    <t>mng5</t>
    <phoneticPr fontId="4" type="noConversion"/>
  </si>
  <si>
    <t>koan1</t>
    <phoneticPr fontId="4" type="noConversion"/>
  </si>
  <si>
    <t>Ø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</si>
</sst>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5">
    <font>
      <sz val="16"/>
      <color theme="1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6"/>
      <color theme="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9"/>
      <name val="Noto Sans TC Medium"/>
      <family val="2"/>
      <charset val="136"/>
    </font>
    <font>
      <sz val="24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24"/>
      <color theme="1"/>
      <name val="吳守禮細明台語破音02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theme="1"/>
      <name val="吳守禮細明台語破音04"/>
      <family val="1"/>
      <charset val="136"/>
    </font>
    <font>
      <sz val="24"/>
      <color theme="1"/>
      <name val="吳守禮細明台語破音05"/>
      <family val="1"/>
      <charset val="136"/>
    </font>
    <font>
      <sz val="24"/>
      <color theme="1"/>
      <name val="吳守禮細明台語破音06"/>
      <family val="1"/>
      <charset val="136"/>
    </font>
    <font>
      <sz val="24"/>
      <color rgb="FFFF0000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2"/>
      <family val="1"/>
      <charset val="136"/>
    </font>
    <font>
      <sz val="24"/>
      <color rgb="FFFF0000"/>
      <name val="吳守禮細明台語破音01"/>
      <family val="1"/>
      <charset val="136"/>
    </font>
    <font>
      <sz val="24"/>
      <color rgb="FFFF0000"/>
      <name val="吳守禮細明台語破音04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rgb="FFFF0000"/>
      <name val="Noto Sans TC Medium"/>
      <family val="2"/>
    </font>
    <font>
      <sz val="16"/>
      <color theme="1"/>
      <name val="Noto Sans TC"/>
      <family val="2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8"/>
      <color theme="1"/>
      <name val="Noto Sans TC"/>
      <family val="2"/>
    </font>
    <font>
      <sz val="16"/>
      <color theme="1"/>
      <name val="Noto Serif TC Black"/>
      <family val="1"/>
      <charset val="136"/>
    </font>
    <font>
      <sz val="10"/>
      <color rgb="FF000000"/>
      <name val="Linux Libertine G"/>
      <family val="2"/>
    </font>
    <font>
      <sz val="24"/>
      <name val="Arial"/>
      <family val="2"/>
    </font>
    <font>
      <sz val="36"/>
      <color rgb="FFFF0000"/>
      <name val="Noto Serif TC Medium"/>
      <family val="1"/>
      <charset val="136"/>
    </font>
    <font>
      <b/>
      <sz val="24"/>
      <color rgb="FFFF0000"/>
      <name val="Arial"/>
      <family val="2"/>
    </font>
    <font>
      <b/>
      <sz val="24"/>
      <color rgb="FF0070C0"/>
      <name val="Arial"/>
      <family val="2"/>
    </font>
    <font>
      <b/>
      <sz val="28"/>
      <color rgb="FF0070C0"/>
      <name val="霞鶩文楷等寬 TC"/>
      <family val="3"/>
      <charset val="136"/>
    </font>
    <font>
      <b/>
      <sz val="24"/>
      <color rgb="FF0070C0"/>
      <name val="字咍源雲明體 台羅方音 L"/>
      <family val="1"/>
      <charset val="136"/>
    </font>
    <font>
      <sz val="24"/>
      <color rgb="FF0070C0"/>
      <name val="字咍源雲明體 台羅方音 L"/>
      <family val="1"/>
      <charset val="136"/>
    </font>
    <font>
      <sz val="24"/>
      <color theme="5" tint="-0.249977111117893"/>
      <name val="Arial"/>
      <family val="2"/>
    </font>
    <font>
      <sz val="24"/>
      <color theme="5" tint="-0.249977111117893"/>
      <name val="霞鶩文楷等寬 TC"/>
      <family val="3"/>
      <charset val="136"/>
    </font>
    <font>
      <b/>
      <sz val="28"/>
      <color rgb="FF0070C0"/>
      <name val="Arial"/>
      <family val="2"/>
    </font>
    <font>
      <sz val="24"/>
      <color theme="5" tint="-0.249977111117893"/>
      <name val="Noto Sans TC"/>
      <family val="2"/>
      <charset val="136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1"/>
      <name val="Charis"/>
    </font>
    <font>
      <sz val="12"/>
      <color theme="1"/>
      <name val="Noto Sans TC SemiBold"/>
      <family val="2"/>
      <charset val="136"/>
    </font>
    <font>
      <b/>
      <sz val="18"/>
      <color rgb="FF000000"/>
      <name val="Noto Sans"/>
      <family val="2"/>
    </font>
    <font>
      <sz val="18"/>
      <color rgb="FF000000"/>
      <name val="Noto Sans"/>
      <family val="2"/>
    </font>
    <font>
      <sz val="18"/>
      <color rgb="FFFF0000"/>
      <name val="Noto Sans"/>
      <family val="2"/>
    </font>
    <font>
      <sz val="16"/>
      <color theme="1"/>
      <name val="Noto Sans TC SemiBold"/>
      <family val="2"/>
      <charset val="136"/>
    </font>
    <font>
      <b/>
      <sz val="18"/>
      <color rgb="FF000000"/>
      <name val="微軟正黑體"/>
      <family val="2"/>
      <charset val="136"/>
    </font>
    <font>
      <sz val="18"/>
      <color rgb="FFFF0000"/>
      <name val="霞鶩文楷等寬 TC Medium"/>
      <family val="3"/>
      <charset val="136"/>
    </font>
    <font>
      <sz val="18"/>
      <color rgb="FF000000"/>
      <name val="霞鶩文楷等寬 TC Medium"/>
      <family val="3"/>
      <charset val="136"/>
    </font>
    <font>
      <sz val="16"/>
      <color theme="3" tint="0.499984740745262"/>
      <name val="Noto Sans TC Medium"/>
      <family val="2"/>
      <charset val="136"/>
    </font>
    <font>
      <sz val="18"/>
      <color rgb="FFC00000"/>
      <name val="霞鶩文楷等寬 TC Medium"/>
      <family val="3"/>
      <charset val="136"/>
    </font>
    <font>
      <sz val="16"/>
      <color theme="1"/>
      <name val="Arial"/>
      <family val="2"/>
    </font>
    <font>
      <sz val="16"/>
      <color theme="1"/>
      <name val="Segoe UI"/>
      <family val="2"/>
      <charset val="1"/>
    </font>
    <font>
      <sz val="16"/>
      <color theme="1"/>
      <name val="Segoe UI"/>
      <family val="2"/>
    </font>
    <font>
      <b/>
      <sz val="18"/>
      <color rgb="FFFF0000"/>
      <name val="Noto Sans"/>
      <family val="2"/>
    </font>
    <font>
      <b/>
      <sz val="12"/>
      <color rgb="FF202122"/>
      <name val="Arial"/>
      <family val="2"/>
    </font>
    <font>
      <sz val="12"/>
      <color rgb="FF202122"/>
      <name val="Arial"/>
      <family val="2"/>
    </font>
    <font>
      <sz val="12"/>
      <color rgb="FF202122"/>
      <name val="Segoe UI"/>
      <family val="2"/>
    </font>
    <font>
      <b/>
      <sz val="18"/>
      <color rgb="FF202122"/>
      <name val="霞鶩文楷等寬 TC Medium"/>
      <family val="3"/>
      <charset val="136"/>
    </font>
    <font>
      <sz val="18"/>
      <color rgb="FF202122"/>
      <name val="Segoe UI"/>
      <family val="2"/>
    </font>
    <font>
      <b/>
      <sz val="12"/>
      <color rgb="FFFF0000"/>
      <name val="Arial"/>
      <family val="2"/>
    </font>
    <font>
      <sz val="18"/>
      <color rgb="FFFF0000"/>
      <name val="Segoe UI"/>
      <family val="2"/>
    </font>
    <font>
      <b/>
      <sz val="20"/>
      <color rgb="FF202122"/>
      <name val="Noto Serif TC Black"/>
      <family val="1"/>
      <charset val="136"/>
    </font>
    <font>
      <sz val="18"/>
      <color theme="1"/>
      <name val="Segoe UI"/>
      <family val="2"/>
    </font>
    <font>
      <sz val="18"/>
      <color theme="1"/>
      <name val="Noto Sans TC Medium"/>
      <family val="2"/>
      <charset val="136"/>
    </font>
    <font>
      <sz val="16"/>
      <color rgb="FFFF0000"/>
      <name val="Segoe UI"/>
      <family val="2"/>
    </font>
    <font>
      <sz val="16"/>
      <color theme="3" tint="0.249977111117893"/>
      <name val="Noto Sans TC Medium"/>
      <family val="2"/>
    </font>
    <font>
      <sz val="16"/>
      <color theme="3" tint="0.249977111117893"/>
      <name val="Noto Sans TC Medium"/>
      <family val="2"/>
      <charset val="136"/>
    </font>
    <font>
      <b/>
      <sz val="18"/>
      <color rgb="FFFF0000"/>
      <name val="Noto Sans TC Medium"/>
      <family val="2"/>
      <charset val="136"/>
    </font>
    <font>
      <sz val="24"/>
      <color theme="1"/>
      <name val="Noto Serif TC Medium"/>
      <family val="1"/>
      <charset val="136"/>
    </font>
    <font>
      <sz val="16"/>
      <color theme="1"/>
      <name val="新細明體"/>
      <family val="2"/>
      <charset val="136"/>
      <scheme val="minor"/>
    </font>
    <font>
      <b/>
      <sz val="11"/>
      <color rgb="FF000000"/>
      <name val="Noto Sans"/>
      <family val="2"/>
    </font>
    <font>
      <b/>
      <sz val="18"/>
      <color rgb="FF000000"/>
      <name val="Segoe UI"/>
      <family val="2"/>
    </font>
    <font>
      <sz val="10"/>
      <color theme="1"/>
      <name val="Segoe UI"/>
      <family val="2"/>
    </font>
    <font>
      <sz val="10"/>
      <color rgb="FFFF0000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sz val="12"/>
      <color theme="3" tint="0.499984740745262"/>
      <name val="Segoe UI"/>
      <family val="2"/>
    </font>
    <font>
      <sz val="18"/>
      <color rgb="FF000000"/>
      <name val="細明體"/>
      <family val="2"/>
      <charset val="136"/>
    </font>
    <font>
      <sz val="18"/>
      <color rgb="FFFF0000"/>
      <name val="微軟正黑體"/>
      <family val="2"/>
      <charset val="136"/>
    </font>
    <font>
      <b/>
      <sz val="18"/>
      <color rgb="FFFF0000"/>
      <name val="微軟正黑體"/>
      <family val="2"/>
      <charset val="136"/>
    </font>
    <font>
      <b/>
      <sz val="18"/>
      <color rgb="FFC00000"/>
      <name val="Noto Sans"/>
      <family val="2"/>
    </font>
    <font>
      <sz val="18"/>
      <color theme="8"/>
      <name val="Noto Sans"/>
      <family val="2"/>
    </font>
    <font>
      <sz val="18"/>
      <color rgb="FFFF0000"/>
      <name val="細明體"/>
      <family val="2"/>
      <charset val="136"/>
    </font>
    <font>
      <sz val="18"/>
      <color rgb="FFFF0000"/>
      <name val="Microsoft JhengHei"/>
      <family val="2"/>
    </font>
    <font>
      <sz val="18"/>
      <color rgb="FFFF0000"/>
      <name val="Microsoft JhengHei"/>
      <family val="2"/>
      <charset val="136"/>
    </font>
    <font>
      <sz val="18"/>
      <color rgb="FFFF0000"/>
      <name val="Noto Sans TC"/>
      <family val="2"/>
      <charset val="136"/>
    </font>
    <font>
      <sz val="22"/>
      <color theme="1"/>
      <name val="霞鶩文楷 TC Medium"/>
      <family val="1"/>
      <charset val="136"/>
    </font>
    <font>
      <sz val="20"/>
      <color theme="1"/>
      <name val="霞鶩文楷等寬 TC Medium"/>
      <family val="3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18"/>
      <color rgb="FFFF0000"/>
      <name val="Microsoft JhengHei UI"/>
      <family val="2"/>
    </font>
    <font>
      <sz val="18"/>
      <color rgb="FF000000"/>
      <name val="Noto Sans TC"/>
      <family val="2"/>
      <charset val="136"/>
    </font>
    <font>
      <sz val="18"/>
      <color rgb="FF000000"/>
      <name val="Microsoft JhengHei"/>
      <family val="2"/>
    </font>
    <font>
      <sz val="18"/>
      <color rgb="FFFF0000"/>
      <name val="細明體"/>
      <family val="1"/>
      <charset val="254"/>
    </font>
    <font>
      <sz val="12"/>
      <color theme="1"/>
      <name val="Cambria Math"/>
      <family val="1"/>
      <charset val="254"/>
    </font>
    <font>
      <b/>
      <sz val="16"/>
      <color theme="1"/>
      <name val="Noto Sans TC Medium"/>
      <family val="2"/>
      <charset val="136"/>
    </font>
    <font>
      <sz val="16"/>
      <color theme="4"/>
      <name val="Noto Sans TC Medium"/>
      <family val="2"/>
      <charset val="136"/>
    </font>
    <font>
      <sz val="16"/>
      <color theme="4"/>
      <name val="Noto Sans TC Medium"/>
      <family val="2"/>
    </font>
    <font>
      <sz val="16"/>
      <color theme="1"/>
      <name val="Charis SIL"/>
    </font>
    <font>
      <sz val="16"/>
      <color rgb="FFFF0000"/>
      <name val="Charis SIL"/>
    </font>
    <font>
      <sz val="16"/>
      <color theme="3" tint="0.499984740745262"/>
      <name val="Arial"/>
      <family val="2"/>
    </font>
    <font>
      <sz val="16"/>
      <color theme="1"/>
      <name val="Arial"/>
      <family val="2"/>
      <charset val="254"/>
    </font>
  </fonts>
  <fills count="1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8168889431442"/>
      </top>
      <bottom style="thin">
        <color theme="4" tint="0.79998168889431442"/>
      </bottom>
      <diagonal/>
    </border>
    <border>
      <left style="thin">
        <color theme="3" tint="0.749961851863155"/>
      </left>
      <right style="thin">
        <color theme="3" tint="0.749961851863155"/>
      </right>
      <top/>
      <bottom style="thin">
        <color theme="3" tint="0.749961851863155"/>
      </bottom>
      <diagonal/>
    </border>
    <border>
      <left/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8" fillId="0" borderId="0"/>
    <xf numFmtId="0" fontId="1" fillId="0" borderId="0">
      <alignment vertical="center"/>
    </xf>
  </cellStyleXfs>
  <cellXfs count="222">
    <xf numFmtId="0" fontId="0" fillId="0" borderId="0" xfId="0">
      <alignment vertical="center"/>
    </xf>
    <xf numFmtId="0" fontId="0" fillId="0" borderId="1" xfId="0" applyBorder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18" fillId="0" borderId="1" xfId="0" applyFont="1" applyBorder="1">
      <alignment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2" fillId="3" borderId="2" xfId="1" applyFont="1" applyFill="1" applyBorder="1" applyAlignment="1">
      <alignment horizontal="center" vertical="center"/>
    </xf>
    <xf numFmtId="0" fontId="22" fillId="3" borderId="3" xfId="1" applyFont="1" applyFill="1" applyBorder="1" applyAlignment="1">
      <alignment horizontal="center" vertical="center"/>
    </xf>
    <xf numFmtId="0" fontId="26" fillId="0" borderId="1" xfId="1" applyFont="1" applyBorder="1" applyAlignment="1">
      <alignment horizontal="center" vertical="center"/>
    </xf>
    <xf numFmtId="0" fontId="27" fillId="0" borderId="1" xfId="2" applyFont="1" applyBorder="1" applyAlignment="1">
      <alignment horizontal="center" vertical="center"/>
    </xf>
    <xf numFmtId="0" fontId="29" fillId="0" borderId="1" xfId="3" applyFont="1" applyBorder="1" applyAlignment="1">
      <alignment horizontal="center" vertical="center"/>
    </xf>
    <xf numFmtId="0" fontId="30" fillId="0" borderId="1" xfId="2" applyFont="1" applyBorder="1" applyAlignment="1">
      <alignment horizontal="center"/>
    </xf>
    <xf numFmtId="0" fontId="31" fillId="0" borderId="1" xfId="2" applyFont="1" applyBorder="1" applyAlignment="1">
      <alignment horizontal="left" indent="1"/>
    </xf>
    <xf numFmtId="0" fontId="32" fillId="0" borderId="1" xfId="3" applyFont="1" applyBorder="1" applyAlignment="1">
      <alignment horizontal="center" vertical="center"/>
    </xf>
    <xf numFmtId="0" fontId="33" fillId="0" borderId="1" xfId="3" applyFont="1" applyBorder="1" applyAlignment="1">
      <alignment horizontal="center" vertical="center"/>
    </xf>
    <xf numFmtId="0" fontId="34" fillId="0" borderId="1" xfId="2" applyFont="1" applyBorder="1" applyAlignment="1">
      <alignment horizontal="center"/>
    </xf>
    <xf numFmtId="0" fontId="35" fillId="0" borderId="1" xfId="2" applyFont="1" applyBorder="1" applyAlignment="1">
      <alignment horizontal="left" indent="1"/>
    </xf>
    <xf numFmtId="0" fontId="35" fillId="0" borderId="1" xfId="2" applyFont="1" applyBorder="1" applyAlignment="1">
      <alignment horizontal="center"/>
    </xf>
    <xf numFmtId="0" fontId="36" fillId="0" borderId="1" xfId="3" applyFont="1" applyBorder="1" applyAlignment="1">
      <alignment horizontal="center" vertical="center"/>
    </xf>
    <xf numFmtId="0" fontId="37" fillId="0" borderId="1" xfId="3" applyFont="1" applyBorder="1" applyAlignment="1">
      <alignment horizontal="left" vertical="center" indent="4"/>
    </xf>
    <xf numFmtId="0" fontId="26" fillId="4" borderId="1" xfId="1" applyFont="1" applyFill="1" applyBorder="1" applyAlignment="1">
      <alignment horizontal="center" vertical="center"/>
    </xf>
    <xf numFmtId="0" fontId="27" fillId="4" borderId="1" xfId="2" applyFont="1" applyFill="1" applyBorder="1" applyAlignment="1">
      <alignment horizontal="center" vertical="center"/>
    </xf>
    <xf numFmtId="0" fontId="29" fillId="4" borderId="1" xfId="3" applyFont="1" applyFill="1" applyBorder="1" applyAlignment="1">
      <alignment horizontal="center" vertical="center"/>
    </xf>
    <xf numFmtId="0" fontId="30" fillId="4" borderId="1" xfId="2" applyFont="1" applyFill="1" applyBorder="1" applyAlignment="1">
      <alignment horizontal="center"/>
    </xf>
    <xf numFmtId="0" fontId="31" fillId="4" borderId="1" xfId="2" applyFont="1" applyFill="1" applyBorder="1" applyAlignment="1">
      <alignment horizontal="left" indent="1"/>
    </xf>
    <xf numFmtId="0" fontId="32" fillId="4" borderId="1" xfId="3" applyFont="1" applyFill="1" applyBorder="1" applyAlignment="1">
      <alignment horizontal="center" vertical="center"/>
    </xf>
    <xf numFmtId="0" fontId="38" fillId="4" borderId="1" xfId="3" applyFont="1" applyFill="1" applyBorder="1" applyAlignment="1">
      <alignment horizontal="center" vertical="center"/>
    </xf>
    <xf numFmtId="0" fontId="34" fillId="4" borderId="1" xfId="2" applyFont="1" applyFill="1" applyBorder="1" applyAlignment="1">
      <alignment horizontal="center"/>
    </xf>
    <xf numFmtId="0" fontId="35" fillId="4" borderId="1" xfId="2" applyFont="1" applyFill="1" applyBorder="1" applyAlignment="1">
      <alignment horizontal="left" indent="1"/>
    </xf>
    <xf numFmtId="0" fontId="35" fillId="4" borderId="1" xfId="2" applyFont="1" applyFill="1" applyBorder="1" applyAlignment="1">
      <alignment horizontal="center"/>
    </xf>
    <xf numFmtId="0" fontId="36" fillId="4" borderId="1" xfId="3" applyFont="1" applyFill="1" applyBorder="1" applyAlignment="1">
      <alignment horizontal="center" vertical="center"/>
    </xf>
    <xf numFmtId="0" fontId="37" fillId="4" borderId="1" xfId="3" applyFont="1" applyFill="1" applyBorder="1" applyAlignment="1">
      <alignment horizontal="left" vertical="center" indent="4"/>
    </xf>
    <xf numFmtId="0" fontId="0" fillId="2" borderId="1" xfId="0" applyFill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43" fillId="0" borderId="0" xfId="4" applyFont="1">
      <alignment vertical="center"/>
    </xf>
    <xf numFmtId="0" fontId="1" fillId="0" borderId="0" xfId="4">
      <alignment vertical="center"/>
    </xf>
    <xf numFmtId="0" fontId="44" fillId="5" borderId="4" xfId="4" applyFont="1" applyFill="1" applyBorder="1" applyAlignment="1">
      <alignment horizontal="center" vertical="center" wrapText="1"/>
    </xf>
    <xf numFmtId="0" fontId="44" fillId="5" borderId="0" xfId="4" applyFont="1" applyFill="1" applyAlignment="1">
      <alignment horizontal="center" vertical="center" wrapText="1"/>
    </xf>
    <xf numFmtId="0" fontId="45" fillId="5" borderId="4" xfId="4" applyFont="1" applyFill="1" applyBorder="1" applyAlignment="1">
      <alignment horizontal="center" vertical="center" wrapText="1"/>
    </xf>
    <xf numFmtId="0" fontId="45" fillId="5" borderId="0" xfId="4" applyFont="1" applyFill="1" applyAlignment="1">
      <alignment horizontal="center" vertical="center" wrapText="1"/>
    </xf>
    <xf numFmtId="0" fontId="47" fillId="0" borderId="0" xfId="4" applyFont="1">
      <alignment vertical="center"/>
    </xf>
    <xf numFmtId="0" fontId="45" fillId="5" borderId="4" xfId="4" applyFont="1" applyFill="1" applyBorder="1" applyAlignment="1">
      <alignment horizontal="left" vertical="center" wrapText="1" indent="1"/>
    </xf>
    <xf numFmtId="0" fontId="48" fillId="5" borderId="4" xfId="4" applyFont="1" applyFill="1" applyBorder="1" applyAlignment="1">
      <alignment horizontal="center" vertical="center" wrapText="1"/>
    </xf>
    <xf numFmtId="0" fontId="49" fillId="5" borderId="4" xfId="4" applyFont="1" applyFill="1" applyBorder="1" applyAlignment="1">
      <alignment horizontal="left" vertical="center" wrapText="1" indent="1"/>
    </xf>
    <xf numFmtId="0" fontId="50" fillId="5" borderId="4" xfId="4" applyFont="1" applyFill="1" applyBorder="1" applyAlignment="1">
      <alignment horizontal="left" vertical="center" wrapText="1" indent="1"/>
    </xf>
    <xf numFmtId="0" fontId="50" fillId="6" borderId="4" xfId="4" applyFont="1" applyFill="1" applyBorder="1" applyAlignment="1">
      <alignment horizontal="left" vertical="center" wrapText="1" indent="1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8" xfId="0" applyBorder="1">
      <alignment vertical="center"/>
    </xf>
    <xf numFmtId="0" fontId="1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51" fillId="2" borderId="5" xfId="0" applyFont="1" applyFill="1" applyBorder="1">
      <alignment vertical="center"/>
    </xf>
    <xf numFmtId="0" fontId="51" fillId="2" borderId="6" xfId="0" applyFont="1" applyFill="1" applyBorder="1">
      <alignment vertical="center"/>
    </xf>
    <xf numFmtId="0" fontId="51" fillId="2" borderId="7" xfId="0" applyFont="1" applyFill="1" applyBorder="1">
      <alignment vertical="center"/>
    </xf>
    <xf numFmtId="0" fontId="52" fillId="5" borderId="4" xfId="4" applyFont="1" applyFill="1" applyBorder="1" applyAlignment="1">
      <alignment horizontal="left" vertical="center" wrapText="1" indent="1"/>
    </xf>
    <xf numFmtId="0" fontId="45" fillId="5" borderId="0" xfId="4" applyFont="1" applyFill="1" applyAlignment="1">
      <alignment horizontal="left" vertical="center" wrapText="1" indent="1"/>
    </xf>
    <xf numFmtId="0" fontId="46" fillId="7" borderId="4" xfId="4" applyFont="1" applyFill="1" applyBorder="1" applyAlignment="1">
      <alignment horizontal="left" vertical="center" wrapText="1" indent="1"/>
    </xf>
    <xf numFmtId="0" fontId="56" fillId="8" borderId="4" xfId="4" applyFont="1" applyFill="1" applyBorder="1" applyAlignment="1">
      <alignment horizontal="left" vertical="center" wrapText="1" indent="1"/>
    </xf>
    <xf numFmtId="0" fontId="57" fillId="10" borderId="11" xfId="0" applyFont="1" applyFill="1" applyBorder="1" applyAlignment="1">
      <alignment horizontal="center" vertical="center" wrapText="1"/>
    </xf>
    <xf numFmtId="0" fontId="59" fillId="9" borderId="11" xfId="0" applyFont="1" applyFill="1" applyBorder="1" applyAlignment="1">
      <alignment vertical="center" wrapText="1"/>
    </xf>
    <xf numFmtId="0" fontId="58" fillId="9" borderId="11" xfId="0" applyFont="1" applyFill="1" applyBorder="1" applyAlignment="1">
      <alignment vertical="center" wrapText="1"/>
    </xf>
    <xf numFmtId="0" fontId="57" fillId="10" borderId="11" xfId="0" applyFont="1" applyFill="1" applyBorder="1" applyAlignment="1">
      <alignment horizontal="left" vertical="center" wrapText="1"/>
    </xf>
    <xf numFmtId="0" fontId="57" fillId="0" borderId="0" xfId="0" applyFont="1" applyAlignment="1">
      <alignment horizontal="left" vertical="center" wrapText="1"/>
    </xf>
    <xf numFmtId="0" fontId="58" fillId="0" borderId="0" xfId="0" applyFont="1" applyAlignment="1">
      <alignment vertical="center" wrapText="1"/>
    </xf>
    <xf numFmtId="0" fontId="60" fillId="0" borderId="0" xfId="0" applyFont="1" applyAlignment="1">
      <alignment vertical="center" wrapText="1"/>
    </xf>
    <xf numFmtId="0" fontId="61" fillId="9" borderId="11" xfId="0" applyFont="1" applyFill="1" applyBorder="1" applyAlignment="1">
      <alignment vertical="center" wrapText="1"/>
    </xf>
    <xf numFmtId="0" fontId="53" fillId="0" borderId="0" xfId="0" applyFont="1">
      <alignment vertical="center"/>
    </xf>
    <xf numFmtId="0" fontId="3" fillId="0" borderId="0" xfId="0" applyFont="1">
      <alignment vertical="center"/>
    </xf>
    <xf numFmtId="0" fontId="62" fillId="10" borderId="11" xfId="0" applyFont="1" applyFill="1" applyBorder="1" applyAlignment="1">
      <alignment horizontal="left" vertical="center" wrapText="1"/>
    </xf>
    <xf numFmtId="0" fontId="63" fillId="9" borderId="11" xfId="0" applyFont="1" applyFill="1" applyBorder="1" applyAlignment="1">
      <alignment vertical="center" wrapText="1"/>
    </xf>
    <xf numFmtId="0" fontId="61" fillId="6" borderId="11" xfId="0" applyFont="1" applyFill="1" applyBorder="1" applyAlignment="1">
      <alignment vertical="center" wrapText="1"/>
    </xf>
    <xf numFmtId="0" fontId="64" fillId="10" borderId="11" xfId="0" applyFont="1" applyFill="1" applyBorder="1" applyAlignment="1">
      <alignment horizontal="center" vertical="center" wrapText="1"/>
    </xf>
    <xf numFmtId="0" fontId="55" fillId="0" borderId="1" xfId="0" applyFont="1" applyBorder="1">
      <alignment vertical="center"/>
    </xf>
    <xf numFmtId="0" fontId="55" fillId="0" borderId="9" xfId="0" applyFont="1" applyBorder="1">
      <alignment vertical="center"/>
    </xf>
    <xf numFmtId="0" fontId="65" fillId="0" borderId="1" xfId="0" applyFont="1" applyBorder="1">
      <alignment vertical="center"/>
    </xf>
    <xf numFmtId="0" fontId="65" fillId="0" borderId="9" xfId="0" applyFont="1" applyBorder="1">
      <alignment vertical="center"/>
    </xf>
    <xf numFmtId="0" fontId="55" fillId="6" borderId="1" xfId="0" applyFont="1" applyFill="1" applyBorder="1">
      <alignment vertical="center"/>
    </xf>
    <xf numFmtId="0" fontId="67" fillId="0" borderId="1" xfId="0" applyFont="1" applyBorder="1">
      <alignment vertical="center"/>
    </xf>
    <xf numFmtId="0" fontId="3" fillId="0" borderId="9" xfId="0" applyFont="1" applyBorder="1">
      <alignment vertical="center"/>
    </xf>
    <xf numFmtId="0" fontId="0" fillId="11" borderId="1" xfId="0" applyFill="1" applyBorder="1" applyAlignment="1">
      <alignment horizontal="center" vertical="center"/>
    </xf>
    <xf numFmtId="0" fontId="68" fillId="12" borderId="1" xfId="0" applyFont="1" applyFill="1" applyBorder="1">
      <alignment vertical="center"/>
    </xf>
    <xf numFmtId="0" fontId="69" fillId="12" borderId="1" xfId="0" applyFont="1" applyFill="1" applyBorder="1">
      <alignment vertical="center"/>
    </xf>
    <xf numFmtId="0" fontId="66" fillId="8" borderId="1" xfId="0" quotePrefix="1" applyFont="1" applyFill="1" applyBorder="1" applyAlignment="1">
      <alignment horizontal="center" vertical="center"/>
    </xf>
    <xf numFmtId="0" fontId="66" fillId="8" borderId="1" xfId="0" applyFont="1" applyFill="1" applyBorder="1" applyAlignment="1">
      <alignment horizontal="center" vertical="center"/>
    </xf>
    <xf numFmtId="0" fontId="70" fillId="8" borderId="1" xfId="0" quotePrefix="1" applyFont="1" applyFill="1" applyBorder="1" applyAlignment="1">
      <alignment horizontal="center" vertical="center"/>
    </xf>
    <xf numFmtId="0" fontId="70" fillId="8" borderId="1" xfId="0" applyFont="1" applyFill="1" applyBorder="1" applyAlignment="1">
      <alignment horizontal="center" vertical="center"/>
    </xf>
    <xf numFmtId="0" fontId="7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 indent="2"/>
    </xf>
    <xf numFmtId="0" fontId="0" fillId="0" borderId="1" xfId="0" applyBorder="1" applyAlignment="1">
      <alignment horizontal="left" vertical="center" indent="4"/>
    </xf>
    <xf numFmtId="0" fontId="0" fillId="0" borderId="1" xfId="0" quotePrefix="1" applyBorder="1" applyAlignment="1">
      <alignment horizontal="left" vertical="center" indent="4"/>
    </xf>
    <xf numFmtId="0" fontId="40" fillId="0" borderId="1" xfId="0" applyFont="1" applyBorder="1" applyAlignment="1">
      <alignment horizontal="center" vertical="center"/>
    </xf>
    <xf numFmtId="0" fontId="0" fillId="13" borderId="1" xfId="0" applyFill="1" applyBorder="1" applyAlignment="1">
      <alignment horizontal="left" vertical="center" indent="1"/>
    </xf>
    <xf numFmtId="0" fontId="0" fillId="13" borderId="1" xfId="0" applyFill="1" applyBorder="1" applyAlignment="1">
      <alignment horizontal="left" vertical="center" indent="2"/>
    </xf>
    <xf numFmtId="0" fontId="41" fillId="13" borderId="1" xfId="0" applyFont="1" applyFill="1" applyBorder="1" applyAlignment="1">
      <alignment horizontal="left" vertical="center" indent="2"/>
    </xf>
    <xf numFmtId="0" fontId="0" fillId="11" borderId="1" xfId="0" applyFill="1" applyBorder="1" applyAlignment="1">
      <alignment horizontal="left" vertical="center" indent="2"/>
    </xf>
    <xf numFmtId="0" fontId="40" fillId="11" borderId="1" xfId="0" applyFont="1" applyFill="1" applyBorder="1" applyAlignment="1">
      <alignment horizontal="left" vertical="center" indent="2"/>
    </xf>
    <xf numFmtId="0" fontId="68" fillId="12" borderId="1" xfId="0" applyFont="1" applyFill="1" applyBorder="1" applyAlignment="1">
      <alignment horizontal="left" vertical="center" indent="2"/>
    </xf>
    <xf numFmtId="0" fontId="69" fillId="12" borderId="1" xfId="0" applyFont="1" applyFill="1" applyBorder="1" applyAlignment="1">
      <alignment horizontal="left" vertical="center" indent="2"/>
    </xf>
    <xf numFmtId="0" fontId="0" fillId="13" borderId="1" xfId="0" applyFill="1" applyBorder="1" applyAlignment="1">
      <alignment horizontal="left" vertical="center" indent="4"/>
    </xf>
    <xf numFmtId="0" fontId="40" fillId="13" borderId="1" xfId="0" applyFont="1" applyFill="1" applyBorder="1" applyAlignment="1">
      <alignment horizontal="left" vertical="center" indent="4"/>
    </xf>
    <xf numFmtId="0" fontId="68" fillId="12" borderId="1" xfId="0" applyFont="1" applyFill="1" applyBorder="1" applyAlignment="1">
      <alignment horizontal="left" vertical="center" indent="4"/>
    </xf>
    <xf numFmtId="0" fontId="69" fillId="12" borderId="1" xfId="0" applyFont="1" applyFill="1" applyBorder="1" applyAlignment="1">
      <alignment horizontal="left" vertical="center" indent="4"/>
    </xf>
    <xf numFmtId="0" fontId="68" fillId="12" borderId="0" xfId="0" applyFont="1" applyFill="1">
      <alignment vertical="center"/>
    </xf>
    <xf numFmtId="0" fontId="55" fillId="0" borderId="0" xfId="4" applyFont="1">
      <alignment vertical="center"/>
    </xf>
    <xf numFmtId="0" fontId="72" fillId="0" borderId="0" xfId="4" applyFont="1">
      <alignment vertical="center"/>
    </xf>
    <xf numFmtId="0" fontId="1" fillId="0" borderId="0" xfId="4" applyAlignment="1">
      <alignment horizontal="center" vertical="center"/>
    </xf>
    <xf numFmtId="0" fontId="55" fillId="0" borderId="0" xfId="4" applyFont="1" applyAlignment="1">
      <alignment horizontal="center" vertical="center"/>
    </xf>
    <xf numFmtId="0" fontId="72" fillId="0" borderId="0" xfId="4" applyFont="1" applyAlignment="1">
      <alignment horizontal="left" vertical="center"/>
    </xf>
    <xf numFmtId="0" fontId="67" fillId="0" borderId="0" xfId="4" applyFont="1" applyAlignment="1">
      <alignment horizontal="center" vertical="center"/>
    </xf>
    <xf numFmtId="0" fontId="73" fillId="5" borderId="4" xfId="4" applyFont="1" applyFill="1" applyBorder="1" applyAlignment="1">
      <alignment horizontal="center" vertical="center" wrapText="1"/>
    </xf>
    <xf numFmtId="0" fontId="74" fillId="5" borderId="4" xfId="4" applyFont="1" applyFill="1" applyBorder="1" applyAlignment="1">
      <alignment horizontal="center" vertical="center" wrapText="1"/>
    </xf>
    <xf numFmtId="0" fontId="65" fillId="0" borderId="0" xfId="4" applyFont="1">
      <alignment vertical="center"/>
    </xf>
    <xf numFmtId="0" fontId="75" fillId="0" borderId="0" xfId="4" applyFont="1">
      <alignment vertical="center"/>
    </xf>
    <xf numFmtId="0" fontId="76" fillId="0" borderId="0" xfId="4" applyFont="1" applyAlignment="1">
      <alignment horizontal="center" vertical="center"/>
    </xf>
    <xf numFmtId="0" fontId="65" fillId="0" borderId="0" xfId="4" applyFont="1" applyAlignment="1">
      <alignment horizontal="center" vertical="center"/>
    </xf>
    <xf numFmtId="0" fontId="77" fillId="0" borderId="0" xfId="4" applyFont="1">
      <alignment vertical="center"/>
    </xf>
    <xf numFmtId="0" fontId="78" fillId="0" borderId="0" xfId="4" applyFont="1" applyAlignment="1">
      <alignment horizontal="center" vertical="center"/>
    </xf>
    <xf numFmtId="0" fontId="79" fillId="5" borderId="4" xfId="4" applyFont="1" applyFill="1" applyBorder="1" applyAlignment="1">
      <alignment horizontal="left" vertical="center" wrapText="1" indent="1"/>
    </xf>
    <xf numFmtId="0" fontId="81" fillId="7" borderId="4" xfId="4" applyFont="1" applyFill="1" applyBorder="1" applyAlignment="1">
      <alignment horizontal="left" vertical="center" wrapText="1" indent="1"/>
    </xf>
    <xf numFmtId="0" fontId="81" fillId="14" borderId="4" xfId="4" applyFont="1" applyFill="1" applyBorder="1" applyAlignment="1">
      <alignment horizontal="left" vertical="center" wrapText="1" indent="1"/>
    </xf>
    <xf numFmtId="0" fontId="0" fillId="11" borderId="0" xfId="0" applyFill="1">
      <alignment vertical="center"/>
    </xf>
    <xf numFmtId="0" fontId="82" fillId="11" borderId="4" xfId="4" applyFont="1" applyFill="1" applyBorder="1" applyAlignment="1">
      <alignment horizontal="left" vertical="center" wrapText="1" indent="1"/>
    </xf>
    <xf numFmtId="0" fontId="48" fillId="11" borderId="4" xfId="4" applyFont="1" applyFill="1" applyBorder="1" applyAlignment="1">
      <alignment horizontal="center" vertical="center" wrapText="1"/>
    </xf>
    <xf numFmtId="0" fontId="83" fillId="11" borderId="4" xfId="4" applyFont="1" applyFill="1" applyBorder="1" applyAlignment="1">
      <alignment horizontal="left" vertical="center" wrapText="1" indent="1"/>
    </xf>
    <xf numFmtId="0" fontId="55" fillId="0" borderId="0" xfId="4" applyFont="1" applyAlignment="1">
      <alignment horizontal="left" vertical="center"/>
    </xf>
    <xf numFmtId="0" fontId="85" fillId="7" borderId="4" xfId="4" applyFont="1" applyFill="1" applyBorder="1" applyAlignment="1">
      <alignment horizontal="left" vertical="center" wrapText="1" indent="1"/>
    </xf>
    <xf numFmtId="0" fontId="84" fillId="7" borderId="4" xfId="4" applyFont="1" applyFill="1" applyBorder="1" applyAlignment="1">
      <alignment horizontal="left" vertical="center" wrapText="1" indent="1"/>
    </xf>
    <xf numFmtId="0" fontId="80" fillId="7" borderId="4" xfId="4" applyFont="1" applyFill="1" applyBorder="1" applyAlignment="1">
      <alignment horizontal="center" vertical="center" wrapText="1"/>
    </xf>
    <xf numFmtId="0" fontId="87" fillId="7" borderId="4" xfId="4" applyFont="1" applyFill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/>
    </xf>
    <xf numFmtId="0" fontId="88" fillId="0" borderId="1" xfId="0" applyFont="1" applyBorder="1" applyAlignment="1">
      <alignment horizontal="left" vertical="center"/>
    </xf>
    <xf numFmtId="0" fontId="0" fillId="11" borderId="1" xfId="0" applyFill="1" applyBorder="1">
      <alignment vertical="center"/>
    </xf>
    <xf numFmtId="0" fontId="40" fillId="11" borderId="1" xfId="0" applyFont="1" applyFill="1" applyBorder="1">
      <alignment vertical="center"/>
    </xf>
    <xf numFmtId="0" fontId="0" fillId="13" borderId="1" xfId="0" applyFill="1" applyBorder="1">
      <alignment vertical="center"/>
    </xf>
    <xf numFmtId="0" fontId="41" fillId="13" borderId="1" xfId="0" applyFont="1" applyFill="1" applyBorder="1">
      <alignment vertical="center"/>
    </xf>
    <xf numFmtId="0" fontId="40" fillId="13" borderId="1" xfId="0" applyFont="1" applyFill="1" applyBorder="1" applyAlignment="1">
      <alignment horizontal="left" vertical="center" indent="2"/>
    </xf>
    <xf numFmtId="0" fontId="88" fillId="2" borderId="1" xfId="0" applyFont="1" applyFill="1" applyBorder="1" applyAlignment="1">
      <alignment horizontal="center" vertical="center"/>
    </xf>
    <xf numFmtId="0" fontId="88" fillId="0" borderId="1" xfId="0" applyFont="1" applyBorder="1" applyAlignment="1">
      <alignment horizontal="left" vertical="center" indent="3"/>
    </xf>
    <xf numFmtId="0" fontId="0" fillId="0" borderId="1" xfId="0" applyBorder="1" applyAlignment="1">
      <alignment horizontal="left" vertical="center" indent="1"/>
    </xf>
    <xf numFmtId="0" fontId="89" fillId="0" borderId="1" xfId="0" applyFont="1" applyBorder="1" applyAlignment="1">
      <alignment horizontal="center" vertical="center"/>
    </xf>
    <xf numFmtId="0" fontId="18" fillId="11" borderId="1" xfId="0" applyFont="1" applyFill="1" applyBorder="1">
      <alignment vertical="center"/>
    </xf>
    <xf numFmtId="0" fontId="0" fillId="15" borderId="1" xfId="0" applyFill="1" applyBorder="1">
      <alignment vertical="center"/>
    </xf>
    <xf numFmtId="0" fontId="0" fillId="15" borderId="9" xfId="0" applyFill="1" applyBorder="1">
      <alignment vertical="center"/>
    </xf>
    <xf numFmtId="0" fontId="0" fillId="15" borderId="13" xfId="0" applyFill="1" applyBorder="1">
      <alignment vertical="center"/>
    </xf>
    <xf numFmtId="0" fontId="0" fillId="15" borderId="6" xfId="0" applyFill="1" applyBorder="1">
      <alignment vertical="center"/>
    </xf>
    <xf numFmtId="0" fontId="65" fillId="0" borderId="0" xfId="0" applyFont="1" applyAlignment="1">
      <alignment horizontal="center" vertical="center"/>
    </xf>
    <xf numFmtId="0" fontId="0" fillId="0" borderId="14" xfId="0" applyBorder="1">
      <alignment vertical="center"/>
    </xf>
    <xf numFmtId="0" fontId="0" fillId="0" borderId="14" xfId="0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0" fillId="0" borderId="16" xfId="0" applyBorder="1">
      <alignment vertical="center"/>
    </xf>
    <xf numFmtId="0" fontId="0" fillId="0" borderId="16" xfId="0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51" fillId="11" borderId="15" xfId="0" applyFont="1" applyFill="1" applyBorder="1" applyAlignment="1">
      <alignment horizontal="center" vertical="center"/>
    </xf>
    <xf numFmtId="0" fontId="3" fillId="0" borderId="14" xfId="0" applyFont="1" applyBorder="1">
      <alignment vertical="center"/>
    </xf>
    <xf numFmtId="0" fontId="51" fillId="11" borderId="15" xfId="0" quotePrefix="1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48" fillId="5" borderId="17" xfId="4" applyFont="1" applyFill="1" applyBorder="1" applyAlignment="1">
      <alignment horizontal="center" vertical="center" wrapText="1"/>
    </xf>
    <xf numFmtId="0" fontId="45" fillId="5" borderId="17" xfId="4" applyFont="1" applyFill="1" applyBorder="1" applyAlignment="1">
      <alignment horizontal="left" vertical="center" wrapText="1" indent="1"/>
    </xf>
    <xf numFmtId="0" fontId="93" fillId="7" borderId="4" xfId="4" applyFont="1" applyFill="1" applyBorder="1" applyAlignment="1">
      <alignment horizontal="left" vertical="center" wrapText="1" indent="1"/>
    </xf>
    <xf numFmtId="0" fontId="80" fillId="7" borderId="4" xfId="4" applyFont="1" applyFill="1" applyBorder="1" applyAlignment="1">
      <alignment horizontal="left" vertical="center" wrapText="1" indent="1"/>
    </xf>
    <xf numFmtId="0" fontId="94" fillId="5" borderId="4" xfId="4" applyFont="1" applyFill="1" applyBorder="1" applyAlignment="1">
      <alignment horizontal="left" vertical="center" wrapText="1" indent="1"/>
    </xf>
    <xf numFmtId="0" fontId="46" fillId="16" borderId="4" xfId="4" applyFont="1" applyFill="1" applyBorder="1" applyAlignment="1">
      <alignment horizontal="left" vertical="center" wrapText="1" indent="1"/>
    </xf>
    <xf numFmtId="0" fontId="96" fillId="7" borderId="4" xfId="4" applyFont="1" applyFill="1" applyBorder="1" applyAlignment="1">
      <alignment horizontal="left" vertical="center" wrapText="1" indent="1"/>
    </xf>
    <xf numFmtId="0" fontId="97" fillId="0" borderId="0" xfId="4" applyFont="1">
      <alignment vertical="center"/>
    </xf>
    <xf numFmtId="0" fontId="98" fillId="0" borderId="0" xfId="0" applyFont="1" applyAlignment="1">
      <alignment horizontal="center" vertical="center"/>
    </xf>
    <xf numFmtId="0" fontId="18" fillId="0" borderId="3" xfId="0" applyFont="1" applyBorder="1">
      <alignment vertical="center"/>
    </xf>
    <xf numFmtId="0" fontId="0" fillId="15" borderId="2" xfId="0" applyFill="1" applyBorder="1">
      <alignment vertical="center"/>
    </xf>
    <xf numFmtId="0" fontId="0" fillId="15" borderId="10" xfId="0" applyFill="1" applyBorder="1">
      <alignment vertical="center"/>
    </xf>
    <xf numFmtId="0" fontId="0" fillId="15" borderId="18" xfId="0" applyFill="1" applyBorder="1">
      <alignment vertical="center"/>
    </xf>
    <xf numFmtId="0" fontId="0" fillId="15" borderId="7" xfId="0" applyFill="1" applyBorder="1">
      <alignment vertical="center"/>
    </xf>
    <xf numFmtId="0" fontId="0" fillId="11" borderId="9" xfId="0" applyFill="1" applyBorder="1">
      <alignment vertical="center"/>
    </xf>
    <xf numFmtId="0" fontId="99" fillId="2" borderId="3" xfId="0" applyFont="1" applyFill="1" applyBorder="1" applyAlignment="1">
      <alignment horizontal="center" vertical="center"/>
    </xf>
    <xf numFmtId="0" fontId="100" fillId="2" borderId="1" xfId="0" applyFont="1" applyFill="1" applyBorder="1" applyAlignment="1">
      <alignment horizontal="center" vertical="center"/>
    </xf>
    <xf numFmtId="0" fontId="100" fillId="2" borderId="13" xfId="0" applyFont="1" applyFill="1" applyBorder="1">
      <alignment vertical="center"/>
    </xf>
    <xf numFmtId="0" fontId="100" fillId="2" borderId="18" xfId="0" applyFont="1" applyFill="1" applyBorder="1">
      <alignment vertical="center"/>
    </xf>
    <xf numFmtId="0" fontId="101" fillId="0" borderId="0" xfId="0" applyFont="1">
      <alignment vertical="center"/>
    </xf>
    <xf numFmtId="0" fontId="101" fillId="0" borderId="0" xfId="0" applyFont="1" applyAlignment="1">
      <alignment horizontal="center" vertical="center"/>
    </xf>
    <xf numFmtId="0" fontId="101" fillId="11" borderId="0" xfId="0" applyFont="1" applyFill="1">
      <alignment vertical="center"/>
    </xf>
    <xf numFmtId="0" fontId="0" fillId="0" borderId="0" xfId="0" applyAlignment="1">
      <alignment horizontal="left" vertical="center" indent="1"/>
    </xf>
    <xf numFmtId="49" fontId="0" fillId="0" borderId="2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9" xfId="0" applyBorder="1" applyAlignment="1">
      <alignment horizontal="left" vertical="center" indent="2"/>
    </xf>
    <xf numFmtId="0" fontId="89" fillId="0" borderId="9" xfId="0" applyFont="1" applyBorder="1" applyAlignment="1">
      <alignment horizontal="center" vertical="center"/>
    </xf>
    <xf numFmtId="0" fontId="71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left" vertical="center" indent="1"/>
    </xf>
    <xf numFmtId="0" fontId="0" fillId="0" borderId="9" xfId="0" applyBorder="1" applyAlignment="1">
      <alignment horizontal="left" vertical="center" indent="4"/>
    </xf>
    <xf numFmtId="49" fontId="0" fillId="0" borderId="9" xfId="0" applyNumberFormat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0" fontId="99" fillId="2" borderId="5" xfId="0" applyFont="1" applyFill="1" applyBorder="1" applyAlignment="1">
      <alignment horizontal="center" vertical="center"/>
    </xf>
    <xf numFmtId="0" fontId="100" fillId="2" borderId="6" xfId="0" applyFont="1" applyFill="1" applyBorder="1" applyAlignment="1">
      <alignment horizontal="center" vertical="center"/>
    </xf>
    <xf numFmtId="0" fontId="100" fillId="2" borderId="7" xfId="0" applyFont="1" applyFill="1" applyBorder="1" applyAlignment="1">
      <alignment horizontal="center" vertical="center"/>
    </xf>
    <xf numFmtId="0" fontId="100" fillId="0" borderId="0" xfId="0" applyFont="1" applyAlignment="1">
      <alignment horizontal="center" vertical="center"/>
    </xf>
    <xf numFmtId="0" fontId="102" fillId="0" borderId="0" xfId="0" applyFont="1">
      <alignment vertical="center"/>
    </xf>
    <xf numFmtId="0" fontId="103" fillId="0" borderId="0" xfId="0" applyFont="1">
      <alignment vertical="center"/>
    </xf>
    <xf numFmtId="0" fontId="101" fillId="7" borderId="0" xfId="0" applyFont="1" applyFill="1">
      <alignment vertical="center"/>
    </xf>
    <xf numFmtId="0" fontId="0" fillId="9" borderId="12" xfId="0" applyFill="1" applyBorder="1" applyAlignment="1">
      <alignment horizontal="center" vertical="center"/>
    </xf>
    <xf numFmtId="0" fontId="0" fillId="0" borderId="12" xfId="0" applyBorder="1">
      <alignment vertical="center"/>
    </xf>
    <xf numFmtId="0" fontId="3" fillId="0" borderId="0" xfId="0" applyFont="1" applyAlignment="1">
      <alignment horizontal="left" vertical="center" indent="1"/>
    </xf>
  </cellXfs>
  <cellStyles count="5">
    <cellStyle name="一般" xfId="0" builtinId="0"/>
    <cellStyle name="一般 2" xfId="3" xr:uid="{A038E3EC-A179-46A7-BFF6-73E593261D7C}"/>
    <cellStyle name="一般 3" xfId="1" xr:uid="{0D0E4F11-2A76-4046-877C-929132571B97}"/>
    <cellStyle name="一般 4" xfId="4" xr:uid="{E932D2E5-AF16-4FFA-AB0C-5F7E179E4D03}"/>
    <cellStyle name="一般 5" xfId="2" xr:uid="{8C9CBB70-72B8-491C-A1A5-535BA1FE1D69}"/>
  </cellStyles>
  <dxfs count="92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Segoe UI"/>
        <family val="2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Noto Serif TC Medium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霞鶩文楷等寬 TC Medium"/>
        <family val="3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Segoe UI"/>
        <family val="2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8"/>
        <name val="霞鶩文楷等寬 TC Medium"/>
        <family val="3"/>
        <charset val="136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rgb="FFFF0000"/>
        <name val="Noto Sans TC Medium"/>
        <family val="2"/>
        <charset val="136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ans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C00000"/>
        <name val="Noto Sans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/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border outline="0">
        <left style="medium">
          <color rgb="FFDEE2E6"/>
        </left>
        <right style="medium">
          <color rgb="FFDEE2E6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微軟正黑體"/>
        <family val="2"/>
        <charset val="136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/>
        <bottom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/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fill>
        <patternFill patternType="solid">
          <fgColor indexed="64"/>
          <bgColor rgb="FFFFFFC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0527B81-BE0C-4989-8113-79F20236AB33}" name="聲母對照表" displayName="聲母對照表" ref="A1:P23" totalsRowShown="0" headerRowDxfId="91" tableBorderDxfId="90">
  <autoFilter ref="A1:P23" xr:uid="{50527B81-BE0C-4989-8113-79F20236AB33}"/>
  <tableColumns count="16">
    <tableColumn id="1" xr3:uid="{0496578E-8EFF-4E56-9F02-D6EFB72645B8}" name="識別號" dataDxfId="89"/>
    <tableColumn id="2" xr3:uid="{78D5AE39-C891-435E-8D14-C962F474118F}" name="序號" dataDxfId="88"/>
    <tableColumn id="3" xr3:uid="{1335DAED-BD1E-4CE0-98A0-285C07AE05B4}" name="國際音標" dataDxfId="87"/>
    <tableColumn id="4" xr3:uid="{F9A38440-D11D-45B8-BE95-B6BB0AAAF1E3}" name="台羅拼音" dataDxfId="86"/>
    <tableColumn id="5" xr3:uid="{AF657621-3918-4D23-BBFD-13EBF0B27858}" name="台語音標" dataDxfId="85"/>
    <tableColumn id="6" xr3:uid="{C16CB252-C9A4-4CB2-8FDD-82813173CF4D}" name="注音二式" dataDxfId="84"/>
    <tableColumn id="7" xr3:uid="{0D7F03C3-8C58-42B2-B097-C3B2A5C37034}" name="閩拼方案" dataDxfId="83"/>
    <tableColumn id="8" xr3:uid="{9540CBC9-4FE3-4DE8-90B0-B77F1C52414A}" name="白話字" dataDxfId="82"/>
    <tableColumn id="9" xr3:uid="{D9050C95-564C-4861-B1AE-AA03A7C3DE41}" name="方音符號" dataDxfId="81"/>
    <tableColumn id="10" xr3:uid="{05251E82-C5E0-4833-BDD6-FE5DF5B1D381}" name="台語注音" dataDxfId="80"/>
    <tableColumn id="11" xr3:uid="{315B1262-49A6-4891-8C01-10EC91043A3B}" name="十五音" dataDxfId="79"/>
    <tableColumn id="12" xr3:uid="{DEEC4CA6-6FC2-4991-B54A-56DAB27197B0}" name="漢字例" dataDxfId="78"/>
    <tableColumn id="13" xr3:uid="{C6123364-B523-47FE-9684-7560414EF39F}" name="備註" dataDxfId="77"/>
    <tableColumn id="14" xr3:uid="{6018D2E9-8064-40AC-887E-308DB4B54742}" name="s1" dataDxfId="76"/>
    <tableColumn id="15" xr3:uid="{C1ACEDB0-215C-486F-8C7A-D83ECFA591EB}" name="s2" dataDxfId="75"/>
    <tableColumn id="16" xr3:uid="{E9B4DE26-B82C-4445-854F-C1B5EF3E2F79}" name="s3" dataDxfId="7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40E26AF-4D3B-4E1A-8080-AAAFDBD9F514}" name="台羅韻母表" displayName="台羅韻母表" ref="A3:N89" totalsRowShown="0" headerRowDxfId="73" tableBorderDxfId="72" headerRowCellStyle="一般 4">
  <autoFilter ref="A3:N89" xr:uid="{C40E26AF-4D3B-4E1A-8080-AAAFDBD9F514}"/>
  <tableColumns count="14">
    <tableColumn id="1" xr3:uid="{67434336-EDB9-486F-A543-044F4F8ED438}" name="序號" dataDxfId="71" dataCellStyle="一般 4">
      <calculatedColumnFormula xml:space="preserve"> ROW() - 3</calculatedColumnFormula>
    </tableColumn>
    <tableColumn id="2" xr3:uid="{3F9C0D5C-037D-401B-9E57-7E99A8351BB7}" name="國際音標" dataDxfId="70" dataCellStyle="一般 4"/>
    <tableColumn id="3" xr3:uid="{B8205AD7-58F1-43A8-824B-C0E88B7F29C9}" name="台羅拼音" dataDxfId="69" dataCellStyle="一般 4"/>
    <tableColumn id="4" xr3:uid="{1D977D40-0654-4AD5-9198-DBDACA80FC0C}" name="台語音標" dataDxfId="68" dataCellStyle="一般 4"/>
    <tableColumn id="5" xr3:uid="{62D369BE-67AE-46A8-A874-749CA8F4D5FA}" name="台語注音二式" dataDxfId="67" dataCellStyle="一般 4"/>
    <tableColumn id="6" xr3:uid="{6ACFDCD0-A05A-4E77-B6C3-F4F9693A1A87}" name="閩拼方案" dataDxfId="66" dataCellStyle="一般 4"/>
    <tableColumn id="7" xr3:uid="{EA72CB27-56D4-45DE-A159-5ECE3355E261}" name="白話字" dataDxfId="65" dataCellStyle="一般 4"/>
    <tableColumn id="8" xr3:uid="{86276E07-00D8-414F-A14A-89CA8E4736C0}" name="方音符號"/>
    <tableColumn id="13" xr3:uid="{4AC7395E-4D7D-4B49-A8A4-FDDE23D368B8}" name="台語注音" dataDxfId="64"/>
    <tableColumn id="9" xr3:uid="{32F912D0-78F9-4541-95B9-4330F53FB63D}" name="十五音" dataDxfId="63" dataCellStyle="一般 4">
      <calculatedColumnFormula xml:space="preserve"> LEFT(台羅韻母表[[#This Row],[十五音識別碼]],1)</calculatedColumnFormula>
    </tableColumn>
    <tableColumn id="14" xr3:uid="{E48E1AF8-9745-43AE-BEAA-41D8235123F8}" name="漢字例" dataDxfId="62" dataCellStyle="一般 4"/>
    <tableColumn id="12" xr3:uid="{B472CE12-1F6D-4207-8742-FA9AA5B789B0}" name="十五音識別碼" dataDxfId="61" dataCellStyle="一般 4"/>
    <tableColumn id="10" xr3:uid="{B3319D84-8B1E-4C1D-99D4-7DD8250E72D0}" name="聲韻調類" dataDxfId="60" dataCellStyle="一般 4"/>
    <tableColumn id="11" xr3:uid="{0232C7F0-707C-4291-B834-2A92B01DFDF9}" name="字長" dataDxfId="59" dataCellStyle="一般 4">
      <calculatedColumnFormula xml:space="preserve"> LEN(D4)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1C3941-9899-48C4-8E14-367017F7B2F5}" name="韻母對照表" displayName="韻母對照表" ref="A1:N85" totalsRowShown="0" headerRowDxfId="58" headerRowBorderDxfId="57" tableBorderDxfId="56" totalsRowBorderDxfId="55">
  <autoFilter ref="A1:N85" xr:uid="{771C3941-9899-48C4-8E14-367017F7B2F5}"/>
  <tableColumns count="14">
    <tableColumn id="1" xr3:uid="{93BCA6A2-508B-467B-95D1-473C97CCD52B}" name="識別號" dataDxfId="54"/>
    <tableColumn id="2" xr3:uid="{80F0C42C-C2BD-4707-8BE9-49A90C7647AB}" name="十五音" dataDxfId="53"/>
    <tableColumn id="3" xr3:uid="{8C99734F-A142-4FBD-96DD-463C060588A5}" name="漢字例" dataDxfId="52"/>
    <tableColumn id="4" xr3:uid="{C4E57A92-27A9-46F6-A864-9668B62AB3D8}" name="國際音標" dataDxfId="51"/>
    <tableColumn id="7" xr3:uid="{D04A8FC9-DCA4-4643-AE3B-824F465B8E3A}" name="台羅拼音" dataDxfId="50"/>
    <tableColumn id="6" xr3:uid="{DA98A1A1-49CA-4EC1-91D5-BF45045A4B18}" name="台語音標" dataDxfId="49"/>
    <tableColumn id="8" xr3:uid="{E8D82139-523B-47F7-B0CC-47FDC35BBF0B}" name="注音二式" dataDxfId="48"/>
    <tableColumn id="10" xr3:uid="{BDA4D6F0-BBAC-44DF-85B3-15A86E2ED416}" name="閩拼方案" dataDxfId="47"/>
    <tableColumn id="9" xr3:uid="{972A94F9-A940-4172-AB75-0BE33372A5A6}" name="白話字" dataDxfId="46"/>
    <tableColumn id="5" xr3:uid="{88460F28-F486-4EB3-974F-039F84D0E83A}" name="方音符號" dataDxfId="45"/>
    <tableColumn id="14" xr3:uid="{EF2755BF-6678-4CD8-B300-0D0325E9E0D0}" name="台語注音" dataDxfId="44"/>
    <tableColumn id="11" xr3:uid="{77E72489-4845-4BE7-807E-50EDB35447E7}" name="十五音序" dataDxfId="43"/>
    <tableColumn id="12" xr3:uid="{4D0E40DE-9C66-4BA2-B18D-2F564923928D}" name="舒促聲" dataDxfId="42"/>
    <tableColumn id="13" xr3:uid="{1E5A033C-A3E4-47B2-8D3D-334C23BE852B}" name="十五音識別碼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B95E5FE-A65C-4C96-AF81-6823059ABB9A}" name="聲調對照表" displayName="聲調對照表" ref="A1:P8" totalsRowShown="0" headerRowDxfId="40" headerRowBorderDxfId="39" tableBorderDxfId="38" totalsRowBorderDxfId="37">
  <autoFilter ref="A1:P8" xr:uid="{6B95E5FE-A65C-4C96-AF81-6823059ABB9A}"/>
  <tableColumns count="16">
    <tableColumn id="1" xr3:uid="{1A724D25-CC77-4614-B56A-5F4AD2F76A0C}" name="識別號" dataDxfId="36"/>
    <tableColumn id="2" xr3:uid="{AF9942A8-5994-4FC0-8250-13E0716350C7}" name="W調名" dataDxfId="35"/>
    <tableColumn id="3" xr3:uid="{2474F046-6F8C-4298-B9D5-67DEE8B02CCF}" name="四聲八調" dataDxfId="34"/>
    <tableColumn id="4" xr3:uid="{918F480D-677E-4410-A1F3-4C902CE09BCB}" name="調值" dataDxfId="33"/>
    <tableColumn id="5" xr3:uid="{FDB86A96-C570-4F46-AB88-EDDF972DB035}" name="台羅調號" dataDxfId="32"/>
    <tableColumn id="6" xr3:uid="{1F91D8A0-3C7A-49D1-85FC-25B7037F75FA}" name="拼音調符編碼" dataDxfId="31"/>
    <tableColumn id="7" xr3:uid="{5100048F-E361-4A1E-A0F9-67A55F88FD5A}" name="羅馬拼音調符" dataDxfId="30"/>
    <tableColumn id="8" xr3:uid="{E493D71C-7719-4ED9-863C-44CDAB3957EC}" name="漢字" dataDxfId="29"/>
    <tableColumn id="9" xr3:uid="{867F6A8E-E11B-4C53-AFAA-E3CA59E16E71}" name="台語音標" dataDxfId="28">
      <calculatedColumnFormula>IFERROR( _xlfn.CONCAT("t", "o", IF($F2="", "", _xlfn.UNICHAR(HEX2DEC(RIGHT($F2,4)))), IF(RIGHT($C2,1)&lt;&gt;"入", "ng", "k")), "")</calculatedColumnFormula>
    </tableColumn>
    <tableColumn id="10" xr3:uid="{B35D3A5B-CC16-4B3A-8EBA-638ECFDF65FB}" name="注音調符編碼" dataDxfId="27"/>
    <tableColumn id="11" xr3:uid="{B60C101D-0A79-4B1C-960B-CB1FA76CC05C}" name="注音調符" dataDxfId="26"/>
    <tableColumn id="12" xr3:uid="{190A446F-8F67-4B95-87D7-0E28577E9C26}" name="方音符號" dataDxfId="25">
      <calculatedColumnFormula>IFERROR( _xlfn.CONCAT("ㄉ", IF(RIGHT($C2,1)&lt;&gt;"入", "ㆲ", "ㆦㆻ"),  IF($J2="", "", _xlfn.UNICHAR(HEX2DEC(RIGHT($J2,4)))),), "")</calculatedColumnFormula>
    </tableColumn>
    <tableColumn id="13" xr3:uid="{F4186E74-DC03-4197-BB61-83AC8E0D1E8B}" name="鍵盤按鍵" dataDxfId="24"/>
    <tableColumn id="14" xr3:uid="{3D1C51E8-D274-4B59-963E-24943B4E8942}" name="閩拼調號" dataDxfId="23"/>
    <tableColumn id="15" xr3:uid="{FB218683-59E3-4A33-88E5-97C67821E090}" name="閩拼上標調號" dataDxfId="22"/>
    <tableColumn id="16" xr3:uid="{116007F6-3E15-4E22-9B1D-432848A1EA63}" name="IPA上標調號" dataDxfId="2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F90B7A-D09E-43B2-979B-7CD1EE35DCEF}" name="韻母對照表3" displayName="韻母對照表3" ref="A1:M85" totalsRowShown="0" headerRowDxfId="20" headerRowBorderDxfId="19" tableBorderDxfId="18" totalsRowBorderDxfId="17">
  <autoFilter ref="A1:M85" xr:uid="{771C3941-9899-48C4-8E14-367017F7B2F5}"/>
  <tableColumns count="13">
    <tableColumn id="1" xr3:uid="{C10E80BA-9FEE-411B-A2E1-0B8D75C43A73}" name="識別號" dataDxfId="16"/>
    <tableColumn id="2" xr3:uid="{BDE2F94E-9AD0-4497-B0A4-0887F343995C}" name="十五音" dataDxfId="15"/>
    <tableColumn id="3" xr3:uid="{1BB80AC9-0E65-4250-97F0-4C9BF936F6F4}" name="漢字例" dataDxfId="14"/>
    <tableColumn id="5" xr3:uid="{FF3D3154-85AC-43FE-9B6E-613CB6837684}" name="方音符號" dataDxfId="13"/>
    <tableColumn id="6" xr3:uid="{76F226E4-4708-40A7-849D-3CC6919D3693}" name="台語音標" dataDxfId="12"/>
    <tableColumn id="4" xr3:uid="{B2037F3B-8888-4074-8870-6B45341F0C3A}" name="國際音標" dataDxfId="11">
      <calculatedColumnFormula array="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calculatedColumnFormula>
    </tableColumn>
    <tableColumn id="10" xr3:uid="{8FF1DC7C-D8AD-4071-B26D-6830788BB67A}" name="閩拼方案" dataDxfId="10">
      <calculatedColumnFormula array="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calculatedColumnFormula>
    </tableColumn>
    <tableColumn id="7" xr3:uid="{76F2259B-CA5E-44D6-86F0-A1217D200D54}" name="台羅拼音" dataDxfId="9">
      <calculatedColumnFormula array="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calculatedColumnFormula>
    </tableColumn>
    <tableColumn id="8" xr3:uid="{DF4BA570-1408-41DB-8328-90FB8913B1DF}" name="注音二式" dataDxfId="8"/>
    <tableColumn id="9" xr3:uid="{42E33940-E4F1-4C86-AD57-6236C50EBE40}" name="白話字" dataDxfId="7"/>
    <tableColumn id="11" xr3:uid="{BE8C4436-8D84-475B-A5C6-C392918893AA}" name="十五音序" dataDxfId="6"/>
    <tableColumn id="12" xr3:uid="{4D04DB9F-1246-4494-8D81-B2950125EC5B}" name="舒促聲" dataDxfId="5"/>
    <tableColumn id="13" xr3:uid="{EB7195BB-541B-463D-BA37-EBE312BD24A4}" name="十五音識別碼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350" row="1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51FD2E8E-AF3A-4B4D-A368-A363DC4D3ED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afece23-b455-4bf7-80b3-57cfbba5c921&quot;"/>
  </we:properties>
  <we:bindings/>
  <we:snapshot xmlns:r="http://schemas.openxmlformats.org/officeDocument/2006/relationships"/>
</we:webextension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s://zh.wikipedia.org/wiki/%E5%BD%99%E9%9B%86%E9%9B%85%E4%BF%97%E9%80%9A%E5%8D%81%E4%BA%94%E9%9F%B3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BD661-1605-4C66-83CC-87BEF9BB3577}">
  <dimension ref="B2:L9"/>
  <sheetViews>
    <sheetView workbookViewId="0">
      <selection activeCell="E4" sqref="E4"/>
    </sheetView>
  </sheetViews>
  <sheetFormatPr defaultRowHeight="25.5"/>
  <cols>
    <col min="1" max="1" width="1.5" customWidth="1"/>
    <col min="2" max="2" width="13.4140625" customWidth="1"/>
    <col min="3" max="3" width="5.25" customWidth="1"/>
    <col min="4" max="8" width="9.58203125" customWidth="1"/>
    <col min="10" max="12" width="9.83203125" customWidth="1"/>
    <col min="14" max="14" width="12" customWidth="1"/>
  </cols>
  <sheetData>
    <row r="2" spans="2:12">
      <c r="C2" s="188" t="s">
        <v>661</v>
      </c>
      <c r="D2" s="188" t="s">
        <v>758</v>
      </c>
      <c r="E2" s="188" t="s">
        <v>875</v>
      </c>
      <c r="F2" s="188" t="s">
        <v>2347</v>
      </c>
      <c r="G2" s="188" t="s">
        <v>2348</v>
      </c>
      <c r="H2" s="188" t="s">
        <v>2349</v>
      </c>
      <c r="J2" t="s">
        <v>2500</v>
      </c>
      <c r="K2" t="s">
        <v>934</v>
      </c>
      <c r="L2" t="s">
        <v>2501</v>
      </c>
    </row>
    <row r="3" spans="2:12" ht="29.25">
      <c r="B3" t="s">
        <v>2502</v>
      </c>
      <c r="C3" s="19" t="s">
        <v>2509</v>
      </c>
      <c r="D3" s="202" t="s">
        <v>2513</v>
      </c>
      <c r="E3" s="201" t="str">
        <f t="shared" ref="E3:E9" si="0" xml:space="preserve"> IF(AND(F3&lt;&gt;"",G3&lt;&gt;"",H3&lt;&gt;""), _xlfn.CONCAT(J3:L3), "")</f>
        <v>lɪaʊ³</v>
      </c>
      <c r="F3" s="199" t="s">
        <v>2304</v>
      </c>
      <c r="G3" s="199" t="s">
        <v>1211</v>
      </c>
      <c r="H3" s="200">
        <v>3</v>
      </c>
      <c r="I3" s="199"/>
      <c r="J3" s="199" t="str" cm="1">
        <f t="array" ref="J3" xml:space="preserve"> IF(F3&lt;&gt;"", INDEX(聲母對照表[國際音標], MATCH(TRUE, EXACT(輸入工具!F3, 聲母對照表[閩拼方案]), 0)), "")</f>
        <v>l</v>
      </c>
      <c r="K3" s="199" t="str" cm="1">
        <f t="array" ref="K3">IF(G3&lt;&gt;"", INDEX(台羅韻母表[國際音標], MATCH(TRUE, EXACT(輸入工具!G3, 台羅韻母表[閩拼方案]), 0)), "")</f>
        <v>ɪaʊ</v>
      </c>
      <c r="L3" s="199" t="str" cm="1">
        <f t="array" ref="L3" xml:space="preserve"> IF(H3&lt;&gt;"", INDEX(聲調對照表[閩拼上標調號], MATCH(TRUE, EXACT(輸入工具!H3, 聲調對照表[閩拼調號]), 0)), "")</f>
        <v>³</v>
      </c>
    </row>
    <row r="4" spans="2:12" ht="29.25">
      <c r="B4" t="s">
        <v>2502</v>
      </c>
      <c r="C4" s="19" t="s">
        <v>2510</v>
      </c>
      <c r="D4" s="202" t="s">
        <v>2514</v>
      </c>
      <c r="E4" s="201" t="str">
        <f t="shared" si="0"/>
        <v>mŋ̍²</v>
      </c>
      <c r="F4" s="199" t="s">
        <v>2324</v>
      </c>
      <c r="G4" s="199" t="s">
        <v>2317</v>
      </c>
      <c r="H4" s="200">
        <v>2</v>
      </c>
      <c r="I4" s="199"/>
      <c r="J4" s="199" t="str" cm="1">
        <f t="array" ref="J4" xml:space="preserve"> IF(F4&lt;&gt;"", INDEX(聲母對照表[國際音標], MATCH(TRUE, EXACT(輸入工具!F4, 聲母對照表[閩拼方案]), 0)), "")</f>
        <v>m</v>
      </c>
      <c r="K4" s="199" t="str" cm="1">
        <f t="array" ref="K4">IF(G4&lt;&gt;"", INDEX(台羅韻母表[國際音標], MATCH(TRUE, EXACT(輸入工具!G4, 台羅韻母表[閩拼方案]), 0)), "")</f>
        <v>ŋ̍</v>
      </c>
      <c r="L4" s="199" t="str" cm="1">
        <f t="array" ref="L4" xml:space="preserve"> IF(H4&lt;&gt;"", INDEX(聲調對照表[閩拼上標調號], MATCH(TRUE, EXACT(輸入工具!H4, 聲調對照表[閩拼調號]), 0)), "")</f>
        <v>²</v>
      </c>
    </row>
    <row r="5" spans="2:12" ht="29.25">
      <c r="B5" t="s">
        <v>2502</v>
      </c>
      <c r="C5" s="19" t="s">
        <v>2511</v>
      </c>
      <c r="D5" s="202" t="s">
        <v>2523</v>
      </c>
      <c r="E5" s="201" t="str">
        <f t="shared" si="0"/>
        <v>ʣim⁶</v>
      </c>
      <c r="F5" s="199" t="s">
        <v>2312</v>
      </c>
      <c r="G5" s="199" t="s">
        <v>2369</v>
      </c>
      <c r="H5" s="200">
        <v>6</v>
      </c>
      <c r="I5" s="199"/>
      <c r="J5" s="199" t="str" cm="1">
        <f t="array" ref="J5" xml:space="preserve"> IF(F5&lt;&gt;"", INDEX(聲母對照表[國際音標], MATCH(TRUE, EXACT(輸入工具!F5, 聲母對照表[閩拼方案]), 0)), "")</f>
        <v>ʣ</v>
      </c>
      <c r="K5" s="199" t="str" cm="1">
        <f t="array" ref="K5">IF(G5&lt;&gt;"", INDEX(台羅韻母表[國際音標], MATCH(TRUE, EXACT(輸入工具!G5, 台羅韻母表[閩拼方案]), 0)), "")</f>
        <v>im</v>
      </c>
      <c r="L5" s="199" t="str" cm="1">
        <f t="array" ref="L5" xml:space="preserve"> IF(H5&lt;&gt;"", INDEX(聲調對照表[閩拼上標調號], MATCH(TRUE, EXACT(輸入工具!H5, 聲調對照表[閩拼調號]), 0)), "")</f>
        <v>⁶</v>
      </c>
    </row>
    <row r="6" spans="2:12" ht="29.25">
      <c r="B6" t="s">
        <v>2502</v>
      </c>
      <c r="C6" s="19" t="s">
        <v>2512</v>
      </c>
      <c r="D6" s="202" t="s">
        <v>2515</v>
      </c>
      <c r="E6" s="201" t="str">
        <f t="shared" si="0"/>
        <v>kɪũ¹</v>
      </c>
      <c r="F6" s="199" t="s">
        <v>2305</v>
      </c>
      <c r="G6" s="199" t="s">
        <v>2520</v>
      </c>
      <c r="H6" s="200">
        <v>1</v>
      </c>
      <c r="I6" s="199"/>
      <c r="J6" s="199" t="str" cm="1">
        <f t="array" ref="J6" xml:space="preserve"> IF(F6&lt;&gt;"", INDEX(聲母對照表[國際音標], MATCH(TRUE, EXACT(輸入工具!F6, 聲母對照表[閩拼方案]), 0)), "")</f>
        <v>k</v>
      </c>
      <c r="K6" s="199" t="str" cm="1">
        <f t="array" ref="K6">IF(G6&lt;&gt;"", INDEX(台羅韻母表[國際音標], MATCH(TRUE, EXACT(輸入工具!G6, 台羅韻母表[閩拼方案]), 0)), "")</f>
        <v>ɪũ</v>
      </c>
      <c r="L6" s="199" t="str" cm="1">
        <f t="array" ref="L6" xml:space="preserve"> IF(H6&lt;&gt;"", INDEX(聲調對照表[閩拼上標調號], MATCH(TRUE, EXACT(輸入工具!H6, 聲調對照表[閩拼調號]), 0)), "")</f>
        <v>¹</v>
      </c>
    </row>
    <row r="7" spans="2:12" ht="29.25">
      <c r="B7" t="s">
        <v>2502</v>
      </c>
      <c r="C7" s="19" t="s">
        <v>2516</v>
      </c>
      <c r="D7" s="202" t="s">
        <v>2519</v>
      </c>
      <c r="E7" s="201" t="str">
        <f t="shared" si="0"/>
        <v>ɪũ²</v>
      </c>
      <c r="F7" s="199" t="s">
        <v>2521</v>
      </c>
      <c r="G7" s="199" t="s">
        <v>2520</v>
      </c>
      <c r="H7" s="200">
        <v>2</v>
      </c>
      <c r="I7" s="199"/>
      <c r="J7" s="199" t="str" cm="1">
        <f t="array" ref="J7" xml:space="preserve"> IFERROR( IF(F7&lt;&gt;"", INDEX(聲母對照表[國際音標], MATCH(TRUE, EXACT(輸入工具!F7, 聲母對照表[閩拼方案]), 0)), ""), "")</f>
        <v/>
      </c>
      <c r="K7" s="199" t="str" cm="1">
        <f t="array" ref="K7">IF(G7&lt;&gt;"", INDEX(台羅韻母表[國際音標], MATCH(TRUE, EXACT(輸入工具!G7, 台羅韻母表[閩拼方案]), 0)), "")</f>
        <v>ɪũ</v>
      </c>
      <c r="L7" s="199" t="str" cm="1">
        <f t="array" ref="L7" xml:space="preserve"> IF(H7&lt;&gt;"", INDEX(聲調對照表[閩拼上標調號], MATCH(TRUE, EXACT(輸入工具!H7, 聲調對照表[閩拼調號]), 0)), "")</f>
        <v>²</v>
      </c>
    </row>
    <row r="8" spans="2:12" ht="29.25">
      <c r="B8" t="s">
        <v>2502</v>
      </c>
      <c r="C8" s="19" t="s">
        <v>2517</v>
      </c>
      <c r="D8" s="202" t="s">
        <v>2518</v>
      </c>
      <c r="E8" s="201" t="str">
        <f t="shared" si="0"/>
        <v>lɪu³</v>
      </c>
      <c r="F8" s="199" t="s">
        <v>2304</v>
      </c>
      <c r="G8" s="199" t="s">
        <v>2522</v>
      </c>
      <c r="H8" s="200">
        <v>3</v>
      </c>
      <c r="I8" s="199"/>
      <c r="J8" s="199" t="str" cm="1">
        <f t="array" ref="J8" xml:space="preserve"> IF(F8&lt;&gt;"", INDEX(聲母對照表[國際音標], MATCH(TRUE, EXACT(輸入工具!F8, 聲母對照表[閩拼方案]), 0)), "")</f>
        <v>l</v>
      </c>
      <c r="K8" s="199" t="str" cm="1">
        <f t="array" ref="K8">IF(G8&lt;&gt;"", INDEX(台羅韻母表[國際音標], MATCH(TRUE, EXACT(輸入工具!G8, 台羅韻母表[閩拼方案]), 0)), "")</f>
        <v>ɪu</v>
      </c>
      <c r="L8" s="199" t="str" cm="1">
        <f t="array" ref="L8" xml:space="preserve"> IF(H8&lt;&gt;"", INDEX(聲調對照表[閩拼上標調號], MATCH(TRUE, EXACT(輸入工具!H8, 聲調對照表[閩拼調號]), 0)), "")</f>
        <v>³</v>
      </c>
    </row>
    <row r="9" spans="2:12" ht="29.25">
      <c r="B9" t="s">
        <v>2502</v>
      </c>
      <c r="C9" s="19"/>
      <c r="D9" s="202"/>
      <c r="E9" s="201" t="str">
        <f t="shared" si="0"/>
        <v/>
      </c>
      <c r="F9" s="199"/>
      <c r="G9" s="199"/>
      <c r="H9" s="200"/>
      <c r="I9" s="199"/>
      <c r="J9" s="199" t="str" cm="1">
        <f t="array" ref="J9" xml:space="preserve"> IF(F9&lt;&gt;"", INDEX(聲母對照表[國際音標], MATCH(TRUE, EXACT(輸入工具!F9, 聲母對照表[閩拼方案]), 0)), "")</f>
        <v/>
      </c>
      <c r="K9" s="199" t="str" cm="1">
        <f t="array" ref="K9">IF(G9&lt;&gt;"", INDEX(台羅韻母表[國際音標], MATCH(TRUE, EXACT(輸入工具!G9, 台羅韻母表[閩拼方案]), 0)), "")</f>
        <v/>
      </c>
      <c r="L9" s="199" t="str" cm="1">
        <f t="array" ref="L9" xml:space="preserve"> IF(H9&lt;&gt;"", INDEX(聲調對照表[閩拼上標調號], MATCH(TRUE, EXACT(輸入工具!H9, 聲調對照表[閩拼調號]), 0)), "")</f>
        <v/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95D4B-5B5A-4656-AF62-E1DF23721EB9}">
  <dimension ref="A2:L39"/>
  <sheetViews>
    <sheetView workbookViewId="0">
      <selection activeCell="O12" sqref="O12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【閩拼方案】</v>
      </c>
    </row>
    <row r="4" spans="2:12">
      <c r="B4" s="188" t="s">
        <v>895</v>
      </c>
      <c r="C4" s="188" t="s">
        <v>661</v>
      </c>
      <c r="D4" s="188" t="s">
        <v>758</v>
      </c>
      <c r="E4" s="188" t="s">
        <v>875</v>
      </c>
      <c r="F4" s="188" t="s">
        <v>2347</v>
      </c>
      <c r="G4" s="188" t="s">
        <v>2348</v>
      </c>
      <c r="H4" s="188" t="s">
        <v>2349</v>
      </c>
      <c r="J4" t="s">
        <v>2500</v>
      </c>
      <c r="K4" t="s">
        <v>934</v>
      </c>
      <c r="L4" t="s">
        <v>2501</v>
      </c>
    </row>
    <row r="5" spans="2:12" ht="29.25">
      <c r="B5" s="217">
        <f xml:space="preserve"> ROW() - 4</f>
        <v>1</v>
      </c>
      <c r="C5" s="19" t="s">
        <v>2524</v>
      </c>
      <c r="D5" s="202" t="s">
        <v>2549</v>
      </c>
      <c r="E5" s="201" t="str">
        <f xml:space="preserve"> IF(AND(F5&lt;&gt;"",G5&lt;&gt;"",H5&lt;&gt;""), _xlfn.CONCAT(J5:L5), "")</f>
        <v>hɔŋ²</v>
      </c>
      <c r="F5" s="199" t="s">
        <v>2308</v>
      </c>
      <c r="G5" s="199" t="str">
        <f>IFERROR( MID(D5, LEN(F5)+1, LEN(D5) - LEN(F5) - 1), "")</f>
        <v>ong</v>
      </c>
      <c r="H5" s="200" t="str">
        <f xml:space="preserve"> RIGHT(D5,1)</f>
        <v>2</v>
      </c>
      <c r="I5" s="199"/>
      <c r="J5" s="199" t="str" cm="1">
        <f t="array" ref="J5" xml:space="preserve"> IFERROR( IF(F5&lt;&gt;"", INDEX(聲母對照表[國際音標], MATCH(TRUE, EXACT('輸入工具 (閩拼方案)'!F5, 聲母對照表[閩拼方案]), 0)), ""), "")</f>
        <v>h</v>
      </c>
      <c r="K5" s="199" t="str" cm="1">
        <f t="array" ref="K5">IFERROR( IF(G5&lt;&gt;"", INDEX(台羅韻母表[國際音標], MATCH(TRUE, EXACT('輸入工具 (閩拼方案)'!G5, 台羅韻母表[閩拼方案]), 0)), ""), "")</f>
        <v>ɔŋ</v>
      </c>
      <c r="L5" s="199" t="str" cm="1">
        <f t="array" ref="L5" xml:space="preserve"> IF(H5&lt;&gt;"", INDEX(聲調對照表[閩拼上標調號], MATCH(TRUE, EXACT('輸入工具 (閩拼方案)'!H5, 聲調對照表[閩拼調號]), 0)), "")</f>
        <v>²</v>
      </c>
    </row>
    <row r="6" spans="2:12" ht="29.25">
      <c r="B6" s="217">
        <f xml:space="preserve"> ROW() - 4</f>
        <v>2</v>
      </c>
      <c r="C6" s="19" t="s">
        <v>2525</v>
      </c>
      <c r="D6" s="202" t="s">
        <v>2550</v>
      </c>
      <c r="E6" s="201" t="str">
        <f t="shared" ref="E6:E19" si="0" xml:space="preserve"> IF(AND(F6&lt;&gt;"",G6&lt;&gt;"",H6&lt;&gt;""), _xlfn.CONCAT(J6:L6), "")</f>
        <v>hə²</v>
      </c>
      <c r="F6" s="199" t="s">
        <v>2308</v>
      </c>
      <c r="G6" s="199" t="str">
        <f t="shared" ref="G6:G36" si="1">IFERROR( MID(D6, LEN(F6)+1, LEN(D6) - LEN(F6) - 1), "")</f>
        <v>o</v>
      </c>
      <c r="H6" s="200" t="str">
        <f t="shared" ref="H6:H36" si="2" xml:space="preserve"> RIGHT(D6,1)</f>
        <v>2</v>
      </c>
      <c r="I6" s="199"/>
      <c r="J6" s="199" t="str" cm="1">
        <f t="array" ref="J6" xml:space="preserve"> IFERROR( IF(F6&lt;&gt;"", INDEX(聲母對照表[國際音標], MATCH(TRUE, EXACT('輸入工具 (閩拼方案)'!F6, 聲母對照表[閩拼方案]), 0)), ""), "")</f>
        <v>h</v>
      </c>
      <c r="K6" s="199" t="str" cm="1">
        <f t="array" ref="K6">IFERROR( IF(G6&lt;&gt;"", INDEX(台羅韻母表[國際音標], MATCH(TRUE, EXACT('輸入工具 (閩拼方案)'!G6, 台羅韻母表[閩拼方案]), 0)), ""), "")</f>
        <v>ə</v>
      </c>
      <c r="L6" s="199" t="str" cm="1">
        <f t="array" ref="L6" xml:space="preserve"> IF(H6&lt;&gt;"", INDEX(聲調對照表[閩拼上標調號], MATCH(TRUE, EXACT('輸入工具 (閩拼方案)'!H6, 聲調對照表[閩拼調號]), 0)), "")</f>
        <v>²</v>
      </c>
    </row>
    <row r="7" spans="2:12" ht="29.25">
      <c r="B7" s="217">
        <f t="shared" ref="B7:B36" si="3" xml:space="preserve"> ROW() - 4</f>
        <v>3</v>
      </c>
      <c r="C7" s="19" t="s">
        <v>2526</v>
      </c>
      <c r="D7" s="202" t="s">
        <v>2551</v>
      </c>
      <c r="E7" s="201" t="str">
        <f t="shared" si="0"/>
        <v>uan³</v>
      </c>
      <c r="F7" s="216" t="s">
        <v>2570</v>
      </c>
      <c r="G7" s="199" t="s">
        <v>1210</v>
      </c>
      <c r="H7" s="200" t="str">
        <f t="shared" si="2"/>
        <v>3</v>
      </c>
      <c r="I7" s="199"/>
      <c r="J7" s="199" t="str" cm="1">
        <f t="array" ref="J7" xml:space="preserve"> IFERROR( IF(F7&lt;&gt;"", INDEX(聲母對照表[國際音標], MATCH(TRUE, EXACT('輸入工具 (閩拼方案)'!F7, 聲母對照表[閩拼方案]), 0)), ""), "")</f>
        <v/>
      </c>
      <c r="K7" s="199" t="str" cm="1">
        <f t="array" ref="K7">IFERROR( IF(G7&lt;&gt;"", INDEX(台羅韻母表[國際音標], MATCH(TRUE, EXACT('輸入工具 (閩拼方案)'!G7, 台羅韻母表[閩拼方案]), 0)), ""), "")</f>
        <v>uan</v>
      </c>
      <c r="L7" s="199" t="str" cm="1">
        <f t="array" ref="L7" xml:space="preserve"> IF(H7&lt;&gt;"", INDEX(聲調對照表[閩拼上標調號], MATCH(TRUE, EXACT('輸入工具 (閩拼方案)'!H7, 聲調對照表[閩拼調號]), 0)), "")</f>
        <v>³</v>
      </c>
    </row>
    <row r="8" spans="2:12" ht="29.25">
      <c r="B8" s="217">
        <f t="shared" si="3"/>
        <v>4</v>
      </c>
      <c r="C8" s="19" t="s">
        <v>2527</v>
      </c>
      <c r="D8" s="202" t="s">
        <v>2552</v>
      </c>
      <c r="E8" s="201" t="str">
        <f t="shared" si="0"/>
        <v>sɪɔŋ³</v>
      </c>
      <c r="F8" s="199" t="s">
        <v>2311</v>
      </c>
      <c r="G8" s="199" t="str">
        <f t="shared" si="1"/>
        <v>iong</v>
      </c>
      <c r="H8" s="200" t="str">
        <f t="shared" si="2"/>
        <v>3</v>
      </c>
      <c r="I8" s="199"/>
      <c r="J8" s="199" t="str" cm="1">
        <f t="array" ref="J8" xml:space="preserve"> IFERROR( IF(F8&lt;&gt;"", INDEX(聲母對照表[國際音標], MATCH(TRUE, EXACT('輸入工具 (閩拼方案)'!F8, 聲母對照表[閩拼方案]), 0)), ""), "")</f>
        <v>s</v>
      </c>
      <c r="K8" s="199" t="str" cm="1">
        <f t="array" ref="K8">IFERROR( IF(G8&lt;&gt;"", INDEX(台羅韻母表[國際音標], MATCH(TRUE, EXACT('輸入工具 (閩拼方案)'!G8, 台羅韻母表[閩拼方案]), 0)), ""), "")</f>
        <v>ɪɔŋ</v>
      </c>
      <c r="L8" s="199" t="str" cm="1">
        <f t="array" ref="L8" xml:space="preserve"> IF(H8&lt;&gt;"", INDEX(聲調對照表[閩拼上標調號], MATCH(TRUE, EXACT('輸入工具 (閩拼方案)'!H8, 聲調對照表[閩拼調號]), 0)), "")</f>
        <v>³</v>
      </c>
    </row>
    <row r="9" spans="2:12" ht="29.25">
      <c r="B9" s="217">
        <f t="shared" si="3"/>
        <v>5</v>
      </c>
      <c r="C9" s="19" t="s">
        <v>2528</v>
      </c>
      <c r="D9" s="202" t="s">
        <v>2553</v>
      </c>
      <c r="E9" s="201" t="str">
        <f t="shared" si="0"/>
        <v>pik̚⁸</v>
      </c>
      <c r="F9" s="199" t="s">
        <v>2298</v>
      </c>
      <c r="G9" s="199" t="str">
        <f t="shared" si="1"/>
        <v>ik</v>
      </c>
      <c r="H9" s="200" t="str">
        <f t="shared" si="2"/>
        <v>8</v>
      </c>
      <c r="I9" s="199"/>
      <c r="J9" s="199" t="str" cm="1">
        <f t="array" ref="J9" xml:space="preserve"> IFERROR( IF(F9&lt;&gt;"", INDEX(聲母對照表[國際音標], MATCH(TRUE, EXACT('輸入工具 (閩拼方案)'!F9, 聲母對照表[閩拼方案]), 0)), ""), "")</f>
        <v>p</v>
      </c>
      <c r="K9" s="199" t="str" cm="1">
        <f t="array" ref="K9">IFERROR( IF(G9&lt;&gt;"", INDEX(台羅韻母表[國際音標], MATCH(TRUE, EXACT('輸入工具 (閩拼方案)'!G9, 台羅韻母表[閩拼方案]), 0)), ""), "")</f>
        <v>ik̚</v>
      </c>
      <c r="L9" s="199" t="str" cm="1">
        <f t="array" ref="L9" xml:space="preserve"> IF(H9&lt;&gt;"", INDEX(聲調對照表[閩拼上標調號], MATCH(TRUE, EXACT('輸入工具 (閩拼方案)'!H9, 聲調對照表[閩拼調號]), 0)), "")</f>
        <v>⁸</v>
      </c>
    </row>
    <row r="10" spans="2:12" ht="29.25">
      <c r="B10" s="217">
        <f t="shared" si="3"/>
        <v>6</v>
      </c>
      <c r="C10" s="19" t="s">
        <v>2529</v>
      </c>
      <c r="D10" s="202" t="s">
        <v>2554</v>
      </c>
      <c r="E10" s="201" t="str">
        <f t="shared" si="0"/>
        <v>hun²</v>
      </c>
      <c r="F10" s="199" t="s">
        <v>2308</v>
      </c>
      <c r="G10" s="199" t="str">
        <f t="shared" si="1"/>
        <v>un</v>
      </c>
      <c r="H10" s="200" t="str">
        <f t="shared" si="2"/>
        <v>2</v>
      </c>
      <c r="I10" s="199"/>
      <c r="J10" s="199" t="str" cm="1">
        <f t="array" ref="J10" xml:space="preserve"> IFERROR( IF(F10&lt;&gt;"", INDEX(聲母對照表[國際音標], MATCH(TRUE, EXACT('輸入工具 (閩拼方案)'!F10, 聲母對照表[閩拼方案]), 0)), ""), "")</f>
        <v>h</v>
      </c>
      <c r="K10" s="199" t="str" cm="1">
        <f t="array" ref="K10">IFERROR( IF(G10&lt;&gt;"", INDEX(台羅韻母表[國際音標], MATCH(TRUE, EXACT('輸入工具 (閩拼方案)'!G10, 台羅韻母表[閩拼方案]), 0)), ""), "")</f>
        <v>un</v>
      </c>
      <c r="L10" s="199" t="str" cm="1">
        <f t="array" ref="L10" xml:space="preserve"> IF(H10&lt;&gt;"", INDEX(聲調對照表[閩拼上標調號], MATCH(TRUE, EXACT('輸入工具 (閩拼方案)'!H10, 聲調對照表[閩拼調號]), 0)), "")</f>
        <v>²</v>
      </c>
    </row>
    <row r="11" spans="2:12" ht="29.25">
      <c r="B11" s="217">
        <f t="shared" si="3"/>
        <v>7</v>
      </c>
      <c r="C11" s="19" t="s">
        <v>2530</v>
      </c>
      <c r="D11" s="202" t="s">
        <v>2555</v>
      </c>
      <c r="E11" s="201" t="str">
        <f t="shared" si="0"/>
        <v>kiŋ¹</v>
      </c>
      <c r="F11" s="199" t="s">
        <v>2305</v>
      </c>
      <c r="G11" s="199" t="str">
        <f t="shared" si="1"/>
        <v>ing</v>
      </c>
      <c r="H11" s="200" t="str">
        <f t="shared" si="2"/>
        <v>1</v>
      </c>
      <c r="I11" s="199"/>
      <c r="J11" s="199" t="str" cm="1">
        <f t="array" ref="J11" xml:space="preserve"> IFERROR( IF(F11&lt;&gt;"", INDEX(聲母對照表[國際音標], MATCH(TRUE, EXACT('輸入工具 (閩拼方案)'!F11, 聲母對照表[閩拼方案]), 0)), ""), "")</f>
        <v>k</v>
      </c>
      <c r="K11" s="199" t="str" cm="1">
        <f t="array" ref="K11">IFERROR( IF(G11&lt;&gt;"", INDEX(台羅韻母表[國際音標], MATCH(TRUE, EXACT('輸入工具 (閩拼方案)'!G11, 台羅韻母表[閩拼方案]), 0)), ""), "")</f>
        <v>iŋ</v>
      </c>
      <c r="L11" s="199" t="str" cm="1">
        <f t="array" ref="L11" xml:space="preserve"> IF(H11&lt;&gt;"", INDEX(聲調對照表[閩拼上標調號], MATCH(TRUE, EXACT('輸入工具 (閩拼方案)'!H11, 聲調對照表[閩拼調號]), 0)), "")</f>
        <v>¹</v>
      </c>
    </row>
    <row r="12" spans="2:12" ht="29.25">
      <c r="B12" s="217">
        <f t="shared" si="3"/>
        <v>8</v>
      </c>
      <c r="C12" s="19" t="s">
        <v>2537</v>
      </c>
      <c r="D12" s="202"/>
      <c r="E12" s="201" t="str">
        <f t="shared" si="0"/>
        <v/>
      </c>
      <c r="F12" s="199"/>
      <c r="G12" s="199" t="str">
        <f t="shared" si="1"/>
        <v/>
      </c>
      <c r="H12" s="200" t="str">
        <f t="shared" si="2"/>
        <v/>
      </c>
      <c r="I12" s="199"/>
      <c r="J12" s="199" t="str" cm="1">
        <f t="array" ref="J12" xml:space="preserve"> IFERROR( IF(F12&lt;&gt;"", INDEX(聲母對照表[國際音標], MATCH(TRUE, EXACT('輸入工具 (閩拼方案)'!F12, 聲母對照表[閩拼方案]), 0)), ""), "")</f>
        <v/>
      </c>
      <c r="K12" s="199" t="str" cm="1">
        <f t="array" ref="K12">IFERROR( IF(G12&lt;&gt;"", INDEX(台羅韻母表[國際音標], MATCH(TRUE, EXACT('輸入工具 (閩拼方案)'!G12, 台羅韻母表[閩拼方案]), 0)), ""), "")</f>
        <v/>
      </c>
      <c r="L12" s="199" t="str" cm="1">
        <f t="array" ref="L12" xml:space="preserve"> IF(H12&lt;&gt;"", INDEX(聲調對照表[閩拼上標調號], MATCH(TRUE, EXACT('輸入工具 (閩拼方案)'!H12, 聲調對照表[閩拼調號]), 0)), "")</f>
        <v/>
      </c>
    </row>
    <row r="13" spans="2:12" ht="29.25">
      <c r="B13" s="217">
        <f t="shared" si="3"/>
        <v>9</v>
      </c>
      <c r="C13" s="19" t="s">
        <v>1283</v>
      </c>
      <c r="D13" s="202" t="s">
        <v>2556</v>
      </c>
      <c r="E13" s="201" t="str">
        <f t="shared" si="0"/>
        <v>it̚⁷</v>
      </c>
      <c r="F13" s="199" t="s">
        <v>2521</v>
      </c>
      <c r="G13" s="199" t="str">
        <f t="shared" si="1"/>
        <v>it</v>
      </c>
      <c r="H13" s="200" t="str">
        <f t="shared" si="2"/>
        <v>7</v>
      </c>
      <c r="I13" s="199"/>
      <c r="J13" s="199" t="str" cm="1">
        <f t="array" ref="J13" xml:space="preserve"> IFERROR( IF(F13&lt;&gt;"", INDEX(聲母對照表[國際音標], MATCH(TRUE, EXACT('輸入工具 (閩拼方案)'!F13, 聲母對照表[閩拼方案]), 0)), ""), "")</f>
        <v/>
      </c>
      <c r="K13" s="199" t="str" cm="1">
        <f t="array" ref="K13">IFERROR( IF(G13&lt;&gt;"", INDEX(台羅韻母表[國際音標], MATCH(TRUE, EXACT('輸入工具 (閩拼方案)'!G13, 台羅韻母表[閩拼方案]), 0)), ""), "")</f>
        <v>it̚</v>
      </c>
      <c r="L13" s="199" t="str" cm="1">
        <f t="array" ref="L13" xml:space="preserve"> IF(H13&lt;&gt;"", INDEX(聲調對照表[閩拼上標調號], MATCH(TRUE, EXACT('輸入工具 (閩拼方案)'!H13, 聲調對照表[閩拼調號]), 0)), "")</f>
        <v>⁷</v>
      </c>
    </row>
    <row r="14" spans="2:12" ht="29.25">
      <c r="B14" s="217">
        <f t="shared" si="3"/>
        <v>10</v>
      </c>
      <c r="C14" s="19" t="s">
        <v>2531</v>
      </c>
      <c r="D14" s="202" t="s">
        <v>2557</v>
      </c>
      <c r="E14" s="201" t="str">
        <f t="shared" si="0"/>
        <v>pʰɪan⁵</v>
      </c>
      <c r="F14" s="199" t="s">
        <v>2299</v>
      </c>
      <c r="G14" s="199" t="str">
        <f t="shared" si="1"/>
        <v>ian</v>
      </c>
      <c r="H14" s="200" t="str">
        <f t="shared" si="2"/>
        <v>5</v>
      </c>
      <c r="I14" s="199"/>
      <c r="J14" s="199" t="str" cm="1">
        <f t="array" ref="J14" xml:space="preserve"> IFERROR( IF(F14&lt;&gt;"", INDEX(聲母對照表[國際音標], MATCH(TRUE, EXACT('輸入工具 (閩拼方案)'!F14, 聲母對照表[閩拼方案]), 0)), ""), "")</f>
        <v>pʰ</v>
      </c>
      <c r="K14" s="199" t="str" cm="1">
        <f t="array" ref="K14">IFERROR( IF(G14&lt;&gt;"", INDEX(台羅韻母表[國際音標], MATCH(TRUE, EXACT('輸入工具 (閩拼方案)'!G14, 台羅韻母表[閩拼方案]), 0)), ""), "")</f>
        <v>ɪan</v>
      </c>
      <c r="L14" s="199" t="str" cm="1">
        <f t="array" ref="L14" xml:space="preserve"> IF(H14&lt;&gt;"", INDEX(聲調對照表[閩拼上標調號], MATCH(TRUE, EXACT('輸入工具 (閩拼方案)'!H14, 聲調對照表[閩拼調號]), 0)), "")</f>
        <v>⁵</v>
      </c>
    </row>
    <row r="15" spans="2:12" ht="29.25">
      <c r="B15" s="217">
        <f t="shared" si="3"/>
        <v>11</v>
      </c>
      <c r="C15" s="19" t="s">
        <v>2532</v>
      </c>
      <c r="D15" s="202" t="s">
        <v>2558</v>
      </c>
      <c r="E15" s="201" t="str">
        <f t="shared" si="0"/>
        <v>kɔ¹</v>
      </c>
      <c r="F15" s="199" t="s">
        <v>2305</v>
      </c>
      <c r="G15" s="199" t="str">
        <f t="shared" si="1"/>
        <v>oo</v>
      </c>
      <c r="H15" s="200" t="str">
        <f t="shared" si="2"/>
        <v>1</v>
      </c>
      <c r="I15" s="199"/>
      <c r="J15" s="199" t="str" cm="1">
        <f t="array" ref="J15" xml:space="preserve"> IFERROR( IF(F15&lt;&gt;"", INDEX(聲母對照表[國際音標], MATCH(TRUE, EXACT('輸入工具 (閩拼方案)'!F15, 聲母對照表[閩拼方案]), 0)), ""), "")</f>
        <v>k</v>
      </c>
      <c r="K15" s="199" t="str" cm="1">
        <f t="array" ref="K15">IFERROR( IF(G15&lt;&gt;"", INDEX(台羅韻母表[國際音標], MATCH(TRUE, EXACT('輸入工具 (閩拼方案)'!G15, 台羅韻母表[閩拼方案]), 0)), ""), "")</f>
        <v>ɔ</v>
      </c>
      <c r="L15" s="199" t="str" cm="1">
        <f t="array" ref="L15" xml:space="preserve"> IF(H15&lt;&gt;"", INDEX(聲調對照表[閩拼上標調號], MATCH(TRUE, EXACT('輸入工具 (閩拼方案)'!H15, 聲調對照表[閩拼調號]), 0)), "")</f>
        <v>¹</v>
      </c>
    </row>
    <row r="16" spans="2:12" ht="29.25">
      <c r="B16" s="217">
        <f t="shared" si="3"/>
        <v>12</v>
      </c>
      <c r="C16" s="19" t="s">
        <v>2533</v>
      </c>
      <c r="D16" s="202" t="s">
        <v>2559</v>
      </c>
      <c r="E16" s="201" t="str">
        <f t="shared" si="0"/>
        <v>siŋ²</v>
      </c>
      <c r="F16" s="199" t="s">
        <v>2311</v>
      </c>
      <c r="G16" s="199" t="str">
        <f t="shared" si="1"/>
        <v>ing</v>
      </c>
      <c r="H16" s="200" t="str">
        <f t="shared" si="2"/>
        <v>2</v>
      </c>
      <c r="I16" s="199"/>
      <c r="J16" s="199" t="str" cm="1">
        <f t="array" ref="J16" xml:space="preserve"> IFERROR( IF(F16&lt;&gt;"", INDEX(聲母對照表[國際音標], MATCH(TRUE, EXACT('輸入工具 (閩拼方案)'!F16, 聲母對照表[閩拼方案]), 0)), ""), "")</f>
        <v>s</v>
      </c>
      <c r="K16" s="199" t="str" cm="1">
        <f t="array" ref="K16">IFERROR( IF(G16&lt;&gt;"", INDEX(台羅韻母表[國際音標], MATCH(TRUE, EXACT('輸入工具 (閩拼方案)'!G16, 台羅韻母表[閩拼方案]), 0)), ""), "")</f>
        <v>iŋ</v>
      </c>
      <c r="L16" s="199" t="str" cm="1">
        <f t="array" ref="L16" xml:space="preserve"> IF(H16&lt;&gt;"", INDEX(聲調對照表[閩拼上標調號], MATCH(TRUE, EXACT('輸入工具 (閩拼方案)'!H16, 聲調對照表[閩拼調號]), 0)), "")</f>
        <v>²</v>
      </c>
    </row>
    <row r="17" spans="2:12" ht="29.25">
      <c r="B17" s="217">
        <f t="shared" si="3"/>
        <v>13</v>
      </c>
      <c r="C17" s="19" t="s">
        <v>2534</v>
      </c>
      <c r="D17" s="202" t="s">
        <v>2560</v>
      </c>
      <c r="E17" s="201" t="str">
        <f t="shared" si="0"/>
        <v>ban³</v>
      </c>
      <c r="F17" s="199" t="s">
        <v>2300</v>
      </c>
      <c r="G17" s="199" t="str">
        <f t="shared" si="1"/>
        <v>an</v>
      </c>
      <c r="H17" s="200" t="str">
        <f t="shared" si="2"/>
        <v>3</v>
      </c>
      <c r="I17" s="199"/>
      <c r="J17" s="199" t="str" cm="1">
        <f t="array" ref="J17" xml:space="preserve"> IFERROR( IF(F17&lt;&gt;"", INDEX(聲母對照表[國際音標], MATCH(TRUE, EXACT('輸入工具 (閩拼方案)'!F17, 聲母對照表[閩拼方案]), 0)), ""), "")</f>
        <v>b</v>
      </c>
      <c r="K17" s="199" t="str" cm="1">
        <f t="array" ref="K17">IFERROR( IF(G17&lt;&gt;"", INDEX(台羅韻母表[國際音標], MATCH(TRUE, EXACT('輸入工具 (閩拼方案)'!G17, 台羅韻母表[閩拼方案]), 0)), ""), "")</f>
        <v>an</v>
      </c>
      <c r="L17" s="199" t="str" cm="1">
        <f t="array" ref="L17" xml:space="preserve"> IF(H17&lt;&gt;"", INDEX(聲調對照表[閩拼上標調號], MATCH(TRUE, EXACT('輸入工具 (閩拼方案)'!H17, 聲調對照表[閩拼調號]), 0)), "")</f>
        <v>³</v>
      </c>
    </row>
    <row r="18" spans="2:12" ht="29.25">
      <c r="B18" s="217">
        <f t="shared" si="3"/>
        <v>14</v>
      </c>
      <c r="C18" s="19" t="s">
        <v>2511</v>
      </c>
      <c r="D18" s="202" t="s">
        <v>2523</v>
      </c>
      <c r="E18" s="201" t="str">
        <f t="shared" si="0"/>
        <v>ʣim⁶</v>
      </c>
      <c r="F18" s="199" t="s">
        <v>2312</v>
      </c>
      <c r="G18" s="199" t="str">
        <f t="shared" si="1"/>
        <v>im</v>
      </c>
      <c r="H18" s="200" t="str">
        <f t="shared" si="2"/>
        <v>6</v>
      </c>
      <c r="I18" s="199"/>
      <c r="J18" s="199" t="str" cm="1">
        <f t="array" ref="J18" xml:space="preserve"> IFERROR( IF(F18&lt;&gt;"", INDEX(聲母對照表[國際音標], MATCH(TRUE, EXACT('輸入工具 (閩拼方案)'!F18, 聲母對照表[閩拼方案]), 0)), ""), "")</f>
        <v>ʣ</v>
      </c>
      <c r="K18" s="199" t="str" cm="1">
        <f t="array" ref="K18">IFERROR( IF(G18&lt;&gt;"", INDEX(台羅韻母表[國際音標], MATCH(TRUE, EXACT('輸入工具 (閩拼方案)'!G18, 台羅韻母表[閩拼方案]), 0)), ""), "")</f>
        <v>im</v>
      </c>
      <c r="L18" s="199" t="str" cm="1">
        <f t="array" ref="L18" xml:space="preserve"> IF(H18&lt;&gt;"", INDEX(聲調對照表[閩拼上標調號], MATCH(TRUE, EXACT('輸入工具 (閩拼方案)'!H18, 聲調對照表[閩拼調號]), 0)), "")</f>
        <v>⁶</v>
      </c>
    </row>
    <row r="19" spans="2:12" ht="29.25">
      <c r="B19" s="217">
        <f t="shared" si="3"/>
        <v>15</v>
      </c>
      <c r="C19" s="19" t="s">
        <v>2535</v>
      </c>
      <c r="D19" s="202" t="s">
        <v>2561</v>
      </c>
      <c r="E19" s="201" t="str">
        <f t="shared" si="0"/>
        <v>san¹</v>
      </c>
      <c r="F19" s="199" t="s">
        <v>2311</v>
      </c>
      <c r="G19" s="199" t="str">
        <f t="shared" si="1"/>
        <v>an</v>
      </c>
      <c r="H19" s="200" t="str">
        <f t="shared" si="2"/>
        <v>1</v>
      </c>
      <c r="I19" s="199"/>
      <c r="J19" s="199" t="str" cm="1">
        <f t="array" ref="J19" xml:space="preserve"> IFERROR( IF(F19&lt;&gt;"", INDEX(聲母對照表[國際音標], MATCH(TRUE, EXACT('輸入工具 (閩拼方案)'!F19, 聲母對照表[閩拼方案]), 0)), ""), "")</f>
        <v>s</v>
      </c>
      <c r="K19" s="199" t="str" cm="1">
        <f t="array" ref="K19">IFERROR( IF(G19&lt;&gt;"", INDEX(台羅韻母表[國際音標], MATCH(TRUE, EXACT('輸入工具 (閩拼方案)'!G19, 台羅韻母表[閩拼方案]), 0)), ""), "")</f>
        <v>an</v>
      </c>
      <c r="L19" s="199" t="str" cm="1">
        <f t="array" ref="L19" xml:space="preserve"> IF(H19&lt;&gt;"", INDEX(聲調對照表[閩拼上標調號], MATCH(TRUE, EXACT('輸入工具 (閩拼方案)'!H19, 聲調對照表[閩拼調號]), 0)), "")</f>
        <v>¹</v>
      </c>
    </row>
    <row r="20" spans="2:12" ht="29.25">
      <c r="B20" s="217">
        <f t="shared" si="3"/>
        <v>16</v>
      </c>
      <c r="C20" s="19" t="s">
        <v>2536</v>
      </c>
      <c r="D20" s="202"/>
      <c r="E20" s="201"/>
      <c r="F20" s="199"/>
      <c r="G20" s="199" t="str">
        <f t="shared" si="1"/>
        <v/>
      </c>
      <c r="H20" s="200" t="str">
        <f t="shared" si="2"/>
        <v/>
      </c>
      <c r="I20" s="199"/>
      <c r="J20" s="199" t="str" cm="1">
        <f t="array" ref="J20" xml:space="preserve"> IFERROR( IF(F20&lt;&gt;"", INDEX(聲母對照表[國際音標], MATCH(TRUE, EXACT('輸入工具 (閩拼方案)'!F20, 聲母對照表[閩拼方案]), 0)), ""), "")</f>
        <v/>
      </c>
      <c r="K20" s="199" t="str" cm="1">
        <f t="array" ref="K20">IFERROR( IF(G20&lt;&gt;"", INDEX(台羅韻母表[國際音標], MATCH(TRUE, EXACT('輸入工具 (閩拼方案)'!G20, 台羅韻母表[閩拼方案]), 0)), ""), "")</f>
        <v/>
      </c>
      <c r="L20" s="199" t="str" cm="1">
        <f t="array" ref="L20" xml:space="preserve"> IF(H20&lt;&gt;"", INDEX(聲調對照表[閩拼上標調號], MATCH(TRUE, EXACT('輸入工具 (閩拼方案)'!H20, 聲調對照表[閩拼調號]), 0)), "")</f>
        <v/>
      </c>
    </row>
    <row r="21" spans="2:12" ht="29.25">
      <c r="B21" s="217">
        <f t="shared" si="3"/>
        <v>17</v>
      </c>
      <c r="C21" s="19" t="s">
        <v>2512</v>
      </c>
      <c r="D21" s="202" t="s">
        <v>2515</v>
      </c>
      <c r="E21" s="201" t="str">
        <f xml:space="preserve"> IF(AND(F21&lt;&gt;"",G21&lt;&gt;"",H21&lt;&gt;""), _xlfn.CONCAT(J21:L21), "")</f>
        <v>kɪũ¹</v>
      </c>
      <c r="F21" s="199" t="s">
        <v>2305</v>
      </c>
      <c r="G21" s="199" t="str">
        <f t="shared" si="1"/>
        <v>niu</v>
      </c>
      <c r="H21" s="200" t="str">
        <f t="shared" si="2"/>
        <v>1</v>
      </c>
      <c r="I21" s="199"/>
      <c r="J21" s="199" t="str" cm="1">
        <f t="array" ref="J21" xml:space="preserve"> IFERROR( IF(F21&lt;&gt;"", INDEX(聲母對照表[國際音標], MATCH(TRUE, EXACT('輸入工具 (閩拼方案)'!F21, 聲母對照表[閩拼方案]), 0)), ""), "")</f>
        <v>k</v>
      </c>
      <c r="K21" s="199" t="str" cm="1">
        <f t="array" ref="K21">IFERROR( IF(G21&lt;&gt;"", INDEX(台羅韻母表[國際音標], MATCH(TRUE, EXACT('輸入工具 (閩拼方案)'!G21, 台羅韻母表[閩拼方案]), 0)), ""), "")</f>
        <v>ɪũ</v>
      </c>
      <c r="L21" s="199" t="str" cm="1">
        <f t="array" ref="L21" xml:space="preserve"> IF(H21&lt;&gt;"", INDEX(聲調對照表[閩拼上標調號], MATCH(TRUE, EXACT('輸入工具 (閩拼方案)'!H21, 聲調對照表[閩拼調號]), 0)), "")</f>
        <v>¹</v>
      </c>
    </row>
    <row r="22" spans="2:12" ht="29.25">
      <c r="B22" s="217">
        <f t="shared" si="3"/>
        <v>18</v>
      </c>
      <c r="C22" s="19" t="s">
        <v>2538</v>
      </c>
      <c r="D22" s="202" t="s">
        <v>2562</v>
      </c>
      <c r="E22" s="201" t="str">
        <f xml:space="preserve"> IF(AND(F22&lt;&gt;"",G22&lt;&gt;"",H22&lt;&gt;""), _xlfn.CONCAT(J22:L22), "")</f>
        <v>tik̚⁸</v>
      </c>
      <c r="F22" s="199" t="s">
        <v>2301</v>
      </c>
      <c r="G22" s="199" t="str">
        <f t="shared" si="1"/>
        <v>ik</v>
      </c>
      <c r="H22" s="200" t="str">
        <f t="shared" si="2"/>
        <v>8</v>
      </c>
      <c r="I22" s="199"/>
      <c r="J22" s="199" t="str" cm="1">
        <f t="array" ref="J22" xml:space="preserve"> IFERROR( IF(F22&lt;&gt;"", INDEX(聲母對照表[國際音標], MATCH(TRUE, EXACT('輸入工具 (閩拼方案)'!F22, 聲母對照表[閩拼方案]), 0)), ""), "")</f>
        <v>t</v>
      </c>
      <c r="K22" s="199" t="str" cm="1">
        <f t="array" ref="K22">IFERROR( IF(G22&lt;&gt;"", INDEX(台羅韻母表[國際音標], MATCH(TRUE, EXACT('輸入工具 (閩拼方案)'!G22, 台羅韻母表[閩拼方案]), 0)), ""), "")</f>
        <v>ik̚</v>
      </c>
      <c r="L22" s="199" t="str" cm="1">
        <f t="array" ref="L22" xml:space="preserve"> IF(H22&lt;&gt;"", INDEX(聲調對照表[閩拼上標調號], MATCH(TRUE, EXACT('輸入工具 (閩拼方案)'!H22, 聲調對照表[閩拼調號]), 0)), "")</f>
        <v>⁸</v>
      </c>
    </row>
    <row r="23" spans="2:12" ht="29.25">
      <c r="B23" s="217">
        <f t="shared" si="3"/>
        <v>19</v>
      </c>
      <c r="C23" s="19" t="s">
        <v>2539</v>
      </c>
      <c r="D23" s="202" t="s">
        <v>2550</v>
      </c>
      <c r="E23" s="201" t="str">
        <f xml:space="preserve"> IF(AND(F23&lt;&gt;"",G23&lt;&gt;"",H23&lt;&gt;""), _xlfn.CONCAT(J23:L23), "")</f>
        <v>hə²</v>
      </c>
      <c r="F23" s="199" t="s">
        <v>2308</v>
      </c>
      <c r="G23" s="199" t="str">
        <f t="shared" si="1"/>
        <v>o</v>
      </c>
      <c r="H23" s="200" t="str">
        <f t="shared" si="2"/>
        <v>2</v>
      </c>
      <c r="I23" s="199"/>
      <c r="J23" s="199" t="str" cm="1">
        <f t="array" ref="J23" xml:space="preserve"> IFERROR( IF(F23&lt;&gt;"", INDEX(聲母對照表[國際音標], MATCH(TRUE, EXACT('輸入工具 (閩拼方案)'!F23, 聲母對照表[閩拼方案]), 0)), ""), "")</f>
        <v>h</v>
      </c>
      <c r="K23" s="199" t="str" cm="1">
        <f t="array" ref="K23">IFERROR( IF(G23&lt;&gt;"", INDEX(台羅韻母表[國際音標], MATCH(TRUE, EXACT('輸入工具 (閩拼方案)'!G23, 台羅韻母表[閩拼方案]), 0)), ""), "")</f>
        <v>ə</v>
      </c>
      <c r="L23" s="199" t="str" cm="1">
        <f t="array" ref="L23" xml:space="preserve"> IF(H23&lt;&gt;"", INDEX(聲調對照表[閩拼上標調號], MATCH(TRUE, EXACT('輸入工具 (閩拼方案)'!H23, 聲調對照表[閩拼調號]), 0)), "")</f>
        <v>²</v>
      </c>
    </row>
    <row r="24" spans="2:12" ht="29.25">
      <c r="B24" s="217">
        <f t="shared" si="3"/>
        <v>20</v>
      </c>
      <c r="C24" s="19" t="s">
        <v>2540</v>
      </c>
      <c r="D24" s="202" t="s">
        <v>2563</v>
      </c>
      <c r="E24" s="201" t="str">
        <f xml:space="preserve"> IF(AND(F24&lt;&gt;"",G24&lt;&gt;"",H24&lt;&gt;""), _xlfn.CONCAT(J24:L24), "")</f>
        <v>su¹</v>
      </c>
      <c r="F24" s="199" t="s">
        <v>2311</v>
      </c>
      <c r="G24" s="199" t="str">
        <f t="shared" si="1"/>
        <v>u</v>
      </c>
      <c r="H24" s="200" t="str">
        <f t="shared" si="2"/>
        <v>1</v>
      </c>
      <c r="I24" s="199"/>
      <c r="J24" s="199" t="str" cm="1">
        <f t="array" ref="J24" xml:space="preserve"> IFERROR( IF(F24&lt;&gt;"", INDEX(聲母對照表[國際音標], MATCH(TRUE, EXACT('輸入工具 (閩拼方案)'!F24, 聲母對照表[閩拼方案]), 0)), ""), "")</f>
        <v>s</v>
      </c>
      <c r="K24" s="199" t="str" cm="1">
        <f t="array" ref="K24">IFERROR( IF(G24&lt;&gt;"", INDEX(台羅韻母表[國際音標], MATCH(TRUE, EXACT('輸入工具 (閩拼方案)'!G24, 台羅韻母表[閩拼方案]), 0)), ""), "")</f>
        <v>u</v>
      </c>
      <c r="L24" s="199" t="str" cm="1">
        <f t="array" ref="L24" xml:space="preserve"> IF(H24&lt;&gt;"", INDEX(聲調對照表[閩拼上標調號], MATCH(TRUE, EXACT('輸入工具 (閩拼方案)'!H24, 聲調對照表[閩拼調號]), 0)), "")</f>
        <v>¹</v>
      </c>
    </row>
    <row r="25" spans="2:12" ht="29.25">
      <c r="B25" s="217">
        <f t="shared" si="3"/>
        <v>21</v>
      </c>
      <c r="C25" s="19" t="s">
        <v>2541</v>
      </c>
      <c r="D25" s="202" t="s">
        <v>2607</v>
      </c>
      <c r="E25" s="201" t="str">
        <f t="shared" ref="E25" si="4" xml:space="preserve"> IF(AND(F25&lt;&gt;"",G25&lt;&gt;"",H25&lt;&gt;""), _xlfn.CONCAT(J25:L25), "")</f>
        <v>uan⁵</v>
      </c>
      <c r="F25" s="199" t="s">
        <v>2570</v>
      </c>
      <c r="G25" s="199" t="s">
        <v>1210</v>
      </c>
      <c r="H25" s="200" t="str">
        <f t="shared" si="2"/>
        <v>5</v>
      </c>
      <c r="I25" s="199"/>
      <c r="J25" s="199" t="str" cm="1">
        <f t="array" ref="J25" xml:space="preserve"> IFERROR( IF(F25&lt;&gt;"", INDEX(聲母對照表[國際音標], MATCH(TRUE, EXACT('輸入工具 (閩拼方案)'!F25, 聲母對照表[閩拼方案]), 0)), ""), "")</f>
        <v/>
      </c>
      <c r="K25" s="199" t="str" cm="1">
        <f t="array" ref="K25">IFERROR( IF(G25&lt;&gt;"", INDEX(台羅韻母表[國際音標], MATCH(TRUE, EXACT('輸入工具 (閩拼方案)'!G25, 台羅韻母表[閩拼方案]), 0)), ""), "")</f>
        <v>uan</v>
      </c>
      <c r="L25" s="199" t="str" cm="1">
        <f t="array" ref="L25" xml:space="preserve"> IF(H25&lt;&gt;"", INDEX(聲調對照表[閩拼上標調號], MATCH(TRUE, EXACT('輸入工具 (閩拼方案)'!H25, 聲調對照表[閩拼調號]), 0)), "")</f>
        <v>⁵</v>
      </c>
    </row>
    <row r="26" spans="2:12" ht="29.25">
      <c r="B26" s="217">
        <f t="shared" si="3"/>
        <v>22</v>
      </c>
      <c r="C26" s="19" t="s">
        <v>2516</v>
      </c>
      <c r="D26" s="202" t="s">
        <v>2519</v>
      </c>
      <c r="E26" s="201" t="str">
        <f t="shared" ref="E26:E35" si="5" xml:space="preserve"> IF(AND(F26&lt;&gt;"",G26&lt;&gt;"",H26&lt;&gt;""), _xlfn.CONCAT(J26:L26), "")</f>
        <v>ɪũ²</v>
      </c>
      <c r="F26" s="199" t="s">
        <v>2521</v>
      </c>
      <c r="G26" s="199" t="s">
        <v>2520</v>
      </c>
      <c r="H26" s="200" t="str">
        <f t="shared" si="2"/>
        <v>2</v>
      </c>
      <c r="I26" s="199"/>
      <c r="J26" s="199" t="str" cm="1">
        <f t="array" ref="J26" xml:space="preserve"> IFERROR( IF(F26&lt;&gt;"", INDEX(聲母對照表[國際音標], MATCH(TRUE, EXACT('輸入工具 (閩拼方案)'!F26, 聲母對照表[閩拼方案]), 0)), ""), "")</f>
        <v/>
      </c>
      <c r="K26" s="199" t="str" cm="1">
        <f t="array" ref="K26">IFERROR( IF(G26&lt;&gt;"", INDEX(台羅韻母表[國際音標], MATCH(TRUE, EXACT('輸入工具 (閩拼方案)'!G26, 台羅韻母表[閩拼方案]), 0)), ""), "")</f>
        <v>ɪũ</v>
      </c>
      <c r="L26" s="199" t="str" cm="1">
        <f t="array" ref="L26" xml:space="preserve"> IF(H26&lt;&gt;"", INDEX(聲調對照表[閩拼上標調號], MATCH(TRUE, EXACT('輸入工具 (閩拼方案)'!H26, 聲調對照表[閩拼調號]), 0)), "")</f>
        <v>²</v>
      </c>
    </row>
    <row r="27" spans="2:12" ht="29.25">
      <c r="B27" s="217">
        <f t="shared" si="3"/>
        <v>23</v>
      </c>
      <c r="C27" s="19" t="s">
        <v>2517</v>
      </c>
      <c r="D27" s="202" t="s">
        <v>2518</v>
      </c>
      <c r="E27" s="201" t="str">
        <f t="shared" si="5"/>
        <v>lɪu³</v>
      </c>
      <c r="F27" s="199" t="s">
        <v>2304</v>
      </c>
      <c r="G27" s="199" t="str">
        <f t="shared" si="1"/>
        <v>iu</v>
      </c>
      <c r="H27" s="200" t="str">
        <f t="shared" si="2"/>
        <v>3</v>
      </c>
      <c r="I27" s="199"/>
      <c r="J27" s="199" t="str" cm="1">
        <f t="array" ref="J27" xml:space="preserve"> IFERROR( IF(F27&lt;&gt;"", INDEX(聲母對照表[國際音標], MATCH(TRUE, EXACT('輸入工具 (閩拼方案)'!F27, 聲母對照表[閩拼方案]), 0)), ""), "")</f>
        <v>l</v>
      </c>
      <c r="K27" s="199" t="str" cm="1">
        <f t="array" ref="K27">IFERROR( IF(G27&lt;&gt;"", INDEX(台羅韻母表[國際音標], MATCH(TRUE, EXACT('輸入工具 (閩拼方案)'!G27, 台羅韻母表[閩拼方案]), 0)), ""), "")</f>
        <v>ɪu</v>
      </c>
      <c r="L27" s="199" t="str" cm="1">
        <f t="array" ref="L27" xml:space="preserve"> IF(H27&lt;&gt;"", INDEX(聲調對照表[閩拼上標調號], MATCH(TRUE, EXACT('輸入工具 (閩拼方案)'!H27, 聲調對照表[閩拼調號]), 0)), "")</f>
        <v>³</v>
      </c>
    </row>
    <row r="28" spans="2:12" ht="29.25">
      <c r="B28" s="217">
        <f t="shared" si="3"/>
        <v>24</v>
      </c>
      <c r="C28" s="19" t="s">
        <v>2537</v>
      </c>
      <c r="D28" s="202"/>
      <c r="E28" s="201" t="str">
        <f t="shared" si="5"/>
        <v/>
      </c>
      <c r="F28" s="199"/>
      <c r="G28" s="199" t="str">
        <f t="shared" si="1"/>
        <v/>
      </c>
      <c r="H28" s="200" t="str">
        <f t="shared" si="2"/>
        <v/>
      </c>
      <c r="I28" s="199"/>
      <c r="J28" s="199" t="str" cm="1">
        <f t="array" ref="J28" xml:space="preserve"> IFERROR( IF(F28&lt;&gt;"", INDEX(聲母對照表[國際音標], MATCH(TRUE, EXACT('輸入工具 (閩拼方案)'!F28, 聲母對照表[閩拼方案]), 0)), ""), "")</f>
        <v/>
      </c>
      <c r="K28" s="199" t="str" cm="1">
        <f t="array" ref="K28">IFERROR( IF(G28&lt;&gt;"", INDEX(台羅韻母表[國際音標], MATCH(TRUE, EXACT('輸入工具 (閩拼方案)'!G28, 台羅韻母表[閩拼方案]), 0)), ""), "")</f>
        <v/>
      </c>
      <c r="L28" s="199" t="str" cm="1">
        <f t="array" ref="L28" xml:space="preserve"> IF(H28&lt;&gt;"", INDEX(聲調對照表[閩拼上標調號], MATCH(TRUE, EXACT('輸入工具 (閩拼方案)'!H28, 聲調對照表[閩拼調號]), 0)), "")</f>
        <v/>
      </c>
    </row>
    <row r="29" spans="2:12" ht="29.25">
      <c r="B29" s="217">
        <f t="shared" si="3"/>
        <v>25</v>
      </c>
      <c r="C29" s="19" t="s">
        <v>2542</v>
      </c>
      <c r="D29" s="202" t="s">
        <v>2564</v>
      </c>
      <c r="E29" s="201" t="str">
        <f t="shared" si="5"/>
        <v>ʦʰun¹</v>
      </c>
      <c r="F29" s="199" t="s">
        <v>2310</v>
      </c>
      <c r="G29" s="199" t="str">
        <f t="shared" si="1"/>
        <v>un</v>
      </c>
      <c r="H29" s="200" t="str">
        <f t="shared" si="2"/>
        <v>1</v>
      </c>
      <c r="I29" s="199"/>
      <c r="J29" s="199" t="str" cm="1">
        <f t="array" ref="J29" xml:space="preserve"> IFERROR( IF(F29&lt;&gt;"", INDEX(聲母對照表[國際音標], MATCH(TRUE, EXACT('輸入工具 (閩拼方案)'!F29, 聲母對照表[閩拼方案]), 0)), ""), "")</f>
        <v>ʦʰ</v>
      </c>
      <c r="K29" s="199" t="str" cm="1">
        <f t="array" ref="K29">IFERROR( IF(G29&lt;&gt;"", INDEX(台羅韻母表[國際音標], MATCH(TRUE, EXACT('輸入工具 (閩拼方案)'!G29, 台羅韻母表[閩拼方案]), 0)), ""), "")</f>
        <v>un</v>
      </c>
      <c r="L29" s="199" t="str" cm="1">
        <f t="array" ref="L29" xml:space="preserve"> IF(H29&lt;&gt;"", INDEX(聲調對照表[閩拼上標調號], MATCH(TRUE, EXACT('輸入工具 (閩拼方案)'!H29, 聲調對照表[閩拼調號]), 0)), "")</f>
        <v>¹</v>
      </c>
    </row>
    <row r="30" spans="2:12" ht="29.25">
      <c r="B30" s="217">
        <f t="shared" si="3"/>
        <v>26</v>
      </c>
      <c r="C30" s="19" t="s">
        <v>2543</v>
      </c>
      <c r="D30" s="202" t="s">
        <v>2565</v>
      </c>
      <c r="E30" s="201" t="str">
        <f t="shared" si="5"/>
        <v>hɔŋ¹</v>
      </c>
      <c r="F30" s="199" t="s">
        <v>2308</v>
      </c>
      <c r="G30" s="199" t="str">
        <f t="shared" si="1"/>
        <v>ong</v>
      </c>
      <c r="H30" s="200" t="str">
        <f t="shared" si="2"/>
        <v>1</v>
      </c>
      <c r="I30" s="199"/>
      <c r="J30" s="199" t="str" cm="1">
        <f t="array" ref="J30" xml:space="preserve"> IFERROR( IF(F30&lt;&gt;"", INDEX(聲母對照表[國際音標], MATCH(TRUE, EXACT('輸入工具 (閩拼方案)'!F30, 聲母對照表[閩拼方案]), 0)), ""), "")</f>
        <v>h</v>
      </c>
      <c r="K30" s="199" t="str" cm="1">
        <f t="array" ref="K30">IFERROR( IF(G30&lt;&gt;"", INDEX(台羅韻母表[國際音標], MATCH(TRUE, EXACT('輸入工具 (閩拼方案)'!G30, 台羅韻母表[閩拼方案]), 0)), ""), "")</f>
        <v>ɔŋ</v>
      </c>
      <c r="L30" s="199" t="str" cm="1">
        <f t="array" ref="L30" xml:space="preserve"> IF(H30&lt;&gt;"", INDEX(聲調對照表[閩拼上標調號], MATCH(TRUE, EXACT('輸入工具 (閩拼方案)'!H30, 聲調對照表[閩拼調號]), 0)), "")</f>
        <v>¹</v>
      </c>
    </row>
    <row r="31" spans="2:12" ht="29.25">
      <c r="B31" s="217">
        <f t="shared" si="3"/>
        <v>27</v>
      </c>
      <c r="C31" s="19" t="s">
        <v>2544</v>
      </c>
      <c r="D31" s="202" t="s">
        <v>2566</v>
      </c>
      <c r="E31" s="201" t="str">
        <f t="shared" si="5"/>
        <v>put̚⁷</v>
      </c>
      <c r="F31" s="199" t="s">
        <v>2298</v>
      </c>
      <c r="G31" s="199" t="str">
        <f t="shared" si="1"/>
        <v>ut</v>
      </c>
      <c r="H31" s="200" t="str">
        <f t="shared" si="2"/>
        <v>7</v>
      </c>
      <c r="I31" s="199"/>
      <c r="J31" s="199" t="str" cm="1">
        <f t="array" ref="J31" xml:space="preserve"> IFERROR( IF(F31&lt;&gt;"", INDEX(聲母對照表[國際音標], MATCH(TRUE, EXACT('輸入工具 (閩拼方案)'!F31, 聲母對照表[閩拼方案]), 0)), ""), "")</f>
        <v>p</v>
      </c>
      <c r="K31" s="199" t="str" cm="1">
        <f t="array" ref="K31">IFERROR( IF(G31&lt;&gt;"", INDEX(台羅韻母表[國際音標], MATCH(TRUE, EXACT('輸入工具 (閩拼方案)'!G31, 台羅韻母表[閩拼方案]), 0)), ""), "")</f>
        <v>ut̚</v>
      </c>
      <c r="L31" s="199" t="str" cm="1">
        <f t="array" ref="L31" xml:space="preserve"> IF(H31&lt;&gt;"", INDEX(聲調對照表[閩拼上標調號], MATCH(TRUE, EXACT('輸入工具 (閩拼方案)'!H31, 聲調對照表[閩拼調號]), 0)), "")</f>
        <v>⁷</v>
      </c>
    </row>
    <row r="32" spans="2:12" ht="29.25">
      <c r="B32" s="217">
        <f t="shared" si="3"/>
        <v>28</v>
      </c>
      <c r="C32" s="19" t="s">
        <v>2545</v>
      </c>
      <c r="D32" s="202" t="s">
        <v>2567</v>
      </c>
      <c r="E32" s="201" t="str">
        <f t="shared" si="5"/>
        <v>tɔ⁶</v>
      </c>
      <c r="F32" s="199" t="s">
        <v>2301</v>
      </c>
      <c r="G32" s="199" t="str">
        <f t="shared" si="1"/>
        <v>oo</v>
      </c>
      <c r="H32" s="200" t="str">
        <f t="shared" si="2"/>
        <v>6</v>
      </c>
      <c r="I32" s="199"/>
      <c r="J32" s="199" t="str" cm="1">
        <f t="array" ref="J32" xml:space="preserve"> IFERROR( IF(F32&lt;&gt;"", INDEX(聲母對照表[國際音標], MATCH(TRUE, EXACT('輸入工具 (閩拼方案)'!F32, 聲母對照表[閩拼方案]), 0)), ""), "")</f>
        <v>t</v>
      </c>
      <c r="K32" s="199" t="str" cm="1">
        <f t="array" ref="K32">IFERROR( IF(G32&lt;&gt;"", INDEX(台羅韻母表[國際音標], MATCH(TRUE, EXACT('輸入工具 (閩拼方案)'!G32, 台羅韻母表[閩拼方案]), 0)), ""), "")</f>
        <v>ɔ</v>
      </c>
      <c r="L32" s="199" t="str" cm="1">
        <f t="array" ref="L32" xml:space="preserve"> IF(H32&lt;&gt;"", INDEX(聲調對照表[閩拼上標調號], MATCH(TRUE, EXACT('輸入工具 (閩拼方案)'!H32, 聲調對照表[閩拼調號]), 0)), "")</f>
        <v>⁶</v>
      </c>
    </row>
    <row r="33" spans="1:12" ht="29.25">
      <c r="B33" s="217">
        <f t="shared" si="3"/>
        <v>29</v>
      </c>
      <c r="C33" s="19" t="s">
        <v>2546</v>
      </c>
      <c r="D33" s="202" t="s">
        <v>2568</v>
      </c>
      <c r="E33" s="201" t="str">
        <f t="shared" si="5"/>
        <v>ɡɪɔk̚⁸</v>
      </c>
      <c r="F33" s="199" t="s">
        <v>2307</v>
      </c>
      <c r="G33" s="199" t="str">
        <f t="shared" si="1"/>
        <v>iok</v>
      </c>
      <c r="H33" s="200" t="str">
        <f t="shared" si="2"/>
        <v>8</v>
      </c>
      <c r="I33" s="199"/>
      <c r="J33" s="199" t="str" cm="1">
        <f t="array" ref="J33" xml:space="preserve"> IFERROR( IF(F33&lt;&gt;"", INDEX(聲母對照表[國際音標], MATCH(TRUE, EXACT('輸入工具 (閩拼方案)'!F33, 聲母對照表[閩拼方案]), 0)), ""), "")</f>
        <v>ɡ</v>
      </c>
      <c r="K33" s="199" t="str" cm="1">
        <f t="array" ref="K33">IFERROR( IF(G33&lt;&gt;"", INDEX(台羅韻母表[國際音標], MATCH(TRUE, EXACT('輸入工具 (閩拼方案)'!G33, 台羅韻母表[閩拼方案]), 0)), ""), "")</f>
        <v>ɪɔk̚</v>
      </c>
      <c r="L33" s="199" t="str" cm="1">
        <f t="array" ref="L33" xml:space="preserve"> IF(H33&lt;&gt;"", INDEX(聲調對照表[閩拼上標調號], MATCH(TRUE, EXACT('輸入工具 (閩拼方案)'!H33, 聲調對照表[閩拼調號]), 0)), "")</f>
        <v>⁸</v>
      </c>
    </row>
    <row r="34" spans="1:12" ht="29.25">
      <c r="B34" s="217">
        <f t="shared" si="3"/>
        <v>30</v>
      </c>
      <c r="C34" s="19" t="s">
        <v>2510</v>
      </c>
      <c r="D34" s="202" t="s">
        <v>2514</v>
      </c>
      <c r="E34" s="201" t="str">
        <f t="shared" si="5"/>
        <v>bŋ̍²</v>
      </c>
      <c r="F34" s="199" t="s">
        <v>2300</v>
      </c>
      <c r="G34" s="199" t="str">
        <f t="shared" si="1"/>
        <v>ng</v>
      </c>
      <c r="H34" s="200" t="str">
        <f t="shared" si="2"/>
        <v>2</v>
      </c>
      <c r="I34" s="199"/>
      <c r="J34" s="199" t="str" cm="1">
        <f t="array" ref="J34" xml:space="preserve"> IFERROR( IF(F34&lt;&gt;"", INDEX(聲母對照表[國際音標], MATCH(TRUE, EXACT('輸入工具 (閩拼方案)'!F34, 聲母對照表[閩拼方案]), 0)), ""), "")</f>
        <v>b</v>
      </c>
      <c r="K34" s="199" t="str" cm="1">
        <f t="array" ref="K34">IFERROR( IF(G34&lt;&gt;"", INDEX(台羅韻母表[國際音標], MATCH(TRUE, EXACT('輸入工具 (閩拼方案)'!G34, 台羅韻母表[閩拼方案]), 0)), ""), "")</f>
        <v>ŋ̍</v>
      </c>
      <c r="L34" s="199" t="str" cm="1">
        <f t="array" ref="L34" xml:space="preserve"> IF(H34&lt;&gt;"", INDEX(聲調對照表[閩拼上標調號], MATCH(TRUE, EXACT('輸入工具 (閩拼方案)'!H34, 聲調對照表[閩拼調號]), 0)), "")</f>
        <v>²</v>
      </c>
    </row>
    <row r="35" spans="1:12" ht="29.25">
      <c r="B35" s="217">
        <f t="shared" si="3"/>
        <v>31</v>
      </c>
      <c r="C35" s="19" t="s">
        <v>2547</v>
      </c>
      <c r="D35" s="202" t="s">
        <v>2569</v>
      </c>
      <c r="E35" s="201" t="str">
        <f t="shared" si="5"/>
        <v>kuan¹</v>
      </c>
      <c r="F35" s="199" t="s">
        <v>2305</v>
      </c>
      <c r="G35" s="199" t="str">
        <f t="shared" si="1"/>
        <v>uan</v>
      </c>
      <c r="H35" s="200" t="str">
        <f t="shared" si="2"/>
        <v>1</v>
      </c>
      <c r="I35" s="199"/>
      <c r="J35" s="199" t="str" cm="1">
        <f t="array" ref="J35" xml:space="preserve"> IFERROR( IF(F35&lt;&gt;"", INDEX(聲母對照表[國際音標], MATCH(TRUE, EXACT('輸入工具 (閩拼方案)'!F35, 聲母對照表[閩拼方案]), 0)), ""), "")</f>
        <v>k</v>
      </c>
      <c r="K35" s="199" t="str" cm="1">
        <f t="array" ref="K35">IFERROR( IF(G35&lt;&gt;"", INDEX(台羅韻母表[國際音標], MATCH(TRUE, EXACT('輸入工具 (閩拼方案)'!G35, 台羅韻母表[閩拼方案]), 0)), ""), "")</f>
        <v>uan</v>
      </c>
      <c r="L35" s="199" t="str" cm="1">
        <f t="array" ref="L35" xml:space="preserve"> IF(H35&lt;&gt;"", INDEX(聲調對照表[閩拼上標調號], MATCH(TRUE, EXACT('輸入工具 (閩拼方案)'!H35, 聲調對照表[閩拼調號]), 0)), "")</f>
        <v>¹</v>
      </c>
    </row>
    <row r="36" spans="1:12" ht="29.25">
      <c r="B36" s="217">
        <f t="shared" si="3"/>
        <v>32</v>
      </c>
      <c r="C36" s="19" t="s">
        <v>2536</v>
      </c>
      <c r="D36" s="202"/>
      <c r="E36" s="201"/>
      <c r="F36" s="199"/>
      <c r="G36" s="199" t="str">
        <f t="shared" si="1"/>
        <v/>
      </c>
      <c r="H36" s="200" t="str">
        <f t="shared" si="2"/>
        <v/>
      </c>
      <c r="I36" s="199"/>
      <c r="J36" s="199" t="str" cm="1">
        <f t="array" ref="J36" xml:space="preserve"> IFERROR( IF(F36&lt;&gt;"", INDEX(聲母對照表[國際音標], MATCH(TRUE, EXACT('輸入工具 (閩拼方案)'!F36, 聲母對照表[閩拼方案]), 0)), ""), "")</f>
        <v/>
      </c>
      <c r="K36" s="199" t="str" cm="1">
        <f t="array" ref="K36">IFERROR( IF(G36&lt;&gt;"", INDEX(台羅韻母表[國際音標], MATCH(TRUE, EXACT('輸入工具 (閩拼方案)'!G36, 台羅韻母表[閩拼方案]), 0)), ""), "")</f>
        <v/>
      </c>
      <c r="L36" s="199" t="str" cm="1">
        <f t="array" ref="L36" xml:space="preserve"> IF(H36&lt;&gt;"", INDEX(聲調對照表[閩拼上標調號], MATCH(TRUE, EXACT('輸入工具 (閩拼方案)'!H36, 聲調對照表[閩拼調號]), 0)), "")</f>
        <v/>
      </c>
    </row>
    <row r="39" spans="1:12" ht="29.25">
      <c r="A39" s="200"/>
      <c r="B39" s="200"/>
      <c r="C39" s="200"/>
      <c r="D39" s="200"/>
      <c r="E39" s="200"/>
      <c r="F39" s="200"/>
      <c r="G39" s="200"/>
      <c r="H39" s="200"/>
      <c r="I39" s="199"/>
      <c r="J39" s="199" t="str" cm="1">
        <f t="array" ref="J39" xml:space="preserve"> IF(F39&lt;&gt;"", INDEX(聲母對照表[國際音標], MATCH(TRUE, EXACT('輸入工具 (閩拼方案)'!F39, 聲母對照表[閩拼方案]), 0)), "")</f>
        <v/>
      </c>
      <c r="K39" s="199" t="str" cm="1">
        <f t="array" ref="K39">IF(G39&lt;&gt;"", INDEX(台羅韻母表[國際音標], MATCH(TRUE, EXACT('輸入工具 (閩拼方案)'!G39, 台羅韻母表[閩拼方案]), 0)), "")</f>
        <v/>
      </c>
      <c r="L39" s="199" t="str" cm="1">
        <f t="array" ref="L39" xml:space="preserve"> IF(H39&lt;&gt;"", INDEX(聲調對照表[閩拼上標調號], MATCH(TRUE, EXACT('輸入工具 (閩拼方案)'!H39, 聲調對照表[閩拼調號]), 0)), "")</f>
        <v/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5F7A0-68C5-43C7-A6E0-21FE25132E3F}">
  <dimension ref="A2:L39"/>
  <sheetViews>
    <sheetView topLeftCell="A6" workbookViewId="0">
      <selection activeCell="D35" sqref="D35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【台語注音二式】</v>
      </c>
    </row>
    <row r="4" spans="2:12">
      <c r="B4" s="188" t="s">
        <v>895</v>
      </c>
      <c r="C4" s="188" t="s">
        <v>661</v>
      </c>
      <c r="D4" s="188" t="s">
        <v>873</v>
      </c>
      <c r="E4" s="188" t="s">
        <v>875</v>
      </c>
      <c r="F4" s="188" t="s">
        <v>2347</v>
      </c>
      <c r="G4" s="188" t="s">
        <v>2348</v>
      </c>
      <c r="H4" s="188" t="s">
        <v>2349</v>
      </c>
      <c r="J4" t="s">
        <v>2500</v>
      </c>
      <c r="K4" t="s">
        <v>934</v>
      </c>
      <c r="L4" t="s">
        <v>2501</v>
      </c>
    </row>
    <row r="5" spans="2:12" ht="29.25">
      <c r="B5" s="217">
        <f xml:space="preserve"> ROW() - 4</f>
        <v>1</v>
      </c>
      <c r="C5" s="19" t="s">
        <v>2524</v>
      </c>
      <c r="D5" s="202" t="s">
        <v>2548</v>
      </c>
      <c r="E5" s="201" t="str">
        <f xml:space="preserve"> IF(AND(G5&lt;&gt;"",H5&lt;&gt;""), _xlfn.CONCAT(J5:L5), "")</f>
        <v>hɔŋ⁵</v>
      </c>
      <c r="F5" s="199" t="s">
        <v>2308</v>
      </c>
      <c r="G5" s="199" t="str">
        <f>IFERROR( MID(D5, LEN(F5)+1, LEN(D5) - LEN(F5) - 1), "")</f>
        <v>ong</v>
      </c>
      <c r="H5" s="200" t="str">
        <f xml:space="preserve"> RIGHT(D5,1)</f>
        <v>5</v>
      </c>
      <c r="I5" s="199"/>
      <c r="J5" s="199" t="str" cm="1">
        <f t="array" ref="J5" xml:space="preserve"> IFERROR( IF(F5&lt;&gt;"", INDEX(聲母對照表[國際音標], MATCH(TRUE, EXACT('輸入工具 (台語注音二式)'!F5, 聲母對照表[注音二式]), 0)), ""), "")</f>
        <v>h</v>
      </c>
      <c r="K5" s="199" t="str" cm="1">
        <f t="array" ref="K5">IFERROR( IF(G5&lt;&gt;"", INDEX(台羅韻母表[國際音標], MATCH(TRUE, EXACT('輸入工具 (台語注音二式)'!G5, 台羅韻母表[台語注音二式]), 0)), ""), "")</f>
        <v>ɔŋ</v>
      </c>
      <c r="L5" s="199" t="str" cm="1">
        <f t="array" ref="L5" xml:space="preserve"> IF(H5&lt;&gt;"", INDEX(聲調對照表[IPA上標調號], MATCH(TRUE, EXACT('輸入工具 (台語注音二式)'!H5, 聲調對照表[台羅調號]), 0)), "")</f>
        <v>⁵</v>
      </c>
    </row>
    <row r="6" spans="2:12" ht="29.25">
      <c r="B6" s="217">
        <f xml:space="preserve"> ROW() - 4</f>
        <v>2</v>
      </c>
      <c r="C6" s="19" t="s">
        <v>2525</v>
      </c>
      <c r="D6" s="202" t="s">
        <v>2578</v>
      </c>
      <c r="E6" s="201" t="str">
        <f t="shared" ref="E6:E36" si="0" xml:space="preserve"> IF(AND(G6&lt;&gt;"",H6&lt;&gt;""), _xlfn.CONCAT(J6:L6), "")</f>
        <v>hə⁵</v>
      </c>
      <c r="F6" s="199" t="s">
        <v>2308</v>
      </c>
      <c r="G6" s="199" t="str">
        <f t="shared" ref="G6" si="1">IFERROR( MID(D6, LEN(F6)+1, LEN(D6) - LEN(F6) - 1), "")</f>
        <v>or</v>
      </c>
      <c r="H6" s="200" t="str">
        <f t="shared" ref="H6:H36" si="2" xml:space="preserve"> RIGHT(D6,1)</f>
        <v>5</v>
      </c>
      <c r="I6" s="199"/>
      <c r="J6" s="199" t="str" cm="1">
        <f t="array" ref="J6" xml:space="preserve"> IFERROR( IF(F6&lt;&gt;"", INDEX(聲母對照表[國際音標], MATCH(TRUE, EXACT('輸入工具 (台語注音二式)'!F6, 聲母對照表[注音二式]), 0)), ""), "")</f>
        <v>h</v>
      </c>
      <c r="K6" s="199" t="str" cm="1">
        <f t="array" ref="K6">IFERROR( IF(G6&lt;&gt;"", INDEX(台羅韻母表[國際音標], MATCH(TRUE, EXACT('輸入工具 (台語注音二式)'!G6, 台羅韻母表[台語注音二式]), 0)), ""), "")</f>
        <v>ə</v>
      </c>
      <c r="L6" s="199" t="str" cm="1">
        <f t="array" ref="L6" xml:space="preserve"> IF(H6&lt;&gt;"", INDEX(聲調對照表[IPA上標調號], MATCH(TRUE, EXACT('輸入工具 (台語注音二式)'!H6, 聲調對照表[台羅調號]), 0)), "")</f>
        <v>⁵</v>
      </c>
    </row>
    <row r="7" spans="2:12" ht="29.25">
      <c r="B7" s="217">
        <f t="shared" ref="B7:B36" si="3" xml:space="preserve"> ROW() - 4</f>
        <v>3</v>
      </c>
      <c r="C7" s="19" t="s">
        <v>2526</v>
      </c>
      <c r="D7" s="202" t="s">
        <v>2572</v>
      </c>
      <c r="E7" s="201" t="str">
        <f t="shared" si="0"/>
        <v>uan²</v>
      </c>
      <c r="F7" s="216"/>
      <c r="G7" s="199" t="s">
        <v>1210</v>
      </c>
      <c r="H7" s="200" t="str">
        <f t="shared" si="2"/>
        <v>2</v>
      </c>
      <c r="I7" s="199"/>
      <c r="J7" s="199" t="str" cm="1">
        <f t="array" ref="J7" xml:space="preserve"> IFERROR( IF(F7&lt;&gt;"", INDEX(聲母對照表[國際音標], MATCH(TRUE, EXACT('輸入工具 (台語注音二式)'!F7, 聲母對照表[注音二式]), 0)), ""), "")</f>
        <v/>
      </c>
      <c r="K7" s="199" t="str" cm="1">
        <f t="array" ref="K7">IFERROR( IF(G7&lt;&gt;"", INDEX(台羅韻母表[國際音標], MATCH(TRUE, EXACT('輸入工具 (台語注音二式)'!G7, 台羅韻母表[台語注音二式]), 0)), ""), "")</f>
        <v>uan</v>
      </c>
      <c r="L7" s="199" t="str" cm="1">
        <f t="array" ref="L7" xml:space="preserve"> IF(H7&lt;&gt;"", INDEX(聲調對照表[IPA上標調號], MATCH(TRUE, EXACT('輸入工具 (台語注音二式)'!H7, 聲調對照表[台羅調號]), 0)), "")</f>
        <v>²</v>
      </c>
    </row>
    <row r="8" spans="2:12" ht="29.25">
      <c r="B8" s="217">
        <f t="shared" si="3"/>
        <v>4</v>
      </c>
      <c r="C8" s="19" t="s">
        <v>2527</v>
      </c>
      <c r="D8" s="202" t="s">
        <v>2573</v>
      </c>
      <c r="E8" s="201" t="str">
        <f t="shared" si="0"/>
        <v>ɕɪɔŋ²</v>
      </c>
      <c r="F8" s="199" t="s">
        <v>2508</v>
      </c>
      <c r="G8" s="199" t="str">
        <f t="shared" ref="G8:G26" si="4">IFERROR( MID(D8, LEN(F8)+1, LEN(D8) - LEN(F8) - 1), "")</f>
        <v>iong</v>
      </c>
      <c r="H8" s="200" t="str">
        <f t="shared" si="2"/>
        <v>2</v>
      </c>
      <c r="I8" s="199"/>
      <c r="J8" s="199" t="str" cm="1">
        <f t="array" ref="J8" xml:space="preserve"> IFERROR( IF(F8&lt;&gt;"", INDEX(聲母對照表[國際音標], MATCH(TRUE, EXACT('輸入工具 (台語注音二式)'!F8, 聲母對照表[注音二式]), 0)), ""), "")</f>
        <v>ɕ</v>
      </c>
      <c r="K8" s="199" t="str" cm="1">
        <f t="array" ref="K8">IFERROR( IF(G8&lt;&gt;"", INDEX(台羅韻母表[國際音標], MATCH(TRUE, EXACT('輸入工具 (台語注音二式)'!G8, 台羅韻母表[台語注音二式]), 0)), ""), "")</f>
        <v>ɪɔŋ</v>
      </c>
      <c r="L8" s="199" t="str" cm="1">
        <f t="array" ref="L8" xml:space="preserve"> IF(H8&lt;&gt;"", INDEX(聲調對照表[IPA上標調號], MATCH(TRUE, EXACT('輸入工具 (台語注音二式)'!H8, 聲調對照表[台羅調號]), 0)), "")</f>
        <v>²</v>
      </c>
    </row>
    <row r="9" spans="2:12" ht="29.25">
      <c r="B9" s="217">
        <f t="shared" si="3"/>
        <v>5</v>
      </c>
      <c r="C9" s="19" t="s">
        <v>2528</v>
      </c>
      <c r="D9" s="202" t="s">
        <v>2574</v>
      </c>
      <c r="E9" s="201" t="str">
        <f t="shared" si="0"/>
        <v>pik̚⁸</v>
      </c>
      <c r="F9" s="199" t="s">
        <v>2298</v>
      </c>
      <c r="G9" s="199" t="str">
        <f t="shared" si="4"/>
        <v>iek</v>
      </c>
      <c r="H9" s="200" t="str">
        <f t="shared" si="2"/>
        <v>8</v>
      </c>
      <c r="I9" s="199"/>
      <c r="J9" s="199" t="str" cm="1">
        <f t="array" ref="J9" xml:space="preserve"> IFERROR( IF(F9&lt;&gt;"", INDEX(聲母對照表[國際音標], MATCH(TRUE, EXACT('輸入工具 (台語注音二式)'!F9, 聲母對照表[注音二式]), 0)), ""), "")</f>
        <v>p</v>
      </c>
      <c r="K9" s="218" t="str" cm="1">
        <f t="array" ref="K9">IFERROR( IF(G9&lt;&gt;"", INDEX(台羅韻母表[國際音標], MATCH(TRUE, EXACT('輸入工具 (台語注音二式)'!G9, 台羅韻母表[台語注音二式]), 0)), ""), "")</f>
        <v>ik̚</v>
      </c>
      <c r="L9" s="199" t="str" cm="1">
        <f t="array" ref="L9" xml:space="preserve"> IF(H9&lt;&gt;"", INDEX(聲調對照表[IPA上標調號], MATCH(TRUE, EXACT('輸入工具 (台語注音二式)'!H9, 聲調對照表[台羅調號]), 0)), "")</f>
        <v>⁸</v>
      </c>
    </row>
    <row r="10" spans="2:12" ht="29.25">
      <c r="B10" s="217">
        <f t="shared" si="3"/>
        <v>6</v>
      </c>
      <c r="C10" s="19" t="s">
        <v>2529</v>
      </c>
      <c r="D10" s="202" t="s">
        <v>2575</v>
      </c>
      <c r="E10" s="201" t="str">
        <f t="shared" si="0"/>
        <v>hun⁵</v>
      </c>
      <c r="F10" s="199" t="s">
        <v>2308</v>
      </c>
      <c r="G10" s="199" t="str">
        <f t="shared" si="4"/>
        <v>un</v>
      </c>
      <c r="H10" s="200" t="str">
        <f t="shared" si="2"/>
        <v>5</v>
      </c>
      <c r="I10" s="199"/>
      <c r="J10" s="199" t="str" cm="1">
        <f t="array" ref="J10" xml:space="preserve"> IFERROR( IF(F10&lt;&gt;"", INDEX(聲母對照表[國際音標], MATCH(TRUE, EXACT('輸入工具 (台語注音二式)'!F10, 聲母對照表[注音二式]), 0)), ""), "")</f>
        <v>h</v>
      </c>
      <c r="K10" s="199" t="str" cm="1">
        <f t="array" ref="K10">IFERROR( IF(G10&lt;&gt;"", INDEX(台羅韻母表[國際音標], MATCH(TRUE, EXACT('輸入工具 (台語注音二式)'!G10, 台羅韻母表[台語注音二式]), 0)), ""), "")</f>
        <v>un</v>
      </c>
      <c r="L10" s="199" t="str" cm="1">
        <f t="array" ref="L10" xml:space="preserve"> IF(H10&lt;&gt;"", INDEX(聲調對照表[IPA上標調號], MATCH(TRUE, EXACT('輸入工具 (台語注音二式)'!H10, 聲調對照表[台羅調號]), 0)), "")</f>
        <v>⁵</v>
      </c>
    </row>
    <row r="11" spans="2:12" ht="29.25">
      <c r="B11" s="217">
        <f t="shared" si="3"/>
        <v>7</v>
      </c>
      <c r="C11" s="19" t="s">
        <v>2530</v>
      </c>
      <c r="D11" s="202" t="s">
        <v>2555</v>
      </c>
      <c r="E11" s="201" t="str">
        <f t="shared" si="0"/>
        <v>kiŋ¹</v>
      </c>
      <c r="F11" s="199" t="s">
        <v>2305</v>
      </c>
      <c r="G11" s="199" t="str">
        <f t="shared" si="4"/>
        <v>ing</v>
      </c>
      <c r="H11" s="200" t="str">
        <f t="shared" si="2"/>
        <v>1</v>
      </c>
      <c r="I11" s="199"/>
      <c r="J11" s="199" t="str" cm="1">
        <f t="array" ref="J11" xml:space="preserve"> IFERROR( IF(F11&lt;&gt;"", INDEX(聲母對照表[國際音標], MATCH(TRUE, EXACT('輸入工具 (台語注音二式)'!F11, 聲母對照表[注音二式]), 0)), ""), "")</f>
        <v>k</v>
      </c>
      <c r="K11" s="199" t="str" cm="1">
        <f t="array" ref="K11">IFERROR( IF(G11&lt;&gt;"", INDEX(台羅韻母表[國際音標], MATCH(TRUE, EXACT('輸入工具 (台語注音二式)'!G11, 台羅韻母表[台語注音二式]), 0)), ""), "")</f>
        <v>iŋ</v>
      </c>
      <c r="L11" s="199" t="str" cm="1">
        <f t="array" ref="L11" xml:space="preserve"> IF(H11&lt;&gt;"", INDEX(聲調對照表[IPA上標調號], MATCH(TRUE, EXACT('輸入工具 (台語注音二式)'!H11, 聲調對照表[台羅調號]), 0)), "")</f>
        <v>¹</v>
      </c>
    </row>
    <row r="12" spans="2:12" ht="29.25">
      <c r="B12" s="217">
        <f t="shared" si="3"/>
        <v>8</v>
      </c>
      <c r="C12" s="19" t="s">
        <v>2537</v>
      </c>
      <c r="D12" s="202"/>
      <c r="E12" s="201" t="str">
        <f t="shared" si="0"/>
        <v/>
      </c>
      <c r="F12" s="199"/>
      <c r="G12" s="199" t="str">
        <f t="shared" si="4"/>
        <v/>
      </c>
      <c r="H12" s="200" t="str">
        <f t="shared" si="2"/>
        <v/>
      </c>
      <c r="I12" s="199"/>
      <c r="J12" s="199" t="str" cm="1">
        <f t="array" ref="J12" xml:space="preserve"> IFERROR( IF(F12&lt;&gt;"", INDEX(聲母對照表[國際音標], MATCH(TRUE, EXACT('輸入工具 (台語注音二式)'!F12, 聲母對照表[注音二式]), 0)), ""), "")</f>
        <v/>
      </c>
      <c r="K12" s="199" t="str" cm="1">
        <f t="array" ref="K12">IFERROR( IF(G12&lt;&gt;"", INDEX(台羅韻母表[國際音標], MATCH(TRUE, EXACT('輸入工具 (台語注音二式)'!G12, 台羅韻母表[台語注音二式]), 0)), ""), "")</f>
        <v/>
      </c>
      <c r="L12" s="199" t="str" cm="1">
        <f t="array" ref="L12" xml:space="preserve"> IF(H12&lt;&gt;"", INDEX(聲調對照表[IPA上標調號], MATCH(TRUE, EXACT('輸入工具 (台語注音二式)'!H12, 聲調對照表[台羅調號]), 0)), "")</f>
        <v/>
      </c>
    </row>
    <row r="13" spans="2:12" ht="29.25">
      <c r="B13" s="217">
        <f t="shared" si="3"/>
        <v>9</v>
      </c>
      <c r="C13" s="19" t="s">
        <v>1283</v>
      </c>
      <c r="D13" s="202" t="s">
        <v>2576</v>
      </c>
      <c r="E13" s="201" t="str">
        <f t="shared" si="0"/>
        <v>it̚⁴</v>
      </c>
      <c r="F13" s="199"/>
      <c r="G13" s="199" t="str">
        <f t="shared" si="4"/>
        <v>it</v>
      </c>
      <c r="H13" s="200" t="str">
        <f t="shared" si="2"/>
        <v>4</v>
      </c>
      <c r="I13" s="199"/>
      <c r="J13" s="199" t="str" cm="1">
        <f t="array" ref="J13" xml:space="preserve"> IFERROR( IF(F13&lt;&gt;"", INDEX(聲母對照表[國際音標], MATCH(TRUE, EXACT('輸入工具 (台語注音二式)'!F13, 聲母對照表[注音二式]), 0)), ""), "")</f>
        <v/>
      </c>
      <c r="K13" s="199" t="str" cm="1">
        <f t="array" ref="K13">IFERROR( IF(G13&lt;&gt;"", INDEX(台羅韻母表[國際音標], MATCH(TRUE, EXACT('輸入工具 (台語注音二式)'!G13, 台羅韻母表[台語注音二式]), 0)), ""), "")</f>
        <v>it̚</v>
      </c>
      <c r="L13" s="199" t="str" cm="1">
        <f t="array" ref="L13" xml:space="preserve"> IF(H13&lt;&gt;"", INDEX(聲調對照表[IPA上標調號], MATCH(TRUE, EXACT('輸入工具 (台語注音二式)'!H13, 聲調對照表[台羅調號]), 0)), "")</f>
        <v>⁴</v>
      </c>
    </row>
    <row r="14" spans="2:12" ht="29.25">
      <c r="B14" s="217">
        <f t="shared" si="3"/>
        <v>10</v>
      </c>
      <c r="C14" s="19" t="s">
        <v>2531</v>
      </c>
      <c r="D14" s="202" t="s">
        <v>2601</v>
      </c>
      <c r="E14" s="201" t="str">
        <f t="shared" si="0"/>
        <v>pʰɪan³</v>
      </c>
      <c r="F14" s="199" t="s">
        <v>2299</v>
      </c>
      <c r="G14" s="199" t="str">
        <f t="shared" si="4"/>
        <v>ian</v>
      </c>
      <c r="H14" s="200" t="str">
        <f t="shared" si="2"/>
        <v>3</v>
      </c>
      <c r="I14" s="199"/>
      <c r="J14" s="199" t="str" cm="1">
        <f t="array" ref="J14" xml:space="preserve"> IFERROR( IF(F14&lt;&gt;"", INDEX(聲母對照表[國際音標], MATCH(TRUE, EXACT('輸入工具 (台語注音二式)'!F14, 聲母對照表[注音二式]), 0)), ""), "")</f>
        <v>pʰ</v>
      </c>
      <c r="K14" s="199" t="str" cm="1">
        <f t="array" ref="K14">IFERROR( IF(G14&lt;&gt;"", INDEX(台羅韻母表[國際音標], MATCH(TRUE, EXACT('輸入工具 (台語注音二式)'!G14, 台羅韻母表[台語注音二式]), 0)), ""), "")</f>
        <v>ɪan</v>
      </c>
      <c r="L14" s="199" t="str" cm="1">
        <f t="array" ref="L14" xml:space="preserve"> IF(H14&lt;&gt;"", INDEX(聲調對照表[IPA上標調號], MATCH(TRUE, EXACT('輸入工具 (台語注音二式)'!H14, 聲調對照表[台羅調號]), 0)), "")</f>
        <v>³</v>
      </c>
    </row>
    <row r="15" spans="2:12" ht="29.25">
      <c r="B15" s="217">
        <f t="shared" si="3"/>
        <v>11</v>
      </c>
      <c r="C15" s="19" t="s">
        <v>2532</v>
      </c>
      <c r="D15" s="202" t="s">
        <v>2558</v>
      </c>
      <c r="E15" s="201" t="str">
        <f t="shared" si="0"/>
        <v>kɔ¹</v>
      </c>
      <c r="F15" s="199" t="s">
        <v>2305</v>
      </c>
      <c r="G15" s="199" t="str">
        <f t="shared" si="4"/>
        <v>oo</v>
      </c>
      <c r="H15" s="200" t="str">
        <f t="shared" si="2"/>
        <v>1</v>
      </c>
      <c r="I15" s="199"/>
      <c r="J15" s="199" t="str" cm="1">
        <f t="array" ref="J15" xml:space="preserve"> IFERROR( IF(F15&lt;&gt;"", INDEX(聲母對照表[國際音標], MATCH(TRUE, EXACT('輸入工具 (台語注音二式)'!F15, 聲母對照表[注音二式]), 0)), ""), "")</f>
        <v>k</v>
      </c>
      <c r="K15" s="199" t="str" cm="1">
        <f t="array" ref="K15">IFERROR( IF(G15&lt;&gt;"", INDEX(台羅韻母表[國際音標], MATCH(TRUE, EXACT('輸入工具 (台語注音二式)'!G15, 台羅韻母表[台語注音二式]), 0)), ""), "")</f>
        <v>ɔ</v>
      </c>
      <c r="L15" s="199" t="str" cm="1">
        <f t="array" ref="L15" xml:space="preserve"> IF(H15&lt;&gt;"", INDEX(聲調對照表[IPA上標調號], MATCH(TRUE, EXACT('輸入工具 (台語注音二式)'!H15, 聲調對照表[台羅調號]), 0)), "")</f>
        <v>¹</v>
      </c>
    </row>
    <row r="16" spans="2:12" ht="29.25">
      <c r="B16" s="217">
        <f t="shared" si="3"/>
        <v>12</v>
      </c>
      <c r="C16" s="19" t="s">
        <v>2533</v>
      </c>
      <c r="D16" s="202" t="s">
        <v>2602</v>
      </c>
      <c r="E16" s="201" t="str">
        <f t="shared" si="0"/>
        <v>siŋ⁵</v>
      </c>
      <c r="F16" s="199" t="s">
        <v>2311</v>
      </c>
      <c r="G16" s="199" t="str">
        <f t="shared" si="4"/>
        <v>ing</v>
      </c>
      <c r="H16" s="200" t="str">
        <f t="shared" si="2"/>
        <v>5</v>
      </c>
      <c r="I16" s="199"/>
      <c r="J16" s="199" t="str" cm="1">
        <f t="array" ref="J16" xml:space="preserve"> IFERROR( IF(F16&lt;&gt;"", INDEX(聲母對照表[國際音標], MATCH(TRUE, EXACT('輸入工具 (台語注音二式)'!F16, 聲母對照表[注音二式]), 0)), ""), "")</f>
        <v>s</v>
      </c>
      <c r="K16" s="199" t="str" cm="1">
        <f t="array" ref="K16">IFERROR( IF(G16&lt;&gt;"", INDEX(台羅韻母表[國際音標], MATCH(TRUE, EXACT('輸入工具 (台語注音二式)'!G16, 台羅韻母表[台語注音二式]), 0)), ""), "")</f>
        <v>iŋ</v>
      </c>
      <c r="L16" s="199" t="str" cm="1">
        <f t="array" ref="L16" xml:space="preserve"> IF(H16&lt;&gt;"", INDEX(聲調對照表[IPA上標調號], MATCH(TRUE, EXACT('輸入工具 (台語注音二式)'!H16, 聲調對照表[台羅調號]), 0)), "")</f>
        <v>⁵</v>
      </c>
    </row>
    <row r="17" spans="2:12" ht="29.25">
      <c r="B17" s="217">
        <f t="shared" si="3"/>
        <v>13</v>
      </c>
      <c r="C17" s="19" t="s">
        <v>2534</v>
      </c>
      <c r="D17" s="202" t="s">
        <v>2603</v>
      </c>
      <c r="E17" s="201" t="str">
        <f t="shared" si="0"/>
        <v>ban⁷</v>
      </c>
      <c r="F17" s="199" t="s">
        <v>2300</v>
      </c>
      <c r="G17" s="199" t="str">
        <f t="shared" si="4"/>
        <v>an</v>
      </c>
      <c r="H17" s="200" t="str">
        <f t="shared" si="2"/>
        <v>7</v>
      </c>
      <c r="I17" s="199"/>
      <c r="J17" s="199" t="str" cm="1">
        <f t="array" ref="J17" xml:space="preserve"> IFERROR( IF(F17&lt;&gt;"", INDEX(聲母對照表[國際音標], MATCH(TRUE, EXACT('輸入工具 (台語注音二式)'!F17, 聲母對照表[注音二式]), 0)), ""), "")</f>
        <v>b</v>
      </c>
      <c r="K17" s="199" t="str" cm="1">
        <f t="array" ref="K17">IFERROR( IF(G17&lt;&gt;"", INDEX(台羅韻母表[國際音標], MATCH(TRUE, EXACT('輸入工具 (台語注音二式)'!G17, 台羅韻母表[台語注音二式]), 0)), ""), "")</f>
        <v>an</v>
      </c>
      <c r="L17" s="199" t="str" cm="1">
        <f t="array" ref="L17" xml:space="preserve"> IF(H17&lt;&gt;"", INDEX(聲調對照表[IPA上標調號], MATCH(TRUE, EXACT('輸入工具 (台語注音二式)'!H17, 聲調對照表[台羅調號]), 0)), "")</f>
        <v>⁷</v>
      </c>
    </row>
    <row r="18" spans="2:12" ht="29.25">
      <c r="B18" s="217">
        <f t="shared" si="3"/>
        <v>14</v>
      </c>
      <c r="C18" s="19" t="s">
        <v>2511</v>
      </c>
      <c r="D18" s="202" t="s">
        <v>2579</v>
      </c>
      <c r="E18" s="201" t="str">
        <f t="shared" si="0"/>
        <v>ʣim⁷</v>
      </c>
      <c r="F18" s="199" t="s">
        <v>2312</v>
      </c>
      <c r="G18" s="199" t="str">
        <f t="shared" si="4"/>
        <v>im</v>
      </c>
      <c r="H18" s="200" t="str">
        <f t="shared" si="2"/>
        <v>7</v>
      </c>
      <c r="I18" s="199"/>
      <c r="J18" s="199" t="str" cm="1">
        <f t="array" ref="J18" xml:space="preserve"> IFERROR( IF(F18&lt;&gt;"", INDEX(聲母對照表[國際音標], MATCH(TRUE, EXACT('輸入工具 (台語注音二式)'!F18, 聲母對照表[注音二式]), 0)), ""), "")</f>
        <v>ʣ</v>
      </c>
      <c r="K18" s="199" t="str" cm="1">
        <f t="array" ref="K18">IFERROR( IF(G18&lt;&gt;"", INDEX(台羅韻母表[國際音標], MATCH(TRUE, EXACT('輸入工具 (台語注音二式)'!G18, 台羅韻母表[台語注音二式]), 0)), ""), "")</f>
        <v>im</v>
      </c>
      <c r="L18" s="199" t="str" cm="1">
        <f t="array" ref="L18" xml:space="preserve"> IF(H18&lt;&gt;"", INDEX(聲調對照表[IPA上標調號], MATCH(TRUE, EXACT('輸入工具 (台語注音二式)'!H18, 聲調對照表[台羅調號]), 0)), "")</f>
        <v>⁷</v>
      </c>
    </row>
    <row r="19" spans="2:12" ht="29.25">
      <c r="B19" s="217">
        <f t="shared" si="3"/>
        <v>15</v>
      </c>
      <c r="C19" s="19" t="s">
        <v>2535</v>
      </c>
      <c r="D19" s="202" t="s">
        <v>2561</v>
      </c>
      <c r="E19" s="201" t="str">
        <f t="shared" si="0"/>
        <v>san¹</v>
      </c>
      <c r="F19" s="199" t="s">
        <v>2311</v>
      </c>
      <c r="G19" s="199" t="str">
        <f t="shared" si="4"/>
        <v>an</v>
      </c>
      <c r="H19" s="200" t="str">
        <f t="shared" si="2"/>
        <v>1</v>
      </c>
      <c r="I19" s="199"/>
      <c r="J19" s="199" t="str" cm="1">
        <f t="array" ref="J19" xml:space="preserve"> IFERROR( IF(F19&lt;&gt;"", INDEX(聲母對照表[國際音標], MATCH(TRUE, EXACT('輸入工具 (台語注音二式)'!F19, 聲母對照表[注音二式]), 0)), ""), "")</f>
        <v>s</v>
      </c>
      <c r="K19" s="199" t="str" cm="1">
        <f t="array" ref="K19">IFERROR( IF(G19&lt;&gt;"", INDEX(台羅韻母表[國際音標], MATCH(TRUE, EXACT('輸入工具 (台語注音二式)'!G19, 台羅韻母表[台語注音二式]), 0)), ""), "")</f>
        <v>an</v>
      </c>
      <c r="L19" s="199" t="str" cm="1">
        <f t="array" ref="L19" xml:space="preserve"> IF(H19&lt;&gt;"", INDEX(聲調對照表[IPA上標調號], MATCH(TRUE, EXACT('輸入工具 (台語注音二式)'!H19, 聲調對照表[台羅調號]), 0)), "")</f>
        <v>¹</v>
      </c>
    </row>
    <row r="20" spans="2:12" ht="29.25">
      <c r="B20" s="217">
        <f t="shared" si="3"/>
        <v>16</v>
      </c>
      <c r="C20" s="19" t="s">
        <v>2536</v>
      </c>
      <c r="D20" s="202"/>
      <c r="E20" s="201" t="str">
        <f t="shared" si="0"/>
        <v/>
      </c>
      <c r="F20" s="199"/>
      <c r="G20" s="199" t="str">
        <f t="shared" si="4"/>
        <v/>
      </c>
      <c r="H20" s="200" t="str">
        <f t="shared" si="2"/>
        <v/>
      </c>
      <c r="I20" s="199"/>
      <c r="J20" s="199" t="str" cm="1">
        <f t="array" ref="J20" xml:space="preserve"> IFERROR( IF(F20&lt;&gt;"", INDEX(聲母對照表[國際音標], MATCH(TRUE, EXACT('輸入工具 (台語注音二式)'!F20, 聲母對照表[注音二式]), 0)), ""), "")</f>
        <v/>
      </c>
      <c r="K20" s="199" t="str" cm="1">
        <f t="array" ref="K20">IFERROR( IF(G20&lt;&gt;"", INDEX(台羅韻母表[國際音標], MATCH(TRUE, EXACT('輸入工具 (台語注音二式)'!G20, 台羅韻母表[台語注音二式]), 0)), ""), "")</f>
        <v/>
      </c>
      <c r="L20" s="199" t="str" cm="1">
        <f t="array" ref="L20" xml:space="preserve"> IF(H20&lt;&gt;"", INDEX(聲調對照表[IPA上標調號], MATCH(TRUE, EXACT('輸入工具 (台語注音二式)'!H20, 聲調對照表[台羅調號]), 0)), "")</f>
        <v/>
      </c>
    </row>
    <row r="21" spans="2:12" ht="29.25">
      <c r="B21" s="217">
        <f t="shared" si="3"/>
        <v>17</v>
      </c>
      <c r="C21" s="19" t="s">
        <v>2512</v>
      </c>
      <c r="D21" s="202" t="s">
        <v>2580</v>
      </c>
      <c r="E21" s="201" t="str">
        <f t="shared" si="0"/>
        <v>kɪũ¹</v>
      </c>
      <c r="F21" s="199" t="s">
        <v>2305</v>
      </c>
      <c r="G21" s="199" t="str">
        <f t="shared" si="4"/>
        <v>iunn</v>
      </c>
      <c r="H21" s="200" t="str">
        <f t="shared" si="2"/>
        <v>1</v>
      </c>
      <c r="I21" s="199"/>
      <c r="J21" s="199" t="str" cm="1">
        <f t="array" ref="J21" xml:space="preserve"> IFERROR( IF(F21&lt;&gt;"", INDEX(聲母對照表[國際音標], MATCH(TRUE, EXACT('輸入工具 (台語注音二式)'!F21, 聲母對照表[注音二式]), 0)), ""), "")</f>
        <v>k</v>
      </c>
      <c r="K21" s="199" t="str" cm="1">
        <f t="array" ref="K21">IFERROR( IF(G21&lt;&gt;"", INDEX(台羅韻母表[國際音標], MATCH(TRUE, EXACT('輸入工具 (台語注音二式)'!G21, 台羅韻母表[台語注音二式]), 0)), ""), "")</f>
        <v>ɪũ</v>
      </c>
      <c r="L21" s="199" t="str" cm="1">
        <f t="array" ref="L21" xml:space="preserve"> IF(H21&lt;&gt;"", INDEX(聲調對照表[IPA上標調號], MATCH(TRUE, EXACT('輸入工具 (台語注音二式)'!H21, 聲調對照表[台羅調號]), 0)), "")</f>
        <v>¹</v>
      </c>
    </row>
    <row r="22" spans="2:12" ht="29.25">
      <c r="B22" s="217">
        <f t="shared" si="3"/>
        <v>18</v>
      </c>
      <c r="C22" s="19" t="s">
        <v>2538</v>
      </c>
      <c r="D22" s="202" t="s">
        <v>2581</v>
      </c>
      <c r="E22" s="201" t="str">
        <f t="shared" si="0"/>
        <v>tik̚⁸</v>
      </c>
      <c r="F22" s="199" t="s">
        <v>2301</v>
      </c>
      <c r="G22" s="199" t="str">
        <f t="shared" si="4"/>
        <v>iek</v>
      </c>
      <c r="H22" s="200" t="str">
        <f t="shared" si="2"/>
        <v>8</v>
      </c>
      <c r="I22" s="199"/>
      <c r="J22" s="199" t="str" cm="1">
        <f t="array" ref="J22" xml:space="preserve"> IFERROR( IF(F22&lt;&gt;"", INDEX(聲母對照表[國際音標], MATCH(TRUE, EXACT('輸入工具 (台語注音二式)'!F22, 聲母對照表[注音二式]), 0)), ""), "")</f>
        <v>t</v>
      </c>
      <c r="K22" s="199" t="str" cm="1">
        <f t="array" ref="K22">IFERROR( IF(G22&lt;&gt;"", INDEX(台羅韻母表[國際音標], MATCH(TRUE, EXACT('輸入工具 (台語注音二式)'!G22, 台羅韻母表[台語注音二式]), 0)), ""), "")</f>
        <v>ik̚</v>
      </c>
      <c r="L22" s="199" t="str" cm="1">
        <f t="array" ref="L22" xml:space="preserve"> IF(H22&lt;&gt;"", INDEX(聲調對照表[IPA上標調號], MATCH(TRUE, EXACT('輸入工具 (台語注音二式)'!H22, 聲調對照表[台羅調號]), 0)), "")</f>
        <v>⁸</v>
      </c>
    </row>
    <row r="23" spans="2:12" ht="29.25">
      <c r="B23" s="217">
        <f t="shared" si="3"/>
        <v>19</v>
      </c>
      <c r="C23" s="19" t="s">
        <v>2539</v>
      </c>
      <c r="D23" s="202" t="s">
        <v>2578</v>
      </c>
      <c r="E23" s="201" t="str">
        <f t="shared" si="0"/>
        <v>hə⁵</v>
      </c>
      <c r="F23" s="199" t="s">
        <v>2308</v>
      </c>
      <c r="G23" s="199" t="str">
        <f t="shared" si="4"/>
        <v>or</v>
      </c>
      <c r="H23" s="200" t="str">
        <f t="shared" si="2"/>
        <v>5</v>
      </c>
      <c r="I23" s="199"/>
      <c r="J23" s="199" t="str" cm="1">
        <f t="array" ref="J23" xml:space="preserve"> IFERROR( IF(F23&lt;&gt;"", INDEX(聲母對照表[國際音標], MATCH(TRUE, EXACT('輸入工具 (台語注音二式)'!F23, 聲母對照表[注音二式]), 0)), ""), "")</f>
        <v>h</v>
      </c>
      <c r="K23" s="199" t="str" cm="1">
        <f t="array" ref="K23">IFERROR( IF(G23&lt;&gt;"", INDEX(台羅韻母表[國際音標], MATCH(TRUE, EXACT('輸入工具 (台語注音二式)'!G23, 台羅韻母表[台語注音二式]), 0)), ""), "")</f>
        <v>ə</v>
      </c>
      <c r="L23" s="199" t="str" cm="1">
        <f t="array" ref="L23" xml:space="preserve"> IF(H23&lt;&gt;"", INDEX(聲調對照表[IPA上標調號], MATCH(TRUE, EXACT('輸入工具 (台語注音二式)'!H23, 聲調對照表[台羅調號]), 0)), "")</f>
        <v>⁵</v>
      </c>
    </row>
    <row r="24" spans="2:12" ht="29.25">
      <c r="B24" s="217">
        <f t="shared" si="3"/>
        <v>20</v>
      </c>
      <c r="C24" s="19" t="s">
        <v>2540</v>
      </c>
      <c r="D24" s="202" t="s">
        <v>2563</v>
      </c>
      <c r="E24" s="201" t="str">
        <f t="shared" si="0"/>
        <v>su¹</v>
      </c>
      <c r="F24" s="199" t="s">
        <v>2311</v>
      </c>
      <c r="G24" s="199" t="str">
        <f t="shared" si="4"/>
        <v>u</v>
      </c>
      <c r="H24" s="200" t="str">
        <f t="shared" si="2"/>
        <v>1</v>
      </c>
      <c r="I24" s="199"/>
      <c r="J24" s="199" t="str" cm="1">
        <f t="array" ref="J24" xml:space="preserve"> IFERROR( IF(F24&lt;&gt;"", INDEX(聲母對照表[國際音標], MATCH(TRUE, EXACT('輸入工具 (台語注音二式)'!F24, 聲母對照表[注音二式]), 0)), ""), "")</f>
        <v>s</v>
      </c>
      <c r="K24" s="199" t="str" cm="1">
        <f t="array" ref="K24">IFERROR( IF(G24&lt;&gt;"", INDEX(台羅韻母表[國際音標], MATCH(TRUE, EXACT('輸入工具 (台語注音二式)'!G24, 台羅韻母表[台語注音二式]), 0)), ""), "")</f>
        <v>u</v>
      </c>
      <c r="L24" s="199" t="str" cm="1">
        <f t="array" ref="L24" xml:space="preserve"> IF(H24&lt;&gt;"", INDEX(聲調對照表[IPA上標調號], MATCH(TRUE, EXACT('輸入工具 (台語注音二式)'!H24, 聲調對照表[台羅調號]), 0)), "")</f>
        <v>¹</v>
      </c>
    </row>
    <row r="25" spans="2:12" ht="29.25">
      <c r="B25" s="217">
        <f t="shared" si="3"/>
        <v>21</v>
      </c>
      <c r="C25" s="19" t="s">
        <v>2541</v>
      </c>
      <c r="D25" s="202" t="s">
        <v>2606</v>
      </c>
      <c r="E25" s="201" t="str">
        <f t="shared" si="0"/>
        <v>uan³</v>
      </c>
      <c r="F25" s="199"/>
      <c r="G25" s="199" t="str">
        <f t="shared" si="4"/>
        <v>uan</v>
      </c>
      <c r="H25" s="200" t="str">
        <f t="shared" si="2"/>
        <v>3</v>
      </c>
      <c r="I25" s="199"/>
      <c r="J25" s="199" t="str" cm="1">
        <f t="array" ref="J25" xml:space="preserve"> IFERROR( IF(F25&lt;&gt;"", INDEX(聲母對照表[國際音標], MATCH(TRUE, EXACT('輸入工具 (台語注音二式)'!F25, 聲母對照表[注音二式]), 0)), ""), "")</f>
        <v/>
      </c>
      <c r="K25" s="199" t="str" cm="1">
        <f t="array" ref="K25">IFERROR( IF(G25&lt;&gt;"", INDEX(台羅韻母表[國際音標], MATCH(TRUE, EXACT('輸入工具 (台語注音二式)'!G25, 台羅韻母表[台語注音二式]), 0)), ""), "")</f>
        <v>uan</v>
      </c>
      <c r="L25" s="199" t="str" cm="1">
        <f t="array" ref="L25" xml:space="preserve"> IF(H25&lt;&gt;"", INDEX(聲調對照表[IPA上標調號], MATCH(TRUE, EXACT('輸入工具 (台語注音二式)'!H25, 聲調對照表[台羅調號]), 0)), "")</f>
        <v>³</v>
      </c>
    </row>
    <row r="26" spans="2:12" ht="29.25">
      <c r="B26" s="217">
        <f t="shared" si="3"/>
        <v>22</v>
      </c>
      <c r="C26" s="19" t="s">
        <v>2516</v>
      </c>
      <c r="D26" s="202" t="s">
        <v>2582</v>
      </c>
      <c r="E26" s="201" t="str">
        <f t="shared" si="0"/>
        <v>ɪũ⁵</v>
      </c>
      <c r="F26" s="199"/>
      <c r="G26" s="199" t="str">
        <f t="shared" si="4"/>
        <v>iunn</v>
      </c>
      <c r="H26" s="200" t="str">
        <f t="shared" si="2"/>
        <v>5</v>
      </c>
      <c r="I26" s="199"/>
      <c r="J26" s="199" t="str" cm="1">
        <f t="array" ref="J26" xml:space="preserve"> IFERROR( IF(F26&lt;&gt;"", INDEX(聲母對照表[國際音標], MATCH(TRUE, EXACT('輸入工具 (台語注音二式)'!F26, 聲母對照表[注音二式]), 0)), ""), "")</f>
        <v/>
      </c>
      <c r="K26" s="199" t="str" cm="1">
        <f t="array" ref="K26">IFERROR( IF(G26&lt;&gt;"", INDEX(台羅韻母表[國際音標], MATCH(TRUE, EXACT('輸入工具 (台語注音二式)'!G26, 台羅韻母表[台語注音二式]), 0)), ""), "")</f>
        <v>ɪũ</v>
      </c>
      <c r="L26" s="199" t="str" cm="1">
        <f t="array" ref="L26" xml:space="preserve"> IF(H26&lt;&gt;"", INDEX(聲調對照表[IPA上標調號], MATCH(TRUE, EXACT('輸入工具 (台語注音二式)'!H26, 聲調對照表[台羅調號]), 0)), "")</f>
        <v>⁵</v>
      </c>
    </row>
    <row r="27" spans="2:12" ht="29.25">
      <c r="B27" s="217">
        <f t="shared" si="3"/>
        <v>23</v>
      </c>
      <c r="C27" s="19" t="s">
        <v>2517</v>
      </c>
      <c r="D27" s="202" t="s">
        <v>2583</v>
      </c>
      <c r="E27" s="201" t="str">
        <f t="shared" si="0"/>
        <v>lɪu²</v>
      </c>
      <c r="F27" s="199" t="s">
        <v>2304</v>
      </c>
      <c r="G27" s="199" t="str">
        <f t="shared" ref="G27:G36" si="5">IFERROR( MID(D27, LEN(F27)+1, LEN(D27) - LEN(F27) - 1), "")</f>
        <v>iu</v>
      </c>
      <c r="H27" s="200" t="str">
        <f t="shared" si="2"/>
        <v>2</v>
      </c>
      <c r="I27" s="199"/>
      <c r="J27" s="199" t="str" cm="1">
        <f t="array" ref="J27" xml:space="preserve"> IFERROR( IF(F27&lt;&gt;"", INDEX(聲母對照表[國際音標], MATCH(TRUE, EXACT('輸入工具 (台語注音二式)'!F27, 聲母對照表[注音二式]), 0)), ""), "")</f>
        <v>l</v>
      </c>
      <c r="K27" s="199" t="str" cm="1">
        <f t="array" ref="K27">IFERROR( IF(G27&lt;&gt;"", INDEX(台羅韻母表[國際音標], MATCH(TRUE, EXACT('輸入工具 (台語注音二式)'!G27, 台羅韻母表[台語注音二式]), 0)), ""), "")</f>
        <v>ɪu</v>
      </c>
      <c r="L27" s="199" t="str" cm="1">
        <f t="array" ref="L27" xml:space="preserve"> IF(H27&lt;&gt;"", INDEX(聲調對照表[IPA上標調號], MATCH(TRUE, EXACT('輸入工具 (台語注音二式)'!H27, 聲調對照表[台羅調號]), 0)), "")</f>
        <v>²</v>
      </c>
    </row>
    <row r="28" spans="2:12" ht="29.25">
      <c r="B28" s="217">
        <f t="shared" si="3"/>
        <v>24</v>
      </c>
      <c r="C28" s="19" t="s">
        <v>2537</v>
      </c>
      <c r="D28" s="202"/>
      <c r="E28" s="201" t="str">
        <f t="shared" si="0"/>
        <v/>
      </c>
      <c r="F28" s="199"/>
      <c r="G28" s="199" t="str">
        <f t="shared" si="5"/>
        <v/>
      </c>
      <c r="H28" s="200" t="str">
        <f t="shared" si="2"/>
        <v/>
      </c>
      <c r="I28" s="199"/>
      <c r="J28" s="199" t="str" cm="1">
        <f t="array" ref="J28" xml:space="preserve"> IFERROR( IF(F28&lt;&gt;"", INDEX(聲母對照表[國際音標], MATCH(TRUE, EXACT('輸入工具 (台語注音二式)'!F28, 聲母對照表[注音二式]), 0)), ""), "")</f>
        <v/>
      </c>
      <c r="K28" s="199" t="str" cm="1">
        <f t="array" ref="K28">IFERROR( IF(G28&lt;&gt;"", INDEX(台羅韻母表[國際音標], MATCH(TRUE, EXACT('輸入工具 (台語注音二式)'!G28, 台羅韻母表[台語注音二式]), 0)), ""), "")</f>
        <v/>
      </c>
      <c r="L28" s="199" t="str" cm="1">
        <f t="array" ref="L28" xml:space="preserve"> IF(H28&lt;&gt;"", INDEX(聲調對照表[IPA上標調號], MATCH(TRUE, EXACT('輸入工具 (台語注音二式)'!H28, 聲調對照表[台羅調號]), 0)), "")</f>
        <v/>
      </c>
    </row>
    <row r="29" spans="2:12" ht="29.25">
      <c r="B29" s="217">
        <f t="shared" si="3"/>
        <v>25</v>
      </c>
      <c r="C29" s="19" t="s">
        <v>2542</v>
      </c>
      <c r="D29" s="202" t="s">
        <v>2564</v>
      </c>
      <c r="E29" s="201" t="str">
        <f t="shared" si="0"/>
        <v>ʦʰun¹</v>
      </c>
      <c r="F29" s="199" t="s">
        <v>2310</v>
      </c>
      <c r="G29" s="199" t="str">
        <f t="shared" si="5"/>
        <v>un</v>
      </c>
      <c r="H29" s="200" t="str">
        <f t="shared" si="2"/>
        <v>1</v>
      </c>
      <c r="I29" s="199"/>
      <c r="J29" s="199" t="str" cm="1">
        <f t="array" ref="J29" xml:space="preserve"> IFERROR( IF(F29&lt;&gt;"", INDEX(聲母對照表[國際音標], MATCH(TRUE, EXACT('輸入工具 (台語注音二式)'!F29, 聲母對照表[注音二式]), 0)), ""), "")</f>
        <v>ʦʰ</v>
      </c>
      <c r="K29" s="199" t="str" cm="1">
        <f t="array" ref="K29">IFERROR( IF(G29&lt;&gt;"", INDEX(台羅韻母表[國際音標], MATCH(TRUE, EXACT('輸入工具 (台語注音二式)'!G29, 台羅韻母表[台語注音二式]), 0)), ""), "")</f>
        <v>un</v>
      </c>
      <c r="L29" s="199" t="str" cm="1">
        <f t="array" ref="L29" xml:space="preserve"> IF(H29&lt;&gt;"", INDEX(聲調對照表[IPA上標調號], MATCH(TRUE, EXACT('輸入工具 (台語注音二式)'!H29, 聲調對照表[台羅調號]), 0)), "")</f>
        <v>¹</v>
      </c>
    </row>
    <row r="30" spans="2:12" ht="29.25">
      <c r="B30" s="217">
        <f t="shared" si="3"/>
        <v>26</v>
      </c>
      <c r="C30" s="19" t="s">
        <v>2543</v>
      </c>
      <c r="D30" s="202" t="s">
        <v>2565</v>
      </c>
      <c r="E30" s="201" t="str">
        <f t="shared" si="0"/>
        <v>hɔŋ¹</v>
      </c>
      <c r="F30" s="199" t="s">
        <v>2308</v>
      </c>
      <c r="G30" s="199" t="str">
        <f t="shared" si="5"/>
        <v>ong</v>
      </c>
      <c r="H30" s="200" t="str">
        <f t="shared" si="2"/>
        <v>1</v>
      </c>
      <c r="I30" s="199"/>
      <c r="J30" s="199" t="str" cm="1">
        <f t="array" ref="J30" xml:space="preserve"> IFERROR( IF(F30&lt;&gt;"", INDEX(聲母對照表[國際音標], MATCH(TRUE, EXACT('輸入工具 (台語注音二式)'!F30, 聲母對照表[注音二式]), 0)), ""), "")</f>
        <v>h</v>
      </c>
      <c r="K30" s="199" t="str" cm="1">
        <f t="array" ref="K30">IFERROR( IF(G30&lt;&gt;"", INDEX(台羅韻母表[國際音標], MATCH(TRUE, EXACT('輸入工具 (台語注音二式)'!G30, 台羅韻母表[台語注音二式]), 0)), ""), "")</f>
        <v>ɔŋ</v>
      </c>
      <c r="L30" s="199" t="str" cm="1">
        <f t="array" ref="L30" xml:space="preserve"> IF(H30&lt;&gt;"", INDEX(聲調對照表[IPA上標調號], MATCH(TRUE, EXACT('輸入工具 (台語注音二式)'!H30, 聲調對照表[台羅調號]), 0)), "")</f>
        <v>¹</v>
      </c>
    </row>
    <row r="31" spans="2:12" ht="29.25">
      <c r="B31" s="217">
        <f t="shared" si="3"/>
        <v>27</v>
      </c>
      <c r="C31" s="19" t="s">
        <v>2544</v>
      </c>
      <c r="D31" s="202" t="s">
        <v>2584</v>
      </c>
      <c r="E31" s="201" t="str">
        <f t="shared" si="0"/>
        <v>put̚⁴</v>
      </c>
      <c r="F31" s="199" t="s">
        <v>2298</v>
      </c>
      <c r="G31" s="199" t="str">
        <f t="shared" si="5"/>
        <v>ut</v>
      </c>
      <c r="H31" s="200" t="str">
        <f t="shared" si="2"/>
        <v>4</v>
      </c>
      <c r="I31" s="199"/>
      <c r="J31" s="199" t="str" cm="1">
        <f t="array" ref="J31" xml:space="preserve"> IFERROR( IF(F31&lt;&gt;"", INDEX(聲母對照表[國際音標], MATCH(TRUE, EXACT('輸入工具 (台語注音二式)'!F31, 聲母對照表[注音二式]), 0)), ""), "")</f>
        <v>p</v>
      </c>
      <c r="K31" s="199" t="str" cm="1">
        <f t="array" ref="K31">IFERROR( IF(G31&lt;&gt;"", INDEX(台羅韻母表[國際音標], MATCH(TRUE, EXACT('輸入工具 (台語注音二式)'!G31, 台羅韻母表[台語注音二式]), 0)), ""), "")</f>
        <v>ut̚</v>
      </c>
      <c r="L31" s="199" t="str" cm="1">
        <f t="array" ref="L31" xml:space="preserve"> IF(H31&lt;&gt;"", INDEX(聲調對照表[IPA上標調號], MATCH(TRUE, EXACT('輸入工具 (台語注音二式)'!H31, 聲調對照表[台羅調號]), 0)), "")</f>
        <v>⁴</v>
      </c>
    </row>
    <row r="32" spans="2:12" ht="29.25">
      <c r="B32" s="217">
        <f t="shared" si="3"/>
        <v>28</v>
      </c>
      <c r="C32" s="19" t="s">
        <v>2545</v>
      </c>
      <c r="D32" s="202" t="s">
        <v>2577</v>
      </c>
      <c r="E32" s="201" t="str">
        <f t="shared" si="0"/>
        <v>tɔ⁷</v>
      </c>
      <c r="F32" s="199" t="s">
        <v>2301</v>
      </c>
      <c r="G32" s="199" t="str">
        <f t="shared" si="5"/>
        <v>oo</v>
      </c>
      <c r="H32" s="200" t="str">
        <f t="shared" si="2"/>
        <v>7</v>
      </c>
      <c r="I32" s="199"/>
      <c r="J32" s="199" t="str" cm="1">
        <f t="array" ref="J32" xml:space="preserve"> IFERROR( IF(F32&lt;&gt;"", INDEX(聲母對照表[國際音標], MATCH(TRUE, EXACT('輸入工具 (台語注音二式)'!F32, 聲母對照表[注音二式]), 0)), ""), "")</f>
        <v>t</v>
      </c>
      <c r="K32" s="199" t="str" cm="1">
        <f t="array" ref="K32">IFERROR( IF(G32&lt;&gt;"", INDEX(台羅韻母表[國際音標], MATCH(TRUE, EXACT('輸入工具 (台語注音二式)'!G32, 台羅韻母表[台語注音二式]), 0)), ""), "")</f>
        <v>ɔ</v>
      </c>
      <c r="L32" s="199" t="str" cm="1">
        <f t="array" ref="L32" xml:space="preserve"> IF(H32&lt;&gt;"", INDEX(聲調對照表[IPA上標調號], MATCH(TRUE, EXACT('輸入工具 (台語注音二式)'!H32, 聲調對照表[台羅調號]), 0)), "")</f>
        <v>⁷</v>
      </c>
    </row>
    <row r="33" spans="1:12" ht="29.25">
      <c r="B33" s="217">
        <f t="shared" si="3"/>
        <v>29</v>
      </c>
      <c r="C33" s="19" t="s">
        <v>2546</v>
      </c>
      <c r="D33" s="202" t="s">
        <v>2586</v>
      </c>
      <c r="E33" s="201" t="str">
        <f t="shared" si="0"/>
        <v>ɡɪɔk̚⁸</v>
      </c>
      <c r="F33" s="199" t="s">
        <v>2307</v>
      </c>
      <c r="G33" s="199" t="str">
        <f t="shared" si="5"/>
        <v>iook</v>
      </c>
      <c r="H33" s="200" t="str">
        <f t="shared" si="2"/>
        <v>8</v>
      </c>
      <c r="I33" s="199"/>
      <c r="J33" s="199" t="str" cm="1">
        <f t="array" ref="J33" xml:space="preserve"> IFERROR( IF(F33&lt;&gt;"", INDEX(聲母對照表[國際音標], MATCH(TRUE, EXACT('輸入工具 (台語注音二式)'!F33, 聲母對照表[注音二式]), 0)), ""), "")</f>
        <v>ɡ</v>
      </c>
      <c r="K33" s="218" t="str" cm="1">
        <f t="array" ref="K33">IFERROR( IF(G33&lt;&gt;"", INDEX(台羅韻母表[國際音標], MATCH(TRUE, EXACT('輸入工具 (台語注音二式)'!G33, 台羅韻母表[台語注音二式]), 0)), ""), "")</f>
        <v>ɪɔk̚</v>
      </c>
      <c r="L33" s="199" t="str" cm="1">
        <f t="array" ref="L33" xml:space="preserve"> IF(H33&lt;&gt;"", INDEX(聲調對照表[IPA上標調號], MATCH(TRUE, EXACT('輸入工具 (台語注音二式)'!H33, 聲調對照表[台羅調號]), 0)), "")</f>
        <v>⁸</v>
      </c>
    </row>
    <row r="34" spans="1:12" ht="29.25">
      <c r="B34" s="217">
        <f t="shared" si="3"/>
        <v>30</v>
      </c>
      <c r="C34" s="19" t="s">
        <v>2510</v>
      </c>
      <c r="D34" s="202" t="s">
        <v>2620</v>
      </c>
      <c r="E34" s="201" t="str">
        <f t="shared" si="0"/>
        <v>mŋ̍⁵</v>
      </c>
      <c r="F34" s="199" t="s">
        <v>1303</v>
      </c>
      <c r="G34" s="199" t="str">
        <f t="shared" si="5"/>
        <v>ng</v>
      </c>
      <c r="H34" s="200" t="str">
        <f t="shared" si="2"/>
        <v>5</v>
      </c>
      <c r="I34" s="199"/>
      <c r="J34" s="199" t="str" cm="1">
        <f t="array" ref="J34" xml:space="preserve"> IFERROR( IF(F34&lt;&gt;"", INDEX(聲母對照表[國際音標], MATCH(TRUE, EXACT('輸入工具 (台語注音二式)'!F34, 聲母對照表[注音二式]), 0)), ""), "")</f>
        <v>m</v>
      </c>
      <c r="K34" s="199" t="str" cm="1">
        <f t="array" ref="K34">IFERROR( IF(G34&lt;&gt;"", INDEX(台羅韻母表[國際音標], MATCH(TRUE, EXACT('輸入工具 (台語注音二式)'!G34, 台羅韻母表[台語注音二式]), 0)), ""), "")</f>
        <v>ŋ̍</v>
      </c>
      <c r="L34" s="199" t="str" cm="1">
        <f t="array" ref="L34" xml:space="preserve"> IF(H34&lt;&gt;"", INDEX(聲調對照表[IPA上標調號], MATCH(TRUE, EXACT('輸入工具 (台語注音二式)'!H34, 聲調對照表[台羅調號]), 0)), "")</f>
        <v>⁵</v>
      </c>
    </row>
    <row r="35" spans="1:12" ht="29.25">
      <c r="B35" s="217">
        <f t="shared" si="3"/>
        <v>31</v>
      </c>
      <c r="C35" s="19" t="s">
        <v>2547</v>
      </c>
      <c r="D35" s="202" t="s">
        <v>2569</v>
      </c>
      <c r="E35" s="201" t="str">
        <f t="shared" si="0"/>
        <v>kuan¹</v>
      </c>
      <c r="F35" s="199" t="s">
        <v>2305</v>
      </c>
      <c r="G35" s="199" t="str">
        <f t="shared" si="5"/>
        <v>uan</v>
      </c>
      <c r="H35" s="200" t="str">
        <f t="shared" si="2"/>
        <v>1</v>
      </c>
      <c r="I35" s="199"/>
      <c r="J35" s="199" t="str" cm="1">
        <f t="array" ref="J35" xml:space="preserve"> IFERROR( IF(F35&lt;&gt;"", INDEX(聲母對照表[國際音標], MATCH(TRUE, EXACT('輸入工具 (台語注音二式)'!F35, 聲母對照表[注音二式]), 0)), ""), "")</f>
        <v>k</v>
      </c>
      <c r="K35" s="199" t="str" cm="1">
        <f t="array" ref="K35">IFERROR( IF(G35&lt;&gt;"", INDEX(台羅韻母表[國際音標], MATCH(TRUE, EXACT('輸入工具 (台語注音二式)'!G35, 台羅韻母表[台語注音二式]), 0)), ""), "")</f>
        <v>uan</v>
      </c>
      <c r="L35" s="199" t="str" cm="1">
        <f t="array" ref="L35" xml:space="preserve"> IF(H35&lt;&gt;"", INDEX(聲調對照表[IPA上標調號], MATCH(TRUE, EXACT('輸入工具 (台語注音二式)'!H35, 聲調對照表[台羅調號]), 0)), "")</f>
        <v>¹</v>
      </c>
    </row>
    <row r="36" spans="1:12" ht="29.25">
      <c r="B36" s="217">
        <f t="shared" si="3"/>
        <v>32</v>
      </c>
      <c r="C36" s="19" t="s">
        <v>2536</v>
      </c>
      <c r="D36" s="202"/>
      <c r="E36" s="201" t="str">
        <f t="shared" si="0"/>
        <v/>
      </c>
      <c r="F36" s="199"/>
      <c r="G36" s="199" t="str">
        <f t="shared" si="5"/>
        <v/>
      </c>
      <c r="H36" s="200" t="str">
        <f t="shared" si="2"/>
        <v/>
      </c>
      <c r="I36" s="199"/>
      <c r="J36" s="199" t="str" cm="1">
        <f t="array" ref="J36" xml:space="preserve"> IFERROR( IF(F36&lt;&gt;"", INDEX(聲母對照表[國際音標], MATCH(TRUE, EXACT('輸入工具 (台語注音二式)'!F36, 聲母對照表[閩拼方案]), 0)), ""), "")</f>
        <v/>
      </c>
      <c r="K36" s="199" t="str" cm="1">
        <f t="array" ref="K36">IFERROR( IF(G36&lt;&gt;"", INDEX(台羅韻母表[國際音標], MATCH(TRUE, EXACT('輸入工具 (台語注音二式)'!G36, 台羅韻母表[閩拼方案]), 0)), ""), "")</f>
        <v/>
      </c>
      <c r="L36" s="199" t="str" cm="1">
        <f t="array" ref="L36" xml:space="preserve"> IF(H36&lt;&gt;"", INDEX(聲調對照表[閩拼上標調號], MATCH(TRUE, EXACT('輸入工具 (台語注音二式)'!H36, 聲調對照表[閩拼調號]), 0)), "")</f>
        <v/>
      </c>
    </row>
    <row r="39" spans="1:12" ht="29.25">
      <c r="A39" s="200"/>
      <c r="B39" s="200"/>
      <c r="C39" s="200"/>
      <c r="D39" s="200"/>
      <c r="E39" s="200"/>
      <c r="F39" s="200"/>
      <c r="G39" s="200"/>
      <c r="H39" s="200"/>
      <c r="I39" s="199"/>
      <c r="J39" s="199" t="str" cm="1">
        <f t="array" ref="J39" xml:space="preserve"> IF(F39&lt;&gt;"", INDEX(聲母對照表[國際音標], MATCH(TRUE, EXACT('輸入工具 (台語注音二式)'!F39, 聲母對照表[閩拼方案]), 0)), "")</f>
        <v/>
      </c>
      <c r="K39" s="199" t="str" cm="1">
        <f t="array" ref="K39">IF(G39&lt;&gt;"", INDEX(台羅韻母表[國際音標], MATCH(TRUE, EXACT('輸入工具 (台語注音二式)'!G39, 台羅韻母表[閩拼方案]), 0)), "")</f>
        <v/>
      </c>
      <c r="L39" s="199" t="str" cm="1">
        <f t="array" ref="L39" xml:space="preserve"> IF(H39&lt;&gt;"", INDEX(聲調對照表[閩拼上標調號], MATCH(TRUE, EXACT('輸入工具 (台語注音二式)'!H39, 聲調對照表[閩拼調號]), 0)), "")</f>
        <v/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4A10A-B01A-4497-BD12-E28744F52ED7}">
  <dimension ref="A2:L39"/>
  <sheetViews>
    <sheetView workbookViewId="0">
      <selection activeCell="D35" sqref="D35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【台語音標】</v>
      </c>
    </row>
    <row r="4" spans="2:12">
      <c r="B4" s="188" t="s">
        <v>895</v>
      </c>
      <c r="C4" s="188" t="s">
        <v>661</v>
      </c>
      <c r="D4" s="188" t="s">
        <v>662</v>
      </c>
      <c r="E4" s="188" t="s">
        <v>875</v>
      </c>
      <c r="F4" s="188" t="s">
        <v>2347</v>
      </c>
      <c r="G4" s="188" t="s">
        <v>2348</v>
      </c>
      <c r="H4" s="188" t="s">
        <v>2349</v>
      </c>
      <c r="J4" t="s">
        <v>2500</v>
      </c>
      <c r="K4" t="s">
        <v>934</v>
      </c>
      <c r="L4" t="s">
        <v>2501</v>
      </c>
    </row>
    <row r="5" spans="2:12" ht="29.25">
      <c r="B5" s="217">
        <f xml:space="preserve"> ROW() - 4</f>
        <v>1</v>
      </c>
      <c r="C5" s="19" t="s">
        <v>2524</v>
      </c>
      <c r="D5" s="202" t="s">
        <v>2548</v>
      </c>
      <c r="E5" s="201" t="str">
        <f xml:space="preserve"> IF(AND(G5&lt;&gt;"",H5&lt;&gt;""), _xlfn.CONCAT(J5:L5), "")</f>
        <v>hɔŋ⁵</v>
      </c>
      <c r="F5" s="199" t="s">
        <v>2308</v>
      </c>
      <c r="G5" s="199" t="str">
        <f>IFERROR( MID(D5, LEN(F5)+1, LEN(D5) - LEN(F5) - 1), "")</f>
        <v>ong</v>
      </c>
      <c r="H5" s="200" t="str">
        <f xml:space="preserve"> RIGHT(D5,1)</f>
        <v>5</v>
      </c>
      <c r="I5" s="199"/>
      <c r="J5" s="199" t="str" cm="1">
        <f t="array" ref="J5" xml:space="preserve"> IFERROR( IF(F5&lt;&gt;"", INDEX(聲母對照表[國際音標], MATCH(TRUE, EXACT('輸入工具 (台語音標)'!F5, 聲母對照表[台語音標]), 0)), ""), "")</f>
        <v>h</v>
      </c>
      <c r="K5" s="199" t="str" cm="1">
        <f t="array" ref="K5">IFERROR( IF(G5&lt;&gt;"", INDEX(台羅韻母表[國際音標], MATCH(TRUE, EXACT('輸入工具 (台語音標)'!G5, 台羅韻母表[台語音標]), 0)), ""), "")</f>
        <v>ɔŋ</v>
      </c>
      <c r="L5" s="199" t="str" cm="1">
        <f t="array" ref="L5" xml:space="preserve"> IF(H5&lt;&gt;"", INDEX(聲調對照表[IPA上標調號], MATCH(TRUE, EXACT('輸入工具 (台語音標)'!H5, 聲調對照表[台羅調號]), 0)), "")</f>
        <v>⁵</v>
      </c>
    </row>
    <row r="6" spans="2:12" ht="29.25">
      <c r="B6" s="217">
        <f xml:space="preserve"> ROW() - 4</f>
        <v>2</v>
      </c>
      <c r="C6" s="19" t="s">
        <v>2525</v>
      </c>
      <c r="D6" s="202" t="s">
        <v>2571</v>
      </c>
      <c r="E6" s="201" t="str">
        <f t="shared" ref="E6:E36" si="0" xml:space="preserve"> IF(AND(G6&lt;&gt;"",H6&lt;&gt;""), _xlfn.CONCAT(J6:L6), "")</f>
        <v>hə⁵</v>
      </c>
      <c r="F6" s="199" t="s">
        <v>2308</v>
      </c>
      <c r="G6" s="199" t="str">
        <f t="shared" ref="G6" si="1">IFERROR( MID(D6, LEN(F6)+1, LEN(D6) - LEN(F6) - 1), "")</f>
        <v>o</v>
      </c>
      <c r="H6" s="200" t="str">
        <f t="shared" ref="H6:H36" si="2" xml:space="preserve"> RIGHT(D6,1)</f>
        <v>5</v>
      </c>
      <c r="I6" s="199"/>
      <c r="J6" s="199" t="str" cm="1">
        <f t="array" ref="J6" xml:space="preserve"> IFERROR( IF(F6&lt;&gt;"", INDEX(聲母對照表[國際音標], MATCH(TRUE, EXACT('輸入工具 (台語音標)'!F6, 聲母對照表[台語音標]), 0)), ""), "")</f>
        <v>h</v>
      </c>
      <c r="K6" s="199" t="str" cm="1">
        <f t="array" ref="K6">IFERROR( IF(G6&lt;&gt;"", INDEX(台羅韻母表[國際音標], MATCH(TRUE, EXACT('輸入工具 (台語音標)'!G6, 台羅韻母表[台語音標]), 0)), ""), "")</f>
        <v>ə</v>
      </c>
      <c r="L6" s="199" t="str" cm="1">
        <f t="array" ref="L6" xml:space="preserve"> IF(H6&lt;&gt;"", INDEX(聲調對照表[IPA上標調號], MATCH(TRUE, EXACT('輸入工具 (台語音標)'!H6, 聲調對照表[台羅調號]), 0)), "")</f>
        <v>⁵</v>
      </c>
    </row>
    <row r="7" spans="2:12" ht="29.25">
      <c r="B7" s="217">
        <f t="shared" ref="B7:B36" si="3" xml:space="preserve"> ROW() - 4</f>
        <v>3</v>
      </c>
      <c r="C7" s="19" t="s">
        <v>2526</v>
      </c>
      <c r="D7" s="202" t="s">
        <v>2572</v>
      </c>
      <c r="E7" s="201" t="str">
        <f t="shared" si="0"/>
        <v>uan²</v>
      </c>
      <c r="F7" s="216"/>
      <c r="G7" s="199" t="s">
        <v>1210</v>
      </c>
      <c r="H7" s="200" t="str">
        <f t="shared" si="2"/>
        <v>2</v>
      </c>
      <c r="I7" s="199"/>
      <c r="J7" s="199" t="str" cm="1">
        <f t="array" ref="J7" xml:space="preserve"> IFERROR( IF(F7&lt;&gt;"", INDEX(聲母對照表[國際音標], MATCH(TRUE, EXACT('輸入工具 (台語音標)'!F7, 聲母對照表[台語音標]), 0)), ""), "")</f>
        <v/>
      </c>
      <c r="K7" s="199" t="str" cm="1">
        <f t="array" ref="K7">IFERROR( IF(G7&lt;&gt;"", INDEX(台羅韻母表[國際音標], MATCH(TRUE, EXACT('輸入工具 (台語音標)'!G7, 台羅韻母表[台語音標]), 0)), ""), "")</f>
        <v>uan</v>
      </c>
      <c r="L7" s="199" t="str" cm="1">
        <f t="array" ref="L7" xml:space="preserve"> IF(H7&lt;&gt;"", INDEX(聲調對照表[IPA上標調號], MATCH(TRUE, EXACT('輸入工具 (台語音標)'!H7, 聲調對照表[台羅調號]), 0)), "")</f>
        <v>²</v>
      </c>
    </row>
    <row r="8" spans="2:12" ht="29.25">
      <c r="B8" s="217">
        <f t="shared" si="3"/>
        <v>4</v>
      </c>
      <c r="C8" s="19" t="s">
        <v>2527</v>
      </c>
      <c r="D8" s="202" t="s">
        <v>2587</v>
      </c>
      <c r="E8" s="201" t="str">
        <f t="shared" si="0"/>
        <v>sɪɔŋ²</v>
      </c>
      <c r="F8" s="199" t="s">
        <v>2311</v>
      </c>
      <c r="G8" s="199" t="str">
        <f t="shared" ref="G8:G36" si="4">IFERROR( MID(D8, LEN(F8)+1, LEN(D8) - LEN(F8) - 1), "")</f>
        <v>iong</v>
      </c>
      <c r="H8" s="200" t="str">
        <f t="shared" si="2"/>
        <v>2</v>
      </c>
      <c r="I8" s="199"/>
      <c r="J8" s="199" t="str" cm="1">
        <f t="array" ref="J8" xml:space="preserve"> IFERROR( IF(F8&lt;&gt;"", INDEX(聲母對照表[國際音標], MATCH(TRUE, EXACT('輸入工具 (台語音標)'!F8, 聲母對照表[台語音標]), 0)), ""), "")</f>
        <v>s</v>
      </c>
      <c r="K8" s="199" t="str" cm="1">
        <f t="array" ref="K8">IFERROR( IF(G8&lt;&gt;"", INDEX(台羅韻母表[國際音標], MATCH(TRUE, EXACT('輸入工具 (台語音標)'!G8, 台羅韻母表[台語音標]), 0)), ""), "")</f>
        <v>ɪɔŋ</v>
      </c>
      <c r="L8" s="199" t="str" cm="1">
        <f t="array" ref="L8" xml:space="preserve"> IF(H8&lt;&gt;"", INDEX(聲調對照表[IPA上標調號], MATCH(TRUE, EXACT('輸入工具 (台語音標)'!H8, 聲調對照表[台羅調號]), 0)), "")</f>
        <v>²</v>
      </c>
    </row>
    <row r="9" spans="2:12" ht="29.25">
      <c r="B9" s="217">
        <f t="shared" si="3"/>
        <v>5</v>
      </c>
      <c r="C9" s="19" t="s">
        <v>2528</v>
      </c>
      <c r="D9" s="202" t="s">
        <v>2588</v>
      </c>
      <c r="E9" s="201" t="str">
        <f t="shared" si="0"/>
        <v>pik̚⁸</v>
      </c>
      <c r="F9" s="199" t="s">
        <v>2299</v>
      </c>
      <c r="G9" s="199" t="str">
        <f t="shared" si="4"/>
        <v>ik</v>
      </c>
      <c r="H9" s="200" t="str">
        <f t="shared" si="2"/>
        <v>8</v>
      </c>
      <c r="I9" s="199"/>
      <c r="J9" s="199" t="str" cm="1">
        <f t="array" ref="J9" xml:space="preserve"> IFERROR( IF(F9&lt;&gt;"", INDEX(聲母對照表[國際音標], MATCH(TRUE, EXACT('輸入工具 (台語音標)'!F9, 聲母對照表[台語音標]), 0)), ""), "")</f>
        <v>p</v>
      </c>
      <c r="K9" s="199" t="str" cm="1">
        <f t="array" ref="K9">IFERROR( IF(G9&lt;&gt;"", INDEX(台羅韻母表[國際音標], MATCH(TRUE, EXACT('輸入工具 (台語音標)'!G9, 台羅韻母表[台語音標]), 0)), ""), "")</f>
        <v>ik̚</v>
      </c>
      <c r="L9" s="199" t="str" cm="1">
        <f t="array" ref="L9" xml:space="preserve"> IF(H9&lt;&gt;"", INDEX(聲調對照表[IPA上標調號], MATCH(TRUE, EXACT('輸入工具 (台語音標)'!H9, 聲調對照表[台羅調號]), 0)), "")</f>
        <v>⁸</v>
      </c>
    </row>
    <row r="10" spans="2:12" ht="29.25">
      <c r="B10" s="217">
        <f t="shared" si="3"/>
        <v>6</v>
      </c>
      <c r="C10" s="19" t="s">
        <v>2529</v>
      </c>
      <c r="D10" s="202" t="s">
        <v>2575</v>
      </c>
      <c r="E10" s="201" t="str">
        <f t="shared" si="0"/>
        <v>hun⁵</v>
      </c>
      <c r="F10" s="199" t="s">
        <v>2308</v>
      </c>
      <c r="G10" s="199" t="str">
        <f t="shared" si="4"/>
        <v>un</v>
      </c>
      <c r="H10" s="200" t="str">
        <f t="shared" si="2"/>
        <v>5</v>
      </c>
      <c r="I10" s="199"/>
      <c r="J10" s="199" t="str" cm="1">
        <f t="array" ref="J10" xml:space="preserve"> IFERROR( IF(F10&lt;&gt;"", INDEX(聲母對照表[國際音標], MATCH(TRUE, EXACT('輸入工具 (台語音標)'!F10, 聲母對照表[台語音標]), 0)), ""), "")</f>
        <v>h</v>
      </c>
      <c r="K10" s="199" t="str" cm="1">
        <f t="array" ref="K10">IFERROR( IF(G10&lt;&gt;"", INDEX(台羅韻母表[國際音標], MATCH(TRUE, EXACT('輸入工具 (台語音標)'!G10, 台羅韻母表[台語音標]), 0)), ""), "")</f>
        <v>un</v>
      </c>
      <c r="L10" s="199" t="str" cm="1">
        <f t="array" ref="L10" xml:space="preserve"> IF(H10&lt;&gt;"", INDEX(聲調對照表[IPA上標調號], MATCH(TRUE, EXACT('輸入工具 (台語音標)'!H10, 聲調對照表[台羅調號]), 0)), "")</f>
        <v>⁵</v>
      </c>
    </row>
    <row r="11" spans="2:12" ht="29.25">
      <c r="B11" s="217">
        <f t="shared" si="3"/>
        <v>7</v>
      </c>
      <c r="C11" s="19" t="s">
        <v>2530</v>
      </c>
      <c r="D11" s="202" t="s">
        <v>2589</v>
      </c>
      <c r="E11" s="201" t="str">
        <f t="shared" si="0"/>
        <v>kiŋ¹</v>
      </c>
      <c r="F11" s="199" t="s">
        <v>2306</v>
      </c>
      <c r="G11" s="199" t="str">
        <f t="shared" si="4"/>
        <v>ing</v>
      </c>
      <c r="H11" s="200" t="str">
        <f t="shared" si="2"/>
        <v>1</v>
      </c>
      <c r="I11" s="199"/>
      <c r="J11" s="199" t="str" cm="1">
        <f t="array" ref="J11" xml:space="preserve"> IFERROR( IF(F11&lt;&gt;"", INDEX(聲母對照表[國際音標], MATCH(TRUE, EXACT('輸入工具 (台語音標)'!F11, 聲母對照表[台語音標]), 0)), ""), "")</f>
        <v>k</v>
      </c>
      <c r="K11" s="199" t="str" cm="1">
        <f t="array" ref="K11">IFERROR( IF(G11&lt;&gt;"", INDEX(台羅韻母表[國際音標], MATCH(TRUE, EXACT('輸入工具 (台語音標)'!G11, 台羅韻母表[台語音標]), 0)), ""), "")</f>
        <v>iŋ</v>
      </c>
      <c r="L11" s="199" t="str" cm="1">
        <f t="array" ref="L11" xml:space="preserve"> IF(H11&lt;&gt;"", INDEX(聲調對照表[IPA上標調號], MATCH(TRUE, EXACT('輸入工具 (台語音標)'!H11, 聲調對照表[台羅調號]), 0)), "")</f>
        <v>¹</v>
      </c>
    </row>
    <row r="12" spans="2:12" ht="29.25">
      <c r="B12" s="217">
        <f t="shared" si="3"/>
        <v>8</v>
      </c>
      <c r="C12" s="19" t="s">
        <v>2537</v>
      </c>
      <c r="D12" s="202"/>
      <c r="E12" s="201" t="str">
        <f t="shared" si="0"/>
        <v/>
      </c>
      <c r="F12" s="199"/>
      <c r="G12" s="199" t="str">
        <f t="shared" si="4"/>
        <v/>
      </c>
      <c r="H12" s="200" t="str">
        <f t="shared" si="2"/>
        <v/>
      </c>
      <c r="I12" s="199"/>
      <c r="J12" s="199" t="str" cm="1">
        <f t="array" ref="J12" xml:space="preserve"> IFERROR( IF(F12&lt;&gt;"", INDEX(聲母對照表[國際音標], MATCH(TRUE, EXACT('輸入工具 (台語音標)'!F12, 聲母對照表[台語音標]), 0)), ""), "")</f>
        <v/>
      </c>
      <c r="K12" s="199" t="str" cm="1">
        <f t="array" ref="K12">IFERROR( IF(G12&lt;&gt;"", INDEX(台羅韻母表[國際音標], MATCH(TRUE, EXACT('輸入工具 (台語音標)'!G12, 台羅韻母表[台語音標]), 0)), ""), "")</f>
        <v/>
      </c>
      <c r="L12" s="199" t="str" cm="1">
        <f t="array" ref="L12" xml:space="preserve"> IF(H12&lt;&gt;"", INDEX(聲調對照表[IPA上標調號], MATCH(TRUE, EXACT('輸入工具 (台語音標)'!H12, 聲調對照表[台羅調號]), 0)), "")</f>
        <v/>
      </c>
    </row>
    <row r="13" spans="2:12" ht="29.25">
      <c r="B13" s="217">
        <f t="shared" si="3"/>
        <v>9</v>
      </c>
      <c r="C13" s="19" t="s">
        <v>1283</v>
      </c>
      <c r="D13" s="202" t="s">
        <v>2576</v>
      </c>
      <c r="E13" s="201" t="str">
        <f t="shared" si="0"/>
        <v>it̚⁴</v>
      </c>
      <c r="F13" s="199"/>
      <c r="G13" s="199" t="str">
        <f t="shared" si="4"/>
        <v>it</v>
      </c>
      <c r="H13" s="200" t="str">
        <f t="shared" si="2"/>
        <v>4</v>
      </c>
      <c r="I13" s="199"/>
      <c r="J13" s="199" t="str" cm="1">
        <f t="array" ref="J13" xml:space="preserve"> IFERROR( IF(F13&lt;&gt;"", INDEX(聲母對照表[國際音標], MATCH(TRUE, EXACT('輸入工具 (台語音標)'!F13, 聲母對照表[台語音標]), 0)), ""), "")</f>
        <v/>
      </c>
      <c r="K13" s="199" t="str" cm="1">
        <f t="array" ref="K13">IFERROR( IF(G13&lt;&gt;"", INDEX(台羅韻母表[國際音標], MATCH(TRUE, EXACT('輸入工具 (台語音標)'!G13, 台羅韻母表[台語音標]), 0)), ""), "")</f>
        <v>it̚</v>
      </c>
      <c r="L13" s="199" t="str" cm="1">
        <f t="array" ref="L13" xml:space="preserve"> IF(H13&lt;&gt;"", INDEX(聲調對照表[IPA上標調號], MATCH(TRUE, EXACT('輸入工具 (台語音標)'!H13, 聲調對照表[台羅調號]), 0)), "")</f>
        <v>⁴</v>
      </c>
    </row>
    <row r="14" spans="2:12" ht="29.25">
      <c r="B14" s="217">
        <f t="shared" si="3"/>
        <v>10</v>
      </c>
      <c r="C14" s="19" t="s">
        <v>2531</v>
      </c>
      <c r="D14" s="202" t="s">
        <v>2604</v>
      </c>
      <c r="E14" s="201" t="str">
        <f t="shared" si="0"/>
        <v>pʰɪan³</v>
      </c>
      <c r="F14" s="199" t="s">
        <v>2590</v>
      </c>
      <c r="G14" s="199" t="str">
        <f t="shared" si="4"/>
        <v>ian</v>
      </c>
      <c r="H14" s="200" t="str">
        <f t="shared" si="2"/>
        <v>3</v>
      </c>
      <c r="I14" s="199"/>
      <c r="J14" s="199" t="str" cm="1">
        <f t="array" ref="J14" xml:space="preserve"> IFERROR( IF(F14&lt;&gt;"", INDEX(聲母對照表[國際音標], MATCH(TRUE, EXACT('輸入工具 (台語音標)'!F14, 聲母對照表[台語音標]), 0)), ""), "")</f>
        <v>pʰ</v>
      </c>
      <c r="K14" s="199" t="str" cm="1">
        <f t="array" ref="K14">IFERROR( IF(G14&lt;&gt;"", INDEX(台羅韻母表[國際音標], MATCH(TRUE, EXACT('輸入工具 (台語音標)'!G14, 台羅韻母表[台語音標]), 0)), ""), "")</f>
        <v>ɪan</v>
      </c>
      <c r="L14" s="199" t="str" cm="1">
        <f t="array" ref="L14" xml:space="preserve"> IF(H14&lt;&gt;"", INDEX(聲調對照表[IPA上標調號], MATCH(TRUE, EXACT('輸入工具 (台語音標)'!H14, 聲調對照表[台羅調號]), 0)), "")</f>
        <v>³</v>
      </c>
    </row>
    <row r="15" spans="2:12" ht="29.25">
      <c r="B15" s="217">
        <f t="shared" si="3"/>
        <v>11</v>
      </c>
      <c r="C15" s="19" t="s">
        <v>2532</v>
      </c>
      <c r="D15" s="202" t="s">
        <v>2591</v>
      </c>
      <c r="E15" s="201" t="str">
        <f t="shared" si="0"/>
        <v>ɡɔ¹</v>
      </c>
      <c r="F15" s="199" t="s">
        <v>2305</v>
      </c>
      <c r="G15" s="199" t="str">
        <f t="shared" si="4"/>
        <v>oo</v>
      </c>
      <c r="H15" s="200" t="str">
        <f t="shared" si="2"/>
        <v>1</v>
      </c>
      <c r="I15" s="199"/>
      <c r="J15" s="199" t="str" cm="1">
        <f t="array" ref="J15" xml:space="preserve"> IFERROR( IF(F15&lt;&gt;"", INDEX(聲母對照表[國際音標], MATCH(TRUE, EXACT('輸入工具 (台語音標)'!F15, 聲母對照表[台語音標]), 0)), ""), "")</f>
        <v>ɡ</v>
      </c>
      <c r="K15" s="199" t="str" cm="1">
        <f t="array" ref="K15">IFERROR( IF(G15&lt;&gt;"", INDEX(台羅韻母表[國際音標], MATCH(TRUE, EXACT('輸入工具 (台語音標)'!G15, 台羅韻母表[台語音標]), 0)), ""), "")</f>
        <v>ɔ</v>
      </c>
      <c r="L15" s="199" t="str" cm="1">
        <f t="array" ref="L15" xml:space="preserve"> IF(H15&lt;&gt;"", INDEX(聲調對照表[IPA上標調號], MATCH(TRUE, EXACT('輸入工具 (台語音標)'!H15, 聲調對照表[台羅調號]), 0)), "")</f>
        <v>¹</v>
      </c>
    </row>
    <row r="16" spans="2:12" ht="29.25">
      <c r="B16" s="217">
        <f t="shared" si="3"/>
        <v>12</v>
      </c>
      <c r="C16" s="19" t="s">
        <v>2533</v>
      </c>
      <c r="D16" s="202" t="s">
        <v>2602</v>
      </c>
      <c r="E16" s="201" t="str">
        <f t="shared" si="0"/>
        <v>siŋ⁵</v>
      </c>
      <c r="F16" s="199" t="s">
        <v>2311</v>
      </c>
      <c r="G16" s="199" t="str">
        <f t="shared" si="4"/>
        <v>ing</v>
      </c>
      <c r="H16" s="200" t="str">
        <f t="shared" si="2"/>
        <v>5</v>
      </c>
      <c r="I16" s="199"/>
      <c r="J16" s="199" t="str" cm="1">
        <f t="array" ref="J16" xml:space="preserve"> IFERROR( IF(F16&lt;&gt;"", INDEX(聲母對照表[國際音標], MATCH(TRUE, EXACT('輸入工具 (台語音標)'!F16, 聲母對照表[台語音標]), 0)), ""), "")</f>
        <v>s</v>
      </c>
      <c r="K16" s="199" t="str" cm="1">
        <f t="array" ref="K16">IFERROR( IF(G16&lt;&gt;"", INDEX(台羅韻母表[國際音標], MATCH(TRUE, EXACT('輸入工具 (台語音標)'!G16, 台羅韻母表[台語音標]), 0)), ""), "")</f>
        <v>iŋ</v>
      </c>
      <c r="L16" s="199" t="str" cm="1">
        <f t="array" ref="L16" xml:space="preserve"> IF(H16&lt;&gt;"", INDEX(聲調對照表[IPA上標調號], MATCH(TRUE, EXACT('輸入工具 (台語音標)'!H16, 聲調對照表[台羅調號]), 0)), "")</f>
        <v>⁵</v>
      </c>
    </row>
    <row r="17" spans="2:12" ht="29.25">
      <c r="B17" s="217">
        <f t="shared" si="3"/>
        <v>13</v>
      </c>
      <c r="C17" s="19" t="s">
        <v>2534</v>
      </c>
      <c r="D17" s="202" t="s">
        <v>2605</v>
      </c>
      <c r="E17" s="201" t="str">
        <f t="shared" si="0"/>
        <v>ban⁷</v>
      </c>
      <c r="F17" s="199" t="s">
        <v>2298</v>
      </c>
      <c r="G17" s="199" t="str">
        <f t="shared" si="4"/>
        <v>an</v>
      </c>
      <c r="H17" s="200" t="str">
        <f t="shared" si="2"/>
        <v>7</v>
      </c>
      <c r="I17" s="199"/>
      <c r="J17" s="199" t="str" cm="1">
        <f t="array" ref="J17" xml:space="preserve"> IFERROR( IF(F17&lt;&gt;"", INDEX(聲母對照表[國際音標], MATCH(TRUE, EXACT('輸入工具 (台語音標)'!F17, 聲母對照表[台語音標]), 0)), ""), "")</f>
        <v>b</v>
      </c>
      <c r="K17" s="199" t="str" cm="1">
        <f t="array" ref="K17">IFERROR( IF(G17&lt;&gt;"", INDEX(台羅韻母表[國際音標], MATCH(TRUE, EXACT('輸入工具 (台語音標)'!G17, 台羅韻母表[台語音標]), 0)), ""), "")</f>
        <v>an</v>
      </c>
      <c r="L17" s="199" t="str" cm="1">
        <f t="array" ref="L17" xml:space="preserve"> IF(H17&lt;&gt;"", INDEX(聲調對照表[IPA上標調號], MATCH(TRUE, EXACT('輸入工具 (台語音標)'!H17, 聲調對照表[台羅調號]), 0)), "")</f>
        <v>⁷</v>
      </c>
    </row>
    <row r="18" spans="2:12" ht="29.25">
      <c r="B18" s="217">
        <f t="shared" si="3"/>
        <v>14</v>
      </c>
      <c r="C18" s="19" t="s">
        <v>2511</v>
      </c>
      <c r="D18" s="202" t="s">
        <v>2592</v>
      </c>
      <c r="E18" s="201" t="str">
        <f t="shared" si="0"/>
        <v>ʣim⁷</v>
      </c>
      <c r="F18" s="199" t="s">
        <v>2506</v>
      </c>
      <c r="G18" s="199" t="str">
        <f t="shared" si="4"/>
        <v>im</v>
      </c>
      <c r="H18" s="200" t="str">
        <f t="shared" si="2"/>
        <v>7</v>
      </c>
      <c r="I18" s="199"/>
      <c r="J18" s="199" t="str" cm="1">
        <f t="array" ref="J18" xml:space="preserve"> IFERROR( IF(F18&lt;&gt;"", INDEX(聲母對照表[國際音標], MATCH(TRUE, EXACT('輸入工具 (台語音標)'!F18, 聲母對照表[台語音標]), 0)), ""), "")</f>
        <v>ʣ</v>
      </c>
      <c r="K18" s="199" t="str" cm="1">
        <f t="array" ref="K18">IFERROR( IF(G18&lt;&gt;"", INDEX(台羅韻母表[國際音標], MATCH(TRUE, EXACT('輸入工具 (台語音標)'!G18, 台羅韻母表[台語音標]), 0)), ""), "")</f>
        <v>im</v>
      </c>
      <c r="L18" s="199" t="str" cm="1">
        <f t="array" ref="L18" xml:space="preserve"> IF(H18&lt;&gt;"", INDEX(聲調對照表[IPA上標調號], MATCH(TRUE, EXACT('輸入工具 (台語音標)'!H18, 聲調對照表[台羅調號]), 0)), "")</f>
        <v>⁷</v>
      </c>
    </row>
    <row r="19" spans="2:12" ht="29.25">
      <c r="B19" s="217">
        <f t="shared" si="3"/>
        <v>15</v>
      </c>
      <c r="C19" s="19" t="s">
        <v>2535</v>
      </c>
      <c r="D19" s="202" t="s">
        <v>2561</v>
      </c>
      <c r="E19" s="201" t="str">
        <f t="shared" si="0"/>
        <v>san¹</v>
      </c>
      <c r="F19" s="199" t="s">
        <v>2311</v>
      </c>
      <c r="G19" s="199" t="str">
        <f t="shared" si="4"/>
        <v>an</v>
      </c>
      <c r="H19" s="200" t="str">
        <f t="shared" si="2"/>
        <v>1</v>
      </c>
      <c r="I19" s="199"/>
      <c r="J19" s="199" t="str" cm="1">
        <f t="array" ref="J19" xml:space="preserve"> IFERROR( IF(F19&lt;&gt;"", INDEX(聲母對照表[國際音標], MATCH(TRUE, EXACT('輸入工具 (台語音標)'!F19, 聲母對照表[台語音標]), 0)), ""), "")</f>
        <v>s</v>
      </c>
      <c r="K19" s="199" t="str" cm="1">
        <f t="array" ref="K19">IFERROR( IF(G19&lt;&gt;"", INDEX(台羅韻母表[國際音標], MATCH(TRUE, EXACT('輸入工具 (台語音標)'!G19, 台羅韻母表[台語音標]), 0)), ""), "")</f>
        <v>an</v>
      </c>
      <c r="L19" s="199" t="str" cm="1">
        <f t="array" ref="L19" xml:space="preserve"> IF(H19&lt;&gt;"", INDEX(聲調對照表[IPA上標調號], MATCH(TRUE, EXACT('輸入工具 (台語音標)'!H19, 聲調對照表[台羅調號]), 0)), "")</f>
        <v>¹</v>
      </c>
    </row>
    <row r="20" spans="2:12" ht="29.25">
      <c r="B20" s="217">
        <f t="shared" si="3"/>
        <v>16</v>
      </c>
      <c r="C20" s="19" t="s">
        <v>2536</v>
      </c>
      <c r="D20" s="202"/>
      <c r="E20" s="201" t="str">
        <f t="shared" si="0"/>
        <v/>
      </c>
      <c r="F20" s="199"/>
      <c r="G20" s="199" t="str">
        <f t="shared" si="4"/>
        <v/>
      </c>
      <c r="H20" s="200" t="str">
        <f t="shared" si="2"/>
        <v/>
      </c>
      <c r="I20" s="199"/>
      <c r="J20" s="199" t="str" cm="1">
        <f t="array" ref="J20" xml:space="preserve"> IFERROR( IF(F20&lt;&gt;"", INDEX(聲母對照表[國際音標], MATCH(TRUE, EXACT('輸入工具 (台語音標)'!F20, 聲母對照表[台語音標]), 0)), ""), "")</f>
        <v/>
      </c>
      <c r="K20" s="199" t="str" cm="1">
        <f t="array" ref="K20">IFERROR( IF(G20&lt;&gt;"", INDEX(台羅韻母表[國際音標], MATCH(TRUE, EXACT('輸入工具 (台語音標)'!G20, 台羅韻母表[台語音標]), 0)), ""), "")</f>
        <v/>
      </c>
      <c r="L20" s="199" t="str" cm="1">
        <f t="array" ref="L20" xml:space="preserve"> IF(H20&lt;&gt;"", INDEX(聲調對照表[IPA上標調號], MATCH(TRUE, EXACT('輸入工具 (台語音標)'!H20, 聲調對照表[台羅調號]), 0)), "")</f>
        <v/>
      </c>
    </row>
    <row r="21" spans="2:12" ht="29.25">
      <c r="B21" s="217">
        <f t="shared" si="3"/>
        <v>17</v>
      </c>
      <c r="C21" s="19" t="s">
        <v>2512</v>
      </c>
      <c r="D21" s="202" t="s">
        <v>2593</v>
      </c>
      <c r="E21" s="201" t="str">
        <f t="shared" si="0"/>
        <v>kɪũ¹</v>
      </c>
      <c r="F21" s="199" t="s">
        <v>2306</v>
      </c>
      <c r="G21" s="199" t="str">
        <f t="shared" si="4"/>
        <v>iunn</v>
      </c>
      <c r="H21" s="200" t="str">
        <f t="shared" si="2"/>
        <v>1</v>
      </c>
      <c r="I21" s="199"/>
      <c r="J21" s="199" t="str" cm="1">
        <f t="array" ref="J21" xml:space="preserve"> IFERROR( IF(F21&lt;&gt;"", INDEX(聲母對照表[國際音標], MATCH(TRUE, EXACT('輸入工具 (台語音標)'!F21, 聲母對照表[台語音標]), 0)), ""), "")</f>
        <v>k</v>
      </c>
      <c r="K21" s="199" t="str" cm="1">
        <f t="array" ref="K21">IFERROR( IF(G21&lt;&gt;"", INDEX(台羅韻母表[國際音標], MATCH(TRUE, EXACT('輸入工具 (台語音標)'!G21, 台羅韻母表[台語音標]), 0)), ""), "")</f>
        <v>ɪũ</v>
      </c>
      <c r="L21" s="199" t="str" cm="1">
        <f t="array" ref="L21" xml:space="preserve"> IF(H21&lt;&gt;"", INDEX(聲調對照表[IPA上標調號], MATCH(TRUE, EXACT('輸入工具 (台語音標)'!H21, 聲調對照表[台羅調號]), 0)), "")</f>
        <v>¹</v>
      </c>
    </row>
    <row r="22" spans="2:12" ht="29.25">
      <c r="B22" s="217">
        <f t="shared" si="3"/>
        <v>18</v>
      </c>
      <c r="C22" s="19" t="s">
        <v>2538</v>
      </c>
      <c r="D22" s="202" t="s">
        <v>2594</v>
      </c>
      <c r="E22" s="201" t="str">
        <f t="shared" si="0"/>
        <v>tik̚⁸</v>
      </c>
      <c r="F22" s="199" t="s">
        <v>2302</v>
      </c>
      <c r="G22" s="199" t="str">
        <f t="shared" si="4"/>
        <v>ik</v>
      </c>
      <c r="H22" s="200" t="str">
        <f t="shared" si="2"/>
        <v>8</v>
      </c>
      <c r="I22" s="199"/>
      <c r="J22" s="199" t="str" cm="1">
        <f t="array" ref="J22" xml:space="preserve"> IFERROR( IF(F22&lt;&gt;"", INDEX(聲母對照表[國際音標], MATCH(TRUE, EXACT('輸入工具 (台語音標)'!F22, 聲母對照表[台語音標]), 0)), ""), "")</f>
        <v>t</v>
      </c>
      <c r="K22" s="199" t="str" cm="1">
        <f t="array" ref="K22">IFERROR( IF(G22&lt;&gt;"", INDEX(台羅韻母表[國際音標], MATCH(TRUE, EXACT('輸入工具 (台語音標)'!G22, 台羅韻母表[台語音標]), 0)), ""), "")</f>
        <v>ik̚</v>
      </c>
      <c r="L22" s="199" t="str" cm="1">
        <f t="array" ref="L22" xml:space="preserve"> IF(H22&lt;&gt;"", INDEX(聲調對照表[IPA上標調號], MATCH(TRUE, EXACT('輸入工具 (台語音標)'!H22, 聲調對照表[台羅調號]), 0)), "")</f>
        <v>⁸</v>
      </c>
    </row>
    <row r="23" spans="2:12" ht="29.25">
      <c r="B23" s="217">
        <f t="shared" si="3"/>
        <v>19</v>
      </c>
      <c r="C23" s="19" t="s">
        <v>2539</v>
      </c>
      <c r="D23" s="202" t="s">
        <v>2571</v>
      </c>
      <c r="E23" s="201" t="str">
        <f t="shared" si="0"/>
        <v>hə⁵</v>
      </c>
      <c r="F23" s="199" t="s">
        <v>2308</v>
      </c>
      <c r="G23" s="199" t="str">
        <f t="shared" si="4"/>
        <v>o</v>
      </c>
      <c r="H23" s="200" t="str">
        <f t="shared" si="2"/>
        <v>5</v>
      </c>
      <c r="I23" s="199"/>
      <c r="J23" s="199" t="str" cm="1">
        <f t="array" ref="J23" xml:space="preserve"> IFERROR( IF(F23&lt;&gt;"", INDEX(聲母對照表[國際音標], MATCH(TRUE, EXACT('輸入工具 (台語音標)'!F23, 聲母對照表[台語音標]), 0)), ""), "")</f>
        <v>h</v>
      </c>
      <c r="K23" s="199" t="str" cm="1">
        <f t="array" ref="K23">IFERROR( IF(G23&lt;&gt;"", INDEX(台羅韻母表[國際音標], MATCH(TRUE, EXACT('輸入工具 (台語音標)'!G23, 台羅韻母表[台語音標]), 0)), ""), "")</f>
        <v>ə</v>
      </c>
      <c r="L23" s="199" t="str" cm="1">
        <f t="array" ref="L23" xml:space="preserve"> IF(H23&lt;&gt;"", INDEX(聲調對照表[IPA上標調號], MATCH(TRUE, EXACT('輸入工具 (台語音標)'!H23, 聲調對照表[台羅調號]), 0)), "")</f>
        <v>⁵</v>
      </c>
    </row>
    <row r="24" spans="2:12" ht="29.25">
      <c r="B24" s="217">
        <f t="shared" si="3"/>
        <v>20</v>
      </c>
      <c r="C24" s="19" t="s">
        <v>2540</v>
      </c>
      <c r="D24" s="202" t="s">
        <v>2563</v>
      </c>
      <c r="E24" s="201" t="str">
        <f t="shared" si="0"/>
        <v>su¹</v>
      </c>
      <c r="F24" s="199" t="s">
        <v>2311</v>
      </c>
      <c r="G24" s="199" t="str">
        <f t="shared" si="4"/>
        <v>u</v>
      </c>
      <c r="H24" s="200" t="str">
        <f t="shared" si="2"/>
        <v>1</v>
      </c>
      <c r="I24" s="199"/>
      <c r="J24" s="199" t="str" cm="1">
        <f t="array" ref="J24" xml:space="preserve"> IFERROR( IF(F24&lt;&gt;"", INDEX(聲母對照表[國際音標], MATCH(TRUE, EXACT('輸入工具 (台語音標)'!F24, 聲母對照表[台語音標]), 0)), ""), "")</f>
        <v>s</v>
      </c>
      <c r="K24" s="199" t="str" cm="1">
        <f t="array" ref="K24">IFERROR( IF(G24&lt;&gt;"", INDEX(台羅韻母表[國際音標], MATCH(TRUE, EXACT('輸入工具 (台語音標)'!G24, 台羅韻母表[台語音標]), 0)), ""), "")</f>
        <v>u</v>
      </c>
      <c r="L24" s="199" t="str" cm="1">
        <f t="array" ref="L24" xml:space="preserve"> IF(H24&lt;&gt;"", INDEX(聲調對照表[IPA上標調號], MATCH(TRUE, EXACT('輸入工具 (台語音標)'!H24, 聲調對照表[台羅調號]), 0)), "")</f>
        <v>¹</v>
      </c>
    </row>
    <row r="25" spans="2:12" ht="29.25">
      <c r="B25" s="217">
        <f t="shared" si="3"/>
        <v>21</v>
      </c>
      <c r="C25" s="19" t="s">
        <v>2541</v>
      </c>
      <c r="D25" s="202" t="s">
        <v>2606</v>
      </c>
      <c r="E25" s="201" t="str">
        <f t="shared" si="0"/>
        <v>uan³</v>
      </c>
      <c r="F25" s="199"/>
      <c r="G25" s="199" t="str">
        <f t="shared" si="4"/>
        <v>uan</v>
      </c>
      <c r="H25" s="200" t="str">
        <f t="shared" si="2"/>
        <v>3</v>
      </c>
      <c r="I25" s="199"/>
      <c r="J25" s="199" t="str" cm="1">
        <f t="array" ref="J25" xml:space="preserve"> IFERROR( IF(F25&lt;&gt;"", INDEX(聲母對照表[國際音標], MATCH(TRUE, EXACT('輸入工具 (台語音標)'!F25, 聲母對照表[台語音標]), 0)), ""), "")</f>
        <v/>
      </c>
      <c r="K25" s="199" t="str" cm="1">
        <f t="array" ref="K25">IFERROR( IF(G25&lt;&gt;"", INDEX(台羅韻母表[國際音標], MATCH(TRUE, EXACT('輸入工具 (台語音標)'!G25, 台羅韻母表[台語音標]), 0)), ""), "")</f>
        <v>uan</v>
      </c>
      <c r="L25" s="199" t="str" cm="1">
        <f t="array" ref="L25" xml:space="preserve"> IF(H25&lt;&gt;"", INDEX(聲調對照表[IPA上標調號], MATCH(TRUE, EXACT('輸入工具 (台語音標)'!H25, 聲調對照表[台羅調號]), 0)), "")</f>
        <v>³</v>
      </c>
    </row>
    <row r="26" spans="2:12" ht="29.25">
      <c r="B26" s="217">
        <f t="shared" si="3"/>
        <v>22</v>
      </c>
      <c r="C26" s="19" t="s">
        <v>2516</v>
      </c>
      <c r="D26" s="202" t="s">
        <v>2582</v>
      </c>
      <c r="E26" s="201" t="str">
        <f t="shared" si="0"/>
        <v>ɪũ⁵</v>
      </c>
      <c r="F26" s="199"/>
      <c r="G26" s="199" t="str">
        <f t="shared" si="4"/>
        <v>iunn</v>
      </c>
      <c r="H26" s="200" t="str">
        <f t="shared" si="2"/>
        <v>5</v>
      </c>
      <c r="I26" s="199"/>
      <c r="J26" s="199" t="str" cm="1">
        <f t="array" ref="J26" xml:space="preserve"> IFERROR( IF(F26&lt;&gt;"", INDEX(聲母對照表[國際音標], MATCH(TRUE, EXACT('輸入工具 (台語音標)'!F26, 聲母對照表[台語音標]), 0)), ""), "")</f>
        <v/>
      </c>
      <c r="K26" s="199" t="str" cm="1">
        <f t="array" ref="K26">IFERROR( IF(G26&lt;&gt;"", INDEX(台羅韻母表[國際音標], MATCH(TRUE, EXACT('輸入工具 (台語音標)'!G26, 台羅韻母表[台語音標]), 0)), ""), "")</f>
        <v>ɪũ</v>
      </c>
      <c r="L26" s="199" t="str" cm="1">
        <f t="array" ref="L26" xml:space="preserve"> IF(H26&lt;&gt;"", INDEX(聲調對照表[IPA上標調號], MATCH(TRUE, EXACT('輸入工具 (台語音標)'!H26, 聲調對照表[台羅調號]), 0)), "")</f>
        <v>⁵</v>
      </c>
    </row>
    <row r="27" spans="2:12" ht="29.25">
      <c r="B27" s="217">
        <f t="shared" si="3"/>
        <v>23</v>
      </c>
      <c r="C27" s="19" t="s">
        <v>2517</v>
      </c>
      <c r="D27" s="202" t="s">
        <v>2583</v>
      </c>
      <c r="E27" s="201" t="str">
        <f t="shared" si="0"/>
        <v>lɪu²</v>
      </c>
      <c r="F27" s="199" t="s">
        <v>2304</v>
      </c>
      <c r="G27" s="199" t="str">
        <f t="shared" si="4"/>
        <v>iu</v>
      </c>
      <c r="H27" s="200" t="str">
        <f t="shared" si="2"/>
        <v>2</v>
      </c>
      <c r="I27" s="199"/>
      <c r="J27" s="199" t="str" cm="1">
        <f t="array" ref="J27" xml:space="preserve"> IFERROR( IF(F27&lt;&gt;"", INDEX(聲母對照表[國際音標], MATCH(TRUE, EXACT('輸入工具 (台語音標)'!F27, 聲母對照表[台語音標]), 0)), ""), "")</f>
        <v>l</v>
      </c>
      <c r="K27" s="199" t="str" cm="1">
        <f t="array" ref="K27">IFERROR( IF(G27&lt;&gt;"", INDEX(台羅韻母表[國際音標], MATCH(TRUE, EXACT('輸入工具 (台語音標)'!G27, 台羅韻母表[台語音標]), 0)), ""), "")</f>
        <v>ɪu</v>
      </c>
      <c r="L27" s="199" t="str" cm="1">
        <f t="array" ref="L27" xml:space="preserve"> IF(H27&lt;&gt;"", INDEX(聲調對照表[IPA上標調號], MATCH(TRUE, EXACT('輸入工具 (台語音標)'!H27, 聲調對照表[台羅調號]), 0)), "")</f>
        <v>²</v>
      </c>
    </row>
    <row r="28" spans="2:12" ht="29.25">
      <c r="B28" s="217">
        <f t="shared" si="3"/>
        <v>24</v>
      </c>
      <c r="C28" s="19" t="s">
        <v>2537</v>
      </c>
      <c r="D28" s="202"/>
      <c r="E28" s="201" t="str">
        <f t="shared" si="0"/>
        <v/>
      </c>
      <c r="F28" s="199"/>
      <c r="G28" s="199" t="str">
        <f t="shared" si="4"/>
        <v/>
      </c>
      <c r="H28" s="200" t="str">
        <f t="shared" si="2"/>
        <v/>
      </c>
      <c r="I28" s="199"/>
      <c r="J28" s="199" t="str" cm="1">
        <f t="array" ref="J28" xml:space="preserve"> IFERROR( IF(F28&lt;&gt;"", INDEX(聲母對照表[國際音標], MATCH(TRUE, EXACT('輸入工具 (台語音標)'!F28, 聲母對照表[台語音標]), 0)), ""), "")</f>
        <v/>
      </c>
      <c r="K28" s="199" t="str" cm="1">
        <f t="array" ref="K28">IFERROR( IF(G28&lt;&gt;"", INDEX(台羅韻母表[國際音標], MATCH(TRUE, EXACT('輸入工具 (台語音標)'!G28, 台羅韻母表[台語音標]), 0)), ""), "")</f>
        <v/>
      </c>
      <c r="L28" s="199" t="str" cm="1">
        <f t="array" ref="L28" xml:space="preserve"> IF(H28&lt;&gt;"", INDEX(聲調對照表[IPA上標調號], MATCH(TRUE, EXACT('輸入工具 (台語音標)'!H28, 聲調對照表[台羅調號]), 0)), "")</f>
        <v/>
      </c>
    </row>
    <row r="29" spans="2:12" ht="29.25">
      <c r="B29" s="217">
        <f t="shared" si="3"/>
        <v>25</v>
      </c>
      <c r="C29" s="19" t="s">
        <v>2542</v>
      </c>
      <c r="D29" s="202" t="s">
        <v>2564</v>
      </c>
      <c r="E29" s="201" t="str">
        <f t="shared" si="0"/>
        <v>ʦʰun¹</v>
      </c>
      <c r="F29" s="199" t="s">
        <v>2310</v>
      </c>
      <c r="G29" s="199" t="str">
        <f t="shared" si="4"/>
        <v>un</v>
      </c>
      <c r="H29" s="200" t="str">
        <f t="shared" si="2"/>
        <v>1</v>
      </c>
      <c r="I29" s="199"/>
      <c r="J29" s="199" t="str" cm="1">
        <f t="array" ref="J29" xml:space="preserve"> IFERROR( IF(F29&lt;&gt;"", INDEX(聲母對照表[國際音標], MATCH(TRUE, EXACT('輸入工具 (台語音標)'!F29, 聲母對照表[台語音標]), 0)), ""), "")</f>
        <v>ʦʰ</v>
      </c>
      <c r="K29" s="199" t="str" cm="1">
        <f t="array" ref="K29">IFERROR( IF(G29&lt;&gt;"", INDEX(台羅韻母表[國際音標], MATCH(TRUE, EXACT('輸入工具 (台語音標)'!G29, 台羅韻母表[台語音標]), 0)), ""), "")</f>
        <v>un</v>
      </c>
      <c r="L29" s="199" t="str" cm="1">
        <f t="array" ref="L29" xml:space="preserve"> IF(H29&lt;&gt;"", INDEX(聲調對照表[IPA上標調號], MATCH(TRUE, EXACT('輸入工具 (台語音標)'!H29, 聲調對照表[台羅調號]), 0)), "")</f>
        <v>¹</v>
      </c>
    </row>
    <row r="30" spans="2:12" ht="29.25">
      <c r="B30" s="217">
        <f t="shared" si="3"/>
        <v>26</v>
      </c>
      <c r="C30" s="19" t="s">
        <v>2543</v>
      </c>
      <c r="D30" s="202" t="s">
        <v>2565</v>
      </c>
      <c r="E30" s="201" t="str">
        <f t="shared" si="0"/>
        <v>hɔŋ¹</v>
      </c>
      <c r="F30" s="199" t="s">
        <v>2308</v>
      </c>
      <c r="G30" s="199" t="str">
        <f t="shared" si="4"/>
        <v>ong</v>
      </c>
      <c r="H30" s="200" t="str">
        <f t="shared" si="2"/>
        <v>1</v>
      </c>
      <c r="I30" s="199"/>
      <c r="J30" s="199" t="str" cm="1">
        <f t="array" ref="J30" xml:space="preserve"> IFERROR( IF(F30&lt;&gt;"", INDEX(聲母對照表[國際音標], MATCH(TRUE, EXACT('輸入工具 (台語音標)'!F30, 聲母對照表[台語音標]), 0)), ""), "")</f>
        <v>h</v>
      </c>
      <c r="K30" s="199" t="str" cm="1">
        <f t="array" ref="K30">IFERROR( IF(G30&lt;&gt;"", INDEX(台羅韻母表[國際音標], MATCH(TRUE, EXACT('輸入工具 (台語音標)'!G30, 台羅韻母表[台語音標]), 0)), ""), "")</f>
        <v>ɔŋ</v>
      </c>
      <c r="L30" s="199" t="str" cm="1">
        <f t="array" ref="L30" xml:space="preserve"> IF(H30&lt;&gt;"", INDEX(聲調對照表[IPA上標調號], MATCH(TRUE, EXACT('輸入工具 (台語音標)'!H30, 聲調對照表[台羅調號]), 0)), "")</f>
        <v>¹</v>
      </c>
    </row>
    <row r="31" spans="2:12" ht="29.25">
      <c r="B31" s="217">
        <f t="shared" si="3"/>
        <v>27</v>
      </c>
      <c r="C31" s="19" t="s">
        <v>2544</v>
      </c>
      <c r="D31" s="202" t="s">
        <v>2597</v>
      </c>
      <c r="E31" s="201" t="str">
        <f t="shared" si="0"/>
        <v>put̚⁴</v>
      </c>
      <c r="F31" s="199" t="s">
        <v>2299</v>
      </c>
      <c r="G31" s="199" t="str">
        <f t="shared" si="4"/>
        <v>ut</v>
      </c>
      <c r="H31" s="200" t="str">
        <f t="shared" si="2"/>
        <v>4</v>
      </c>
      <c r="I31" s="199"/>
      <c r="J31" s="199" t="str" cm="1">
        <f t="array" ref="J31" xml:space="preserve"> IFERROR( IF(F31&lt;&gt;"", INDEX(聲母對照表[國際音標], MATCH(TRUE, EXACT('輸入工具 (台語音標)'!F31, 聲母對照表[台語音標]), 0)), ""), "")</f>
        <v>p</v>
      </c>
      <c r="K31" s="199" t="str" cm="1">
        <f t="array" ref="K31">IFERROR( IF(G31&lt;&gt;"", INDEX(台羅韻母表[國際音標], MATCH(TRUE, EXACT('輸入工具 (台語音標)'!G31, 台羅韻母表[台語音標]), 0)), ""), "")</f>
        <v>ut̚</v>
      </c>
      <c r="L31" s="199" t="str" cm="1">
        <f t="array" ref="L31" xml:space="preserve"> IF(H31&lt;&gt;"", INDEX(聲調對照表[IPA上標調號], MATCH(TRUE, EXACT('輸入工具 (台語音標)'!H31, 聲調對照表[台羅調號]), 0)), "")</f>
        <v>⁴</v>
      </c>
    </row>
    <row r="32" spans="2:12" ht="29.25">
      <c r="B32" s="217">
        <f t="shared" si="3"/>
        <v>28</v>
      </c>
      <c r="C32" s="19" t="s">
        <v>2545</v>
      </c>
      <c r="D32" s="202" t="s">
        <v>2598</v>
      </c>
      <c r="E32" s="201" t="str">
        <f t="shared" si="0"/>
        <v>tɔ⁷</v>
      </c>
      <c r="F32" s="199" t="s">
        <v>2302</v>
      </c>
      <c r="G32" s="199" t="str">
        <f t="shared" si="4"/>
        <v>oo</v>
      </c>
      <c r="H32" s="200" t="str">
        <f t="shared" si="2"/>
        <v>7</v>
      </c>
      <c r="I32" s="199"/>
      <c r="J32" s="199" t="str" cm="1">
        <f t="array" ref="J32" xml:space="preserve"> IFERROR( IF(F32&lt;&gt;"", INDEX(聲母對照表[國際音標], MATCH(TRUE, EXACT('輸入工具 (台語音標)'!F32, 聲母對照表[台語音標]), 0)), ""), "")</f>
        <v>t</v>
      </c>
      <c r="K32" s="199" t="str" cm="1">
        <f t="array" ref="K32">IFERROR( IF(G32&lt;&gt;"", INDEX(台羅韻母表[國際音標], MATCH(TRUE, EXACT('輸入工具 (台語音標)'!G32, 台羅韻母表[台語音標]), 0)), ""), "")</f>
        <v>ɔ</v>
      </c>
      <c r="L32" s="199" t="str" cm="1">
        <f t="array" ref="L32" xml:space="preserve"> IF(H32&lt;&gt;"", INDEX(聲調對照表[IPA上標調號], MATCH(TRUE, EXACT('輸入工具 (台語音標)'!H32, 聲調對照表[台羅調號]), 0)), "")</f>
        <v>⁷</v>
      </c>
    </row>
    <row r="33" spans="1:12" ht="29.25">
      <c r="B33" s="217">
        <f t="shared" si="3"/>
        <v>29</v>
      </c>
      <c r="C33" s="19" t="s">
        <v>2546</v>
      </c>
      <c r="D33" s="202" t="s">
        <v>2599</v>
      </c>
      <c r="E33" s="201" t="str">
        <f t="shared" si="0"/>
        <v>ɡɪɔk̚⁸</v>
      </c>
      <c r="F33" s="199" t="s">
        <v>2305</v>
      </c>
      <c r="G33" s="199" t="str">
        <f t="shared" si="4"/>
        <v>iok</v>
      </c>
      <c r="H33" s="200" t="str">
        <f t="shared" si="2"/>
        <v>8</v>
      </c>
      <c r="I33" s="199"/>
      <c r="J33" s="199" t="str" cm="1">
        <f t="array" ref="J33" xml:space="preserve"> IFERROR( IF(F33&lt;&gt;"", INDEX(聲母對照表[國際音標], MATCH(TRUE, EXACT('輸入工具 (台語音標)'!F33, 聲母對照表[台語音標]), 0)), ""), "")</f>
        <v>ɡ</v>
      </c>
      <c r="K33" s="199" t="str" cm="1">
        <f t="array" ref="K33">IFERROR( IF(G33&lt;&gt;"", INDEX(台羅韻母表[國際音標], MATCH(TRUE, EXACT('輸入工具 (台語音標)'!G33, 台羅韻母表[台語音標]), 0)), ""), "")</f>
        <v>ɪɔk̚</v>
      </c>
      <c r="L33" s="199" t="str" cm="1">
        <f t="array" ref="L33" xml:space="preserve"> IF(H33&lt;&gt;"", INDEX(聲調對照表[IPA上標調號], MATCH(TRUE, EXACT('輸入工具 (台語音標)'!H33, 聲調對照表[台羅調號]), 0)), "")</f>
        <v>⁸</v>
      </c>
    </row>
    <row r="34" spans="1:12" ht="29.25">
      <c r="B34" s="217">
        <f t="shared" si="3"/>
        <v>30</v>
      </c>
      <c r="C34" s="19" t="s">
        <v>2510</v>
      </c>
      <c r="D34" s="202" t="s">
        <v>2620</v>
      </c>
      <c r="E34" s="201" t="str">
        <f t="shared" si="0"/>
        <v>mŋ̍⁵</v>
      </c>
      <c r="F34" s="199" t="s">
        <v>1303</v>
      </c>
      <c r="G34" s="199" t="str">
        <f t="shared" si="4"/>
        <v>ng</v>
      </c>
      <c r="H34" s="200" t="str">
        <f t="shared" si="2"/>
        <v>5</v>
      </c>
      <c r="I34" s="199"/>
      <c r="J34" s="199" t="str" cm="1">
        <f t="array" ref="J34" xml:space="preserve"> IFERROR( IF(F34&lt;&gt;"", INDEX(聲母對照表[國際音標], MATCH(TRUE, EXACT('輸入工具 (台語音標)'!F34, 聲母對照表[台語音標]), 0)), ""), "")</f>
        <v>m</v>
      </c>
      <c r="K34" s="199" t="str" cm="1">
        <f t="array" ref="K34">IFERROR( IF(G34&lt;&gt;"", INDEX(台羅韻母表[國際音標], MATCH(TRUE, EXACT('輸入工具 (台語音標)'!G34, 台羅韻母表[台語音標]), 0)), ""), "")</f>
        <v>ŋ̍</v>
      </c>
      <c r="L34" s="199" t="str" cm="1">
        <f t="array" ref="L34" xml:space="preserve"> IF(H34&lt;&gt;"", INDEX(聲調對照表[IPA上標調號], MATCH(TRUE, EXACT('輸入工具 (台語音標)'!H34, 聲調對照表[台羅調號]), 0)), "")</f>
        <v>⁵</v>
      </c>
    </row>
    <row r="35" spans="1:12" ht="29.25">
      <c r="B35" s="217">
        <f t="shared" si="3"/>
        <v>31</v>
      </c>
      <c r="C35" s="19" t="s">
        <v>2547</v>
      </c>
      <c r="D35" s="202" t="s">
        <v>2600</v>
      </c>
      <c r="E35" s="201" t="str">
        <f t="shared" si="0"/>
        <v>kuan¹</v>
      </c>
      <c r="F35" s="199" t="s">
        <v>2306</v>
      </c>
      <c r="G35" s="199" t="str">
        <f t="shared" si="4"/>
        <v>uan</v>
      </c>
      <c r="H35" s="200" t="str">
        <f t="shared" si="2"/>
        <v>1</v>
      </c>
      <c r="I35" s="199"/>
      <c r="J35" s="199" t="str" cm="1">
        <f t="array" ref="J35" xml:space="preserve"> IFERROR( IF(F35&lt;&gt;"", INDEX(聲母對照表[國際音標], MATCH(TRUE, EXACT('輸入工具 (台語音標)'!F35, 聲母對照表[台語音標]), 0)), ""), "")</f>
        <v>k</v>
      </c>
      <c r="K35" s="199" t="str" cm="1">
        <f t="array" ref="K35">IFERROR( IF(G35&lt;&gt;"", INDEX(台羅韻母表[國際音標], MATCH(TRUE, EXACT('輸入工具 (台語音標)'!G35, 台羅韻母表[台語音標]), 0)), ""), "")</f>
        <v>uan</v>
      </c>
      <c r="L35" s="199" t="str" cm="1">
        <f t="array" ref="L35" xml:space="preserve"> IF(H35&lt;&gt;"", INDEX(聲調對照表[IPA上標調號], MATCH(TRUE, EXACT('輸入工具 (台語音標)'!H35, 聲調對照表[台羅調號]), 0)), "")</f>
        <v>¹</v>
      </c>
    </row>
    <row r="36" spans="1:12" ht="29.25">
      <c r="B36" s="217">
        <f t="shared" si="3"/>
        <v>32</v>
      </c>
      <c r="C36" s="19" t="s">
        <v>2536</v>
      </c>
      <c r="D36" s="202"/>
      <c r="E36" s="201" t="str">
        <f t="shared" si="0"/>
        <v/>
      </c>
      <c r="F36" s="199"/>
      <c r="G36" s="199" t="str">
        <f t="shared" si="4"/>
        <v/>
      </c>
      <c r="H36" s="200" t="str">
        <f t="shared" si="2"/>
        <v/>
      </c>
      <c r="I36" s="199"/>
      <c r="J36" s="199" t="str" cm="1">
        <f t="array" ref="J36" xml:space="preserve"> IFERROR( IF(F36&lt;&gt;"", INDEX(聲母對照表[國際音標], MATCH(TRUE, EXACT('輸入工具 (台語音標)'!F36, 聲母對照表[台語音標]), 0)), ""), "")</f>
        <v/>
      </c>
      <c r="K36" s="199" t="str" cm="1">
        <f t="array" ref="K36">IFERROR( IF(G36&lt;&gt;"", INDEX(台羅韻母表[國際音標], MATCH(TRUE, EXACT('輸入工具 (台語音標)'!G36, 台羅韻母表[台語音標]), 0)), ""), "")</f>
        <v/>
      </c>
      <c r="L36" s="199" t="str" cm="1">
        <f t="array" ref="L36" xml:space="preserve"> IF(H36&lt;&gt;"", INDEX(聲調對照表[閩拼上標調號], MATCH(TRUE, EXACT('輸入工具 (台語音標)'!H36, 聲調對照表[閩拼調號]), 0)), "")</f>
        <v/>
      </c>
    </row>
    <row r="39" spans="1:12" ht="29.25">
      <c r="A39" s="200"/>
      <c r="B39" s="200"/>
      <c r="C39" s="200"/>
      <c r="D39" s="200"/>
      <c r="E39" s="200"/>
      <c r="F39" s="200"/>
      <c r="G39" s="200"/>
      <c r="H39" s="200"/>
      <c r="I39" s="199"/>
      <c r="J39" s="199" t="str" cm="1">
        <f t="array" ref="J39" xml:space="preserve"> IF(F39&lt;&gt;"", INDEX(聲母對照表[國際音標], MATCH(TRUE, EXACT('輸入工具 (台語音標)'!F39, 聲母對照表[閩拼方案]), 0)), "")</f>
        <v/>
      </c>
      <c r="K39" s="199" t="str" cm="1">
        <f t="array" ref="K39">IF(G39&lt;&gt;"", INDEX(台羅韻母表[國際音標], MATCH(TRUE, EXACT('輸入工具 (台語音標)'!G39, 台羅韻母表[閩拼方案]), 0)), "")</f>
        <v/>
      </c>
      <c r="L39" s="199" t="str" cm="1">
        <f t="array" ref="L39" xml:space="preserve"> IF(H39&lt;&gt;"", INDEX(聲調對照表[閩拼上標調號], MATCH(TRUE, EXACT('輸入工具 (台語音標)'!H39, 聲調對照表[閩拼調號]), 0)), "")</f>
        <v/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51FAA-8DAA-4088-8F1E-FD239FE8336B}">
  <dimension ref="A2:L39"/>
  <sheetViews>
    <sheetView workbookViewId="0">
      <selection activeCell="E9" sqref="E9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【台羅拼音】</v>
      </c>
    </row>
    <row r="4" spans="2:12">
      <c r="B4" s="188" t="s">
        <v>895</v>
      </c>
      <c r="C4" s="188" t="s">
        <v>661</v>
      </c>
      <c r="D4" s="188" t="s">
        <v>756</v>
      </c>
      <c r="E4" s="188" t="s">
        <v>875</v>
      </c>
      <c r="F4" s="188" t="s">
        <v>2347</v>
      </c>
      <c r="G4" s="188" t="s">
        <v>2348</v>
      </c>
      <c r="H4" s="188" t="s">
        <v>2349</v>
      </c>
      <c r="J4" t="s">
        <v>2500</v>
      </c>
      <c r="K4" t="s">
        <v>934</v>
      </c>
      <c r="L4" t="s">
        <v>2501</v>
      </c>
    </row>
    <row r="5" spans="2:12" ht="29.25">
      <c r="B5" s="217">
        <f xml:space="preserve"> ROW() - 4</f>
        <v>1</v>
      </c>
      <c r="C5" s="19" t="s">
        <v>2524</v>
      </c>
      <c r="D5" s="202" t="s">
        <v>2548</v>
      </c>
      <c r="E5" s="201" t="str">
        <f xml:space="preserve"> IF(AND(G5&lt;&gt;"",H5&lt;&gt;""), _xlfn.CONCAT(J5:L5), "")</f>
        <v>hɔŋ⁵</v>
      </c>
      <c r="F5" s="199" t="s">
        <v>2308</v>
      </c>
      <c r="G5" s="199" t="str">
        <f>IFERROR( MID(D5, LEN(F5)+1, LEN(D5) - LEN(F5) - 1), "")</f>
        <v>ong</v>
      </c>
      <c r="H5" s="200" t="str">
        <f xml:space="preserve"> RIGHT(D5,1)</f>
        <v>5</v>
      </c>
      <c r="I5" s="199"/>
      <c r="J5" s="199" t="str" cm="1">
        <f t="array" ref="J5" xml:space="preserve"> IFERROR( IF(F5&lt;&gt;"", INDEX(聲母對照表[國際音標], MATCH(TRUE, EXACT('輸入工具 (台羅拼音)'!F5, 聲母對照表[台羅拼音]), 0)), ""), "")</f>
        <v>h</v>
      </c>
      <c r="K5" s="199" t="str" cm="1">
        <f t="array" ref="K5">IFERROR( IF(G5&lt;&gt;"", INDEX(台羅韻母表[國際音標], MATCH(TRUE, EXACT('輸入工具 (台羅拼音)'!G5, 台羅韻母表[台羅拼音]), 0)), ""), "")</f>
        <v>ɔŋ</v>
      </c>
      <c r="L5" s="199" t="str" cm="1">
        <f t="array" ref="L5" xml:space="preserve"> IF(H5&lt;&gt;"", INDEX(聲調對照表[IPA上標調號], MATCH(TRUE, EXACT('輸入工具 (台羅拼音)'!H5, 聲調對照表[台羅調號]), 0)), "")</f>
        <v>⁵</v>
      </c>
    </row>
    <row r="6" spans="2:12" ht="29.25">
      <c r="B6" s="217">
        <f xml:space="preserve"> ROW() - 4</f>
        <v>2</v>
      </c>
      <c r="C6" s="19" t="s">
        <v>2525</v>
      </c>
      <c r="D6" s="202" t="s">
        <v>2571</v>
      </c>
      <c r="E6" s="201" t="str">
        <f t="shared" ref="E6:E36" si="0" xml:space="preserve"> IF(AND(G6&lt;&gt;"",H6&lt;&gt;""), _xlfn.CONCAT(J6:L6), "")</f>
        <v>hə⁵</v>
      </c>
      <c r="F6" s="199" t="s">
        <v>2308</v>
      </c>
      <c r="G6" s="199" t="str">
        <f t="shared" ref="G6" si="1">IFERROR( MID(D6, LEN(F6)+1, LEN(D6) - LEN(F6) - 1), "")</f>
        <v>o</v>
      </c>
      <c r="H6" s="200" t="str">
        <f t="shared" ref="H6:H36" si="2" xml:space="preserve"> RIGHT(D6,1)</f>
        <v>5</v>
      </c>
      <c r="I6" s="199"/>
      <c r="J6" s="199" t="str" cm="1">
        <f t="array" ref="J6" xml:space="preserve"> IFERROR( IF(F6&lt;&gt;"", INDEX(聲母對照表[國際音標], MATCH(TRUE, EXACT('輸入工具 (台羅拼音)'!F6, 聲母對照表[台羅拼音]), 0)), ""), "")</f>
        <v>h</v>
      </c>
      <c r="K6" s="199" t="str" cm="1">
        <f t="array" ref="K6">IFERROR( IF(G6&lt;&gt;"", INDEX(台羅韻母表[國際音標], MATCH(TRUE, EXACT('輸入工具 (台羅拼音)'!G6, 台羅韻母表[台羅拼音]), 0)), ""), "")</f>
        <v>ə</v>
      </c>
      <c r="L6" s="199" t="str" cm="1">
        <f t="array" ref="L6" xml:space="preserve"> IF(H6&lt;&gt;"", INDEX(聲調對照表[IPA上標調號], MATCH(TRUE, EXACT('輸入工具 (台羅拼音)'!H6, 聲調對照表[台羅調號]), 0)), "")</f>
        <v>⁵</v>
      </c>
    </row>
    <row r="7" spans="2:12" ht="29.25">
      <c r="B7" s="217">
        <f t="shared" ref="B7:B36" si="3" xml:space="preserve"> ROW() - 4</f>
        <v>3</v>
      </c>
      <c r="C7" s="19" t="s">
        <v>2526</v>
      </c>
      <c r="D7" s="202" t="s">
        <v>2572</v>
      </c>
      <c r="E7" s="201" t="str">
        <f t="shared" si="0"/>
        <v>uan²</v>
      </c>
      <c r="F7" s="216"/>
      <c r="G7" s="199" t="s">
        <v>1210</v>
      </c>
      <c r="H7" s="200" t="str">
        <f t="shared" si="2"/>
        <v>2</v>
      </c>
      <c r="I7" s="199"/>
      <c r="J7" s="199" t="str" cm="1">
        <f t="array" ref="J7" xml:space="preserve"> IFERROR( IF(F7&lt;&gt;"", INDEX(聲母對照表[國際音標], MATCH(TRUE, EXACT('輸入工具 (台羅拼音)'!F7, 聲母對照表[台羅拼音]), 0)), ""), "")</f>
        <v/>
      </c>
      <c r="K7" s="199" t="str" cm="1">
        <f t="array" ref="K7">IFERROR( IF(G7&lt;&gt;"", INDEX(台羅韻母表[國際音標], MATCH(TRUE, EXACT('輸入工具 (台羅拼音)'!G7, 台羅韻母表[台羅拼音]), 0)), ""), "")</f>
        <v>uan</v>
      </c>
      <c r="L7" s="199" t="str" cm="1">
        <f t="array" ref="L7" xml:space="preserve"> IF(H7&lt;&gt;"", INDEX(聲調對照表[IPA上標調號], MATCH(TRUE, EXACT('輸入工具 (台羅拼音)'!H7, 聲調對照表[台羅調號]), 0)), "")</f>
        <v>²</v>
      </c>
    </row>
    <row r="8" spans="2:12" ht="29.25">
      <c r="B8" s="217">
        <f t="shared" si="3"/>
        <v>4</v>
      </c>
      <c r="C8" s="19" t="s">
        <v>2527</v>
      </c>
      <c r="D8" s="202" t="s">
        <v>2587</v>
      </c>
      <c r="E8" s="201" t="str">
        <f t="shared" si="0"/>
        <v>sɪɔŋ²</v>
      </c>
      <c r="F8" s="199" t="s">
        <v>2311</v>
      </c>
      <c r="G8" s="199" t="str">
        <f t="shared" ref="G8:G36" si="4">IFERROR( MID(D8, LEN(F8)+1, LEN(D8) - LEN(F8) - 1), "")</f>
        <v>iong</v>
      </c>
      <c r="H8" s="200" t="str">
        <f t="shared" si="2"/>
        <v>2</v>
      </c>
      <c r="I8" s="199"/>
      <c r="J8" s="199" t="str" cm="1">
        <f t="array" ref="J8" xml:space="preserve"> IFERROR( IF(F8&lt;&gt;"", INDEX(聲母對照表[國際音標], MATCH(TRUE, EXACT('輸入工具 (台羅拼音)'!F8, 聲母對照表[台羅拼音]), 0)), ""), "")</f>
        <v>s</v>
      </c>
      <c r="K8" s="199" t="str" cm="1">
        <f t="array" ref="K8">IFERROR( IF(G8&lt;&gt;"", INDEX(台羅韻母表[國際音標], MATCH(TRUE, EXACT('輸入工具 (台羅拼音)'!G8, 台羅韻母表[台羅拼音]), 0)), ""), "")</f>
        <v>ɪɔŋ</v>
      </c>
      <c r="L8" s="199" t="str" cm="1">
        <f t="array" ref="L8" xml:space="preserve"> IF(H8&lt;&gt;"", INDEX(聲調對照表[IPA上標調號], MATCH(TRUE, EXACT('輸入工具 (台羅拼音)'!H8, 聲調對照表[台羅調號]), 0)), "")</f>
        <v>²</v>
      </c>
    </row>
    <row r="9" spans="2:12" ht="29.25">
      <c r="B9" s="217">
        <f t="shared" si="3"/>
        <v>5</v>
      </c>
      <c r="C9" s="19" t="s">
        <v>2528</v>
      </c>
      <c r="D9" s="202" t="s">
        <v>2588</v>
      </c>
      <c r="E9" s="201" t="str">
        <f t="shared" si="0"/>
        <v>pik̚⁸</v>
      </c>
      <c r="F9" s="199" t="s">
        <v>2299</v>
      </c>
      <c r="G9" s="199" t="str">
        <f t="shared" si="4"/>
        <v>ik</v>
      </c>
      <c r="H9" s="200" t="str">
        <f t="shared" si="2"/>
        <v>8</v>
      </c>
      <c r="I9" s="199"/>
      <c r="J9" s="199" t="str" cm="1">
        <f t="array" ref="J9" xml:space="preserve"> IFERROR( IF(F9&lt;&gt;"", INDEX(聲母對照表[國際音標], MATCH(TRUE, EXACT('輸入工具 (台羅拼音)'!F9, 聲母對照表[台羅拼音]), 0)), ""), "")</f>
        <v>p</v>
      </c>
      <c r="K9" s="199" t="str" cm="1">
        <f t="array" ref="K9">IFERROR( IF(G9&lt;&gt;"", INDEX(台羅韻母表[國際音標], MATCH(TRUE, EXACT('輸入工具 (台羅拼音)'!G9, 台羅韻母表[台羅拼音]), 0)), ""), "")</f>
        <v>ik̚</v>
      </c>
      <c r="L9" s="199" t="str" cm="1">
        <f t="array" ref="L9" xml:space="preserve"> IF(H9&lt;&gt;"", INDEX(聲調對照表[IPA上標調號], MATCH(TRUE, EXACT('輸入工具 (台羅拼音)'!H9, 聲調對照表[台羅調號]), 0)), "")</f>
        <v>⁸</v>
      </c>
    </row>
    <row r="10" spans="2:12" ht="29.25">
      <c r="B10" s="217">
        <f t="shared" si="3"/>
        <v>6</v>
      </c>
      <c r="C10" s="19" t="s">
        <v>2529</v>
      </c>
      <c r="D10" s="202" t="s">
        <v>2575</v>
      </c>
      <c r="E10" s="201" t="str">
        <f t="shared" si="0"/>
        <v>hun⁵</v>
      </c>
      <c r="F10" s="199" t="s">
        <v>2308</v>
      </c>
      <c r="G10" s="199" t="str">
        <f t="shared" si="4"/>
        <v>un</v>
      </c>
      <c r="H10" s="200" t="str">
        <f t="shared" si="2"/>
        <v>5</v>
      </c>
      <c r="I10" s="199"/>
      <c r="J10" s="199" t="str" cm="1">
        <f t="array" ref="J10" xml:space="preserve"> IFERROR( IF(F10&lt;&gt;"", INDEX(聲母對照表[國際音標], MATCH(TRUE, EXACT('輸入工具 (台羅拼音)'!F10, 聲母對照表[台羅拼音]), 0)), ""), "")</f>
        <v>h</v>
      </c>
      <c r="K10" s="199" t="str" cm="1">
        <f t="array" ref="K10">IFERROR( IF(G10&lt;&gt;"", INDEX(台羅韻母表[國際音標], MATCH(TRUE, EXACT('輸入工具 (台羅拼音)'!G10, 台羅韻母表[台羅拼音]), 0)), ""), "")</f>
        <v>un</v>
      </c>
      <c r="L10" s="199" t="str" cm="1">
        <f t="array" ref="L10" xml:space="preserve"> IF(H10&lt;&gt;"", INDEX(聲調對照表[IPA上標調號], MATCH(TRUE, EXACT('輸入工具 (台羅拼音)'!H10, 聲調對照表[台羅調號]), 0)), "")</f>
        <v>⁵</v>
      </c>
    </row>
    <row r="11" spans="2:12" ht="29.25">
      <c r="B11" s="217">
        <f t="shared" si="3"/>
        <v>7</v>
      </c>
      <c r="C11" s="19" t="s">
        <v>2530</v>
      </c>
      <c r="D11" s="202" t="s">
        <v>2589</v>
      </c>
      <c r="E11" s="201" t="str">
        <f t="shared" si="0"/>
        <v>kiŋ¹</v>
      </c>
      <c r="F11" s="199" t="s">
        <v>2306</v>
      </c>
      <c r="G11" s="199" t="str">
        <f t="shared" si="4"/>
        <v>ing</v>
      </c>
      <c r="H11" s="200" t="str">
        <f t="shared" si="2"/>
        <v>1</v>
      </c>
      <c r="I11" s="199"/>
      <c r="J11" s="199" t="str" cm="1">
        <f t="array" ref="J11" xml:space="preserve"> IFERROR( IF(F11&lt;&gt;"", INDEX(聲母對照表[國際音標], MATCH(TRUE, EXACT('輸入工具 (台羅拼音)'!F11, 聲母對照表[台羅拼音]), 0)), ""), "")</f>
        <v>k</v>
      </c>
      <c r="K11" s="199" t="str" cm="1">
        <f t="array" ref="K11">IFERROR( IF(G11&lt;&gt;"", INDEX(台羅韻母表[國際音標], MATCH(TRUE, EXACT('輸入工具 (台羅拼音)'!G11, 台羅韻母表[台羅拼音]), 0)), ""), "")</f>
        <v>iŋ</v>
      </c>
      <c r="L11" s="199" t="str" cm="1">
        <f t="array" ref="L11" xml:space="preserve"> IF(H11&lt;&gt;"", INDEX(聲調對照表[IPA上標調號], MATCH(TRUE, EXACT('輸入工具 (台羅拼音)'!H11, 聲調對照表[台羅調號]), 0)), "")</f>
        <v>¹</v>
      </c>
    </row>
    <row r="12" spans="2:12" ht="29.25">
      <c r="B12" s="217">
        <f t="shared" si="3"/>
        <v>8</v>
      </c>
      <c r="C12" s="19" t="s">
        <v>2537</v>
      </c>
      <c r="D12" s="202"/>
      <c r="E12" s="201" t="str">
        <f t="shared" si="0"/>
        <v/>
      </c>
      <c r="F12" s="199"/>
      <c r="G12" s="199" t="str">
        <f t="shared" si="4"/>
        <v/>
      </c>
      <c r="H12" s="200" t="str">
        <f t="shared" si="2"/>
        <v/>
      </c>
      <c r="I12" s="199"/>
      <c r="J12" s="199" t="str" cm="1">
        <f t="array" ref="J12" xml:space="preserve"> IFERROR( IF(F12&lt;&gt;"", INDEX(聲母對照表[國際音標], MATCH(TRUE, EXACT('輸入工具 (台羅拼音)'!F12, 聲母對照表[台羅拼音]), 0)), ""), "")</f>
        <v/>
      </c>
      <c r="K12" s="199" t="str" cm="1">
        <f t="array" ref="K12">IFERROR( IF(G12&lt;&gt;"", INDEX(台羅韻母表[國際音標], MATCH(TRUE, EXACT('輸入工具 (台羅拼音)'!G12, 台羅韻母表[台羅拼音]), 0)), ""), "")</f>
        <v/>
      </c>
      <c r="L12" s="199" t="str" cm="1">
        <f t="array" ref="L12" xml:space="preserve"> IF(H12&lt;&gt;"", INDEX(聲調對照表[IPA上標調號], MATCH(TRUE, EXACT('輸入工具 (台羅拼音)'!H12, 聲調對照表[台羅調號]), 0)), "")</f>
        <v/>
      </c>
    </row>
    <row r="13" spans="2:12" ht="29.25">
      <c r="B13" s="217">
        <f t="shared" si="3"/>
        <v>9</v>
      </c>
      <c r="C13" s="19" t="s">
        <v>1283</v>
      </c>
      <c r="D13" s="202" t="s">
        <v>2576</v>
      </c>
      <c r="E13" s="201" t="str">
        <f t="shared" si="0"/>
        <v>it̚⁴</v>
      </c>
      <c r="F13" s="199"/>
      <c r="G13" s="199" t="str">
        <f t="shared" si="4"/>
        <v>it</v>
      </c>
      <c r="H13" s="200" t="str">
        <f t="shared" si="2"/>
        <v>4</v>
      </c>
      <c r="I13" s="199"/>
      <c r="J13" s="199" t="str" cm="1">
        <f t="array" ref="J13" xml:space="preserve"> IFERROR( IF(F13&lt;&gt;"", INDEX(聲母對照表[國際音標], MATCH(TRUE, EXACT('輸入工具 (台羅拼音)'!F13, 聲母對照表[台羅拼音]), 0)), ""), "")</f>
        <v/>
      </c>
      <c r="K13" s="199" t="str" cm="1">
        <f t="array" ref="K13">IFERROR( IF(G13&lt;&gt;"", INDEX(台羅韻母表[國際音標], MATCH(TRUE, EXACT('輸入工具 (台羅拼音)'!G13, 台羅韻母表[台羅拼音]), 0)), ""), "")</f>
        <v>it̚</v>
      </c>
      <c r="L13" s="199" t="str" cm="1">
        <f t="array" ref="L13" xml:space="preserve"> IF(H13&lt;&gt;"", INDEX(聲調對照表[IPA上標調號], MATCH(TRUE, EXACT('輸入工具 (台羅拼音)'!H13, 聲調對照表[台羅調號]), 0)), "")</f>
        <v>⁴</v>
      </c>
    </row>
    <row r="14" spans="2:12" ht="29.25">
      <c r="B14" s="217">
        <f t="shared" si="3"/>
        <v>10</v>
      </c>
      <c r="C14" s="19" t="s">
        <v>2531</v>
      </c>
      <c r="D14" s="202" t="s">
        <v>2604</v>
      </c>
      <c r="E14" s="201" t="str">
        <f t="shared" si="0"/>
        <v>pʰɪan³</v>
      </c>
      <c r="F14" s="199" t="s">
        <v>2590</v>
      </c>
      <c r="G14" s="199" t="str">
        <f t="shared" si="4"/>
        <v>ian</v>
      </c>
      <c r="H14" s="200" t="str">
        <f t="shared" si="2"/>
        <v>3</v>
      </c>
      <c r="I14" s="199"/>
      <c r="J14" s="199" t="str" cm="1">
        <f t="array" ref="J14" xml:space="preserve"> IFERROR( IF(F14&lt;&gt;"", INDEX(聲母對照表[國際音標], MATCH(TRUE, EXACT('輸入工具 (台羅拼音)'!F14, 聲母對照表[台羅拼音]), 0)), ""), "")</f>
        <v>pʰ</v>
      </c>
      <c r="K14" s="199" t="str" cm="1">
        <f t="array" ref="K14">IFERROR( IF(G14&lt;&gt;"", INDEX(台羅韻母表[國際音標], MATCH(TRUE, EXACT('輸入工具 (台羅拼音)'!G14, 台羅韻母表[台羅拼音]), 0)), ""), "")</f>
        <v>ɪan</v>
      </c>
      <c r="L14" s="199" t="str" cm="1">
        <f t="array" ref="L14" xml:space="preserve"> IF(H14&lt;&gt;"", INDEX(聲調對照表[IPA上標調號], MATCH(TRUE, EXACT('輸入工具 (台羅拼音)'!H14, 聲調對照表[台羅調號]), 0)), "")</f>
        <v>³</v>
      </c>
    </row>
    <row r="15" spans="2:12" ht="29.25">
      <c r="B15" s="217">
        <f t="shared" si="3"/>
        <v>11</v>
      </c>
      <c r="C15" s="19" t="s">
        <v>2532</v>
      </c>
      <c r="D15" s="202" t="s">
        <v>2591</v>
      </c>
      <c r="E15" s="201" t="str">
        <f t="shared" si="0"/>
        <v>ɡɔ¹</v>
      </c>
      <c r="F15" s="199" t="s">
        <v>2305</v>
      </c>
      <c r="G15" s="199" t="str">
        <f t="shared" si="4"/>
        <v>oo</v>
      </c>
      <c r="H15" s="200" t="str">
        <f t="shared" si="2"/>
        <v>1</v>
      </c>
      <c r="I15" s="199"/>
      <c r="J15" s="199" t="str" cm="1">
        <f t="array" ref="J15" xml:space="preserve"> IFERROR( IF(F15&lt;&gt;"", INDEX(聲母對照表[國際音標], MATCH(TRUE, EXACT('輸入工具 (台羅拼音)'!F15, 聲母對照表[台羅拼音]), 0)), ""), "")</f>
        <v>ɡ</v>
      </c>
      <c r="K15" s="199" t="str" cm="1">
        <f t="array" ref="K15">IFERROR( IF(G15&lt;&gt;"", INDEX(台羅韻母表[國際音標], MATCH(TRUE, EXACT('輸入工具 (台羅拼音)'!G15, 台羅韻母表[台羅拼音]), 0)), ""), "")</f>
        <v>ɔ</v>
      </c>
      <c r="L15" s="199" t="str" cm="1">
        <f t="array" ref="L15" xml:space="preserve"> IF(H15&lt;&gt;"", INDEX(聲調對照表[IPA上標調號], MATCH(TRUE, EXACT('輸入工具 (台羅拼音)'!H15, 聲調對照表[台羅調號]), 0)), "")</f>
        <v>¹</v>
      </c>
    </row>
    <row r="16" spans="2:12" ht="29.25">
      <c r="B16" s="217">
        <f t="shared" si="3"/>
        <v>12</v>
      </c>
      <c r="C16" s="19" t="s">
        <v>2533</v>
      </c>
      <c r="D16" s="202" t="s">
        <v>2602</v>
      </c>
      <c r="E16" s="201" t="str">
        <f t="shared" si="0"/>
        <v>siŋ⁵</v>
      </c>
      <c r="F16" s="199" t="s">
        <v>2311</v>
      </c>
      <c r="G16" s="199" t="str">
        <f t="shared" si="4"/>
        <v>ing</v>
      </c>
      <c r="H16" s="200" t="str">
        <f t="shared" si="2"/>
        <v>5</v>
      </c>
      <c r="I16" s="199"/>
      <c r="J16" s="199" t="str" cm="1">
        <f t="array" ref="J16" xml:space="preserve"> IFERROR( IF(F16&lt;&gt;"", INDEX(聲母對照表[國際音標], MATCH(TRUE, EXACT('輸入工具 (台羅拼音)'!F16, 聲母對照表[台羅拼音]), 0)), ""), "")</f>
        <v>s</v>
      </c>
      <c r="K16" s="199" t="str" cm="1">
        <f t="array" ref="K16">IFERROR( IF(G16&lt;&gt;"", INDEX(台羅韻母表[國際音標], MATCH(TRUE, EXACT('輸入工具 (台羅拼音)'!G16, 台羅韻母表[台羅拼音]), 0)), ""), "")</f>
        <v>iŋ</v>
      </c>
      <c r="L16" s="199" t="str" cm="1">
        <f t="array" ref="L16" xml:space="preserve"> IF(H16&lt;&gt;"", INDEX(聲調對照表[IPA上標調號], MATCH(TRUE, EXACT('輸入工具 (台羅拼音)'!H16, 聲調對照表[台羅調號]), 0)), "")</f>
        <v>⁵</v>
      </c>
    </row>
    <row r="17" spans="2:12" ht="29.25">
      <c r="B17" s="217">
        <f t="shared" si="3"/>
        <v>13</v>
      </c>
      <c r="C17" s="19" t="s">
        <v>2534</v>
      </c>
      <c r="D17" s="202" t="s">
        <v>2605</v>
      </c>
      <c r="E17" s="201" t="str">
        <f t="shared" si="0"/>
        <v>ban⁷</v>
      </c>
      <c r="F17" s="199" t="s">
        <v>2298</v>
      </c>
      <c r="G17" s="199" t="str">
        <f t="shared" si="4"/>
        <v>an</v>
      </c>
      <c r="H17" s="200" t="str">
        <f t="shared" si="2"/>
        <v>7</v>
      </c>
      <c r="I17" s="199"/>
      <c r="J17" s="199" t="str" cm="1">
        <f t="array" ref="J17" xml:space="preserve"> IFERROR( IF(F17&lt;&gt;"", INDEX(聲母對照表[國際音標], MATCH(TRUE, EXACT('輸入工具 (台羅拼音)'!F17, 聲母對照表[台羅拼音]), 0)), ""), "")</f>
        <v>b</v>
      </c>
      <c r="K17" s="199" t="str" cm="1">
        <f t="array" ref="K17">IFERROR( IF(G17&lt;&gt;"", INDEX(台羅韻母表[國際音標], MATCH(TRUE, EXACT('輸入工具 (台羅拼音)'!G17, 台羅韻母表[台羅拼音]), 0)), ""), "")</f>
        <v>an</v>
      </c>
      <c r="L17" s="199" t="str" cm="1">
        <f t="array" ref="L17" xml:space="preserve"> IF(H17&lt;&gt;"", INDEX(聲調對照表[IPA上標調號], MATCH(TRUE, EXACT('輸入工具 (台羅拼音)'!H17, 聲調對照表[台羅調號]), 0)), "")</f>
        <v>⁷</v>
      </c>
    </row>
    <row r="18" spans="2:12" ht="29.25">
      <c r="B18" s="217">
        <f t="shared" si="3"/>
        <v>14</v>
      </c>
      <c r="C18" s="19" t="s">
        <v>2511</v>
      </c>
      <c r="D18" s="202" t="s">
        <v>2592</v>
      </c>
      <c r="E18" s="201" t="str">
        <f t="shared" si="0"/>
        <v>ʣim⁷</v>
      </c>
      <c r="F18" s="199" t="s">
        <v>2506</v>
      </c>
      <c r="G18" s="199" t="str">
        <f t="shared" si="4"/>
        <v>im</v>
      </c>
      <c r="H18" s="200" t="str">
        <f t="shared" si="2"/>
        <v>7</v>
      </c>
      <c r="I18" s="199"/>
      <c r="J18" s="199" t="str" cm="1">
        <f t="array" ref="J18" xml:space="preserve"> IFERROR( IF(F18&lt;&gt;"", INDEX(聲母對照表[國際音標], MATCH(TRUE, EXACT('輸入工具 (台羅拼音)'!F18, 聲母對照表[台羅拼音]), 0)), ""), "")</f>
        <v>ʣ</v>
      </c>
      <c r="K18" s="199" t="str" cm="1">
        <f t="array" ref="K18">IFERROR( IF(G18&lt;&gt;"", INDEX(台羅韻母表[國際音標], MATCH(TRUE, EXACT('輸入工具 (台羅拼音)'!G18, 台羅韻母表[台羅拼音]), 0)), ""), "")</f>
        <v>im</v>
      </c>
      <c r="L18" s="199" t="str" cm="1">
        <f t="array" ref="L18" xml:space="preserve"> IF(H18&lt;&gt;"", INDEX(聲調對照表[IPA上標調號], MATCH(TRUE, EXACT('輸入工具 (台羅拼音)'!H18, 聲調對照表[台羅調號]), 0)), "")</f>
        <v>⁷</v>
      </c>
    </row>
    <row r="19" spans="2:12" ht="29.25">
      <c r="B19" s="217">
        <f t="shared" si="3"/>
        <v>15</v>
      </c>
      <c r="C19" s="19" t="s">
        <v>2535</v>
      </c>
      <c r="D19" s="202" t="s">
        <v>2561</v>
      </c>
      <c r="E19" s="201" t="str">
        <f t="shared" si="0"/>
        <v>san¹</v>
      </c>
      <c r="F19" s="199" t="s">
        <v>2311</v>
      </c>
      <c r="G19" s="199" t="str">
        <f t="shared" si="4"/>
        <v>an</v>
      </c>
      <c r="H19" s="200" t="str">
        <f t="shared" si="2"/>
        <v>1</v>
      </c>
      <c r="I19" s="199"/>
      <c r="J19" s="199" t="str" cm="1">
        <f t="array" ref="J19" xml:space="preserve"> IFERROR( IF(F19&lt;&gt;"", INDEX(聲母對照表[國際音標], MATCH(TRUE, EXACT('輸入工具 (台羅拼音)'!F19, 聲母對照表[台羅拼音]), 0)), ""), "")</f>
        <v>s</v>
      </c>
      <c r="K19" s="199" t="str" cm="1">
        <f t="array" ref="K19">IFERROR( IF(G19&lt;&gt;"", INDEX(台羅韻母表[國際音標], MATCH(TRUE, EXACT('輸入工具 (台羅拼音)'!G19, 台羅韻母表[台羅拼音]), 0)), ""), "")</f>
        <v>an</v>
      </c>
      <c r="L19" s="199" t="str" cm="1">
        <f t="array" ref="L19" xml:space="preserve"> IF(H19&lt;&gt;"", INDEX(聲調對照表[IPA上標調號], MATCH(TRUE, EXACT('輸入工具 (台羅拼音)'!H19, 聲調對照表[台羅調號]), 0)), "")</f>
        <v>¹</v>
      </c>
    </row>
    <row r="20" spans="2:12" ht="29.25">
      <c r="B20" s="217">
        <f t="shared" si="3"/>
        <v>16</v>
      </c>
      <c r="C20" s="19" t="s">
        <v>2536</v>
      </c>
      <c r="D20" s="202"/>
      <c r="E20" s="201" t="str">
        <f t="shared" si="0"/>
        <v/>
      </c>
      <c r="F20" s="199"/>
      <c r="G20" s="199" t="str">
        <f t="shared" si="4"/>
        <v/>
      </c>
      <c r="H20" s="200" t="str">
        <f t="shared" si="2"/>
        <v/>
      </c>
      <c r="I20" s="199"/>
      <c r="J20" s="199" t="str" cm="1">
        <f t="array" ref="J20" xml:space="preserve"> IFERROR( IF(F20&lt;&gt;"", INDEX(聲母對照表[國際音標], MATCH(TRUE, EXACT('輸入工具 (台羅拼音)'!F20, 聲母對照表[台羅拼音]), 0)), ""), "")</f>
        <v/>
      </c>
      <c r="K20" s="199" t="str" cm="1">
        <f t="array" ref="K20">IFERROR( IF(G20&lt;&gt;"", INDEX(台羅韻母表[國際音標], MATCH(TRUE, EXACT('輸入工具 (台羅拼音)'!G20, 台羅韻母表[台羅拼音]), 0)), ""), "")</f>
        <v/>
      </c>
      <c r="L20" s="199" t="str" cm="1">
        <f t="array" ref="L20" xml:space="preserve"> IF(H20&lt;&gt;"", INDEX(聲調對照表[IPA上標調號], MATCH(TRUE, EXACT('輸入工具 (台羅拼音)'!H20, 聲調對照表[台羅調號]), 0)), "")</f>
        <v/>
      </c>
    </row>
    <row r="21" spans="2:12" ht="29.25">
      <c r="B21" s="217">
        <f t="shared" si="3"/>
        <v>17</v>
      </c>
      <c r="C21" s="19" t="s">
        <v>2512</v>
      </c>
      <c r="D21" s="202" t="s">
        <v>2593</v>
      </c>
      <c r="E21" s="201" t="str">
        <f t="shared" si="0"/>
        <v>kɪũ¹</v>
      </c>
      <c r="F21" s="199" t="s">
        <v>2306</v>
      </c>
      <c r="G21" s="199" t="str">
        <f t="shared" si="4"/>
        <v>iunn</v>
      </c>
      <c r="H21" s="200" t="str">
        <f t="shared" si="2"/>
        <v>1</v>
      </c>
      <c r="I21" s="199"/>
      <c r="J21" s="199" t="str" cm="1">
        <f t="array" ref="J21" xml:space="preserve"> IFERROR( IF(F21&lt;&gt;"", INDEX(聲母對照表[國際音標], MATCH(TRUE, EXACT('輸入工具 (台羅拼音)'!F21, 聲母對照表[台羅拼音]), 0)), ""), "")</f>
        <v>k</v>
      </c>
      <c r="K21" s="199" t="str" cm="1">
        <f t="array" ref="K21">IFERROR( IF(G21&lt;&gt;"", INDEX(台羅韻母表[國際音標], MATCH(TRUE, EXACT('輸入工具 (台羅拼音)'!G21, 台羅韻母表[台羅拼音]), 0)), ""), "")</f>
        <v>ɪũ</v>
      </c>
      <c r="L21" s="199" t="str" cm="1">
        <f t="array" ref="L21" xml:space="preserve"> IF(H21&lt;&gt;"", INDEX(聲調對照表[IPA上標調號], MATCH(TRUE, EXACT('輸入工具 (台羅拼音)'!H21, 聲調對照表[台羅調號]), 0)), "")</f>
        <v>¹</v>
      </c>
    </row>
    <row r="22" spans="2:12" ht="29.25">
      <c r="B22" s="217">
        <f t="shared" si="3"/>
        <v>18</v>
      </c>
      <c r="C22" s="19" t="s">
        <v>2538</v>
      </c>
      <c r="D22" s="202" t="s">
        <v>2594</v>
      </c>
      <c r="E22" s="201" t="str">
        <f t="shared" si="0"/>
        <v>tik̚⁸</v>
      </c>
      <c r="F22" s="199" t="s">
        <v>2302</v>
      </c>
      <c r="G22" s="199" t="str">
        <f t="shared" si="4"/>
        <v>ik</v>
      </c>
      <c r="H22" s="200" t="str">
        <f t="shared" si="2"/>
        <v>8</v>
      </c>
      <c r="I22" s="199"/>
      <c r="J22" s="199" t="str" cm="1">
        <f t="array" ref="J22" xml:space="preserve"> IFERROR( IF(F22&lt;&gt;"", INDEX(聲母對照表[國際音標], MATCH(TRUE, EXACT('輸入工具 (台羅拼音)'!F22, 聲母對照表[台羅拼音]), 0)), ""), "")</f>
        <v>t</v>
      </c>
      <c r="K22" s="199" t="str" cm="1">
        <f t="array" ref="K22">IFERROR( IF(G22&lt;&gt;"", INDEX(台羅韻母表[國際音標], MATCH(TRUE, EXACT('輸入工具 (台羅拼音)'!G22, 台羅韻母表[台羅拼音]), 0)), ""), "")</f>
        <v>ik̚</v>
      </c>
      <c r="L22" s="199" t="str" cm="1">
        <f t="array" ref="L22" xml:space="preserve"> IF(H22&lt;&gt;"", INDEX(聲調對照表[IPA上標調號], MATCH(TRUE, EXACT('輸入工具 (台羅拼音)'!H22, 聲調對照表[台羅調號]), 0)), "")</f>
        <v>⁸</v>
      </c>
    </row>
    <row r="23" spans="2:12" ht="29.25">
      <c r="B23" s="217">
        <f t="shared" si="3"/>
        <v>19</v>
      </c>
      <c r="C23" s="19" t="s">
        <v>2539</v>
      </c>
      <c r="D23" s="202" t="s">
        <v>2571</v>
      </c>
      <c r="E23" s="201" t="str">
        <f t="shared" si="0"/>
        <v>hə⁵</v>
      </c>
      <c r="F23" s="199" t="s">
        <v>2308</v>
      </c>
      <c r="G23" s="199" t="str">
        <f t="shared" si="4"/>
        <v>o</v>
      </c>
      <c r="H23" s="200" t="str">
        <f t="shared" si="2"/>
        <v>5</v>
      </c>
      <c r="I23" s="199"/>
      <c r="J23" s="199" t="str" cm="1">
        <f t="array" ref="J23" xml:space="preserve"> IFERROR( IF(F23&lt;&gt;"", INDEX(聲母對照表[國際音標], MATCH(TRUE, EXACT('輸入工具 (台羅拼音)'!F23, 聲母對照表[台羅拼音]), 0)), ""), "")</f>
        <v>h</v>
      </c>
      <c r="K23" s="199" t="str" cm="1">
        <f t="array" ref="K23">IFERROR( IF(G23&lt;&gt;"", INDEX(台羅韻母表[國際音標], MATCH(TRUE, EXACT('輸入工具 (台羅拼音)'!G23, 台羅韻母表[台羅拼音]), 0)), ""), "")</f>
        <v>ə</v>
      </c>
      <c r="L23" s="199" t="str" cm="1">
        <f t="array" ref="L23" xml:space="preserve"> IF(H23&lt;&gt;"", INDEX(聲調對照表[IPA上標調號], MATCH(TRUE, EXACT('輸入工具 (台羅拼音)'!H23, 聲調對照表[台羅調號]), 0)), "")</f>
        <v>⁵</v>
      </c>
    </row>
    <row r="24" spans="2:12" ht="29.25">
      <c r="B24" s="217">
        <f t="shared" si="3"/>
        <v>20</v>
      </c>
      <c r="C24" s="19" t="s">
        <v>2540</v>
      </c>
      <c r="D24" s="202" t="s">
        <v>2563</v>
      </c>
      <c r="E24" s="201" t="str">
        <f t="shared" si="0"/>
        <v>su¹</v>
      </c>
      <c r="F24" s="199" t="s">
        <v>2311</v>
      </c>
      <c r="G24" s="199" t="str">
        <f t="shared" si="4"/>
        <v>u</v>
      </c>
      <c r="H24" s="200" t="str">
        <f t="shared" si="2"/>
        <v>1</v>
      </c>
      <c r="I24" s="199"/>
      <c r="J24" s="199" t="str" cm="1">
        <f t="array" ref="J24" xml:space="preserve"> IFERROR( IF(F24&lt;&gt;"", INDEX(聲母對照表[國際音標], MATCH(TRUE, EXACT('輸入工具 (台羅拼音)'!F24, 聲母對照表[台羅拼音]), 0)), ""), "")</f>
        <v>s</v>
      </c>
      <c r="K24" s="199" t="str" cm="1">
        <f t="array" ref="K24">IFERROR( IF(G24&lt;&gt;"", INDEX(台羅韻母表[國際音標], MATCH(TRUE, EXACT('輸入工具 (台羅拼音)'!G24, 台羅韻母表[台羅拼音]), 0)), ""), "")</f>
        <v>u</v>
      </c>
      <c r="L24" s="199" t="str" cm="1">
        <f t="array" ref="L24" xml:space="preserve"> IF(H24&lt;&gt;"", INDEX(聲調對照表[IPA上標調號], MATCH(TRUE, EXACT('輸入工具 (台羅拼音)'!H24, 聲調對照表[台羅調號]), 0)), "")</f>
        <v>¹</v>
      </c>
    </row>
    <row r="25" spans="2:12" ht="29.25">
      <c r="B25" s="217">
        <f t="shared" si="3"/>
        <v>21</v>
      </c>
      <c r="C25" s="19" t="s">
        <v>2541</v>
      </c>
      <c r="D25" s="202" t="s">
        <v>2606</v>
      </c>
      <c r="E25" s="201" t="str">
        <f t="shared" si="0"/>
        <v>uan³</v>
      </c>
      <c r="F25" s="199"/>
      <c r="G25" s="199" t="str">
        <f t="shared" si="4"/>
        <v>uan</v>
      </c>
      <c r="H25" s="200" t="str">
        <f t="shared" si="2"/>
        <v>3</v>
      </c>
      <c r="I25" s="199"/>
      <c r="J25" s="199" t="str" cm="1">
        <f t="array" ref="J25" xml:space="preserve"> IFERROR( IF(F25&lt;&gt;"", INDEX(聲母對照表[國際音標], MATCH(TRUE, EXACT('輸入工具 (台羅拼音)'!F25, 聲母對照表[台羅拼音]), 0)), ""), "")</f>
        <v/>
      </c>
      <c r="K25" s="199" t="str" cm="1">
        <f t="array" ref="K25">IFERROR( IF(G25&lt;&gt;"", INDEX(台羅韻母表[國際音標], MATCH(TRUE, EXACT('輸入工具 (台羅拼音)'!G25, 台羅韻母表[台羅拼音]), 0)), ""), "")</f>
        <v>uan</v>
      </c>
      <c r="L25" s="199" t="str" cm="1">
        <f t="array" ref="L25" xml:space="preserve"> IF(H25&lt;&gt;"", INDEX(聲調對照表[IPA上標調號], MATCH(TRUE, EXACT('輸入工具 (台羅拼音)'!H25, 聲調對照表[台羅調號]), 0)), "")</f>
        <v>³</v>
      </c>
    </row>
    <row r="26" spans="2:12" ht="29.25">
      <c r="B26" s="217">
        <f t="shared" si="3"/>
        <v>22</v>
      </c>
      <c r="C26" s="19" t="s">
        <v>2516</v>
      </c>
      <c r="D26" s="202" t="s">
        <v>2582</v>
      </c>
      <c r="E26" s="201" t="str">
        <f t="shared" si="0"/>
        <v>ɪũ⁵</v>
      </c>
      <c r="F26" s="199"/>
      <c r="G26" s="199" t="str">
        <f t="shared" si="4"/>
        <v>iunn</v>
      </c>
      <c r="H26" s="200" t="str">
        <f t="shared" si="2"/>
        <v>5</v>
      </c>
      <c r="I26" s="199"/>
      <c r="J26" s="199" t="str" cm="1">
        <f t="array" ref="J26" xml:space="preserve"> IFERROR( IF(F26&lt;&gt;"", INDEX(聲母對照表[國際音標], MATCH(TRUE, EXACT('輸入工具 (台羅拼音)'!F26, 聲母對照表[台羅拼音]), 0)), ""), "")</f>
        <v/>
      </c>
      <c r="K26" s="199" t="str" cm="1">
        <f t="array" ref="K26">IFERROR( IF(G26&lt;&gt;"", INDEX(台羅韻母表[國際音標], MATCH(TRUE, EXACT('輸入工具 (台羅拼音)'!G26, 台羅韻母表[台羅拼音]), 0)), ""), "")</f>
        <v>ɪũ</v>
      </c>
      <c r="L26" s="199" t="str" cm="1">
        <f t="array" ref="L26" xml:space="preserve"> IF(H26&lt;&gt;"", INDEX(聲調對照表[IPA上標調號], MATCH(TRUE, EXACT('輸入工具 (台羅拼音)'!H26, 聲調對照表[台羅調號]), 0)), "")</f>
        <v>⁵</v>
      </c>
    </row>
    <row r="27" spans="2:12" ht="29.25">
      <c r="B27" s="217">
        <f t="shared" si="3"/>
        <v>23</v>
      </c>
      <c r="C27" s="19" t="s">
        <v>2517</v>
      </c>
      <c r="D27" s="202" t="s">
        <v>2583</v>
      </c>
      <c r="E27" s="201" t="str">
        <f t="shared" si="0"/>
        <v>lɪu²</v>
      </c>
      <c r="F27" s="199" t="s">
        <v>2304</v>
      </c>
      <c r="G27" s="199" t="str">
        <f t="shared" si="4"/>
        <v>iu</v>
      </c>
      <c r="H27" s="200" t="str">
        <f t="shared" si="2"/>
        <v>2</v>
      </c>
      <c r="I27" s="199"/>
      <c r="J27" s="199" t="str" cm="1">
        <f t="array" ref="J27" xml:space="preserve"> IFERROR( IF(F27&lt;&gt;"", INDEX(聲母對照表[國際音標], MATCH(TRUE, EXACT('輸入工具 (台羅拼音)'!F27, 聲母對照表[台羅拼音]), 0)), ""), "")</f>
        <v>l</v>
      </c>
      <c r="K27" s="199" t="str" cm="1">
        <f t="array" ref="K27">IFERROR( IF(G27&lt;&gt;"", INDEX(台羅韻母表[國際音標], MATCH(TRUE, EXACT('輸入工具 (台羅拼音)'!G27, 台羅韻母表[台羅拼音]), 0)), ""), "")</f>
        <v>ɪu</v>
      </c>
      <c r="L27" s="199" t="str" cm="1">
        <f t="array" ref="L27" xml:space="preserve"> IF(H27&lt;&gt;"", INDEX(聲調對照表[IPA上標調號], MATCH(TRUE, EXACT('輸入工具 (台羅拼音)'!H27, 聲調對照表[台羅調號]), 0)), "")</f>
        <v>²</v>
      </c>
    </row>
    <row r="28" spans="2:12" ht="29.25">
      <c r="B28" s="217">
        <f t="shared" si="3"/>
        <v>24</v>
      </c>
      <c r="C28" s="19" t="s">
        <v>2537</v>
      </c>
      <c r="D28" s="202"/>
      <c r="E28" s="201" t="str">
        <f t="shared" si="0"/>
        <v/>
      </c>
      <c r="F28" s="199"/>
      <c r="G28" s="199" t="str">
        <f t="shared" si="4"/>
        <v/>
      </c>
      <c r="H28" s="200" t="str">
        <f t="shared" si="2"/>
        <v/>
      </c>
      <c r="I28" s="199"/>
      <c r="J28" s="199" t="str" cm="1">
        <f t="array" ref="J28" xml:space="preserve"> IFERROR( IF(F28&lt;&gt;"", INDEX(聲母對照表[國際音標], MATCH(TRUE, EXACT('輸入工具 (台羅拼音)'!F28, 聲母對照表[台羅拼音]), 0)), ""), "")</f>
        <v/>
      </c>
      <c r="K28" s="199" t="str" cm="1">
        <f t="array" ref="K28">IFERROR( IF(G28&lt;&gt;"", INDEX(台羅韻母表[國際音標], MATCH(TRUE, EXACT('輸入工具 (台羅拼音)'!G28, 台羅韻母表[台羅拼音]), 0)), ""), "")</f>
        <v/>
      </c>
      <c r="L28" s="199" t="str" cm="1">
        <f t="array" ref="L28" xml:space="preserve"> IF(H28&lt;&gt;"", INDEX(聲調對照表[IPA上標調號], MATCH(TRUE, EXACT('輸入工具 (台羅拼音)'!H28, 聲調對照表[台羅調號]), 0)), "")</f>
        <v/>
      </c>
    </row>
    <row r="29" spans="2:12" ht="29.25">
      <c r="B29" s="217">
        <f t="shared" si="3"/>
        <v>25</v>
      </c>
      <c r="C29" s="19" t="s">
        <v>2542</v>
      </c>
      <c r="D29" s="202" t="s">
        <v>2595</v>
      </c>
      <c r="E29" s="201" t="str">
        <f t="shared" si="0"/>
        <v>ʦʰun¹</v>
      </c>
      <c r="F29" s="199" t="s">
        <v>2596</v>
      </c>
      <c r="G29" s="199" t="str">
        <f t="shared" si="4"/>
        <v>un</v>
      </c>
      <c r="H29" s="200" t="str">
        <f t="shared" si="2"/>
        <v>1</v>
      </c>
      <c r="I29" s="199"/>
      <c r="J29" s="199" t="str" cm="1">
        <f t="array" ref="J29" xml:space="preserve"> IFERROR( IF(F29&lt;&gt;"", INDEX(聲母對照表[國際音標], MATCH(TRUE, EXACT('輸入工具 (台羅拼音)'!F29, 聲母對照表[台羅拼音]), 0)), ""), "")</f>
        <v>ʦʰ</v>
      </c>
      <c r="K29" s="199" t="str" cm="1">
        <f t="array" ref="K29">IFERROR( IF(G29&lt;&gt;"", INDEX(台羅韻母表[國際音標], MATCH(TRUE, EXACT('輸入工具 (台羅拼音)'!G29, 台羅韻母表[台羅拼音]), 0)), ""), "")</f>
        <v>un</v>
      </c>
      <c r="L29" s="199" t="str" cm="1">
        <f t="array" ref="L29" xml:space="preserve"> IF(H29&lt;&gt;"", INDEX(聲調對照表[IPA上標調號], MATCH(TRUE, EXACT('輸入工具 (台羅拼音)'!H29, 聲調對照表[台羅調號]), 0)), "")</f>
        <v>¹</v>
      </c>
    </row>
    <row r="30" spans="2:12" ht="29.25">
      <c r="B30" s="217">
        <f t="shared" si="3"/>
        <v>26</v>
      </c>
      <c r="C30" s="19" t="s">
        <v>2543</v>
      </c>
      <c r="D30" s="202" t="s">
        <v>2565</v>
      </c>
      <c r="E30" s="201" t="str">
        <f t="shared" si="0"/>
        <v>hɔŋ¹</v>
      </c>
      <c r="F30" s="199" t="s">
        <v>2308</v>
      </c>
      <c r="G30" s="199" t="str">
        <f t="shared" si="4"/>
        <v>ong</v>
      </c>
      <c r="H30" s="200" t="str">
        <f t="shared" si="2"/>
        <v>1</v>
      </c>
      <c r="I30" s="199"/>
      <c r="J30" s="199" t="str" cm="1">
        <f t="array" ref="J30" xml:space="preserve"> IFERROR( IF(F30&lt;&gt;"", INDEX(聲母對照表[國際音標], MATCH(TRUE, EXACT('輸入工具 (台羅拼音)'!F30, 聲母對照表[台羅拼音]), 0)), ""), "")</f>
        <v>h</v>
      </c>
      <c r="K30" s="199" t="str" cm="1">
        <f t="array" ref="K30">IFERROR( IF(G30&lt;&gt;"", INDEX(台羅韻母表[國際音標], MATCH(TRUE, EXACT('輸入工具 (台羅拼音)'!G30, 台羅韻母表[台羅拼音]), 0)), ""), "")</f>
        <v>ɔŋ</v>
      </c>
      <c r="L30" s="199" t="str" cm="1">
        <f t="array" ref="L30" xml:space="preserve"> IF(H30&lt;&gt;"", INDEX(聲調對照表[IPA上標調號], MATCH(TRUE, EXACT('輸入工具 (台羅拼音)'!H30, 聲調對照表[台羅調號]), 0)), "")</f>
        <v>¹</v>
      </c>
    </row>
    <row r="31" spans="2:12" ht="29.25">
      <c r="B31" s="217">
        <f t="shared" si="3"/>
        <v>27</v>
      </c>
      <c r="C31" s="19" t="s">
        <v>2544</v>
      </c>
      <c r="D31" s="202" t="s">
        <v>2597</v>
      </c>
      <c r="E31" s="201" t="str">
        <f t="shared" si="0"/>
        <v>put̚⁴</v>
      </c>
      <c r="F31" s="199" t="s">
        <v>2299</v>
      </c>
      <c r="G31" s="199" t="str">
        <f t="shared" si="4"/>
        <v>ut</v>
      </c>
      <c r="H31" s="200" t="str">
        <f t="shared" si="2"/>
        <v>4</v>
      </c>
      <c r="I31" s="199"/>
      <c r="J31" s="199" t="str" cm="1">
        <f t="array" ref="J31" xml:space="preserve"> IFERROR( IF(F31&lt;&gt;"", INDEX(聲母對照表[國際音標], MATCH(TRUE, EXACT('輸入工具 (台羅拼音)'!F31, 聲母對照表[台羅拼音]), 0)), ""), "")</f>
        <v>p</v>
      </c>
      <c r="K31" s="199" t="str" cm="1">
        <f t="array" ref="K31">IFERROR( IF(G31&lt;&gt;"", INDEX(台羅韻母表[國際音標], MATCH(TRUE, EXACT('輸入工具 (台羅拼音)'!G31, 台羅韻母表[台羅拼音]), 0)), ""), "")</f>
        <v>ut̚</v>
      </c>
      <c r="L31" s="199" t="str" cm="1">
        <f t="array" ref="L31" xml:space="preserve"> IF(H31&lt;&gt;"", INDEX(聲調對照表[IPA上標調號], MATCH(TRUE, EXACT('輸入工具 (台羅拼音)'!H31, 聲調對照表[台羅調號]), 0)), "")</f>
        <v>⁴</v>
      </c>
    </row>
    <row r="32" spans="2:12" ht="29.25">
      <c r="B32" s="217">
        <f t="shared" si="3"/>
        <v>28</v>
      </c>
      <c r="C32" s="19" t="s">
        <v>2545</v>
      </c>
      <c r="D32" s="202" t="s">
        <v>2598</v>
      </c>
      <c r="E32" s="201" t="str">
        <f t="shared" si="0"/>
        <v>tɔ⁷</v>
      </c>
      <c r="F32" s="199" t="s">
        <v>2302</v>
      </c>
      <c r="G32" s="199" t="str">
        <f t="shared" si="4"/>
        <v>oo</v>
      </c>
      <c r="H32" s="200" t="str">
        <f t="shared" si="2"/>
        <v>7</v>
      </c>
      <c r="I32" s="199"/>
      <c r="J32" s="199" t="str" cm="1">
        <f t="array" ref="J32" xml:space="preserve"> IFERROR( IF(F32&lt;&gt;"", INDEX(聲母對照表[國際音標], MATCH(TRUE, EXACT('輸入工具 (台羅拼音)'!F32, 聲母對照表[台羅拼音]), 0)), ""), "")</f>
        <v>t</v>
      </c>
      <c r="K32" s="199" t="str" cm="1">
        <f t="array" ref="K32">IFERROR( IF(G32&lt;&gt;"", INDEX(台羅韻母表[國際音標], MATCH(TRUE, EXACT('輸入工具 (台羅拼音)'!G32, 台羅韻母表[台羅拼音]), 0)), ""), "")</f>
        <v>ɔ</v>
      </c>
      <c r="L32" s="199" t="str" cm="1">
        <f t="array" ref="L32" xml:space="preserve"> IF(H32&lt;&gt;"", INDEX(聲調對照表[IPA上標調號], MATCH(TRUE, EXACT('輸入工具 (台羅拼音)'!H32, 聲調對照表[台羅調號]), 0)), "")</f>
        <v>⁷</v>
      </c>
    </row>
    <row r="33" spans="1:12" ht="29.25">
      <c r="B33" s="217">
        <f t="shared" si="3"/>
        <v>29</v>
      </c>
      <c r="C33" s="19" t="s">
        <v>2546</v>
      </c>
      <c r="D33" s="202" t="s">
        <v>2599</v>
      </c>
      <c r="E33" s="201" t="str">
        <f t="shared" si="0"/>
        <v>ɡɪɔk̚⁸</v>
      </c>
      <c r="F33" s="199" t="s">
        <v>2305</v>
      </c>
      <c r="G33" s="199" t="str">
        <f t="shared" si="4"/>
        <v>iok</v>
      </c>
      <c r="H33" s="200" t="str">
        <f t="shared" si="2"/>
        <v>8</v>
      </c>
      <c r="I33" s="199"/>
      <c r="J33" s="199" t="str" cm="1">
        <f t="array" ref="J33" xml:space="preserve"> IFERROR( IF(F33&lt;&gt;"", INDEX(聲母對照表[國際音標], MATCH(TRUE, EXACT('輸入工具 (台羅拼音)'!F33, 聲母對照表[台羅拼音]), 0)), ""), "")</f>
        <v>ɡ</v>
      </c>
      <c r="K33" s="199" t="str" cm="1">
        <f t="array" ref="K33">IFERROR( IF(G33&lt;&gt;"", INDEX(台羅韻母表[國際音標], MATCH(TRUE, EXACT('輸入工具 (台羅拼音)'!G33, 台羅韻母表[台羅拼音]), 0)), ""), "")</f>
        <v>ɪɔk̚</v>
      </c>
      <c r="L33" s="199" t="str" cm="1">
        <f t="array" ref="L33" xml:space="preserve"> IF(H33&lt;&gt;"", INDEX(聲調對照表[IPA上標調號], MATCH(TRUE, EXACT('輸入工具 (台羅拼音)'!H33, 聲調對照表[台羅調號]), 0)), "")</f>
        <v>⁸</v>
      </c>
    </row>
    <row r="34" spans="1:12" ht="29.25">
      <c r="B34" s="217">
        <f t="shared" si="3"/>
        <v>30</v>
      </c>
      <c r="C34" s="19" t="s">
        <v>2510</v>
      </c>
      <c r="D34" s="202" t="s">
        <v>2620</v>
      </c>
      <c r="E34" s="201" t="str">
        <f t="shared" si="0"/>
        <v>mŋ̍⁵</v>
      </c>
      <c r="F34" s="199" t="s">
        <v>1303</v>
      </c>
      <c r="G34" s="199" t="str">
        <f t="shared" si="4"/>
        <v>ng</v>
      </c>
      <c r="H34" s="200" t="str">
        <f t="shared" si="2"/>
        <v>5</v>
      </c>
      <c r="I34" s="199"/>
      <c r="J34" s="199" t="str" cm="1">
        <f t="array" ref="J34" xml:space="preserve"> IFERROR( IF(F34&lt;&gt;"", INDEX(聲母對照表[國際音標], MATCH(TRUE, EXACT('輸入工具 (台羅拼音)'!F34, 聲母對照表[台羅拼音]), 0)), ""), "")</f>
        <v>m</v>
      </c>
      <c r="K34" s="199" t="str" cm="1">
        <f t="array" ref="K34">IFERROR( IF(G34&lt;&gt;"", INDEX(台羅韻母表[國際音標], MATCH(TRUE, EXACT('輸入工具 (台羅拼音)'!G34, 台羅韻母表[台羅拼音]), 0)), ""), "")</f>
        <v>ŋ̍</v>
      </c>
      <c r="L34" s="199" t="str" cm="1">
        <f t="array" ref="L34" xml:space="preserve"> IF(H34&lt;&gt;"", INDEX(聲調對照表[IPA上標調號], MATCH(TRUE, EXACT('輸入工具 (台羅拼音)'!H34, 聲調對照表[台羅調號]), 0)), "")</f>
        <v>⁵</v>
      </c>
    </row>
    <row r="35" spans="1:12" ht="29.25">
      <c r="B35" s="217">
        <f t="shared" si="3"/>
        <v>31</v>
      </c>
      <c r="C35" s="19" t="s">
        <v>2547</v>
      </c>
      <c r="D35" s="202" t="s">
        <v>2600</v>
      </c>
      <c r="E35" s="201" t="str">
        <f t="shared" si="0"/>
        <v>kuan¹</v>
      </c>
      <c r="F35" s="199" t="s">
        <v>2306</v>
      </c>
      <c r="G35" s="199" t="str">
        <f t="shared" si="4"/>
        <v>uan</v>
      </c>
      <c r="H35" s="200" t="str">
        <f t="shared" si="2"/>
        <v>1</v>
      </c>
      <c r="I35" s="199"/>
      <c r="J35" s="199" t="str" cm="1">
        <f t="array" ref="J35" xml:space="preserve"> IFERROR( IF(F35&lt;&gt;"", INDEX(聲母對照表[國際音標], MATCH(TRUE, EXACT('輸入工具 (台羅拼音)'!F35, 聲母對照表[台羅拼音]), 0)), ""), "")</f>
        <v>k</v>
      </c>
      <c r="K35" s="199" t="str" cm="1">
        <f t="array" ref="K35">IFERROR( IF(G35&lt;&gt;"", INDEX(台羅韻母表[國際音標], MATCH(TRUE, EXACT('輸入工具 (台羅拼音)'!G35, 台羅韻母表[台羅拼音]), 0)), ""), "")</f>
        <v>uan</v>
      </c>
      <c r="L35" s="199" t="str" cm="1">
        <f t="array" ref="L35" xml:space="preserve"> IF(H35&lt;&gt;"", INDEX(聲調對照表[IPA上標調號], MATCH(TRUE, EXACT('輸入工具 (台羅拼音)'!H35, 聲調對照表[台羅調號]), 0)), "")</f>
        <v>¹</v>
      </c>
    </row>
    <row r="36" spans="1:12" ht="29.25">
      <c r="B36" s="217">
        <f t="shared" si="3"/>
        <v>32</v>
      </c>
      <c r="C36" s="19" t="s">
        <v>2536</v>
      </c>
      <c r="D36" s="202"/>
      <c r="E36" s="201" t="str">
        <f t="shared" si="0"/>
        <v/>
      </c>
      <c r="F36" s="199"/>
      <c r="G36" s="199" t="str">
        <f t="shared" si="4"/>
        <v/>
      </c>
      <c r="H36" s="200" t="str">
        <f t="shared" si="2"/>
        <v/>
      </c>
      <c r="I36" s="199"/>
      <c r="J36" s="199" t="str" cm="1">
        <f t="array" ref="J36" xml:space="preserve"> IFERROR( IF(F36&lt;&gt;"", INDEX(聲母對照表[國際音標], MATCH(TRUE, EXACT('輸入工具 (台羅拼音)'!F36, 聲母對照表[台羅拼音]), 0)), ""), "")</f>
        <v/>
      </c>
      <c r="K36" s="199" t="str" cm="1">
        <f t="array" ref="K36">IFERROR( IF(G36&lt;&gt;"", INDEX(台羅韻母表[國際音標], MATCH(TRUE, EXACT('輸入工具 (台羅拼音)'!G36, 台羅韻母表[台羅拼音]), 0)), ""), "")</f>
        <v/>
      </c>
      <c r="L36" s="199" t="str" cm="1">
        <f t="array" ref="L36" xml:space="preserve"> IF(H36&lt;&gt;"", INDEX(聲調對照表[閩拼上標調號], MATCH(TRUE, EXACT('輸入工具 (台羅拼音)'!H36, 聲調對照表[閩拼調號]), 0)), "")</f>
        <v/>
      </c>
    </row>
    <row r="39" spans="1:12" ht="29.25">
      <c r="A39" s="200"/>
      <c r="B39" s="200"/>
      <c r="C39" s="200"/>
      <c r="D39" s="200"/>
      <c r="E39" s="200"/>
      <c r="F39" s="200"/>
      <c r="G39" s="200"/>
      <c r="H39" s="200"/>
      <c r="I39" s="199"/>
      <c r="J39" s="199" t="str" cm="1">
        <f t="array" ref="J39" xml:space="preserve"> IF(F39&lt;&gt;"", INDEX(聲母對照表[國際音標], MATCH(TRUE, EXACT('輸入工具 (台羅拼音)'!F39, 聲母對照表[閩拼方案]), 0)), "")</f>
        <v/>
      </c>
      <c r="K39" s="199" t="str" cm="1">
        <f t="array" ref="K39">IF(G39&lt;&gt;"", INDEX(台羅韻母表[國際音標], MATCH(TRUE, EXACT('輸入工具 (台羅拼音)'!G39, 台羅韻母表[閩拼方案]), 0)), "")</f>
        <v/>
      </c>
      <c r="L39" s="199" t="str" cm="1">
        <f t="array" ref="L39" xml:space="preserve"> IF(H39&lt;&gt;"", INDEX(聲調對照表[閩拼上標調號], MATCH(TRUE, EXACT('輸入工具 (台羅拼音)'!H39, 聲調對照表[閩拼調號]), 0)), "")</f>
        <v/>
      </c>
    </row>
  </sheetData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9D79B-139A-48C2-9190-C4F10C48181B}">
  <dimension ref="A2:N39"/>
  <sheetViews>
    <sheetView workbookViewId="0">
      <selection activeCell="O12" sqref="O12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4">
      <c r="B2" t="str">
        <f xml:space="preserve"> _xlfn.CONCAT("【", D4, "】")</f>
        <v>【白話字】</v>
      </c>
    </row>
    <row r="4" spans="2:14">
      <c r="B4" s="188" t="s">
        <v>895</v>
      </c>
      <c r="C4" s="188" t="s">
        <v>661</v>
      </c>
      <c r="D4" s="188" t="s">
        <v>870</v>
      </c>
      <c r="E4" s="188" t="s">
        <v>875</v>
      </c>
      <c r="F4" s="188" t="s">
        <v>2347</v>
      </c>
      <c r="G4" s="188" t="s">
        <v>2348</v>
      </c>
      <c r="H4" s="188" t="s">
        <v>2349</v>
      </c>
      <c r="J4" t="s">
        <v>2500</v>
      </c>
      <c r="K4" t="s">
        <v>934</v>
      </c>
      <c r="L4" t="s">
        <v>2501</v>
      </c>
    </row>
    <row r="5" spans="2:14" ht="29.25">
      <c r="B5" s="217">
        <f xml:space="preserve"> ROW() - 4</f>
        <v>1</v>
      </c>
      <c r="C5" s="19" t="s">
        <v>2524</v>
      </c>
      <c r="D5" s="202" t="s">
        <v>2548</v>
      </c>
      <c r="E5" s="201" t="str">
        <f xml:space="preserve"> IF(AND(G5&lt;&gt;"",H5&lt;&gt;""), _xlfn.CONCAT(J5:L5), "")</f>
        <v>hɔŋ⁵</v>
      </c>
      <c r="F5" s="199" t="s">
        <v>2308</v>
      </c>
      <c r="G5" s="199" t="str">
        <f>IFERROR( MID(D5, LEN(F5)+1, LEN(D5) - LEN(F5) - 1), "")</f>
        <v>ong</v>
      </c>
      <c r="H5" s="200" t="str">
        <f xml:space="preserve"> RIGHT(D5,1)</f>
        <v>5</v>
      </c>
      <c r="I5" s="199"/>
      <c r="J5" s="199" t="str" cm="1">
        <f t="array" ref="J5" xml:space="preserve"> IFERROR( IF(F5&lt;&gt;"", INDEX(聲母對照表[國際音標], MATCH(TRUE, EXACT('輸入工具 (白話字)'!F5, 聲母對照表[白話字]), 0)), ""), "")</f>
        <v>h</v>
      </c>
      <c r="K5" s="199" t="str" cm="1">
        <f t="array" ref="K5">IFERROR( IF(G5&lt;&gt;"", INDEX(台羅韻母表[國際音標], MATCH(TRUE, EXACT('輸入工具 (白話字)'!G5, 台羅韻母表[白話字]), 0)), ""), "")</f>
        <v>ɔŋ</v>
      </c>
      <c r="L5" s="199" t="str" cm="1">
        <f t="array" ref="L5" xml:space="preserve"> IF(H5&lt;&gt;"", INDEX(聲調對照表[IPA上標調號], MATCH(TRUE, EXACT('輸入工具 (白話字)'!H5, 聲調對照表[台羅調號]), 0)), "")</f>
        <v>⁵</v>
      </c>
    </row>
    <row r="6" spans="2:14" ht="29.25">
      <c r="B6" s="217">
        <f xml:space="preserve"> ROW() - 4</f>
        <v>2</v>
      </c>
      <c r="C6" s="19" t="s">
        <v>2525</v>
      </c>
      <c r="D6" s="202" t="s">
        <v>2571</v>
      </c>
      <c r="E6" s="201" t="str">
        <f t="shared" ref="E6:E36" si="0" xml:space="preserve"> IF(AND(G6&lt;&gt;"",H6&lt;&gt;""), _xlfn.CONCAT(J6:L6), "")</f>
        <v>hə⁵</v>
      </c>
      <c r="F6" s="199" t="s">
        <v>2308</v>
      </c>
      <c r="G6" s="199" t="str">
        <f t="shared" ref="G6:G10" si="1">IFERROR( MID(D6, LEN(F6)+1, LEN(D6) - LEN(F6) - 1), "")</f>
        <v>o</v>
      </c>
      <c r="H6" s="200" t="str">
        <f t="shared" ref="H6:H36" si="2" xml:space="preserve"> RIGHT(D6,1)</f>
        <v>5</v>
      </c>
      <c r="I6" s="199"/>
      <c r="J6" s="199" t="str" cm="1">
        <f t="array" ref="J6" xml:space="preserve"> IFERROR( IF(F6&lt;&gt;"", INDEX(聲母對照表[國際音標], MATCH(TRUE, EXACT('輸入工具 (白話字)'!F6, 聲母對照表[白話字]), 0)), ""), "")</f>
        <v>h</v>
      </c>
      <c r="K6" s="199" t="str" cm="1">
        <f t="array" ref="K6">IFERROR( IF(G6&lt;&gt;"", INDEX(台羅韻母表[國際音標], MATCH(TRUE, EXACT('輸入工具 (白話字)'!G6, 台羅韻母表[白話字]), 0)), ""), "")</f>
        <v>ə</v>
      </c>
      <c r="L6" s="199" t="str" cm="1">
        <f t="array" ref="L6" xml:space="preserve"> IF(H6&lt;&gt;"", INDEX(聲調對照表[IPA上標調號], MATCH(TRUE, EXACT('輸入工具 (白話字)'!H6, 聲調對照表[台羅調號]), 0)), "")</f>
        <v>⁵</v>
      </c>
    </row>
    <row r="7" spans="2:14" ht="29.25">
      <c r="B7" s="217">
        <f t="shared" ref="B7:B36" si="3" xml:space="preserve"> ROW() - 4</f>
        <v>3</v>
      </c>
      <c r="C7" s="19" t="s">
        <v>2526</v>
      </c>
      <c r="D7" s="202" t="s">
        <v>2609</v>
      </c>
      <c r="E7" s="201" t="str">
        <f t="shared" si="0"/>
        <v>uan²</v>
      </c>
      <c r="F7" s="216"/>
      <c r="G7" s="199" t="str">
        <f t="shared" si="1"/>
        <v>oan</v>
      </c>
      <c r="H7" s="200" t="str">
        <f t="shared" si="2"/>
        <v>2</v>
      </c>
      <c r="I7" s="199"/>
      <c r="J7" s="199" t="str" cm="1">
        <f t="array" ref="J7" xml:space="preserve"> IFERROR( IF(F7&lt;&gt;"", INDEX(聲母對照表[國際音標], MATCH(TRUE, EXACT('輸入工具 (白話字)'!F7, 聲母對照表[白話字]), 0)), ""), "")</f>
        <v/>
      </c>
      <c r="K7" s="199" t="str" cm="1">
        <f t="array" ref="K7">IFERROR( IF(G7&lt;&gt;"", INDEX(台羅韻母表[國際音標], MATCH(TRUE, EXACT('輸入工具 (白話字)'!G7, 台羅韻母表[白話字]), 0)), ""), "")</f>
        <v>uan</v>
      </c>
      <c r="L7" s="199" t="str" cm="1">
        <f t="array" ref="L7" xml:space="preserve"> IF(H7&lt;&gt;"", INDEX(聲調對照表[IPA上標調號], MATCH(TRUE, EXACT('輸入工具 (白話字)'!H7, 聲調對照表[台羅調號]), 0)), "")</f>
        <v>²</v>
      </c>
    </row>
    <row r="8" spans="2:14" ht="29.25">
      <c r="B8" s="217">
        <f t="shared" si="3"/>
        <v>4</v>
      </c>
      <c r="C8" s="19" t="s">
        <v>2527</v>
      </c>
      <c r="D8" s="202" t="s">
        <v>2587</v>
      </c>
      <c r="E8" s="201" t="str">
        <f t="shared" si="0"/>
        <v>sɪɔŋ²</v>
      </c>
      <c r="F8" s="199" t="s">
        <v>2311</v>
      </c>
      <c r="G8" s="199" t="str">
        <f t="shared" si="1"/>
        <v>iong</v>
      </c>
      <c r="H8" s="200" t="str">
        <f t="shared" si="2"/>
        <v>2</v>
      </c>
      <c r="I8" s="199"/>
      <c r="J8" s="199" t="str" cm="1">
        <f t="array" ref="J8" xml:space="preserve"> IFERROR( IF(F8&lt;&gt;"", INDEX(聲母對照表[國際音標], MATCH(TRUE, EXACT('輸入工具 (白話字)'!F8, 聲母對照表[白話字]), 0)), ""), "")</f>
        <v>s</v>
      </c>
      <c r="K8" s="199" t="str" cm="1">
        <f t="array" ref="K8">IFERROR( IF(G8&lt;&gt;"", INDEX(台羅韻母表[國際音標], MATCH(TRUE, EXACT('輸入工具 (白話字)'!G8, 台羅韻母表[白話字]), 0)), ""), "")</f>
        <v>ɪɔŋ</v>
      </c>
      <c r="L8" s="199" t="str" cm="1">
        <f t="array" ref="L8" xml:space="preserve"> IF(H8&lt;&gt;"", INDEX(聲調對照表[IPA上標調號], MATCH(TRUE, EXACT('輸入工具 (白話字)'!H8, 聲調對照表[台羅調號]), 0)), "")</f>
        <v>²</v>
      </c>
    </row>
    <row r="9" spans="2:14" ht="29.25">
      <c r="B9" s="217">
        <f t="shared" si="3"/>
        <v>5</v>
      </c>
      <c r="C9" s="19" t="s">
        <v>2528</v>
      </c>
      <c r="D9" s="221" t="s">
        <v>2608</v>
      </c>
      <c r="E9" s="201" t="str">
        <f t="shared" si="0"/>
        <v>pik̚⁸</v>
      </c>
      <c r="F9" s="199" t="s">
        <v>2299</v>
      </c>
      <c r="G9" s="199" t="str">
        <f t="shared" si="1"/>
        <v>ek</v>
      </c>
      <c r="H9" s="200" t="str">
        <f t="shared" si="2"/>
        <v>8</v>
      </c>
      <c r="I9" s="199"/>
      <c r="J9" s="199" t="str" cm="1">
        <f t="array" ref="J9" xml:space="preserve"> IFERROR( IF(F9&lt;&gt;"", INDEX(聲母對照表[國際音標], MATCH(TRUE, EXACT('輸入工具 (白話字)'!F9, 聲母對照表[白話字]), 0)), ""), "")</f>
        <v>p</v>
      </c>
      <c r="K9" s="199" t="str" cm="1">
        <f t="array" ref="K9">IFERROR( IF(G9&lt;&gt;"", INDEX(台羅韻母表[國際音標], MATCH(TRUE, EXACT('輸入工具 (白話字)'!G9, 台羅韻母表[白話字]), 0)), ""), "")</f>
        <v>ik̚</v>
      </c>
      <c r="L9" s="199" t="str" cm="1">
        <f t="array" ref="L9" xml:space="preserve"> IF(H9&lt;&gt;"", INDEX(聲調對照表[IPA上標調號], MATCH(TRUE, EXACT('輸入工具 (白話字)'!H9, 聲調對照表[台羅調號]), 0)), "")</f>
        <v>⁸</v>
      </c>
    </row>
    <row r="10" spans="2:14" ht="29.25">
      <c r="B10" s="217">
        <f t="shared" si="3"/>
        <v>6</v>
      </c>
      <c r="C10" s="19" t="s">
        <v>2529</v>
      </c>
      <c r="D10" s="202" t="s">
        <v>2575</v>
      </c>
      <c r="E10" s="201" t="str">
        <f t="shared" si="0"/>
        <v>hun⁵</v>
      </c>
      <c r="F10" s="199" t="s">
        <v>2308</v>
      </c>
      <c r="G10" s="199" t="str">
        <f t="shared" si="1"/>
        <v>un</v>
      </c>
      <c r="H10" s="200" t="str">
        <f t="shared" si="2"/>
        <v>5</v>
      </c>
      <c r="I10" s="199"/>
      <c r="J10" s="199" t="str" cm="1">
        <f t="array" ref="J10" xml:space="preserve"> IFERROR( IF(F10&lt;&gt;"", INDEX(聲母對照表[國際音標], MATCH(TRUE, EXACT('輸入工具 (白話字)'!F10, 聲母對照表[白話字]), 0)), ""), "")</f>
        <v>h</v>
      </c>
      <c r="K10" s="199" t="str" cm="1">
        <f t="array" ref="K10">IFERROR( IF(G10&lt;&gt;"", INDEX(台羅韻母表[國際音標], MATCH(TRUE, EXACT('輸入工具 (白話字)'!G10, 台羅韻母表[白話字]), 0)), ""), "")</f>
        <v>un</v>
      </c>
      <c r="L10" s="199" t="str" cm="1">
        <f t="array" ref="L10" xml:space="preserve"> IF(H10&lt;&gt;"", INDEX(聲調對照表[IPA上標調號], MATCH(TRUE, EXACT('輸入工具 (白話字)'!H10, 聲調對照表[台羅調號]), 0)), "")</f>
        <v>⁵</v>
      </c>
    </row>
    <row r="11" spans="2:14" ht="29.25">
      <c r="B11" s="217">
        <f t="shared" si="3"/>
        <v>7</v>
      </c>
      <c r="C11" s="19" t="s">
        <v>2530</v>
      </c>
      <c r="D11" s="202" t="s">
        <v>2610</v>
      </c>
      <c r="E11" s="201" t="str">
        <f t="shared" si="0"/>
        <v>kiŋ¹</v>
      </c>
      <c r="F11" s="199" t="s">
        <v>2306</v>
      </c>
      <c r="G11" s="199" t="str">
        <f t="shared" ref="G8:G36" si="4">IFERROR( MID(D11, LEN(F11)+1, LEN(D11) - LEN(F11) - 1), "")</f>
        <v>eng</v>
      </c>
      <c r="H11" s="200" t="str">
        <f t="shared" si="2"/>
        <v>1</v>
      </c>
      <c r="I11" s="199"/>
      <c r="J11" s="199" t="str" cm="1">
        <f t="array" ref="J11" xml:space="preserve"> IFERROR( IF(F11&lt;&gt;"", INDEX(聲母對照表[國際音標], MATCH(TRUE, EXACT('輸入工具 (白話字)'!F11, 聲母對照表[白話字]), 0)), ""), "")</f>
        <v>k</v>
      </c>
      <c r="K11" s="199" t="str" cm="1">
        <f t="array" ref="K11">IFERROR( IF(G11&lt;&gt;"", INDEX(台羅韻母表[國際音標], MATCH(TRUE, EXACT('輸入工具 (白話字)'!G11, 台羅韻母表[白話字]), 0)), ""), "")</f>
        <v>iŋ</v>
      </c>
      <c r="L11" s="199" t="str" cm="1">
        <f t="array" ref="L11" xml:space="preserve"> IF(H11&lt;&gt;"", INDEX(聲調對照表[IPA上標調號], MATCH(TRUE, EXACT('輸入工具 (白話字)'!H11, 聲調對照表[台羅調號]), 0)), "")</f>
        <v>¹</v>
      </c>
    </row>
    <row r="12" spans="2:14" ht="29.25">
      <c r="B12" s="217">
        <f t="shared" si="3"/>
        <v>8</v>
      </c>
      <c r="C12" s="19" t="s">
        <v>2537</v>
      </c>
      <c r="D12" s="202"/>
      <c r="E12" s="201" t="str">
        <f t="shared" si="0"/>
        <v/>
      </c>
      <c r="F12" s="199"/>
      <c r="G12" s="199" t="str">
        <f t="shared" si="4"/>
        <v/>
      </c>
      <c r="H12" s="200" t="str">
        <f t="shared" si="2"/>
        <v/>
      </c>
      <c r="I12" s="199"/>
      <c r="J12" s="199" t="str" cm="1">
        <f t="array" ref="J12" xml:space="preserve"> IFERROR( IF(F12&lt;&gt;"", INDEX(聲母對照表[國際音標], MATCH(TRUE, EXACT('輸入工具 (白話字)'!F12, 聲母對照表[白話字]), 0)), ""), "")</f>
        <v/>
      </c>
      <c r="K12" s="199" t="str" cm="1">
        <f t="array" ref="K12">IFERROR( IF(G12&lt;&gt;"", INDEX(台羅韻母表[國際音標], MATCH(TRUE, EXACT('輸入工具 (白話字)'!G12, 台羅韻母表[白話字]), 0)), ""), "")</f>
        <v/>
      </c>
      <c r="L12" s="199" t="str" cm="1">
        <f t="array" ref="L12" xml:space="preserve"> IF(H12&lt;&gt;"", INDEX(聲調對照表[IPA上標調號], MATCH(TRUE, EXACT('輸入工具 (白話字)'!H12, 聲調對照表[台羅調號]), 0)), "")</f>
        <v/>
      </c>
    </row>
    <row r="13" spans="2:14" ht="29.25">
      <c r="B13" s="217">
        <f t="shared" si="3"/>
        <v>9</v>
      </c>
      <c r="C13" s="19" t="s">
        <v>1283</v>
      </c>
      <c r="D13" s="202" t="s">
        <v>2576</v>
      </c>
      <c r="E13" s="201" t="str">
        <f t="shared" si="0"/>
        <v>it̚⁴</v>
      </c>
      <c r="F13" s="199"/>
      <c r="G13" s="199" t="str">
        <f t="shared" si="4"/>
        <v>it</v>
      </c>
      <c r="H13" s="200" t="str">
        <f t="shared" si="2"/>
        <v>4</v>
      </c>
      <c r="I13" s="199"/>
      <c r="J13" s="199" t="str" cm="1">
        <f t="array" ref="J13" xml:space="preserve"> IFERROR( IF(F13&lt;&gt;"", INDEX(聲母對照表[國際音標], MATCH(TRUE, EXACT('輸入工具 (白話字)'!F13, 聲母對照表[白話字]), 0)), ""), "")</f>
        <v/>
      </c>
      <c r="K13" s="199" t="str" cm="1">
        <f t="array" ref="K13">IFERROR( IF(G13&lt;&gt;"", INDEX(台羅韻母表[國際音標], MATCH(TRUE, EXACT('輸入工具 (白話字)'!G13, 台羅韻母表[白話字]), 0)), ""), "")</f>
        <v>it̚</v>
      </c>
      <c r="L13" s="199" t="str" cm="1">
        <f t="array" ref="L13" xml:space="preserve"> IF(H13&lt;&gt;"", INDEX(聲調對照表[IPA上標調號], MATCH(TRUE, EXACT('輸入工具 (白話字)'!H13, 聲調對照表[台羅調號]), 0)), "")</f>
        <v>⁴</v>
      </c>
    </row>
    <row r="14" spans="2:14" ht="29.25">
      <c r="B14" s="217">
        <f t="shared" si="3"/>
        <v>10</v>
      </c>
      <c r="C14" s="19" t="s">
        <v>2531</v>
      </c>
      <c r="D14" s="202" t="s">
        <v>2604</v>
      </c>
      <c r="E14" s="201" t="str">
        <f t="shared" si="0"/>
        <v>pʰɪan³</v>
      </c>
      <c r="F14" s="199" t="s">
        <v>2590</v>
      </c>
      <c r="G14" s="199" t="str">
        <f t="shared" si="4"/>
        <v>ian</v>
      </c>
      <c r="H14" s="200" t="str">
        <f t="shared" si="2"/>
        <v>3</v>
      </c>
      <c r="I14" s="199"/>
      <c r="J14" s="199" t="str" cm="1">
        <f t="array" ref="J14" xml:space="preserve"> IFERROR( IF(F14&lt;&gt;"", INDEX(聲母對照表[國際音標], MATCH(TRUE, EXACT('輸入工具 (白話字)'!F14, 聲母對照表[白話字]), 0)), ""), "")</f>
        <v>pʰ</v>
      </c>
      <c r="K14" s="199" t="str" cm="1">
        <f t="array" ref="K14">IFERROR( IF(G14&lt;&gt;"", INDEX(台羅韻母表[國際音標], MATCH(TRUE, EXACT('輸入工具 (白話字)'!G14, 台羅韻母表[白話字]), 0)), ""), "")</f>
        <v>ɪan</v>
      </c>
      <c r="L14" s="199" t="str" cm="1">
        <f t="array" ref="L14" xml:space="preserve"> IF(H14&lt;&gt;"", INDEX(聲調對照表[IPA上標調號], MATCH(TRUE, EXACT('輸入工具 (白話字)'!H14, 聲調對照表[台羅調號]), 0)), "")</f>
        <v>³</v>
      </c>
    </row>
    <row r="15" spans="2:14" ht="29.25">
      <c r="B15" s="217">
        <f t="shared" si="3"/>
        <v>11</v>
      </c>
      <c r="C15" s="19" t="s">
        <v>2532</v>
      </c>
      <c r="D15" s="202" t="str">
        <f xml:space="preserve"> _xlfn.CONCAT("k", N15, "1")</f>
        <v>ko͘1</v>
      </c>
      <c r="E15" s="201" t="str">
        <f t="shared" si="0"/>
        <v>ɡɔ¹</v>
      </c>
      <c r="F15" s="199" t="s">
        <v>2305</v>
      </c>
      <c r="G15" s="199" t="str">
        <f t="shared" si="4"/>
        <v>o͘</v>
      </c>
      <c r="H15" s="200" t="str">
        <f t="shared" si="2"/>
        <v>1</v>
      </c>
      <c r="I15" s="199"/>
      <c r="J15" s="199" t="str" cm="1">
        <f t="array" ref="J15" xml:space="preserve"> IFERROR( IF(F15&lt;&gt;"", INDEX(聲母對照表[國際音標], MATCH(TRUE, EXACT('輸入工具 (白話字)'!F15, 聲母對照表[白話字]), 0)), ""), "")</f>
        <v>ɡ</v>
      </c>
      <c r="K15" s="199" t="str" cm="1">
        <f t="array" ref="K15">IFERROR( IF(G15&lt;&gt;"", INDEX(台羅韻母表[國際音標], MATCH(TRUE, EXACT('輸入工具 (白話字)'!G15, 台羅韻母表[白話字]), 0)), ""), "")</f>
        <v>ɔ</v>
      </c>
      <c r="L15" s="199" t="str" cm="1">
        <f t="array" ref="L15" xml:space="preserve"> IF(H15&lt;&gt;"", INDEX(聲調對照表[IPA上標調號], MATCH(TRUE, EXACT('輸入工具 (白話字)'!H15, 聲調對照表[台羅調號]), 0)), "")</f>
        <v>¹</v>
      </c>
      <c r="N15" t="s">
        <v>2615</v>
      </c>
    </row>
    <row r="16" spans="2:14" ht="29.25">
      <c r="B16" s="217">
        <f t="shared" si="3"/>
        <v>12</v>
      </c>
      <c r="C16" s="19" t="s">
        <v>2533</v>
      </c>
      <c r="D16" s="202" t="s">
        <v>2611</v>
      </c>
      <c r="E16" s="201" t="str">
        <f t="shared" si="0"/>
        <v>siŋ⁵</v>
      </c>
      <c r="F16" s="199" t="s">
        <v>2311</v>
      </c>
      <c r="G16" s="199" t="str">
        <f t="shared" si="4"/>
        <v>eng</v>
      </c>
      <c r="H16" s="200" t="str">
        <f t="shared" si="2"/>
        <v>5</v>
      </c>
      <c r="I16" s="199"/>
      <c r="J16" s="199" t="str" cm="1">
        <f t="array" ref="J16" xml:space="preserve"> IFERROR( IF(F16&lt;&gt;"", INDEX(聲母對照表[國際音標], MATCH(TRUE, EXACT('輸入工具 (白話字)'!F16, 聲母對照表[白話字]), 0)), ""), "")</f>
        <v>s</v>
      </c>
      <c r="K16" s="199" t="str" cm="1">
        <f t="array" ref="K16">IFERROR( IF(G16&lt;&gt;"", INDEX(台羅韻母表[國際音標], MATCH(TRUE, EXACT('輸入工具 (白話字)'!G16, 台羅韻母表[白話字]), 0)), ""), "")</f>
        <v>iŋ</v>
      </c>
      <c r="L16" s="199" t="str" cm="1">
        <f t="array" ref="L16" xml:space="preserve"> IF(H16&lt;&gt;"", INDEX(聲調對照表[IPA上標調號], MATCH(TRUE, EXACT('輸入工具 (白話字)'!H16, 聲調對照表[台羅調號]), 0)), "")</f>
        <v>⁵</v>
      </c>
    </row>
    <row r="17" spans="2:12" ht="29.25">
      <c r="B17" s="217">
        <f t="shared" si="3"/>
        <v>13</v>
      </c>
      <c r="C17" s="19" t="s">
        <v>2534</v>
      </c>
      <c r="D17" s="202" t="s">
        <v>2605</v>
      </c>
      <c r="E17" s="201" t="str">
        <f t="shared" si="0"/>
        <v>ban⁷</v>
      </c>
      <c r="F17" s="199" t="s">
        <v>2298</v>
      </c>
      <c r="G17" s="199" t="str">
        <f t="shared" si="4"/>
        <v>an</v>
      </c>
      <c r="H17" s="200" t="str">
        <f t="shared" si="2"/>
        <v>7</v>
      </c>
      <c r="I17" s="199"/>
      <c r="J17" s="199" t="str" cm="1">
        <f t="array" ref="J17" xml:space="preserve"> IFERROR( IF(F17&lt;&gt;"", INDEX(聲母對照表[國際音標], MATCH(TRUE, EXACT('輸入工具 (白話字)'!F17, 聲母對照表[白話字]), 0)), ""), "")</f>
        <v>b</v>
      </c>
      <c r="K17" s="199" t="str" cm="1">
        <f t="array" ref="K17">IFERROR( IF(G17&lt;&gt;"", INDEX(台羅韻母表[國際音標], MATCH(TRUE, EXACT('輸入工具 (白話字)'!G17, 台羅韻母表[白話字]), 0)), ""), "")</f>
        <v>an</v>
      </c>
      <c r="L17" s="199" t="str" cm="1">
        <f t="array" ref="L17" xml:space="preserve"> IF(H17&lt;&gt;"", INDEX(聲調對照表[IPA上標調號], MATCH(TRUE, EXACT('輸入工具 (白話字)'!H17, 聲調對照表[台羅調號]), 0)), "")</f>
        <v>⁷</v>
      </c>
    </row>
    <row r="18" spans="2:12" ht="29.25">
      <c r="B18" s="217">
        <f t="shared" si="3"/>
        <v>14</v>
      </c>
      <c r="C18" s="19" t="s">
        <v>2511</v>
      </c>
      <c r="D18" s="202" t="s">
        <v>2592</v>
      </c>
      <c r="E18" s="201" t="str">
        <f t="shared" si="0"/>
        <v>ʣim⁷</v>
      </c>
      <c r="F18" s="199" t="s">
        <v>2506</v>
      </c>
      <c r="G18" s="199" t="str">
        <f t="shared" si="4"/>
        <v>im</v>
      </c>
      <c r="H18" s="200" t="str">
        <f t="shared" si="2"/>
        <v>7</v>
      </c>
      <c r="I18" s="199"/>
      <c r="J18" s="199" t="str" cm="1">
        <f t="array" ref="J18" xml:space="preserve"> IFERROR( IF(F18&lt;&gt;"", INDEX(聲母對照表[國際音標], MATCH(TRUE, EXACT('輸入工具 (白話字)'!F18, 聲母對照表[白話字]), 0)), ""), "")</f>
        <v>ʣ</v>
      </c>
      <c r="K18" s="199" t="str" cm="1">
        <f t="array" ref="K18">IFERROR( IF(G18&lt;&gt;"", INDEX(台羅韻母表[國際音標], MATCH(TRUE, EXACT('輸入工具 (白話字)'!G18, 台羅韻母表[白話字]), 0)), ""), "")</f>
        <v>im</v>
      </c>
      <c r="L18" s="199" t="str" cm="1">
        <f t="array" ref="L18" xml:space="preserve"> IF(H18&lt;&gt;"", INDEX(聲調對照表[IPA上標調號], MATCH(TRUE, EXACT('輸入工具 (白話字)'!H18, 聲調對照表[台羅調號]), 0)), "")</f>
        <v>⁷</v>
      </c>
    </row>
    <row r="19" spans="2:12" ht="29.25">
      <c r="B19" s="217">
        <f t="shared" si="3"/>
        <v>15</v>
      </c>
      <c r="C19" s="19" t="s">
        <v>2535</v>
      </c>
      <c r="D19" s="202" t="s">
        <v>2561</v>
      </c>
      <c r="E19" s="201" t="str">
        <f t="shared" si="0"/>
        <v>san¹</v>
      </c>
      <c r="F19" s="199" t="s">
        <v>2311</v>
      </c>
      <c r="G19" s="199" t="str">
        <f t="shared" si="4"/>
        <v>an</v>
      </c>
      <c r="H19" s="200" t="str">
        <f t="shared" si="2"/>
        <v>1</v>
      </c>
      <c r="I19" s="199"/>
      <c r="J19" s="199" t="str" cm="1">
        <f t="array" ref="J19" xml:space="preserve"> IFERROR( IF(F19&lt;&gt;"", INDEX(聲母對照表[國際音標], MATCH(TRUE, EXACT('輸入工具 (白話字)'!F19, 聲母對照表[白話字]), 0)), ""), "")</f>
        <v>s</v>
      </c>
      <c r="K19" s="199" t="str" cm="1">
        <f t="array" ref="K19">IFERROR( IF(G19&lt;&gt;"", INDEX(台羅韻母表[國際音標], MATCH(TRUE, EXACT('輸入工具 (白話字)'!G19, 台羅韻母表[白話字]), 0)), ""), "")</f>
        <v>an</v>
      </c>
      <c r="L19" s="199" t="str" cm="1">
        <f t="array" ref="L19" xml:space="preserve"> IF(H19&lt;&gt;"", INDEX(聲調對照表[IPA上標調號], MATCH(TRUE, EXACT('輸入工具 (白話字)'!H19, 聲調對照表[台羅調號]), 0)), "")</f>
        <v>¹</v>
      </c>
    </row>
    <row r="20" spans="2:12" ht="29.25">
      <c r="B20" s="217">
        <f t="shared" si="3"/>
        <v>16</v>
      </c>
      <c r="C20" s="19" t="s">
        <v>2536</v>
      </c>
      <c r="D20" s="202"/>
      <c r="E20" s="201" t="str">
        <f t="shared" si="0"/>
        <v/>
      </c>
      <c r="F20" s="199"/>
      <c r="G20" s="199" t="str">
        <f t="shared" si="4"/>
        <v/>
      </c>
      <c r="H20" s="200" t="str">
        <f t="shared" si="2"/>
        <v/>
      </c>
      <c r="I20" s="199"/>
      <c r="J20" s="199" t="str" cm="1">
        <f t="array" ref="J20" xml:space="preserve"> IFERROR( IF(F20&lt;&gt;"", INDEX(聲母對照表[國際音標], MATCH(TRUE, EXACT('輸入工具 (白話字)'!F20, 聲母對照表[白話字]), 0)), ""), "")</f>
        <v/>
      </c>
      <c r="K20" s="199" t="str" cm="1">
        <f t="array" ref="K20">IFERROR( IF(G20&lt;&gt;"", INDEX(台羅韻母表[國際音標], MATCH(TRUE, EXACT('輸入工具 (白話字)'!G20, 台羅韻母表[白話字]), 0)), ""), "")</f>
        <v/>
      </c>
      <c r="L20" s="199" t="str" cm="1">
        <f t="array" ref="L20" xml:space="preserve"> IF(H20&lt;&gt;"", INDEX(聲調對照表[IPA上標調號], MATCH(TRUE, EXACT('輸入工具 (白話字)'!H20, 聲調對照表[台羅調號]), 0)), "")</f>
        <v/>
      </c>
    </row>
    <row r="21" spans="2:12" ht="29.25">
      <c r="B21" s="217">
        <f t="shared" si="3"/>
        <v>17</v>
      </c>
      <c r="C21" s="19" t="s">
        <v>2512</v>
      </c>
      <c r="D21" s="202" t="s">
        <v>2613</v>
      </c>
      <c r="E21" s="201" t="str">
        <f t="shared" si="0"/>
        <v>kɪũ¹</v>
      </c>
      <c r="F21" s="199" t="s">
        <v>2306</v>
      </c>
      <c r="G21" s="199" t="str">
        <f t="shared" si="4"/>
        <v>iuⁿ</v>
      </c>
      <c r="H21" s="200" t="str">
        <f t="shared" si="2"/>
        <v>1</v>
      </c>
      <c r="I21" s="199"/>
      <c r="J21" s="199" t="str" cm="1">
        <f t="array" ref="J21" xml:space="preserve"> IFERROR( IF(F21&lt;&gt;"", INDEX(聲母對照表[國際音標], MATCH(TRUE, EXACT('輸入工具 (白話字)'!F21, 聲母對照表[白話字]), 0)), ""), "")</f>
        <v>k</v>
      </c>
      <c r="K21" s="199" t="str" cm="1">
        <f t="array" ref="K21">IFERROR( IF(G21&lt;&gt;"", INDEX(台羅韻母表[國際音標], MATCH(TRUE, EXACT('輸入工具 (白話字)'!G21, 台羅韻母表[白話字]), 0)), ""), "")</f>
        <v>ɪũ</v>
      </c>
      <c r="L21" s="199" t="str" cm="1">
        <f t="array" ref="L21" xml:space="preserve"> IF(H21&lt;&gt;"", INDEX(聲調對照表[IPA上標調號], MATCH(TRUE, EXACT('輸入工具 (白話字)'!H21, 聲調對照表[台羅調號]), 0)), "")</f>
        <v>¹</v>
      </c>
    </row>
    <row r="22" spans="2:12" ht="29.25">
      <c r="B22" s="217">
        <f t="shared" si="3"/>
        <v>18</v>
      </c>
      <c r="C22" s="19" t="s">
        <v>2538</v>
      </c>
      <c r="D22" s="202" t="s">
        <v>2616</v>
      </c>
      <c r="E22" s="201" t="str">
        <f t="shared" si="0"/>
        <v>tik̚⁸</v>
      </c>
      <c r="F22" s="199" t="s">
        <v>2302</v>
      </c>
      <c r="G22" s="199" t="str">
        <f t="shared" si="4"/>
        <v>ek</v>
      </c>
      <c r="H22" s="200" t="str">
        <f t="shared" si="2"/>
        <v>8</v>
      </c>
      <c r="I22" s="199"/>
      <c r="J22" s="199" t="str" cm="1">
        <f t="array" ref="J22" xml:space="preserve"> IFERROR( IF(F22&lt;&gt;"", INDEX(聲母對照表[國際音標], MATCH(TRUE, EXACT('輸入工具 (白話字)'!F22, 聲母對照表[白話字]), 0)), ""), "")</f>
        <v>t</v>
      </c>
      <c r="K22" s="199" t="str" cm="1">
        <f t="array" ref="K22">IFERROR( IF(G22&lt;&gt;"", INDEX(台羅韻母表[國際音標], MATCH(TRUE, EXACT('輸入工具 (白話字)'!G22, 台羅韻母表[白話字]), 0)), ""), "")</f>
        <v>ik̚</v>
      </c>
      <c r="L22" s="199" t="str" cm="1">
        <f t="array" ref="L22" xml:space="preserve"> IF(H22&lt;&gt;"", INDEX(聲調對照表[IPA上標調號], MATCH(TRUE, EXACT('輸入工具 (白話字)'!H22, 聲調對照表[台羅調號]), 0)), "")</f>
        <v>⁸</v>
      </c>
    </row>
    <row r="23" spans="2:12" ht="29.25">
      <c r="B23" s="217">
        <f t="shared" si="3"/>
        <v>19</v>
      </c>
      <c r="C23" s="19" t="s">
        <v>2539</v>
      </c>
      <c r="D23" s="202" t="s">
        <v>2571</v>
      </c>
      <c r="E23" s="201" t="str">
        <f t="shared" si="0"/>
        <v>hə⁵</v>
      </c>
      <c r="F23" s="199" t="s">
        <v>2308</v>
      </c>
      <c r="G23" s="199" t="str">
        <f t="shared" si="4"/>
        <v>o</v>
      </c>
      <c r="H23" s="200" t="str">
        <f t="shared" si="2"/>
        <v>5</v>
      </c>
      <c r="I23" s="199"/>
      <c r="J23" s="199" t="str" cm="1">
        <f t="array" ref="J23" xml:space="preserve"> IFERROR( IF(F23&lt;&gt;"", INDEX(聲母對照表[國際音標], MATCH(TRUE, EXACT('輸入工具 (白話字)'!F23, 聲母對照表[白話字]), 0)), ""), "")</f>
        <v>h</v>
      </c>
      <c r="K23" s="199" t="str" cm="1">
        <f t="array" ref="K23">IFERROR( IF(G23&lt;&gt;"", INDEX(台羅韻母表[國際音標], MATCH(TRUE, EXACT('輸入工具 (白話字)'!G23, 台羅韻母表[白話字]), 0)), ""), "")</f>
        <v>ə</v>
      </c>
      <c r="L23" s="199" t="str" cm="1">
        <f t="array" ref="L23" xml:space="preserve"> IF(H23&lt;&gt;"", INDEX(聲調對照表[IPA上標調號], MATCH(TRUE, EXACT('輸入工具 (白話字)'!H23, 聲調對照表[台羅調號]), 0)), "")</f>
        <v>⁵</v>
      </c>
    </row>
    <row r="24" spans="2:12" ht="29.25">
      <c r="B24" s="217">
        <f t="shared" si="3"/>
        <v>20</v>
      </c>
      <c r="C24" s="19" t="s">
        <v>2540</v>
      </c>
      <c r="D24" s="202" t="s">
        <v>2563</v>
      </c>
      <c r="E24" s="201" t="str">
        <f t="shared" si="0"/>
        <v>su¹</v>
      </c>
      <c r="F24" s="199" t="s">
        <v>2311</v>
      </c>
      <c r="G24" s="199" t="str">
        <f t="shared" si="4"/>
        <v>u</v>
      </c>
      <c r="H24" s="200" t="str">
        <f t="shared" si="2"/>
        <v>1</v>
      </c>
      <c r="I24" s="199"/>
      <c r="J24" s="199" t="str" cm="1">
        <f t="array" ref="J24" xml:space="preserve"> IFERROR( IF(F24&lt;&gt;"", INDEX(聲母對照表[國際音標], MATCH(TRUE, EXACT('輸入工具 (白話字)'!F24, 聲母對照表[白話字]), 0)), ""), "")</f>
        <v>s</v>
      </c>
      <c r="K24" s="199" t="str" cm="1">
        <f t="array" ref="K24">IFERROR( IF(G24&lt;&gt;"", INDEX(台羅韻母表[國際音標], MATCH(TRUE, EXACT('輸入工具 (白話字)'!G24, 台羅韻母表[白話字]), 0)), ""), "")</f>
        <v>u</v>
      </c>
      <c r="L24" s="199" t="str" cm="1">
        <f t="array" ref="L24" xml:space="preserve"> IF(H24&lt;&gt;"", INDEX(聲調對照表[IPA上標調號], MATCH(TRUE, EXACT('輸入工具 (白話字)'!H24, 聲調對照表[台羅調號]), 0)), "")</f>
        <v>¹</v>
      </c>
    </row>
    <row r="25" spans="2:12" ht="29.25">
      <c r="B25" s="217">
        <f t="shared" si="3"/>
        <v>21</v>
      </c>
      <c r="C25" s="19" t="s">
        <v>2541</v>
      </c>
      <c r="D25" s="202" t="s">
        <v>2606</v>
      </c>
      <c r="E25" s="201" t="str">
        <f t="shared" si="0"/>
        <v>uan³</v>
      </c>
      <c r="F25" s="199"/>
      <c r="G25" s="199" t="s">
        <v>2617</v>
      </c>
      <c r="H25" s="200" t="str">
        <f t="shared" si="2"/>
        <v>3</v>
      </c>
      <c r="I25" s="199"/>
      <c r="J25" s="199" t="str" cm="1">
        <f t="array" ref="J25" xml:space="preserve"> IFERROR( IF(F25&lt;&gt;"", INDEX(聲母對照表[國際音標], MATCH(TRUE, EXACT('輸入工具 (白話字)'!F25, 聲母對照表[白話字]), 0)), ""), "")</f>
        <v/>
      </c>
      <c r="K25" s="199" t="str" cm="1">
        <f t="array" ref="K25">IFERROR( IF(G25&lt;&gt;"", INDEX(台羅韻母表[國際音標], MATCH(TRUE, EXACT('輸入工具 (白話字)'!G25, 台羅韻母表[白話字]), 0)), ""), "")</f>
        <v>uan</v>
      </c>
      <c r="L25" s="199" t="str" cm="1">
        <f t="array" ref="L25" xml:space="preserve"> IF(H25&lt;&gt;"", INDEX(聲調對照表[IPA上標調號], MATCH(TRUE, EXACT('輸入工具 (白話字)'!H25, 聲調對照表[台羅調號]), 0)), "")</f>
        <v>³</v>
      </c>
    </row>
    <row r="26" spans="2:12" ht="29.25">
      <c r="B26" s="217">
        <f t="shared" si="3"/>
        <v>22</v>
      </c>
      <c r="C26" s="19" t="s">
        <v>2516</v>
      </c>
      <c r="D26" s="202" t="s">
        <v>2614</v>
      </c>
      <c r="E26" s="201" t="str">
        <f t="shared" si="0"/>
        <v>ɪũ⁵</v>
      </c>
      <c r="F26" s="199"/>
      <c r="G26" s="199" t="str">
        <f t="shared" si="4"/>
        <v>iuⁿ</v>
      </c>
      <c r="H26" s="200" t="str">
        <f t="shared" si="2"/>
        <v>5</v>
      </c>
      <c r="I26" s="199"/>
      <c r="J26" s="199" t="str" cm="1">
        <f t="array" ref="J26" xml:space="preserve"> IFERROR( IF(F26&lt;&gt;"", INDEX(聲母對照表[國際音標], MATCH(TRUE, EXACT('輸入工具 (白話字)'!F26, 聲母對照表[白話字]), 0)), ""), "")</f>
        <v/>
      </c>
      <c r="K26" s="199" t="str" cm="1">
        <f t="array" ref="K26">IFERROR( IF(G26&lt;&gt;"", INDEX(台羅韻母表[國際音標], MATCH(TRUE, EXACT('輸入工具 (白話字)'!G26, 台羅韻母表[白話字]), 0)), ""), "")</f>
        <v>ɪũ</v>
      </c>
      <c r="L26" s="199" t="str" cm="1">
        <f t="array" ref="L26" xml:space="preserve"> IF(H26&lt;&gt;"", INDEX(聲調對照表[IPA上標調號], MATCH(TRUE, EXACT('輸入工具 (白話字)'!H26, 聲調對照表[台羅調號]), 0)), "")</f>
        <v>⁵</v>
      </c>
    </row>
    <row r="27" spans="2:12" ht="29.25">
      <c r="B27" s="217">
        <f t="shared" si="3"/>
        <v>23</v>
      </c>
      <c r="C27" s="19" t="s">
        <v>2517</v>
      </c>
      <c r="D27" s="202" t="s">
        <v>2583</v>
      </c>
      <c r="E27" s="201" t="str">
        <f t="shared" si="0"/>
        <v>lɪu²</v>
      </c>
      <c r="F27" s="199" t="s">
        <v>2304</v>
      </c>
      <c r="G27" s="199" t="str">
        <f t="shared" si="4"/>
        <v>iu</v>
      </c>
      <c r="H27" s="200" t="str">
        <f t="shared" si="2"/>
        <v>2</v>
      </c>
      <c r="I27" s="199"/>
      <c r="J27" s="199" t="str" cm="1">
        <f t="array" ref="J27" xml:space="preserve"> IFERROR( IF(F27&lt;&gt;"", INDEX(聲母對照表[國際音標], MATCH(TRUE, EXACT('輸入工具 (白話字)'!F27, 聲母對照表[白話字]), 0)), ""), "")</f>
        <v>l</v>
      </c>
      <c r="K27" s="199" t="str" cm="1">
        <f t="array" ref="K27">IFERROR( IF(G27&lt;&gt;"", INDEX(台羅韻母表[國際音標], MATCH(TRUE, EXACT('輸入工具 (白話字)'!G27, 台羅韻母表[白話字]), 0)), ""), "")</f>
        <v>ɪu</v>
      </c>
      <c r="L27" s="199" t="str" cm="1">
        <f t="array" ref="L27" xml:space="preserve"> IF(H27&lt;&gt;"", INDEX(聲調對照表[IPA上標調號], MATCH(TRUE, EXACT('輸入工具 (白話字)'!H27, 聲調對照表[台羅調號]), 0)), "")</f>
        <v>²</v>
      </c>
    </row>
    <row r="28" spans="2:12" ht="29.25">
      <c r="B28" s="217">
        <f t="shared" si="3"/>
        <v>24</v>
      </c>
      <c r="C28" s="19" t="s">
        <v>2537</v>
      </c>
      <c r="D28" s="202"/>
      <c r="E28" s="201" t="str">
        <f t="shared" si="0"/>
        <v/>
      </c>
      <c r="F28" s="199"/>
      <c r="G28" s="199" t="str">
        <f t="shared" si="4"/>
        <v/>
      </c>
      <c r="H28" s="200" t="str">
        <f t="shared" si="2"/>
        <v/>
      </c>
      <c r="I28" s="199"/>
      <c r="J28" s="199" t="str" cm="1">
        <f t="array" ref="J28" xml:space="preserve"> IFERROR( IF(F28&lt;&gt;"", INDEX(聲母對照表[國際音標], MATCH(TRUE, EXACT('輸入工具 (白話字)'!F28, 聲母對照表[白話字]), 0)), ""), "")</f>
        <v/>
      </c>
      <c r="K28" s="199" t="str" cm="1">
        <f t="array" ref="K28">IFERROR( IF(G28&lt;&gt;"", INDEX(台羅韻母表[國際音標], MATCH(TRUE, EXACT('輸入工具 (白話字)'!G28, 台羅韻母表[白話字]), 0)), ""), "")</f>
        <v/>
      </c>
      <c r="L28" s="199" t="str" cm="1">
        <f t="array" ref="L28" xml:space="preserve"> IF(H28&lt;&gt;"", INDEX(聲調對照表[IPA上標調號], MATCH(TRUE, EXACT('輸入工具 (白話字)'!H28, 聲調對照表[台羅調號]), 0)), "")</f>
        <v/>
      </c>
    </row>
    <row r="29" spans="2:12" ht="29.25">
      <c r="B29" s="217">
        <f t="shared" si="3"/>
        <v>25</v>
      </c>
      <c r="C29" s="19" t="s">
        <v>2542</v>
      </c>
      <c r="D29" s="202" t="s">
        <v>2618</v>
      </c>
      <c r="E29" s="201" t="str">
        <f t="shared" si="0"/>
        <v>ʦʰun¹</v>
      </c>
      <c r="F29" s="199" t="s">
        <v>2619</v>
      </c>
      <c r="G29" s="199" t="str">
        <f t="shared" si="4"/>
        <v>un</v>
      </c>
      <c r="H29" s="200" t="str">
        <f t="shared" si="2"/>
        <v>1</v>
      </c>
      <c r="I29" s="199"/>
      <c r="J29" s="199" t="str" cm="1">
        <f t="array" ref="J29" xml:space="preserve"> IFERROR( IF(F29&lt;&gt;"", INDEX(聲母對照表[國際音標], MATCH(TRUE, EXACT('輸入工具 (白話字)'!F29, 聲母對照表[白話字]), 0)), ""), "")</f>
        <v>ʦʰ</v>
      </c>
      <c r="K29" s="199" t="str" cm="1">
        <f t="array" ref="K29">IFERROR( IF(G29&lt;&gt;"", INDEX(台羅韻母表[國際音標], MATCH(TRUE, EXACT('輸入工具 (白話字)'!G29, 台羅韻母表[白話字]), 0)), ""), "")</f>
        <v>un</v>
      </c>
      <c r="L29" s="199" t="str" cm="1">
        <f t="array" ref="L29" xml:space="preserve"> IF(H29&lt;&gt;"", INDEX(聲調對照表[IPA上標調號], MATCH(TRUE, EXACT('輸入工具 (白話字)'!H29, 聲調對照表[台羅調號]), 0)), "")</f>
        <v>¹</v>
      </c>
    </row>
    <row r="30" spans="2:12" ht="29.25">
      <c r="B30" s="217">
        <f t="shared" si="3"/>
        <v>26</v>
      </c>
      <c r="C30" s="19" t="s">
        <v>2543</v>
      </c>
      <c r="D30" s="202" t="s">
        <v>2565</v>
      </c>
      <c r="E30" s="201" t="str">
        <f t="shared" si="0"/>
        <v>hɔŋ¹</v>
      </c>
      <c r="F30" s="199" t="s">
        <v>2308</v>
      </c>
      <c r="G30" s="199" t="str">
        <f t="shared" si="4"/>
        <v>ong</v>
      </c>
      <c r="H30" s="200" t="str">
        <f t="shared" si="2"/>
        <v>1</v>
      </c>
      <c r="I30" s="199"/>
      <c r="J30" s="199" t="str" cm="1">
        <f t="array" ref="J30" xml:space="preserve"> IFERROR( IF(F30&lt;&gt;"", INDEX(聲母對照表[國際音標], MATCH(TRUE, EXACT('輸入工具 (白話字)'!F30, 聲母對照表[白話字]), 0)), ""), "")</f>
        <v>h</v>
      </c>
      <c r="K30" s="199" t="str" cm="1">
        <f t="array" ref="K30">IFERROR( IF(G30&lt;&gt;"", INDEX(台羅韻母表[國際音標], MATCH(TRUE, EXACT('輸入工具 (白話字)'!G30, 台羅韻母表[白話字]), 0)), ""), "")</f>
        <v>ɔŋ</v>
      </c>
      <c r="L30" s="199" t="str" cm="1">
        <f t="array" ref="L30" xml:space="preserve"> IF(H30&lt;&gt;"", INDEX(聲調對照表[IPA上標調號], MATCH(TRUE, EXACT('輸入工具 (白話字)'!H30, 聲調對照表[台羅調號]), 0)), "")</f>
        <v>¹</v>
      </c>
    </row>
    <row r="31" spans="2:12" ht="29.25">
      <c r="B31" s="217">
        <f t="shared" si="3"/>
        <v>27</v>
      </c>
      <c r="C31" s="19" t="s">
        <v>2544</v>
      </c>
      <c r="D31" s="202" t="s">
        <v>2597</v>
      </c>
      <c r="E31" s="201" t="str">
        <f t="shared" si="0"/>
        <v>put̚⁴</v>
      </c>
      <c r="F31" s="199" t="s">
        <v>2299</v>
      </c>
      <c r="G31" s="199" t="str">
        <f t="shared" si="4"/>
        <v>ut</v>
      </c>
      <c r="H31" s="200" t="str">
        <f t="shared" si="2"/>
        <v>4</v>
      </c>
      <c r="I31" s="199"/>
      <c r="J31" s="199" t="str" cm="1">
        <f t="array" ref="J31" xml:space="preserve"> IFERROR( IF(F31&lt;&gt;"", INDEX(聲母對照表[國際音標], MATCH(TRUE, EXACT('輸入工具 (白話字)'!F31, 聲母對照表[白話字]), 0)), ""), "")</f>
        <v>p</v>
      </c>
      <c r="K31" s="199" t="str" cm="1">
        <f t="array" ref="K31">IFERROR( IF(G31&lt;&gt;"", INDEX(台羅韻母表[國際音標], MATCH(TRUE, EXACT('輸入工具 (白話字)'!G31, 台羅韻母表[白話字]), 0)), ""), "")</f>
        <v>ut̚</v>
      </c>
      <c r="L31" s="199" t="str" cm="1">
        <f t="array" ref="L31" xml:space="preserve"> IF(H31&lt;&gt;"", INDEX(聲調對照表[IPA上標調號], MATCH(TRUE, EXACT('輸入工具 (白話字)'!H31, 聲調對照表[台羅調號]), 0)), "")</f>
        <v>⁴</v>
      </c>
    </row>
    <row r="32" spans="2:12" ht="29.25">
      <c r="B32" s="217">
        <f t="shared" si="3"/>
        <v>28</v>
      </c>
      <c r="C32" s="19" t="s">
        <v>2545</v>
      </c>
      <c r="D32" s="202" t="str">
        <f xml:space="preserve"> _xlfn.CONCAT("t", N15, 7)</f>
        <v>to͘7</v>
      </c>
      <c r="E32" s="201" t="str">
        <f t="shared" si="0"/>
        <v>tɔ⁷</v>
      </c>
      <c r="F32" s="199" t="s">
        <v>2302</v>
      </c>
      <c r="G32" s="199" t="str">
        <f t="shared" si="4"/>
        <v>o͘</v>
      </c>
      <c r="H32" s="200" t="str">
        <f t="shared" si="2"/>
        <v>7</v>
      </c>
      <c r="I32" s="199"/>
      <c r="J32" s="199" t="str" cm="1">
        <f t="array" ref="J32" xml:space="preserve"> IFERROR( IF(F32&lt;&gt;"", INDEX(聲母對照表[國際音標], MATCH(TRUE, EXACT('輸入工具 (白話字)'!F32, 聲母對照表[白話字]), 0)), ""), "")</f>
        <v>t</v>
      </c>
      <c r="K32" s="199" t="str" cm="1">
        <f t="array" ref="K32">IFERROR( IF(G32&lt;&gt;"", INDEX(台羅韻母表[國際音標], MATCH(TRUE, EXACT('輸入工具 (白話字)'!G32, 台羅韻母表[白話字]), 0)), ""), "")</f>
        <v>ɔ</v>
      </c>
      <c r="L32" s="199" t="str" cm="1">
        <f t="array" ref="L32" xml:space="preserve"> IF(H32&lt;&gt;"", INDEX(聲調對照表[IPA上標調號], MATCH(TRUE, EXACT('輸入工具 (白話字)'!H32, 聲調對照表[台羅調號]), 0)), "")</f>
        <v>⁷</v>
      </c>
    </row>
    <row r="33" spans="1:12" ht="29.25">
      <c r="B33" s="217">
        <f t="shared" si="3"/>
        <v>29</v>
      </c>
      <c r="C33" s="19" t="s">
        <v>2546</v>
      </c>
      <c r="D33" s="202" t="s">
        <v>2599</v>
      </c>
      <c r="E33" s="201" t="str">
        <f t="shared" si="0"/>
        <v>ɡɪɔk̚⁸</v>
      </c>
      <c r="F33" s="199" t="s">
        <v>2305</v>
      </c>
      <c r="G33" s="199" t="str">
        <f t="shared" si="4"/>
        <v>iok</v>
      </c>
      <c r="H33" s="200" t="str">
        <f t="shared" si="2"/>
        <v>8</v>
      </c>
      <c r="I33" s="199"/>
      <c r="J33" s="199" t="str" cm="1">
        <f t="array" ref="J33" xml:space="preserve"> IFERROR( IF(F33&lt;&gt;"", INDEX(聲母對照表[國際音標], MATCH(TRUE, EXACT('輸入工具 (白話字)'!F33, 聲母對照表[白話字]), 0)), ""), "")</f>
        <v>ɡ</v>
      </c>
      <c r="K33" s="199" t="str" cm="1">
        <f t="array" ref="K33">IFERROR( IF(G33&lt;&gt;"", INDEX(台羅韻母表[國際音標], MATCH(TRUE, EXACT('輸入工具 (白話字)'!G33, 台羅韻母表[白話字]), 0)), ""), "")</f>
        <v>ɪɔk̚</v>
      </c>
      <c r="L33" s="199" t="str" cm="1">
        <f t="array" ref="L33" xml:space="preserve"> IF(H33&lt;&gt;"", INDEX(聲調對照表[IPA上標調號], MATCH(TRUE, EXACT('輸入工具 (白話字)'!H33, 聲調對照表[台羅調號]), 0)), "")</f>
        <v>⁸</v>
      </c>
    </row>
    <row r="34" spans="1:12" ht="29.25">
      <c r="B34" s="217">
        <f t="shared" si="3"/>
        <v>30</v>
      </c>
      <c r="C34" s="19" t="s">
        <v>2510</v>
      </c>
      <c r="D34" s="202" t="s">
        <v>2620</v>
      </c>
      <c r="E34" s="201" t="str">
        <f t="shared" si="0"/>
        <v>mŋ̍⁵</v>
      </c>
      <c r="F34" s="199" t="s">
        <v>1303</v>
      </c>
      <c r="G34" s="199" t="str">
        <f t="shared" si="4"/>
        <v>ng</v>
      </c>
      <c r="H34" s="200" t="str">
        <f t="shared" si="2"/>
        <v>5</v>
      </c>
      <c r="I34" s="199"/>
      <c r="J34" s="199" t="str" cm="1">
        <f t="array" ref="J34" xml:space="preserve"> IFERROR( IF(F34&lt;&gt;"", INDEX(聲母對照表[國際音標], MATCH(TRUE, EXACT('輸入工具 (白話字)'!F34, 聲母對照表[白話字]), 0)), ""), "")</f>
        <v>m</v>
      </c>
      <c r="K34" s="199" t="str" cm="1">
        <f t="array" ref="K34">IFERROR( IF(G34&lt;&gt;"", INDEX(台羅韻母表[國際音標], MATCH(TRUE, EXACT('輸入工具 (白話字)'!G34, 台羅韻母表[白話字]), 0)), ""), "")</f>
        <v>ŋ̍</v>
      </c>
      <c r="L34" s="199" t="str" cm="1">
        <f t="array" ref="L34" xml:space="preserve"> IF(H34&lt;&gt;"", INDEX(聲調對照表[IPA上標調號], MATCH(TRUE, EXACT('輸入工具 (白話字)'!H34, 聲調對照表[台羅調號]), 0)), "")</f>
        <v>⁵</v>
      </c>
    </row>
    <row r="35" spans="1:12" ht="29.25">
      <c r="B35" s="217">
        <f t="shared" si="3"/>
        <v>31</v>
      </c>
      <c r="C35" s="19" t="s">
        <v>2547</v>
      </c>
      <c r="D35" s="202" t="s">
        <v>2621</v>
      </c>
      <c r="E35" s="201" t="str">
        <f t="shared" si="0"/>
        <v>kuan¹</v>
      </c>
      <c r="F35" s="199" t="s">
        <v>2306</v>
      </c>
      <c r="G35" s="199" t="str">
        <f t="shared" si="4"/>
        <v>oan</v>
      </c>
      <c r="H35" s="200" t="str">
        <f t="shared" si="2"/>
        <v>1</v>
      </c>
      <c r="I35" s="199"/>
      <c r="J35" s="199" t="str" cm="1">
        <f t="array" ref="J35" xml:space="preserve"> IFERROR( IF(F35&lt;&gt;"", INDEX(聲母對照表[國際音標], MATCH(TRUE, EXACT('輸入工具 (白話字)'!F35, 聲母對照表[白話字]), 0)), ""), "")</f>
        <v>k</v>
      </c>
      <c r="K35" s="199" t="str" cm="1">
        <f t="array" ref="K35">IFERROR( IF(G35&lt;&gt;"", INDEX(台羅韻母表[國際音標], MATCH(TRUE, EXACT('輸入工具 (白話字)'!G35, 台羅韻母表[白話字]), 0)), ""), "")</f>
        <v>uan</v>
      </c>
      <c r="L35" s="199" t="str" cm="1">
        <f t="array" ref="L35" xml:space="preserve"> IF(H35&lt;&gt;"", INDEX(聲調對照表[IPA上標調號], MATCH(TRUE, EXACT('輸入工具 (白話字)'!H35, 聲調對照表[台羅調號]), 0)), "")</f>
        <v>¹</v>
      </c>
    </row>
    <row r="36" spans="1:12" ht="29.25">
      <c r="B36" s="217">
        <f t="shared" si="3"/>
        <v>32</v>
      </c>
      <c r="C36" s="19" t="s">
        <v>2536</v>
      </c>
      <c r="D36" s="202"/>
      <c r="E36" s="201" t="str">
        <f t="shared" si="0"/>
        <v/>
      </c>
      <c r="F36" s="199"/>
      <c r="G36" s="199" t="str">
        <f t="shared" si="4"/>
        <v/>
      </c>
      <c r="H36" s="200" t="str">
        <f t="shared" si="2"/>
        <v/>
      </c>
      <c r="I36" s="199"/>
      <c r="J36" s="199" t="str" cm="1">
        <f t="array" ref="J36" xml:space="preserve"> IFERROR( IF(F36&lt;&gt;"", INDEX(聲母對照表[國際音標], MATCH(TRUE, EXACT('輸入工具 (白話字)'!F36, 聲母對照表[白話字]), 0)), ""), "")</f>
        <v/>
      </c>
      <c r="K36" s="199" t="str" cm="1">
        <f t="array" ref="K36">IFERROR( IF(G36&lt;&gt;"", INDEX(台羅韻母表[國際音標], MATCH(TRUE, EXACT('輸入工具 (白話字)'!G36, 台羅韻母表[白話字]), 0)), ""), "")</f>
        <v/>
      </c>
      <c r="L36" s="199" t="str" cm="1">
        <f t="array" ref="L36" xml:space="preserve"> IF(H36&lt;&gt;"", INDEX(聲調對照表[閩拼上標調號], MATCH(TRUE, EXACT('輸入工具 (白話字)'!H36, 聲調對照表[閩拼調號]), 0)), "")</f>
        <v/>
      </c>
    </row>
    <row r="39" spans="1:12" ht="29.25">
      <c r="A39" s="200"/>
      <c r="B39" s="200"/>
      <c r="C39" s="200"/>
      <c r="D39" s="200"/>
      <c r="E39" s="200"/>
      <c r="F39" s="200"/>
      <c r="G39" s="200"/>
      <c r="H39" s="200"/>
      <c r="I39" s="199"/>
      <c r="J39" s="199" t="str" cm="1">
        <f t="array" ref="J39" xml:space="preserve"> IF(F39&lt;&gt;"", INDEX(聲母對照表[國際音標], MATCH(TRUE, EXACT('輸入工具 (白話字)'!F39, 聲母對照表[閩拼方案]), 0)), "")</f>
        <v/>
      </c>
      <c r="K39" s="199" t="str" cm="1">
        <f t="array" ref="K39">IF(G39&lt;&gt;"", INDEX(台羅韻母表[國際音標], MATCH(TRUE, EXACT('輸入工具 (白話字)'!G39, 台羅韻母表[閩拼方案]), 0)), "")</f>
        <v/>
      </c>
      <c r="L39" s="199" t="str" cm="1">
        <f t="array" ref="L39" xml:space="preserve"> IF(H39&lt;&gt;"", INDEX(聲調對照表[閩拼上標調號], MATCH(TRUE, EXACT('輸入工具 (白話字)'!H39, 聲調對照表[閩拼調號]), 0)), "")</f>
        <v/>
      </c>
    </row>
  </sheetData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E8012-85E3-4410-BF6F-8322F40DAF24}">
  <dimension ref="A1:P23"/>
  <sheetViews>
    <sheetView workbookViewId="0">
      <pane ySplit="1" topLeftCell="A2" activePane="bottomLeft" state="frozen"/>
      <selection pane="bottomLeft" activeCell="S8" sqref="S8"/>
    </sheetView>
  </sheetViews>
  <sheetFormatPr defaultRowHeight="25.5"/>
  <cols>
    <col min="1" max="1" width="7.33203125" customWidth="1"/>
    <col min="2" max="2" width="6.4140625" customWidth="1"/>
    <col min="3" max="7" width="9.1640625" customWidth="1"/>
    <col min="9" max="10" width="9.1640625" customWidth="1"/>
    <col min="13" max="13" width="23.08203125" bestFit="1" customWidth="1"/>
    <col min="14" max="14" width="3.83203125" customWidth="1"/>
    <col min="15" max="16" width="4.33203125" customWidth="1"/>
  </cols>
  <sheetData>
    <row r="1" spans="1:16">
      <c r="A1" s="195" t="s">
        <v>0</v>
      </c>
      <c r="B1" s="196" t="s">
        <v>895</v>
      </c>
      <c r="C1" s="196" t="s">
        <v>2</v>
      </c>
      <c r="D1" s="196" t="s">
        <v>6</v>
      </c>
      <c r="E1" s="196" t="s">
        <v>5</v>
      </c>
      <c r="F1" s="196" t="s">
        <v>9</v>
      </c>
      <c r="G1" s="196" t="s">
        <v>8</v>
      </c>
      <c r="H1" s="196" t="s">
        <v>7</v>
      </c>
      <c r="I1" s="196" t="s">
        <v>4</v>
      </c>
      <c r="J1" s="196" t="s">
        <v>2220</v>
      </c>
      <c r="K1" s="196" t="s">
        <v>3</v>
      </c>
      <c r="L1" s="196" t="s">
        <v>1</v>
      </c>
      <c r="M1" s="196" t="s">
        <v>513</v>
      </c>
      <c r="N1" s="197" t="s">
        <v>2318</v>
      </c>
      <c r="O1" s="197" t="s">
        <v>2319</v>
      </c>
      <c r="P1" s="198" t="s">
        <v>2323</v>
      </c>
    </row>
    <row r="2" spans="1:16" ht="29.25">
      <c r="A2" s="62">
        <v>11</v>
      </c>
      <c r="B2" s="1">
        <v>1</v>
      </c>
      <c r="C2" s="1"/>
      <c r="D2" s="1"/>
      <c r="E2" s="1"/>
      <c r="F2" s="149"/>
      <c r="G2" s="1"/>
      <c r="H2" s="1"/>
      <c r="I2" s="1"/>
      <c r="J2" s="1"/>
      <c r="K2" s="14" t="s">
        <v>565</v>
      </c>
      <c r="L2" s="2" t="s">
        <v>564</v>
      </c>
      <c r="M2" s="1" t="s">
        <v>2622</v>
      </c>
      <c r="N2" s="159">
        <v>1</v>
      </c>
      <c r="O2" s="159" t="s">
        <v>566</v>
      </c>
      <c r="P2" s="190" t="s">
        <v>566</v>
      </c>
    </row>
    <row r="3" spans="1:16" ht="29.25">
      <c r="A3" s="62">
        <v>16</v>
      </c>
      <c r="B3" s="1">
        <v>2</v>
      </c>
      <c r="C3" s="1" t="s">
        <v>432</v>
      </c>
      <c r="D3" s="1" t="s">
        <v>432</v>
      </c>
      <c r="E3" s="1" t="s">
        <v>432</v>
      </c>
      <c r="F3" s="149" t="s">
        <v>432</v>
      </c>
      <c r="G3" s="1" t="s">
        <v>587</v>
      </c>
      <c r="H3" s="1" t="s">
        <v>432</v>
      </c>
      <c r="I3" s="1" t="s">
        <v>586</v>
      </c>
      <c r="J3" s="1" t="s">
        <v>586</v>
      </c>
      <c r="K3" s="2" t="s">
        <v>585</v>
      </c>
      <c r="L3" s="2" t="s">
        <v>585</v>
      </c>
      <c r="M3" s="15" t="s">
        <v>588</v>
      </c>
      <c r="N3" s="160">
        <v>2</v>
      </c>
      <c r="O3" s="160" t="s">
        <v>1303</v>
      </c>
      <c r="P3" s="191" t="s">
        <v>2324</v>
      </c>
    </row>
    <row r="4" spans="1:16" ht="29.25">
      <c r="A4" s="62">
        <v>12</v>
      </c>
      <c r="B4" s="1">
        <v>3</v>
      </c>
      <c r="C4" s="1" t="s">
        <v>522</v>
      </c>
      <c r="D4" s="1" t="s">
        <v>522</v>
      </c>
      <c r="E4" s="1" t="s">
        <v>522</v>
      </c>
      <c r="F4" s="149" t="s">
        <v>570</v>
      </c>
      <c r="G4" s="1" t="s">
        <v>570</v>
      </c>
      <c r="H4" s="1" t="s">
        <v>522</v>
      </c>
      <c r="I4" s="1" t="s">
        <v>569</v>
      </c>
      <c r="J4" s="1" t="s">
        <v>2223</v>
      </c>
      <c r="K4" s="3" t="s">
        <v>568</v>
      </c>
      <c r="L4" s="2" t="s">
        <v>567</v>
      </c>
      <c r="M4" s="1"/>
      <c r="N4" s="161">
        <v>3</v>
      </c>
      <c r="O4" s="161" t="s">
        <v>2300</v>
      </c>
      <c r="P4" s="192" t="s">
        <v>2300</v>
      </c>
    </row>
    <row r="5" spans="1:16" ht="29.25">
      <c r="A5" s="62">
        <v>2</v>
      </c>
      <c r="B5" s="1">
        <v>4</v>
      </c>
      <c r="C5" s="1" t="s">
        <v>519</v>
      </c>
      <c r="D5" s="1" t="s">
        <v>519</v>
      </c>
      <c r="E5" s="1" t="s">
        <v>519</v>
      </c>
      <c r="F5" s="149" t="s">
        <v>522</v>
      </c>
      <c r="G5" s="1" t="s">
        <v>522</v>
      </c>
      <c r="H5" s="1" t="s">
        <v>519</v>
      </c>
      <c r="I5" s="1" t="s">
        <v>521</v>
      </c>
      <c r="J5" s="1" t="s">
        <v>521</v>
      </c>
      <c r="K5" s="2" t="s">
        <v>520</v>
      </c>
      <c r="L5" s="2" t="s">
        <v>518</v>
      </c>
      <c r="M5" s="1"/>
      <c r="N5" s="161">
        <v>4</v>
      </c>
      <c r="O5" s="161" t="s">
        <v>2298</v>
      </c>
      <c r="P5" s="192" t="s">
        <v>2298</v>
      </c>
    </row>
    <row r="6" spans="1:16" ht="29.25">
      <c r="A6" s="62">
        <v>6</v>
      </c>
      <c r="B6" s="1">
        <v>5</v>
      </c>
      <c r="C6" s="1" t="s">
        <v>539</v>
      </c>
      <c r="D6" s="1" t="s">
        <v>542</v>
      </c>
      <c r="E6" s="1" t="s">
        <v>542</v>
      </c>
      <c r="F6" s="149" t="s">
        <v>519</v>
      </c>
      <c r="G6" s="1" t="s">
        <v>519</v>
      </c>
      <c r="H6" s="1" t="s">
        <v>542</v>
      </c>
      <c r="I6" s="1" t="s">
        <v>541</v>
      </c>
      <c r="J6" s="1" t="s">
        <v>541</v>
      </c>
      <c r="K6" s="2" t="s">
        <v>540</v>
      </c>
      <c r="L6" s="2" t="s">
        <v>538</v>
      </c>
      <c r="M6" s="1"/>
      <c r="N6" s="162">
        <v>5</v>
      </c>
      <c r="O6" s="162" t="s">
        <v>2299</v>
      </c>
      <c r="P6" s="193" t="s">
        <v>2299</v>
      </c>
    </row>
    <row r="7" spans="1:16" ht="29.25">
      <c r="A7" s="62">
        <v>17</v>
      </c>
      <c r="B7" s="1">
        <v>6</v>
      </c>
      <c r="C7" s="1" t="s">
        <v>590</v>
      </c>
      <c r="D7" s="1" t="s">
        <v>590</v>
      </c>
      <c r="E7" s="1" t="s">
        <v>590</v>
      </c>
      <c r="F7" s="149" t="s">
        <v>590</v>
      </c>
      <c r="G7" s="1" t="s">
        <v>592</v>
      </c>
      <c r="H7" s="1" t="s">
        <v>590</v>
      </c>
      <c r="I7" s="1" t="s">
        <v>591</v>
      </c>
      <c r="J7" s="1" t="s">
        <v>591</v>
      </c>
      <c r="K7" s="2" t="s">
        <v>589</v>
      </c>
      <c r="L7" s="2" t="s">
        <v>589</v>
      </c>
      <c r="M7" s="18" t="s">
        <v>593</v>
      </c>
      <c r="N7" s="160">
        <v>6</v>
      </c>
      <c r="O7" s="160" t="s">
        <v>1302</v>
      </c>
      <c r="P7" s="191" t="s">
        <v>2303</v>
      </c>
    </row>
    <row r="8" spans="1:16" ht="29.25">
      <c r="A8" s="62">
        <v>1</v>
      </c>
      <c r="B8" s="1">
        <v>7</v>
      </c>
      <c r="C8" s="1" t="s">
        <v>515</v>
      </c>
      <c r="D8" s="1" t="s">
        <v>515</v>
      </c>
      <c r="E8" s="1" t="s">
        <v>515</v>
      </c>
      <c r="F8" s="149" t="s">
        <v>515</v>
      </c>
      <c r="G8" s="1" t="s">
        <v>515</v>
      </c>
      <c r="H8" s="1" t="s">
        <v>515</v>
      </c>
      <c r="I8" s="1" t="s">
        <v>517</v>
      </c>
      <c r="J8" s="1" t="s">
        <v>517</v>
      </c>
      <c r="K8" s="2" t="s">
        <v>516</v>
      </c>
      <c r="L8" s="2" t="s">
        <v>514</v>
      </c>
      <c r="M8" s="1"/>
      <c r="N8" s="161">
        <v>7</v>
      </c>
      <c r="O8" s="161" t="s">
        <v>2304</v>
      </c>
      <c r="P8" s="192" t="s">
        <v>2304</v>
      </c>
    </row>
    <row r="9" spans="1:16" ht="29.25">
      <c r="A9" s="62">
        <v>5</v>
      </c>
      <c r="B9" s="1">
        <v>8</v>
      </c>
      <c r="C9" s="1" t="s">
        <v>534</v>
      </c>
      <c r="D9" s="1" t="s">
        <v>534</v>
      </c>
      <c r="E9" s="1" t="s">
        <v>534</v>
      </c>
      <c r="F9" s="149" t="s">
        <v>537</v>
      </c>
      <c r="G9" s="1" t="s">
        <v>537</v>
      </c>
      <c r="H9" s="1" t="s">
        <v>534</v>
      </c>
      <c r="I9" s="1" t="s">
        <v>536</v>
      </c>
      <c r="J9" s="1" t="s">
        <v>536</v>
      </c>
      <c r="K9" s="2" t="s">
        <v>535</v>
      </c>
      <c r="L9" s="2" t="s">
        <v>533</v>
      </c>
      <c r="M9" s="1"/>
      <c r="N9" s="161">
        <v>8</v>
      </c>
      <c r="O9" s="161" t="s">
        <v>2301</v>
      </c>
      <c r="P9" s="192" t="s">
        <v>2301</v>
      </c>
    </row>
    <row r="10" spans="1:16" ht="29.25">
      <c r="A10" s="62">
        <v>7</v>
      </c>
      <c r="B10" s="1">
        <v>9</v>
      </c>
      <c r="C10" s="1" t="s">
        <v>544</v>
      </c>
      <c r="D10" s="1" t="s">
        <v>547</v>
      </c>
      <c r="E10" s="1" t="s">
        <v>547</v>
      </c>
      <c r="F10" s="149" t="s">
        <v>534</v>
      </c>
      <c r="G10" s="1" t="s">
        <v>534</v>
      </c>
      <c r="H10" s="1" t="s">
        <v>547</v>
      </c>
      <c r="I10" s="1" t="s">
        <v>546</v>
      </c>
      <c r="J10" s="1" t="s">
        <v>546</v>
      </c>
      <c r="K10" s="2" t="s">
        <v>545</v>
      </c>
      <c r="L10" s="2" t="s">
        <v>543</v>
      </c>
      <c r="M10" s="1"/>
      <c r="N10" s="162">
        <v>9</v>
      </c>
      <c r="O10" s="162" t="s">
        <v>2302</v>
      </c>
      <c r="P10" s="193" t="s">
        <v>2302</v>
      </c>
    </row>
    <row r="11" spans="1:16" ht="29.25">
      <c r="A11" s="62">
        <v>18</v>
      </c>
      <c r="B11" s="1">
        <v>10</v>
      </c>
      <c r="C11" s="1" t="s">
        <v>595</v>
      </c>
      <c r="D11" s="1" t="s">
        <v>407</v>
      </c>
      <c r="E11" s="1" t="s">
        <v>407</v>
      </c>
      <c r="F11" s="149" t="s">
        <v>407</v>
      </c>
      <c r="G11" s="1" t="s">
        <v>597</v>
      </c>
      <c r="H11" s="1" t="s">
        <v>407</v>
      </c>
      <c r="I11" s="1" t="s">
        <v>596</v>
      </c>
      <c r="J11" s="1" t="s">
        <v>2225</v>
      </c>
      <c r="K11" s="2" t="s">
        <v>594</v>
      </c>
      <c r="L11" s="2" t="s">
        <v>594</v>
      </c>
      <c r="M11" s="18" t="s">
        <v>598</v>
      </c>
      <c r="N11" s="160">
        <v>10</v>
      </c>
      <c r="O11" s="160" t="s">
        <v>2317</v>
      </c>
      <c r="P11" s="191" t="s">
        <v>2325</v>
      </c>
    </row>
    <row r="12" spans="1:16" ht="29.25">
      <c r="A12" s="62">
        <v>13</v>
      </c>
      <c r="B12" s="1">
        <v>11</v>
      </c>
      <c r="C12" s="1" t="s">
        <v>572</v>
      </c>
      <c r="D12" s="1" t="s">
        <v>527</v>
      </c>
      <c r="E12" s="1" t="s">
        <v>527</v>
      </c>
      <c r="F12" s="149" t="s">
        <v>575</v>
      </c>
      <c r="G12" s="1" t="s">
        <v>575</v>
      </c>
      <c r="H12" s="1" t="s">
        <v>527</v>
      </c>
      <c r="I12" s="1" t="s">
        <v>574</v>
      </c>
      <c r="J12" s="1" t="s">
        <v>596</v>
      </c>
      <c r="K12" s="2" t="s">
        <v>573</v>
      </c>
      <c r="L12" s="2" t="s">
        <v>571</v>
      </c>
      <c r="M12" s="1"/>
      <c r="N12" s="161">
        <v>11</v>
      </c>
      <c r="O12" s="161" t="s">
        <v>2307</v>
      </c>
      <c r="P12" s="192" t="s">
        <v>2307</v>
      </c>
    </row>
    <row r="13" spans="1:16" ht="29.25">
      <c r="A13" s="62">
        <v>3</v>
      </c>
      <c r="B13" s="1">
        <v>12</v>
      </c>
      <c r="C13" s="1" t="s">
        <v>524</v>
      </c>
      <c r="D13" s="1" t="s">
        <v>524</v>
      </c>
      <c r="E13" s="1" t="s">
        <v>524</v>
      </c>
      <c r="F13" s="149" t="s">
        <v>527</v>
      </c>
      <c r="G13" s="1" t="s">
        <v>527</v>
      </c>
      <c r="H13" s="1" t="s">
        <v>524</v>
      </c>
      <c r="I13" s="1" t="s">
        <v>526</v>
      </c>
      <c r="J13" s="1" t="s">
        <v>526</v>
      </c>
      <c r="K13" s="2" t="s">
        <v>525</v>
      </c>
      <c r="L13" s="2" t="s">
        <v>523</v>
      </c>
      <c r="M13" s="1"/>
      <c r="N13" s="161">
        <v>12</v>
      </c>
      <c r="O13" s="161" t="s">
        <v>2305</v>
      </c>
      <c r="P13" s="192" t="s">
        <v>2305</v>
      </c>
    </row>
    <row r="14" spans="1:16" ht="29.25">
      <c r="A14" s="62">
        <v>4</v>
      </c>
      <c r="B14" s="1">
        <v>13</v>
      </c>
      <c r="C14" s="1" t="s">
        <v>529</v>
      </c>
      <c r="D14" s="1" t="s">
        <v>532</v>
      </c>
      <c r="E14" s="1" t="s">
        <v>532</v>
      </c>
      <c r="F14" s="149" t="s">
        <v>524</v>
      </c>
      <c r="G14" s="1" t="s">
        <v>524</v>
      </c>
      <c r="H14" s="1" t="s">
        <v>532</v>
      </c>
      <c r="I14" s="1" t="s">
        <v>531</v>
      </c>
      <c r="J14" s="1" t="s">
        <v>531</v>
      </c>
      <c r="K14" s="2" t="s">
        <v>530</v>
      </c>
      <c r="L14" s="2" t="s">
        <v>528</v>
      </c>
      <c r="M14" s="1"/>
      <c r="N14" s="162">
        <v>13</v>
      </c>
      <c r="O14" s="162" t="s">
        <v>2306</v>
      </c>
      <c r="P14" s="193" t="s">
        <v>2306</v>
      </c>
    </row>
    <row r="15" spans="1:16" ht="29.25">
      <c r="A15" s="62">
        <v>9</v>
      </c>
      <c r="B15" s="1">
        <v>14</v>
      </c>
      <c r="C15" s="1" t="s">
        <v>556</v>
      </c>
      <c r="D15" s="1" t="s">
        <v>559</v>
      </c>
      <c r="E15" s="1" t="s">
        <v>559</v>
      </c>
      <c r="F15" s="149" t="s">
        <v>560</v>
      </c>
      <c r="G15" s="1" t="s">
        <v>560</v>
      </c>
      <c r="H15" s="1" t="s">
        <v>559</v>
      </c>
      <c r="I15" s="1" t="s">
        <v>558</v>
      </c>
      <c r="J15" s="1" t="s">
        <v>2221</v>
      </c>
      <c r="K15" s="10" t="s">
        <v>557</v>
      </c>
      <c r="L15" s="5" t="s">
        <v>555</v>
      </c>
      <c r="M15" s="1"/>
      <c r="N15" s="160">
        <v>14</v>
      </c>
      <c r="O15" s="160" t="s">
        <v>2312</v>
      </c>
      <c r="P15" s="191" t="s">
        <v>2312</v>
      </c>
    </row>
    <row r="16" spans="1:16" ht="29.25">
      <c r="A16" s="62">
        <v>8</v>
      </c>
      <c r="B16" s="1">
        <v>15</v>
      </c>
      <c r="C16" s="1" t="s">
        <v>549</v>
      </c>
      <c r="D16" s="1" t="s">
        <v>553</v>
      </c>
      <c r="E16" s="1" t="s">
        <v>552</v>
      </c>
      <c r="F16" s="149" t="s">
        <v>552</v>
      </c>
      <c r="G16" s="1" t="s">
        <v>552</v>
      </c>
      <c r="H16" s="1" t="s">
        <v>554</v>
      </c>
      <c r="I16" s="1" t="s">
        <v>551</v>
      </c>
      <c r="J16" s="1" t="s">
        <v>551</v>
      </c>
      <c r="K16" s="2" t="s">
        <v>550</v>
      </c>
      <c r="L16" s="2" t="s">
        <v>548</v>
      </c>
      <c r="M16" s="1"/>
      <c r="N16" s="161">
        <v>15</v>
      </c>
      <c r="O16" s="161" t="s">
        <v>2309</v>
      </c>
      <c r="P16" s="192" t="s">
        <v>2309</v>
      </c>
    </row>
    <row r="17" spans="1:16" ht="29.25">
      <c r="A17" s="62">
        <v>14</v>
      </c>
      <c r="B17" s="1">
        <v>16</v>
      </c>
      <c r="C17" s="1" t="s">
        <v>577</v>
      </c>
      <c r="D17" s="1" t="s">
        <v>580</v>
      </c>
      <c r="E17" s="1" t="s">
        <v>579</v>
      </c>
      <c r="F17" s="149" t="s">
        <v>579</v>
      </c>
      <c r="G17" s="1" t="s">
        <v>579</v>
      </c>
      <c r="H17" s="1" t="s">
        <v>581</v>
      </c>
      <c r="I17" s="1" t="s">
        <v>623</v>
      </c>
      <c r="J17" s="1" t="s">
        <v>2224</v>
      </c>
      <c r="K17" s="2" t="s">
        <v>578</v>
      </c>
      <c r="L17" s="2" t="s">
        <v>576</v>
      </c>
      <c r="M17" s="1"/>
      <c r="N17" s="161">
        <v>16</v>
      </c>
      <c r="O17" s="161" t="s">
        <v>2310</v>
      </c>
      <c r="P17" s="192" t="s">
        <v>2310</v>
      </c>
    </row>
    <row r="18" spans="1:16" ht="29.25">
      <c r="A18" s="62">
        <v>10</v>
      </c>
      <c r="B18" s="1">
        <v>17</v>
      </c>
      <c r="C18" s="1" t="s">
        <v>562</v>
      </c>
      <c r="D18" s="1" t="s">
        <v>562</v>
      </c>
      <c r="E18" s="1" t="s">
        <v>562</v>
      </c>
      <c r="F18" s="149" t="s">
        <v>562</v>
      </c>
      <c r="G18" s="1" t="s">
        <v>562</v>
      </c>
      <c r="H18" s="1" t="s">
        <v>562</v>
      </c>
      <c r="I18" s="1" t="s">
        <v>621</v>
      </c>
      <c r="J18" s="1" t="s">
        <v>2222</v>
      </c>
      <c r="K18" s="10" t="s">
        <v>563</v>
      </c>
      <c r="L18" s="2" t="s">
        <v>561</v>
      </c>
      <c r="M18" s="1"/>
      <c r="N18" s="162">
        <v>17</v>
      </c>
      <c r="O18" s="162" t="s">
        <v>2311</v>
      </c>
      <c r="P18" s="193" t="s">
        <v>2311</v>
      </c>
    </row>
    <row r="19" spans="1:16" ht="29.25">
      <c r="A19" s="189">
        <v>19</v>
      </c>
      <c r="B19" s="16">
        <v>18</v>
      </c>
      <c r="C19" s="15" t="s">
        <v>599</v>
      </c>
      <c r="D19" s="16" t="s">
        <v>601</v>
      </c>
      <c r="E19" s="16" t="s">
        <v>601</v>
      </c>
      <c r="F19" s="158" t="s">
        <v>2505</v>
      </c>
      <c r="G19" s="16" t="s">
        <v>602</v>
      </c>
      <c r="H19" s="16" t="s">
        <v>601</v>
      </c>
      <c r="I19" s="15" t="s">
        <v>600</v>
      </c>
      <c r="J19" s="15" t="s">
        <v>2221</v>
      </c>
      <c r="K19" s="17" t="s">
        <v>557</v>
      </c>
      <c r="L19" s="17" t="s">
        <v>555</v>
      </c>
      <c r="M19" s="18" t="s">
        <v>619</v>
      </c>
      <c r="N19" s="160">
        <v>18</v>
      </c>
      <c r="O19" s="160" t="s">
        <v>2313</v>
      </c>
      <c r="P19" s="191" t="s">
        <v>2326</v>
      </c>
    </row>
    <row r="20" spans="1:16" ht="29.25">
      <c r="A20" s="189">
        <v>20</v>
      </c>
      <c r="B20" s="16">
        <v>19</v>
      </c>
      <c r="C20" s="18" t="s">
        <v>604</v>
      </c>
      <c r="D20" s="16" t="s">
        <v>607</v>
      </c>
      <c r="E20" s="16" t="s">
        <v>606</v>
      </c>
      <c r="F20" s="158" t="s">
        <v>2506</v>
      </c>
      <c r="G20" s="16" t="s">
        <v>606</v>
      </c>
      <c r="H20" s="16" t="s">
        <v>608</v>
      </c>
      <c r="I20" s="18" t="s">
        <v>2320</v>
      </c>
      <c r="J20" s="18" t="s">
        <v>605</v>
      </c>
      <c r="K20" s="17" t="s">
        <v>550</v>
      </c>
      <c r="L20" s="17" t="s">
        <v>603</v>
      </c>
      <c r="M20" s="18" t="s">
        <v>620</v>
      </c>
      <c r="N20" s="161">
        <v>19</v>
      </c>
      <c r="O20" s="161" t="s">
        <v>2314</v>
      </c>
      <c r="P20" s="192" t="s">
        <v>2327</v>
      </c>
    </row>
    <row r="21" spans="1:16" ht="29.25">
      <c r="A21" s="189">
        <v>21</v>
      </c>
      <c r="B21" s="16">
        <v>20</v>
      </c>
      <c r="C21" s="18" t="s">
        <v>610</v>
      </c>
      <c r="D21" s="16" t="s">
        <v>613</v>
      </c>
      <c r="E21" s="16" t="s">
        <v>612</v>
      </c>
      <c r="F21" s="158" t="s">
        <v>2507</v>
      </c>
      <c r="G21" s="16" t="s">
        <v>612</v>
      </c>
      <c r="H21" s="16" t="s">
        <v>614</v>
      </c>
      <c r="I21" s="18" t="s">
        <v>2321</v>
      </c>
      <c r="J21" s="18" t="s">
        <v>611</v>
      </c>
      <c r="K21" s="17" t="s">
        <v>578</v>
      </c>
      <c r="L21" s="17" t="s">
        <v>609</v>
      </c>
      <c r="M21" s="18" t="s">
        <v>624</v>
      </c>
      <c r="N21" s="161">
        <v>20</v>
      </c>
      <c r="O21" s="161" t="s">
        <v>2315</v>
      </c>
      <c r="P21" s="192" t="s">
        <v>2328</v>
      </c>
    </row>
    <row r="22" spans="1:16" ht="29.25">
      <c r="A22" s="189">
        <v>22</v>
      </c>
      <c r="B22" s="16">
        <v>21</v>
      </c>
      <c r="C22" s="18" t="s">
        <v>616</v>
      </c>
      <c r="D22" s="16" t="s">
        <v>618</v>
      </c>
      <c r="E22" s="16" t="s">
        <v>618</v>
      </c>
      <c r="F22" s="158" t="s">
        <v>2508</v>
      </c>
      <c r="G22" s="16" t="s">
        <v>618</v>
      </c>
      <c r="H22" s="16" t="s">
        <v>618</v>
      </c>
      <c r="I22" s="18" t="s">
        <v>2322</v>
      </c>
      <c r="J22" s="18" t="s">
        <v>617</v>
      </c>
      <c r="K22" s="17" t="s">
        <v>563</v>
      </c>
      <c r="L22" s="17" t="s">
        <v>615</v>
      </c>
      <c r="M22" s="18" t="s">
        <v>622</v>
      </c>
      <c r="N22" s="162">
        <v>21</v>
      </c>
      <c r="O22" s="162" t="s">
        <v>2316</v>
      </c>
      <c r="P22" s="193" t="s">
        <v>2329</v>
      </c>
    </row>
    <row r="23" spans="1:16" ht="29.25">
      <c r="A23" s="64">
        <v>15</v>
      </c>
      <c r="B23" s="67">
        <v>22</v>
      </c>
      <c r="C23" s="67" t="s">
        <v>583</v>
      </c>
      <c r="D23" s="67" t="s">
        <v>583</v>
      </c>
      <c r="E23" s="67" t="s">
        <v>583</v>
      </c>
      <c r="F23" s="194" t="s">
        <v>583</v>
      </c>
      <c r="G23" s="67" t="s">
        <v>583</v>
      </c>
      <c r="H23" s="67" t="s">
        <v>583</v>
      </c>
      <c r="I23" s="67" t="s">
        <v>584</v>
      </c>
      <c r="J23" s="67" t="s">
        <v>584</v>
      </c>
      <c r="K23" s="66" t="s">
        <v>582</v>
      </c>
      <c r="L23" s="66" t="s">
        <v>582</v>
      </c>
      <c r="M23" s="67"/>
      <c r="N23" s="161">
        <v>22</v>
      </c>
      <c r="O23" s="161" t="s">
        <v>2308</v>
      </c>
      <c r="P23" s="192" t="s">
        <v>2308</v>
      </c>
    </row>
  </sheetData>
  <sortState xmlns:xlrd2="http://schemas.microsoft.com/office/spreadsheetml/2017/richdata2" ref="A2:P23">
    <sortCondition ref="N12:N23"/>
  </sortState>
  <phoneticPr fontId="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E6F7-1F1E-408C-ABA8-5C2E8953D0A0}">
  <dimension ref="A1:AX101"/>
  <sheetViews>
    <sheetView showGridLines="0" tabSelected="1" workbookViewId="0">
      <pane ySplit="3" topLeftCell="A85" activePane="bottomLeft" state="frozen"/>
      <selection pane="bottomLeft" activeCell="M94" sqref="M94"/>
    </sheetView>
  </sheetViews>
  <sheetFormatPr defaultRowHeight="26.25" outlineLevelCol="1"/>
  <cols>
    <col min="1" max="1" width="5.83203125" style="51" customWidth="1"/>
    <col min="2" max="4" width="10.25" style="51" customWidth="1"/>
    <col min="5" max="5" width="13.83203125" style="51" customWidth="1" outlineLevel="1"/>
    <col min="6" max="7" width="10.25" style="51" customWidth="1" outlineLevel="1"/>
    <col min="8" max="11" width="10.25" style="51" customWidth="1"/>
    <col min="12" max="12" width="10.25" style="51" customWidth="1" outlineLevel="1"/>
    <col min="13" max="13" width="10.25" style="51" customWidth="1"/>
    <col min="14" max="14" width="5.83203125" style="51" customWidth="1"/>
    <col min="15" max="15" width="4.9140625" style="51" customWidth="1"/>
    <col min="16" max="17" width="10.08203125" style="51" customWidth="1"/>
    <col min="18" max="18" width="1.9140625" style="51" customWidth="1"/>
    <col min="19" max="19" width="9.1640625" style="121" bestFit="1" customWidth="1"/>
    <col min="20" max="20" width="6" style="124" customWidth="1" outlineLevel="1"/>
    <col min="21" max="21" width="6.1640625" style="124" customWidth="1" outlineLevel="1"/>
    <col min="22" max="22" width="11.1640625" style="121" customWidth="1"/>
    <col min="23" max="23" width="3" style="51" customWidth="1"/>
    <col min="24" max="24" width="34.5" style="122" customWidth="1"/>
    <col min="25" max="25" width="8.6640625" style="51"/>
    <col min="26" max="37" width="5" style="129" customWidth="1"/>
    <col min="38" max="43" width="12.9140625" style="133" bestFit="1" customWidth="1"/>
    <col min="44" max="46" width="13.25" style="133" customWidth="1"/>
    <col min="47" max="47" width="13.25" style="51" customWidth="1"/>
    <col min="48" max="16384" width="8.6640625" style="51"/>
  </cols>
  <sheetData>
    <row r="1" spans="1:50" ht="30" customHeight="1">
      <c r="A1" s="142" t="s">
        <v>1300</v>
      </c>
      <c r="C1" s="50"/>
      <c r="D1" s="50"/>
      <c r="H1" s="50"/>
      <c r="I1" s="50" t="s">
        <v>2474</v>
      </c>
      <c r="J1" s="187" t="s">
        <v>2475</v>
      </c>
      <c r="K1" s="187"/>
      <c r="L1" s="187"/>
      <c r="M1" s="50"/>
      <c r="N1" s="50"/>
      <c r="X1" s="125"/>
      <c r="AA1" s="129">
        <v>1</v>
      </c>
      <c r="AB1" s="129">
        <v>2</v>
      </c>
      <c r="AC1" s="129">
        <v>3</v>
      </c>
      <c r="AD1" s="129">
        <v>4</v>
      </c>
      <c r="AE1" s="129">
        <v>5</v>
      </c>
      <c r="AF1" s="129">
        <v>6</v>
      </c>
      <c r="AG1" s="129">
        <v>7</v>
      </c>
      <c r="AH1" s="129">
        <v>8</v>
      </c>
      <c r="AI1" s="129">
        <v>9</v>
      </c>
      <c r="AJ1" s="129">
        <v>9</v>
      </c>
    </row>
    <row r="2" spans="1:50" ht="27" thickBot="1"/>
    <row r="3" spans="1:50" ht="54.75" thickBot="1">
      <c r="A3" s="180" t="s">
        <v>895</v>
      </c>
      <c r="B3" s="140" t="s">
        <v>875</v>
      </c>
      <c r="C3" s="140" t="s">
        <v>756</v>
      </c>
      <c r="D3" s="58" t="s">
        <v>662</v>
      </c>
      <c r="E3" s="58" t="s">
        <v>873</v>
      </c>
      <c r="F3" s="58" t="s">
        <v>758</v>
      </c>
      <c r="G3" s="58" t="s">
        <v>870</v>
      </c>
      <c r="H3" s="58" t="s">
        <v>757</v>
      </c>
      <c r="I3" s="58" t="s">
        <v>2470</v>
      </c>
      <c r="J3" s="58" t="s">
        <v>874</v>
      </c>
      <c r="K3" s="58" t="s">
        <v>2504</v>
      </c>
      <c r="L3" s="58" t="s">
        <v>2503</v>
      </c>
      <c r="M3" s="58" t="s">
        <v>1308</v>
      </c>
      <c r="N3" s="58" t="s">
        <v>896</v>
      </c>
      <c r="O3" s="53"/>
      <c r="P3" s="58" t="s">
        <v>756</v>
      </c>
      <c r="Q3" s="58" t="s">
        <v>662</v>
      </c>
      <c r="S3" s="58" t="s">
        <v>756</v>
      </c>
      <c r="T3" s="52" t="s">
        <v>1301</v>
      </c>
      <c r="U3" s="127" t="s">
        <v>1299</v>
      </c>
      <c r="V3" s="58" t="s">
        <v>662</v>
      </c>
      <c r="X3" s="52"/>
      <c r="Z3" s="128"/>
      <c r="AB3" s="131" t="s">
        <v>667</v>
      </c>
      <c r="AC3" s="131" t="s">
        <v>1306</v>
      </c>
      <c r="AD3" s="131"/>
      <c r="AE3" s="131" t="s">
        <v>760</v>
      </c>
      <c r="AF3" s="131" t="s">
        <v>754</v>
      </c>
      <c r="AG3" s="131" t="s">
        <v>666</v>
      </c>
      <c r="AH3" s="131" t="s">
        <v>1307</v>
      </c>
      <c r="AI3" s="131" t="s">
        <v>670</v>
      </c>
      <c r="AJ3" s="131" t="s">
        <v>669</v>
      </c>
      <c r="AK3" s="130"/>
    </row>
    <row r="4" spans="1:50" ht="27.75" thickBot="1">
      <c r="A4" s="181">
        <f xml:space="preserve"> ROW() - 3</f>
        <v>1</v>
      </c>
      <c r="B4" s="139" t="s">
        <v>2395</v>
      </c>
      <c r="C4" s="141" t="s">
        <v>316</v>
      </c>
      <c r="D4" s="57" t="s">
        <v>316</v>
      </c>
      <c r="E4" s="57" t="s">
        <v>316</v>
      </c>
      <c r="F4" s="57" t="s">
        <v>316</v>
      </c>
      <c r="G4" s="60" t="s">
        <v>316</v>
      </c>
      <c r="H4" s="57" t="s">
        <v>318</v>
      </c>
      <c r="I4" s="57" t="s">
        <v>318</v>
      </c>
      <c r="J4" s="54" t="str">
        <f xml:space="preserve"> LEFT(台羅韻母表[[#This Row],[十五音識別碼]],1)</f>
        <v>膠</v>
      </c>
      <c r="K4" s="55" t="s">
        <v>315</v>
      </c>
      <c r="L4" s="54" t="s">
        <v>319</v>
      </c>
      <c r="N4" s="54">
        <f t="shared" ref="N4:N52" si="0" xml:space="preserve"> LEN(D4)</f>
        <v>1</v>
      </c>
      <c r="O4" s="73"/>
      <c r="P4" s="57" t="str">
        <f t="shared" ref="P4:P14" si="1">C4</f>
        <v>a</v>
      </c>
      <c r="Q4" s="57" t="str">
        <f t="shared" ref="Q4:Q14" si="2">D4</f>
        <v>a</v>
      </c>
      <c r="S4" s="121" t="str">
        <f xml:space="preserve"> _xlfn.CONCAT(P4, "(\d)")</f>
        <v>a(\d)</v>
      </c>
      <c r="T4" s="124" t="s">
        <v>1225</v>
      </c>
      <c r="U4" s="124">
        <f xml:space="preserve"> IFERROR( IF(T4="", "", SEARCH(T4, $P4)), "")</f>
        <v>1</v>
      </c>
      <c r="V4" s="121" t="str">
        <f xml:space="preserve"> IFERROR( _xlfn.CONCAT(LEFT(P4,U4-1), "》", MID(P4,U4,1), "${1}", RIGHT(P4, LEN(P4)-U4)), "" )</f>
        <v>》a${1}</v>
      </c>
      <c r="W4" s="55"/>
      <c r="X4" s="56" t="str">
        <f xml:space="preserve"> IF(AND(Q4&lt;&gt;"", P4&lt;&gt;""), "    - xform/》" &amp; S4 &amp;  "/"  &amp; V4 &amp;  "/", "")</f>
        <v xml:space="preserve">    - xform/》a(\d)/》a${1}/</v>
      </c>
      <c r="Z4" s="129" t="s">
        <v>1225</v>
      </c>
      <c r="AA4" s="132" t="str">
        <f xml:space="preserve"> _xlfn.CONCAT($Z4, IF(AA$3="", "", _xlfn.UNICHAR( HEX2DEC( RIGHT(AA$3,4)))))</f>
        <v>a</v>
      </c>
      <c r="AB4" s="132" t="str">
        <f t="shared" ref="AB4:AJ4" si="3" xml:space="preserve"> _xlfn.CONCAT($Z4, IF(AB$3="", "", _xlfn.UNICHAR( HEX2DEC( RIGHT(AB$3,4)))))</f>
        <v>á</v>
      </c>
      <c r="AC4" s="132" t="str">
        <f t="shared" si="3"/>
        <v>à</v>
      </c>
      <c r="AD4" s="132" t="str">
        <f t="shared" si="3"/>
        <v>a</v>
      </c>
      <c r="AE4" s="132" t="str">
        <f t="shared" si="3"/>
        <v>ǎ</v>
      </c>
      <c r="AF4" s="132" t="str">
        <f t="shared" si="3"/>
        <v>á</v>
      </c>
      <c r="AG4" s="132" t="str">
        <f t="shared" si="3"/>
        <v>ā</v>
      </c>
      <c r="AH4" s="132" t="str">
        <f t="shared" si="3"/>
        <v>a̍</v>
      </c>
      <c r="AI4" s="132" t="str">
        <f t="shared" si="3"/>
        <v>a̋</v>
      </c>
      <c r="AJ4" s="132" t="str">
        <f t="shared" si="3"/>
        <v>å</v>
      </c>
      <c r="AL4" s="134" t="str">
        <f t="shared" ref="AL4:AU14" si="4" xml:space="preserve"> _xlfn.CONCAT("    - xform/》", $Z4, AA$1, "/", AA4, "/")</f>
        <v xml:space="preserve">    - xform/》a1/a/</v>
      </c>
      <c r="AM4" s="134" t="str">
        <f t="shared" si="4"/>
        <v xml:space="preserve">    - xform/》a2/á/</v>
      </c>
      <c r="AN4" s="134" t="str">
        <f t="shared" si="4"/>
        <v xml:space="preserve">    - xform/》a3/à/</v>
      </c>
      <c r="AO4" s="134" t="str">
        <f t="shared" si="4"/>
        <v xml:space="preserve">    - xform/》a4/a/</v>
      </c>
      <c r="AP4" s="134" t="str">
        <f t="shared" si="4"/>
        <v xml:space="preserve">    - xform/》a5/ǎ/</v>
      </c>
      <c r="AQ4" s="134" t="str">
        <f t="shared" si="4"/>
        <v xml:space="preserve">    - xform/》a6/á/</v>
      </c>
      <c r="AR4" s="134" t="str">
        <f t="shared" si="4"/>
        <v xml:space="preserve">    - xform/》a7/ā/</v>
      </c>
      <c r="AS4" s="134" t="str">
        <f t="shared" si="4"/>
        <v xml:space="preserve">    - xform/》a8/a̍/</v>
      </c>
      <c r="AT4" s="134" t="str">
        <f t="shared" si="4"/>
        <v xml:space="preserve">    - xform/》a9/a̋/</v>
      </c>
      <c r="AU4" s="134" t="str">
        <f t="shared" si="4"/>
        <v xml:space="preserve">    - xform/》a9/å/</v>
      </c>
      <c r="AV4" s="132"/>
      <c r="AW4" s="132"/>
      <c r="AX4" s="129"/>
    </row>
    <row r="5" spans="1:50" ht="27.75" thickBot="1">
      <c r="A5" s="181">
        <f t="shared" ref="A5:A89" si="5" xml:space="preserve"> ROW() - 3</f>
        <v>2</v>
      </c>
      <c r="B5" s="139" t="s">
        <v>2397</v>
      </c>
      <c r="C5" s="141" t="s">
        <v>321</v>
      </c>
      <c r="D5" s="57" t="s">
        <v>321</v>
      </c>
      <c r="E5" s="57" t="s">
        <v>321</v>
      </c>
      <c r="F5" s="57" t="s">
        <v>321</v>
      </c>
      <c r="G5" s="60" t="s">
        <v>321</v>
      </c>
      <c r="H5" s="57" t="s">
        <v>1295</v>
      </c>
      <c r="I5" s="57" t="s">
        <v>2257</v>
      </c>
      <c r="J5" s="54" t="str">
        <f xml:space="preserve"> LEFT(台羅韻母表[[#This Row],[十五音識別碼]],1)</f>
        <v>膠</v>
      </c>
      <c r="K5" s="54" t="s">
        <v>320</v>
      </c>
      <c r="L5" s="54" t="s">
        <v>322</v>
      </c>
      <c r="M5" s="57"/>
      <c r="N5" s="54">
        <f xml:space="preserve"> LEN(D5)</f>
        <v>2</v>
      </c>
      <c r="O5" s="73"/>
      <c r="P5" s="57" t="str">
        <f>C5</f>
        <v>ah</v>
      </c>
      <c r="Q5" s="57" t="str">
        <f>D5</f>
        <v>ah</v>
      </c>
      <c r="S5" s="121" t="str">
        <f xml:space="preserve"> _xlfn.CONCAT(P5, "(\d)")</f>
        <v>ah(\d)</v>
      </c>
      <c r="T5" s="124" t="s">
        <v>1225</v>
      </c>
      <c r="U5" s="124">
        <f xml:space="preserve"> IFERROR( IF(T5="", "", SEARCH(T5, $P5)), "")</f>
        <v>1</v>
      </c>
      <c r="V5" s="121" t="str">
        <f xml:space="preserve"> IFERROR( _xlfn.CONCAT(LEFT(P5,U5-1), "》", MID(P5,U5,1), "${1}", RIGHT(P5, LEN(P5)-U5)), "" )</f>
        <v>》a${1}h</v>
      </c>
      <c r="W5" s="55"/>
      <c r="X5" s="56" t="str">
        <f xml:space="preserve"> IF(AND(Q5&lt;&gt;"", P5&lt;&gt;""), "    - xform/》" &amp; S5 &amp;  "/"  &amp; V5 &amp;  "/", "")</f>
        <v xml:space="preserve">    - xform/》ah(\d)/》a${1}h/</v>
      </c>
      <c r="Z5" s="129" t="s">
        <v>1224</v>
      </c>
      <c r="AA5" s="132" t="str">
        <f xml:space="preserve"> _xlfn.CONCAT($Z5, IF(AA$3="", "", _xlfn.UNICHAR( HEX2DEC( RIGHT(AA$3,4)))))</f>
        <v>u</v>
      </c>
      <c r="AB5" s="132" t="str">
        <f xml:space="preserve"> _xlfn.CONCAT($Z5, IF(AB$3="", "", _xlfn.UNICHAR( HEX2DEC( RIGHT(AB$3,4)))))</f>
        <v>ú</v>
      </c>
      <c r="AC5" s="132" t="str">
        <f xml:space="preserve"> _xlfn.CONCAT($Z5, IF(AC$3="", "", _xlfn.UNICHAR( HEX2DEC( RIGHT(AC$3,4)))))</f>
        <v>ù</v>
      </c>
      <c r="AD5" s="132" t="str">
        <f xml:space="preserve"> _xlfn.CONCAT($Z5, IF(AD$3="", "", _xlfn.UNICHAR( HEX2DEC( RIGHT(AD$3,4)))))</f>
        <v>u</v>
      </c>
      <c r="AE5" s="132" t="str">
        <f xml:space="preserve"> _xlfn.CONCAT($Z5, IF(AE$3="", "", _xlfn.UNICHAR( HEX2DEC( RIGHT(AE$3,4)))))</f>
        <v>ǔ</v>
      </c>
      <c r="AF5" s="132" t="str">
        <f xml:space="preserve"> _xlfn.CONCAT($Z5, IF(AF$3="", "", _xlfn.UNICHAR( HEX2DEC( RIGHT(AF$3,4)))))</f>
        <v>ú</v>
      </c>
      <c r="AG5" s="132" t="str">
        <f xml:space="preserve"> _xlfn.CONCAT($Z5, IF(AG$3="", "", _xlfn.UNICHAR( HEX2DEC( RIGHT(AG$3,4)))))</f>
        <v>ū</v>
      </c>
      <c r="AH5" s="132" t="str">
        <f xml:space="preserve"> _xlfn.CONCAT($Z5, IF(AH$3="", "", _xlfn.UNICHAR( HEX2DEC( RIGHT(AH$3,4)))))</f>
        <v>u̍</v>
      </c>
      <c r="AI5" s="132" t="str">
        <f xml:space="preserve"> _xlfn.CONCAT($Z5, IF(AI$3="", "", _xlfn.UNICHAR( HEX2DEC( RIGHT(AI$3,4)))))</f>
        <v>ű</v>
      </c>
      <c r="AJ5" s="132" t="str">
        <f xml:space="preserve"> _xlfn.CONCAT($Z5, IF(AJ$3="", "", _xlfn.UNICHAR( HEX2DEC( RIGHT(AJ$3,4)))))</f>
        <v>ů</v>
      </c>
      <c r="AL5" s="134" t="str">
        <f xml:space="preserve"> _xlfn.CONCAT("    - xform/》", $Z5, AA$1, "/", AA5, "/")</f>
        <v xml:space="preserve">    - xform/》u1/u/</v>
      </c>
      <c r="AM5" s="134" t="str">
        <f xml:space="preserve"> _xlfn.CONCAT("    - xform/》", $Z5, AB$1, "/", AB5, "/")</f>
        <v xml:space="preserve">    - xform/》u2/ú/</v>
      </c>
      <c r="AN5" s="134" t="str">
        <f xml:space="preserve"> _xlfn.CONCAT("    - xform/》", $Z5, AC$1, "/", AC5, "/")</f>
        <v xml:space="preserve">    - xform/》u3/ù/</v>
      </c>
      <c r="AO5" s="134" t="str">
        <f xml:space="preserve"> _xlfn.CONCAT("    - xform/》", $Z5, AD$1, "/", AD5, "/")</f>
        <v xml:space="preserve">    - xform/》u4/u/</v>
      </c>
      <c r="AP5" s="134" t="str">
        <f xml:space="preserve"> _xlfn.CONCAT("    - xform/》", $Z5, AE$1, "/", AE5, "/")</f>
        <v xml:space="preserve">    - xform/》u5/ǔ/</v>
      </c>
      <c r="AQ5" s="134" t="str">
        <f xml:space="preserve"> _xlfn.CONCAT("    - xform/》", $Z5, AF$1, "/", AF5, "/")</f>
        <v xml:space="preserve">    - xform/》u6/ú/</v>
      </c>
      <c r="AR5" s="134" t="str">
        <f xml:space="preserve"> _xlfn.CONCAT("    - xform/》", $Z5, AG$1, "/", AG5, "/")</f>
        <v xml:space="preserve">    - xform/》u7/ū/</v>
      </c>
      <c r="AS5" s="134" t="str">
        <f xml:space="preserve"> _xlfn.CONCAT("    - xform/》", $Z5, AH$1, "/", AH5, "/")</f>
        <v xml:space="preserve">    - xform/》u8/u̍/</v>
      </c>
      <c r="AT5" s="134" t="str">
        <f xml:space="preserve"> _xlfn.CONCAT("    - xform/》", $Z5, AI$1, "/", AI5, "/")</f>
        <v xml:space="preserve">    - xform/》u9/ű/</v>
      </c>
      <c r="AU5" s="134" t="str">
        <f xml:space="preserve"> _xlfn.CONCAT("    - xform/》", $Z5, AJ$1, "/", AJ5, "/")</f>
        <v xml:space="preserve">    - xform/》u9/ů/</v>
      </c>
      <c r="AV5" s="132"/>
      <c r="AW5" s="132"/>
      <c r="AX5" s="129"/>
    </row>
    <row r="6" spans="1:50" ht="27.75" thickBot="1">
      <c r="A6" s="181">
        <f t="shared" si="5"/>
        <v>3</v>
      </c>
      <c r="B6" s="139" t="s">
        <v>2402</v>
      </c>
      <c r="C6" s="141" t="s">
        <v>183</v>
      </c>
      <c r="D6" s="57" t="s">
        <v>183</v>
      </c>
      <c r="E6" s="57" t="s">
        <v>183</v>
      </c>
      <c r="F6" s="57" t="s">
        <v>183</v>
      </c>
      <c r="G6" s="60" t="s">
        <v>183</v>
      </c>
      <c r="H6" s="57" t="s">
        <v>185</v>
      </c>
      <c r="I6" s="57" t="s">
        <v>185</v>
      </c>
      <c r="J6" s="54" t="str">
        <f xml:space="preserve"> LEFT(台羅韻母表[[#This Row],[十五音識別碼]],1)</f>
        <v>皆</v>
      </c>
      <c r="K6" s="54" t="s">
        <v>182</v>
      </c>
      <c r="L6" s="54" t="s">
        <v>186</v>
      </c>
      <c r="M6" s="57"/>
      <c r="N6" s="54">
        <f xml:space="preserve"> LEN(D6)</f>
        <v>2</v>
      </c>
      <c r="O6" s="73"/>
      <c r="P6" s="57" t="str">
        <f>C6</f>
        <v>ai</v>
      </c>
      <c r="Q6" s="57" t="str">
        <f>D6</f>
        <v>ai</v>
      </c>
      <c r="S6" s="121" t="str">
        <f xml:space="preserve"> _xlfn.CONCAT(P6, "(\d)")</f>
        <v>ai(\d)</v>
      </c>
      <c r="T6" s="124" t="s">
        <v>1213</v>
      </c>
      <c r="U6" s="124" t="str">
        <f xml:space="preserve"> IFERROR( IF(T6="", "", SEARCH(T6, $P6)), "")</f>
        <v/>
      </c>
      <c r="V6" s="121" t="str">
        <f xml:space="preserve"> IFERROR( _xlfn.CONCAT(LEFT(P6,U6-1), "》", MID(P6,U6,1), "${1}", RIGHT(P6, LEN(P6)-U6)), "" )</f>
        <v/>
      </c>
      <c r="W6" s="55"/>
      <c r="X6" s="56" t="str">
        <f xml:space="preserve"> IF(AND(Q6&lt;&gt;"", P6&lt;&gt;""), "    - xform/》" &amp; S6 &amp;  "/"  &amp; V6 &amp;  "/", "")</f>
        <v xml:space="preserve">    - xform/》ai(\d)//</v>
      </c>
    </row>
    <row r="7" spans="1:50" ht="30.75" thickBot="1">
      <c r="A7" s="181">
        <f t="shared" si="5"/>
        <v>4</v>
      </c>
      <c r="B7" s="139" t="s">
        <v>2404</v>
      </c>
      <c r="C7" s="141" t="s">
        <v>1476</v>
      </c>
      <c r="D7" s="74" t="s">
        <v>2155</v>
      </c>
      <c r="E7" s="74" t="s">
        <v>2155</v>
      </c>
      <c r="F7" s="74" t="s">
        <v>2155</v>
      </c>
      <c r="G7" s="74" t="s">
        <v>1476</v>
      </c>
      <c r="H7" s="143" t="s">
        <v>2156</v>
      </c>
      <c r="I7" s="143" t="s">
        <v>2471</v>
      </c>
      <c r="J7" s="54" t="str">
        <f xml:space="preserve"> LEFT(台羅韻母表[[#This Row],[十五音識別碼]],1)</f>
        <v>皆</v>
      </c>
      <c r="K7" s="54" t="s">
        <v>2333</v>
      </c>
      <c r="L7" s="146" t="s">
        <v>2178</v>
      </c>
      <c r="M7" s="57"/>
      <c r="N7" s="54">
        <f xml:space="preserve"> LEN(D7)</f>
        <v>3</v>
      </c>
      <c r="O7" s="73"/>
      <c r="P7" s="57" t="str">
        <f>C7</f>
        <v>aih</v>
      </c>
      <c r="Q7" s="57" t="str">
        <f>D7</f>
        <v>aih</v>
      </c>
      <c r="S7" s="121" t="str">
        <f xml:space="preserve"> _xlfn.CONCAT(P7, "(\d)")</f>
        <v>aih(\d)</v>
      </c>
      <c r="T7" s="124" t="s">
        <v>1225</v>
      </c>
      <c r="U7" s="124">
        <f xml:space="preserve"> IFERROR( IF(T7="", "", SEARCH(T7, $P7)), "")</f>
        <v>1</v>
      </c>
      <c r="V7" s="121" t="str">
        <f xml:space="preserve"> IFERROR( _xlfn.CONCAT(LEFT(P7,U7-1), "》", MID(P7,U7,1), "${1}", RIGHT(P7, LEN(P7)-U7)), "" )</f>
        <v>》a${1}ih</v>
      </c>
      <c r="W7" s="55"/>
      <c r="X7" s="56" t="str">
        <f xml:space="preserve"> IF(AND(Q7&lt;&gt;"", P7&lt;&gt;""), "    - xform/》" &amp; S7 &amp;  "/"  &amp; V7 &amp;  "/", "")</f>
        <v xml:space="preserve">    - xform/》aih(\d)/》a${1}ih/</v>
      </c>
    </row>
    <row r="8" spans="1:50" ht="27.75" thickBot="1">
      <c r="A8" s="181">
        <f t="shared" si="5"/>
        <v>5</v>
      </c>
      <c r="B8" s="139" t="s">
        <v>2403</v>
      </c>
      <c r="C8" s="141" t="s">
        <v>417</v>
      </c>
      <c r="D8" s="57" t="s">
        <v>417</v>
      </c>
      <c r="E8" s="57" t="s">
        <v>417</v>
      </c>
      <c r="F8" s="57" t="s">
        <v>419</v>
      </c>
      <c r="G8" s="60" t="s">
        <v>2612</v>
      </c>
      <c r="H8" s="57" t="s">
        <v>416</v>
      </c>
      <c r="I8" s="57" t="s">
        <v>2268</v>
      </c>
      <c r="J8" s="54" t="str">
        <f xml:space="preserve"> LEFT(台羅韻母表[[#This Row],[十五音識別碼]],1)</f>
        <v>閒</v>
      </c>
      <c r="K8" s="54" t="s">
        <v>414</v>
      </c>
      <c r="L8" s="54" t="s">
        <v>420</v>
      </c>
      <c r="M8" s="135" t="s">
        <v>1309</v>
      </c>
      <c r="N8" s="54">
        <f xml:space="preserve"> LEN(D8)</f>
        <v>4</v>
      </c>
      <c r="O8" s="73"/>
      <c r="P8" s="57" t="str">
        <f>C8</f>
        <v>ainn</v>
      </c>
      <c r="Q8" s="57" t="str">
        <f>D8</f>
        <v>ainn</v>
      </c>
      <c r="S8" s="121" t="str">
        <f xml:space="preserve"> _xlfn.CONCAT(P8, "(\d)")</f>
        <v>ainn(\d)</v>
      </c>
      <c r="T8" s="124" t="s">
        <v>1225</v>
      </c>
      <c r="U8" s="124">
        <f xml:space="preserve"> IFERROR( IF(T8="", "", SEARCH(T8, $P8)), "")</f>
        <v>1</v>
      </c>
      <c r="V8" s="121" t="str">
        <f xml:space="preserve"> IFERROR( _xlfn.CONCAT(LEFT(P8,U8-1), "》", MID(P8,U8,1), "${1}", RIGHT(P8, LEN(P8)-U8)), "" )</f>
        <v>》a${1}inn</v>
      </c>
      <c r="W8" s="55"/>
      <c r="X8" s="56" t="str">
        <f xml:space="preserve"> IF(AND(Q8&lt;&gt;"", P8&lt;&gt;""), "    - xform/》" &amp; S8 &amp;  "/"  &amp; V8 &amp;  "/", "")</f>
        <v xml:space="preserve">    - xform/》ainn(\d)/》a${1}inn/</v>
      </c>
    </row>
    <row r="9" spans="1:50" ht="30.75" thickBot="1">
      <c r="A9" s="181">
        <f t="shared" si="5"/>
        <v>6</v>
      </c>
      <c r="B9" s="139" t="str">
        <f>_xlfn.CONCAT("a","k",_xlfn.UNICHAR(794))</f>
        <v>ak̚</v>
      </c>
      <c r="C9" s="141" t="s">
        <v>243</v>
      </c>
      <c r="D9" s="57" t="s">
        <v>243</v>
      </c>
      <c r="E9" s="57" t="s">
        <v>243</v>
      </c>
      <c r="F9" s="57" t="s">
        <v>243</v>
      </c>
      <c r="G9" s="60" t="s">
        <v>243</v>
      </c>
      <c r="H9" s="184" t="s">
        <v>2468</v>
      </c>
      <c r="I9" s="184" t="s">
        <v>2247</v>
      </c>
      <c r="J9" s="54" t="str">
        <f xml:space="preserve"> LEFT(台羅韻母表[[#This Row],[十五音識別碼]],1)</f>
        <v>江</v>
      </c>
      <c r="K9" s="54" t="s">
        <v>240</v>
      </c>
      <c r="L9" s="54" t="s">
        <v>244</v>
      </c>
      <c r="M9" s="57"/>
      <c r="N9" s="54">
        <f xml:space="preserve"> LEN(D9)</f>
        <v>2</v>
      </c>
      <c r="O9" s="73"/>
      <c r="P9" s="57" t="str">
        <f>C9</f>
        <v>ak</v>
      </c>
      <c r="Q9" s="57" t="str">
        <f>D9</f>
        <v>ak</v>
      </c>
      <c r="S9" s="121" t="str">
        <f xml:space="preserve"> _xlfn.CONCAT(P9, "(\d)")</f>
        <v>ak(\d)</v>
      </c>
      <c r="T9" s="124" t="s">
        <v>1178</v>
      </c>
      <c r="U9" s="124" t="str">
        <f xml:space="preserve"> IFERROR( IF(T9="", "", SEARCH(T9, $P9)), "")</f>
        <v/>
      </c>
      <c r="V9" s="121" t="str">
        <f xml:space="preserve"> IFERROR( _xlfn.CONCAT(LEFT(P9,U9-1), "》", MID(P9,U9,1), "${1}", RIGHT(P9, LEN(P9)-U9)), "" )</f>
        <v/>
      </c>
      <c r="W9" s="55"/>
      <c r="X9" s="56" t="str">
        <f xml:space="preserve"> IF(AND(Q9&lt;&gt;"", P9&lt;&gt;""), "    - xform/》" &amp; S9 &amp;  "/"  &amp; V9 &amp;  "/", "")</f>
        <v xml:space="preserve">    - xform/》ak(\d)//</v>
      </c>
    </row>
    <row r="10" spans="1:50" ht="27.75" thickBot="1">
      <c r="A10" s="181">
        <f t="shared" si="5"/>
        <v>7</v>
      </c>
      <c r="B10" s="139" t="s">
        <v>2399</v>
      </c>
      <c r="C10" s="141" t="s">
        <v>211</v>
      </c>
      <c r="D10" s="57" t="s">
        <v>211</v>
      </c>
      <c r="E10" s="57" t="s">
        <v>211</v>
      </c>
      <c r="F10" s="57" t="s">
        <v>211</v>
      </c>
      <c r="G10" s="60" t="s">
        <v>211</v>
      </c>
      <c r="H10" s="57" t="s">
        <v>213</v>
      </c>
      <c r="I10" s="57" t="s">
        <v>2244</v>
      </c>
      <c r="J10" s="54" t="str">
        <f xml:space="preserve"> LEFT(台羅韻母表[[#This Row],[十五音識別碼]],1)</f>
        <v>甘</v>
      </c>
      <c r="K10" s="54" t="s">
        <v>210</v>
      </c>
      <c r="L10" s="54" t="s">
        <v>214</v>
      </c>
      <c r="M10" s="57"/>
      <c r="N10" s="54">
        <f xml:space="preserve"> LEN(D10)</f>
        <v>2</v>
      </c>
      <c r="O10" s="73"/>
      <c r="P10" s="57" t="str">
        <f>C10</f>
        <v>am</v>
      </c>
      <c r="Q10" s="57" t="str">
        <f>D10</f>
        <v>am</v>
      </c>
      <c r="S10" s="121" t="str">
        <f xml:space="preserve"> _xlfn.CONCAT(P10, "(\d)")</f>
        <v>am(\d)</v>
      </c>
      <c r="T10" s="124" t="s">
        <v>1225</v>
      </c>
      <c r="U10" s="124">
        <f xml:space="preserve"> IFERROR( IF(T10="", "", SEARCH(T10, $P10)), "")</f>
        <v>1</v>
      </c>
      <c r="V10" s="121" t="str">
        <f xml:space="preserve"> IFERROR( _xlfn.CONCAT(LEFT(P10,U10-1), "》", MID(P10,U10,1), "${1}", RIGHT(P10, LEN(P10)-U10)), "" )</f>
        <v>》a${1}m</v>
      </c>
      <c r="W10" s="55"/>
      <c r="X10" s="56" t="str">
        <f xml:space="preserve"> IF(AND(Q10&lt;&gt;"", P10&lt;&gt;""), "    - xform/》" &amp; S10 &amp;  "/"  &amp; V10 &amp;  "/", "")</f>
        <v xml:space="preserve">    - xform/》am(\d)/》a${1}m/</v>
      </c>
      <c r="Z10" s="129" t="s">
        <v>1213</v>
      </c>
      <c r="AA10" s="132" t="str">
        <f xml:space="preserve"> _xlfn.CONCAT($Z10, IF(AA$3="", "", _xlfn.UNICHAR( HEX2DEC( RIGHT(AA$3,4)))))</f>
        <v>o</v>
      </c>
      <c r="AB10" s="132" t="str">
        <f xml:space="preserve"> _xlfn.CONCAT($Z10, IF(AB$3="", "", _xlfn.UNICHAR( HEX2DEC( RIGHT(AB$3,4)))))</f>
        <v>ó</v>
      </c>
      <c r="AC10" s="132" t="str">
        <f xml:space="preserve"> _xlfn.CONCAT($Z10, IF(AC$3="", "", _xlfn.UNICHAR( HEX2DEC( RIGHT(AC$3,4)))))</f>
        <v>ò</v>
      </c>
      <c r="AD10" s="132" t="str">
        <f xml:space="preserve"> _xlfn.CONCAT($Z10, IF(AD$3="", "", _xlfn.UNICHAR( HEX2DEC( RIGHT(AD$3,4)))))</f>
        <v>o</v>
      </c>
      <c r="AE10" s="132" t="str">
        <f xml:space="preserve"> _xlfn.CONCAT($Z10, IF(AE$3="", "", _xlfn.UNICHAR( HEX2DEC( RIGHT(AE$3,4)))))</f>
        <v>ǒ</v>
      </c>
      <c r="AF10" s="132" t="str">
        <f xml:space="preserve"> _xlfn.CONCAT($Z10, IF(AF$3="", "", _xlfn.UNICHAR( HEX2DEC( RIGHT(AF$3,4)))))</f>
        <v>ó</v>
      </c>
      <c r="AG10" s="132" t="str">
        <f xml:space="preserve"> _xlfn.CONCAT($Z10, IF(AG$3="", "", _xlfn.UNICHAR( HEX2DEC( RIGHT(AG$3,4)))))</f>
        <v>ō</v>
      </c>
      <c r="AH10" s="132" t="str">
        <f xml:space="preserve"> _xlfn.CONCAT($Z10, IF(AH$3="", "", _xlfn.UNICHAR( HEX2DEC( RIGHT(AH$3,4)))))</f>
        <v>o̍</v>
      </c>
      <c r="AI10" s="132" t="str">
        <f xml:space="preserve"> _xlfn.CONCAT($Z10, IF(AI$3="", "", _xlfn.UNICHAR( HEX2DEC( RIGHT(AI$3,4)))))</f>
        <v>ő</v>
      </c>
      <c r="AJ10" s="132" t="str">
        <f xml:space="preserve"> _xlfn.CONCAT($Z10, IF(AJ$3="", "", _xlfn.UNICHAR( HEX2DEC( RIGHT(AJ$3,4)))))</f>
        <v>o̊</v>
      </c>
      <c r="AL10" s="134" t="str">
        <f xml:space="preserve"> _xlfn.CONCAT("    - xform/》", $Z10, AA$1, "/", AA10, "/")</f>
        <v xml:space="preserve">    - xform/》o1/o/</v>
      </c>
      <c r="AM10" s="134" t="str">
        <f xml:space="preserve"> _xlfn.CONCAT("    - xform/》", $Z10, AB$1, "/", AB10, "/")</f>
        <v xml:space="preserve">    - xform/》o2/ó/</v>
      </c>
      <c r="AN10" s="134" t="str">
        <f xml:space="preserve"> _xlfn.CONCAT("    - xform/》", $Z10, AC$1, "/", AC10, "/")</f>
        <v xml:space="preserve">    - xform/》o3/ò/</v>
      </c>
      <c r="AO10" s="134" t="str">
        <f xml:space="preserve"> _xlfn.CONCAT("    - xform/》", $Z10, AD$1, "/", AD10, "/")</f>
        <v xml:space="preserve">    - xform/》o4/o/</v>
      </c>
      <c r="AP10" s="134" t="str">
        <f xml:space="preserve"> _xlfn.CONCAT("    - xform/》", $Z10, AE$1, "/", AE10, "/")</f>
        <v xml:space="preserve">    - xform/》o5/ǒ/</v>
      </c>
      <c r="AQ10" s="134" t="str">
        <f xml:space="preserve"> _xlfn.CONCAT("    - xform/》", $Z10, AF$1, "/", AF10, "/")</f>
        <v xml:space="preserve">    - xform/》o6/ó/</v>
      </c>
      <c r="AR10" s="134" t="str">
        <f xml:space="preserve"> _xlfn.CONCAT("    - xform/》", $Z10, AG$1, "/", AG10, "/")</f>
        <v xml:space="preserve">    - xform/》o7/ō/</v>
      </c>
      <c r="AS10" s="134" t="str">
        <f xml:space="preserve"> _xlfn.CONCAT("    - xform/》", $Z10, AH$1, "/", AH10, "/")</f>
        <v xml:space="preserve">    - xform/》o8/o̍/</v>
      </c>
      <c r="AT10" s="134" t="str">
        <f xml:space="preserve"> _xlfn.CONCAT("    - xform/》", $Z10, AI$1, "/", AI10, "/")</f>
        <v xml:space="preserve">    - xform/》o9/ő/</v>
      </c>
      <c r="AU10" s="134" t="str">
        <f xml:space="preserve"> _xlfn.CONCAT("    - xform/》", $Z10, AJ$1, "/", AJ10, "/")</f>
        <v xml:space="preserve">    - xform/》o9/o̊/</v>
      </c>
      <c r="AV10" s="132"/>
      <c r="AW10" s="132"/>
      <c r="AX10" s="129"/>
    </row>
    <row r="11" spans="1:50" ht="27.75" thickBot="1">
      <c r="A11" s="181">
        <f t="shared" si="5"/>
        <v>8</v>
      </c>
      <c r="B11" s="139" t="s">
        <v>2400</v>
      </c>
      <c r="C11" s="141" t="s">
        <v>69</v>
      </c>
      <c r="D11" s="57" t="s">
        <v>69</v>
      </c>
      <c r="E11" s="57" t="s">
        <v>69</v>
      </c>
      <c r="F11" s="57" t="s">
        <v>69</v>
      </c>
      <c r="G11" s="60" t="s">
        <v>69</v>
      </c>
      <c r="H11" s="57" t="s">
        <v>71</v>
      </c>
      <c r="I11" s="57" t="s">
        <v>71</v>
      </c>
      <c r="J11" s="54" t="str">
        <f xml:space="preserve"> LEFT(台羅韻母表[[#This Row],[十五音識別碼]],1)</f>
        <v>干</v>
      </c>
      <c r="K11" s="54" t="s">
        <v>68</v>
      </c>
      <c r="L11" s="54" t="s">
        <v>72</v>
      </c>
      <c r="M11" s="57"/>
      <c r="N11" s="54">
        <f xml:space="preserve"> LEN(D11)</f>
        <v>2</v>
      </c>
      <c r="O11" s="73"/>
      <c r="P11" s="57" t="str">
        <f>C11</f>
        <v>an</v>
      </c>
      <c r="Q11" s="57" t="str">
        <f>D11</f>
        <v>an</v>
      </c>
      <c r="S11" s="121" t="str">
        <f xml:space="preserve"> _xlfn.CONCAT(P11, "(\d)")</f>
        <v>an(\d)</v>
      </c>
      <c r="T11" s="124" t="s">
        <v>1225</v>
      </c>
      <c r="U11" s="124">
        <f xml:space="preserve"> IFERROR( IF(T11="", "", SEARCH(T11, $P11)), "")</f>
        <v>1</v>
      </c>
      <c r="V11" s="121" t="str">
        <f xml:space="preserve"> IFERROR( _xlfn.CONCAT(LEFT(P11,U11-1), "》", MID(P11,U11,1), "${1}", RIGHT(P11, LEN(P11)-U11)), "" )</f>
        <v>》a${1}n</v>
      </c>
      <c r="W11" s="55"/>
      <c r="X11" s="56" t="str">
        <f xml:space="preserve"> IF(AND(Q11&lt;&gt;"", P11&lt;&gt;""), "    - xform/》" &amp; S11 &amp;  "/"  &amp; V11 &amp;  "/", "")</f>
        <v xml:space="preserve">    - xform/》an(\d)/》a${1}n/</v>
      </c>
      <c r="Z11" s="129" t="s">
        <v>1303</v>
      </c>
      <c r="AA11" s="132" t="str">
        <f xml:space="preserve"> _xlfn.CONCAT($Z11, IF(AA$3="", "", _xlfn.UNICHAR( HEX2DEC( RIGHT(AA$3,4)))))</f>
        <v>m</v>
      </c>
      <c r="AB11" s="132" t="str">
        <f xml:space="preserve"> _xlfn.CONCAT($Z11, IF(AB$3="", "", _xlfn.UNICHAR( HEX2DEC( RIGHT(AB$3,4)))))</f>
        <v>ḿ</v>
      </c>
      <c r="AC11" s="132" t="str">
        <f xml:space="preserve"> _xlfn.CONCAT($Z11, IF(AC$3="", "", _xlfn.UNICHAR( HEX2DEC( RIGHT(AC$3,4)))))</f>
        <v>m̀</v>
      </c>
      <c r="AD11" s="132" t="str">
        <f xml:space="preserve"> _xlfn.CONCAT($Z11, IF(AD$3="", "", _xlfn.UNICHAR( HEX2DEC( RIGHT(AD$3,4)))))</f>
        <v>m</v>
      </c>
      <c r="AE11" s="132" t="str">
        <f xml:space="preserve"> _xlfn.CONCAT($Z11, IF(AE$3="", "", _xlfn.UNICHAR( HEX2DEC( RIGHT(AE$3,4)))))</f>
        <v>m̌</v>
      </c>
      <c r="AF11" s="132" t="str">
        <f xml:space="preserve"> _xlfn.CONCAT($Z11, IF(AF$3="", "", _xlfn.UNICHAR( HEX2DEC( RIGHT(AF$3,4)))))</f>
        <v>ḿ</v>
      </c>
      <c r="AG11" s="132" t="str">
        <f xml:space="preserve"> _xlfn.CONCAT($Z11, IF(AG$3="", "", _xlfn.UNICHAR( HEX2DEC( RIGHT(AG$3,4)))))</f>
        <v>m̄</v>
      </c>
      <c r="AH11" s="132" t="str">
        <f xml:space="preserve"> _xlfn.CONCAT($Z11, IF(AH$3="", "", _xlfn.UNICHAR( HEX2DEC( RIGHT(AH$3,4)))))</f>
        <v>m̍</v>
      </c>
      <c r="AI11" s="132" t="str">
        <f xml:space="preserve"> _xlfn.CONCAT($Z11, IF(AI$3="", "", _xlfn.UNICHAR( HEX2DEC( RIGHT(AI$3,4)))))</f>
        <v>m̋</v>
      </c>
      <c r="AJ11" s="132" t="str">
        <f xml:space="preserve"> _xlfn.CONCAT($Z11, IF(AJ$3="", "", _xlfn.UNICHAR( HEX2DEC( RIGHT(AJ$3,4)))))</f>
        <v>m̊</v>
      </c>
      <c r="AL11" s="134" t="str">
        <f xml:space="preserve"> _xlfn.CONCAT("    - xform/》", $Z11, AA$1, "/", AA11, "/")</f>
        <v xml:space="preserve">    - xform/》m1/m/</v>
      </c>
      <c r="AM11" s="134" t="str">
        <f xml:space="preserve"> _xlfn.CONCAT("    - xform/》", $Z11, AB$1, "/", AB11, "/")</f>
        <v xml:space="preserve">    - xform/》m2/ḿ/</v>
      </c>
      <c r="AN11" s="134" t="str">
        <f xml:space="preserve"> _xlfn.CONCAT("    - xform/》", $Z11, AC$1, "/", AC11, "/")</f>
        <v xml:space="preserve">    - xform/》m3/m̀/</v>
      </c>
      <c r="AO11" s="134" t="str">
        <f xml:space="preserve"> _xlfn.CONCAT("    - xform/》", $Z11, AD$1, "/", AD11, "/")</f>
        <v xml:space="preserve">    - xform/》m4/m/</v>
      </c>
      <c r="AP11" s="134" t="str">
        <f xml:space="preserve"> _xlfn.CONCAT("    - xform/》", $Z11, AE$1, "/", AE11, "/")</f>
        <v xml:space="preserve">    - xform/》m5/m̌/</v>
      </c>
      <c r="AQ11" s="134" t="str">
        <f xml:space="preserve"> _xlfn.CONCAT("    - xform/》", $Z11, AF$1, "/", AF11, "/")</f>
        <v xml:space="preserve">    - xform/》m6/ḿ/</v>
      </c>
      <c r="AR11" s="134" t="str">
        <f xml:space="preserve"> _xlfn.CONCAT("    - xform/》", $Z11, AG$1, "/", AG11, "/")</f>
        <v xml:space="preserve">    - xform/》m7/m̄/</v>
      </c>
      <c r="AS11" s="134" t="str">
        <f xml:space="preserve"> _xlfn.CONCAT("    - xform/》", $Z11, AH$1, "/", AH11, "/")</f>
        <v xml:space="preserve">    - xform/》m8/m̍/</v>
      </c>
      <c r="AT11" s="134" t="str">
        <f xml:space="preserve"> _xlfn.CONCAT("    - xform/》", $Z11, AI$1, "/", AI11, "/")</f>
        <v xml:space="preserve">    - xform/》m9/m̋/</v>
      </c>
      <c r="AU11" s="134" t="str">
        <f xml:space="preserve"> _xlfn.CONCAT("    - xform/》", $Z11, AJ$1, "/", AJ11, "/")</f>
        <v xml:space="preserve">    - xform/》m9/m̊/</v>
      </c>
      <c r="AV11" s="132"/>
      <c r="AW11" s="132"/>
      <c r="AX11" s="129"/>
    </row>
    <row r="12" spans="1:50" ht="27.75" thickBot="1">
      <c r="A12" s="181">
        <f t="shared" si="5"/>
        <v>9</v>
      </c>
      <c r="B12" s="139" t="s">
        <v>2401</v>
      </c>
      <c r="C12" s="141" t="s">
        <v>237</v>
      </c>
      <c r="D12" s="57" t="s">
        <v>237</v>
      </c>
      <c r="E12" s="57" t="s">
        <v>237</v>
      </c>
      <c r="F12" s="57" t="s">
        <v>237</v>
      </c>
      <c r="G12" s="60" t="s">
        <v>237</v>
      </c>
      <c r="H12" s="57" t="s">
        <v>2179</v>
      </c>
      <c r="I12" s="57" t="s">
        <v>2179</v>
      </c>
      <c r="J12" s="54" t="str">
        <f xml:space="preserve"> LEFT(台羅韻母表[[#This Row],[十五音識別碼]],1)</f>
        <v>江</v>
      </c>
      <c r="K12" s="54" t="s">
        <v>234</v>
      </c>
      <c r="L12" s="54" t="s">
        <v>238</v>
      </c>
      <c r="M12" s="57"/>
      <c r="N12" s="54">
        <f xml:space="preserve"> LEN(D12)</f>
        <v>3</v>
      </c>
      <c r="O12" s="73"/>
      <c r="P12" s="57" t="str">
        <f>C12</f>
        <v>ang</v>
      </c>
      <c r="Q12" s="57" t="str">
        <f>D12</f>
        <v>ang</v>
      </c>
      <c r="S12" s="121" t="str">
        <f xml:space="preserve"> _xlfn.CONCAT(P12, "(\d)")</f>
        <v>ang(\d)</v>
      </c>
      <c r="T12" s="124" t="s">
        <v>1225</v>
      </c>
      <c r="U12" s="124">
        <f xml:space="preserve"> IFERROR( IF(T12="", "", SEARCH(T12, $P12)), "")</f>
        <v>1</v>
      </c>
      <c r="V12" s="121" t="str">
        <f xml:space="preserve"> IFERROR( _xlfn.CONCAT(LEFT(P12,U12-1), "》", MID(P12,U12,1), "${1}", RIGHT(P12, LEN(P12)-U12)), "" )</f>
        <v>》a${1}ng</v>
      </c>
      <c r="W12" s="55"/>
      <c r="X12" s="56" t="str">
        <f xml:space="preserve"> IF(AND(Q12&lt;&gt;"", P12&lt;&gt;""), "    - xform/》" &amp; S12 &amp;  "/"  &amp; V12 &amp;  "/", "")</f>
        <v xml:space="preserve">    - xform/》ang(\d)/》a${1}ng/</v>
      </c>
      <c r="Z12" s="129" t="s">
        <v>1302</v>
      </c>
      <c r="AA12" s="132" t="str">
        <f xml:space="preserve"> _xlfn.CONCAT($Z12, IF(AA$3="", "", _xlfn.UNICHAR( HEX2DEC( RIGHT(AA$3,4)))))</f>
        <v>n</v>
      </c>
      <c r="AB12" s="132" t="str">
        <f xml:space="preserve"> _xlfn.CONCAT($Z12, IF(AB$3="", "", _xlfn.UNICHAR( HEX2DEC( RIGHT(AB$3,4)))))</f>
        <v>ń</v>
      </c>
      <c r="AC12" s="132" t="str">
        <f xml:space="preserve"> _xlfn.CONCAT($Z12, IF(AC$3="", "", _xlfn.UNICHAR( HEX2DEC( RIGHT(AC$3,4)))))</f>
        <v>ǹ</v>
      </c>
      <c r="AD12" s="132" t="str">
        <f xml:space="preserve"> _xlfn.CONCAT($Z12, IF(AD$3="", "", _xlfn.UNICHAR( HEX2DEC( RIGHT(AD$3,4)))))</f>
        <v>n</v>
      </c>
      <c r="AE12" s="132" t="str">
        <f xml:space="preserve"> _xlfn.CONCAT($Z12, IF(AE$3="", "", _xlfn.UNICHAR( HEX2DEC( RIGHT(AE$3,4)))))</f>
        <v>ň</v>
      </c>
      <c r="AF12" s="132" t="str">
        <f xml:space="preserve"> _xlfn.CONCAT($Z12, IF(AF$3="", "", _xlfn.UNICHAR( HEX2DEC( RIGHT(AF$3,4)))))</f>
        <v>ń</v>
      </c>
      <c r="AG12" s="132" t="str">
        <f xml:space="preserve"> _xlfn.CONCAT($Z12, IF(AG$3="", "", _xlfn.UNICHAR( HEX2DEC( RIGHT(AG$3,4)))))</f>
        <v>n̄</v>
      </c>
      <c r="AH12" s="132" t="str">
        <f xml:space="preserve"> _xlfn.CONCAT($Z12, IF(AH$3="", "", _xlfn.UNICHAR( HEX2DEC( RIGHT(AH$3,4)))))</f>
        <v>n̍</v>
      </c>
      <c r="AI12" s="132" t="str">
        <f xml:space="preserve"> _xlfn.CONCAT($Z12, IF(AI$3="", "", _xlfn.UNICHAR( HEX2DEC( RIGHT(AI$3,4)))))</f>
        <v>n̋</v>
      </c>
      <c r="AJ12" s="132" t="str">
        <f xml:space="preserve"> _xlfn.CONCAT($Z12, IF(AJ$3="", "", _xlfn.UNICHAR( HEX2DEC( RIGHT(AJ$3,4)))))</f>
        <v>n̊</v>
      </c>
      <c r="AL12" s="134" t="str">
        <f xml:space="preserve"> _xlfn.CONCAT("    - xform/》", $Z12, AA$1, "/", AA12, "/")</f>
        <v xml:space="preserve">    - xform/》n1/n/</v>
      </c>
      <c r="AM12" s="134" t="str">
        <f xml:space="preserve"> _xlfn.CONCAT("    - xform/》", $Z12, AB$1, "/", AB12, "/")</f>
        <v xml:space="preserve">    - xform/》n2/ń/</v>
      </c>
      <c r="AN12" s="134" t="str">
        <f xml:space="preserve"> _xlfn.CONCAT("    - xform/》", $Z12, AC$1, "/", AC12, "/")</f>
        <v xml:space="preserve">    - xform/》n3/ǹ/</v>
      </c>
      <c r="AO12" s="134" t="str">
        <f xml:space="preserve"> _xlfn.CONCAT("    - xform/》", $Z12, AD$1, "/", AD12, "/")</f>
        <v xml:space="preserve">    - xform/》n4/n/</v>
      </c>
      <c r="AP12" s="134" t="str">
        <f xml:space="preserve"> _xlfn.CONCAT("    - xform/》", $Z12, AE$1, "/", AE12, "/")</f>
        <v xml:space="preserve">    - xform/》n5/ň/</v>
      </c>
      <c r="AQ12" s="134" t="str">
        <f xml:space="preserve"> _xlfn.CONCAT("    - xform/》", $Z12, AF$1, "/", AF12, "/")</f>
        <v xml:space="preserve">    - xform/》n6/ń/</v>
      </c>
      <c r="AR12" s="134" t="str">
        <f xml:space="preserve"> _xlfn.CONCAT("    - xform/》", $Z12, AG$1, "/", AG12, "/")</f>
        <v xml:space="preserve">    - xform/》n7/n̄/</v>
      </c>
      <c r="AS12" s="134" t="str">
        <f xml:space="preserve"> _xlfn.CONCAT("    - xform/》", $Z12, AH$1, "/", AH12, "/")</f>
        <v xml:space="preserve">    - xform/》n8/n̍/</v>
      </c>
      <c r="AT12" s="134" t="str">
        <f xml:space="preserve"> _xlfn.CONCAT("    - xform/》", $Z12, AI$1, "/", AI12, "/")</f>
        <v xml:space="preserve">    - xform/》n9/n̋/</v>
      </c>
      <c r="AU12" s="134" t="str">
        <f xml:space="preserve"> _xlfn.CONCAT("    - xform/》", $Z12, AJ$1, "/", AJ12, "/")</f>
        <v xml:space="preserve">    - xform/》n9/n̊/</v>
      </c>
      <c r="AV12" s="132"/>
      <c r="AW12" s="132"/>
      <c r="AX12" s="129"/>
    </row>
    <row r="13" spans="1:50" ht="27.75" thickBot="1">
      <c r="A13" s="181">
        <f t="shared" si="5"/>
        <v>10</v>
      </c>
      <c r="B13" s="139" t="s">
        <v>2396</v>
      </c>
      <c r="C13" s="141" t="s">
        <v>297</v>
      </c>
      <c r="D13" s="57" t="s">
        <v>297</v>
      </c>
      <c r="E13" s="57" t="s">
        <v>297</v>
      </c>
      <c r="F13" s="57" t="s">
        <v>299</v>
      </c>
      <c r="G13" s="60" t="s">
        <v>298</v>
      </c>
      <c r="H13" s="57" t="s">
        <v>296</v>
      </c>
      <c r="I13" s="57" t="s">
        <v>2254</v>
      </c>
      <c r="J13" s="54" t="str">
        <f xml:space="preserve"> LEFT(台羅韻母表[[#This Row],[十五音識別碼]],1)</f>
        <v>監</v>
      </c>
      <c r="K13" s="54" t="s">
        <v>293</v>
      </c>
      <c r="L13" s="54" t="s">
        <v>300</v>
      </c>
      <c r="M13" s="135" t="s">
        <v>1309</v>
      </c>
      <c r="N13" s="54">
        <f xml:space="preserve"> LEN(D13)</f>
        <v>3</v>
      </c>
      <c r="O13" s="73"/>
      <c r="P13" s="57" t="str">
        <f>C13</f>
        <v>ann</v>
      </c>
      <c r="Q13" s="57" t="str">
        <f>D13</f>
        <v>ann</v>
      </c>
      <c r="S13" s="121" t="str">
        <f xml:space="preserve"> _xlfn.CONCAT(P13, "(\d)")</f>
        <v>ann(\d)</v>
      </c>
      <c r="T13" s="126" t="s">
        <v>1225</v>
      </c>
      <c r="U13" s="124">
        <f xml:space="preserve"> IFERROR( IF(T13="", "", SEARCH(T13, $P13)), "")</f>
        <v>1</v>
      </c>
      <c r="V13" s="121" t="str">
        <f xml:space="preserve"> IFERROR( _xlfn.CONCAT(LEFT(P13,U13-1), "》", MID(P13,U13,1), "${1}", RIGHT(P13, LEN(P13)-U13)), "" )</f>
        <v>》a${1}nn</v>
      </c>
      <c r="W13" s="55"/>
      <c r="X13" s="56" t="str">
        <f xml:space="preserve"> IF(AND(Q13&lt;&gt;"", P13&lt;&gt;""), "    - xform/》" &amp; S13 &amp;  "/"  &amp; V13 &amp;  "/", "")</f>
        <v xml:space="preserve">    - xform/》ann(\d)/》a${1}nn/</v>
      </c>
      <c r="Z13" s="129" t="s">
        <v>1226</v>
      </c>
      <c r="AA13" s="132" t="str">
        <f xml:space="preserve"> _xlfn.CONCAT($Z13, IF(AA$3="", "", _xlfn.UNICHAR( HEX2DEC( RIGHT(AA$3,4)))))</f>
        <v>i</v>
      </c>
      <c r="AB13" s="132" t="str">
        <f xml:space="preserve"> _xlfn.CONCAT($Z13, IF(AB$3="", "", _xlfn.UNICHAR( HEX2DEC( RIGHT(AB$3,4)))))</f>
        <v>í</v>
      </c>
      <c r="AC13" s="132" t="str">
        <f xml:space="preserve"> _xlfn.CONCAT($Z13, IF(AC$3="", "", _xlfn.UNICHAR( HEX2DEC( RIGHT(AC$3,4)))))</f>
        <v>ì</v>
      </c>
      <c r="AD13" s="132" t="str">
        <f xml:space="preserve"> _xlfn.CONCAT($Z13, IF(AD$3="", "", _xlfn.UNICHAR( HEX2DEC( RIGHT(AD$3,4)))))</f>
        <v>i</v>
      </c>
      <c r="AE13" s="132" t="str">
        <f xml:space="preserve"> _xlfn.CONCAT($Z13, IF(AE$3="", "", _xlfn.UNICHAR( HEX2DEC( RIGHT(AE$3,4)))))</f>
        <v>ǐ</v>
      </c>
      <c r="AF13" s="132" t="str">
        <f xml:space="preserve"> _xlfn.CONCAT($Z13, IF(AF$3="", "", _xlfn.UNICHAR( HEX2DEC( RIGHT(AF$3,4)))))</f>
        <v>í</v>
      </c>
      <c r="AG13" s="132" t="str">
        <f xml:space="preserve"> _xlfn.CONCAT($Z13, IF(AG$3="", "", _xlfn.UNICHAR( HEX2DEC( RIGHT(AG$3,4)))))</f>
        <v>ī</v>
      </c>
      <c r="AH13" s="132" t="str">
        <f xml:space="preserve"> _xlfn.CONCAT($Z13, IF(AH$3="", "", _xlfn.UNICHAR( HEX2DEC( RIGHT(AH$3,4)))))</f>
        <v>i̍</v>
      </c>
      <c r="AI13" s="132" t="str">
        <f xml:space="preserve"> _xlfn.CONCAT($Z13, IF(AI$3="", "", _xlfn.UNICHAR( HEX2DEC( RIGHT(AI$3,4)))))</f>
        <v>i̋</v>
      </c>
      <c r="AJ13" s="132" t="str">
        <f xml:space="preserve"> _xlfn.CONCAT($Z13, IF(AJ$3="", "", _xlfn.UNICHAR( HEX2DEC( RIGHT(AJ$3,4)))))</f>
        <v>i̊</v>
      </c>
      <c r="AL13" s="134" t="str">
        <f xml:space="preserve"> _xlfn.CONCAT("    - xform/》", $Z13, AA$1, "/", AA13, "/")</f>
        <v xml:space="preserve">    - xform/》i1/i/</v>
      </c>
      <c r="AM13" s="134" t="str">
        <f xml:space="preserve"> _xlfn.CONCAT("    - xform/》", $Z13, AB$1, "/", AB13, "/")</f>
        <v xml:space="preserve">    - xform/》i2/í/</v>
      </c>
      <c r="AN13" s="134" t="str">
        <f xml:space="preserve"> _xlfn.CONCAT("    - xform/》", $Z13, AC$1, "/", AC13, "/")</f>
        <v xml:space="preserve">    - xform/》i3/ì/</v>
      </c>
      <c r="AO13" s="134" t="str">
        <f xml:space="preserve"> _xlfn.CONCAT("    - xform/》", $Z13, AD$1, "/", AD13, "/")</f>
        <v xml:space="preserve">    - xform/》i4/i/</v>
      </c>
      <c r="AP13" s="134" t="str">
        <f xml:space="preserve"> _xlfn.CONCAT("    - xform/》", $Z13, AE$1, "/", AE13, "/")</f>
        <v xml:space="preserve">    - xform/》i5/ǐ/</v>
      </c>
      <c r="AQ13" s="134" t="str">
        <f xml:space="preserve"> _xlfn.CONCAT("    - xform/》", $Z13, AF$1, "/", AF13, "/")</f>
        <v xml:space="preserve">    - xform/》i6/í/</v>
      </c>
      <c r="AR13" s="134" t="str">
        <f xml:space="preserve"> _xlfn.CONCAT("    - xform/》", $Z13, AG$1, "/", AG13, "/")</f>
        <v xml:space="preserve">    - xform/》i7/ī/</v>
      </c>
      <c r="AS13" s="134" t="str">
        <f xml:space="preserve"> _xlfn.CONCAT("    - xform/》", $Z13, AH$1, "/", AH13, "/")</f>
        <v xml:space="preserve">    - xform/》i8/i̍/</v>
      </c>
      <c r="AT13" s="134" t="str">
        <f xml:space="preserve"> _xlfn.CONCAT("    - xform/》", $Z13, AI$1, "/", AI13, "/")</f>
        <v xml:space="preserve">    - xform/》i9/i̋/</v>
      </c>
      <c r="AU13" s="134" t="str">
        <f xml:space="preserve"> _xlfn.CONCAT("    - xform/》", $Z13, AJ$1, "/", AJ13, "/")</f>
        <v xml:space="preserve">    - xform/》i9/i̊/</v>
      </c>
      <c r="AV13" s="132"/>
      <c r="AW13" s="132"/>
      <c r="AX13" s="129"/>
    </row>
    <row r="14" spans="1:50" ht="27.75" thickBot="1">
      <c r="A14" s="181">
        <f t="shared" si="5"/>
        <v>11</v>
      </c>
      <c r="B14" s="139" t="s">
        <v>2398</v>
      </c>
      <c r="C14" s="141" t="s">
        <v>304</v>
      </c>
      <c r="D14" s="57" t="s">
        <v>1241</v>
      </c>
      <c r="E14" s="57" t="s">
        <v>304</v>
      </c>
      <c r="F14" s="74" t="s">
        <v>1198</v>
      </c>
      <c r="G14" s="60" t="s">
        <v>898</v>
      </c>
      <c r="H14" s="57" t="s">
        <v>1318</v>
      </c>
      <c r="I14" s="57" t="s">
        <v>2255</v>
      </c>
      <c r="J14" s="54" t="str">
        <f xml:space="preserve"> LEFT(台羅韻母表[[#This Row],[十五音識別碼]],1)</f>
        <v>監</v>
      </c>
      <c r="K14" s="54" t="s">
        <v>302</v>
      </c>
      <c r="L14" s="54" t="s">
        <v>306</v>
      </c>
      <c r="M14" s="135" t="s">
        <v>1309</v>
      </c>
      <c r="N14" s="54">
        <f t="shared" si="0"/>
        <v>4</v>
      </c>
      <c r="O14" s="73"/>
      <c r="P14" s="57" t="str">
        <f t="shared" si="1"/>
        <v>annh</v>
      </c>
      <c r="Q14" s="57" t="str">
        <f t="shared" si="2"/>
        <v>annh</v>
      </c>
      <c r="S14" s="121" t="str">
        <f t="shared" ref="S14:S84" si="6" xml:space="preserve"> _xlfn.CONCAT(P14, "(\d)")</f>
        <v>annh(\d)</v>
      </c>
      <c r="T14" s="124" t="s">
        <v>1225</v>
      </c>
      <c r="U14" s="124">
        <f t="shared" ref="U14:U84" si="7" xml:space="preserve"> IFERROR( IF(T14="", "", SEARCH(T14, $P14)), "")</f>
        <v>1</v>
      </c>
      <c r="V14" s="121" t="str">
        <f t="shared" ref="V14:V88" si="8" xml:space="preserve"> IFERROR( _xlfn.CONCAT(LEFT(P14,U14-1), "》", MID(P14,U14,1), "${1}", RIGHT(P14, LEN(P14)-U14)), "" )</f>
        <v>》a${1}nnh</v>
      </c>
      <c r="W14" s="55"/>
      <c r="X14" s="56" t="str">
        <f t="shared" ref="X14:X84" si="9" xml:space="preserve"> IF(AND(Q14&lt;&gt;"", P14&lt;&gt;""), "    - xform/》" &amp; S14 &amp;  "/"  &amp; V14 &amp;  "/", "")</f>
        <v xml:space="preserve">    - xform/》annh(\d)/》a${1}nnh/</v>
      </c>
      <c r="Z14" s="129" t="s">
        <v>1178</v>
      </c>
      <c r="AA14" s="132" t="str">
        <f t="shared" ref="AA14:AJ14" si="10" xml:space="preserve"> _xlfn.CONCAT($Z14, IF(AA$3="", "", _xlfn.UNICHAR( HEX2DEC( RIGHT(AA$3,4)))))</f>
        <v>e</v>
      </c>
      <c r="AB14" s="132" t="str">
        <f t="shared" si="10"/>
        <v>é</v>
      </c>
      <c r="AC14" s="132" t="str">
        <f t="shared" si="10"/>
        <v>è</v>
      </c>
      <c r="AD14" s="132" t="str">
        <f t="shared" si="10"/>
        <v>e</v>
      </c>
      <c r="AE14" s="132" t="str">
        <f t="shared" si="10"/>
        <v>ě</v>
      </c>
      <c r="AF14" s="132" t="str">
        <f t="shared" si="10"/>
        <v>é</v>
      </c>
      <c r="AG14" s="132" t="str">
        <f t="shared" si="10"/>
        <v>ē</v>
      </c>
      <c r="AH14" s="132" t="str">
        <f t="shared" si="10"/>
        <v>e̍</v>
      </c>
      <c r="AI14" s="132" t="str">
        <f t="shared" si="10"/>
        <v>e̋</v>
      </c>
      <c r="AJ14" s="132" t="str">
        <f t="shared" si="10"/>
        <v>e̊</v>
      </c>
      <c r="AL14" s="134" t="str">
        <f t="shared" si="4"/>
        <v xml:space="preserve">    - xform/》e1/e/</v>
      </c>
      <c r="AM14" s="134" t="str">
        <f t="shared" si="4"/>
        <v xml:space="preserve">    - xform/》e2/é/</v>
      </c>
      <c r="AN14" s="134" t="str">
        <f t="shared" si="4"/>
        <v xml:space="preserve">    - xform/》e3/è/</v>
      </c>
      <c r="AO14" s="134" t="str">
        <f t="shared" si="4"/>
        <v xml:space="preserve">    - xform/》e4/e/</v>
      </c>
      <c r="AP14" s="134" t="str">
        <f t="shared" si="4"/>
        <v xml:space="preserve">    - xform/》e5/ě/</v>
      </c>
      <c r="AQ14" s="134" t="str">
        <f t="shared" si="4"/>
        <v xml:space="preserve">    - xform/》e6/é/</v>
      </c>
      <c r="AR14" s="134" t="str">
        <f t="shared" si="4"/>
        <v xml:space="preserve">    - xform/》e7/ē/</v>
      </c>
      <c r="AS14" s="134" t="str">
        <f t="shared" si="4"/>
        <v xml:space="preserve">    - xform/》e8/e̍/</v>
      </c>
      <c r="AT14" s="134" t="str">
        <f t="shared" si="4"/>
        <v xml:space="preserve">    - xform/》e9/e̋/</v>
      </c>
      <c r="AU14" s="134" t="str">
        <f t="shared" si="4"/>
        <v xml:space="preserve">    - xform/》e9/e̊/</v>
      </c>
      <c r="AV14" s="132"/>
      <c r="AW14" s="132"/>
      <c r="AX14" s="129"/>
    </row>
    <row r="15" spans="1:50" ht="27.75" thickBot="1">
      <c r="A15" s="181">
        <f t="shared" si="5"/>
        <v>12</v>
      </c>
      <c r="B15" s="139" t="str">
        <f>_xlfn.CONCAT("a","p",_xlfn.UNICHAR(794))</f>
        <v>ap̚</v>
      </c>
      <c r="C15" s="141" t="s">
        <v>219</v>
      </c>
      <c r="D15" s="57" t="s">
        <v>219</v>
      </c>
      <c r="E15" s="57" t="s">
        <v>219</v>
      </c>
      <c r="F15" s="57" t="s">
        <v>219</v>
      </c>
      <c r="G15" s="60" t="s">
        <v>219</v>
      </c>
      <c r="H15" s="57" t="s">
        <v>218</v>
      </c>
      <c r="I15" s="57" t="s">
        <v>2245</v>
      </c>
      <c r="J15" s="54" t="str">
        <f xml:space="preserve"> LEFT(台羅韻母表[[#This Row],[十五音識別碼]],1)</f>
        <v>甘</v>
      </c>
      <c r="K15" s="54" t="s">
        <v>216</v>
      </c>
      <c r="L15" s="54" t="s">
        <v>220</v>
      </c>
      <c r="M15" s="57"/>
      <c r="N15" s="54">
        <f xml:space="preserve"> LEN(D15)</f>
        <v>2</v>
      </c>
      <c r="O15" s="73"/>
      <c r="P15" s="57" t="str">
        <f>C15</f>
        <v>ap</v>
      </c>
      <c r="Q15" s="57" t="str">
        <f>D15</f>
        <v>ap</v>
      </c>
      <c r="S15" s="121" t="str">
        <f xml:space="preserve"> _xlfn.CONCAT(P15, "(\d)")</f>
        <v>ap(\d)</v>
      </c>
      <c r="T15" s="124" t="s">
        <v>1225</v>
      </c>
      <c r="U15" s="124">
        <f xml:space="preserve"> IFERROR( IF(T15="", "", SEARCH(T15, $P15)), "")</f>
        <v>1</v>
      </c>
      <c r="V15" s="121" t="str">
        <f xml:space="preserve"> IFERROR( _xlfn.CONCAT(LEFT(P15,U15-1), "》", MID(P15,U15,1), "${1}", RIGHT(P15, LEN(P15)-U15)), "" )</f>
        <v>》a${1}p</v>
      </c>
      <c r="W15" s="55"/>
      <c r="X15" s="56" t="str">
        <f xml:space="preserve"> IF(AND(Q15&lt;&gt;"", P15&lt;&gt;""), "    - xform/》" &amp; S15 &amp;  "/"  &amp; V15 &amp;  "/", "")</f>
        <v xml:space="preserve">    - xform/》ap(\d)/》a${1}p/</v>
      </c>
    </row>
    <row r="16" spans="1:50" ht="27.75" thickBot="1">
      <c r="A16" s="181">
        <f t="shared" si="5"/>
        <v>13</v>
      </c>
      <c r="B16" s="139" t="str">
        <f>_xlfn.CONCAT("a","t",_xlfn.UNICHAR(794))</f>
        <v>at̚</v>
      </c>
      <c r="C16" s="141" t="s">
        <v>77</v>
      </c>
      <c r="D16" s="57" t="s">
        <v>77</v>
      </c>
      <c r="E16" s="57" t="s">
        <v>77</v>
      </c>
      <c r="F16" s="57" t="s">
        <v>77</v>
      </c>
      <c r="G16" s="60" t="s">
        <v>77</v>
      </c>
      <c r="H16" s="57" t="s">
        <v>76</v>
      </c>
      <c r="I16" s="57" t="s">
        <v>2231</v>
      </c>
      <c r="J16" s="54" t="str">
        <f xml:space="preserve"> LEFT(台羅韻母表[[#This Row],[十五音識別碼]],1)</f>
        <v>干</v>
      </c>
      <c r="K16" s="54" t="s">
        <v>74</v>
      </c>
      <c r="L16" s="54" t="s">
        <v>78</v>
      </c>
      <c r="M16" s="57"/>
      <c r="N16" s="54">
        <f xml:space="preserve"> LEN(D16)</f>
        <v>2</v>
      </c>
      <c r="O16" s="73"/>
      <c r="P16" s="57" t="str">
        <f>C16</f>
        <v>at</v>
      </c>
      <c r="Q16" s="57" t="str">
        <f>D16</f>
        <v>at</v>
      </c>
      <c r="S16" s="121" t="str">
        <f xml:space="preserve"> _xlfn.CONCAT(P16, "(\d)")</f>
        <v>at(\d)</v>
      </c>
      <c r="T16" s="124" t="s">
        <v>1213</v>
      </c>
      <c r="U16" s="124" t="str">
        <f xml:space="preserve"> IFERROR( IF(T16="", "", SEARCH(T16, $P16)), "")</f>
        <v/>
      </c>
      <c r="V16" s="121" t="str">
        <f xml:space="preserve"> IFERROR( _xlfn.CONCAT(LEFT(P16,U16-1), "》", MID(P16,U16,1), "${1}", RIGHT(P16, LEN(P16)-U16)), "" )</f>
        <v/>
      </c>
      <c r="W16" s="55"/>
      <c r="X16" s="56" t="str">
        <f xml:space="preserve"> IF(AND(Q16&lt;&gt;"", P16&lt;&gt;""), "    - xform/》" &amp; S16 &amp;  "/"  &amp; V16 &amp;  "/", "")</f>
        <v xml:space="preserve">    - xform/》at(\d)//</v>
      </c>
    </row>
    <row r="17" spans="1:24" ht="27.75" thickBot="1">
      <c r="A17" s="181">
        <f t="shared" si="5"/>
        <v>14</v>
      </c>
      <c r="B17" s="139" t="s">
        <v>2360</v>
      </c>
      <c r="C17" s="141" t="s">
        <v>260</v>
      </c>
      <c r="D17" s="57" t="s">
        <v>260</v>
      </c>
      <c r="E17" s="57" t="s">
        <v>260</v>
      </c>
      <c r="F17" s="57" t="s">
        <v>263</v>
      </c>
      <c r="G17" s="60" t="s">
        <v>260</v>
      </c>
      <c r="H17" s="57" t="s">
        <v>262</v>
      </c>
      <c r="I17" s="57" t="s">
        <v>262</v>
      </c>
      <c r="J17" s="54" t="str">
        <f xml:space="preserve"> LEFT(台羅韻母表[[#This Row],[十五音識別碼]],1)</f>
        <v>交</v>
      </c>
      <c r="K17" s="54" t="s">
        <v>259</v>
      </c>
      <c r="L17" s="54" t="s">
        <v>264</v>
      </c>
      <c r="M17" s="57"/>
      <c r="N17" s="54">
        <f xml:space="preserve"> LEN(D17)</f>
        <v>2</v>
      </c>
      <c r="O17" s="73"/>
      <c r="P17" s="57" t="str">
        <f>C17</f>
        <v>au</v>
      </c>
      <c r="Q17" s="57" t="str">
        <f>D17</f>
        <v>au</v>
      </c>
      <c r="S17" s="121" t="str">
        <f xml:space="preserve"> _xlfn.CONCAT(P17, "(\d)")</f>
        <v>au(\d)</v>
      </c>
      <c r="T17" s="124" t="s">
        <v>1225</v>
      </c>
      <c r="U17" s="124">
        <f xml:space="preserve"> IFERROR( IF(T17="", "", SEARCH(T17, $P17)), "")</f>
        <v>1</v>
      </c>
      <c r="V17" s="121" t="str">
        <f xml:space="preserve"> IFERROR( _xlfn.CONCAT(LEFT(P17,U17-1), "》", MID(P17,U17,1), "${1}", RIGHT(P17, LEN(P17)-U17)), "" )</f>
        <v>》a${1}u</v>
      </c>
      <c r="W17" s="55"/>
      <c r="X17" s="56" t="str">
        <f xml:space="preserve"> IF(AND(Q17&lt;&gt;"", P17&lt;&gt;""), "    - xform/》" &amp; S17 &amp;  "/"  &amp; V17 &amp;  "/", "")</f>
        <v xml:space="preserve">    - xform/》au(\d)/》a${1}u/</v>
      </c>
    </row>
    <row r="18" spans="1:24" ht="30.75" thickBot="1">
      <c r="A18" s="181">
        <f t="shared" si="5"/>
        <v>15</v>
      </c>
      <c r="B18" s="139" t="s">
        <v>2405</v>
      </c>
      <c r="C18" s="141" t="s">
        <v>267</v>
      </c>
      <c r="D18" s="57" t="s">
        <v>267</v>
      </c>
      <c r="E18" s="57" t="s">
        <v>267</v>
      </c>
      <c r="F18" s="57" t="s">
        <v>268</v>
      </c>
      <c r="G18" s="60" t="s">
        <v>267</v>
      </c>
      <c r="H18" s="184" t="s">
        <v>2465</v>
      </c>
      <c r="I18" s="184" t="s">
        <v>2250</v>
      </c>
      <c r="J18" s="54" t="str">
        <f xml:space="preserve"> LEFT(台羅韻母表[[#This Row],[十五音識別碼]],1)</f>
        <v>交</v>
      </c>
      <c r="K18" s="54" t="s">
        <v>266</v>
      </c>
      <c r="L18" s="54" t="s">
        <v>269</v>
      </c>
      <c r="M18" s="57"/>
      <c r="N18" s="54">
        <f xml:space="preserve"> LEN(D18)</f>
        <v>3</v>
      </c>
      <c r="O18" s="73"/>
      <c r="P18" s="57" t="str">
        <f>C18</f>
        <v>auh</v>
      </c>
      <c r="Q18" s="57" t="str">
        <f>D18</f>
        <v>auh</v>
      </c>
      <c r="S18" s="121" t="str">
        <f xml:space="preserve"> _xlfn.CONCAT(P18, "(\d)")</f>
        <v>auh(\d)</v>
      </c>
      <c r="T18" s="124" t="s">
        <v>1225</v>
      </c>
      <c r="U18" s="124">
        <f xml:space="preserve"> IFERROR( IF(T18="", "", SEARCH(T18, $P18)), "")</f>
        <v>1</v>
      </c>
      <c r="V18" s="121" t="str">
        <f xml:space="preserve"> IFERROR( _xlfn.CONCAT(LEFT(P18,U18-1), "》", MID(P18,U18,1), "${1}", RIGHT(P18, LEN(P18)-U18)), "" )</f>
        <v>》a${1}uh</v>
      </c>
      <c r="W18" s="55"/>
      <c r="X18" s="56" t="str">
        <f xml:space="preserve"> IF(AND(Q18&lt;&gt;"", P18&lt;&gt;""), "    - xform/》" &amp; S18 &amp;  "/"  &amp; V18 &amp;  "/", "")</f>
        <v xml:space="preserve">    - xform/》auh(\d)/》a${1}uh/</v>
      </c>
    </row>
    <row r="19" spans="1:24" ht="27.75" thickBot="1">
      <c r="A19" s="181">
        <f t="shared" si="5"/>
        <v>16</v>
      </c>
      <c r="B19" s="139" t="s">
        <v>2362</v>
      </c>
      <c r="C19" s="141" t="s">
        <v>60</v>
      </c>
      <c r="D19" s="57" t="s">
        <v>153</v>
      </c>
      <c r="E19" s="57" t="s">
        <v>60</v>
      </c>
      <c r="F19" s="57" t="s">
        <v>60</v>
      </c>
      <c r="G19" s="60" t="s">
        <v>2199</v>
      </c>
      <c r="H19" s="57" t="s">
        <v>155</v>
      </c>
      <c r="I19" s="57" t="s">
        <v>58</v>
      </c>
      <c r="J19" s="54" t="str">
        <f xml:space="preserve"> LEFT(台羅韻母表[[#This Row],[十五音識別碼]],1)</f>
        <v>稽</v>
      </c>
      <c r="K19" s="54" t="s">
        <v>152</v>
      </c>
      <c r="L19" s="54" t="s">
        <v>156</v>
      </c>
      <c r="M19" s="57"/>
      <c r="N19" s="54">
        <f t="shared" si="0"/>
        <v>2</v>
      </c>
      <c r="O19" s="73"/>
      <c r="P19" s="57" t="str">
        <f>C27</f>
        <v>i</v>
      </c>
      <c r="Q19" s="57" t="str">
        <f>D27</f>
        <v>i</v>
      </c>
      <c r="S19" s="121" t="str">
        <f t="shared" si="6"/>
        <v>i(\d)</v>
      </c>
      <c r="T19" s="124" t="s">
        <v>1213</v>
      </c>
      <c r="U19" s="124" t="str">
        <f t="shared" si="7"/>
        <v/>
      </c>
      <c r="V19" s="121" t="str">
        <f t="shared" si="8"/>
        <v/>
      </c>
      <c r="W19" s="55"/>
      <c r="X19" s="56" t="str">
        <f t="shared" si="9"/>
        <v xml:space="preserve">    - xform/》i(\d)//</v>
      </c>
    </row>
    <row r="20" spans="1:24" ht="27.75" thickBot="1">
      <c r="A20" s="181">
        <f t="shared" ref="A20:A21" si="11" xml:space="preserve"> ROW() - 3</f>
        <v>17</v>
      </c>
      <c r="B20" s="139" t="s">
        <v>2427</v>
      </c>
      <c r="C20" s="141" t="s">
        <v>2456</v>
      </c>
      <c r="D20" s="74" t="s">
        <v>2456</v>
      </c>
      <c r="E20" s="185"/>
      <c r="F20" s="185"/>
      <c r="G20" s="185"/>
      <c r="H20" s="182" t="s">
        <v>2464</v>
      </c>
      <c r="I20" s="182" t="s">
        <v>58</v>
      </c>
      <c r="J20" s="54" t="str">
        <f xml:space="preserve"> LEFT(台羅韻母表[[#This Row],[十五音識別碼]],1)</f>
        <v>嘉</v>
      </c>
      <c r="K20" s="54" t="s">
        <v>55</v>
      </c>
      <c r="L20" s="145" t="s">
        <v>61</v>
      </c>
      <c r="M20" s="57"/>
      <c r="N20" s="54">
        <f t="shared" ref="N20:N21" si="12" xml:space="preserve"> LEN(D20)</f>
        <v>2</v>
      </c>
      <c r="O20" s="73"/>
      <c r="P20" s="57" t="str">
        <f>C19</f>
        <v>e</v>
      </c>
      <c r="Q20" s="57" t="str">
        <f>D19</f>
        <v>ei</v>
      </c>
      <c r="S20" s="121" t="str">
        <f xml:space="preserve"> _xlfn.CONCAT(P20, "(\d)")</f>
        <v>e(\d)</v>
      </c>
      <c r="T20" s="124" t="s">
        <v>1226</v>
      </c>
      <c r="U20" s="124" t="str">
        <f xml:space="preserve"> IFERROR( IF(T20="", "", SEARCH(T20, $P20)), "")</f>
        <v/>
      </c>
      <c r="V20" s="121" t="str">
        <f xml:space="preserve"> IFERROR( _xlfn.CONCAT(LEFT(P20,U20-1), "》", MID(P20,U20,1), "${1}", RIGHT(P20, LEN(P20)-U20)), "" )</f>
        <v/>
      </c>
      <c r="W20" s="55"/>
      <c r="X20" s="56" t="str">
        <f xml:space="preserve"> IF(AND(Q20&lt;&gt;"", P20&lt;&gt;""), "    - xform/》" &amp; S20 &amp;  "/"  &amp; V20 &amp;  "/", "")</f>
        <v xml:space="preserve">    - xform/》e(\d)//</v>
      </c>
    </row>
    <row r="21" spans="1:24" ht="27.75" thickBot="1">
      <c r="A21" s="181">
        <f t="shared" si="11"/>
        <v>18</v>
      </c>
      <c r="B21" s="139" t="str">
        <f xml:space="preserve"> _xlfn.CONCAT(B20, "ʔ")</f>
        <v>ɛʔ</v>
      </c>
      <c r="C21" s="141" t="s">
        <v>2457</v>
      </c>
      <c r="D21" s="74" t="s">
        <v>2457</v>
      </c>
      <c r="E21" s="185"/>
      <c r="F21" s="185"/>
      <c r="G21" s="185"/>
      <c r="H21" s="182" t="s">
        <v>2466</v>
      </c>
      <c r="I21" s="182" t="s">
        <v>2230</v>
      </c>
      <c r="J21" s="54" t="str">
        <f xml:space="preserve"> LEFT(台羅韻母表[[#This Row],[十五音識別碼]],1)</f>
        <v>嘉</v>
      </c>
      <c r="K21" s="54" t="s">
        <v>63</v>
      </c>
      <c r="L21" s="145" t="s">
        <v>66</v>
      </c>
      <c r="M21" s="57"/>
      <c r="N21" s="54">
        <f t="shared" si="12"/>
        <v>3</v>
      </c>
      <c r="O21" s="73"/>
      <c r="P21" s="57" t="str">
        <f>C25</f>
        <v>enn</v>
      </c>
      <c r="Q21" s="57" t="str">
        <f>D25</f>
        <v>enn</v>
      </c>
      <c r="S21" s="121" t="str">
        <f xml:space="preserve"> _xlfn.CONCAT(P21, "(\d)")</f>
        <v>enn(\d)</v>
      </c>
      <c r="T21" s="124" t="s">
        <v>1226</v>
      </c>
      <c r="U21" s="124" t="str">
        <f xml:space="preserve"> IFERROR( IF(T21="", "", SEARCH(T21, $P21)), "")</f>
        <v/>
      </c>
      <c r="V21" s="121" t="str">
        <f xml:space="preserve"> IFERROR( _xlfn.CONCAT(LEFT(P21,U21-1), "》", MID(P21,U21,1), "${1}", RIGHT(P21, LEN(P21)-U21)), "" )</f>
        <v/>
      </c>
      <c r="W21" s="55"/>
      <c r="X21" s="56" t="str">
        <f xml:space="preserve"> IF(AND(Q21&lt;&gt;"", P21&lt;&gt;""), "    - xform/》" &amp; S21 &amp;  "/"  &amp; V21 &amp;  "/", "")</f>
        <v xml:space="preserve">    - xform/》enn(\d)//</v>
      </c>
    </row>
    <row r="22" spans="1:24" ht="27.75" thickBot="1">
      <c r="A22" s="181">
        <f t="shared" si="5"/>
        <v>19</v>
      </c>
      <c r="B22" s="139" t="s">
        <v>2364</v>
      </c>
      <c r="C22" s="141" t="s">
        <v>65</v>
      </c>
      <c r="D22" s="57" t="s">
        <v>65</v>
      </c>
      <c r="E22" s="57" t="s">
        <v>65</v>
      </c>
      <c r="F22" s="57" t="s">
        <v>65</v>
      </c>
      <c r="G22" s="60" t="s">
        <v>65</v>
      </c>
      <c r="H22" s="57" t="s">
        <v>2182</v>
      </c>
      <c r="I22" s="57" t="s">
        <v>2230</v>
      </c>
      <c r="J22" s="54" t="str">
        <f xml:space="preserve"> LEFT(台羅韻母表[[#This Row],[十五音識別碼]],1)</f>
        <v>伽</v>
      </c>
      <c r="K22" s="54" t="s">
        <v>412</v>
      </c>
      <c r="L22" s="54" t="s">
        <v>413</v>
      </c>
      <c r="M22" s="57"/>
      <c r="N22" s="54">
        <f xml:space="preserve"> LEN(D22)</f>
        <v>2</v>
      </c>
      <c r="O22" s="73"/>
      <c r="P22" s="57" t="str">
        <f>C41</f>
        <v>ih</v>
      </c>
      <c r="Q22" s="57" t="str">
        <f>D41</f>
        <v>ih</v>
      </c>
      <c r="S22" s="121" t="str">
        <f xml:space="preserve"> _xlfn.CONCAT(P22, "(\d)")</f>
        <v>ih(\d)</v>
      </c>
      <c r="T22" s="124" t="s">
        <v>1225</v>
      </c>
      <c r="U22" s="124" t="str">
        <f xml:space="preserve"> IFERROR( IF(T22="", "", SEARCH(T22, $P22)), "")</f>
        <v/>
      </c>
      <c r="V22" s="121" t="str">
        <f xml:space="preserve"> IFERROR( _xlfn.CONCAT(LEFT(P22,U22-1), "》", MID(P22,U22,1), "${1}", RIGHT(P22, LEN(P22)-U22)), "" )</f>
        <v/>
      </c>
      <c r="W22" s="55"/>
      <c r="X22" s="56" t="str">
        <f xml:space="preserve"> IF(AND(Q22&lt;&gt;"", P22&lt;&gt;""), "    - xform/》" &amp; S22 &amp;  "/"  &amp; V22 &amp;  "/", "")</f>
        <v xml:space="preserve">    - xform/》ih(\d)//</v>
      </c>
    </row>
    <row r="23" spans="1:24" ht="27.75" thickBot="1">
      <c r="A23" s="181">
        <f t="shared" ref="A23:A24" si="13" xml:space="preserve"> ROW() - 3</f>
        <v>20</v>
      </c>
      <c r="B23" s="139" t="str">
        <f xml:space="preserve"> _xlfn.CONCAT("ɪ",, "k")</f>
        <v>ɪk</v>
      </c>
      <c r="C23" s="141" t="s">
        <v>2459</v>
      </c>
      <c r="D23" s="74" t="s">
        <v>2459</v>
      </c>
      <c r="E23" s="185"/>
      <c r="F23" s="185"/>
      <c r="G23" s="185"/>
      <c r="H23" s="183" t="s">
        <v>2469</v>
      </c>
      <c r="I23" s="183" t="s">
        <v>2473</v>
      </c>
      <c r="J23" s="54" t="str">
        <f xml:space="preserve"> LEFT(台羅韻母表[[#This Row],[十五音識別碼]],1)</f>
        <v>經</v>
      </c>
      <c r="K23" s="54" t="s">
        <v>2333</v>
      </c>
      <c r="L23" s="145" t="s">
        <v>117</v>
      </c>
      <c r="M23" s="57"/>
      <c r="N23" s="54">
        <f xml:space="preserve"> LEN(D23)</f>
        <v>2</v>
      </c>
      <c r="O23" s="73"/>
      <c r="P23" s="57" t="str">
        <f>C26</f>
        <v>ennh</v>
      </c>
      <c r="Q23" s="57" t="str">
        <f>D26</f>
        <v>ennh</v>
      </c>
      <c r="S23" s="121" t="str">
        <f xml:space="preserve"> _xlfn.CONCAT(P23, "(\d)")</f>
        <v>ennh(\d)</v>
      </c>
      <c r="T23" s="124" t="s">
        <v>1226</v>
      </c>
      <c r="U23" s="124" t="str">
        <f xml:space="preserve"> IFERROR( IF(T23="", "", SEARCH(T23, $P23)), "")</f>
        <v/>
      </c>
      <c r="V23" s="121" t="str">
        <f xml:space="preserve"> IFERROR( _xlfn.CONCAT(LEFT(P23,U23-1), "》", MID(P23,U23,1), "${1}", RIGHT(P23, LEN(P23)-U23)), "" )</f>
        <v/>
      </c>
      <c r="W23" s="55"/>
      <c r="X23" s="56" t="str">
        <f xml:space="preserve"> IF(AND(Q23&lt;&gt;"", P23&lt;&gt;""), "    - xform/》" &amp; S23 &amp;  "/"  &amp; V23 &amp;  "/", "")</f>
        <v xml:space="preserve">    - xform/》ennh(\d)//</v>
      </c>
    </row>
    <row r="24" spans="1:24" ht="27.75" thickBot="1">
      <c r="A24" s="181">
        <f t="shared" si="13"/>
        <v>21</v>
      </c>
      <c r="B24" s="139" t="str">
        <f xml:space="preserve"> _xlfn.CONCAT("ɪ", "ŋ")</f>
        <v>ɪŋ</v>
      </c>
      <c r="C24" s="141" t="s">
        <v>2458</v>
      </c>
      <c r="D24" s="74" t="s">
        <v>2458</v>
      </c>
      <c r="E24" s="185"/>
      <c r="F24" s="185"/>
      <c r="G24" s="185"/>
      <c r="H24" s="183" t="s">
        <v>2467</v>
      </c>
      <c r="I24" s="183" t="s">
        <v>2472</v>
      </c>
      <c r="J24" s="54" t="str">
        <f xml:space="preserve"> LEFT(台羅韻母表[[#This Row],[十五音識別碼]],1)</f>
        <v>經</v>
      </c>
      <c r="K24" s="54" t="s">
        <v>2333</v>
      </c>
      <c r="L24" s="145" t="s">
        <v>111</v>
      </c>
      <c r="M24" s="57"/>
      <c r="N24" s="54">
        <f t="shared" ref="N24" si="14" xml:space="preserve"> LEN(D24)</f>
        <v>3</v>
      </c>
      <c r="O24" s="73"/>
      <c r="P24" s="57" t="str">
        <f>C22</f>
        <v>eh</v>
      </c>
      <c r="Q24" s="57" t="str">
        <f>D22</f>
        <v>eh</v>
      </c>
      <c r="S24" s="121" t="str">
        <f xml:space="preserve"> _xlfn.CONCAT(P24, "(\d)")</f>
        <v>eh(\d)</v>
      </c>
      <c r="T24" s="124" t="s">
        <v>1225</v>
      </c>
      <c r="U24" s="124" t="str">
        <f xml:space="preserve"> IFERROR( IF(T24="", "", SEARCH(T24, $P24)), "")</f>
        <v/>
      </c>
      <c r="V24" s="121" t="str">
        <f xml:space="preserve"> IFERROR( _xlfn.CONCAT(LEFT(P24,U24-1), "》", MID(P24,U24,1), "${1}", RIGHT(P24, LEN(P24)-U24)), "" )</f>
        <v/>
      </c>
      <c r="W24" s="55"/>
      <c r="X24" s="56" t="str">
        <f xml:space="preserve"> IF(AND(Q24&lt;&gt;"", P24&lt;&gt;""), "    - xform/》" &amp; S24 &amp;  "/"  &amp; V24 &amp;  "/", "")</f>
        <v xml:space="preserve">    - xform/》eh(\d)//</v>
      </c>
    </row>
    <row r="25" spans="1:24" ht="27.75" thickBot="1">
      <c r="A25" s="181">
        <f t="shared" si="5"/>
        <v>22</v>
      </c>
      <c r="B25" s="139" t="s">
        <v>2363</v>
      </c>
      <c r="C25" s="141" t="s">
        <v>340</v>
      </c>
      <c r="D25" s="57" t="s">
        <v>340</v>
      </c>
      <c r="E25" s="57" t="s">
        <v>340</v>
      </c>
      <c r="F25" s="57" t="s">
        <v>342</v>
      </c>
      <c r="G25" s="60" t="s">
        <v>341</v>
      </c>
      <c r="H25" s="57" t="s">
        <v>339</v>
      </c>
      <c r="I25" s="57" t="s">
        <v>2259</v>
      </c>
      <c r="J25" s="54" t="str">
        <f xml:space="preserve"> LEFT(台羅韻母表[[#This Row],[十五音識別碼]],1)</f>
        <v>更</v>
      </c>
      <c r="K25" s="54" t="s">
        <v>336</v>
      </c>
      <c r="L25" s="54" t="s">
        <v>343</v>
      </c>
      <c r="M25" s="135" t="s">
        <v>1309</v>
      </c>
      <c r="N25" s="54">
        <f t="shared" si="0"/>
        <v>3</v>
      </c>
      <c r="O25" s="73"/>
      <c r="P25" s="57" t="str">
        <f>C46</f>
        <v>inn</v>
      </c>
      <c r="Q25" s="57" t="str">
        <f>D46</f>
        <v>inn</v>
      </c>
      <c r="S25" s="121" t="str">
        <f t="shared" si="6"/>
        <v>inn(\d)</v>
      </c>
      <c r="T25" s="124" t="s">
        <v>1213</v>
      </c>
      <c r="U25" s="124" t="str">
        <f t="shared" si="7"/>
        <v/>
      </c>
      <c r="V25" s="121" t="str">
        <f t="shared" si="8"/>
        <v/>
      </c>
      <c r="W25" s="55"/>
      <c r="X25" s="56" t="str">
        <f t="shared" si="9"/>
        <v xml:space="preserve">    - xform/》inn(\d)//</v>
      </c>
    </row>
    <row r="26" spans="1:24" ht="30.75" thickBot="1">
      <c r="A26" s="181">
        <f t="shared" si="5"/>
        <v>23</v>
      </c>
      <c r="B26" s="139" t="s">
        <v>2365</v>
      </c>
      <c r="C26" s="141" t="s">
        <v>346</v>
      </c>
      <c r="D26" s="74" t="s">
        <v>2157</v>
      </c>
      <c r="E26" s="74" t="s">
        <v>2157</v>
      </c>
      <c r="F26" s="74" t="s">
        <v>2157</v>
      </c>
      <c r="G26" s="74" t="s">
        <v>2200</v>
      </c>
      <c r="H26" s="144" t="s">
        <v>924</v>
      </c>
      <c r="I26" s="186" t="s">
        <v>2260</v>
      </c>
      <c r="J26" s="54" t="str">
        <f xml:space="preserve"> LEFT(台羅韻母表[[#This Row],[十五音識別碼]],1)</f>
        <v>更</v>
      </c>
      <c r="K26" s="54" t="s">
        <v>344</v>
      </c>
      <c r="L26" s="146" t="s">
        <v>347</v>
      </c>
      <c r="M26" s="135" t="s">
        <v>1309</v>
      </c>
      <c r="N26" s="54">
        <f t="shared" si="0"/>
        <v>4</v>
      </c>
      <c r="O26" s="73"/>
      <c r="P26" s="57" t="str">
        <f>C43</f>
        <v>im</v>
      </c>
      <c r="Q26" s="57" t="str">
        <f>D43</f>
        <v>im</v>
      </c>
      <c r="S26" s="121" t="str">
        <f t="shared" si="6"/>
        <v>im(\d)</v>
      </c>
      <c r="T26" s="124" t="s">
        <v>1178</v>
      </c>
      <c r="U26" s="124" t="str">
        <f t="shared" si="7"/>
        <v/>
      </c>
      <c r="V26" s="121" t="str">
        <f t="shared" si="8"/>
        <v/>
      </c>
      <c r="W26" s="55"/>
      <c r="X26" s="56" t="str">
        <f t="shared" si="9"/>
        <v xml:space="preserve">    - xform/》im(\d)//</v>
      </c>
    </row>
    <row r="27" spans="1:24" ht="27.75" thickBot="1">
      <c r="A27" s="181">
        <f t="shared" si="5"/>
        <v>24</v>
      </c>
      <c r="B27" s="139" t="s">
        <v>2366</v>
      </c>
      <c r="C27" s="141" t="s">
        <v>324</v>
      </c>
      <c r="D27" s="57" t="s">
        <v>324</v>
      </c>
      <c r="E27" s="57" t="s">
        <v>324</v>
      </c>
      <c r="F27" s="57" t="s">
        <v>324</v>
      </c>
      <c r="G27" s="60" t="s">
        <v>324</v>
      </c>
      <c r="H27" s="57" t="s">
        <v>326</v>
      </c>
      <c r="I27" s="57" t="s">
        <v>326</v>
      </c>
      <c r="J27" s="54" t="str">
        <f xml:space="preserve"> LEFT(台羅韻母表[[#This Row],[十五音識別碼]],1)</f>
        <v>居</v>
      </c>
      <c r="K27" s="54" t="s">
        <v>323</v>
      </c>
      <c r="L27" s="54" t="s">
        <v>327</v>
      </c>
      <c r="M27" s="57"/>
      <c r="N27" s="54">
        <f t="shared" si="0"/>
        <v>1</v>
      </c>
      <c r="O27" s="73"/>
      <c r="P27" s="57" t="str">
        <f>C44</f>
        <v>in</v>
      </c>
      <c r="Q27" s="57" t="str">
        <f>D44</f>
        <v>in</v>
      </c>
      <c r="S27" s="121" t="str">
        <f t="shared" si="6"/>
        <v>in(\d)</v>
      </c>
      <c r="T27" s="124" t="s">
        <v>1225</v>
      </c>
      <c r="U27" s="124" t="str">
        <f t="shared" si="7"/>
        <v/>
      </c>
      <c r="V27" s="121" t="str">
        <f t="shared" si="8"/>
        <v/>
      </c>
      <c r="W27" s="55"/>
      <c r="X27" s="56" t="str">
        <f t="shared" si="9"/>
        <v xml:space="preserve">    - xform/》in(\d)//</v>
      </c>
    </row>
    <row r="28" spans="1:24" ht="27.75" thickBot="1">
      <c r="A28" s="181">
        <f t="shared" si="5"/>
        <v>25</v>
      </c>
      <c r="B28" s="139" t="s">
        <v>2406</v>
      </c>
      <c r="C28" s="141" t="s">
        <v>272</v>
      </c>
      <c r="D28" s="57" t="s">
        <v>272</v>
      </c>
      <c r="E28" s="57" t="s">
        <v>272</v>
      </c>
      <c r="F28" s="57" t="s">
        <v>272</v>
      </c>
      <c r="G28" s="60" t="s">
        <v>272</v>
      </c>
      <c r="H28" s="57" t="s">
        <v>274</v>
      </c>
      <c r="I28" s="57" t="s">
        <v>274</v>
      </c>
      <c r="J28" s="54" t="str">
        <f xml:space="preserve"> LEFT(台羅韻母表[[#This Row],[十五音識別碼]],1)</f>
        <v>迦</v>
      </c>
      <c r="K28" s="54" t="s">
        <v>271</v>
      </c>
      <c r="L28" s="54" t="s">
        <v>275</v>
      </c>
      <c r="M28" s="57"/>
      <c r="N28" s="54">
        <f xml:space="preserve"> LEN(D28)</f>
        <v>2</v>
      </c>
      <c r="O28" s="73"/>
      <c r="P28" s="57" t="str">
        <f>C31</f>
        <v>iam</v>
      </c>
      <c r="Q28" s="57" t="str">
        <f>D31</f>
        <v>iam</v>
      </c>
      <c r="S28" s="121" t="str">
        <f xml:space="preserve"> _xlfn.CONCAT(P28, "(\d)")</f>
        <v>iam(\d)</v>
      </c>
      <c r="T28" s="124" t="s">
        <v>1226</v>
      </c>
      <c r="U28" s="124">
        <f xml:space="preserve"> IFERROR( IF(T28="", "", SEARCH(T28, $P28)), "")</f>
        <v>1</v>
      </c>
      <c r="V28" s="121" t="str">
        <f xml:space="preserve"> IFERROR( _xlfn.CONCAT(LEFT(P28,U28-1), "》", MID(P28,U28,1), "${1}", RIGHT(P28, LEN(P28)-U28)), "" )</f>
        <v>》i${1}am</v>
      </c>
      <c r="W28" s="55"/>
      <c r="X28" s="56" t="str">
        <f xml:space="preserve"> IF(AND(Q28&lt;&gt;"", P28&lt;&gt;""), "    - xform/》" &amp; S28 &amp;  "/"  &amp; V28 &amp;  "/", "")</f>
        <v xml:space="preserve">    - xform/》iam(\d)/》i${1}am/</v>
      </c>
    </row>
    <row r="29" spans="1:24" ht="27.75" thickBot="1">
      <c r="A29" s="181">
        <f t="shared" si="5"/>
        <v>26</v>
      </c>
      <c r="B29" s="139" t="str">
        <f xml:space="preserve"> _xlfn.CONCAT(B28, "ʔ")</f>
        <v>ɪaʔ</v>
      </c>
      <c r="C29" s="141" t="s">
        <v>278</v>
      </c>
      <c r="D29" s="57" t="s">
        <v>278</v>
      </c>
      <c r="E29" s="57" t="s">
        <v>278</v>
      </c>
      <c r="F29" s="57" t="s">
        <v>278</v>
      </c>
      <c r="G29" s="60" t="s">
        <v>278</v>
      </c>
      <c r="H29" s="57" t="s">
        <v>2184</v>
      </c>
      <c r="I29" s="57" t="s">
        <v>2251</v>
      </c>
      <c r="J29" s="54" t="str">
        <f xml:space="preserve"> LEFT(台羅韻母表[[#This Row],[十五音識別碼]],1)</f>
        <v>迦</v>
      </c>
      <c r="K29" s="54" t="s">
        <v>277</v>
      </c>
      <c r="L29" s="54" t="s">
        <v>279</v>
      </c>
      <c r="M29" s="57"/>
      <c r="N29" s="54">
        <f xml:space="preserve"> LEN(D29)</f>
        <v>3</v>
      </c>
      <c r="O29" s="73"/>
      <c r="P29" s="57" t="str">
        <f>C33</f>
        <v>iang</v>
      </c>
      <c r="Q29" s="57" t="str">
        <f>D33</f>
        <v>iang</v>
      </c>
      <c r="S29" s="121" t="str">
        <f xml:space="preserve"> _xlfn.CONCAT(P29, "(\d)")</f>
        <v>iang(\d)</v>
      </c>
      <c r="T29" s="124" t="s">
        <v>1226</v>
      </c>
      <c r="U29" s="124">
        <f xml:space="preserve"> IFERROR( IF(T29="", "", SEARCH(T29, $P29)), "")</f>
        <v>1</v>
      </c>
      <c r="V29" s="121" t="str">
        <f xml:space="preserve"> IFERROR( _xlfn.CONCAT(LEFT(P29,U29-1), "》", MID(P29,U29,1), "${1}", RIGHT(P29, LEN(P29)-U29)), "" )</f>
        <v>》i${1}ang</v>
      </c>
      <c r="W29" s="55"/>
      <c r="X29" s="56" t="str">
        <f xml:space="preserve"> IF(AND(Q29&lt;&gt;"", P29&lt;&gt;""), "    - xform/》" &amp; S29 &amp;  "/"  &amp; V29 &amp;  "/", "")</f>
        <v xml:space="preserve">    - xform/》iang(\d)/》i${1}ang/</v>
      </c>
    </row>
    <row r="30" spans="1:24" ht="27.75" thickBot="1">
      <c r="A30" s="181">
        <f t="shared" si="5"/>
        <v>27</v>
      </c>
      <c r="B30" s="139" t="s">
        <v>2410</v>
      </c>
      <c r="C30" s="141" t="s">
        <v>207</v>
      </c>
      <c r="D30" s="57" t="s">
        <v>207</v>
      </c>
      <c r="E30" s="57" t="s">
        <v>207</v>
      </c>
      <c r="F30" s="57" t="s">
        <v>207</v>
      </c>
      <c r="G30" s="60" t="s">
        <v>207</v>
      </c>
      <c r="H30" s="57" t="s">
        <v>2187</v>
      </c>
      <c r="I30" s="57" t="s">
        <v>2243</v>
      </c>
      <c r="J30" s="54" t="str">
        <f xml:space="preserve"> LEFT(台羅韻母表[[#This Row],[十五音識別碼]],1)</f>
        <v>姜</v>
      </c>
      <c r="K30" s="54" t="s">
        <v>206</v>
      </c>
      <c r="L30" s="54" t="s">
        <v>208</v>
      </c>
      <c r="M30" s="57"/>
      <c r="N30" s="54">
        <f xml:space="preserve"> LEN(D30)</f>
        <v>3</v>
      </c>
      <c r="O30" s="73"/>
      <c r="P30" s="57" t="str">
        <f>C47</f>
        <v>io</v>
      </c>
      <c r="Q30" s="57" t="str">
        <f>D47</f>
        <v>io</v>
      </c>
      <c r="S30" s="121" t="str">
        <f xml:space="preserve"> _xlfn.CONCAT(P30, "(\d)")</f>
        <v>io(\d)</v>
      </c>
      <c r="T30" s="124" t="s">
        <v>1225</v>
      </c>
      <c r="U30" s="124" t="str">
        <f xml:space="preserve"> IFERROR( IF(T30="", "", SEARCH(T30, $P30)), "")</f>
        <v/>
      </c>
      <c r="V30" s="121" t="str">
        <f xml:space="preserve"> IFERROR( _xlfn.CONCAT(LEFT(P30,U30-1), "》", MID(P30,U30,1), "${1}", RIGHT(P30, LEN(P30)-U30)), "" )</f>
        <v/>
      </c>
      <c r="W30" s="55"/>
      <c r="X30" s="56" t="str">
        <f xml:space="preserve"> IF(AND(Q30&lt;&gt;"", P30&lt;&gt;""), "    - xform/》" &amp; S30 &amp;  "/"  &amp; V30 &amp;  "/", "")</f>
        <v xml:space="preserve">    - xform/》io(\d)//</v>
      </c>
    </row>
    <row r="31" spans="1:24" ht="27.75" thickBot="1">
      <c r="A31" s="181">
        <f t="shared" si="5"/>
        <v>28</v>
      </c>
      <c r="B31" s="139" t="s">
        <v>2407</v>
      </c>
      <c r="C31" s="141" t="s">
        <v>247</v>
      </c>
      <c r="D31" s="57" t="s">
        <v>247</v>
      </c>
      <c r="E31" s="57" t="s">
        <v>247</v>
      </c>
      <c r="F31" s="57" t="s">
        <v>247</v>
      </c>
      <c r="G31" s="60" t="s">
        <v>247</v>
      </c>
      <c r="H31" s="57" t="s">
        <v>249</v>
      </c>
      <c r="I31" s="57" t="s">
        <v>2248</v>
      </c>
      <c r="J31" s="54" t="str">
        <f xml:space="preserve"> LEFT(台羅韻母表[[#This Row],[十五音識別碼]],1)</f>
        <v>兼</v>
      </c>
      <c r="K31" s="54" t="s">
        <v>246</v>
      </c>
      <c r="L31" s="54" t="s">
        <v>250</v>
      </c>
      <c r="M31" s="57"/>
      <c r="N31" s="54">
        <f xml:space="preserve"> LEN(D31)</f>
        <v>3</v>
      </c>
      <c r="O31" s="73"/>
      <c r="P31" s="57" t="str">
        <f>C37</f>
        <v>iat</v>
      </c>
      <c r="Q31" s="57" t="str">
        <f>D37</f>
        <v>iat</v>
      </c>
      <c r="S31" s="121" t="str">
        <f xml:space="preserve"> _xlfn.CONCAT(P31, "(\d)")</f>
        <v>iat(\d)</v>
      </c>
      <c r="T31" s="124" t="s">
        <v>1178</v>
      </c>
      <c r="U31" s="124" t="str">
        <f xml:space="preserve"> IFERROR( IF(T31="", "", SEARCH(T31, $P31)), "")</f>
        <v/>
      </c>
      <c r="V31" s="121" t="str">
        <f xml:space="preserve"> IFERROR( _xlfn.CONCAT(LEFT(P31,U31-1), "》", MID(P31,U31,1), "${1}", RIGHT(P31, LEN(P31)-U31)), "" )</f>
        <v/>
      </c>
      <c r="W31" s="55"/>
      <c r="X31" s="56" t="str">
        <f xml:space="preserve"> IF(AND(Q31&lt;&gt;"", P31&lt;&gt;""), "    - xform/》" &amp; S31 &amp;  "/"  &amp; V31 &amp;  "/", "")</f>
        <v xml:space="preserve">    - xform/》iat(\d)//</v>
      </c>
    </row>
    <row r="32" spans="1:24" ht="27.75" thickBot="1">
      <c r="A32" s="181">
        <f t="shared" si="5"/>
        <v>29</v>
      </c>
      <c r="B32" s="139" t="s">
        <v>2449</v>
      </c>
      <c r="C32" s="141" t="s">
        <v>27</v>
      </c>
      <c r="D32" s="57" t="s">
        <v>27</v>
      </c>
      <c r="E32" s="57" t="s">
        <v>27</v>
      </c>
      <c r="F32" s="57" t="s">
        <v>27</v>
      </c>
      <c r="G32" s="60" t="s">
        <v>27</v>
      </c>
      <c r="H32" s="57" t="s">
        <v>29</v>
      </c>
      <c r="I32" s="57" t="s">
        <v>29</v>
      </c>
      <c r="J32" s="54" t="str">
        <f xml:space="preserve"> LEFT(台羅韻母表[[#This Row],[十五音識別碼]],1)</f>
        <v>堅</v>
      </c>
      <c r="K32" s="54" t="s">
        <v>26</v>
      </c>
      <c r="L32" s="54" t="s">
        <v>30</v>
      </c>
      <c r="M32" s="57"/>
      <c r="N32" s="54">
        <f xml:space="preserve"> LEN(D32)</f>
        <v>3</v>
      </c>
      <c r="O32" s="73"/>
      <c r="P32" s="57" t="str">
        <f>C30</f>
        <v>iak</v>
      </c>
      <c r="Q32" s="57" t="str">
        <f>D30</f>
        <v>iak</v>
      </c>
      <c r="S32" s="121" t="str">
        <f xml:space="preserve"> _xlfn.CONCAT(P32, "(\d)")</f>
        <v>iak(\d)</v>
      </c>
      <c r="T32" s="124" t="s">
        <v>1302</v>
      </c>
      <c r="U32" s="124" t="str">
        <f xml:space="preserve"> IFERROR( IF(T32="", "", SEARCH(T32, $P32)), "")</f>
        <v/>
      </c>
      <c r="V32" s="121" t="str">
        <f xml:space="preserve"> IFERROR( _xlfn.CONCAT(LEFT(P32,U32-1), "》", MID(P32,U32,1), "${1}", RIGHT(P32, LEN(P32)-U32)), "" )</f>
        <v/>
      </c>
      <c r="W32" s="55"/>
      <c r="X32" s="56" t="str">
        <f xml:space="preserve"> IF(AND(Q32&lt;&gt;"", P32&lt;&gt;""), "    - xform/》" &amp; S32 &amp;  "/"  &amp; V32 &amp;  "/", "")</f>
        <v xml:space="preserve">    - xform/》iak(\d)//</v>
      </c>
    </row>
    <row r="33" spans="1:24" ht="27.75" thickBot="1">
      <c r="A33" s="181">
        <f t="shared" si="5"/>
        <v>30</v>
      </c>
      <c r="B33" s="139" t="s">
        <v>2408</v>
      </c>
      <c r="C33" s="141" t="s">
        <v>203</v>
      </c>
      <c r="D33" s="57" t="s">
        <v>203</v>
      </c>
      <c r="E33" s="57" t="s">
        <v>203</v>
      </c>
      <c r="F33" s="57" t="s">
        <v>203</v>
      </c>
      <c r="G33" s="60" t="s">
        <v>203</v>
      </c>
      <c r="H33" s="57" t="s">
        <v>2186</v>
      </c>
      <c r="I33" s="57" t="s">
        <v>2186</v>
      </c>
      <c r="J33" s="54" t="str">
        <f xml:space="preserve"> LEFT(台羅韻母表[[#This Row],[十五音識別碼]],1)</f>
        <v>姜</v>
      </c>
      <c r="K33" s="54" t="s">
        <v>200</v>
      </c>
      <c r="L33" s="54" t="s">
        <v>204</v>
      </c>
      <c r="M33" s="57"/>
      <c r="N33" s="54">
        <f xml:space="preserve"> LEN(D33)</f>
        <v>4</v>
      </c>
      <c r="O33" s="73"/>
      <c r="P33" s="57" t="str">
        <f>C38</f>
        <v>iau</v>
      </c>
      <c r="Q33" s="57" t="str">
        <f>D38</f>
        <v>iau</v>
      </c>
      <c r="S33" s="121" t="str">
        <f xml:space="preserve"> _xlfn.CONCAT(P33, "(\d)")</f>
        <v>iau(\d)</v>
      </c>
      <c r="T33" s="124" t="s">
        <v>1213</v>
      </c>
      <c r="U33" s="124" t="str">
        <f xml:space="preserve"> IFERROR( IF(T33="", "", SEARCH(T33, $P33)), "")</f>
        <v/>
      </c>
      <c r="V33" s="121" t="str">
        <f xml:space="preserve"> IFERROR( _xlfn.CONCAT(LEFT(P33,U33-1), "》", MID(P33,U33,1), "${1}", RIGHT(P33, LEN(P33)-U33)), "" )</f>
        <v/>
      </c>
      <c r="W33" s="55"/>
      <c r="X33" s="56" t="str">
        <f xml:space="preserve"> IF(AND(Q33&lt;&gt;"", P33&lt;&gt;""), "    - xform/》" &amp; S33 &amp;  "/"  &amp; V33 &amp;  "/", "")</f>
        <v xml:space="preserve">    - xform/》iau(\d)//</v>
      </c>
    </row>
    <row r="34" spans="1:24" ht="27.75" thickBot="1">
      <c r="A34" s="181">
        <f t="shared" si="5"/>
        <v>31</v>
      </c>
      <c r="B34" s="139" t="str">
        <f>_xlfn.CONCAT("ɪ", "a", _xlfn.UNICHAR(771), "")</f>
        <v>ɪã</v>
      </c>
      <c r="C34" s="141" t="s">
        <v>391</v>
      </c>
      <c r="D34" s="57" t="s">
        <v>391</v>
      </c>
      <c r="E34" s="57" t="s">
        <v>391</v>
      </c>
      <c r="F34" s="57" t="s">
        <v>394</v>
      </c>
      <c r="G34" s="60" t="s">
        <v>393</v>
      </c>
      <c r="H34" s="57" t="s">
        <v>390</v>
      </c>
      <c r="I34" s="57" t="s">
        <v>2266</v>
      </c>
      <c r="J34" s="54" t="str">
        <f xml:space="preserve"> LEFT(台羅韻母表[[#This Row],[十五音識別碼]],1)</f>
        <v>驚</v>
      </c>
      <c r="K34" s="54" t="s">
        <v>2333</v>
      </c>
      <c r="L34" s="54" t="s">
        <v>395</v>
      </c>
      <c r="M34" s="135" t="s">
        <v>1309</v>
      </c>
      <c r="N34" s="54">
        <f xml:space="preserve"> LEN(D34)</f>
        <v>4</v>
      </c>
      <c r="O34" s="73"/>
      <c r="P34" s="57" t="str">
        <f>C32</f>
        <v>ian</v>
      </c>
      <c r="Q34" s="57" t="str">
        <f>D32</f>
        <v>ian</v>
      </c>
      <c r="S34" s="121" t="str">
        <f xml:space="preserve"> _xlfn.CONCAT(P34, "(\d)")</f>
        <v>ian(\d)</v>
      </c>
      <c r="T34" s="124" t="s">
        <v>1226</v>
      </c>
      <c r="U34" s="124">
        <f xml:space="preserve"> IFERROR( IF(T34="", "", SEARCH(T34, $P34)), "")</f>
        <v>1</v>
      </c>
      <c r="V34" s="121" t="str">
        <f xml:space="preserve"> IFERROR( _xlfn.CONCAT(LEFT(P34,U34-1), "》", MID(P34,U34,1), "${1}", RIGHT(P34, LEN(P34)-U34)), "" )</f>
        <v>》i${1}an</v>
      </c>
      <c r="W34" s="55"/>
      <c r="X34" s="56" t="str">
        <f xml:space="preserve"> IF(AND(Q34&lt;&gt;"", P34&lt;&gt;""), "    - xform/》" &amp; S34 &amp;  "/"  &amp; V34 &amp;  "/", "")</f>
        <v xml:space="preserve">    - xform/》ian(\d)/》i${1}an/</v>
      </c>
    </row>
    <row r="35" spans="1:24" ht="30.75" thickBot="1">
      <c r="A35" s="181">
        <f t="shared" si="5"/>
        <v>32</v>
      </c>
      <c r="B35" s="139" t="str">
        <f xml:space="preserve"> _xlfn.CONCAT(B34, "ʔ")</f>
        <v>ɪãʔ</v>
      </c>
      <c r="C35" s="141" t="s">
        <v>392</v>
      </c>
      <c r="D35" s="74" t="s">
        <v>2158</v>
      </c>
      <c r="E35" s="74" t="s">
        <v>2158</v>
      </c>
      <c r="F35" s="74" t="s">
        <v>2158</v>
      </c>
      <c r="G35" s="74" t="s">
        <v>2201</v>
      </c>
      <c r="H35" s="143" t="s">
        <v>2159</v>
      </c>
      <c r="I35" s="143" t="s">
        <v>2476</v>
      </c>
      <c r="J35" s="54" t="str">
        <f xml:space="preserve"> LEFT(台羅韻母表[[#This Row],[十五音識別碼]],1)</f>
        <v>迦</v>
      </c>
      <c r="K35" s="54" t="s">
        <v>388</v>
      </c>
      <c r="L35" s="146" t="s">
        <v>279</v>
      </c>
      <c r="M35" s="135" t="s">
        <v>1309</v>
      </c>
      <c r="N35" s="54">
        <f xml:space="preserve"> LEN(D35)</f>
        <v>5</v>
      </c>
      <c r="O35" s="73"/>
      <c r="P35" s="57" t="str">
        <f>C36</f>
        <v>iap</v>
      </c>
      <c r="Q35" s="57" t="str">
        <f>D36</f>
        <v>iap</v>
      </c>
      <c r="S35" s="121" t="str">
        <f xml:space="preserve"> _xlfn.CONCAT(P35, "(\d)")</f>
        <v>iap(\d)</v>
      </c>
      <c r="T35" s="124" t="s">
        <v>1226</v>
      </c>
      <c r="U35" s="124">
        <f xml:space="preserve"> IFERROR( IF(T35="", "", SEARCH(T35, $P35)), "")</f>
        <v>1</v>
      </c>
      <c r="V35" s="121" t="str">
        <f xml:space="preserve"> IFERROR( _xlfn.CONCAT(LEFT(P35,U35-1), "》", MID(P35,U35,1), "${1}", RIGHT(P35, LEN(P35)-U35)), "" )</f>
        <v>》i${1}ap</v>
      </c>
      <c r="W35" s="55"/>
      <c r="X35" s="56" t="str">
        <f xml:space="preserve"> IF(AND(Q35&lt;&gt;"", P35&lt;&gt;""), "    - xform/》" &amp; S35 &amp;  "/"  &amp; V35 &amp;  "/", "")</f>
        <v xml:space="preserve">    - xform/》iap(\d)/》i${1}ap/</v>
      </c>
    </row>
    <row r="36" spans="1:24" ht="27.75" thickBot="1">
      <c r="A36" s="181">
        <f t="shared" si="5"/>
        <v>33</v>
      </c>
      <c r="B36" s="139" t="s">
        <v>2409</v>
      </c>
      <c r="C36" s="141" t="s">
        <v>256</v>
      </c>
      <c r="D36" s="57" t="s">
        <v>256</v>
      </c>
      <c r="E36" s="57" t="s">
        <v>256</v>
      </c>
      <c r="F36" s="57" t="s">
        <v>256</v>
      </c>
      <c r="G36" s="60" t="s">
        <v>256</v>
      </c>
      <c r="H36" s="57" t="s">
        <v>255</v>
      </c>
      <c r="I36" s="57" t="s">
        <v>2249</v>
      </c>
      <c r="J36" s="54" t="str">
        <f xml:space="preserve"> LEFT(台羅韻母表[[#This Row],[十五音識別碼]],1)</f>
        <v>兼</v>
      </c>
      <c r="K36" s="54" t="s">
        <v>253</v>
      </c>
      <c r="L36" s="54" t="s">
        <v>257</v>
      </c>
      <c r="M36" s="57"/>
      <c r="N36" s="54">
        <f xml:space="preserve"> LEN(D36)</f>
        <v>3</v>
      </c>
      <c r="O36" s="73"/>
      <c r="P36" s="57" t="str">
        <f>C40</f>
        <v>iaunn</v>
      </c>
      <c r="Q36" s="57" t="str">
        <f>D40</f>
        <v>iaunn</v>
      </c>
      <c r="S36" s="121" t="str">
        <f xml:space="preserve"> _xlfn.CONCAT(P36, "(\d)")</f>
        <v>iaunn(\d)</v>
      </c>
      <c r="T36" s="124" t="s">
        <v>1213</v>
      </c>
      <c r="U36" s="124" t="str">
        <f xml:space="preserve"> IFERROR( IF(T36="", "", SEARCH(T36, $P36)), "")</f>
        <v/>
      </c>
      <c r="V36" s="121" t="str">
        <f xml:space="preserve"> IFERROR( _xlfn.CONCAT(LEFT(P36,U36-1), "》", MID(P36,U36,1), "${1}", RIGHT(P36, LEN(P36)-U36)), "" )</f>
        <v/>
      </c>
      <c r="W36" s="55"/>
      <c r="X36" s="56" t="str">
        <f xml:space="preserve"> IF(AND(Q36&lt;&gt;"", P36&lt;&gt;""), "    - xform/》" &amp; S36 &amp;  "/"  &amp; V36 &amp;  "/", "")</f>
        <v xml:space="preserve">    - xform/》iaunn(\d)//</v>
      </c>
    </row>
    <row r="37" spans="1:24" ht="27.75" thickBot="1">
      <c r="A37" s="181">
        <f t="shared" si="5"/>
        <v>34</v>
      </c>
      <c r="B37" s="139" t="s">
        <v>2450</v>
      </c>
      <c r="C37" s="141" t="s">
        <v>34</v>
      </c>
      <c r="D37" s="57" t="s">
        <v>34</v>
      </c>
      <c r="E37" s="57" t="s">
        <v>34</v>
      </c>
      <c r="F37" s="57" t="s">
        <v>34</v>
      </c>
      <c r="G37" s="60" t="s">
        <v>34</v>
      </c>
      <c r="H37" s="57" t="s">
        <v>33</v>
      </c>
      <c r="I37" s="57" t="s">
        <v>2227</v>
      </c>
      <c r="J37" s="54" t="str">
        <f xml:space="preserve"> LEFT(台羅韻母表[[#This Row],[十五音識別碼]],1)</f>
        <v>堅</v>
      </c>
      <c r="K37" s="54" t="s">
        <v>32</v>
      </c>
      <c r="L37" s="54" t="s">
        <v>35</v>
      </c>
      <c r="M37" s="57"/>
      <c r="N37" s="54">
        <f xml:space="preserve"> LEN(D37)</f>
        <v>3</v>
      </c>
      <c r="O37" s="73"/>
      <c r="P37" s="57" t="str">
        <f>C39</f>
        <v>iauh</v>
      </c>
      <c r="Q37" s="57" t="str">
        <f>D39</f>
        <v>iauh</v>
      </c>
      <c r="S37" s="121" t="str">
        <f xml:space="preserve"> _xlfn.CONCAT(P37, "(\d)")</f>
        <v>iauh(\d)</v>
      </c>
      <c r="T37" s="124" t="s">
        <v>1213</v>
      </c>
      <c r="U37" s="124" t="str">
        <f xml:space="preserve"> IFERROR( IF(T37="", "", SEARCH(T37, $P37)), "")</f>
        <v/>
      </c>
      <c r="V37" s="121" t="str">
        <f xml:space="preserve"> IFERROR( _xlfn.CONCAT(LEFT(P37,U37-1), "》", MID(P37,U37,1), "${1}", RIGHT(P37, LEN(P37)-U37)), "" )</f>
        <v/>
      </c>
      <c r="W37" s="55"/>
      <c r="X37" s="56" t="str">
        <f xml:space="preserve"> IF(AND(Q37&lt;&gt;"", P37&lt;&gt;""), "    - xform/》" &amp; S37 &amp;  "/"  &amp; V37 &amp;  "/", "")</f>
        <v xml:space="preserve">    - xform/》iauh(\d)//</v>
      </c>
    </row>
    <row r="38" spans="1:24" ht="27.75" thickBot="1">
      <c r="A38" s="181">
        <f t="shared" si="5"/>
        <v>35</v>
      </c>
      <c r="B38" s="139" t="s">
        <v>2361</v>
      </c>
      <c r="C38" s="141" t="s">
        <v>141</v>
      </c>
      <c r="D38" s="57" t="s">
        <v>141</v>
      </c>
      <c r="E38" s="57" t="s">
        <v>141</v>
      </c>
      <c r="F38" s="57" t="s">
        <v>144</v>
      </c>
      <c r="G38" s="60" t="s">
        <v>141</v>
      </c>
      <c r="H38" s="57" t="s">
        <v>143</v>
      </c>
      <c r="I38" s="57" t="s">
        <v>143</v>
      </c>
      <c r="J38" s="54" t="str">
        <f xml:space="preserve"> LEFT(台羅韻母表[[#This Row],[十五音識別碼]],1)</f>
        <v>嬌</v>
      </c>
      <c r="K38" s="54" t="s">
        <v>140</v>
      </c>
      <c r="L38" s="54" t="s">
        <v>145</v>
      </c>
      <c r="M38" s="57"/>
      <c r="N38" s="54">
        <f xml:space="preserve"> LEN(D38)</f>
        <v>3</v>
      </c>
      <c r="O38" s="73"/>
      <c r="P38" s="57" t="str">
        <f>C53</f>
        <v>ionn</v>
      </c>
      <c r="Q38" s="57" t="str">
        <f>D53</f>
        <v>ionn</v>
      </c>
      <c r="S38" s="121" t="str">
        <f xml:space="preserve"> _xlfn.CONCAT(P38, "(\d)")</f>
        <v>ionn(\d)</v>
      </c>
      <c r="T38" s="124" t="s">
        <v>1225</v>
      </c>
      <c r="U38" s="124" t="str">
        <f xml:space="preserve"> IFERROR( IF(T38="", "", SEARCH(T38, $P38)), "")</f>
        <v/>
      </c>
      <c r="V38" s="121" t="str">
        <f xml:space="preserve"> IFERROR( _xlfn.CONCAT(LEFT(P38,U38-1), "》", MID(P38,U38,1), "${1}", RIGHT(P38, LEN(P38)-U38)), "" )</f>
        <v/>
      </c>
      <c r="W38" s="55"/>
      <c r="X38" s="56" t="str">
        <f xml:space="preserve"> IF(AND(Q38&lt;&gt;"", P38&lt;&gt;""), "    - xform/》" &amp; S38 &amp;  "/"  &amp; V38 &amp;  "/", "")</f>
        <v xml:space="preserve">    - xform/》ionn(\d)//</v>
      </c>
    </row>
    <row r="39" spans="1:24" ht="27.75" thickBot="1">
      <c r="A39" s="181">
        <f t="shared" si="5"/>
        <v>36</v>
      </c>
      <c r="B39" s="139" t="str">
        <f xml:space="preserve"> _xlfn.CONCAT(B38, "ʔ")</f>
        <v>ɪaʊʔ</v>
      </c>
      <c r="C39" s="141" t="s">
        <v>148</v>
      </c>
      <c r="D39" s="57" t="s">
        <v>148</v>
      </c>
      <c r="E39" s="57" t="s">
        <v>148</v>
      </c>
      <c r="F39" s="57" t="s">
        <v>149</v>
      </c>
      <c r="G39" s="60" t="s">
        <v>148</v>
      </c>
      <c r="H39" s="57" t="s">
        <v>2188</v>
      </c>
      <c r="I39" s="57" t="s">
        <v>2238</v>
      </c>
      <c r="J39" s="54" t="str">
        <f xml:space="preserve"> LEFT(台羅韻母表[[#This Row],[十五音識別碼]],1)</f>
        <v>嬌</v>
      </c>
      <c r="K39" s="54" t="s">
        <v>147</v>
      </c>
      <c r="L39" s="54" t="s">
        <v>150</v>
      </c>
      <c r="M39" s="57"/>
      <c r="N39" s="54">
        <f xml:space="preserve"> LEN(D39)</f>
        <v>4</v>
      </c>
      <c r="O39" s="73"/>
      <c r="P39" s="57" t="str">
        <f>C50</f>
        <v>iong</v>
      </c>
      <c r="Q39" s="57" t="str">
        <f>D50</f>
        <v>iong</v>
      </c>
      <c r="S39" s="121" t="str">
        <f xml:space="preserve"> _xlfn.CONCAT(P39, "(\d)")</f>
        <v>iong(\d)</v>
      </c>
      <c r="T39" s="124" t="s">
        <v>1225</v>
      </c>
      <c r="U39" s="124" t="str">
        <f xml:space="preserve"> IFERROR( IF(T39="", "", SEARCH(T39, $P39)), "")</f>
        <v/>
      </c>
      <c r="V39" s="121" t="str">
        <f xml:space="preserve"> IFERROR( _xlfn.CONCAT(LEFT(P39,U39-1), "》", MID(P39,U39,1), "${1}", RIGHT(P39, LEN(P39)-U39)), "" )</f>
        <v/>
      </c>
      <c r="W39" s="55"/>
      <c r="X39" s="56" t="str">
        <f xml:space="preserve"> IF(AND(Q39&lt;&gt;"", P39&lt;&gt;""), "    - xform/》" &amp; S39 &amp;  "/"  &amp; V39 &amp;  "/", "")</f>
        <v xml:space="preserve">    - xform/》iong(\d)//</v>
      </c>
    </row>
    <row r="40" spans="1:24" ht="27.75" thickBot="1">
      <c r="A40" s="181">
        <f t="shared" si="5"/>
        <v>37</v>
      </c>
      <c r="B40" s="139" t="str">
        <f>_xlfn.CONCAT("ɪ", "a", _xlfn.UNICHAR(771), "ʊ")</f>
        <v>ɪãʊ</v>
      </c>
      <c r="C40" s="141" t="s">
        <v>467</v>
      </c>
      <c r="D40" s="57" t="s">
        <v>467</v>
      </c>
      <c r="E40" s="57" t="s">
        <v>467</v>
      </c>
      <c r="F40" s="57" t="s">
        <v>469</v>
      </c>
      <c r="G40" s="60" t="s">
        <v>468</v>
      </c>
      <c r="H40" s="57" t="s">
        <v>466</v>
      </c>
      <c r="I40" s="57" t="s">
        <v>2274</v>
      </c>
      <c r="J40" s="54" t="str">
        <f xml:space="preserve"> LEFT(台羅韻母表[[#This Row],[十五音識別碼]],1)</f>
        <v>嘄</v>
      </c>
      <c r="K40" s="54" t="s">
        <v>464</v>
      </c>
      <c r="L40" s="54" t="s">
        <v>470</v>
      </c>
      <c r="M40" s="135" t="s">
        <v>1309</v>
      </c>
      <c r="N40" s="54">
        <f xml:space="preserve"> LEN(D40)</f>
        <v>5</v>
      </c>
      <c r="O40" s="73"/>
      <c r="P40" s="57" t="str">
        <f>C48</f>
        <v>ioh</v>
      </c>
      <c r="Q40" s="57" t="str">
        <f>D48</f>
        <v>ioh</v>
      </c>
      <c r="S40" s="121" t="str">
        <f xml:space="preserve"> _xlfn.CONCAT(P40, "(\d)")</f>
        <v>ioh(\d)</v>
      </c>
      <c r="T40" s="124" t="s">
        <v>1225</v>
      </c>
      <c r="U40" s="124" t="str">
        <f xml:space="preserve"> IFERROR( IF(T40="", "", SEARCH(T40, $P40)), "")</f>
        <v/>
      </c>
      <c r="V40" s="121" t="str">
        <f xml:space="preserve"> IFERROR( _xlfn.CONCAT(LEFT(P40,U40-1), "》", MID(P40,U40,1), "${1}", RIGHT(P40, LEN(P40)-U40)), "" )</f>
        <v/>
      </c>
      <c r="W40" s="55"/>
      <c r="X40" s="56" t="str">
        <f xml:space="preserve"> IF(AND(Q40&lt;&gt;"", P40&lt;&gt;""), "    - xform/》" &amp; S40 &amp;  "/"  &amp; V40 &amp;  "/", "")</f>
        <v xml:space="preserve">    - xform/》ioh(\d)//</v>
      </c>
    </row>
    <row r="41" spans="1:24" ht="27.75" thickBot="1">
      <c r="A41" s="181">
        <f t="shared" si="5"/>
        <v>38</v>
      </c>
      <c r="B41" s="139" t="s">
        <v>2368</v>
      </c>
      <c r="C41" s="141" t="s">
        <v>329</v>
      </c>
      <c r="D41" s="57" t="s">
        <v>329</v>
      </c>
      <c r="E41" s="57" t="s">
        <v>329</v>
      </c>
      <c r="F41" s="57" t="s">
        <v>329</v>
      </c>
      <c r="G41" s="60" t="s">
        <v>329</v>
      </c>
      <c r="H41" s="57" t="s">
        <v>2183</v>
      </c>
      <c r="I41" s="57" t="s">
        <v>2258</v>
      </c>
      <c r="J41" s="54" t="str">
        <f xml:space="preserve"> LEFT(台羅韻母表[[#This Row],[十五音識別碼]],1)</f>
        <v>居</v>
      </c>
      <c r="K41" s="54" t="s">
        <v>328</v>
      </c>
      <c r="L41" s="54" t="s">
        <v>330</v>
      </c>
      <c r="M41" s="57"/>
      <c r="N41" s="54">
        <f xml:space="preserve"> LEN(D41)</f>
        <v>2</v>
      </c>
      <c r="O41" s="73"/>
      <c r="P41" s="57" t="str">
        <f>C51</f>
        <v>ip</v>
      </c>
      <c r="Q41" s="57" t="str">
        <f>D51</f>
        <v>ip</v>
      </c>
      <c r="S41" s="121" t="str">
        <f xml:space="preserve"> _xlfn.CONCAT(P41, "(\d)")</f>
        <v>ip(\d)</v>
      </c>
      <c r="T41" s="124" t="s">
        <v>1225</v>
      </c>
      <c r="U41" s="124" t="str">
        <f xml:space="preserve"> IFERROR( IF(T41="", "", SEARCH(T41, $P41)), "")</f>
        <v/>
      </c>
      <c r="V41" s="121" t="str">
        <f xml:space="preserve"> IFERROR( _xlfn.CONCAT(LEFT(P41,U41-1), "》", MID(P41,U41,1), "${1}", RIGHT(P41, LEN(P41)-U41)), "" )</f>
        <v/>
      </c>
      <c r="W41" s="55"/>
      <c r="X41" s="56" t="str">
        <f xml:space="preserve"> IF(AND(Q41&lt;&gt;"", P41&lt;&gt;""), "    - xform/》" &amp; S41 &amp;  "/"  &amp; V41 &amp;  "/", "")</f>
        <v xml:space="preserve">    - xform/》ip(\d)//</v>
      </c>
    </row>
    <row r="42" spans="1:24" ht="27.75" thickBot="1">
      <c r="A42" s="181">
        <f t="shared" si="5"/>
        <v>39</v>
      </c>
      <c r="B42" s="139" t="s">
        <v>2448</v>
      </c>
      <c r="C42" s="141" t="s">
        <v>115</v>
      </c>
      <c r="D42" s="57" t="s">
        <v>115</v>
      </c>
      <c r="E42" s="57" t="s">
        <v>2585</v>
      </c>
      <c r="F42" s="57" t="s">
        <v>115</v>
      </c>
      <c r="G42" s="60" t="s">
        <v>116</v>
      </c>
      <c r="H42" s="57" t="s">
        <v>114</v>
      </c>
      <c r="I42" s="57" t="s">
        <v>2235</v>
      </c>
      <c r="J42" s="54" t="str">
        <f xml:space="preserve"> LEFT(台羅韻母表[[#This Row],[十五音識別碼]],1)</f>
        <v>經</v>
      </c>
      <c r="K42" s="54" t="s">
        <v>113</v>
      </c>
      <c r="L42" s="54" t="s">
        <v>117</v>
      </c>
      <c r="M42" s="57"/>
      <c r="N42" s="54">
        <f xml:space="preserve"> LEN(D42)</f>
        <v>2</v>
      </c>
      <c r="O42" s="73"/>
      <c r="P42" s="57" t="str">
        <f>C35</f>
        <v>iannh</v>
      </c>
      <c r="Q42" s="57" t="str">
        <f>D35</f>
        <v>iannh</v>
      </c>
      <c r="S42" s="121" t="str">
        <f xml:space="preserve"> _xlfn.CONCAT(P42, "(\d)")</f>
        <v>iannh(\d)</v>
      </c>
      <c r="T42" s="124" t="s">
        <v>1225</v>
      </c>
      <c r="U42" s="124">
        <f xml:space="preserve"> IFERROR( IF(T42="", "", SEARCH(T42, $P42)), "")</f>
        <v>2</v>
      </c>
      <c r="V42" s="121" t="str">
        <f xml:space="preserve"> IFERROR( _xlfn.CONCAT(LEFT(P42,U42-1), "》", MID(P42,U42,1), "${1}", RIGHT(P42, LEN(P42)-U42)), "" )</f>
        <v>i》a${1}nnh</v>
      </c>
      <c r="W42" s="55"/>
      <c r="X42" s="56" t="str">
        <f xml:space="preserve"> IF(AND(Q42&lt;&gt;"", P42&lt;&gt;""), "    - xform/》" &amp; S42 &amp;  "/"  &amp; V42 &amp;  "/", "")</f>
        <v xml:space="preserve">    - xform/》iannh(\d)/i》a${1}nnh/</v>
      </c>
    </row>
    <row r="43" spans="1:24" ht="27.75" thickBot="1">
      <c r="A43" s="181">
        <f t="shared" si="5"/>
        <v>40</v>
      </c>
      <c r="B43" s="139" t="s">
        <v>2369</v>
      </c>
      <c r="C43" s="141" t="s">
        <v>38</v>
      </c>
      <c r="D43" s="57" t="s">
        <v>38</v>
      </c>
      <c r="E43" s="57" t="s">
        <v>38</v>
      </c>
      <c r="F43" s="57" t="s">
        <v>38</v>
      </c>
      <c r="G43" s="60" t="s">
        <v>38</v>
      </c>
      <c r="H43" s="57" t="s">
        <v>40</v>
      </c>
      <c r="I43" s="57" t="s">
        <v>2228</v>
      </c>
      <c r="J43" s="54" t="str">
        <f xml:space="preserve"> LEFT(台羅韻母表[[#This Row],[十五音識別碼]],1)</f>
        <v>金</v>
      </c>
      <c r="K43" s="54" t="s">
        <v>37</v>
      </c>
      <c r="L43" s="54" t="s">
        <v>41</v>
      </c>
      <c r="M43" s="57"/>
      <c r="N43" s="54">
        <f t="shared" si="0"/>
        <v>2</v>
      </c>
      <c r="O43" s="73"/>
      <c r="P43" s="57" t="str">
        <f t="shared" ref="P43" si="15">C52</f>
        <v>it</v>
      </c>
      <c r="Q43" s="57" t="str">
        <f t="shared" ref="Q43" si="16">D52</f>
        <v>it</v>
      </c>
      <c r="S43" s="121" t="str">
        <f t="shared" si="6"/>
        <v>it(\d)</v>
      </c>
      <c r="T43" s="124" t="s">
        <v>1225</v>
      </c>
      <c r="U43" s="124" t="str">
        <f t="shared" si="7"/>
        <v/>
      </c>
      <c r="V43" s="121" t="str">
        <f t="shared" si="8"/>
        <v/>
      </c>
      <c r="W43" s="55"/>
      <c r="X43" s="56" t="str">
        <f t="shared" si="9"/>
        <v xml:space="preserve">    - xform/》it(\d)//</v>
      </c>
    </row>
    <row r="44" spans="1:24" ht="27.75" thickBot="1">
      <c r="A44" s="181">
        <f t="shared" si="5"/>
        <v>41</v>
      </c>
      <c r="B44" s="139" t="s">
        <v>2370</v>
      </c>
      <c r="C44" s="141" t="s">
        <v>189</v>
      </c>
      <c r="D44" s="57" t="s">
        <v>189</v>
      </c>
      <c r="E44" s="57" t="s">
        <v>189</v>
      </c>
      <c r="F44" s="57" t="s">
        <v>189</v>
      </c>
      <c r="G44" s="60" t="s">
        <v>189</v>
      </c>
      <c r="H44" s="57" t="s">
        <v>191</v>
      </c>
      <c r="I44" s="57" t="s">
        <v>191</v>
      </c>
      <c r="J44" s="54" t="str">
        <f xml:space="preserve"> LEFT(台羅韻母表[[#This Row],[十五音識別碼]],1)</f>
        <v>巾</v>
      </c>
      <c r="K44" s="54" t="s">
        <v>188</v>
      </c>
      <c r="L44" s="54" t="s">
        <v>192</v>
      </c>
      <c r="M44" s="57"/>
      <c r="N44" s="54">
        <f t="shared" si="0"/>
        <v>2</v>
      </c>
      <c r="O44" s="73"/>
      <c r="P44" s="57" t="str">
        <f>C42</f>
        <v>ik</v>
      </c>
      <c r="Q44" s="57" t="str">
        <f>D42</f>
        <v>ik</v>
      </c>
      <c r="S44" s="121" t="str">
        <f t="shared" si="6"/>
        <v>ik(\d)</v>
      </c>
      <c r="T44" s="124" t="s">
        <v>1225</v>
      </c>
      <c r="U44" s="124" t="str">
        <f t="shared" si="7"/>
        <v/>
      </c>
      <c r="V44" s="121" t="str">
        <f t="shared" si="8"/>
        <v/>
      </c>
      <c r="W44" s="55"/>
      <c r="X44" s="56" t="str">
        <f t="shared" si="9"/>
        <v xml:space="preserve">    - xform/》ik(\d)//</v>
      </c>
    </row>
    <row r="45" spans="1:24" ht="27.75" thickBot="1">
      <c r="A45" s="181">
        <f t="shared" si="5"/>
        <v>42</v>
      </c>
      <c r="B45" s="139" t="s">
        <v>2371</v>
      </c>
      <c r="C45" s="141" t="s">
        <v>109</v>
      </c>
      <c r="D45" s="57" t="s">
        <v>109</v>
      </c>
      <c r="E45" s="57" t="s">
        <v>109</v>
      </c>
      <c r="F45" s="57" t="s">
        <v>109</v>
      </c>
      <c r="G45" s="60" t="s">
        <v>110</v>
      </c>
      <c r="H45" s="57" t="s">
        <v>108</v>
      </c>
      <c r="I45" s="57" t="s">
        <v>108</v>
      </c>
      <c r="J45" s="54" t="str">
        <f xml:space="preserve"> LEFT(台羅韻母表[[#This Row],[十五音識別碼]],1)</f>
        <v>經</v>
      </c>
      <c r="K45" s="54" t="s">
        <v>105</v>
      </c>
      <c r="L45" s="54" t="s">
        <v>111</v>
      </c>
      <c r="M45" s="57"/>
      <c r="N45" s="54">
        <f t="shared" si="0"/>
        <v>3</v>
      </c>
      <c r="O45" s="73"/>
      <c r="P45" s="57" t="str">
        <f>C28</f>
        <v>ia</v>
      </c>
      <c r="Q45" s="57" t="str">
        <f>D28</f>
        <v>ia</v>
      </c>
      <c r="S45" s="121" t="str">
        <f t="shared" si="6"/>
        <v>ia(\d)</v>
      </c>
      <c r="T45" s="124" t="s">
        <v>1225</v>
      </c>
      <c r="U45" s="124">
        <f t="shared" si="7"/>
        <v>2</v>
      </c>
      <c r="V45" s="121" t="str">
        <f t="shared" si="8"/>
        <v>i》a${1}</v>
      </c>
      <c r="W45" s="55"/>
      <c r="X45" s="56" t="str">
        <f t="shared" si="9"/>
        <v xml:space="preserve">    - xform/》ia(\d)/i》a${1}/</v>
      </c>
    </row>
    <row r="46" spans="1:24" ht="27.75" thickBot="1">
      <c r="A46" s="181">
        <f t="shared" si="5"/>
        <v>43</v>
      </c>
      <c r="B46" s="139" t="s">
        <v>2367</v>
      </c>
      <c r="C46" s="141" t="s">
        <v>370</v>
      </c>
      <c r="D46" s="57" t="s">
        <v>370</v>
      </c>
      <c r="E46" s="57" t="s">
        <v>370</v>
      </c>
      <c r="F46" s="57" t="s">
        <v>372</v>
      </c>
      <c r="G46" s="60" t="s">
        <v>371</v>
      </c>
      <c r="H46" s="57" t="s">
        <v>369</v>
      </c>
      <c r="I46" s="57" t="s">
        <v>2263</v>
      </c>
      <c r="J46" s="54" t="str">
        <f xml:space="preserve"> LEFT(台羅韻母表[[#This Row],[十五音識別碼]],1)</f>
        <v>梔</v>
      </c>
      <c r="K46" s="54" t="s">
        <v>366</v>
      </c>
      <c r="L46" s="54" t="s">
        <v>373</v>
      </c>
      <c r="M46" s="135" t="s">
        <v>1309</v>
      </c>
      <c r="N46" s="54">
        <f xml:space="preserve"> LEN(D46)</f>
        <v>3</v>
      </c>
      <c r="O46" s="73"/>
      <c r="P46" s="57" t="str">
        <f>C45</f>
        <v>ing</v>
      </c>
      <c r="Q46" s="57" t="str">
        <f>D45</f>
        <v>ing</v>
      </c>
      <c r="S46" s="121" t="str">
        <f xml:space="preserve"> _xlfn.CONCAT(P46, "(\d)")</f>
        <v>ing(\d)</v>
      </c>
      <c r="T46" s="124" t="s">
        <v>1225</v>
      </c>
      <c r="U46" s="124" t="str">
        <f xml:space="preserve"> IFERROR( IF(T46="", "", SEARCH(T46, $P46)), "")</f>
        <v/>
      </c>
      <c r="V46" s="121" t="str">
        <f xml:space="preserve"> IFERROR( _xlfn.CONCAT(LEFT(P46,U46-1), "》", MID(P46,U46,1), "${1}", RIGHT(P46, LEN(P46)-U46)), "" )</f>
        <v/>
      </c>
      <c r="W46" s="55"/>
      <c r="X46" s="56" t="str">
        <f xml:space="preserve"> IF(AND(Q46&lt;&gt;"", P46&lt;&gt;""), "    - xform/》" &amp; S46 &amp;  "/"  &amp; V46 &amp;  "/", "")</f>
        <v xml:space="preserve">    - xform/》ing(\d)//</v>
      </c>
    </row>
    <row r="47" spans="1:24" ht="27.75" thickBot="1">
      <c r="A47" s="181">
        <f t="shared" si="5"/>
        <v>44</v>
      </c>
      <c r="B47" s="139" t="s">
        <v>2453</v>
      </c>
      <c r="C47" s="141" t="s">
        <v>357</v>
      </c>
      <c r="D47" s="57" t="s">
        <v>357</v>
      </c>
      <c r="E47" s="57" t="s">
        <v>360</v>
      </c>
      <c r="F47" s="57" t="s">
        <v>357</v>
      </c>
      <c r="G47" s="60" t="s">
        <v>357</v>
      </c>
      <c r="H47" s="57" t="s">
        <v>359</v>
      </c>
      <c r="I47" s="57" t="s">
        <v>359</v>
      </c>
      <c r="J47" s="54" t="str">
        <f xml:space="preserve"> LEFT(台羅韻母表[[#This Row],[十五音識別碼]],1)</f>
        <v>茄</v>
      </c>
      <c r="K47" s="54" t="s">
        <v>356</v>
      </c>
      <c r="L47" s="54" t="s">
        <v>361</v>
      </c>
      <c r="M47" s="57"/>
      <c r="N47" s="54">
        <f xml:space="preserve"> LEN(D47)</f>
        <v>2</v>
      </c>
      <c r="O47" s="73"/>
      <c r="P47" s="57" t="str">
        <f>C49</f>
        <v>iok</v>
      </c>
      <c r="Q47" s="57" t="str">
        <f>D49</f>
        <v>iok</v>
      </c>
      <c r="S47" s="121" t="str">
        <f xml:space="preserve"> _xlfn.CONCAT(P47, "(\d)")</f>
        <v>iok(\d)</v>
      </c>
      <c r="T47" s="124" t="s">
        <v>1178</v>
      </c>
      <c r="U47" s="124" t="str">
        <f xml:space="preserve"> IFERROR( IF(T47="", "", SEARCH(T47, $P47)), "")</f>
        <v/>
      </c>
      <c r="V47" s="121" t="str">
        <f xml:space="preserve"> IFERROR( _xlfn.CONCAT(LEFT(P47,U47-1), "》", MID(P47,U47,1), "${1}", RIGHT(P47, LEN(P47)-U47)), "" )</f>
        <v/>
      </c>
      <c r="W47" s="55"/>
      <c r="X47" s="56" t="str">
        <f xml:space="preserve"> IF(AND(Q47&lt;&gt;"", P47&lt;&gt;""), "    - xform/》" &amp; S47 &amp;  "/"  &amp; V47 &amp;  "/", "")</f>
        <v xml:space="preserve">    - xform/》iok(\d)//</v>
      </c>
    </row>
    <row r="48" spans="1:24" ht="27.75" thickBot="1">
      <c r="A48" s="181">
        <f t="shared" si="5"/>
        <v>45</v>
      </c>
      <c r="B48" s="139" t="s">
        <v>2454</v>
      </c>
      <c r="C48" s="141" t="s">
        <v>363</v>
      </c>
      <c r="D48" s="57" t="s">
        <v>363</v>
      </c>
      <c r="E48" s="57" t="s">
        <v>364</v>
      </c>
      <c r="F48" s="57" t="s">
        <v>363</v>
      </c>
      <c r="G48" s="60" t="s">
        <v>363</v>
      </c>
      <c r="H48" s="57" t="s">
        <v>2189</v>
      </c>
      <c r="I48" s="57" t="s">
        <v>2262</v>
      </c>
      <c r="J48" s="54" t="str">
        <f xml:space="preserve"> LEFT(台羅韻母表[[#This Row],[十五音識別碼]],1)</f>
        <v>茄</v>
      </c>
      <c r="K48" s="54" t="s">
        <v>362</v>
      </c>
      <c r="L48" s="54" t="s">
        <v>365</v>
      </c>
      <c r="M48" s="57"/>
      <c r="N48" s="54">
        <f xml:space="preserve"> LEN(D48)</f>
        <v>3</v>
      </c>
      <c r="O48" s="73"/>
      <c r="P48" s="57" t="str">
        <f>C55</f>
        <v>iunn</v>
      </c>
      <c r="Q48" s="57" t="str">
        <f>D55</f>
        <v>iunn</v>
      </c>
      <c r="S48" s="121" t="str">
        <f xml:space="preserve"> _xlfn.CONCAT(P48, "(\d)")</f>
        <v>iunn(\d)</v>
      </c>
      <c r="T48" s="124" t="s">
        <v>1226</v>
      </c>
      <c r="U48" s="124">
        <f xml:space="preserve"> IFERROR( IF(T48="", "", SEARCH(T48, $P48)), "")</f>
        <v>1</v>
      </c>
      <c r="V48" s="121" t="str">
        <f xml:space="preserve"> IFERROR( _xlfn.CONCAT(LEFT(P48,U48-1), "》", MID(P48,U48,1), "${1}", RIGHT(P48, LEN(P48)-U48)), "" )</f>
        <v>》i${1}unn</v>
      </c>
      <c r="W48" s="55"/>
      <c r="X48" s="56" t="str">
        <f xml:space="preserve"> IF(AND(Q48&lt;&gt;"", P48&lt;&gt;""), "    - xform/》" &amp; S48 &amp;  "/"  &amp; V48 &amp;  "/", "")</f>
        <v xml:space="preserve">    - xform/》iunn(\d)/》i${1}unn/</v>
      </c>
    </row>
    <row r="49" spans="1:24" ht="27.75" thickBot="1">
      <c r="A49" s="181">
        <f t="shared" si="5"/>
        <v>46</v>
      </c>
      <c r="B49" s="139" t="s">
        <v>2376</v>
      </c>
      <c r="C49" s="141" t="s">
        <v>167</v>
      </c>
      <c r="D49" s="57" t="s">
        <v>167</v>
      </c>
      <c r="E49" s="57" t="s">
        <v>892</v>
      </c>
      <c r="F49" s="57" t="s">
        <v>167</v>
      </c>
      <c r="G49" s="60" t="s">
        <v>167</v>
      </c>
      <c r="H49" s="57" t="s">
        <v>166</v>
      </c>
      <c r="I49" s="57" t="s">
        <v>2240</v>
      </c>
      <c r="J49" s="54" t="str">
        <f xml:space="preserve"> LEFT(台羅韻母表[[#This Row],[十五音識別碼]],1)</f>
        <v>恭</v>
      </c>
      <c r="K49" s="54" t="s">
        <v>165</v>
      </c>
      <c r="L49" s="54" t="s">
        <v>168</v>
      </c>
      <c r="M49" s="57"/>
      <c r="N49" s="54">
        <f xml:space="preserve"> LEN(D49)</f>
        <v>3</v>
      </c>
      <c r="O49" s="73"/>
      <c r="P49" s="57" t="str">
        <f>C61</f>
        <v>o</v>
      </c>
      <c r="Q49" s="57" t="str">
        <f>D61</f>
        <v>o</v>
      </c>
      <c r="S49" s="121" t="str">
        <f xml:space="preserve"> _xlfn.CONCAT(P49, "(\d)")</f>
        <v>o(\d)</v>
      </c>
      <c r="T49" s="124" t="s">
        <v>1226</v>
      </c>
      <c r="U49" s="124" t="str">
        <f xml:space="preserve"> IFERROR( IF(T49="", "", SEARCH(T49, $P49)), "")</f>
        <v/>
      </c>
      <c r="V49" s="121" t="str">
        <f xml:space="preserve"> IFERROR( _xlfn.CONCAT(LEFT(P49,U49-1), "》", MID(P49,U49,1), "${1}", RIGHT(P49, LEN(P49)-U49)), "" )</f>
        <v/>
      </c>
      <c r="W49" s="55"/>
      <c r="X49" s="56" t="str">
        <f xml:space="preserve"> IF(AND(Q49&lt;&gt;"", P49&lt;&gt;""), "    - xform/》" &amp; S49 &amp;  "/"  &amp; V49 &amp;  "/", "")</f>
        <v xml:space="preserve">    - xform/》o(\d)//</v>
      </c>
    </row>
    <row r="50" spans="1:24" ht="27.75" thickBot="1">
      <c r="A50" s="181">
        <f t="shared" si="5"/>
        <v>47</v>
      </c>
      <c r="B50" s="139" t="s">
        <v>2375</v>
      </c>
      <c r="C50" s="141" t="s">
        <v>162</v>
      </c>
      <c r="D50" s="57" t="s">
        <v>162</v>
      </c>
      <c r="E50" s="57" t="s">
        <v>162</v>
      </c>
      <c r="F50" s="57" t="s">
        <v>162</v>
      </c>
      <c r="G50" s="60" t="s">
        <v>162</v>
      </c>
      <c r="H50" s="57" t="s">
        <v>161</v>
      </c>
      <c r="I50" s="57" t="s">
        <v>2239</v>
      </c>
      <c r="J50" s="54" t="str">
        <f xml:space="preserve"> LEFT(台羅韻母表[[#This Row],[十五音識別碼]],1)</f>
        <v>恭</v>
      </c>
      <c r="K50" s="54" t="s">
        <v>158</v>
      </c>
      <c r="L50" s="54" t="s">
        <v>163</v>
      </c>
      <c r="M50" s="57"/>
      <c r="N50" s="54">
        <f xml:space="preserve"> LEN(D50)</f>
        <v>4</v>
      </c>
      <c r="O50" s="73"/>
      <c r="P50" s="57" t="str">
        <f>C56</f>
        <v>iunnh</v>
      </c>
      <c r="Q50" s="57" t="str">
        <f>D56</f>
        <v>iunnh</v>
      </c>
      <c r="S50" s="121" t="str">
        <f xml:space="preserve"> _xlfn.CONCAT(P50, "(\d)")</f>
        <v>iunnh(\d)</v>
      </c>
      <c r="T50" s="124" t="s">
        <v>1225</v>
      </c>
      <c r="U50" s="124" t="str">
        <f xml:space="preserve"> IFERROR( IF(T50="", "", SEARCH(T50, $P50)), "")</f>
        <v/>
      </c>
      <c r="V50" s="121" t="str">
        <f xml:space="preserve"> IFERROR( _xlfn.CONCAT(LEFT(P50,U50-1), "》", MID(P50,U50,1), "${1}", RIGHT(P50, LEN(P50)-U50)), "" )</f>
        <v/>
      </c>
      <c r="W50" s="55"/>
      <c r="X50" s="56" t="str">
        <f xml:space="preserve"> IF(AND(Q50&lt;&gt;"", P50&lt;&gt;""), "    - xform/》" &amp; S50 &amp;  "/"  &amp; V50 &amp;  "/", "")</f>
        <v xml:space="preserve">    - xform/》iunnh(\d)//</v>
      </c>
    </row>
    <row r="51" spans="1:24" ht="27.75" thickBot="1">
      <c r="A51" s="181">
        <f t="shared" si="5"/>
        <v>48</v>
      </c>
      <c r="B51" s="139" t="s">
        <v>2372</v>
      </c>
      <c r="C51" s="141" t="s">
        <v>46</v>
      </c>
      <c r="D51" s="57" t="s">
        <v>46</v>
      </c>
      <c r="E51" s="57" t="s">
        <v>46</v>
      </c>
      <c r="F51" s="57" t="s">
        <v>46</v>
      </c>
      <c r="G51" s="60" t="s">
        <v>46</v>
      </c>
      <c r="H51" s="57" t="s">
        <v>45</v>
      </c>
      <c r="I51" s="57" t="s">
        <v>2229</v>
      </c>
      <c r="J51" s="54" t="str">
        <f xml:space="preserve"> LEFT(台羅韻母表[[#This Row],[十五音識別碼]],1)</f>
        <v>金</v>
      </c>
      <c r="K51" s="54" t="s">
        <v>43</v>
      </c>
      <c r="L51" s="54" t="s">
        <v>47</v>
      </c>
      <c r="M51" s="57"/>
      <c r="N51" s="54">
        <f t="shared" si="0"/>
        <v>2</v>
      </c>
      <c r="O51" s="73"/>
      <c r="P51" s="57" t="str">
        <f>C34</f>
        <v>iann</v>
      </c>
      <c r="Q51" s="57" t="str">
        <f>D34</f>
        <v>iann</v>
      </c>
      <c r="S51" s="121" t="str">
        <f t="shared" si="6"/>
        <v>iann(\d)</v>
      </c>
      <c r="T51" s="124" t="s">
        <v>1225</v>
      </c>
      <c r="U51" s="124">
        <f t="shared" si="7"/>
        <v>2</v>
      </c>
      <c r="V51" s="121" t="str">
        <f t="shared" si="8"/>
        <v>i》a${1}nn</v>
      </c>
      <c r="W51" s="55"/>
      <c r="X51" s="56" t="str">
        <f t="shared" si="9"/>
        <v xml:space="preserve">    - xform/》iann(\d)/i》a${1}nn/</v>
      </c>
    </row>
    <row r="52" spans="1:24" ht="27.75" thickBot="1">
      <c r="A52" s="181">
        <f t="shared" si="5"/>
        <v>49</v>
      </c>
      <c r="B52" s="139" t="s">
        <v>2373</v>
      </c>
      <c r="C52" s="141" t="s">
        <v>197</v>
      </c>
      <c r="D52" s="57" t="s">
        <v>197</v>
      </c>
      <c r="E52" s="57" t="s">
        <v>197</v>
      </c>
      <c r="F52" s="57" t="s">
        <v>197</v>
      </c>
      <c r="G52" s="60" t="s">
        <v>197</v>
      </c>
      <c r="H52" s="57" t="s">
        <v>196</v>
      </c>
      <c r="I52" s="57" t="s">
        <v>2242</v>
      </c>
      <c r="J52" s="54" t="str">
        <f xml:space="preserve"> LEFT(台羅韻母表[[#This Row],[十五音識別碼]],1)</f>
        <v>巾</v>
      </c>
      <c r="K52" s="54" t="s">
        <v>194</v>
      </c>
      <c r="L52" s="54" t="s">
        <v>198</v>
      </c>
      <c r="M52" s="57"/>
      <c r="N52" s="54">
        <f t="shared" si="0"/>
        <v>2</v>
      </c>
      <c r="O52" s="73"/>
      <c r="P52" s="57" t="str">
        <f>C29</f>
        <v>iah</v>
      </c>
      <c r="Q52" s="57" t="str">
        <f>D29</f>
        <v>iah</v>
      </c>
      <c r="S52" s="121" t="str">
        <f t="shared" si="6"/>
        <v>iah(\d)</v>
      </c>
      <c r="T52" s="124" t="s">
        <v>1225</v>
      </c>
      <c r="U52" s="124">
        <f t="shared" si="7"/>
        <v>2</v>
      </c>
      <c r="V52" s="121" t="str">
        <f t="shared" si="8"/>
        <v>i》a${1}h</v>
      </c>
      <c r="W52" s="55"/>
      <c r="X52" s="56" t="str">
        <f t="shared" si="9"/>
        <v xml:space="preserve">    - xform/》iah(\d)/i》a${1}h/</v>
      </c>
    </row>
    <row r="53" spans="1:24" ht="27.75" thickBot="1">
      <c r="A53" s="181">
        <f t="shared" si="5"/>
        <v>50</v>
      </c>
      <c r="B53" s="139" t="s">
        <v>2374</v>
      </c>
      <c r="C53" s="141" t="s">
        <v>383</v>
      </c>
      <c r="D53" s="57" t="s">
        <v>383</v>
      </c>
      <c r="E53" s="57" t="s">
        <v>386</v>
      </c>
      <c r="F53" s="57" t="s">
        <v>385</v>
      </c>
      <c r="G53" s="60" t="s">
        <v>384</v>
      </c>
      <c r="H53" s="57" t="s">
        <v>382</v>
      </c>
      <c r="I53" s="57" t="s">
        <v>2265</v>
      </c>
      <c r="J53" s="54" t="str">
        <f xml:space="preserve"> LEFT(台羅韻母表[[#This Row],[十五音識別碼]],1)</f>
        <v>薑</v>
      </c>
      <c r="K53" s="54" t="s">
        <v>379</v>
      </c>
      <c r="L53" s="54" t="s">
        <v>387</v>
      </c>
      <c r="M53" s="135" t="s">
        <v>1309</v>
      </c>
      <c r="N53" s="54">
        <f xml:space="preserve"> LEN(D53)</f>
        <v>4</v>
      </c>
      <c r="O53" s="73"/>
      <c r="P53" s="57" t="str">
        <f>C54</f>
        <v>iu</v>
      </c>
      <c r="Q53" s="57" t="str">
        <f>D54</f>
        <v>iu</v>
      </c>
      <c r="S53" s="121" t="str">
        <f xml:space="preserve"> _xlfn.CONCAT(P53, "(\d)")</f>
        <v>iu(\d)</v>
      </c>
      <c r="T53" s="124" t="s">
        <v>1225</v>
      </c>
      <c r="U53" s="124" t="str">
        <f xml:space="preserve"> IFERROR( IF(T53="", "", SEARCH(T53, $P53)), "")</f>
        <v/>
      </c>
      <c r="V53" s="121" t="str">
        <f xml:space="preserve"> IFERROR( _xlfn.CONCAT(LEFT(P53,U53-1), "》", MID(P53,U53,1), "${1}", RIGHT(P53, LEN(P53)-U53)), "" )</f>
        <v/>
      </c>
      <c r="W53" s="55"/>
      <c r="X53" s="56" t="str">
        <f xml:space="preserve"> IF(AND(Q53&lt;&gt;"", P53&lt;&gt;""), "    - xform/》" &amp; S53 &amp;  "/"  &amp; V53 &amp;  "/", "")</f>
        <v xml:space="preserve">    - xform/》iu(\d)//</v>
      </c>
    </row>
    <row r="54" spans="1:24" ht="27.75" thickBot="1">
      <c r="A54" s="181">
        <f t="shared" si="5"/>
        <v>51</v>
      </c>
      <c r="B54" s="139" t="str">
        <f>_xlfn.CONCAT("ɪ", "u")</f>
        <v>ɪu</v>
      </c>
      <c r="C54" s="141" t="s">
        <v>332</v>
      </c>
      <c r="D54" s="57" t="s">
        <v>332</v>
      </c>
      <c r="E54" s="57" t="s">
        <v>332</v>
      </c>
      <c r="F54" s="57" t="s">
        <v>332</v>
      </c>
      <c r="G54" s="60" t="s">
        <v>332</v>
      </c>
      <c r="H54" s="57" t="s">
        <v>334</v>
      </c>
      <c r="I54" s="57" t="s">
        <v>334</v>
      </c>
      <c r="J54" s="54" t="str">
        <f xml:space="preserve"> LEFT(台羅韻母表[[#This Row],[十五音識別碼]],1)</f>
        <v>丩</v>
      </c>
      <c r="K54" s="54" t="s">
        <v>331</v>
      </c>
      <c r="L54" s="54" t="s">
        <v>335</v>
      </c>
      <c r="M54" s="57"/>
      <c r="N54" s="54">
        <f t="shared" ref="N54:N89" si="17" xml:space="preserve"> LEN(D54)</f>
        <v>2</v>
      </c>
      <c r="O54" s="73"/>
      <c r="P54" s="57" t="str">
        <f>C68</f>
        <v>oo</v>
      </c>
      <c r="Q54" s="57" t="str">
        <f>D68</f>
        <v>oo</v>
      </c>
      <c r="S54" s="121" t="str">
        <f t="shared" si="6"/>
        <v>oo(\d)</v>
      </c>
      <c r="T54" s="124" t="s">
        <v>1178</v>
      </c>
      <c r="U54" s="124" t="str">
        <f t="shared" si="7"/>
        <v/>
      </c>
      <c r="V54" s="121" t="str">
        <f t="shared" si="8"/>
        <v/>
      </c>
      <c r="W54" s="55"/>
      <c r="X54" s="56" t="str">
        <f t="shared" si="9"/>
        <v xml:space="preserve">    - xform/》oo(\d)//</v>
      </c>
    </row>
    <row r="55" spans="1:24" ht="27.75" thickBot="1">
      <c r="A55" s="181">
        <f t="shared" si="5"/>
        <v>52</v>
      </c>
      <c r="B55" s="139" t="str">
        <f>_xlfn.CONCAT("ɪ", "u", _xlfn.UNICHAR(771), "")</f>
        <v>ɪũ</v>
      </c>
      <c r="C55" s="141" t="s">
        <v>507</v>
      </c>
      <c r="D55" s="57" t="s">
        <v>507</v>
      </c>
      <c r="E55" s="57" t="s">
        <v>507</v>
      </c>
      <c r="F55" s="57" t="s">
        <v>509</v>
      </c>
      <c r="G55" s="60" t="s">
        <v>508</v>
      </c>
      <c r="H55" s="57" t="s">
        <v>506</v>
      </c>
      <c r="I55" s="57" t="s">
        <v>2477</v>
      </c>
      <c r="J55" s="54" t="str">
        <f xml:space="preserve"> LEFT(台羅韻母表[[#This Row],[十五音識別碼]],1)</f>
        <v>牛</v>
      </c>
      <c r="K55" s="54" t="s">
        <v>504</v>
      </c>
      <c r="L55" s="54" t="s">
        <v>510</v>
      </c>
      <c r="M55" s="135" t="s">
        <v>1309</v>
      </c>
      <c r="N55" s="54">
        <f t="shared" si="17"/>
        <v>4</v>
      </c>
      <c r="O55" s="73"/>
      <c r="P55" s="57" t="str">
        <f>C66</f>
        <v>onn</v>
      </c>
      <c r="Q55" s="57" t="str">
        <f>D66</f>
        <v>onn</v>
      </c>
      <c r="S55" s="121" t="str">
        <f t="shared" si="6"/>
        <v>onn(\d)</v>
      </c>
      <c r="T55" s="124" t="s">
        <v>1178</v>
      </c>
      <c r="U55" s="124" t="str">
        <f t="shared" si="7"/>
        <v/>
      </c>
      <c r="V55" s="121" t="str">
        <f t="shared" si="8"/>
        <v/>
      </c>
      <c r="W55" s="55"/>
      <c r="X55" s="56" t="str">
        <f t="shared" si="9"/>
        <v xml:space="preserve">    - xform/》onn(\d)//</v>
      </c>
    </row>
    <row r="56" spans="1:24" ht="30.75" thickBot="1">
      <c r="A56" s="181">
        <f t="shared" si="5"/>
        <v>53</v>
      </c>
      <c r="B56" s="139" t="str">
        <f xml:space="preserve"> _xlfn.CONCAT(LEFT(B55,1), MID(B55,2,1), _xlfn.UNICHAR(771), "ʔ")</f>
        <v>ɪũʔ</v>
      </c>
      <c r="C56" s="141" t="s">
        <v>1867</v>
      </c>
      <c r="D56" s="74" t="s">
        <v>2165</v>
      </c>
      <c r="E56" s="74" t="s">
        <v>2165</v>
      </c>
      <c r="F56" s="74" t="s">
        <v>2167</v>
      </c>
      <c r="G56" s="74" t="s">
        <v>2202</v>
      </c>
      <c r="H56" s="143" t="s">
        <v>2160</v>
      </c>
      <c r="I56" s="143" t="s">
        <v>2478</v>
      </c>
      <c r="J56" s="54" t="str">
        <f xml:space="preserve"> LEFT(台羅韻母表[[#This Row],[十五音識別碼]],1)</f>
        <v>牛</v>
      </c>
      <c r="K56" s="54" t="s">
        <v>2333</v>
      </c>
      <c r="L56" s="146" t="s">
        <v>2177</v>
      </c>
      <c r="M56" s="135" t="s">
        <v>1309</v>
      </c>
      <c r="N56" s="54">
        <f t="shared" si="17"/>
        <v>5</v>
      </c>
      <c r="O56" s="73"/>
      <c r="P56" s="57" t="str">
        <f>C62</f>
        <v>oh</v>
      </c>
      <c r="Q56" s="57" t="str">
        <f>D62</f>
        <v>oh</v>
      </c>
      <c r="S56" s="121" t="str">
        <f t="shared" si="6"/>
        <v>oh(\d)</v>
      </c>
      <c r="T56" s="124" t="s">
        <v>1225</v>
      </c>
      <c r="U56" s="124" t="str">
        <f t="shared" si="7"/>
        <v/>
      </c>
      <c r="V56" s="121" t="str">
        <f t="shared" si="8"/>
        <v/>
      </c>
      <c r="W56" s="55"/>
      <c r="X56" s="56" t="str">
        <f t="shared" si="9"/>
        <v xml:space="preserve">    - xform/》oh(\d)//</v>
      </c>
    </row>
    <row r="57" spans="1:24" ht="27.75" thickBot="1">
      <c r="A57" s="181">
        <f t="shared" ref="A57:A87" si="18" xml:space="preserve"> ROW() - 3</f>
        <v>54</v>
      </c>
      <c r="B57" s="139" t="s">
        <v>2394</v>
      </c>
      <c r="C57" s="141" t="s">
        <v>432</v>
      </c>
      <c r="D57" s="57" t="s">
        <v>432</v>
      </c>
      <c r="E57" s="57" t="s">
        <v>432</v>
      </c>
      <c r="F57" s="57" t="s">
        <v>432</v>
      </c>
      <c r="G57" s="60" t="s">
        <v>432</v>
      </c>
      <c r="H57" s="57" t="s">
        <v>431</v>
      </c>
      <c r="I57" s="57" t="s">
        <v>586</v>
      </c>
      <c r="J57" s="54" t="str">
        <f xml:space="preserve"> LEFT(台羅韻母表[[#This Row],[十五音識別碼]],1)</f>
        <v>姆</v>
      </c>
      <c r="K57" s="54" t="s">
        <v>429</v>
      </c>
      <c r="L57" s="54" t="s">
        <v>433</v>
      </c>
      <c r="M57" s="57"/>
      <c r="N57" s="54">
        <f xml:space="preserve"> LEN(D57)</f>
        <v>1</v>
      </c>
    </row>
    <row r="58" spans="1:24" ht="27.75" thickBot="1">
      <c r="A58" s="181">
        <f t="shared" si="18"/>
        <v>55</v>
      </c>
      <c r="B58" s="139" t="s">
        <v>846</v>
      </c>
      <c r="C58" s="141" t="s">
        <v>847</v>
      </c>
      <c r="D58" s="74" t="s">
        <v>2171</v>
      </c>
      <c r="E58" s="74" t="s">
        <v>2171</v>
      </c>
      <c r="F58" s="74" t="s">
        <v>2171</v>
      </c>
      <c r="G58" s="74" t="s">
        <v>847</v>
      </c>
      <c r="H58" s="144" t="s">
        <v>2164</v>
      </c>
      <c r="I58" s="144" t="s">
        <v>2481</v>
      </c>
      <c r="J58" s="54" t="str">
        <f xml:space="preserve"> LEFT(台羅韻母表[[#This Row],[十五音識別碼]],1)</f>
        <v>姆</v>
      </c>
      <c r="K58" s="54" t="s">
        <v>2333</v>
      </c>
      <c r="L58" s="145" t="s">
        <v>2172</v>
      </c>
      <c r="M58" s="57"/>
      <c r="N58" s="54">
        <f xml:space="preserve"> LEN(D58)</f>
        <v>2</v>
      </c>
    </row>
    <row r="59" spans="1:24" ht="27.75" thickBot="1">
      <c r="A59" s="181">
        <f t="shared" si="18"/>
        <v>56</v>
      </c>
      <c r="B59" s="139" t="s">
        <v>404</v>
      </c>
      <c r="C59" s="141" t="s">
        <v>407</v>
      </c>
      <c r="D59" s="57" t="s">
        <v>407</v>
      </c>
      <c r="E59" s="57" t="s">
        <v>407</v>
      </c>
      <c r="F59" s="57" t="s">
        <v>407</v>
      </c>
      <c r="G59" s="60" t="s">
        <v>407</v>
      </c>
      <c r="H59" s="57" t="s">
        <v>406</v>
      </c>
      <c r="I59" s="57" t="s">
        <v>1329</v>
      </c>
      <c r="J59" s="54" t="str">
        <f xml:space="preserve"> LEFT(台羅韻母表[[#This Row],[十五音識別碼]],1)</f>
        <v>鋼</v>
      </c>
      <c r="K59" s="54" t="s">
        <v>403</v>
      </c>
      <c r="L59" s="54" t="s">
        <v>408</v>
      </c>
      <c r="M59" s="57"/>
      <c r="N59" s="54">
        <f xml:space="preserve"> LEN(D59)</f>
        <v>2</v>
      </c>
    </row>
    <row r="60" spans="1:24" ht="27.75" thickBot="1">
      <c r="A60" s="181">
        <f t="shared" si="18"/>
        <v>57</v>
      </c>
      <c r="B60" s="139" t="s">
        <v>816</v>
      </c>
      <c r="C60" s="141" t="s">
        <v>817</v>
      </c>
      <c r="D60" s="74" t="s">
        <v>2175</v>
      </c>
      <c r="E60" s="74" t="s">
        <v>2175</v>
      </c>
      <c r="F60" s="74" t="s">
        <v>2175</v>
      </c>
      <c r="G60" s="74" t="s">
        <v>817</v>
      </c>
      <c r="H60" s="144" t="s">
        <v>1324</v>
      </c>
      <c r="I60" s="144" t="s">
        <v>2482</v>
      </c>
      <c r="J60" s="54" t="str">
        <f xml:space="preserve"> LEFT(台羅韻母表[[#This Row],[十五音識別碼]],1)</f>
        <v>鋼</v>
      </c>
      <c r="K60" s="54" t="s">
        <v>2333</v>
      </c>
      <c r="L60" s="145" t="s">
        <v>2174</v>
      </c>
      <c r="M60" s="57"/>
      <c r="N60" s="54">
        <f xml:space="preserve"> LEN(D60)</f>
        <v>3</v>
      </c>
    </row>
    <row r="61" spans="1:24" ht="27.75" thickBot="1">
      <c r="A61" s="181">
        <f t="shared" si="5"/>
        <v>58</v>
      </c>
      <c r="B61" s="139" t="s">
        <v>2451</v>
      </c>
      <c r="C61" s="141" t="s">
        <v>171</v>
      </c>
      <c r="D61" s="57" t="s">
        <v>171</v>
      </c>
      <c r="E61" s="57" t="s">
        <v>174</v>
      </c>
      <c r="F61" s="57" t="s">
        <v>171</v>
      </c>
      <c r="G61" s="60" t="s">
        <v>171</v>
      </c>
      <c r="H61" s="57" t="s">
        <v>173</v>
      </c>
      <c r="I61" s="57" t="s">
        <v>173</v>
      </c>
      <c r="J61" s="54" t="str">
        <f xml:space="preserve"> LEFT(台羅韻母表[[#This Row],[十五音識別碼]],1)</f>
        <v>高</v>
      </c>
      <c r="K61" s="54" t="s">
        <v>170</v>
      </c>
      <c r="L61" s="54" t="s">
        <v>175</v>
      </c>
      <c r="M61" s="57"/>
      <c r="N61" s="54">
        <f t="shared" si="17"/>
        <v>1</v>
      </c>
      <c r="O61" s="73"/>
      <c r="P61" s="57" t="str">
        <f>C69</f>
        <v>ooh</v>
      </c>
      <c r="Q61" s="57" t="str">
        <f>D69</f>
        <v>ooh</v>
      </c>
      <c r="S61" s="121" t="str">
        <f t="shared" si="6"/>
        <v>ooh(\d)</v>
      </c>
      <c r="T61" s="124" t="s">
        <v>1225</v>
      </c>
      <c r="U61" s="124" t="str">
        <f t="shared" si="7"/>
        <v/>
      </c>
      <c r="V61" s="121" t="str">
        <f t="shared" si="8"/>
        <v/>
      </c>
      <c r="W61" s="55"/>
      <c r="X61" s="56" t="str">
        <f t="shared" si="9"/>
        <v xml:space="preserve">    - xform/》ooh(\d)//</v>
      </c>
    </row>
    <row r="62" spans="1:24" ht="27.75" thickBot="1">
      <c r="A62" s="181">
        <f t="shared" si="5"/>
        <v>59</v>
      </c>
      <c r="B62" s="139" t="s">
        <v>2452</v>
      </c>
      <c r="C62" s="141" t="s">
        <v>178</v>
      </c>
      <c r="D62" s="57" t="s">
        <v>178</v>
      </c>
      <c r="E62" s="57" t="s">
        <v>179</v>
      </c>
      <c r="F62" s="57" t="s">
        <v>178</v>
      </c>
      <c r="G62" s="60" t="s">
        <v>178</v>
      </c>
      <c r="H62" s="57" t="s">
        <v>2191</v>
      </c>
      <c r="I62" s="57" t="s">
        <v>2241</v>
      </c>
      <c r="J62" s="54" t="str">
        <f xml:space="preserve"> LEFT(台羅韻母表[[#This Row],[十五音識別碼]],1)</f>
        <v>高</v>
      </c>
      <c r="K62" s="54" t="s">
        <v>177</v>
      </c>
      <c r="L62" s="54" t="s">
        <v>180</v>
      </c>
      <c r="M62" s="57"/>
      <c r="N62" s="54">
        <f xml:space="preserve"> LEN(D62)</f>
        <v>2</v>
      </c>
      <c r="O62" s="73"/>
      <c r="P62" s="57" t="str">
        <f>C65</f>
        <v>ong</v>
      </c>
      <c r="Q62" s="57" t="str">
        <f>D65</f>
        <v>ong</v>
      </c>
      <c r="S62" s="121" t="str">
        <f xml:space="preserve"> _xlfn.CONCAT(P62, "(\d)")</f>
        <v>ong(\d)</v>
      </c>
      <c r="T62" s="124" t="s">
        <v>1225</v>
      </c>
      <c r="U62" s="124" t="str">
        <f xml:space="preserve"> IFERROR( IF(T62="", "", SEARCH(T62, $P62)), "")</f>
        <v/>
      </c>
      <c r="V62" s="121" t="str">
        <f xml:space="preserve"> IFERROR( _xlfn.CONCAT(LEFT(P62,U62-1), "》", MID(P62,U62,1), "${1}", RIGHT(P62, LEN(P62)-U62)), "" )</f>
        <v/>
      </c>
      <c r="W62" s="55"/>
      <c r="X62" s="56" t="str">
        <f xml:space="preserve"> IF(AND(Q62&lt;&gt;"", P62&lt;&gt;""), "    - xform/》" &amp; S62 &amp;  "/"  &amp; V62 &amp;  "/", "")</f>
        <v xml:space="preserve">    - xform/》ong(\d)//</v>
      </c>
    </row>
    <row r="63" spans="1:24" ht="27.75" thickBot="1">
      <c r="A63" s="181">
        <f t="shared" si="5"/>
        <v>60</v>
      </c>
      <c r="B63" s="139" t="s">
        <v>2384</v>
      </c>
      <c r="C63" s="141" t="s">
        <v>90</v>
      </c>
      <c r="D63" s="57" t="s">
        <v>90</v>
      </c>
      <c r="E63" s="57" t="s">
        <v>90</v>
      </c>
      <c r="F63" s="57" t="s">
        <v>90</v>
      </c>
      <c r="G63" s="60" t="s">
        <v>90</v>
      </c>
      <c r="H63" s="57" t="s">
        <v>89</v>
      </c>
      <c r="I63" s="57" t="s">
        <v>2233</v>
      </c>
      <c r="J63" s="54" t="str">
        <f xml:space="preserve"> LEFT(台羅韻母表[[#This Row],[十五音識別碼]],1)</f>
        <v>公</v>
      </c>
      <c r="K63" s="54" t="s">
        <v>87</v>
      </c>
      <c r="L63" s="54" t="s">
        <v>91</v>
      </c>
      <c r="M63" s="57"/>
      <c r="N63" s="54">
        <f xml:space="preserve"> LEN(D63)</f>
        <v>2</v>
      </c>
      <c r="O63" s="73"/>
      <c r="P63" s="57" t="str">
        <f>C89</f>
        <v>ut</v>
      </c>
      <c r="Q63" s="57" t="str">
        <f>D89</f>
        <v>ut</v>
      </c>
      <c r="S63" s="121" t="str">
        <f xml:space="preserve"> _xlfn.CONCAT(P63, "(\d)")</f>
        <v>ut(\d)</v>
      </c>
      <c r="T63" s="124" t="s">
        <v>1225</v>
      </c>
      <c r="U63" s="124" t="str">
        <f xml:space="preserve"> IFERROR( IF(T63="", "", SEARCH(T63, $P63)), "")</f>
        <v/>
      </c>
      <c r="V63" s="121" t="str">
        <f xml:space="preserve"> IFERROR( _xlfn.CONCAT(LEFT(P63,U63-1), "》", MID(P63,U63,1), "${1}", RIGHT(P63, LEN(P63)-U63)), "" )</f>
        <v/>
      </c>
      <c r="W63" s="55"/>
      <c r="X63" s="56" t="str">
        <f xml:space="preserve"> IF(AND(Q63&lt;&gt;"", P63&lt;&gt;""), "    - xform/》" &amp; S63 &amp;  "/"  &amp; V63 &amp;  "/", "")</f>
        <v xml:space="preserve">    - xform/》ut(\d)//</v>
      </c>
    </row>
    <row r="64" spans="1:24" ht="27.75" thickBot="1">
      <c r="A64" s="181">
        <f t="shared" si="5"/>
        <v>61</v>
      </c>
      <c r="B64" s="139" t="s">
        <v>2381</v>
      </c>
      <c r="C64" s="141" t="s">
        <v>479</v>
      </c>
      <c r="D64" s="57" t="s">
        <v>479</v>
      </c>
      <c r="E64" s="57" t="s">
        <v>480</v>
      </c>
      <c r="F64" s="57" t="s">
        <v>479</v>
      </c>
      <c r="G64" s="60" t="s">
        <v>479</v>
      </c>
      <c r="H64" s="57" t="s">
        <v>478</v>
      </c>
      <c r="I64" s="57" t="s">
        <v>2276</v>
      </c>
      <c r="J64" s="54" t="str">
        <f xml:space="preserve"> LEFT(台羅韻母表[[#This Row],[十五音識別碼]],1)</f>
        <v>箴</v>
      </c>
      <c r="K64" s="54" t="s">
        <v>475</v>
      </c>
      <c r="L64" s="54" t="s">
        <v>481</v>
      </c>
      <c r="M64" s="57"/>
      <c r="N64" s="54">
        <f xml:space="preserve"> LEN(D64)</f>
        <v>2</v>
      </c>
      <c r="O64" s="73"/>
      <c r="P64" s="57" t="str">
        <f>C71</f>
        <v>u</v>
      </c>
      <c r="Q64" s="57" t="str">
        <f>D71</f>
        <v>u</v>
      </c>
      <c r="S64" s="121" t="str">
        <f xml:space="preserve"> _xlfn.CONCAT(P64, "(\d)")</f>
        <v>u(\d)</v>
      </c>
      <c r="T64" s="124" t="s">
        <v>1225</v>
      </c>
      <c r="U64" s="124" t="str">
        <f xml:space="preserve"> IFERROR( IF(T64="", "", SEARCH(T64, $P64)), "")</f>
        <v/>
      </c>
      <c r="V64" s="121" t="str">
        <f xml:space="preserve"> IFERROR( _xlfn.CONCAT(LEFT(P64,U64-1), "》", MID(P64,U64,1), "${1}", RIGHT(P64, LEN(P64)-U64)), "" )</f>
        <v/>
      </c>
      <c r="W64" s="55"/>
      <c r="X64" s="56" t="str">
        <f xml:space="preserve"> IF(AND(Q64&lt;&gt;"", P64&lt;&gt;""), "    - xform/》" &amp; S64 &amp;  "/"  &amp; V64 &amp;  "/", "")</f>
        <v xml:space="preserve">    - xform/》u(\d)//</v>
      </c>
    </row>
    <row r="65" spans="1:24" ht="27.75" thickBot="1">
      <c r="A65" s="181">
        <f t="shared" si="5"/>
        <v>62</v>
      </c>
      <c r="B65" s="139" t="s">
        <v>2382</v>
      </c>
      <c r="C65" s="141" t="s">
        <v>84</v>
      </c>
      <c r="D65" s="57" t="s">
        <v>84</v>
      </c>
      <c r="E65" s="57" t="s">
        <v>84</v>
      </c>
      <c r="F65" s="57" t="s">
        <v>84</v>
      </c>
      <c r="G65" s="60" t="s">
        <v>84</v>
      </c>
      <c r="H65" s="57" t="s">
        <v>83</v>
      </c>
      <c r="I65" s="57" t="s">
        <v>2232</v>
      </c>
      <c r="J65" s="54" t="str">
        <f xml:space="preserve"> LEFT(台羅韻母表[[#This Row],[十五音識別碼]],1)</f>
        <v>公</v>
      </c>
      <c r="K65" s="54" t="s">
        <v>80</v>
      </c>
      <c r="L65" s="54" t="s">
        <v>85</v>
      </c>
      <c r="M65" s="57"/>
      <c r="N65" s="54">
        <f xml:space="preserve"> LEN(D65)</f>
        <v>3</v>
      </c>
      <c r="O65" s="73"/>
      <c r="P65" s="57" t="str">
        <f>C84</f>
        <v>uh</v>
      </c>
      <c r="Q65" s="57" t="str">
        <f>D84</f>
        <v>uh</v>
      </c>
      <c r="S65" s="121" t="str">
        <f xml:space="preserve"> _xlfn.CONCAT(P65, "(\d)")</f>
        <v>uh(\d)</v>
      </c>
      <c r="T65" s="124" t="s">
        <v>1178</v>
      </c>
      <c r="U65" s="124" t="str">
        <f xml:space="preserve"> IFERROR( IF(T65="", "", SEARCH(T65, $P65)), "")</f>
        <v/>
      </c>
      <c r="V65" s="121" t="str">
        <f xml:space="preserve"> IFERROR( _xlfn.CONCAT(LEFT(P65,U65-1), "》", MID(P65,U65,1), "${1}", RIGHT(P65, LEN(P65)-U65)), "" )</f>
        <v/>
      </c>
      <c r="W65" s="55"/>
      <c r="X65" s="56" t="str">
        <f xml:space="preserve"> IF(AND(Q65&lt;&gt;"", P65&lt;&gt;""), "    - xform/》" &amp; S65 &amp;  "/"  &amp; V65 &amp;  "/", "")</f>
        <v xml:space="preserve">    - xform/》uh(\d)//</v>
      </c>
    </row>
    <row r="66" spans="1:24" ht="27.75" thickBot="1">
      <c r="A66" s="181">
        <f t="shared" si="5"/>
        <v>63</v>
      </c>
      <c r="B66" s="139" t="s">
        <v>2378</v>
      </c>
      <c r="C66" s="141" t="s">
        <v>425</v>
      </c>
      <c r="D66" s="57" t="s">
        <v>425</v>
      </c>
      <c r="E66" s="57" t="s">
        <v>424</v>
      </c>
      <c r="F66" s="57" t="s">
        <v>427</v>
      </c>
      <c r="G66" s="60" t="s">
        <v>2203</v>
      </c>
      <c r="H66" s="57" t="s">
        <v>423</v>
      </c>
      <c r="I66" s="57" t="s">
        <v>2269</v>
      </c>
      <c r="J66" s="54" t="str">
        <f xml:space="preserve"> LEFT(台羅韻母表[[#This Row],[十五音識別碼]],1)</f>
        <v>姑</v>
      </c>
      <c r="K66" s="54" t="s">
        <v>421</v>
      </c>
      <c r="L66" s="54" t="s">
        <v>428</v>
      </c>
      <c r="M66" s="57"/>
      <c r="N66" s="54">
        <f xml:space="preserve"> LEN(D66)</f>
        <v>3</v>
      </c>
      <c r="O66" s="73"/>
      <c r="P66" s="57" t="str">
        <f>C64</f>
        <v>om</v>
      </c>
      <c r="Q66" s="57" t="str">
        <f>D64</f>
        <v>om</v>
      </c>
      <c r="S66" s="121" t="str">
        <f xml:space="preserve"> _xlfn.CONCAT(P66, "(\d)")</f>
        <v>om(\d)</v>
      </c>
      <c r="T66" s="124" t="s">
        <v>1225</v>
      </c>
      <c r="U66" s="124" t="str">
        <f xml:space="preserve"> IFERROR( IF(T66="", "", SEARCH(T66, $P66)), "")</f>
        <v/>
      </c>
      <c r="V66" s="121" t="str">
        <f xml:space="preserve"> IFERROR( _xlfn.CONCAT(LEFT(P66,U66-1), "》", MID(P66,U66,1), "${1}", RIGHT(P66, LEN(P66)-U66)), "" )</f>
        <v/>
      </c>
      <c r="W66" s="55"/>
      <c r="X66" s="56" t="str">
        <f xml:space="preserve"> IF(AND(Q66&lt;&gt;"", P66&lt;&gt;""), "    - xform/》" &amp; S66 &amp;  "/"  &amp; V66 &amp;  "/", "")</f>
        <v xml:space="preserve">    - xform/》om(\d)//</v>
      </c>
    </row>
    <row r="67" spans="1:24" ht="27.75" thickBot="1">
      <c r="A67" s="181">
        <f t="shared" si="5"/>
        <v>64</v>
      </c>
      <c r="B67" s="139" t="s">
        <v>2380</v>
      </c>
      <c r="C67" s="141" t="s">
        <v>501</v>
      </c>
      <c r="D67" s="57" t="s">
        <v>500</v>
      </c>
      <c r="E67" s="57" t="s">
        <v>501</v>
      </c>
      <c r="F67" s="57" t="s">
        <v>2166</v>
      </c>
      <c r="G67" s="60" t="s">
        <v>903</v>
      </c>
      <c r="H67" s="57" t="s">
        <v>2192</v>
      </c>
      <c r="I67" s="57" t="s">
        <v>2279</v>
      </c>
      <c r="J67" s="54" t="str">
        <f xml:space="preserve"> LEFT(台羅韻母表[[#This Row],[十五音識別碼]],1)</f>
        <v>扛</v>
      </c>
      <c r="K67" s="54" t="s">
        <v>2333</v>
      </c>
      <c r="L67" s="54" t="s">
        <v>503</v>
      </c>
      <c r="M67" s="135" t="s">
        <v>1309</v>
      </c>
      <c r="N67" s="54">
        <f xml:space="preserve"> LEN(D67)</f>
        <v>4</v>
      </c>
      <c r="O67" s="73"/>
      <c r="P67" s="57" t="str">
        <f>C63</f>
        <v>ok</v>
      </c>
      <c r="Q67" s="57" t="str">
        <f>D63</f>
        <v>ok</v>
      </c>
      <c r="S67" s="121" t="str">
        <f xml:space="preserve"> _xlfn.CONCAT(P67, "(\d)")</f>
        <v>ok(\d)</v>
      </c>
      <c r="T67" s="124" t="s">
        <v>1225</v>
      </c>
      <c r="U67" s="124" t="str">
        <f xml:space="preserve"> IFERROR( IF(T67="", "", SEARCH(T67, $P67)), "")</f>
        <v/>
      </c>
      <c r="V67" s="121" t="str">
        <f xml:space="preserve"> IFERROR( _xlfn.CONCAT(LEFT(P67,U67-1), "》", MID(P67,U67,1), "${1}", RIGHT(P67, LEN(P67)-U67)), "" )</f>
        <v/>
      </c>
      <c r="W67" s="55"/>
      <c r="X67" s="56" t="str">
        <f xml:space="preserve"> IF(AND(Q67&lt;&gt;"", P67&lt;&gt;""), "    - xform/》" &amp; S67 &amp;  "/"  &amp; V67 &amp;  "/", "")</f>
        <v xml:space="preserve">    - xform/》ok(\d)//</v>
      </c>
    </row>
    <row r="68" spans="1:24" ht="27.75" thickBot="1">
      <c r="A68" s="181">
        <f t="shared" si="5"/>
        <v>65</v>
      </c>
      <c r="B68" s="139" t="s">
        <v>2377</v>
      </c>
      <c r="C68" s="141" t="s">
        <v>136</v>
      </c>
      <c r="D68" s="57" t="s">
        <v>136</v>
      </c>
      <c r="E68" s="57" t="s">
        <v>136</v>
      </c>
      <c r="F68" s="57" t="s">
        <v>136</v>
      </c>
      <c r="G68" s="60" t="s">
        <v>137</v>
      </c>
      <c r="H68" s="57" t="s">
        <v>1336</v>
      </c>
      <c r="I68" s="57" t="s">
        <v>2237</v>
      </c>
      <c r="J68" s="54" t="str">
        <f xml:space="preserve"> LEFT(台羅韻母表[[#This Row],[十五音識別碼]],1)</f>
        <v>沽</v>
      </c>
      <c r="K68" s="54" t="s">
        <v>133</v>
      </c>
      <c r="L68" s="54" t="s">
        <v>138</v>
      </c>
      <c r="M68" s="57"/>
      <c r="N68" s="54">
        <f t="shared" si="17"/>
        <v>2</v>
      </c>
      <c r="O68" s="73"/>
      <c r="P68" s="57" t="str">
        <f>C67</f>
        <v>onnh</v>
      </c>
      <c r="Q68" s="57" t="str">
        <f>D67</f>
        <v>ohnn</v>
      </c>
      <c r="S68" s="121" t="str">
        <f t="shared" si="6"/>
        <v>onnh(\d)</v>
      </c>
      <c r="T68" s="124" t="s">
        <v>1225</v>
      </c>
      <c r="U68" s="124" t="str">
        <f t="shared" si="7"/>
        <v/>
      </c>
      <c r="V68" s="121" t="str">
        <f t="shared" si="8"/>
        <v/>
      </c>
      <c r="W68" s="55"/>
      <c r="X68" s="56" t="str">
        <f t="shared" si="9"/>
        <v xml:space="preserve">    - xform/》onnh(\d)//</v>
      </c>
    </row>
    <row r="69" spans="1:24" ht="30.75" thickBot="1">
      <c r="A69" s="181">
        <f t="shared" si="5"/>
        <v>66</v>
      </c>
      <c r="B69" s="139" t="s">
        <v>2379</v>
      </c>
      <c r="C69" s="141" t="s">
        <v>822</v>
      </c>
      <c r="D69" s="74" t="s">
        <v>2168</v>
      </c>
      <c r="E69" s="74" t="s">
        <v>2168</v>
      </c>
      <c r="F69" s="74" t="s">
        <v>2168</v>
      </c>
      <c r="G69" s="74" t="s">
        <v>2169</v>
      </c>
      <c r="H69" s="144" t="s">
        <v>1326</v>
      </c>
      <c r="I69" s="144" t="s">
        <v>2479</v>
      </c>
      <c r="J69" s="54" t="str">
        <f xml:space="preserve"> LEFT(台羅韻母表[[#This Row],[十五音識別碼]],1)</f>
        <v>沽</v>
      </c>
      <c r="K69" s="54" t="s">
        <v>2333</v>
      </c>
      <c r="L69" s="146" t="s">
        <v>2176</v>
      </c>
      <c r="M69" s="57"/>
      <c r="N69" s="54">
        <f t="shared" si="17"/>
        <v>3</v>
      </c>
      <c r="O69" s="73"/>
      <c r="P69" s="57" t="str">
        <f>C70</f>
        <v>op</v>
      </c>
      <c r="Q69" s="57" t="str">
        <f>D70</f>
        <v>op</v>
      </c>
      <c r="S69" s="121" t="str">
        <f t="shared" si="6"/>
        <v>op(\d)</v>
      </c>
      <c r="T69" s="124" t="s">
        <v>1225</v>
      </c>
      <c r="U69" s="124" t="str">
        <f t="shared" si="7"/>
        <v/>
      </c>
      <c r="V69" s="121" t="str">
        <f t="shared" si="8"/>
        <v/>
      </c>
      <c r="W69" s="55"/>
      <c r="X69" s="56" t="str">
        <f t="shared" si="9"/>
        <v xml:space="preserve">    - xform/》op(\d)//</v>
      </c>
    </row>
    <row r="70" spans="1:24" ht="27.75" thickBot="1">
      <c r="A70" s="181">
        <f t="shared" si="5"/>
        <v>67</v>
      </c>
      <c r="B70" s="139" t="s">
        <v>2383</v>
      </c>
      <c r="C70" s="141" t="s">
        <v>485</v>
      </c>
      <c r="D70" s="57" t="s">
        <v>485</v>
      </c>
      <c r="E70" s="57" t="s">
        <v>486</v>
      </c>
      <c r="F70" s="57" t="s">
        <v>485</v>
      </c>
      <c r="G70" s="60" t="s">
        <v>485</v>
      </c>
      <c r="H70" s="57" t="s">
        <v>484</v>
      </c>
      <c r="I70" s="57" t="s">
        <v>2277</v>
      </c>
      <c r="J70" s="54" t="str">
        <f xml:space="preserve"> LEFT(台羅韻母表[[#This Row],[十五音識別碼]],1)</f>
        <v>箴</v>
      </c>
      <c r="K70" s="54" t="s">
        <v>482</v>
      </c>
      <c r="L70" s="54" t="s">
        <v>487</v>
      </c>
      <c r="M70" s="57"/>
      <c r="N70" s="54">
        <f t="shared" si="17"/>
        <v>2</v>
      </c>
      <c r="O70" s="73"/>
      <c r="P70" s="57" t="str">
        <f>C88</f>
        <v>un</v>
      </c>
      <c r="Q70" s="57" t="str">
        <f>D88</f>
        <v>un</v>
      </c>
      <c r="S70" s="121" t="str">
        <f t="shared" si="6"/>
        <v>un(\d)</v>
      </c>
      <c r="T70" s="124" t="s">
        <v>1226</v>
      </c>
      <c r="U70" s="124" t="str">
        <f t="shared" si="7"/>
        <v/>
      </c>
      <c r="V70" s="121" t="str">
        <f t="shared" si="8"/>
        <v/>
      </c>
      <c r="W70" s="55"/>
      <c r="X70" s="56" t="str">
        <f t="shared" si="9"/>
        <v xml:space="preserve">    - xform/》un(\d)//</v>
      </c>
    </row>
    <row r="71" spans="1:24" ht="27.75" thickBot="1">
      <c r="A71" s="181">
        <f t="shared" si="5"/>
        <v>68</v>
      </c>
      <c r="B71" s="139" t="s">
        <v>2385</v>
      </c>
      <c r="C71" s="141" t="s">
        <v>308</v>
      </c>
      <c r="D71" s="57" t="s">
        <v>308</v>
      </c>
      <c r="E71" s="57" t="s">
        <v>308</v>
      </c>
      <c r="F71" s="57" t="s">
        <v>308</v>
      </c>
      <c r="G71" s="60" t="s">
        <v>308</v>
      </c>
      <c r="H71" s="57" t="s">
        <v>310</v>
      </c>
      <c r="I71" s="57" t="s">
        <v>310</v>
      </c>
      <c r="J71" s="54" t="str">
        <f xml:space="preserve"> LEFT(台羅韻母表[[#This Row],[十五音識別碼]],1)</f>
        <v>艍</v>
      </c>
      <c r="K71" s="54" t="s">
        <v>307</v>
      </c>
      <c r="L71" s="54" t="s">
        <v>311</v>
      </c>
      <c r="M71" s="57"/>
      <c r="N71" s="54">
        <f t="shared" si="17"/>
        <v>1</v>
      </c>
      <c r="O71" s="73"/>
      <c r="P71" s="57" t="str">
        <f>C72</f>
        <v>ua</v>
      </c>
      <c r="Q71" s="57" t="str">
        <f>D72</f>
        <v>ua</v>
      </c>
      <c r="S71" s="121" t="str">
        <f t="shared" si="6"/>
        <v>ua(\d)</v>
      </c>
      <c r="T71" s="124" t="s">
        <v>1178</v>
      </c>
      <c r="U71" s="124" t="str">
        <f t="shared" si="7"/>
        <v/>
      </c>
      <c r="V71" s="121" t="str">
        <f t="shared" si="8"/>
        <v/>
      </c>
      <c r="W71" s="55"/>
      <c r="X71" s="56" t="str">
        <f t="shared" si="9"/>
        <v xml:space="preserve">    - xform/》ua(\d)//</v>
      </c>
    </row>
    <row r="72" spans="1:24" ht="27.75" thickBot="1">
      <c r="A72" s="181">
        <f t="shared" si="5"/>
        <v>69</v>
      </c>
      <c r="B72" s="139" t="s">
        <v>2411</v>
      </c>
      <c r="C72" s="141" t="s">
        <v>223</v>
      </c>
      <c r="D72" s="57" t="s">
        <v>223</v>
      </c>
      <c r="E72" s="57" t="s">
        <v>223</v>
      </c>
      <c r="F72" s="57" t="s">
        <v>223</v>
      </c>
      <c r="G72" s="60" t="s">
        <v>226</v>
      </c>
      <c r="H72" s="57" t="s">
        <v>225</v>
      </c>
      <c r="I72" s="57" t="s">
        <v>225</v>
      </c>
      <c r="J72" s="54" t="str">
        <f xml:space="preserve"> LEFT(台羅韻母表[[#This Row],[十五音識別碼]],1)</f>
        <v>瓜</v>
      </c>
      <c r="K72" s="54" t="s">
        <v>222</v>
      </c>
      <c r="L72" s="54" t="s">
        <v>227</v>
      </c>
      <c r="M72" s="57"/>
      <c r="N72" s="54">
        <f xml:space="preserve"> LEN(D72)</f>
        <v>2</v>
      </c>
      <c r="O72" s="73"/>
      <c r="P72" s="57" t="str">
        <f>C79</f>
        <v>uang</v>
      </c>
      <c r="Q72" s="57" t="str">
        <f>D79</f>
        <v>uang</v>
      </c>
      <c r="S72" s="121" t="str">
        <f xml:space="preserve"> _xlfn.CONCAT(P72, "(\d)")</f>
        <v>uang(\d)</v>
      </c>
      <c r="T72" s="124" t="s">
        <v>1226</v>
      </c>
      <c r="U72" s="124" t="str">
        <f xml:space="preserve"> IFERROR( IF(T72="", "", SEARCH(T72, $P72)), "")</f>
        <v/>
      </c>
      <c r="V72" s="121" t="str">
        <f xml:space="preserve"> IFERROR( _xlfn.CONCAT(LEFT(P72,U72-1), "》", MID(P72,U72,1), "${1}", RIGHT(P72, LEN(P72)-U72)), "" )</f>
        <v/>
      </c>
      <c r="W72" s="55"/>
      <c r="X72" s="56" t="str">
        <f xml:space="preserve"> IF(AND(Q72&lt;&gt;"", P72&lt;&gt;""), "    - xform/》" &amp; S72 &amp;  "/"  &amp; V72 &amp;  "/", "")</f>
        <v xml:space="preserve">    - xform/》uang(\d)//</v>
      </c>
    </row>
    <row r="73" spans="1:24" ht="27.75" thickBot="1">
      <c r="A73" s="181">
        <f t="shared" si="18"/>
        <v>70</v>
      </c>
      <c r="B73" s="139" t="s">
        <v>2413</v>
      </c>
      <c r="C73" s="141" t="s">
        <v>230</v>
      </c>
      <c r="D73" s="57" t="s">
        <v>230</v>
      </c>
      <c r="E73" s="57" t="s">
        <v>230</v>
      </c>
      <c r="F73" s="57" t="s">
        <v>230</v>
      </c>
      <c r="G73" s="60" t="s">
        <v>231</v>
      </c>
      <c r="H73" s="57" t="s">
        <v>2194</v>
      </c>
      <c r="I73" s="57" t="s">
        <v>2246</v>
      </c>
      <c r="J73" s="54" t="str">
        <f xml:space="preserve"> LEFT(台羅韻母表[[#This Row],[十五音識別碼]],1)</f>
        <v>瓜</v>
      </c>
      <c r="K73" s="54" t="s">
        <v>229</v>
      </c>
      <c r="L73" s="54" t="s">
        <v>232</v>
      </c>
      <c r="M73" s="57"/>
      <c r="N73" s="54">
        <f xml:space="preserve"> LEN(D73)</f>
        <v>3</v>
      </c>
      <c r="O73" s="73"/>
      <c r="P73" s="57" t="str">
        <f>C74</f>
        <v>uai</v>
      </c>
      <c r="Q73" s="57" t="str">
        <f>D74</f>
        <v>uai</v>
      </c>
      <c r="S73" s="121" t="str">
        <f xml:space="preserve"> _xlfn.CONCAT(P73, "(\d)")</f>
        <v>uai(\d)</v>
      </c>
      <c r="T73" s="124" t="s">
        <v>1226</v>
      </c>
      <c r="U73" s="124">
        <f xml:space="preserve"> IFERROR( IF(T73="", "", SEARCH(T73, $P73)), "")</f>
        <v>3</v>
      </c>
      <c r="V73" s="121" t="str">
        <f xml:space="preserve"> IFERROR( _xlfn.CONCAT(LEFT(P73,U73-1), "》", MID(P73,U73,1), "${1}", RIGHT(P73, LEN(P73)-U73)), "" )</f>
        <v>ua》i${1}</v>
      </c>
      <c r="W73" s="55"/>
      <c r="X73" s="56" t="str">
        <f xml:space="preserve"> IF(AND(Q73&lt;&gt;"", P73&lt;&gt;""), "    - xform/》" &amp; S73 &amp;  "/"  &amp; V73 &amp;  "/", "")</f>
        <v xml:space="preserve">    - xform/》uai(\d)/ua》i${1}/</v>
      </c>
    </row>
    <row r="74" spans="1:24" ht="27.75" thickBot="1">
      <c r="A74" s="181">
        <f t="shared" si="18"/>
        <v>71</v>
      </c>
      <c r="B74" s="139" t="s">
        <v>2417</v>
      </c>
      <c r="C74" s="141" t="s">
        <v>94</v>
      </c>
      <c r="D74" s="57" t="s">
        <v>94</v>
      </c>
      <c r="E74" s="57" t="s">
        <v>94</v>
      </c>
      <c r="F74" s="57" t="s">
        <v>94</v>
      </c>
      <c r="G74" s="60" t="s">
        <v>97</v>
      </c>
      <c r="H74" s="57" t="s">
        <v>96</v>
      </c>
      <c r="I74" s="57" t="s">
        <v>96</v>
      </c>
      <c r="J74" s="54" t="str">
        <f xml:space="preserve"> LEFT(台羅韻母表[[#This Row],[十五音識別碼]],1)</f>
        <v>乖</v>
      </c>
      <c r="K74" s="54" t="s">
        <v>93</v>
      </c>
      <c r="L74" s="54" t="s">
        <v>98</v>
      </c>
      <c r="M74" s="57"/>
      <c r="N74" s="54">
        <f xml:space="preserve"> LEN(D74)</f>
        <v>3</v>
      </c>
      <c r="O74" s="73"/>
      <c r="P74" s="57" t="str">
        <f>C82</f>
        <v>ue</v>
      </c>
      <c r="Q74" s="57" t="str">
        <f>D82</f>
        <v>ue</v>
      </c>
      <c r="S74" s="121" t="str">
        <f xml:space="preserve"> _xlfn.CONCAT(P74, "(\d)")</f>
        <v>ue(\d)</v>
      </c>
      <c r="T74" s="124" t="s">
        <v>1302</v>
      </c>
      <c r="U74" s="124" t="str">
        <f xml:space="preserve"> IFERROR( IF(T74="", "", SEARCH(T74, $P74)), "")</f>
        <v/>
      </c>
      <c r="V74" s="121" t="str">
        <f xml:space="preserve"> IFERROR( _xlfn.CONCAT(LEFT(P74,U74-1), "》", MID(P74,U74,1), "${1}", RIGHT(P74, LEN(P74)-U74)), "" )</f>
        <v/>
      </c>
      <c r="W74" s="55"/>
      <c r="X74" s="56" t="str">
        <f xml:space="preserve"> IF(AND(Q74&lt;&gt;"", P74&lt;&gt;""), "    - xform/》" &amp; S74 &amp;  "/"  &amp; V74 &amp;  "/", "")</f>
        <v xml:space="preserve">    - xform/》ue(\d)//</v>
      </c>
    </row>
    <row r="75" spans="1:24" ht="27.75" thickBot="1">
      <c r="A75" s="181">
        <f t="shared" si="18"/>
        <v>72</v>
      </c>
      <c r="B75" s="139" t="s">
        <v>2418</v>
      </c>
      <c r="C75" s="141" t="s">
        <v>449</v>
      </c>
      <c r="D75" s="57" t="s">
        <v>449</v>
      </c>
      <c r="E75" s="57" t="s">
        <v>449</v>
      </c>
      <c r="F75" s="57" t="s">
        <v>451</v>
      </c>
      <c r="G75" s="60" t="s">
        <v>450</v>
      </c>
      <c r="H75" s="57" t="s">
        <v>448</v>
      </c>
      <c r="I75" s="57" t="s">
        <v>2271</v>
      </c>
      <c r="J75" s="54" t="str">
        <f xml:space="preserve"> LEFT(台羅韻母表[[#This Row],[十五音識別碼]],1)</f>
        <v>閂</v>
      </c>
      <c r="K75" s="54" t="s">
        <v>446</v>
      </c>
      <c r="L75" s="54" t="s">
        <v>452</v>
      </c>
      <c r="M75" s="135" t="s">
        <v>1309</v>
      </c>
      <c r="N75" s="54">
        <f xml:space="preserve"> LEN(D75)</f>
        <v>5</v>
      </c>
      <c r="O75" s="73"/>
      <c r="P75" s="57" t="str">
        <f>C83</f>
        <v>ueh</v>
      </c>
      <c r="Q75" s="57" t="str">
        <f>D83</f>
        <v>ueh</v>
      </c>
      <c r="S75" s="121" t="str">
        <f xml:space="preserve"> _xlfn.CONCAT(P75, "(\d)")</f>
        <v>ueh(\d)</v>
      </c>
      <c r="T75" s="124" t="s">
        <v>1213</v>
      </c>
      <c r="U75" s="124" t="str">
        <f xml:space="preserve"> IFERROR( IF(T75="", "", SEARCH(T75, $P75)), "")</f>
        <v/>
      </c>
      <c r="V75" s="121" t="str">
        <f xml:space="preserve"> IFERROR( _xlfn.CONCAT(LEFT(P75,U75-1), "》", MID(P75,U75,1), "${1}", RIGHT(P75, LEN(P75)-U75)), "" )</f>
        <v/>
      </c>
      <c r="W75" s="55"/>
      <c r="X75" s="56" t="str">
        <f xml:space="preserve"> IF(AND(Q75&lt;&gt;"", P75&lt;&gt;""), "    - xform/》" &amp; S75 &amp;  "/"  &amp; V75 &amp;  "/", "")</f>
        <v xml:space="preserve">    - xform/》ueh(\d)//</v>
      </c>
    </row>
    <row r="76" spans="1:24" ht="27.75" thickBot="1">
      <c r="A76" s="181">
        <f t="shared" si="18"/>
        <v>73</v>
      </c>
      <c r="B76" s="139" t="s">
        <v>2419</v>
      </c>
      <c r="C76" s="141" t="s">
        <v>101</v>
      </c>
      <c r="D76" s="57" t="s">
        <v>101</v>
      </c>
      <c r="E76" s="57" t="s">
        <v>101</v>
      </c>
      <c r="F76" s="57" t="s">
        <v>101</v>
      </c>
      <c r="G76" s="60" t="s">
        <v>102</v>
      </c>
      <c r="H76" s="57" t="s">
        <v>2196</v>
      </c>
      <c r="I76" s="57" t="s">
        <v>2234</v>
      </c>
      <c r="J76" s="54" t="str">
        <f xml:space="preserve"> LEFT(台羅韻母表[[#This Row],[十五音識別碼]],1)</f>
        <v>乖</v>
      </c>
      <c r="K76" s="54" t="s">
        <v>2333</v>
      </c>
      <c r="L76" s="54" t="s">
        <v>103</v>
      </c>
      <c r="M76" s="57"/>
      <c r="N76" s="54">
        <f xml:space="preserve"> LEN(D76)</f>
        <v>4</v>
      </c>
      <c r="O76" s="73"/>
      <c r="P76" s="57" t="str">
        <f>C85</f>
        <v>ui</v>
      </c>
      <c r="Q76" s="57" t="str">
        <f>D85</f>
        <v>ui</v>
      </c>
      <c r="S76" s="121" t="str">
        <f xml:space="preserve"> _xlfn.CONCAT(P76, "(\d)")</f>
        <v>ui(\d)</v>
      </c>
      <c r="T76" s="124" t="s">
        <v>1213</v>
      </c>
      <c r="U76" s="124" t="str">
        <f xml:space="preserve"> IFERROR( IF(T76="", "", SEARCH(T76, $P76)), "")</f>
        <v/>
      </c>
      <c r="V76" s="121" t="str">
        <f xml:space="preserve"> IFERROR( _xlfn.CONCAT(LEFT(P76,U76-1), "》", MID(P76,U76,1), "${1}", RIGHT(P76, LEN(P76)-U76)), "" )</f>
        <v/>
      </c>
      <c r="W76" s="55"/>
      <c r="X76" s="56" t="str">
        <f xml:space="preserve"> IF(AND(Q76&lt;&gt;"", P76&lt;&gt;""), "    - xform/》" &amp; S76 &amp;  "/"  &amp; V76 &amp;  "/", "")</f>
        <v xml:space="preserve">    - xform/》ui(\d)//</v>
      </c>
    </row>
    <row r="77" spans="1:24" ht="27.75" thickBot="1">
      <c r="A77" s="181">
        <f t="shared" si="18"/>
        <v>74</v>
      </c>
      <c r="B77" s="139" t="s">
        <v>2420</v>
      </c>
      <c r="C77" s="141" t="s">
        <v>455</v>
      </c>
      <c r="D77" s="57" t="s">
        <v>454</v>
      </c>
      <c r="E77" s="57" t="s">
        <v>455</v>
      </c>
      <c r="F77" s="74" t="s">
        <v>1245</v>
      </c>
      <c r="G77" s="60" t="s">
        <v>901</v>
      </c>
      <c r="H77" s="57" t="s">
        <v>2197</v>
      </c>
      <c r="I77" s="57" t="s">
        <v>2272</v>
      </c>
      <c r="J77" s="54" t="str">
        <f xml:space="preserve"> LEFT(台羅韻母表[[#This Row],[十五音識別碼]],1)</f>
        <v>閂</v>
      </c>
      <c r="K77" s="54" t="s">
        <v>453</v>
      </c>
      <c r="L77" s="54" t="s">
        <v>457</v>
      </c>
      <c r="M77" s="135" t="s">
        <v>1309</v>
      </c>
      <c r="N77" s="54">
        <f xml:space="preserve"> LEN(D77)</f>
        <v>6</v>
      </c>
      <c r="O77" s="73"/>
      <c r="P77" s="57" t="str">
        <f>C87</f>
        <v>uinn</v>
      </c>
      <c r="Q77" s="57" t="str">
        <f>D87</f>
        <v>uinn</v>
      </c>
      <c r="S77" s="121" t="str">
        <f xml:space="preserve"> _xlfn.CONCAT(P77, "(\d)")</f>
        <v>uinn(\d)</v>
      </c>
      <c r="T77" s="124" t="s">
        <v>1213</v>
      </c>
      <c r="U77" s="124" t="str">
        <f xml:space="preserve"> IFERROR( IF(T77="", "", SEARCH(T77, $P77)), "")</f>
        <v/>
      </c>
      <c r="V77" s="121" t="str">
        <f xml:space="preserve"> IFERROR( _xlfn.CONCAT(LEFT(P77,U77-1), "》", MID(P77,U77,1), "${1}", RIGHT(P77, LEN(P77)-U77)), "" )</f>
        <v/>
      </c>
      <c r="W77" s="55"/>
      <c r="X77" s="56" t="str">
        <f xml:space="preserve"> IF(AND(Q77&lt;&gt;"", P77&lt;&gt;""), "    - xform/》" &amp; S77 &amp;  "/"  &amp; V77 &amp;  "/", "")</f>
        <v xml:space="preserve">    - xform/》uinn(\d)//</v>
      </c>
    </row>
    <row r="78" spans="1:24" ht="27.75" thickBot="1">
      <c r="A78" s="181">
        <f t="shared" si="18"/>
        <v>75</v>
      </c>
      <c r="B78" s="139" t="s">
        <v>2414</v>
      </c>
      <c r="C78" s="141" t="s">
        <v>120</v>
      </c>
      <c r="D78" s="57" t="s">
        <v>120</v>
      </c>
      <c r="E78" s="57" t="s">
        <v>120</v>
      </c>
      <c r="F78" s="57" t="s">
        <v>120</v>
      </c>
      <c r="G78" s="60" t="s">
        <v>123</v>
      </c>
      <c r="H78" s="57" t="s">
        <v>122</v>
      </c>
      <c r="I78" s="57" t="s">
        <v>122</v>
      </c>
      <c r="J78" s="54" t="str">
        <f xml:space="preserve"> LEFT(台羅韻母表[[#This Row],[十五音識別碼]],1)</f>
        <v>觀</v>
      </c>
      <c r="K78" s="54" t="s">
        <v>119</v>
      </c>
      <c r="L78" s="54" t="s">
        <v>124</v>
      </c>
      <c r="M78" s="57"/>
      <c r="N78" s="54">
        <f xml:space="preserve"> LEN(D78)</f>
        <v>3</v>
      </c>
      <c r="O78" s="73"/>
      <c r="P78" s="57" t="str">
        <f>C75</f>
        <v>uainn</v>
      </c>
      <c r="Q78" s="57" t="str">
        <f>D75</f>
        <v>uainn</v>
      </c>
      <c r="S78" s="121" t="str">
        <f xml:space="preserve"> _xlfn.CONCAT(P78, "(\d)")</f>
        <v>uainn(\d)</v>
      </c>
      <c r="T78" s="124" t="s">
        <v>1226</v>
      </c>
      <c r="U78" s="124">
        <f xml:space="preserve"> IFERROR( IF(T78="", "", SEARCH(T78, $P78)), "")</f>
        <v>3</v>
      </c>
      <c r="V78" s="121" t="str">
        <f xml:space="preserve"> IFERROR( _xlfn.CONCAT(LEFT(P78,U78-1), "》", MID(P78,U78,1), "${1}", RIGHT(P78, LEN(P78)-U78)), "" )</f>
        <v>ua》i${1}nn</v>
      </c>
      <c r="W78" s="55"/>
      <c r="X78" s="56" t="str">
        <f xml:space="preserve"> IF(AND(Q78&lt;&gt;"", P78&lt;&gt;""), "    - xform/》" &amp; S78 &amp;  "/"  &amp; V78 &amp;  "/", "")</f>
        <v xml:space="preserve">    - xform/》uainn(\d)/ua》i${1}nn/</v>
      </c>
    </row>
    <row r="79" spans="1:24" ht="27.75" thickBot="1">
      <c r="A79" s="181">
        <f t="shared" si="18"/>
        <v>76</v>
      </c>
      <c r="B79" s="139" t="s">
        <v>2415</v>
      </c>
      <c r="C79" s="141" t="s">
        <v>437</v>
      </c>
      <c r="D79" s="57" t="s">
        <v>437</v>
      </c>
      <c r="E79" s="57" t="s">
        <v>437</v>
      </c>
      <c r="F79" s="57" t="s">
        <v>437</v>
      </c>
      <c r="G79" s="60" t="s">
        <v>438</v>
      </c>
      <c r="H79" s="57" t="s">
        <v>2195</v>
      </c>
      <c r="I79" s="57" t="s">
        <v>2195</v>
      </c>
      <c r="J79" s="54" t="str">
        <f xml:space="preserve"> LEFT(台羅韻母表[[#This Row],[十五音識別碼]],1)</f>
        <v>光</v>
      </c>
      <c r="K79" s="54" t="s">
        <v>434</v>
      </c>
      <c r="L79" s="54" t="s">
        <v>439</v>
      </c>
      <c r="M79" s="57"/>
      <c r="N79" s="54">
        <f xml:space="preserve"> LEN(D79)</f>
        <v>4</v>
      </c>
      <c r="O79" s="73"/>
      <c r="P79" s="57" t="str">
        <f>C76</f>
        <v>uaih</v>
      </c>
      <c r="Q79" s="57" t="str">
        <f>D76</f>
        <v>uaih</v>
      </c>
      <c r="S79" s="121" t="str">
        <f xml:space="preserve"> _xlfn.CONCAT(P79, "(\d)")</f>
        <v>uaih(\d)</v>
      </c>
      <c r="T79" s="124" t="s">
        <v>1226</v>
      </c>
      <c r="U79" s="124">
        <f xml:space="preserve"> IFERROR( IF(T79="", "", SEARCH(T79, $P79)), "")</f>
        <v>3</v>
      </c>
      <c r="V79" s="121" t="str">
        <f xml:space="preserve"> IFERROR( _xlfn.CONCAT(LEFT(P79,U79-1), "》", MID(P79,U79,1), "${1}", RIGHT(P79, LEN(P79)-U79)), "" )</f>
        <v>ua》i${1}h</v>
      </c>
      <c r="W79" s="55"/>
      <c r="X79" s="56" t="str">
        <f xml:space="preserve"> IF(AND(Q79&lt;&gt;"", P79&lt;&gt;""), "    - xform/》" &amp; S79 &amp;  "/"  &amp; V79 &amp;  "/", "")</f>
        <v xml:space="preserve">    - xform/》uaih(\d)/ua》i${1}h/</v>
      </c>
    </row>
    <row r="80" spans="1:24" ht="27.75" thickBot="1">
      <c r="A80" s="181">
        <f t="shared" si="5"/>
        <v>77</v>
      </c>
      <c r="B80" s="139" t="s">
        <v>2412</v>
      </c>
      <c r="C80" s="141" t="s">
        <v>399</v>
      </c>
      <c r="D80" s="57" t="s">
        <v>399</v>
      </c>
      <c r="E80" s="57" t="s">
        <v>399</v>
      </c>
      <c r="F80" s="57" t="s">
        <v>401</v>
      </c>
      <c r="G80" s="60" t="s">
        <v>400</v>
      </c>
      <c r="H80" s="57" t="s">
        <v>398</v>
      </c>
      <c r="I80" s="57" t="s">
        <v>2267</v>
      </c>
      <c r="J80" s="54" t="str">
        <f xml:space="preserve"> LEFT(台羅韻母表[[#This Row],[十五音識別碼]],1)</f>
        <v>官</v>
      </c>
      <c r="K80" s="54" t="s">
        <v>396</v>
      </c>
      <c r="L80" s="54" t="s">
        <v>402</v>
      </c>
      <c r="M80" s="57"/>
      <c r="N80" s="54">
        <f xml:space="preserve"> LEN(D80)</f>
        <v>4</v>
      </c>
      <c r="O80" s="73"/>
      <c r="P80" s="57" t="str">
        <f>C81</f>
        <v>uat</v>
      </c>
      <c r="Q80" s="57" t="str">
        <f>D81</f>
        <v>uat</v>
      </c>
      <c r="S80" s="121" t="str">
        <f xml:space="preserve"> _xlfn.CONCAT(P80, "(\d)")</f>
        <v>uat(\d)</v>
      </c>
      <c r="T80" s="124" t="s">
        <v>1226</v>
      </c>
      <c r="U80" s="124" t="str">
        <f xml:space="preserve"> IFERROR( IF(T80="", "", SEARCH(T80, $P80)), "")</f>
        <v/>
      </c>
      <c r="V80" s="121" t="str">
        <f xml:space="preserve"> IFERROR( _xlfn.CONCAT(LEFT(P80,U80-1), "》", MID(P80,U80,1), "${1}", RIGHT(P80, LEN(P80)-U80)), "" )</f>
        <v/>
      </c>
      <c r="W80" s="55"/>
      <c r="X80" s="56" t="str">
        <f xml:space="preserve"> IF(AND(Q80&lt;&gt;"", P80&lt;&gt;""), "    - xform/》" &amp; S80 &amp;  "/"  &amp; V80 &amp;  "/", "")</f>
        <v xml:space="preserve">    - xform/》uat(\d)//</v>
      </c>
    </row>
    <row r="81" spans="1:24" ht="27.75" thickBot="1">
      <c r="A81" s="181">
        <f t="shared" si="18"/>
        <v>78</v>
      </c>
      <c r="B81" s="139" t="s">
        <v>2416</v>
      </c>
      <c r="C81" s="141" t="s">
        <v>129</v>
      </c>
      <c r="D81" s="57" t="s">
        <v>129</v>
      </c>
      <c r="E81" s="57" t="s">
        <v>129</v>
      </c>
      <c r="F81" s="57" t="s">
        <v>129</v>
      </c>
      <c r="G81" s="60" t="s">
        <v>130</v>
      </c>
      <c r="H81" s="57" t="s">
        <v>128</v>
      </c>
      <c r="I81" s="57" t="s">
        <v>2236</v>
      </c>
      <c r="J81" s="54" t="str">
        <f xml:space="preserve"> LEFT(台羅韻母表[[#This Row],[十五音識別碼]],1)</f>
        <v>觀</v>
      </c>
      <c r="K81" s="54" t="s">
        <v>126</v>
      </c>
      <c r="L81" s="54" t="s">
        <v>131</v>
      </c>
      <c r="M81" s="57"/>
      <c r="N81" s="54">
        <f xml:space="preserve"> LEN(D81)</f>
        <v>3</v>
      </c>
      <c r="O81" s="73"/>
      <c r="P81" s="57" t="str">
        <f>C77</f>
        <v>uainnh</v>
      </c>
      <c r="Q81" s="57" t="str">
        <f>D77</f>
        <v>uaihnn</v>
      </c>
      <c r="S81" s="121" t="str">
        <f xml:space="preserve"> _xlfn.CONCAT(P81, "(\d)")</f>
        <v>uainnh(\d)</v>
      </c>
      <c r="T81" s="124" t="s">
        <v>1303</v>
      </c>
      <c r="U81" s="124" t="str">
        <f xml:space="preserve"> IFERROR( IF(T81="", "", SEARCH(T81, $P81)), "")</f>
        <v/>
      </c>
      <c r="V81" s="121" t="str">
        <f xml:space="preserve"> IFERROR( _xlfn.CONCAT(LEFT(P81,U81-1), "》", MID(P81,U81,1), "${1}", RIGHT(P81, LEN(P81)-U81)), "" )</f>
        <v/>
      </c>
      <c r="W81" s="55"/>
      <c r="X81" s="56" t="str">
        <f xml:space="preserve"> IF(AND(Q81&lt;&gt;"", P81&lt;&gt;""), "    - xform/》" &amp; S81 &amp;  "/"  &amp; V81 &amp;  "/", "")</f>
        <v xml:space="preserve">    - xform/》uainnh(\d)//</v>
      </c>
    </row>
    <row r="82" spans="1:24" ht="27.75" thickBot="1">
      <c r="A82" s="181">
        <f t="shared" si="18"/>
        <v>79</v>
      </c>
      <c r="B82" s="139" t="s">
        <v>2389</v>
      </c>
      <c r="C82" s="141" t="s">
        <v>285</v>
      </c>
      <c r="D82" s="57" t="s">
        <v>285</v>
      </c>
      <c r="E82" s="57" t="s">
        <v>285</v>
      </c>
      <c r="F82" s="57" t="s">
        <v>285</v>
      </c>
      <c r="G82" s="60" t="s">
        <v>286</v>
      </c>
      <c r="H82" s="57" t="s">
        <v>284</v>
      </c>
      <c r="I82" s="57" t="s">
        <v>2252</v>
      </c>
      <c r="J82" s="54" t="str">
        <f xml:space="preserve"> LEFT(台羅韻母表[[#This Row],[十五音識別碼]],1)</f>
        <v>檜</v>
      </c>
      <c r="K82" s="54" t="s">
        <v>281</v>
      </c>
      <c r="L82" s="54" t="s">
        <v>287</v>
      </c>
      <c r="M82" s="57"/>
      <c r="N82" s="54">
        <f xml:space="preserve"> LEN(D82)</f>
        <v>2</v>
      </c>
      <c r="O82" s="73"/>
      <c r="P82" s="57" t="str">
        <f>C86</f>
        <v>uih</v>
      </c>
      <c r="Q82" s="57" t="str">
        <f>D86</f>
        <v>uih</v>
      </c>
      <c r="S82" s="121" t="str">
        <f xml:space="preserve"> _xlfn.CONCAT(P82, "(\d)")</f>
        <v>uih(\d)</v>
      </c>
      <c r="T82" s="124" t="s">
        <v>1213</v>
      </c>
      <c r="U82" s="124" t="str">
        <f xml:space="preserve"> IFERROR( IF(T82="", "", SEARCH(T82, $P82)), "")</f>
        <v/>
      </c>
      <c r="V82" s="121" t="str">
        <f xml:space="preserve"> IFERROR( _xlfn.CONCAT(LEFT(P82,U82-1), "》", MID(P82,U82,1), "${1}", RIGHT(P82, LEN(P82)-U82)), "" )</f>
        <v/>
      </c>
      <c r="W82" s="55"/>
      <c r="X82" s="56" t="str">
        <f xml:space="preserve"> IF(AND(Q82&lt;&gt;"", P82&lt;&gt;""), "    - xform/》" &amp; S82 &amp;  "/"  &amp; V82 &amp;  "/", "")</f>
        <v xml:space="preserve">    - xform/》uih(\d)//</v>
      </c>
    </row>
    <row r="83" spans="1:24" ht="27.75" thickBot="1">
      <c r="A83" s="181">
        <f t="shared" si="18"/>
        <v>80</v>
      </c>
      <c r="B83" s="139" t="s">
        <v>2390</v>
      </c>
      <c r="C83" s="141" t="s">
        <v>290</v>
      </c>
      <c r="D83" s="57" t="s">
        <v>290</v>
      </c>
      <c r="E83" s="57" t="s">
        <v>290</v>
      </c>
      <c r="F83" s="57" t="s">
        <v>290</v>
      </c>
      <c r="G83" s="60" t="s">
        <v>291</v>
      </c>
      <c r="H83" s="57" t="s">
        <v>2198</v>
      </c>
      <c r="I83" s="57" t="s">
        <v>2253</v>
      </c>
      <c r="J83" s="54" t="str">
        <f xml:space="preserve"> LEFT(台羅韻母表[[#This Row],[十五音識別碼]],1)</f>
        <v>檜</v>
      </c>
      <c r="K83" s="54" t="s">
        <v>289</v>
      </c>
      <c r="L83" s="54" t="s">
        <v>292</v>
      </c>
      <c r="M83" s="57"/>
      <c r="N83" s="54">
        <f xml:space="preserve"> LEN(D83)</f>
        <v>3</v>
      </c>
      <c r="O83" s="73"/>
      <c r="P83" s="57" t="str">
        <f>C57</f>
        <v>m</v>
      </c>
      <c r="Q83" s="57" t="str">
        <f>D57</f>
        <v>m</v>
      </c>
      <c r="S83" s="121" t="str">
        <f xml:space="preserve"> _xlfn.CONCAT(P83, "(\d)")</f>
        <v>m(\d)</v>
      </c>
      <c r="T83" s="124" t="s">
        <v>1224</v>
      </c>
      <c r="U83" s="124" t="str">
        <f xml:space="preserve"> IFERROR( IF(T83="", "", SEARCH(T83, $P83)), "")</f>
        <v/>
      </c>
      <c r="V83" s="121" t="str">
        <f xml:space="preserve"> IFERROR( _xlfn.CONCAT(LEFT(P83,U83-1), "》", MID(P83,U83,1), "${1}", RIGHT(P83, LEN(P83)-U83)), "" )</f>
        <v/>
      </c>
      <c r="W83" s="55"/>
      <c r="X83" s="56" t="str">
        <f xml:space="preserve"> IF(AND(Q83&lt;&gt;"", P83&lt;&gt;""), "    - xform/》" &amp; S83 &amp;  "/"  &amp; V83 &amp;  "/", "")</f>
        <v xml:space="preserve">    - xform/》m(\d)//</v>
      </c>
    </row>
    <row r="84" spans="1:24" ht="27.75" thickBot="1">
      <c r="A84" s="181">
        <f t="shared" si="5"/>
        <v>81</v>
      </c>
      <c r="B84" s="139" t="s">
        <v>2386</v>
      </c>
      <c r="C84" s="141" t="s">
        <v>313</v>
      </c>
      <c r="D84" s="57" t="s">
        <v>313</v>
      </c>
      <c r="E84" s="57" t="s">
        <v>313</v>
      </c>
      <c r="F84" s="57" t="s">
        <v>313</v>
      </c>
      <c r="G84" s="60" t="s">
        <v>313</v>
      </c>
      <c r="H84" s="57" t="s">
        <v>2193</v>
      </c>
      <c r="I84" s="57" t="s">
        <v>2256</v>
      </c>
      <c r="J84" s="54" t="str">
        <f xml:space="preserve"> LEFT(台羅韻母表[[#This Row],[十五音識別碼]],1)</f>
        <v>艍</v>
      </c>
      <c r="K84" s="54" t="s">
        <v>312</v>
      </c>
      <c r="L84" s="54" t="s">
        <v>314</v>
      </c>
      <c r="M84" s="57"/>
      <c r="N84" s="54">
        <f t="shared" si="17"/>
        <v>2</v>
      </c>
      <c r="O84" s="73"/>
      <c r="P84" s="57" t="str">
        <f>C80</f>
        <v>uann</v>
      </c>
      <c r="Q84" s="57" t="str">
        <f>D80</f>
        <v>uann</v>
      </c>
      <c r="S84" s="121" t="str">
        <f t="shared" si="6"/>
        <v>uann(\d)</v>
      </c>
      <c r="T84" s="124" t="s">
        <v>1226</v>
      </c>
      <c r="U84" s="124" t="str">
        <f t="shared" si="7"/>
        <v/>
      </c>
      <c r="V84" s="121" t="str">
        <f t="shared" si="8"/>
        <v/>
      </c>
      <c r="W84" s="55"/>
      <c r="X84" s="56" t="str">
        <f t="shared" si="9"/>
        <v xml:space="preserve">    - xform/》uann(\d)//</v>
      </c>
    </row>
    <row r="85" spans="1:24" ht="27.75" thickBot="1">
      <c r="A85" s="181">
        <f t="shared" si="18"/>
        <v>82</v>
      </c>
      <c r="B85" s="139" t="s">
        <v>2391</v>
      </c>
      <c r="C85" s="141" t="s">
        <v>50</v>
      </c>
      <c r="D85" s="57" t="s">
        <v>50</v>
      </c>
      <c r="E85" s="57" t="s">
        <v>50</v>
      </c>
      <c r="F85" s="57" t="s">
        <v>50</v>
      </c>
      <c r="G85" s="60" t="s">
        <v>50</v>
      </c>
      <c r="H85" s="57" t="s">
        <v>52</v>
      </c>
      <c r="I85" s="57" t="s">
        <v>52</v>
      </c>
      <c r="J85" s="54" t="str">
        <f xml:space="preserve"> LEFT(台羅韻母表[[#This Row],[十五音識別碼]],1)</f>
        <v>規</v>
      </c>
      <c r="K85" s="54" t="s">
        <v>49</v>
      </c>
      <c r="L85" s="54" t="s">
        <v>53</v>
      </c>
      <c r="M85" s="57"/>
      <c r="N85" s="54">
        <f xml:space="preserve"> LEN(D85)</f>
        <v>2</v>
      </c>
      <c r="O85" s="73"/>
      <c r="P85" s="57" t="str">
        <f>C58</f>
        <v>mh</v>
      </c>
      <c r="Q85" s="57" t="str">
        <f>D58</f>
        <v>mh</v>
      </c>
      <c r="S85" s="121" t="str">
        <f xml:space="preserve"> _xlfn.CONCAT(P85, "(\d)")</f>
        <v>mh(\d)</v>
      </c>
      <c r="T85" s="124" t="s">
        <v>1224</v>
      </c>
      <c r="U85" s="124" t="str">
        <f xml:space="preserve"> IFERROR( IF(T85="", "", SEARCH(T85, $P85)), "")</f>
        <v/>
      </c>
      <c r="V85" s="121" t="str">
        <f xml:space="preserve"> IFERROR( _xlfn.CONCAT(LEFT(P85,U85-1), "》", MID(P85,U85,1), "${1}", RIGHT(P85, LEN(P85)-U85)), "" )</f>
        <v/>
      </c>
      <c r="W85" s="55"/>
      <c r="X85" s="56" t="str">
        <f xml:space="preserve"> IF(AND(Q85&lt;&gt;"", P85&lt;&gt;""), "    - xform/》" &amp; S85 &amp;  "/"  &amp; V85 &amp;  "/", "")</f>
        <v xml:space="preserve">    - xform/》mh(\d)//</v>
      </c>
    </row>
    <row r="86" spans="1:24" ht="27.75" thickBot="1">
      <c r="A86" s="181">
        <f t="shared" si="18"/>
        <v>83</v>
      </c>
      <c r="B86" s="139" t="s">
        <v>2393</v>
      </c>
      <c r="C86" s="141" t="s">
        <v>2131</v>
      </c>
      <c r="D86" s="74" t="s">
        <v>2170</v>
      </c>
      <c r="E86" s="74" t="s">
        <v>2170</v>
      </c>
      <c r="F86" s="74" t="s">
        <v>2170</v>
      </c>
      <c r="G86" s="74" t="s">
        <v>2131</v>
      </c>
      <c r="H86" s="143" t="s">
        <v>2162</v>
      </c>
      <c r="I86" s="143" t="s">
        <v>2480</v>
      </c>
      <c r="J86" s="54" t="str">
        <f xml:space="preserve"> LEFT(台羅韻母表[[#This Row],[十五音識別碼]],1)</f>
        <v>褌</v>
      </c>
      <c r="K86" s="54" t="s">
        <v>2333</v>
      </c>
      <c r="L86" s="145" t="s">
        <v>2173</v>
      </c>
      <c r="M86" s="135" t="s">
        <v>1309</v>
      </c>
      <c r="N86" s="54">
        <f xml:space="preserve"> LEN(D86)</f>
        <v>3</v>
      </c>
      <c r="O86" s="73"/>
      <c r="P86" s="57" t="str">
        <f>C60</f>
        <v>ngh</v>
      </c>
      <c r="Q86" s="57" t="str">
        <f>D60</f>
        <v>ngh</v>
      </c>
      <c r="S86" s="121" t="str">
        <f xml:space="preserve"> _xlfn.CONCAT(P86, "(\d)")</f>
        <v>ngh(\d)</v>
      </c>
      <c r="T86" s="124" t="s">
        <v>1224</v>
      </c>
      <c r="U86" s="124" t="str">
        <f xml:space="preserve"> IFERROR( IF(T86="", "", SEARCH(T86, $P86)), "")</f>
        <v/>
      </c>
      <c r="V86" s="121" t="str">
        <f xml:space="preserve"> IFERROR( _xlfn.CONCAT(LEFT(P86,U86-1), "》", MID(P86,U86,1), "${1}", RIGHT(P86, LEN(P86)-U86)), "" )</f>
        <v/>
      </c>
      <c r="W86" s="55"/>
      <c r="X86" s="56" t="str">
        <f xml:space="preserve"> IF(AND(Q86&lt;&gt;"", P86&lt;&gt;""), "    - xform/》" &amp; S86 &amp;  "/"  &amp; V86 &amp;  "/", "")</f>
        <v xml:space="preserve">    - xform/》ngh(\d)//</v>
      </c>
    </row>
    <row r="87" spans="1:24" ht="27.75" thickBot="1">
      <c r="A87" s="181">
        <f t="shared" si="18"/>
        <v>84</v>
      </c>
      <c r="B87" s="139" t="s">
        <v>2392</v>
      </c>
      <c r="C87" s="141" t="s">
        <v>351</v>
      </c>
      <c r="D87" s="57" t="s">
        <v>351</v>
      </c>
      <c r="E87" s="57" t="s">
        <v>351</v>
      </c>
      <c r="F87" s="57" t="s">
        <v>353</v>
      </c>
      <c r="G87" s="60" t="s">
        <v>352</v>
      </c>
      <c r="H87" s="57" t="s">
        <v>350</v>
      </c>
      <c r="I87" s="57" t="s">
        <v>2261</v>
      </c>
      <c r="J87" s="54" t="str">
        <f xml:space="preserve"> LEFT(台羅韻母表[[#This Row],[十五音識別碼]],1)</f>
        <v>褌</v>
      </c>
      <c r="K87" s="54" t="s">
        <v>348</v>
      </c>
      <c r="L87" s="54" t="s">
        <v>354</v>
      </c>
      <c r="M87" s="57"/>
      <c r="N87" s="54">
        <f t="shared" ref="N87" si="19" xml:space="preserve"> LEN(D87)</f>
        <v>4</v>
      </c>
      <c r="O87" s="73"/>
      <c r="P87" s="57" t="str">
        <f>C59</f>
        <v>ng</v>
      </c>
      <c r="Q87" s="57" t="str">
        <f>D59</f>
        <v>ng</v>
      </c>
      <c r="S87" s="121" t="str">
        <f xml:space="preserve"> _xlfn.CONCAT(P87, "(\d)")</f>
        <v>ng(\d)</v>
      </c>
      <c r="T87" s="124" t="s">
        <v>1224</v>
      </c>
      <c r="U87" s="124" t="str">
        <f xml:space="preserve"> IFERROR( IF(T87="", "", SEARCH(T87, $P87)), "")</f>
        <v/>
      </c>
      <c r="V87" s="121" t="str">
        <f xml:space="preserve"> IFERROR( _xlfn.CONCAT(LEFT(P87,U87-1), "》", MID(P87,U87,1), "${1}", RIGHT(P87, LEN(P87)-U87)), "" )</f>
        <v/>
      </c>
      <c r="W87" s="55"/>
      <c r="X87" s="56" t="str">
        <f xml:space="preserve"> IF(AND(Q87&lt;&gt;"", P87&lt;&gt;""), "    - xform/》" &amp; S87 &amp;  "/"  &amp; V87 &amp;  "/", "")</f>
        <v xml:space="preserve">    - xform/》ng(\d)//</v>
      </c>
    </row>
    <row r="88" spans="1:24" ht="27.75" thickBot="1">
      <c r="A88" s="181">
        <f t="shared" si="5"/>
        <v>85</v>
      </c>
      <c r="B88" s="139" t="s">
        <v>2387</v>
      </c>
      <c r="C88" s="141" t="s">
        <v>14</v>
      </c>
      <c r="D88" s="57" t="s">
        <v>14</v>
      </c>
      <c r="E88" s="57" t="s">
        <v>14</v>
      </c>
      <c r="F88" s="57" t="s">
        <v>14</v>
      </c>
      <c r="G88" s="60" t="s">
        <v>14</v>
      </c>
      <c r="H88" s="57" t="s">
        <v>16</v>
      </c>
      <c r="I88" s="57" t="s">
        <v>16</v>
      </c>
      <c r="J88" s="54" t="str">
        <f xml:space="preserve"> LEFT(台羅韻母表[[#This Row],[十五音識別碼]],1)</f>
        <v>君</v>
      </c>
      <c r="K88" s="54" t="s">
        <v>13</v>
      </c>
      <c r="L88" s="54" t="s">
        <v>18</v>
      </c>
      <c r="M88" s="57"/>
      <c r="N88" s="54">
        <f t="shared" si="17"/>
        <v>2</v>
      </c>
      <c r="O88" s="73"/>
      <c r="P88" s="57" t="str">
        <f>C73</f>
        <v>uah</v>
      </c>
      <c r="Q88" s="57" t="str">
        <f>D73</f>
        <v>uah</v>
      </c>
      <c r="S88" s="121" t="str">
        <f t="shared" ref="S88:S89" si="20" xml:space="preserve"> _xlfn.CONCAT(P88, "(\d)")</f>
        <v>uah(\d)</v>
      </c>
      <c r="T88" s="124" t="s">
        <v>1226</v>
      </c>
      <c r="U88" s="124" t="str">
        <f t="shared" ref="U88:U89" si="21" xml:space="preserve"> IFERROR( IF(T88="", "", SEARCH(T88, $P88)), "")</f>
        <v/>
      </c>
      <c r="V88" s="121" t="str">
        <f t="shared" si="8"/>
        <v/>
      </c>
      <c r="W88" s="55"/>
      <c r="X88" s="56" t="str">
        <f t="shared" ref="X88:X89" si="22" xml:space="preserve"> IF(AND(Q88&lt;&gt;"", P88&lt;&gt;""), "    - xform/》" &amp; S88 &amp;  "/"  &amp; V88 &amp;  "/", "")</f>
        <v xml:space="preserve">    - xform/》uah(\d)//</v>
      </c>
    </row>
    <row r="89" spans="1:24" ht="27.75" thickBot="1">
      <c r="A89" s="181">
        <f t="shared" si="5"/>
        <v>86</v>
      </c>
      <c r="B89" s="139" t="s">
        <v>2388</v>
      </c>
      <c r="C89" s="141" t="s">
        <v>22</v>
      </c>
      <c r="D89" s="57" t="s">
        <v>22</v>
      </c>
      <c r="E89" s="57" t="s">
        <v>22</v>
      </c>
      <c r="F89" s="57" t="s">
        <v>22</v>
      </c>
      <c r="G89" s="60" t="s">
        <v>22</v>
      </c>
      <c r="H89" s="57" t="s">
        <v>21</v>
      </c>
      <c r="I89" s="57" t="s">
        <v>2226</v>
      </c>
      <c r="J89" s="54" t="str">
        <f xml:space="preserve"> LEFT(台羅韻母表[[#This Row],[十五音識別碼]],1)</f>
        <v>君</v>
      </c>
      <c r="K89" s="54" t="s">
        <v>20</v>
      </c>
      <c r="L89" s="54" t="s">
        <v>24</v>
      </c>
      <c r="M89" s="57"/>
      <c r="N89" s="54">
        <f t="shared" si="17"/>
        <v>2</v>
      </c>
      <c r="O89" s="73"/>
      <c r="P89" s="57" t="str">
        <f>C78</f>
        <v>uan</v>
      </c>
      <c r="Q89" s="57" t="str">
        <f>D78</f>
        <v>uan</v>
      </c>
      <c r="S89" s="121" t="str">
        <f t="shared" si="20"/>
        <v>uan(\d)</v>
      </c>
      <c r="T89" s="124" t="s">
        <v>1226</v>
      </c>
      <c r="U89" s="124" t="str">
        <f t="shared" si="21"/>
        <v/>
      </c>
      <c r="V89" s="121" t="str">
        <f t="shared" ref="V89" si="23" xml:space="preserve"> IFERROR( _xlfn.CONCAT(LEFT(P89,U89-1), "》", MID(P89,U89,1), "${1}", RIGHT(P89, LEN(P89)-U89)), "" )</f>
        <v/>
      </c>
      <c r="W89" s="55"/>
      <c r="X89" s="56" t="str">
        <f t="shared" si="22"/>
        <v xml:space="preserve">    - xform/》uan(\d)//</v>
      </c>
    </row>
    <row r="90" spans="1:24" ht="27" thickBot="1"/>
    <row r="91" spans="1:24" ht="48.75" thickBot="1">
      <c r="B91" s="58" t="s">
        <v>1311</v>
      </c>
      <c r="C91" s="58" t="s">
        <v>1316</v>
      </c>
      <c r="D91" s="58" t="s">
        <v>1316</v>
      </c>
    </row>
    <row r="92" spans="1:24" ht="27.75" thickBot="1">
      <c r="B92" s="57" t="s">
        <v>1312</v>
      </c>
      <c r="C92" s="57">
        <f xml:space="preserve"> HEX2DEC(VALUE(RIGHT(B92,4)))</f>
        <v>771</v>
      </c>
      <c r="D92" s="57" t="str">
        <f xml:space="preserve"> _xlfn.CONCAT("a", _xlfn.UNICHAR(HEX2DEC(RIGHT(B92,4))))</f>
        <v>ã</v>
      </c>
    </row>
    <row r="93" spans="1:24" ht="27.75" thickBot="1">
      <c r="B93" s="57" t="s">
        <v>1313</v>
      </c>
      <c r="C93" s="57">
        <f xml:space="preserve"> HEX2DEC(VALUE(RIGHT(B93,4)))</f>
        <v>660</v>
      </c>
      <c r="D93" s="57" t="str">
        <f xml:space="preserve"> _xlfn.CONCAT("a", _xlfn.UNICHAR(HEX2DEC(RIGHT(B93,4))))</f>
        <v>aʔ</v>
      </c>
    </row>
    <row r="94" spans="1:24" ht="27" thickBot="1"/>
    <row r="95" spans="1:24" ht="27" thickBot="1">
      <c r="B95" s="58" t="s">
        <v>1315</v>
      </c>
      <c r="C95" s="58">
        <f xml:space="preserve"> HEX2DEC(VALUE(RIGHT(B95,4)))</f>
        <v>2134</v>
      </c>
      <c r="D95" s="58" t="str">
        <f xml:space="preserve"> _xlfn.CONCAT("o", _xlfn.UNICHAR( RIGHT(B95,4)))</f>
        <v>o͘</v>
      </c>
    </row>
    <row r="96" spans="1:24" ht="27" thickBot="1">
      <c r="B96" s="58" t="s">
        <v>1314</v>
      </c>
      <c r="C96" s="58">
        <f xml:space="preserve"> _xlfn.UNICODE( RIGHT(B96,1) )</f>
        <v>856</v>
      </c>
      <c r="D96" s="58" t="str">
        <f xml:space="preserve"> _xlfn.CONCAT("o", _xlfn.UNICHAR(C96))</f>
        <v>o͘</v>
      </c>
    </row>
    <row r="97" spans="1:3" ht="27" thickBot="1"/>
    <row r="98" spans="1:3" ht="27" thickBot="1">
      <c r="B98" s="58" t="s">
        <v>1330</v>
      </c>
      <c r="C98" s="58" t="s">
        <v>2154</v>
      </c>
    </row>
    <row r="99" spans="1:3" ht="27" thickBot="1">
      <c r="B99" s="58" t="s">
        <v>1332</v>
      </c>
      <c r="C99" s="58" t="s">
        <v>1331</v>
      </c>
    </row>
    <row r="101" spans="1:3">
      <c r="A101" s="50" t="str">
        <f xml:space="preserve"> "(""" &amp; _xlfn.TEXTJOIN(""",""",TRUE,F4:F89) &amp; """)"</f>
        <v>("a","ah","ai","aih","nai","ak","am","an","ang","na","nah","ap","at","ao","aoh","e","eh","ne","ennh","i","ia","iah","iak","iam","ian","iang","nia","iannh","iap","iat","iao","iaoh","niao","ih","ik","im","in","ing","ni","io","ioh","iok","iong","ip","it","nioo","iu","niu","niuh","m","mh","ng","ngh","o","oh","ok","om","ong","noo","niuh","oo","ooh","op","u","ua","uah","uai","nuai","uaih","uainnh","uan","uang","nua","uat","ue","ueh","uh","ui","uih","nui","un","ut")</v>
      </c>
    </row>
  </sheetData>
  <phoneticPr fontId="4" type="noConversion"/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2B6C-5679-4370-9927-A55154F8A277}">
  <dimension ref="A1:AA102"/>
  <sheetViews>
    <sheetView showGridLines="0" workbookViewId="0">
      <pane ySplit="1" topLeftCell="A2" activePane="bottomLeft" state="frozen"/>
      <selection pane="bottomLeft" activeCell="C1" sqref="C1:C1048576"/>
    </sheetView>
  </sheetViews>
  <sheetFormatPr defaultRowHeight="26.25"/>
  <cols>
    <col min="1" max="1" width="7.33203125" customWidth="1"/>
    <col min="5" max="6" width="9.1640625" customWidth="1"/>
    <col min="16" max="16" width="13.83203125" bestFit="1" customWidth="1"/>
    <col min="18" max="18" width="6.4140625" bestFit="1" customWidth="1"/>
    <col min="19" max="19" width="7.58203125" style="19" customWidth="1"/>
    <col min="20" max="21" width="7.58203125" style="163" customWidth="1"/>
    <col min="22" max="24" width="7.58203125" customWidth="1"/>
    <col min="26" max="26" width="7.58203125" style="19" customWidth="1"/>
    <col min="27" max="27" width="23.1640625" bestFit="1" customWidth="1"/>
    <col min="29" max="29" width="9.1640625" customWidth="1"/>
    <col min="33" max="34" width="9.1640625" customWidth="1"/>
    <col min="35" max="35" width="7.33203125" customWidth="1"/>
    <col min="36" max="36" width="12.83203125" customWidth="1"/>
  </cols>
  <sheetData>
    <row r="1" spans="1:26" ht="25.5">
      <c r="A1" s="69" t="s">
        <v>0</v>
      </c>
      <c r="B1" s="70" t="s">
        <v>3</v>
      </c>
      <c r="C1" s="70" t="s">
        <v>1</v>
      </c>
      <c r="D1" s="70" t="s">
        <v>2</v>
      </c>
      <c r="E1" s="70" t="s">
        <v>6</v>
      </c>
      <c r="F1" s="70" t="s">
        <v>5</v>
      </c>
      <c r="G1" s="70" t="s">
        <v>9</v>
      </c>
      <c r="H1" s="70" t="s">
        <v>8</v>
      </c>
      <c r="I1" s="70" t="s">
        <v>7</v>
      </c>
      <c r="J1" s="70" t="s">
        <v>4</v>
      </c>
      <c r="K1" s="70" t="s">
        <v>2220</v>
      </c>
      <c r="L1" s="70" t="s">
        <v>511</v>
      </c>
      <c r="M1" s="70" t="s">
        <v>10</v>
      </c>
      <c r="N1" s="71" t="s">
        <v>11</v>
      </c>
      <c r="P1" s="176" t="s">
        <v>0</v>
      </c>
      <c r="Q1" s="176" t="s">
        <v>511</v>
      </c>
      <c r="R1" s="176" t="s">
        <v>3</v>
      </c>
      <c r="S1" s="176" t="s">
        <v>10</v>
      </c>
      <c r="T1" s="176" t="s">
        <v>9</v>
      </c>
      <c r="U1" s="176" t="s">
        <v>8</v>
      </c>
      <c r="V1" s="176" t="s">
        <v>4</v>
      </c>
      <c r="W1" s="176" t="s">
        <v>1</v>
      </c>
      <c r="X1" s="178" t="s">
        <v>2346</v>
      </c>
      <c r="Z1"/>
    </row>
    <row r="2" spans="1:26" ht="29.25">
      <c r="A2" s="62">
        <v>1</v>
      </c>
      <c r="B2" s="2" t="s">
        <v>15</v>
      </c>
      <c r="C2" s="2" t="s">
        <v>13</v>
      </c>
      <c r="D2" s="92" t="str" cm="1">
        <f t="array" ref="D2" xml:space="preserve"> INDEX(【韻】韻母對照表!$B$4:$B$89, MATCH(TRUE, EXACT(韻母對照表[[#This Row],[台羅拼音]], 【韻】韻母對照表!$C$4:$C$89), 0))</f>
        <v>un</v>
      </c>
      <c r="E2" s="15" t="s">
        <v>14</v>
      </c>
      <c r="F2" s="1" t="s">
        <v>14</v>
      </c>
      <c r="G2" s="1" t="s">
        <v>14</v>
      </c>
      <c r="H2" s="1" t="s">
        <v>14</v>
      </c>
      <c r="I2" s="90" t="s">
        <v>14</v>
      </c>
      <c r="J2" s="1" t="s">
        <v>16</v>
      </c>
      <c r="K2" s="1" t="s">
        <v>16</v>
      </c>
      <c r="L2" s="1" t="s">
        <v>12</v>
      </c>
      <c r="M2" s="1" t="s">
        <v>17</v>
      </c>
      <c r="N2" s="63" t="s">
        <v>18</v>
      </c>
      <c r="P2" s="173">
        <v>1</v>
      </c>
      <c r="Q2" s="174" t="s">
        <v>12</v>
      </c>
      <c r="R2" s="174" t="s">
        <v>15</v>
      </c>
      <c r="S2" s="174" t="s">
        <v>17</v>
      </c>
      <c r="T2" s="173" t="str" cm="1">
        <f t="array" ref="T2">IFERROR( INDEX(韻母對照表[注音二式], MATCH(TRUE, EXACT( _xlfn.CONCAT(R2, LEFT(S2,1)), 韻母對照表[十五音識別碼]),0)), "")</f>
        <v>un</v>
      </c>
      <c r="U2" s="173" t="s">
        <v>14</v>
      </c>
      <c r="V2" s="173" t="s">
        <v>16</v>
      </c>
      <c r="W2" s="175" t="s">
        <v>13</v>
      </c>
      <c r="X2" s="174">
        <f>LEN(T2)</f>
        <v>2</v>
      </c>
      <c r="Y2" t="str">
        <f xml:space="preserve"> _xlfn.CONCAT("      - xform/",T2,"/",U2,"/")</f>
        <v xml:space="preserve">      - xform/un/un/</v>
      </c>
      <c r="Z2"/>
    </row>
    <row r="3" spans="1:26" ht="29.25">
      <c r="A3" s="62">
        <v>2</v>
      </c>
      <c r="B3" s="2" t="s">
        <v>15</v>
      </c>
      <c r="C3" s="2" t="s">
        <v>20</v>
      </c>
      <c r="D3" s="92" t="str" cm="1">
        <f t="array" ref="D3" xml:space="preserve"> INDEX(【韻】韻母對照表!$B$4:$B$89, MATCH(TRUE, EXACT(韻母對照表[[#This Row],[台羅拼音]], 【韻】韻母對照表!$C$4:$C$89), 0))</f>
        <v>ut̚</v>
      </c>
      <c r="E3" s="15" t="s">
        <v>22</v>
      </c>
      <c r="F3" s="1" t="s">
        <v>22</v>
      </c>
      <c r="G3" s="1" t="s">
        <v>22</v>
      </c>
      <c r="H3" s="1" t="s">
        <v>22</v>
      </c>
      <c r="I3" s="90" t="s">
        <v>22</v>
      </c>
      <c r="J3" s="1" t="s">
        <v>21</v>
      </c>
      <c r="K3" s="1" t="s">
        <v>2226</v>
      </c>
      <c r="L3" s="1" t="s">
        <v>12</v>
      </c>
      <c r="M3" s="1" t="s">
        <v>23</v>
      </c>
      <c r="N3" s="63" t="s">
        <v>24</v>
      </c>
      <c r="P3" s="164">
        <v>2</v>
      </c>
      <c r="Q3" s="165" t="s">
        <v>12</v>
      </c>
      <c r="R3" s="165" t="s">
        <v>15</v>
      </c>
      <c r="S3" s="165" t="s">
        <v>23</v>
      </c>
      <c r="T3" s="164" t="str" cm="1">
        <f t="array" ref="T3">IFERROR( INDEX(韻母對照表[注音二式], MATCH(TRUE, EXACT( _xlfn.CONCAT(R3, LEFT(S3,1)), 韻母對照表[十五音識別碼]),0)), "")</f>
        <v>ut</v>
      </c>
      <c r="U3" s="164" t="s">
        <v>22</v>
      </c>
      <c r="V3" s="164" t="s">
        <v>21</v>
      </c>
      <c r="W3" s="166" t="s">
        <v>20</v>
      </c>
      <c r="X3" s="174">
        <f t="shared" ref="X3:X66" si="0">LEN(T3)</f>
        <v>2</v>
      </c>
      <c r="Y3" t="str">
        <f t="shared" ref="Y3:Y66" si="1" xml:space="preserve"> _xlfn.CONCAT("      - xform/",T3,"/",U3,"/")</f>
        <v xml:space="preserve">      - xform/ut/ut/</v>
      </c>
      <c r="Z3"/>
    </row>
    <row r="4" spans="1:26" ht="29.25">
      <c r="A4" s="62">
        <v>3</v>
      </c>
      <c r="B4" s="2" t="s">
        <v>28</v>
      </c>
      <c r="C4" s="2" t="s">
        <v>26</v>
      </c>
      <c r="D4" s="92" t="str" cm="1">
        <f t="array" ref="D4" xml:space="preserve"> INDEX(【韻】韻母對照表!$B$4:$B$89, MATCH(TRUE, EXACT(韻母對照表[[#This Row],[台羅拼音]], 【韻】韻母對照表!$C$4:$C$89), 0))</f>
        <v>ɪan</v>
      </c>
      <c r="E4" s="15" t="s">
        <v>27</v>
      </c>
      <c r="F4" s="1" t="s">
        <v>27</v>
      </c>
      <c r="G4" s="1" t="s">
        <v>27</v>
      </c>
      <c r="H4" s="1" t="s">
        <v>27</v>
      </c>
      <c r="I4" s="90" t="s">
        <v>27</v>
      </c>
      <c r="J4" s="1" t="s">
        <v>29</v>
      </c>
      <c r="K4" s="1" t="s">
        <v>29</v>
      </c>
      <c r="L4" s="1" t="s">
        <v>19</v>
      </c>
      <c r="M4" s="1" t="s">
        <v>17</v>
      </c>
      <c r="N4" s="63" t="s">
        <v>30</v>
      </c>
      <c r="P4" s="173">
        <v>3</v>
      </c>
      <c r="Q4" s="165" t="s">
        <v>19</v>
      </c>
      <c r="R4" s="165" t="s">
        <v>28</v>
      </c>
      <c r="S4" s="165" t="s">
        <v>17</v>
      </c>
      <c r="T4" s="164" t="str" cm="1">
        <f t="array" ref="T4">IFERROR( INDEX(韻母對照表[注音二式], MATCH(TRUE, EXACT( _xlfn.CONCAT(R4, LEFT(S4,1)), 韻母對照表[十五音識別碼]),0)), "")</f>
        <v>ian</v>
      </c>
      <c r="U4" s="164" t="s">
        <v>27</v>
      </c>
      <c r="V4" s="164" t="s">
        <v>29</v>
      </c>
      <c r="W4" s="166" t="s">
        <v>26</v>
      </c>
      <c r="X4" s="174">
        <f t="shared" si="0"/>
        <v>3</v>
      </c>
      <c r="Y4" t="str">
        <f t="shared" si="1"/>
        <v xml:space="preserve">      - xform/ian/ian/</v>
      </c>
      <c r="Z4"/>
    </row>
    <row r="5" spans="1:26" ht="29.25">
      <c r="A5" s="62">
        <v>4</v>
      </c>
      <c r="B5" s="2" t="s">
        <v>28</v>
      </c>
      <c r="C5" s="2" t="s">
        <v>32</v>
      </c>
      <c r="D5" s="92" t="str" cm="1">
        <f t="array" ref="D5" xml:space="preserve"> INDEX(【韻】韻母對照表!$B$4:$B$89, MATCH(TRUE, EXACT(韻母對照表[[#This Row],[台羅拼音]], 【韻】韻母對照表!$C$4:$C$89), 0))</f>
        <v>ɪat̚</v>
      </c>
      <c r="E5" s="15" t="s">
        <v>34</v>
      </c>
      <c r="F5" s="1" t="s">
        <v>34</v>
      </c>
      <c r="G5" s="1" t="s">
        <v>34</v>
      </c>
      <c r="H5" s="1" t="s">
        <v>34</v>
      </c>
      <c r="I5" s="90" t="s">
        <v>34</v>
      </c>
      <c r="J5" s="1" t="s">
        <v>33</v>
      </c>
      <c r="K5" s="1" t="s">
        <v>2227</v>
      </c>
      <c r="L5" s="1" t="s">
        <v>19</v>
      </c>
      <c r="M5" s="1" t="s">
        <v>23</v>
      </c>
      <c r="N5" s="63" t="s">
        <v>35</v>
      </c>
      <c r="P5" s="164">
        <v>4</v>
      </c>
      <c r="Q5" s="165" t="s">
        <v>19</v>
      </c>
      <c r="R5" s="165" t="s">
        <v>28</v>
      </c>
      <c r="S5" s="165" t="s">
        <v>23</v>
      </c>
      <c r="T5" s="164" t="str" cm="1">
        <f t="array" ref="T5">IFERROR( INDEX(韻母對照表[注音二式], MATCH(TRUE, EXACT( _xlfn.CONCAT(R5, LEFT(S5,1)), 韻母對照表[十五音識別碼]),0)), "")</f>
        <v>iat</v>
      </c>
      <c r="U5" s="164" t="s">
        <v>34</v>
      </c>
      <c r="V5" s="164" t="s">
        <v>33</v>
      </c>
      <c r="W5" s="166" t="s">
        <v>32</v>
      </c>
      <c r="X5" s="174">
        <f t="shared" si="0"/>
        <v>3</v>
      </c>
      <c r="Y5" t="str">
        <f t="shared" si="1"/>
        <v xml:space="preserve">      - xform/iat/iat/</v>
      </c>
      <c r="Z5"/>
    </row>
    <row r="6" spans="1:26" ht="29.25">
      <c r="A6" s="62">
        <v>5</v>
      </c>
      <c r="B6" s="2" t="s">
        <v>39</v>
      </c>
      <c r="C6" s="2" t="s">
        <v>37</v>
      </c>
      <c r="D6" s="92" t="str" cm="1">
        <f t="array" ref="D6" xml:space="preserve"> INDEX(【韻】韻母對照表!$B$4:$B$89, MATCH(TRUE, EXACT(韻母對照表[[#This Row],[台羅拼音]], 【韻】韻母對照表!$C$4:$C$89), 0))</f>
        <v>im</v>
      </c>
      <c r="E6" s="15" t="s">
        <v>38</v>
      </c>
      <c r="F6" s="1" t="s">
        <v>38</v>
      </c>
      <c r="G6" s="1" t="s">
        <v>38</v>
      </c>
      <c r="H6" s="1" t="s">
        <v>38</v>
      </c>
      <c r="I6" s="90" t="s">
        <v>38</v>
      </c>
      <c r="J6" s="1" t="s">
        <v>40</v>
      </c>
      <c r="K6" s="1" t="s">
        <v>2228</v>
      </c>
      <c r="L6" s="1" t="s">
        <v>25</v>
      </c>
      <c r="M6" s="1" t="s">
        <v>17</v>
      </c>
      <c r="N6" s="63" t="s">
        <v>41</v>
      </c>
      <c r="P6" s="173">
        <v>5</v>
      </c>
      <c r="Q6" s="165" t="s">
        <v>25</v>
      </c>
      <c r="R6" s="165" t="s">
        <v>39</v>
      </c>
      <c r="S6" s="165" t="s">
        <v>17</v>
      </c>
      <c r="T6" s="164" t="str" cm="1">
        <f t="array" ref="T6">IFERROR( INDEX(韻母對照表[注音二式], MATCH(TRUE, EXACT( _xlfn.CONCAT(R6, LEFT(S6,1)), 韻母對照表[十五音識別碼]),0)), "")</f>
        <v>im</v>
      </c>
      <c r="U6" s="164" t="s">
        <v>38</v>
      </c>
      <c r="V6" s="164" t="s">
        <v>40</v>
      </c>
      <c r="W6" s="166" t="s">
        <v>37</v>
      </c>
      <c r="X6" s="174">
        <f t="shared" si="0"/>
        <v>2</v>
      </c>
      <c r="Y6" t="str">
        <f t="shared" si="1"/>
        <v xml:space="preserve">      - xform/im/im/</v>
      </c>
      <c r="Z6"/>
    </row>
    <row r="7" spans="1:26" ht="29.25">
      <c r="A7" s="62">
        <v>6</v>
      </c>
      <c r="B7" s="2" t="s">
        <v>39</v>
      </c>
      <c r="C7" s="2" t="s">
        <v>43</v>
      </c>
      <c r="D7" s="92" t="str" cm="1">
        <f t="array" ref="D7" xml:space="preserve"> INDEX(【韻】韻母對照表!$B$4:$B$89, MATCH(TRUE, EXACT(韻母對照表[[#This Row],[台羅拼音]], 【韻】韻母對照表!$C$4:$C$89), 0))</f>
        <v>ip̚</v>
      </c>
      <c r="E7" s="15" t="s">
        <v>46</v>
      </c>
      <c r="F7" s="1" t="s">
        <v>46</v>
      </c>
      <c r="G7" s="1" t="s">
        <v>46</v>
      </c>
      <c r="H7" s="1" t="s">
        <v>46</v>
      </c>
      <c r="I7" s="90" t="s">
        <v>46</v>
      </c>
      <c r="J7" s="1" t="s">
        <v>45</v>
      </c>
      <c r="K7" s="1" t="s">
        <v>2229</v>
      </c>
      <c r="L7" s="1" t="s">
        <v>25</v>
      </c>
      <c r="M7" s="1" t="s">
        <v>23</v>
      </c>
      <c r="N7" s="63" t="s">
        <v>47</v>
      </c>
      <c r="P7" s="164">
        <v>6</v>
      </c>
      <c r="Q7" s="165" t="s">
        <v>25</v>
      </c>
      <c r="R7" s="165" t="s">
        <v>39</v>
      </c>
      <c r="S7" s="165" t="s">
        <v>23</v>
      </c>
      <c r="T7" s="164" t="str" cm="1">
        <f t="array" ref="T7">IFERROR( INDEX(韻母對照表[注音二式], MATCH(TRUE, EXACT( _xlfn.CONCAT(R7, LEFT(S7,1)), 韻母對照表[十五音識別碼]),0)), "")</f>
        <v>ip</v>
      </c>
      <c r="U7" s="164" t="s">
        <v>46</v>
      </c>
      <c r="V7" s="164" t="s">
        <v>45</v>
      </c>
      <c r="W7" s="166" t="s">
        <v>43</v>
      </c>
      <c r="X7" s="174">
        <f t="shared" si="0"/>
        <v>2</v>
      </c>
      <c r="Y7" t="str">
        <f t="shared" si="1"/>
        <v xml:space="preserve">      - xform/ip/ip/</v>
      </c>
      <c r="Z7"/>
    </row>
    <row r="8" spans="1:26" ht="29.25">
      <c r="A8" s="62">
        <v>7</v>
      </c>
      <c r="B8" s="2" t="s">
        <v>51</v>
      </c>
      <c r="C8" s="2" t="s">
        <v>49</v>
      </c>
      <c r="D8" s="92" t="str" cm="1">
        <f t="array" ref="D8" xml:space="preserve"> INDEX(【韻】韻母對照表!$B$4:$B$89, MATCH(TRUE, EXACT(韻母對照表[[#This Row],[台羅拼音]], 【韻】韻母對照表!$C$4:$C$89), 0))</f>
        <v>ui</v>
      </c>
      <c r="E8" s="15" t="s">
        <v>50</v>
      </c>
      <c r="F8" s="1" t="s">
        <v>50</v>
      </c>
      <c r="G8" s="1" t="s">
        <v>50</v>
      </c>
      <c r="H8" s="1" t="s">
        <v>50</v>
      </c>
      <c r="I8" s="90" t="s">
        <v>50</v>
      </c>
      <c r="J8" s="1" t="s">
        <v>52</v>
      </c>
      <c r="K8" s="1" t="s">
        <v>52</v>
      </c>
      <c r="L8" s="1" t="s">
        <v>31</v>
      </c>
      <c r="M8" s="1" t="s">
        <v>17</v>
      </c>
      <c r="N8" s="63" t="s">
        <v>53</v>
      </c>
      <c r="P8" s="173">
        <v>7</v>
      </c>
      <c r="Q8" s="165" t="s">
        <v>31</v>
      </c>
      <c r="R8" s="165" t="s">
        <v>51</v>
      </c>
      <c r="S8" s="165" t="s">
        <v>17</v>
      </c>
      <c r="T8" s="164" t="str" cm="1">
        <f t="array" ref="T8">IFERROR( INDEX(韻母對照表[注音二式], MATCH(TRUE, EXACT( _xlfn.CONCAT(R8, LEFT(S8,1)), 韻母對照表[十五音識別碼]),0)), "")</f>
        <v>ui</v>
      </c>
      <c r="U8" s="164" t="s">
        <v>50</v>
      </c>
      <c r="V8" s="164" t="s">
        <v>52</v>
      </c>
      <c r="W8" s="166" t="s">
        <v>49</v>
      </c>
      <c r="X8" s="174">
        <f t="shared" si="0"/>
        <v>2</v>
      </c>
      <c r="Y8" t="str">
        <f t="shared" si="1"/>
        <v xml:space="preserve">      - xform/ui/ui/</v>
      </c>
      <c r="Z8"/>
    </row>
    <row r="9" spans="1:26" ht="29.25">
      <c r="A9" s="62">
        <v>9</v>
      </c>
      <c r="B9" s="3" t="s">
        <v>57</v>
      </c>
      <c r="C9" s="3" t="s">
        <v>55</v>
      </c>
      <c r="D9" s="92" t="s">
        <v>2427</v>
      </c>
      <c r="E9" s="15" t="s">
        <v>59</v>
      </c>
      <c r="F9" s="1" t="s">
        <v>59</v>
      </c>
      <c r="G9" s="1" t="s">
        <v>60</v>
      </c>
      <c r="H9" s="1" t="s">
        <v>60</v>
      </c>
      <c r="I9" s="94"/>
      <c r="J9" s="1" t="s">
        <v>58</v>
      </c>
      <c r="K9" s="1" t="s">
        <v>58</v>
      </c>
      <c r="L9" s="1" t="s">
        <v>36</v>
      </c>
      <c r="M9" s="1" t="s">
        <v>17</v>
      </c>
      <c r="N9" s="63" t="s">
        <v>61</v>
      </c>
      <c r="P9" s="164">
        <v>8</v>
      </c>
      <c r="Q9" s="165">
        <v>4</v>
      </c>
      <c r="R9" s="165" t="s">
        <v>51</v>
      </c>
      <c r="S9" s="165" t="s">
        <v>23</v>
      </c>
      <c r="T9" s="177" t="str">
        <f xml:space="preserve"> _xlfn.CONCAT(T8, "h")</f>
        <v>uih</v>
      </c>
      <c r="U9" s="177" t="s">
        <v>1199</v>
      </c>
      <c r="V9" s="164" t="str">
        <f xml:space="preserve"> _xlfn.CONCAT(V8, "ㆷ")</f>
        <v>ㄨㄧㆷ</v>
      </c>
      <c r="W9" s="166"/>
      <c r="X9" s="174">
        <f t="shared" si="0"/>
        <v>3</v>
      </c>
      <c r="Y9" t="str">
        <f t="shared" si="1"/>
        <v xml:space="preserve">      - xform/uih/uh/</v>
      </c>
      <c r="Z9"/>
    </row>
    <row r="10" spans="1:26" ht="29.25">
      <c r="A10" s="62">
        <v>10</v>
      </c>
      <c r="B10" s="3" t="s">
        <v>57</v>
      </c>
      <c r="C10" s="2" t="s">
        <v>63</v>
      </c>
      <c r="D10" s="92" t="str">
        <f xml:space="preserve"> _xlfn.CONCAT(D9, "ʔ")</f>
        <v>ɛʔ</v>
      </c>
      <c r="E10" s="15" t="s">
        <v>64</v>
      </c>
      <c r="F10" s="1" t="s">
        <v>64</v>
      </c>
      <c r="G10" s="1" t="s">
        <v>65</v>
      </c>
      <c r="H10" s="1" t="s">
        <v>65</v>
      </c>
      <c r="I10" s="94"/>
      <c r="J10" s="1" t="s">
        <v>908</v>
      </c>
      <c r="K10" s="1" t="s">
        <v>2230</v>
      </c>
      <c r="L10" s="1" t="s">
        <v>36</v>
      </c>
      <c r="M10" s="1" t="s">
        <v>23</v>
      </c>
      <c r="N10" s="63" t="s">
        <v>66</v>
      </c>
      <c r="P10" s="173">
        <v>9</v>
      </c>
      <c r="Q10" s="165" t="s">
        <v>36</v>
      </c>
      <c r="R10" s="165" t="s">
        <v>57</v>
      </c>
      <c r="S10" s="165" t="s">
        <v>17</v>
      </c>
      <c r="T10" s="164" t="str" cm="1">
        <f t="array" ref="T10">IFERROR( INDEX(韻母對照表[注音二式], MATCH(TRUE, EXACT( _xlfn.CONCAT(R10, LEFT(S10,1)), 韻母對照表[十五音識別碼]),0)), "")</f>
        <v>e</v>
      </c>
      <c r="U10" s="164" t="s">
        <v>1236</v>
      </c>
      <c r="V10" s="164" t="s">
        <v>58</v>
      </c>
      <c r="W10" s="167" t="s">
        <v>55</v>
      </c>
      <c r="X10" s="174">
        <f t="shared" si="0"/>
        <v>1</v>
      </c>
      <c r="Y10" t="str">
        <f t="shared" si="1"/>
        <v xml:space="preserve">      - xform/e/ee/</v>
      </c>
      <c r="Z10"/>
    </row>
    <row r="11" spans="1:26" ht="29.25">
      <c r="A11" s="62">
        <v>11</v>
      </c>
      <c r="B11" s="2" t="s">
        <v>70</v>
      </c>
      <c r="C11" s="2" t="s">
        <v>68</v>
      </c>
      <c r="D11" s="92" t="str" cm="1">
        <f t="array" ref="D11" xml:space="preserve"> INDEX(【韻】韻母對照表!$B$4:$B$89, MATCH(TRUE, EXACT(韻母對照表[[#This Row],[台羅拼音]], 【韻】韻母對照表!$C$4:$C$89), 0))</f>
        <v>an</v>
      </c>
      <c r="E11" s="15" t="s">
        <v>69</v>
      </c>
      <c r="F11" s="1" t="s">
        <v>69</v>
      </c>
      <c r="G11" s="1" t="s">
        <v>69</v>
      </c>
      <c r="H11" s="1" t="s">
        <v>69</v>
      </c>
      <c r="I11" s="90" t="s">
        <v>69</v>
      </c>
      <c r="J11" s="1" t="s">
        <v>71</v>
      </c>
      <c r="K11" s="1" t="s">
        <v>71</v>
      </c>
      <c r="L11" s="1" t="s">
        <v>42</v>
      </c>
      <c r="M11" s="1" t="s">
        <v>17</v>
      </c>
      <c r="N11" s="63" t="s">
        <v>72</v>
      </c>
      <c r="P11" s="164">
        <v>10</v>
      </c>
      <c r="Q11" s="165" t="s">
        <v>36</v>
      </c>
      <c r="R11" s="165" t="s">
        <v>57</v>
      </c>
      <c r="S11" s="165" t="s">
        <v>23</v>
      </c>
      <c r="T11" s="177" t="str" cm="1">
        <f t="array" ref="T11">IFERROR( INDEX(韻母對照表[注音二式], MATCH(TRUE, EXACT( _xlfn.CONCAT(R11, LEFT(S11,1)), 韻母對照表[十五音識別碼]),0)), "")</f>
        <v>eh</v>
      </c>
      <c r="U11" s="177" t="s">
        <v>1235</v>
      </c>
      <c r="V11" s="164" t="s">
        <v>2330</v>
      </c>
      <c r="W11" s="166" t="s">
        <v>63</v>
      </c>
      <c r="X11" s="174">
        <f t="shared" si="0"/>
        <v>2</v>
      </c>
      <c r="Y11" t="str">
        <f t="shared" si="1"/>
        <v xml:space="preserve">      - xform/eh/eeh/</v>
      </c>
      <c r="Z11"/>
    </row>
    <row r="12" spans="1:26" ht="29.25">
      <c r="A12" s="62">
        <v>12</v>
      </c>
      <c r="B12" s="2" t="s">
        <v>70</v>
      </c>
      <c r="C12" s="2" t="s">
        <v>74</v>
      </c>
      <c r="D12" s="92" t="str" cm="1">
        <f t="array" ref="D12" xml:space="preserve"> INDEX(【韻】韻母對照表!$B$4:$B$89, MATCH(TRUE, EXACT(韻母對照表[[#This Row],[台羅拼音]], 【韻】韻母對照表!$C$4:$C$89), 0))</f>
        <v>at̚</v>
      </c>
      <c r="E12" s="15" t="s">
        <v>77</v>
      </c>
      <c r="F12" s="1" t="s">
        <v>77</v>
      </c>
      <c r="G12" s="1" t="s">
        <v>77</v>
      </c>
      <c r="H12" s="1" t="s">
        <v>77</v>
      </c>
      <c r="I12" s="90" t="s">
        <v>77</v>
      </c>
      <c r="J12" s="1" t="s">
        <v>76</v>
      </c>
      <c r="K12" s="1" t="s">
        <v>2231</v>
      </c>
      <c r="L12" s="1" t="s">
        <v>42</v>
      </c>
      <c r="M12" s="1" t="s">
        <v>23</v>
      </c>
      <c r="N12" s="63" t="s">
        <v>78</v>
      </c>
      <c r="P12" s="173">
        <v>11</v>
      </c>
      <c r="Q12" s="165" t="s">
        <v>42</v>
      </c>
      <c r="R12" s="165" t="s">
        <v>70</v>
      </c>
      <c r="S12" s="165" t="s">
        <v>17</v>
      </c>
      <c r="T12" s="164" t="str" cm="1">
        <f t="array" ref="T12">IFERROR( INDEX(韻母對照表[注音二式], MATCH(TRUE, EXACT( _xlfn.CONCAT(R12, LEFT(S12,1)), 韻母對照表[十五音識別碼]),0)), "")</f>
        <v>an</v>
      </c>
      <c r="U12" s="164" t="s">
        <v>69</v>
      </c>
      <c r="V12" s="164" t="s">
        <v>71</v>
      </c>
      <c r="W12" s="166" t="s">
        <v>68</v>
      </c>
      <c r="X12" s="174">
        <f t="shared" si="0"/>
        <v>2</v>
      </c>
      <c r="Y12" t="str">
        <f t="shared" si="1"/>
        <v xml:space="preserve">      - xform/an/an/</v>
      </c>
      <c r="Z12"/>
    </row>
    <row r="13" spans="1:26" ht="29.25">
      <c r="A13" s="62">
        <v>13</v>
      </c>
      <c r="B13" s="2" t="s">
        <v>82</v>
      </c>
      <c r="C13" s="2" t="s">
        <v>80</v>
      </c>
      <c r="D13" s="92" t="str" cm="1">
        <f t="array" ref="D13" xml:space="preserve"> INDEX(【韻】韻母對照表!$B$4:$B$89, MATCH(TRUE, EXACT(韻母對照表[[#This Row],[台羅拼音]], 【韻】韻母對照表!$C$4:$C$89), 0))</f>
        <v>ɔŋ</v>
      </c>
      <c r="E13" s="15" t="s">
        <v>84</v>
      </c>
      <c r="F13" s="1" t="s">
        <v>84</v>
      </c>
      <c r="G13" s="1" t="s">
        <v>84</v>
      </c>
      <c r="H13" s="1" t="s">
        <v>84</v>
      </c>
      <c r="I13" s="90" t="s">
        <v>84</v>
      </c>
      <c r="J13" s="1" t="s">
        <v>83</v>
      </c>
      <c r="K13" s="1" t="s">
        <v>2232</v>
      </c>
      <c r="L13" s="1" t="s">
        <v>48</v>
      </c>
      <c r="M13" s="1" t="s">
        <v>17</v>
      </c>
      <c r="N13" s="63" t="s">
        <v>85</v>
      </c>
      <c r="P13" s="164">
        <v>12</v>
      </c>
      <c r="Q13" s="165" t="s">
        <v>42</v>
      </c>
      <c r="R13" s="165" t="s">
        <v>70</v>
      </c>
      <c r="S13" s="165" t="s">
        <v>23</v>
      </c>
      <c r="T13" s="164" t="str" cm="1">
        <f t="array" ref="T13">IFERROR( INDEX(韻母對照表[注音二式], MATCH(TRUE, EXACT( _xlfn.CONCAT(R13, LEFT(S13,1)), 韻母對照表[十五音識別碼]),0)), "")</f>
        <v>at</v>
      </c>
      <c r="U13" s="164" t="s">
        <v>77</v>
      </c>
      <c r="V13" s="164" t="s">
        <v>76</v>
      </c>
      <c r="W13" s="166" t="s">
        <v>74</v>
      </c>
      <c r="X13" s="174">
        <f t="shared" si="0"/>
        <v>2</v>
      </c>
      <c r="Y13" t="str">
        <f t="shared" si="1"/>
        <v xml:space="preserve">      - xform/at/at/</v>
      </c>
      <c r="Z13"/>
    </row>
    <row r="14" spans="1:26" ht="29.25">
      <c r="A14" s="62">
        <v>14</v>
      </c>
      <c r="B14" s="2" t="s">
        <v>82</v>
      </c>
      <c r="C14" s="2" t="s">
        <v>87</v>
      </c>
      <c r="D14" s="92" t="str" cm="1">
        <f t="array" ref="D14" xml:space="preserve"> INDEX(【韻】韻母對照表!$B$4:$B$89, MATCH(TRUE, EXACT(韻母對照表[[#This Row],[台羅拼音]], 【韻】韻母對照表!$C$4:$C$89), 0))</f>
        <v>ɔk̚</v>
      </c>
      <c r="E14" s="15" t="s">
        <v>90</v>
      </c>
      <c r="F14" s="1" t="s">
        <v>90</v>
      </c>
      <c r="G14" s="1" t="s">
        <v>90</v>
      </c>
      <c r="H14" s="1" t="s">
        <v>90</v>
      </c>
      <c r="I14" s="90" t="s">
        <v>90</v>
      </c>
      <c r="J14" s="1" t="s">
        <v>89</v>
      </c>
      <c r="K14" s="1" t="s">
        <v>2233</v>
      </c>
      <c r="L14" s="1" t="s">
        <v>48</v>
      </c>
      <c r="M14" s="1" t="s">
        <v>23</v>
      </c>
      <c r="N14" s="63" t="s">
        <v>91</v>
      </c>
      <c r="P14" s="173">
        <v>13</v>
      </c>
      <c r="Q14" s="165" t="s">
        <v>48</v>
      </c>
      <c r="R14" s="165" t="s">
        <v>82</v>
      </c>
      <c r="S14" s="165" t="s">
        <v>17</v>
      </c>
      <c r="T14" s="164" t="str" cm="1">
        <f t="array" ref="T14">IFERROR( INDEX(韻母對照表[注音二式], MATCH(TRUE, EXACT( _xlfn.CONCAT(R14, LEFT(S14,1)), 韻母對照表[十五音識別碼]),0)), "")</f>
        <v>ong</v>
      </c>
      <c r="U14" s="164" t="s">
        <v>84</v>
      </c>
      <c r="V14" s="164" t="s">
        <v>83</v>
      </c>
      <c r="W14" s="166" t="s">
        <v>80</v>
      </c>
      <c r="X14" s="174">
        <f t="shared" si="0"/>
        <v>3</v>
      </c>
      <c r="Y14" t="str">
        <f t="shared" si="1"/>
        <v xml:space="preserve">      - xform/ong/ong/</v>
      </c>
      <c r="Z14"/>
    </row>
    <row r="15" spans="1:26" ht="29.25">
      <c r="A15" s="62">
        <v>15</v>
      </c>
      <c r="B15" s="2" t="s">
        <v>95</v>
      </c>
      <c r="C15" s="2" t="s">
        <v>93</v>
      </c>
      <c r="D15" s="92" t="str" cm="1">
        <f t="array" ref="D15" xml:space="preserve"> INDEX(【韻】韻母對照表!$B$4:$B$89, MATCH(TRUE, EXACT(韻母對照表[[#This Row],[台羅拼音]], 【韻】韻母對照表!$C$4:$C$89), 0))</f>
        <v>uai</v>
      </c>
      <c r="E15" s="15" t="s">
        <v>94</v>
      </c>
      <c r="F15" s="1" t="s">
        <v>94</v>
      </c>
      <c r="G15" s="1" t="s">
        <v>94</v>
      </c>
      <c r="H15" s="1" t="s">
        <v>94</v>
      </c>
      <c r="I15" s="95" t="s">
        <v>97</v>
      </c>
      <c r="J15" s="1" t="s">
        <v>96</v>
      </c>
      <c r="K15" s="1" t="s">
        <v>96</v>
      </c>
      <c r="L15" s="1" t="s">
        <v>99</v>
      </c>
      <c r="M15" s="1" t="s">
        <v>17</v>
      </c>
      <c r="N15" s="63" t="s">
        <v>98</v>
      </c>
      <c r="P15" s="164">
        <v>14</v>
      </c>
      <c r="Q15" s="165" t="s">
        <v>48</v>
      </c>
      <c r="R15" s="165" t="s">
        <v>82</v>
      </c>
      <c r="S15" s="165" t="s">
        <v>23</v>
      </c>
      <c r="T15" s="164" t="str" cm="1">
        <f t="array" ref="T15">IFERROR( INDEX(韻母對照表[注音二式], MATCH(TRUE, EXACT( _xlfn.CONCAT(R15, LEFT(S15,1)), 韻母對照表[十五音識別碼]),0)), "")</f>
        <v>ok</v>
      </c>
      <c r="U15" s="164" t="s">
        <v>90</v>
      </c>
      <c r="V15" s="164" t="s">
        <v>89</v>
      </c>
      <c r="W15" s="166" t="s">
        <v>87</v>
      </c>
      <c r="X15" s="174">
        <f t="shared" si="0"/>
        <v>2</v>
      </c>
      <c r="Y15" t="str">
        <f t="shared" si="1"/>
        <v xml:space="preserve">      - xform/ok/ok/</v>
      </c>
      <c r="Z15"/>
    </row>
    <row r="16" spans="1:26" ht="39">
      <c r="A16" s="62">
        <v>16</v>
      </c>
      <c r="B16" s="2" t="s">
        <v>95</v>
      </c>
      <c r="C16" s="2" t="s">
        <v>512</v>
      </c>
      <c r="D16" s="92" t="str" cm="1">
        <f t="array" ref="D16" xml:space="preserve"> INDEX(【韻】韻母對照表!$B$4:$B$89, MATCH(TRUE, EXACT(韻母對照表[[#This Row],[台羅拼音]], 【韻】韻母對照表!$C$4:$C$89), 0))</f>
        <v>uaiʔ</v>
      </c>
      <c r="E16" s="15" t="s">
        <v>101</v>
      </c>
      <c r="F16" s="1" t="s">
        <v>101</v>
      </c>
      <c r="G16" s="1" t="s">
        <v>101</v>
      </c>
      <c r="H16" s="1" t="s">
        <v>101</v>
      </c>
      <c r="I16" s="95" t="s">
        <v>102</v>
      </c>
      <c r="J16" s="1" t="s">
        <v>909</v>
      </c>
      <c r="K16" s="1" t="s">
        <v>2234</v>
      </c>
      <c r="L16" s="1" t="s">
        <v>99</v>
      </c>
      <c r="M16" s="1" t="s">
        <v>23</v>
      </c>
      <c r="N16" s="63" t="s">
        <v>103</v>
      </c>
      <c r="P16" s="173">
        <v>15</v>
      </c>
      <c r="Q16" s="165" t="s">
        <v>99</v>
      </c>
      <c r="R16" s="165" t="s">
        <v>95</v>
      </c>
      <c r="S16" s="165" t="s">
        <v>17</v>
      </c>
      <c r="T16" s="164" t="str" cm="1">
        <f t="array" ref="T16">IFERROR( INDEX(韻母對照表[注音二式], MATCH(TRUE, EXACT( _xlfn.CONCAT(R16, LEFT(S16,1)), 韻母對照表[十五音識別碼]),0)), "")</f>
        <v>uai</v>
      </c>
      <c r="U16" s="164" t="s">
        <v>94</v>
      </c>
      <c r="V16" s="164" t="s">
        <v>96</v>
      </c>
      <c r="W16" s="166" t="s">
        <v>93</v>
      </c>
      <c r="X16" s="174">
        <f t="shared" si="0"/>
        <v>3</v>
      </c>
      <c r="Y16" t="str">
        <f t="shared" si="1"/>
        <v xml:space="preserve">      - xform/uai/uai/</v>
      </c>
      <c r="Z16"/>
    </row>
    <row r="17" spans="1:26" ht="29.25">
      <c r="A17" s="62">
        <v>17</v>
      </c>
      <c r="B17" s="2" t="s">
        <v>107</v>
      </c>
      <c r="C17" s="2" t="s">
        <v>105</v>
      </c>
      <c r="D17" s="92" t="str" cm="1">
        <f t="array" ref="D17" xml:space="preserve"> INDEX(【韻】韻母對照表!$B$4:$B$89, MATCH(TRUE, EXACT(韻母對照表[[#This Row],[台羅拼音]], 【韻】韻母對照表!$C$4:$C$89), 0))</f>
        <v>iŋ</v>
      </c>
      <c r="E17" s="15" t="s">
        <v>109</v>
      </c>
      <c r="F17" s="1" t="s">
        <v>109</v>
      </c>
      <c r="G17" s="1" t="s">
        <v>109</v>
      </c>
      <c r="H17" s="1" t="s">
        <v>109</v>
      </c>
      <c r="I17" s="95" t="s">
        <v>110</v>
      </c>
      <c r="J17" s="1" t="s">
        <v>108</v>
      </c>
      <c r="K17" s="1" t="s">
        <v>108</v>
      </c>
      <c r="L17" s="1" t="s">
        <v>54</v>
      </c>
      <c r="M17" s="1" t="s">
        <v>17</v>
      </c>
      <c r="N17" s="63" t="s">
        <v>111</v>
      </c>
      <c r="P17" s="164">
        <v>16</v>
      </c>
      <c r="Q17" s="165" t="s">
        <v>99</v>
      </c>
      <c r="R17" s="165" t="s">
        <v>95</v>
      </c>
      <c r="S17" s="165" t="s">
        <v>23</v>
      </c>
      <c r="T17" s="164" t="str" cm="1">
        <f t="array" ref="T17">IFERROR( INDEX(韻母對照表[注音二式], MATCH(TRUE, EXACT( _xlfn.CONCAT(R17, LEFT(S17,1)), 韻母對照表[十五音識別碼]),0)), "")</f>
        <v>uaih</v>
      </c>
      <c r="U17" s="164" t="s">
        <v>1193</v>
      </c>
      <c r="V17" s="164" t="s">
        <v>2196</v>
      </c>
      <c r="W17" s="166" t="s">
        <v>2333</v>
      </c>
      <c r="X17" s="174">
        <f t="shared" si="0"/>
        <v>4</v>
      </c>
      <c r="Y17" t="str">
        <f t="shared" si="1"/>
        <v xml:space="preserve">      - xform/uaih/uah/</v>
      </c>
      <c r="Z17"/>
    </row>
    <row r="18" spans="1:26" ht="29.25">
      <c r="A18" s="62">
        <v>18</v>
      </c>
      <c r="B18" s="2" t="s">
        <v>107</v>
      </c>
      <c r="C18" s="2" t="s">
        <v>113</v>
      </c>
      <c r="D18" s="92" t="str" cm="1">
        <f t="array" ref="D18" xml:space="preserve"> INDEX(【韻】韻母對照表!$B$4:$B$89, MATCH(TRUE, EXACT(韻母對照表[[#This Row],[台羅拼音]], 【韻】韻母對照表!$C$4:$C$89), 0))</f>
        <v>ik̚</v>
      </c>
      <c r="E18" s="15" t="s">
        <v>115</v>
      </c>
      <c r="F18" s="1" t="s">
        <v>115</v>
      </c>
      <c r="G18" s="1" t="s">
        <v>115</v>
      </c>
      <c r="H18" s="1" t="s">
        <v>115</v>
      </c>
      <c r="I18" s="95" t="s">
        <v>116</v>
      </c>
      <c r="J18" s="1" t="s">
        <v>114</v>
      </c>
      <c r="K18" s="1" t="s">
        <v>2235</v>
      </c>
      <c r="L18" s="1" t="s">
        <v>54</v>
      </c>
      <c r="M18" s="1" t="s">
        <v>23</v>
      </c>
      <c r="N18" s="63" t="s">
        <v>117</v>
      </c>
      <c r="P18" s="173">
        <v>17</v>
      </c>
      <c r="Q18" s="165" t="s">
        <v>54</v>
      </c>
      <c r="R18" s="165" t="s">
        <v>107</v>
      </c>
      <c r="S18" s="165" t="s">
        <v>17</v>
      </c>
      <c r="T18" s="164" t="str" cm="1">
        <f t="array" ref="T18">IFERROR( INDEX(韻母對照表[注音二式], MATCH(TRUE, EXACT( _xlfn.CONCAT(R18, LEFT(S18,1)), 韻母對照表[十五音識別碼]),0)), "")</f>
        <v>ing</v>
      </c>
      <c r="U18" s="164" t="s">
        <v>1209</v>
      </c>
      <c r="V18" s="164" t="s">
        <v>108</v>
      </c>
      <c r="W18" s="166" t="s">
        <v>105</v>
      </c>
      <c r="X18" s="174">
        <f t="shared" si="0"/>
        <v>3</v>
      </c>
      <c r="Y18" t="str">
        <f t="shared" si="1"/>
        <v xml:space="preserve">      - xform/ing/ing/</v>
      </c>
      <c r="Z18"/>
    </row>
    <row r="19" spans="1:26" ht="29.25">
      <c r="A19" s="62">
        <v>19</v>
      </c>
      <c r="B19" s="2" t="s">
        <v>121</v>
      </c>
      <c r="C19" s="2" t="s">
        <v>119</v>
      </c>
      <c r="D19" s="92" t="str" cm="1">
        <f t="array" ref="D19" xml:space="preserve"> INDEX(【韻】韻母對照表!$B$4:$B$89, MATCH(TRUE, EXACT(韻母對照表[[#This Row],[台羅拼音]], 【韻】韻母對照表!$C$4:$C$89), 0))</f>
        <v>uan</v>
      </c>
      <c r="E19" s="15" t="s">
        <v>120</v>
      </c>
      <c r="F19" s="1" t="s">
        <v>120</v>
      </c>
      <c r="G19" s="1" t="s">
        <v>120</v>
      </c>
      <c r="H19" s="1" t="s">
        <v>120</v>
      </c>
      <c r="I19" s="95" t="s">
        <v>123</v>
      </c>
      <c r="J19" s="1" t="s">
        <v>122</v>
      </c>
      <c r="K19" s="1" t="s">
        <v>122</v>
      </c>
      <c r="L19" s="1" t="s">
        <v>62</v>
      </c>
      <c r="M19" s="1" t="s">
        <v>17</v>
      </c>
      <c r="N19" s="63" t="s">
        <v>124</v>
      </c>
      <c r="P19" s="164">
        <v>18</v>
      </c>
      <c r="Q19" s="165" t="s">
        <v>54</v>
      </c>
      <c r="R19" s="165" t="s">
        <v>107</v>
      </c>
      <c r="S19" s="165" t="s">
        <v>23</v>
      </c>
      <c r="T19" s="164" t="str" cm="1">
        <f t="array" ref="T19">IFERROR( INDEX(韻母對照表[注音二式], MATCH(TRUE, EXACT( _xlfn.CONCAT(R19, LEFT(S19,1)), 韻母對照表[十五音識別碼]),0)), "")</f>
        <v>ik</v>
      </c>
      <c r="U19" s="164" t="s">
        <v>115</v>
      </c>
      <c r="V19" s="164" t="s">
        <v>114</v>
      </c>
      <c r="W19" s="166" t="s">
        <v>113</v>
      </c>
      <c r="X19" s="174">
        <f t="shared" si="0"/>
        <v>2</v>
      </c>
      <c r="Y19" t="str">
        <f t="shared" si="1"/>
        <v xml:space="preserve">      - xform/ik/ik/</v>
      </c>
      <c r="Z19"/>
    </row>
    <row r="20" spans="1:26" ht="29.25">
      <c r="A20" s="62">
        <v>20</v>
      </c>
      <c r="B20" s="2" t="s">
        <v>121</v>
      </c>
      <c r="C20" s="2" t="s">
        <v>126</v>
      </c>
      <c r="D20" s="92" t="str" cm="1">
        <f t="array" ref="D20" xml:space="preserve"> INDEX(【韻】韻母對照表!$B$4:$B$89, MATCH(TRUE, EXACT(韻母對照表[[#This Row],[台羅拼音]], 【韻】韻母對照表!$C$4:$C$89), 0))</f>
        <v>uat̚</v>
      </c>
      <c r="E20" s="15" t="s">
        <v>129</v>
      </c>
      <c r="F20" s="1" t="s">
        <v>129</v>
      </c>
      <c r="G20" s="1" t="s">
        <v>129</v>
      </c>
      <c r="H20" s="1" t="s">
        <v>129</v>
      </c>
      <c r="I20" s="95" t="s">
        <v>130</v>
      </c>
      <c r="J20" s="1" t="s">
        <v>128</v>
      </c>
      <c r="K20" s="1" t="s">
        <v>2236</v>
      </c>
      <c r="L20" s="1" t="s">
        <v>62</v>
      </c>
      <c r="M20" s="1" t="s">
        <v>23</v>
      </c>
      <c r="N20" s="63" t="s">
        <v>131</v>
      </c>
      <c r="P20" s="173">
        <v>19</v>
      </c>
      <c r="Q20" s="165" t="s">
        <v>62</v>
      </c>
      <c r="R20" s="165" t="s">
        <v>121</v>
      </c>
      <c r="S20" s="165" t="s">
        <v>17</v>
      </c>
      <c r="T20" s="164" t="str" cm="1">
        <f t="array" ref="T20">IFERROR( INDEX(韻母對照表[注音二式], MATCH(TRUE, EXACT( _xlfn.CONCAT(R20, LEFT(S20,1)), 韻母對照表[十五音識別碼]),0)), "")</f>
        <v>uan</v>
      </c>
      <c r="U20" s="164" t="s">
        <v>120</v>
      </c>
      <c r="V20" s="164" t="s">
        <v>122</v>
      </c>
      <c r="W20" s="166" t="s">
        <v>119</v>
      </c>
      <c r="X20" s="174">
        <f t="shared" si="0"/>
        <v>3</v>
      </c>
      <c r="Y20" t="str">
        <f t="shared" si="1"/>
        <v xml:space="preserve">      - xform/uan/uan/</v>
      </c>
      <c r="Z20"/>
    </row>
    <row r="21" spans="1:26" ht="29.25">
      <c r="A21" s="62">
        <v>21</v>
      </c>
      <c r="B21" s="2" t="s">
        <v>135</v>
      </c>
      <c r="C21" s="2" t="s">
        <v>133</v>
      </c>
      <c r="D21" s="92" t="str" cm="1">
        <f t="array" ref="D21" xml:space="preserve"> INDEX(【韻】韻母對照表!$B$4:$B$89, MATCH(TRUE, EXACT(韻母對照表[[#This Row],[台羅拼音]], 【韻】韻母對照表!$C$4:$C$89), 0))</f>
        <v>ɔ</v>
      </c>
      <c r="E21" s="15" t="s">
        <v>136</v>
      </c>
      <c r="F21" s="1" t="s">
        <v>136</v>
      </c>
      <c r="G21" s="1" t="s">
        <v>136</v>
      </c>
      <c r="H21" s="1" t="s">
        <v>136</v>
      </c>
      <c r="I21" s="95" t="str">
        <f xml:space="preserve"> _xlfn.CONCAT("o", _xlfn.UNICHAR(HEX2DEC(358)))</f>
        <v>o͘</v>
      </c>
      <c r="J21" s="1" t="s">
        <v>910</v>
      </c>
      <c r="K21" s="1" t="s">
        <v>2237</v>
      </c>
      <c r="L21" s="1" t="s">
        <v>67</v>
      </c>
      <c r="M21" s="1" t="s">
        <v>17</v>
      </c>
      <c r="N21" s="63" t="s">
        <v>138</v>
      </c>
      <c r="P21" s="164">
        <v>20</v>
      </c>
      <c r="Q21" s="165" t="s">
        <v>62</v>
      </c>
      <c r="R21" s="165" t="s">
        <v>121</v>
      </c>
      <c r="S21" s="165" t="s">
        <v>17</v>
      </c>
      <c r="T21" s="164" t="str" cm="1">
        <f t="array" ref="T21">IFERROR( INDEX(韻母對照表[注音二式], MATCH(TRUE, EXACT( _xlfn.CONCAT(R21, LEFT(S21,1)), 韻母對照表[十五音識別碼]),0)), "")</f>
        <v>uan</v>
      </c>
      <c r="U21" s="164" t="s">
        <v>129</v>
      </c>
      <c r="V21" s="164" t="s">
        <v>128</v>
      </c>
      <c r="W21" s="166" t="s">
        <v>126</v>
      </c>
      <c r="X21" s="174">
        <f t="shared" si="0"/>
        <v>3</v>
      </c>
      <c r="Y21" t="str">
        <f t="shared" si="1"/>
        <v xml:space="preserve">      - xform/uan/uat/</v>
      </c>
      <c r="Z21"/>
    </row>
    <row r="22" spans="1:26" ht="29.25">
      <c r="A22" s="62">
        <v>23</v>
      </c>
      <c r="B22" s="2" t="s">
        <v>142</v>
      </c>
      <c r="C22" s="2" t="s">
        <v>140</v>
      </c>
      <c r="D22" s="92" t="str" cm="1">
        <f t="array" ref="D22" xml:space="preserve"> INDEX(【韻】韻母對照表!$B$4:$B$89, MATCH(TRUE, EXACT(韻母對照表[[#This Row],[台羅拼音]], 【韻】韻母對照表!$C$4:$C$89), 0))</f>
        <v>ɪaʊ</v>
      </c>
      <c r="E22" s="15" t="s">
        <v>141</v>
      </c>
      <c r="F22" s="1" t="s">
        <v>141</v>
      </c>
      <c r="G22" s="1" t="s">
        <v>141</v>
      </c>
      <c r="H22" s="15" t="s">
        <v>144</v>
      </c>
      <c r="I22" s="90" t="s">
        <v>141</v>
      </c>
      <c r="J22" s="1" t="s">
        <v>143</v>
      </c>
      <c r="K22" s="1" t="s">
        <v>143</v>
      </c>
      <c r="L22" s="1" t="s">
        <v>73</v>
      </c>
      <c r="M22" s="1" t="s">
        <v>17</v>
      </c>
      <c r="N22" s="63" t="s">
        <v>145</v>
      </c>
      <c r="P22" s="173">
        <v>21</v>
      </c>
      <c r="Q22" s="165" t="s">
        <v>67</v>
      </c>
      <c r="R22" s="165" t="s">
        <v>135</v>
      </c>
      <c r="S22" s="165" t="s">
        <v>17</v>
      </c>
      <c r="T22" s="164" t="str" cm="1">
        <f t="array" ref="T22">IFERROR( INDEX(韻母對照表[注音二式], MATCH(TRUE, EXACT( _xlfn.CONCAT(R22, LEFT(S22,1)), 韻母對照表[十五音識別碼]),0)), "")</f>
        <v>oo</v>
      </c>
      <c r="U22" s="164" t="s">
        <v>136</v>
      </c>
      <c r="V22" s="164" t="s">
        <v>1336</v>
      </c>
      <c r="W22" s="166" t="s">
        <v>133</v>
      </c>
      <c r="X22" s="174">
        <f t="shared" si="0"/>
        <v>2</v>
      </c>
      <c r="Y22" t="str">
        <f t="shared" si="1"/>
        <v xml:space="preserve">      - xform/oo/oo/</v>
      </c>
      <c r="Z22"/>
    </row>
    <row r="23" spans="1:26" ht="29.25">
      <c r="A23" s="62">
        <v>24</v>
      </c>
      <c r="B23" s="2" t="s">
        <v>142</v>
      </c>
      <c r="C23" s="4" t="s">
        <v>147</v>
      </c>
      <c r="D23" s="92" t="str" cm="1">
        <f t="array" ref="D23" xml:space="preserve"> INDEX(【韻】韻母對照表!$B$4:$B$89, MATCH(TRUE, EXACT(韻母對照表[[#This Row],[台羅拼音]], 【韻】韻母對照表!$C$4:$C$89), 0))</f>
        <v>ɪaʊʔ</v>
      </c>
      <c r="E23" s="15" t="s">
        <v>148</v>
      </c>
      <c r="F23" s="1" t="s">
        <v>148</v>
      </c>
      <c r="G23" s="1" t="s">
        <v>148</v>
      </c>
      <c r="H23" s="1" t="s">
        <v>149</v>
      </c>
      <c r="I23" s="90" t="s">
        <v>148</v>
      </c>
      <c r="J23" s="1" t="s">
        <v>911</v>
      </c>
      <c r="K23" s="1" t="s">
        <v>2238</v>
      </c>
      <c r="L23" s="1" t="s">
        <v>73</v>
      </c>
      <c r="M23" s="1" t="s">
        <v>23</v>
      </c>
      <c r="N23" s="63" t="s">
        <v>150</v>
      </c>
      <c r="P23" s="164">
        <v>22</v>
      </c>
      <c r="Q23" s="165" t="s">
        <v>67</v>
      </c>
      <c r="R23" s="165" t="s">
        <v>135</v>
      </c>
      <c r="S23" s="165" t="s">
        <v>17</v>
      </c>
      <c r="T23" s="164" t="str" cm="1">
        <f t="array" ref="T23">IFERROR( INDEX(韻母對照表[注音二式], MATCH(TRUE, EXACT( _xlfn.CONCAT(R23, LEFT(S23,1)), 韻母對照表[十五音識別碼]),0)), "")</f>
        <v>oo</v>
      </c>
      <c r="U23" s="164" t="s">
        <v>2168</v>
      </c>
      <c r="V23" s="164" t="s">
        <v>1326</v>
      </c>
      <c r="W23" s="166"/>
      <c r="X23" s="174">
        <f t="shared" si="0"/>
        <v>2</v>
      </c>
      <c r="Y23" t="str">
        <f t="shared" si="1"/>
        <v xml:space="preserve">      - xform/oo/ooh/</v>
      </c>
      <c r="Z23"/>
    </row>
    <row r="24" spans="1:26" ht="29.25">
      <c r="A24" s="62">
        <v>25</v>
      </c>
      <c r="B24" s="2" t="s">
        <v>154</v>
      </c>
      <c r="C24" s="2" t="s">
        <v>152</v>
      </c>
      <c r="D24" s="92" t="str" cm="1">
        <f t="array" ref="D24" xml:space="preserve"> INDEX(【韻】韻母對照表!$B$4:$B$89, MATCH(TRUE, EXACT(韻母對照表[[#This Row],[台羅拼音]], 【韻】韻母對照表!$C$4:$C$89), 0))</f>
        <v>e</v>
      </c>
      <c r="E24" s="15" t="s">
        <v>60</v>
      </c>
      <c r="F24" s="1" t="s">
        <v>153</v>
      </c>
      <c r="G24" s="1" t="s">
        <v>60</v>
      </c>
      <c r="H24" s="1" t="s">
        <v>60</v>
      </c>
      <c r="I24" s="94"/>
      <c r="J24" s="1" t="s">
        <v>155</v>
      </c>
      <c r="K24" s="1" t="s">
        <v>58</v>
      </c>
      <c r="L24" s="1" t="s">
        <v>79</v>
      </c>
      <c r="M24" s="1" t="s">
        <v>17</v>
      </c>
      <c r="N24" s="63" t="s">
        <v>156</v>
      </c>
      <c r="P24" s="173">
        <v>23</v>
      </c>
      <c r="Q24" s="165" t="s">
        <v>73</v>
      </c>
      <c r="R24" s="165" t="s">
        <v>142</v>
      </c>
      <c r="S24" s="165" t="s">
        <v>17</v>
      </c>
      <c r="T24" s="164" t="str" cm="1">
        <f t="array" ref="T24">IFERROR( INDEX(韻母對照表[注音二式], MATCH(TRUE, EXACT( _xlfn.CONCAT(R24, LEFT(S24,1)), 韻母對照表[十五音識別碼]),0)), "")</f>
        <v>iau</v>
      </c>
      <c r="U24" s="164" t="s">
        <v>144</v>
      </c>
      <c r="V24" s="164" t="s">
        <v>143</v>
      </c>
      <c r="W24" s="166" t="s">
        <v>140</v>
      </c>
      <c r="X24" s="174">
        <f t="shared" si="0"/>
        <v>3</v>
      </c>
      <c r="Y24" t="str">
        <f t="shared" si="1"/>
        <v xml:space="preserve">      - xform/iau/iao/</v>
      </c>
      <c r="Z24"/>
    </row>
    <row r="25" spans="1:26" ht="29.25">
      <c r="A25" s="62">
        <v>27</v>
      </c>
      <c r="B25" s="2" t="s">
        <v>160</v>
      </c>
      <c r="C25" s="2" t="s">
        <v>158</v>
      </c>
      <c r="D25" s="92" t="str" cm="1">
        <f t="array" ref="D25" xml:space="preserve"> INDEX(【韻】韻母對照表!$B$4:$B$89, MATCH(TRUE, EXACT(韻母對照表[[#This Row],[台羅拼音]], 【韻】韻母對照表!$C$4:$C$89), 0))</f>
        <v>ɪɔŋ</v>
      </c>
      <c r="E25" s="15" t="s">
        <v>162</v>
      </c>
      <c r="F25" s="1" t="s">
        <v>162</v>
      </c>
      <c r="G25" s="1" t="s">
        <v>162</v>
      </c>
      <c r="H25" s="1" t="s">
        <v>162</v>
      </c>
      <c r="I25" s="90" t="s">
        <v>162</v>
      </c>
      <c r="J25" s="1" t="s">
        <v>161</v>
      </c>
      <c r="K25" s="1" t="s">
        <v>2239</v>
      </c>
      <c r="L25" s="1" t="s">
        <v>86</v>
      </c>
      <c r="M25" s="1" t="s">
        <v>17</v>
      </c>
      <c r="N25" s="63" t="s">
        <v>163</v>
      </c>
      <c r="P25" s="164">
        <v>24</v>
      </c>
      <c r="Q25" s="165" t="s">
        <v>73</v>
      </c>
      <c r="R25" s="165" t="s">
        <v>142</v>
      </c>
      <c r="S25" s="165" t="s">
        <v>17</v>
      </c>
      <c r="T25" s="164" t="str" cm="1">
        <f t="array" ref="T25">IFERROR( INDEX(韻母對照表[注音二式], MATCH(TRUE, EXACT( _xlfn.CONCAT(R25, LEFT(S25,1)), 韻母對照表[十五音識別碼]),0)), "")</f>
        <v>iau</v>
      </c>
      <c r="U25" s="164" t="s">
        <v>149</v>
      </c>
      <c r="V25" s="164" t="s">
        <v>2188</v>
      </c>
      <c r="W25" s="168" t="s">
        <v>147</v>
      </c>
      <c r="X25" s="174">
        <f t="shared" si="0"/>
        <v>3</v>
      </c>
      <c r="Y25" t="str">
        <f t="shared" si="1"/>
        <v xml:space="preserve">      - xform/iau/iaoh/</v>
      </c>
      <c r="Z25"/>
    </row>
    <row r="26" spans="1:26" ht="29.25">
      <c r="A26" s="62">
        <v>28</v>
      </c>
      <c r="B26" s="2" t="s">
        <v>160</v>
      </c>
      <c r="C26" s="2" t="s">
        <v>165</v>
      </c>
      <c r="D26" s="92" t="str" cm="1">
        <f t="array" ref="D26" xml:space="preserve"> INDEX(【韻】韻母對照表!$B$4:$B$89, MATCH(TRUE, EXACT(韻母對照表[[#This Row],[台羅拼音]], 【韻】韻母對照表!$C$4:$C$89), 0))</f>
        <v>ɪɔk̚</v>
      </c>
      <c r="E26" s="15" t="s">
        <v>167</v>
      </c>
      <c r="F26" s="1" t="s">
        <v>167</v>
      </c>
      <c r="G26" s="15" t="s">
        <v>893</v>
      </c>
      <c r="H26" s="1" t="s">
        <v>167</v>
      </c>
      <c r="I26" s="90" t="s">
        <v>167</v>
      </c>
      <c r="J26" s="1" t="s">
        <v>166</v>
      </c>
      <c r="K26" s="1" t="s">
        <v>2240</v>
      </c>
      <c r="L26" s="1" t="s">
        <v>86</v>
      </c>
      <c r="M26" s="1" t="s">
        <v>23</v>
      </c>
      <c r="N26" s="63" t="s">
        <v>168</v>
      </c>
      <c r="P26" s="173">
        <v>25</v>
      </c>
      <c r="Q26" s="165" t="s">
        <v>79</v>
      </c>
      <c r="R26" s="165" t="s">
        <v>154</v>
      </c>
      <c r="S26" s="165" t="s">
        <v>17</v>
      </c>
      <c r="T26" s="164" t="str" cm="1">
        <f t="array" ref="T26">IFERROR( INDEX(韻母對照表[注音二式], MATCH(TRUE, EXACT( _xlfn.CONCAT(R26, LEFT(S26,1)), 韻母對照表[十五音識別碼]),0)), "")</f>
        <v>e</v>
      </c>
      <c r="U26" s="164" t="s">
        <v>60</v>
      </c>
      <c r="V26" s="164" t="s">
        <v>155</v>
      </c>
      <c r="W26" s="166" t="s">
        <v>152</v>
      </c>
      <c r="X26" s="174">
        <f t="shared" si="0"/>
        <v>1</v>
      </c>
      <c r="Y26" t="str">
        <f t="shared" si="1"/>
        <v xml:space="preserve">      - xform/e/e/</v>
      </c>
      <c r="Z26"/>
    </row>
    <row r="27" spans="1:26" ht="29.25">
      <c r="A27" s="62">
        <v>29</v>
      </c>
      <c r="B27" s="2" t="s">
        <v>172</v>
      </c>
      <c r="C27" s="2" t="s">
        <v>170</v>
      </c>
      <c r="D27" s="92" t="str" cm="1">
        <f t="array" ref="D27" xml:space="preserve"> INDEX(【韻】韻母對照表!$B$4:$B$89, MATCH(TRUE, EXACT(韻母對照表[[#This Row],[台羅拼音]], 【韻】韻母對照表!$C$4:$C$89), 0))</f>
        <v>ə</v>
      </c>
      <c r="E27" s="15" t="s">
        <v>171</v>
      </c>
      <c r="F27" s="1" t="s">
        <v>171</v>
      </c>
      <c r="G27" s="15" t="s">
        <v>174</v>
      </c>
      <c r="H27" s="1" t="s">
        <v>171</v>
      </c>
      <c r="I27" s="90" t="s">
        <v>171</v>
      </c>
      <c r="J27" s="1" t="s">
        <v>173</v>
      </c>
      <c r="K27" s="1" t="s">
        <v>173</v>
      </c>
      <c r="L27" s="1" t="s">
        <v>92</v>
      </c>
      <c r="M27" s="1" t="s">
        <v>17</v>
      </c>
      <c r="N27" s="63" t="s">
        <v>175</v>
      </c>
      <c r="P27" s="164">
        <v>26</v>
      </c>
      <c r="Q27" s="165" t="s">
        <v>79</v>
      </c>
      <c r="R27" s="165" t="s">
        <v>154</v>
      </c>
      <c r="S27" s="165" t="s">
        <v>17</v>
      </c>
      <c r="T27" s="164" t="str" cm="1">
        <f t="array" ref="T27">IFERROR( INDEX(韻母對照表[注音二式], MATCH(TRUE, EXACT( _xlfn.CONCAT(R27, LEFT(S27,1)), 韻母對照表[十五音識別碼]),0)), "")</f>
        <v>e</v>
      </c>
      <c r="U27" s="164" t="s">
        <v>1177</v>
      </c>
      <c r="V27" s="164" t="s">
        <v>927</v>
      </c>
      <c r="W27" s="166"/>
      <c r="X27" s="174">
        <f t="shared" si="0"/>
        <v>1</v>
      </c>
      <c r="Y27" t="str">
        <f t="shared" si="1"/>
        <v xml:space="preserve">      - xform/e/eh/</v>
      </c>
      <c r="Z27"/>
    </row>
    <row r="28" spans="1:26" ht="29.25">
      <c r="A28" s="62">
        <v>30</v>
      </c>
      <c r="B28" s="2" t="s">
        <v>172</v>
      </c>
      <c r="C28" s="3" t="s">
        <v>177</v>
      </c>
      <c r="D28" s="92" t="str" cm="1">
        <f t="array" ref="D28" xml:space="preserve"> INDEX(【韻】韻母對照表!$B$4:$B$89, MATCH(TRUE, EXACT(韻母對照表[[#This Row],[台羅拼音]], 【韻】韻母對照表!$C$4:$C$89), 0))</f>
        <v>əʔ</v>
      </c>
      <c r="E28" s="15" t="s">
        <v>178</v>
      </c>
      <c r="F28" s="1" t="s">
        <v>178</v>
      </c>
      <c r="G28" s="15" t="s">
        <v>179</v>
      </c>
      <c r="H28" s="1" t="s">
        <v>178</v>
      </c>
      <c r="I28" s="90" t="s">
        <v>178</v>
      </c>
      <c r="J28" s="1" t="s">
        <v>912</v>
      </c>
      <c r="K28" s="1" t="s">
        <v>2241</v>
      </c>
      <c r="L28" s="1" t="s">
        <v>92</v>
      </c>
      <c r="M28" s="1" t="s">
        <v>23</v>
      </c>
      <c r="N28" s="63" t="s">
        <v>180</v>
      </c>
      <c r="P28" s="173">
        <v>27</v>
      </c>
      <c r="Q28" s="165" t="s">
        <v>86</v>
      </c>
      <c r="R28" s="165" t="s">
        <v>160</v>
      </c>
      <c r="S28" s="165" t="s">
        <v>17</v>
      </c>
      <c r="T28" s="164" t="str" cm="1">
        <f t="array" ref="T28">IFERROR( INDEX(韻母對照表[注音二式], MATCH(TRUE, EXACT( _xlfn.CONCAT(R28, LEFT(S28,1)), 韻母對照表[十五音識別碼]),0)), "")</f>
        <v>iong</v>
      </c>
      <c r="U28" s="164" t="s">
        <v>162</v>
      </c>
      <c r="V28" s="164" t="s">
        <v>161</v>
      </c>
      <c r="W28" s="166" t="s">
        <v>158</v>
      </c>
      <c r="X28" s="174">
        <f t="shared" si="0"/>
        <v>4</v>
      </c>
      <c r="Y28" t="str">
        <f t="shared" si="1"/>
        <v xml:space="preserve">      - xform/iong/iong/</v>
      </c>
      <c r="Z28"/>
    </row>
    <row r="29" spans="1:26" ht="29.25">
      <c r="A29" s="62">
        <v>31</v>
      </c>
      <c r="B29" s="2" t="s">
        <v>184</v>
      </c>
      <c r="C29" s="2" t="s">
        <v>182</v>
      </c>
      <c r="D29" s="92" t="str" cm="1">
        <f t="array" ref="D29" xml:space="preserve"> INDEX(【韻】韻母對照表!$B$4:$B$89, MATCH(TRUE, EXACT(韻母對照表[[#This Row],[台羅拼音]], 【韻】韻母對照表!$C$4:$C$89), 0))</f>
        <v>aɪ</v>
      </c>
      <c r="E29" s="15" t="s">
        <v>183</v>
      </c>
      <c r="F29" s="1" t="s">
        <v>183</v>
      </c>
      <c r="G29" s="1" t="s">
        <v>183</v>
      </c>
      <c r="H29" s="1" t="s">
        <v>183</v>
      </c>
      <c r="I29" s="90" t="s">
        <v>183</v>
      </c>
      <c r="J29" s="1" t="s">
        <v>185</v>
      </c>
      <c r="K29" s="1" t="s">
        <v>185</v>
      </c>
      <c r="L29" s="1" t="s">
        <v>100</v>
      </c>
      <c r="M29" s="1" t="s">
        <v>17</v>
      </c>
      <c r="N29" s="63" t="s">
        <v>186</v>
      </c>
      <c r="P29" s="164">
        <v>28</v>
      </c>
      <c r="Q29" s="165" t="s">
        <v>86</v>
      </c>
      <c r="R29" s="165" t="s">
        <v>160</v>
      </c>
      <c r="S29" s="165" t="s">
        <v>23</v>
      </c>
      <c r="T29" s="164" t="str" cm="1">
        <f t="array" ref="T29">IFERROR( INDEX(韻母對照表[注音二式], MATCH(TRUE, EXACT( _xlfn.CONCAT(R29, LEFT(S29,1)), 韻母對照表[十五音識別碼]),0)), "")</f>
        <v>iook</v>
      </c>
      <c r="U29" s="164" t="s">
        <v>167</v>
      </c>
      <c r="V29" s="164" t="s">
        <v>166</v>
      </c>
      <c r="W29" s="166" t="s">
        <v>165</v>
      </c>
      <c r="X29" s="174">
        <f t="shared" si="0"/>
        <v>4</v>
      </c>
      <c r="Y29" t="str">
        <f t="shared" si="1"/>
        <v xml:space="preserve">      - xform/iook/iok/</v>
      </c>
      <c r="Z29"/>
    </row>
    <row r="30" spans="1:26" ht="29.25">
      <c r="A30" s="62">
        <v>33</v>
      </c>
      <c r="B30" s="2" t="s">
        <v>190</v>
      </c>
      <c r="C30" s="2" t="s">
        <v>188</v>
      </c>
      <c r="D30" s="92" t="str" cm="1">
        <f t="array" ref="D30" xml:space="preserve"> INDEX(【韻】韻母對照表!$B$4:$B$89, MATCH(TRUE, EXACT(韻母對照表[[#This Row],[台羅拼音]], 【韻】韻母對照表!$C$4:$C$89), 0))</f>
        <v>in</v>
      </c>
      <c r="E30" s="15" t="s">
        <v>189</v>
      </c>
      <c r="F30" s="1" t="s">
        <v>189</v>
      </c>
      <c r="G30" s="1" t="s">
        <v>189</v>
      </c>
      <c r="H30" s="1" t="s">
        <v>189</v>
      </c>
      <c r="I30" s="90" t="s">
        <v>189</v>
      </c>
      <c r="J30" s="1" t="s">
        <v>191</v>
      </c>
      <c r="K30" s="1" t="s">
        <v>191</v>
      </c>
      <c r="L30" s="1" t="s">
        <v>104</v>
      </c>
      <c r="M30" s="1" t="s">
        <v>17</v>
      </c>
      <c r="N30" s="63" t="s">
        <v>192</v>
      </c>
      <c r="P30" s="173">
        <v>29</v>
      </c>
      <c r="Q30" s="165" t="s">
        <v>92</v>
      </c>
      <c r="R30" s="165" t="s">
        <v>172</v>
      </c>
      <c r="S30" s="165" t="s">
        <v>17</v>
      </c>
      <c r="T30" s="164" t="str" cm="1">
        <f t="array" ref="T30">IFERROR( INDEX(韻母對照表[注音二式], MATCH(TRUE, EXACT( _xlfn.CONCAT(R30, LEFT(S30,1)), 韻母對照表[十五音識別碼]),0)), "")</f>
        <v>or</v>
      </c>
      <c r="U30" s="164" t="s">
        <v>171</v>
      </c>
      <c r="V30" s="164" t="s">
        <v>173</v>
      </c>
      <c r="W30" s="166" t="s">
        <v>170</v>
      </c>
      <c r="X30" s="174">
        <f t="shared" si="0"/>
        <v>2</v>
      </c>
      <c r="Y30" t="str">
        <f t="shared" si="1"/>
        <v xml:space="preserve">      - xform/or/o/</v>
      </c>
      <c r="Z30"/>
    </row>
    <row r="31" spans="1:26" ht="29.25">
      <c r="A31" s="62">
        <v>34</v>
      </c>
      <c r="B31" s="2" t="s">
        <v>190</v>
      </c>
      <c r="C31" s="2" t="s">
        <v>194</v>
      </c>
      <c r="D31" s="92" t="str" cm="1">
        <f t="array" ref="D31" xml:space="preserve"> INDEX(【韻】韻母對照表!$B$4:$B$89, MATCH(TRUE, EXACT(韻母對照表[[#This Row],[台羅拼音]], 【韻】韻母對照表!$C$4:$C$89), 0))</f>
        <v>it̚</v>
      </c>
      <c r="E31" s="15" t="s">
        <v>197</v>
      </c>
      <c r="F31" s="1" t="s">
        <v>197</v>
      </c>
      <c r="G31" s="1" t="s">
        <v>197</v>
      </c>
      <c r="H31" s="1" t="s">
        <v>197</v>
      </c>
      <c r="I31" s="90" t="s">
        <v>197</v>
      </c>
      <c r="J31" s="1" t="s">
        <v>196</v>
      </c>
      <c r="K31" s="1" t="s">
        <v>2242</v>
      </c>
      <c r="L31" s="1" t="s">
        <v>104</v>
      </c>
      <c r="M31" s="1" t="s">
        <v>23</v>
      </c>
      <c r="N31" s="63" t="s">
        <v>198</v>
      </c>
      <c r="P31" s="164">
        <v>30</v>
      </c>
      <c r="Q31" s="165" t="s">
        <v>92</v>
      </c>
      <c r="R31" s="165" t="s">
        <v>172</v>
      </c>
      <c r="S31" s="165" t="s">
        <v>17</v>
      </c>
      <c r="T31" s="164" t="str" cm="1">
        <f t="array" ref="T31">IFERROR( INDEX(韻母對照表[注音二式], MATCH(TRUE, EXACT( _xlfn.CONCAT(R31, LEFT(S31,1)), 韻母對照表[十五音識別碼]),0)), "")</f>
        <v>or</v>
      </c>
      <c r="U31" s="164" t="s">
        <v>178</v>
      </c>
      <c r="V31" s="164" t="s">
        <v>2191</v>
      </c>
      <c r="W31" s="167" t="s">
        <v>177</v>
      </c>
      <c r="X31" s="174">
        <f t="shared" si="0"/>
        <v>2</v>
      </c>
      <c r="Y31" t="str">
        <f t="shared" si="1"/>
        <v xml:space="preserve">      - xform/or/oh/</v>
      </c>
      <c r="Z31"/>
    </row>
    <row r="32" spans="1:26" ht="29.25">
      <c r="A32" s="62">
        <v>35</v>
      </c>
      <c r="B32" s="4" t="s">
        <v>202</v>
      </c>
      <c r="C32" s="4" t="s">
        <v>200</v>
      </c>
      <c r="D32" s="92" t="str" cm="1">
        <f t="array" ref="D32" xml:space="preserve"> INDEX(【韻】韻母對照表!$B$4:$B$89, MATCH(TRUE, EXACT(韻母對照表[[#This Row],[台羅拼音]], 【韻】韻母對照表!$C$4:$C$89), 0))</f>
        <v>ɪaŋ</v>
      </c>
      <c r="E32" s="15" t="s">
        <v>203</v>
      </c>
      <c r="F32" s="1" t="s">
        <v>203</v>
      </c>
      <c r="G32" s="1" t="s">
        <v>203</v>
      </c>
      <c r="H32" s="1" t="s">
        <v>203</v>
      </c>
      <c r="I32" s="90" t="s">
        <v>203</v>
      </c>
      <c r="J32" s="1" t="s">
        <v>913</v>
      </c>
      <c r="K32" s="1" t="s">
        <v>2186</v>
      </c>
      <c r="L32" s="1" t="s">
        <v>112</v>
      </c>
      <c r="M32" s="1" t="s">
        <v>17</v>
      </c>
      <c r="N32" s="63" t="s">
        <v>204</v>
      </c>
      <c r="P32" s="173">
        <v>31</v>
      </c>
      <c r="Q32" s="165" t="s">
        <v>100</v>
      </c>
      <c r="R32" s="165" t="s">
        <v>184</v>
      </c>
      <c r="S32" s="165" t="s">
        <v>17</v>
      </c>
      <c r="T32" s="164" t="str" cm="1">
        <f t="array" ref="T32">IFERROR( INDEX(韻母對照表[注音二式], MATCH(TRUE, EXACT( _xlfn.CONCAT(R32, LEFT(S32,1)), 韻母對照表[十五音識別碼]),0)), "")</f>
        <v>ai</v>
      </c>
      <c r="U32" s="164" t="s">
        <v>183</v>
      </c>
      <c r="V32" s="164" t="s">
        <v>185</v>
      </c>
      <c r="W32" s="166" t="s">
        <v>182</v>
      </c>
      <c r="X32" s="174">
        <f t="shared" si="0"/>
        <v>2</v>
      </c>
      <c r="Y32" t="str">
        <f t="shared" si="1"/>
        <v xml:space="preserve">      - xform/ai/ai/</v>
      </c>
      <c r="Z32"/>
    </row>
    <row r="33" spans="1:26" ht="29.25">
      <c r="A33" s="62">
        <v>36</v>
      </c>
      <c r="B33" s="4" t="s">
        <v>202</v>
      </c>
      <c r="C33" s="3" t="s">
        <v>206</v>
      </c>
      <c r="D33" s="92" t="str" cm="1">
        <f t="array" ref="D33" xml:space="preserve"> INDEX(【韻】韻母對照表!$B$4:$B$89, MATCH(TRUE, EXACT(韻母對照表[[#This Row],[台羅拼音]], 【韻】韻母對照表!$C$4:$C$89), 0))</f>
        <v>ɪak̚</v>
      </c>
      <c r="E33" s="15" t="s">
        <v>207</v>
      </c>
      <c r="F33" s="1" t="s">
        <v>207</v>
      </c>
      <c r="G33" s="1" t="s">
        <v>207</v>
      </c>
      <c r="H33" s="1" t="s">
        <v>207</v>
      </c>
      <c r="I33" s="90" t="s">
        <v>207</v>
      </c>
      <c r="J33" s="1" t="s">
        <v>914</v>
      </c>
      <c r="K33" s="1" t="s">
        <v>2243</v>
      </c>
      <c r="L33" s="1" t="s">
        <v>112</v>
      </c>
      <c r="M33" s="1" t="s">
        <v>23</v>
      </c>
      <c r="N33" s="63" t="s">
        <v>208</v>
      </c>
      <c r="P33" s="164">
        <v>32</v>
      </c>
      <c r="Q33" s="165" t="s">
        <v>100</v>
      </c>
      <c r="R33" s="165" t="s">
        <v>184</v>
      </c>
      <c r="S33" s="165" t="s">
        <v>17</v>
      </c>
      <c r="T33" s="164" t="str" cm="1">
        <f t="array" ref="T33">IFERROR( INDEX(韻母對照表[注音二式], MATCH(TRUE, EXACT( _xlfn.CONCAT(R33, LEFT(S33,1)), 韻母對照表[十五音識別碼]),0)), "")</f>
        <v>ai</v>
      </c>
      <c r="U33" s="164" t="s">
        <v>2155</v>
      </c>
      <c r="V33" s="164" t="str">
        <f xml:space="preserve"> _xlfn.CONCAT(V32, "ㆷ")</f>
        <v>ㄞㆷ</v>
      </c>
      <c r="W33" s="166"/>
      <c r="X33" s="174">
        <f t="shared" si="0"/>
        <v>2</v>
      </c>
      <c r="Y33" t="str">
        <f t="shared" si="1"/>
        <v xml:space="preserve">      - xform/ai/aih/</v>
      </c>
      <c r="Z33"/>
    </row>
    <row r="34" spans="1:26" ht="29.25">
      <c r="A34" s="62">
        <v>37</v>
      </c>
      <c r="B34" s="2" t="s">
        <v>212</v>
      </c>
      <c r="C34" s="2" t="s">
        <v>210</v>
      </c>
      <c r="D34" s="92" t="str" cm="1">
        <f t="array" ref="D34" xml:space="preserve"> INDEX(【韻】韻母對照表!$B$4:$B$89, MATCH(TRUE, EXACT(韻母對照表[[#This Row],[台羅拼音]], 【韻】韻母對照表!$C$4:$C$89), 0))</f>
        <v>am</v>
      </c>
      <c r="E34" s="15" t="s">
        <v>211</v>
      </c>
      <c r="F34" s="1" t="s">
        <v>211</v>
      </c>
      <c r="G34" s="1" t="s">
        <v>211</v>
      </c>
      <c r="H34" s="1" t="s">
        <v>211</v>
      </c>
      <c r="I34" s="90" t="s">
        <v>211</v>
      </c>
      <c r="J34" s="1" t="s">
        <v>213</v>
      </c>
      <c r="K34" s="1" t="s">
        <v>2244</v>
      </c>
      <c r="L34" s="1" t="s">
        <v>118</v>
      </c>
      <c r="M34" s="1" t="s">
        <v>17</v>
      </c>
      <c r="N34" s="63" t="s">
        <v>214</v>
      </c>
      <c r="P34" s="173">
        <v>33</v>
      </c>
      <c r="Q34" s="165" t="s">
        <v>104</v>
      </c>
      <c r="R34" s="165" t="s">
        <v>190</v>
      </c>
      <c r="S34" s="165" t="s">
        <v>17</v>
      </c>
      <c r="T34" s="164" t="str" cm="1">
        <f t="array" ref="T34">IFERROR( INDEX(韻母對照表[注音二式], MATCH(TRUE, EXACT( _xlfn.CONCAT(R34, LEFT(S34,1)), 韻母對照表[十五音識別碼]),0)), "")</f>
        <v>in</v>
      </c>
      <c r="U34" s="164" t="s">
        <v>189</v>
      </c>
      <c r="V34" s="164" t="s">
        <v>191</v>
      </c>
      <c r="W34" s="166" t="s">
        <v>188</v>
      </c>
      <c r="X34" s="174">
        <f t="shared" si="0"/>
        <v>2</v>
      </c>
      <c r="Y34" t="str">
        <f t="shared" si="1"/>
        <v xml:space="preserve">      - xform/in/in/</v>
      </c>
      <c r="Z34"/>
    </row>
    <row r="35" spans="1:26" ht="29.25">
      <c r="A35" s="62">
        <v>38</v>
      </c>
      <c r="B35" s="2" t="s">
        <v>212</v>
      </c>
      <c r="C35" s="2" t="s">
        <v>216</v>
      </c>
      <c r="D35" s="92" t="str" cm="1">
        <f t="array" ref="D35" xml:space="preserve"> INDEX(【韻】韻母對照表!$B$4:$B$89, MATCH(TRUE, EXACT(韻母對照表[[#This Row],[台羅拼音]], 【韻】韻母對照表!$C$4:$C$89), 0))</f>
        <v>ap̚</v>
      </c>
      <c r="E35" s="15" t="s">
        <v>219</v>
      </c>
      <c r="F35" s="1" t="s">
        <v>219</v>
      </c>
      <c r="G35" s="1" t="s">
        <v>219</v>
      </c>
      <c r="H35" s="1" t="s">
        <v>219</v>
      </c>
      <c r="I35" s="90" t="s">
        <v>219</v>
      </c>
      <c r="J35" s="1" t="s">
        <v>218</v>
      </c>
      <c r="K35" s="1" t="s">
        <v>2245</v>
      </c>
      <c r="L35" s="1" t="s">
        <v>118</v>
      </c>
      <c r="M35" s="1" t="s">
        <v>23</v>
      </c>
      <c r="N35" s="63" t="s">
        <v>220</v>
      </c>
      <c r="P35" s="164">
        <v>34</v>
      </c>
      <c r="Q35" s="165" t="s">
        <v>104</v>
      </c>
      <c r="R35" s="165" t="s">
        <v>190</v>
      </c>
      <c r="S35" s="165" t="s">
        <v>23</v>
      </c>
      <c r="T35" s="164" t="str" cm="1">
        <f t="array" ref="T35">IFERROR( INDEX(韻母對照表[注音二式], MATCH(TRUE, EXACT( _xlfn.CONCAT(R35, LEFT(S35,1)), 韻母對照表[十五音識別碼]),0)), "")</f>
        <v>it</v>
      </c>
      <c r="U35" s="164" t="s">
        <v>197</v>
      </c>
      <c r="V35" s="164" t="s">
        <v>196</v>
      </c>
      <c r="W35" s="166" t="s">
        <v>194</v>
      </c>
      <c r="X35" s="174">
        <f t="shared" si="0"/>
        <v>2</v>
      </c>
      <c r="Y35" t="str">
        <f t="shared" si="1"/>
        <v xml:space="preserve">      - xform/it/it/</v>
      </c>
      <c r="Z35"/>
    </row>
    <row r="36" spans="1:26" ht="29.25">
      <c r="A36" s="62">
        <v>39</v>
      </c>
      <c r="B36" s="2" t="s">
        <v>224</v>
      </c>
      <c r="C36" s="2" t="s">
        <v>222</v>
      </c>
      <c r="D36" s="92" t="str" cm="1">
        <f t="array" ref="D36" xml:space="preserve"> INDEX(【韻】韻母對照表!$B$4:$B$89, MATCH(TRUE, EXACT(韻母對照表[[#This Row],[台羅拼音]], 【韻】韻母對照表!$C$4:$C$89), 0))</f>
        <v>ua</v>
      </c>
      <c r="E36" s="15" t="s">
        <v>223</v>
      </c>
      <c r="F36" s="1" t="s">
        <v>223</v>
      </c>
      <c r="G36" s="1" t="s">
        <v>223</v>
      </c>
      <c r="H36" s="1" t="s">
        <v>223</v>
      </c>
      <c r="I36" s="95" t="s">
        <v>226</v>
      </c>
      <c r="J36" s="1" t="s">
        <v>225</v>
      </c>
      <c r="K36" s="1" t="s">
        <v>225</v>
      </c>
      <c r="L36" s="1" t="s">
        <v>125</v>
      </c>
      <c r="M36" s="1" t="s">
        <v>17</v>
      </c>
      <c r="N36" s="63" t="s">
        <v>227</v>
      </c>
      <c r="P36" s="173">
        <v>35</v>
      </c>
      <c r="Q36" s="165" t="s">
        <v>112</v>
      </c>
      <c r="R36" s="165" t="s">
        <v>202</v>
      </c>
      <c r="S36" s="165" t="s">
        <v>17</v>
      </c>
      <c r="T36" s="164" t="str" cm="1">
        <f t="array" ref="T36">IFERROR( INDEX(韻母對照表[注音二式], MATCH(TRUE, EXACT( _xlfn.CONCAT(R36, LEFT(S36,1)), 韻母對照表[十五音識別碼]),0)), "")</f>
        <v>iang</v>
      </c>
      <c r="U36" s="164" t="s">
        <v>203</v>
      </c>
      <c r="V36" s="164" t="s">
        <v>2186</v>
      </c>
      <c r="W36" s="168" t="s">
        <v>200</v>
      </c>
      <c r="X36" s="174">
        <f t="shared" si="0"/>
        <v>4</v>
      </c>
      <c r="Y36" t="str">
        <f t="shared" si="1"/>
        <v xml:space="preserve">      - xform/iang/iang/</v>
      </c>
      <c r="Z36"/>
    </row>
    <row r="37" spans="1:26" ht="29.25">
      <c r="A37" s="62">
        <v>40</v>
      </c>
      <c r="B37" s="2" t="s">
        <v>224</v>
      </c>
      <c r="C37" s="2" t="s">
        <v>229</v>
      </c>
      <c r="D37" s="92" t="str" cm="1">
        <f t="array" ref="D37" xml:space="preserve"> INDEX(【韻】韻母對照表!$B$4:$B$89, MATCH(TRUE, EXACT(韻母對照表[[#This Row],[台羅拼音]], 【韻】韻母對照表!$C$4:$C$89), 0))</f>
        <v>uaʔ</v>
      </c>
      <c r="E37" s="15" t="s">
        <v>230</v>
      </c>
      <c r="F37" s="1" t="s">
        <v>230</v>
      </c>
      <c r="G37" s="1" t="s">
        <v>230</v>
      </c>
      <c r="H37" s="1" t="s">
        <v>230</v>
      </c>
      <c r="I37" s="95" t="s">
        <v>231</v>
      </c>
      <c r="J37" s="1" t="s">
        <v>915</v>
      </c>
      <c r="K37" s="1" t="s">
        <v>2246</v>
      </c>
      <c r="L37" s="1" t="s">
        <v>125</v>
      </c>
      <c r="M37" s="1" t="s">
        <v>23</v>
      </c>
      <c r="N37" s="63" t="s">
        <v>232</v>
      </c>
      <c r="P37" s="164">
        <v>36</v>
      </c>
      <c r="Q37" s="165" t="s">
        <v>112</v>
      </c>
      <c r="R37" s="165" t="s">
        <v>202</v>
      </c>
      <c r="S37" s="165" t="s">
        <v>23</v>
      </c>
      <c r="T37" s="164" t="str" cm="1">
        <f t="array" ref="T37">IFERROR( INDEX(韻母對照表[注音二式], MATCH(TRUE, EXACT( _xlfn.CONCAT(R37, LEFT(S37,1)), 韻母對照表[十五音識別碼]),0)), "")</f>
        <v>iak</v>
      </c>
      <c r="U37" s="164" t="s">
        <v>207</v>
      </c>
      <c r="V37" s="164" t="s">
        <v>2187</v>
      </c>
      <c r="W37" s="167" t="s">
        <v>206</v>
      </c>
      <c r="X37" s="174">
        <f t="shared" si="0"/>
        <v>3</v>
      </c>
      <c r="Y37" t="str">
        <f t="shared" si="1"/>
        <v xml:space="preserve">      - xform/iak/iak/</v>
      </c>
      <c r="Z37"/>
    </row>
    <row r="38" spans="1:26" ht="29.25">
      <c r="A38" s="62">
        <v>41</v>
      </c>
      <c r="B38" s="2" t="s">
        <v>236</v>
      </c>
      <c r="C38" s="2" t="s">
        <v>234</v>
      </c>
      <c r="D38" s="92" t="str" cm="1">
        <f t="array" ref="D38" xml:space="preserve"> INDEX(【韻】韻母對照表!$B$4:$B$89, MATCH(TRUE, EXACT(韻母對照表[[#This Row],[台羅拼音]], 【韻】韻母對照表!$C$4:$C$89), 0))</f>
        <v>aŋ</v>
      </c>
      <c r="E38" s="15" t="s">
        <v>237</v>
      </c>
      <c r="F38" s="1" t="s">
        <v>237</v>
      </c>
      <c r="G38" s="1" t="s">
        <v>237</v>
      </c>
      <c r="H38" s="1" t="s">
        <v>237</v>
      </c>
      <c r="I38" s="90" t="s">
        <v>237</v>
      </c>
      <c r="J38" s="1" t="s">
        <v>916</v>
      </c>
      <c r="K38" s="1" t="s">
        <v>2179</v>
      </c>
      <c r="L38" s="1" t="s">
        <v>132</v>
      </c>
      <c r="M38" s="1" t="s">
        <v>17</v>
      </c>
      <c r="N38" s="63" t="s">
        <v>238</v>
      </c>
      <c r="P38" s="173">
        <v>37</v>
      </c>
      <c r="Q38" s="165" t="s">
        <v>118</v>
      </c>
      <c r="R38" s="165" t="s">
        <v>212</v>
      </c>
      <c r="S38" s="165" t="s">
        <v>17</v>
      </c>
      <c r="T38" s="164" t="str" cm="1">
        <f t="array" ref="T38">IFERROR( INDEX(韻母對照表[注音二式], MATCH(TRUE, EXACT( _xlfn.CONCAT(R38, LEFT(S38,1)), 韻母對照表[十五音識別碼]),0)), "")</f>
        <v>am</v>
      </c>
      <c r="U38" s="164" t="s">
        <v>211</v>
      </c>
      <c r="V38" s="164" t="s">
        <v>213</v>
      </c>
      <c r="W38" s="166" t="s">
        <v>210</v>
      </c>
      <c r="X38" s="174">
        <f t="shared" si="0"/>
        <v>2</v>
      </c>
      <c r="Y38" t="str">
        <f t="shared" si="1"/>
        <v xml:space="preserve">      - xform/am/am/</v>
      </c>
      <c r="Z38"/>
    </row>
    <row r="39" spans="1:26" ht="29.25">
      <c r="A39" s="62">
        <v>42</v>
      </c>
      <c r="B39" s="2" t="s">
        <v>236</v>
      </c>
      <c r="C39" s="2" t="s">
        <v>240</v>
      </c>
      <c r="D39" s="92" t="str" cm="1">
        <f t="array" ref="D39" xml:space="preserve"> INDEX(【韻】韻母對照表!$B$4:$B$89, MATCH(TRUE, EXACT(韻母對照表[[#This Row],[台羅拼音]], 【韻】韻母對照表!$C$4:$C$89), 0))</f>
        <v>ak̚</v>
      </c>
      <c r="E39" s="15" t="s">
        <v>243</v>
      </c>
      <c r="F39" s="1" t="s">
        <v>243</v>
      </c>
      <c r="G39" s="1" t="s">
        <v>243</v>
      </c>
      <c r="H39" s="1" t="s">
        <v>243</v>
      </c>
      <c r="I39" s="90" t="s">
        <v>243</v>
      </c>
      <c r="J39" s="1" t="s">
        <v>242</v>
      </c>
      <c r="K39" s="1" t="s">
        <v>2247</v>
      </c>
      <c r="L39" s="1" t="s">
        <v>132</v>
      </c>
      <c r="M39" s="1" t="s">
        <v>23</v>
      </c>
      <c r="N39" s="63" t="s">
        <v>244</v>
      </c>
      <c r="P39" s="164">
        <v>38</v>
      </c>
      <c r="Q39" s="165" t="s">
        <v>118</v>
      </c>
      <c r="R39" s="165" t="s">
        <v>212</v>
      </c>
      <c r="S39" s="165" t="s">
        <v>23</v>
      </c>
      <c r="T39" s="164" t="str" cm="1">
        <f t="array" ref="T39">IFERROR( INDEX(韻母對照表[注音二式], MATCH(TRUE, EXACT( _xlfn.CONCAT(R39, LEFT(S39,1)), 韻母對照表[十五音識別碼]),0)), "")</f>
        <v>ap</v>
      </c>
      <c r="U39" s="164" t="s">
        <v>219</v>
      </c>
      <c r="V39" s="164" t="s">
        <v>218</v>
      </c>
      <c r="W39" s="166" t="s">
        <v>216</v>
      </c>
      <c r="X39" s="174">
        <f t="shared" si="0"/>
        <v>2</v>
      </c>
      <c r="Y39" t="str">
        <f t="shared" si="1"/>
        <v xml:space="preserve">      - xform/ap/ap/</v>
      </c>
      <c r="Z39"/>
    </row>
    <row r="40" spans="1:26" ht="29.25">
      <c r="A40" s="62">
        <v>43</v>
      </c>
      <c r="B40" s="2" t="s">
        <v>248</v>
      </c>
      <c r="C40" s="2" t="s">
        <v>246</v>
      </c>
      <c r="D40" s="92" t="str" cm="1">
        <f t="array" ref="D40" xml:space="preserve"> INDEX(【韻】韻母對照表!$B$4:$B$89, MATCH(TRUE, EXACT(韻母對照表[[#This Row],[台羅拼音]], 【韻】韻母對照表!$C$4:$C$89), 0))</f>
        <v>ɪam</v>
      </c>
      <c r="E40" s="15" t="s">
        <v>247</v>
      </c>
      <c r="F40" s="1" t="s">
        <v>247</v>
      </c>
      <c r="G40" s="1" t="s">
        <v>247</v>
      </c>
      <c r="H40" s="1" t="s">
        <v>247</v>
      </c>
      <c r="I40" s="90" t="s">
        <v>247</v>
      </c>
      <c r="J40" s="1" t="s">
        <v>249</v>
      </c>
      <c r="K40" s="1" t="s">
        <v>2248</v>
      </c>
      <c r="L40" s="1" t="s">
        <v>251</v>
      </c>
      <c r="M40" s="1" t="s">
        <v>17</v>
      </c>
      <c r="N40" s="63" t="s">
        <v>250</v>
      </c>
      <c r="P40" s="173">
        <v>39</v>
      </c>
      <c r="Q40" s="165" t="s">
        <v>125</v>
      </c>
      <c r="R40" s="165" t="s">
        <v>224</v>
      </c>
      <c r="S40" s="165" t="s">
        <v>17</v>
      </c>
      <c r="T40" s="164" t="str" cm="1">
        <f t="array" ref="T40">IFERROR( INDEX(韻母對照表[注音二式], MATCH(TRUE, EXACT( _xlfn.CONCAT(R40, LEFT(S40,1)), 韻母對照表[十五音識別碼]),0)), "")</f>
        <v>ua</v>
      </c>
      <c r="U40" s="164" t="s">
        <v>223</v>
      </c>
      <c r="V40" s="164" t="s">
        <v>225</v>
      </c>
      <c r="W40" s="166" t="s">
        <v>222</v>
      </c>
      <c r="X40" s="174">
        <f t="shared" si="0"/>
        <v>2</v>
      </c>
      <c r="Y40" t="str">
        <f t="shared" si="1"/>
        <v xml:space="preserve">      - xform/ua/ua/</v>
      </c>
      <c r="Z40"/>
    </row>
    <row r="41" spans="1:26" ht="29.25">
      <c r="A41" s="62">
        <v>44</v>
      </c>
      <c r="B41" s="2" t="s">
        <v>248</v>
      </c>
      <c r="C41" s="2" t="s">
        <v>253</v>
      </c>
      <c r="D41" s="92" t="str" cm="1">
        <f t="array" ref="D41" xml:space="preserve"> INDEX(【韻】韻母對照表!$B$4:$B$89, MATCH(TRUE, EXACT(韻母對照表[[#This Row],[台羅拼音]], 【韻】韻母對照表!$C$4:$C$89), 0))</f>
        <v>ɪap̚</v>
      </c>
      <c r="E41" s="15" t="s">
        <v>256</v>
      </c>
      <c r="F41" s="1" t="s">
        <v>256</v>
      </c>
      <c r="G41" s="1" t="s">
        <v>256</v>
      </c>
      <c r="H41" s="1" t="s">
        <v>256</v>
      </c>
      <c r="I41" s="90" t="s">
        <v>256</v>
      </c>
      <c r="J41" s="1" t="s">
        <v>255</v>
      </c>
      <c r="K41" s="1" t="s">
        <v>2249</v>
      </c>
      <c r="L41" s="1" t="s">
        <v>251</v>
      </c>
      <c r="M41" s="1" t="s">
        <v>23</v>
      </c>
      <c r="N41" s="63" t="s">
        <v>257</v>
      </c>
      <c r="P41" s="164">
        <v>40</v>
      </c>
      <c r="Q41" s="165" t="s">
        <v>125</v>
      </c>
      <c r="R41" s="165" t="s">
        <v>224</v>
      </c>
      <c r="S41" s="165" t="s">
        <v>23</v>
      </c>
      <c r="T41" s="164" t="str" cm="1">
        <f t="array" ref="T41">IFERROR( INDEX(韻母對照表[注音二式], MATCH(TRUE, EXACT( _xlfn.CONCAT(R41, LEFT(S41,1)), 韻母對照表[十五音識別碼]),0)), "")</f>
        <v>uah</v>
      </c>
      <c r="U41" s="164" t="s">
        <v>230</v>
      </c>
      <c r="V41" s="164" t="s">
        <v>2194</v>
      </c>
      <c r="W41" s="166" t="s">
        <v>229</v>
      </c>
      <c r="X41" s="174">
        <f t="shared" si="0"/>
        <v>3</v>
      </c>
      <c r="Y41" t="str">
        <f t="shared" si="1"/>
        <v xml:space="preserve">      - xform/uah/uah/</v>
      </c>
      <c r="Z41"/>
    </row>
    <row r="42" spans="1:26" ht="29.25">
      <c r="A42" s="62">
        <v>45</v>
      </c>
      <c r="B42" s="2" t="s">
        <v>261</v>
      </c>
      <c r="C42" s="2" t="s">
        <v>259</v>
      </c>
      <c r="D42" s="92" t="str" cm="1">
        <f t="array" ref="D42" xml:space="preserve"> INDEX(【韻】韻母對照表!$B$4:$B$89, MATCH(TRUE, EXACT(韻母對照表[[#This Row],[台羅拼音]], 【韻】韻母對照表!$C$4:$C$89), 0))</f>
        <v>aʊ</v>
      </c>
      <c r="E42" s="15" t="s">
        <v>260</v>
      </c>
      <c r="F42" s="1" t="s">
        <v>260</v>
      </c>
      <c r="G42" s="1" t="s">
        <v>260</v>
      </c>
      <c r="H42" s="15" t="s">
        <v>263</v>
      </c>
      <c r="I42" s="90" t="s">
        <v>260</v>
      </c>
      <c r="J42" s="1" t="s">
        <v>262</v>
      </c>
      <c r="K42" s="1" t="s">
        <v>262</v>
      </c>
      <c r="L42" s="1" t="s">
        <v>139</v>
      </c>
      <c r="M42" s="1" t="s">
        <v>17</v>
      </c>
      <c r="N42" s="63" t="s">
        <v>264</v>
      </c>
      <c r="P42" s="173">
        <v>41</v>
      </c>
      <c r="Q42" s="165" t="s">
        <v>132</v>
      </c>
      <c r="R42" s="165" t="s">
        <v>236</v>
      </c>
      <c r="S42" s="165" t="s">
        <v>17</v>
      </c>
      <c r="T42" s="164" t="str" cm="1">
        <f t="array" ref="T42">IFERROR( INDEX(韻母對照表[注音二式], MATCH(TRUE, EXACT( _xlfn.CONCAT(R42, LEFT(S42,1)), 韻母對照表[十五音識別碼]),0)), "")</f>
        <v>ang</v>
      </c>
      <c r="U42" s="164" t="s">
        <v>237</v>
      </c>
      <c r="V42" s="164" t="s">
        <v>2179</v>
      </c>
      <c r="W42" s="166" t="s">
        <v>234</v>
      </c>
      <c r="X42" s="174">
        <f t="shared" si="0"/>
        <v>3</v>
      </c>
      <c r="Y42" t="str">
        <f t="shared" si="1"/>
        <v xml:space="preserve">      - xform/ang/ang/</v>
      </c>
      <c r="Z42"/>
    </row>
    <row r="43" spans="1:26" ht="29.25">
      <c r="A43" s="62">
        <v>46</v>
      </c>
      <c r="B43" s="2" t="s">
        <v>261</v>
      </c>
      <c r="C43" s="5" t="s">
        <v>266</v>
      </c>
      <c r="D43" s="92" t="str" cm="1">
        <f t="array" ref="D43" xml:space="preserve"> INDEX(【韻】韻母對照表!$B$4:$B$89, MATCH(TRUE, EXACT(韻母對照表[[#This Row],[台羅拼音]], 【韻】韻母對照表!$C$4:$C$89), 0))</f>
        <v>auʔ</v>
      </c>
      <c r="E43" s="15" t="s">
        <v>267</v>
      </c>
      <c r="F43" s="1" t="s">
        <v>267</v>
      </c>
      <c r="G43" s="1" t="s">
        <v>267</v>
      </c>
      <c r="H43" s="15" t="s">
        <v>268</v>
      </c>
      <c r="I43" s="90" t="s">
        <v>267</v>
      </c>
      <c r="J43" s="1" t="s">
        <v>917</v>
      </c>
      <c r="K43" s="1" t="s">
        <v>2250</v>
      </c>
      <c r="L43" s="1" t="s">
        <v>139</v>
      </c>
      <c r="M43" s="1" t="s">
        <v>23</v>
      </c>
      <c r="N43" s="63" t="s">
        <v>269</v>
      </c>
      <c r="P43" s="164">
        <v>42</v>
      </c>
      <c r="Q43" s="165" t="s">
        <v>132</v>
      </c>
      <c r="R43" s="165" t="s">
        <v>236</v>
      </c>
      <c r="S43" s="165" t="s">
        <v>23</v>
      </c>
      <c r="T43" s="164" t="str" cm="1">
        <f t="array" ref="T43">IFERROR( INDEX(韻母對照表[注音二式], MATCH(TRUE, EXACT( _xlfn.CONCAT(R43, LEFT(S43,1)), 韻母對照表[十五音識別碼]),0)), "")</f>
        <v>ak</v>
      </c>
      <c r="U43" s="164" t="s">
        <v>243</v>
      </c>
      <c r="V43" s="164" t="s">
        <v>242</v>
      </c>
      <c r="W43" s="166" t="s">
        <v>240</v>
      </c>
      <c r="X43" s="174">
        <f t="shared" si="0"/>
        <v>2</v>
      </c>
      <c r="Y43" t="str">
        <f t="shared" si="1"/>
        <v xml:space="preserve">      - xform/ak/ak/</v>
      </c>
      <c r="Z43"/>
    </row>
    <row r="44" spans="1:26" ht="29.25">
      <c r="A44" s="62">
        <v>47</v>
      </c>
      <c r="B44" s="3" t="s">
        <v>273</v>
      </c>
      <c r="C44" s="2" t="s">
        <v>271</v>
      </c>
      <c r="D44" s="92" t="str" cm="1">
        <f t="array" ref="D44" xml:space="preserve"> INDEX(【韻】韻母對照表!$B$4:$B$89, MATCH(TRUE, EXACT(韻母對照表[[#This Row],[台羅拼音]], 【韻】韻母對照表!$C$4:$C$89), 0))</f>
        <v>ɪa</v>
      </c>
      <c r="E44" s="15" t="s">
        <v>272</v>
      </c>
      <c r="F44" s="1" t="s">
        <v>272</v>
      </c>
      <c r="G44" s="1" t="s">
        <v>272</v>
      </c>
      <c r="H44" s="1" t="s">
        <v>272</v>
      </c>
      <c r="I44" s="90" t="s">
        <v>272</v>
      </c>
      <c r="J44" s="1" t="s">
        <v>274</v>
      </c>
      <c r="K44" s="1" t="s">
        <v>274</v>
      </c>
      <c r="L44" s="1" t="s">
        <v>146</v>
      </c>
      <c r="M44" s="1" t="s">
        <v>17</v>
      </c>
      <c r="N44" s="63" t="s">
        <v>275</v>
      </c>
      <c r="P44" s="173">
        <v>43</v>
      </c>
      <c r="Q44" s="165" t="s">
        <v>251</v>
      </c>
      <c r="R44" s="165" t="s">
        <v>248</v>
      </c>
      <c r="S44" s="165" t="s">
        <v>17</v>
      </c>
      <c r="T44" s="164" t="str" cm="1">
        <f t="array" ref="T44">IFERROR( INDEX(韻母對照表[注音二式], MATCH(TRUE, EXACT( _xlfn.CONCAT(R44, LEFT(S44,1)), 韻母對照表[十五音識別碼]),0)), "")</f>
        <v>iam</v>
      </c>
      <c r="U44" s="164" t="s">
        <v>247</v>
      </c>
      <c r="V44" s="164" t="s">
        <v>249</v>
      </c>
      <c r="W44" s="166" t="s">
        <v>246</v>
      </c>
      <c r="X44" s="174">
        <f t="shared" si="0"/>
        <v>3</v>
      </c>
      <c r="Y44" t="str">
        <f t="shared" si="1"/>
        <v xml:space="preserve">      - xform/iam/iam/</v>
      </c>
      <c r="Z44"/>
    </row>
    <row r="45" spans="1:26" ht="29.25">
      <c r="A45" s="62">
        <v>48</v>
      </c>
      <c r="B45" s="3" t="s">
        <v>273</v>
      </c>
      <c r="C45" s="2" t="s">
        <v>277</v>
      </c>
      <c r="D45" s="92" t="str" cm="1">
        <f t="array" ref="D45" xml:space="preserve"> INDEX(【韻】韻母對照表!$B$4:$B$89, MATCH(TRUE, EXACT(韻母對照表[[#This Row],[台羅拼音]], 【韻】韻母對照表!$C$4:$C$89), 0))</f>
        <v>ɪaʔ</v>
      </c>
      <c r="E45" s="15" t="s">
        <v>278</v>
      </c>
      <c r="F45" s="1" t="s">
        <v>278</v>
      </c>
      <c r="G45" s="1" t="s">
        <v>278</v>
      </c>
      <c r="H45" s="1" t="s">
        <v>278</v>
      </c>
      <c r="I45" s="90" t="s">
        <v>278</v>
      </c>
      <c r="J45" s="1" t="s">
        <v>918</v>
      </c>
      <c r="K45" s="1" t="s">
        <v>2251</v>
      </c>
      <c r="L45" s="1" t="s">
        <v>146</v>
      </c>
      <c r="M45" s="1" t="s">
        <v>23</v>
      </c>
      <c r="N45" s="63" t="s">
        <v>279</v>
      </c>
      <c r="P45" s="164">
        <v>44</v>
      </c>
      <c r="Q45" s="165" t="s">
        <v>251</v>
      </c>
      <c r="R45" s="165" t="s">
        <v>248</v>
      </c>
      <c r="S45" s="165" t="s">
        <v>23</v>
      </c>
      <c r="T45" s="164" t="str" cm="1">
        <f t="array" ref="T45">IFERROR( INDEX(韻母對照表[注音二式], MATCH(TRUE, EXACT( _xlfn.CONCAT(R45, LEFT(S45,1)), 韻母對照表[十五音識別碼]),0)), "")</f>
        <v>iap</v>
      </c>
      <c r="U45" s="164" t="s">
        <v>256</v>
      </c>
      <c r="V45" s="164" t="s">
        <v>255</v>
      </c>
      <c r="W45" s="166" t="s">
        <v>253</v>
      </c>
      <c r="X45" s="174">
        <f t="shared" si="0"/>
        <v>3</v>
      </c>
      <c r="Y45" t="str">
        <f t="shared" si="1"/>
        <v xml:space="preserve">      - xform/iap/iap/</v>
      </c>
      <c r="Z45"/>
    </row>
    <row r="46" spans="1:26" ht="29.25">
      <c r="A46" s="62">
        <v>49</v>
      </c>
      <c r="B46" s="2" t="s">
        <v>283</v>
      </c>
      <c r="C46" s="2" t="s">
        <v>281</v>
      </c>
      <c r="D46" s="92" t="str" cm="1">
        <f t="array" ref="D46" xml:space="preserve"> INDEX(【韻】韻母對照表!$B$4:$B$89, MATCH(TRUE, EXACT(韻母對照表[[#This Row],[台羅拼音]], 【韻】韻母對照表!$C$4:$C$89), 0))</f>
        <v>ue</v>
      </c>
      <c r="E46" s="15" t="s">
        <v>285</v>
      </c>
      <c r="F46" s="1" t="s">
        <v>285</v>
      </c>
      <c r="G46" s="1" t="s">
        <v>285</v>
      </c>
      <c r="H46" s="1" t="s">
        <v>285</v>
      </c>
      <c r="I46" s="95" t="s">
        <v>286</v>
      </c>
      <c r="J46" s="1" t="s">
        <v>284</v>
      </c>
      <c r="K46" s="1" t="s">
        <v>2252</v>
      </c>
      <c r="L46" s="1" t="s">
        <v>151</v>
      </c>
      <c r="M46" s="1" t="s">
        <v>17</v>
      </c>
      <c r="N46" s="63" t="s">
        <v>287</v>
      </c>
      <c r="P46" s="173">
        <v>45</v>
      </c>
      <c r="Q46" s="165" t="s">
        <v>139</v>
      </c>
      <c r="R46" s="165" t="s">
        <v>261</v>
      </c>
      <c r="S46" s="165" t="s">
        <v>17</v>
      </c>
      <c r="T46" s="164" t="str" cm="1">
        <f t="array" ref="T46">IFERROR( INDEX(韻母對照表[注音二式], MATCH(TRUE, EXACT( _xlfn.CONCAT(R46, LEFT(S46,1)), 韻母對照表[十五音識別碼]),0)), "")</f>
        <v>au</v>
      </c>
      <c r="U46" s="164" t="s">
        <v>263</v>
      </c>
      <c r="V46" s="164" t="s">
        <v>262</v>
      </c>
      <c r="W46" s="166" t="s">
        <v>259</v>
      </c>
      <c r="X46" s="174">
        <f t="shared" si="0"/>
        <v>2</v>
      </c>
      <c r="Y46" t="str">
        <f t="shared" si="1"/>
        <v xml:space="preserve">      - xform/au/ao/</v>
      </c>
      <c r="Z46"/>
    </row>
    <row r="47" spans="1:26" ht="29.25">
      <c r="A47" s="62">
        <v>50</v>
      </c>
      <c r="B47" s="2" t="s">
        <v>283</v>
      </c>
      <c r="C47" s="3" t="s">
        <v>289</v>
      </c>
      <c r="D47" s="92" t="str" cm="1">
        <f t="array" ref="D47" xml:space="preserve"> INDEX(【韻】韻母對照表!$B$4:$B$89, MATCH(TRUE, EXACT(韻母對照表[[#This Row],[台羅拼音]], 【韻】韻母對照表!$C$4:$C$89), 0))</f>
        <v>ueʔ</v>
      </c>
      <c r="E47" s="15" t="s">
        <v>290</v>
      </c>
      <c r="F47" s="1" t="s">
        <v>290</v>
      </c>
      <c r="G47" s="1" t="s">
        <v>290</v>
      </c>
      <c r="H47" s="1" t="s">
        <v>290</v>
      </c>
      <c r="I47" s="95" t="s">
        <v>291</v>
      </c>
      <c r="J47" s="1" t="s">
        <v>919</v>
      </c>
      <c r="K47" s="1" t="s">
        <v>2253</v>
      </c>
      <c r="L47" s="1" t="s">
        <v>151</v>
      </c>
      <c r="M47" s="1" t="s">
        <v>23</v>
      </c>
      <c r="N47" s="63" t="s">
        <v>292</v>
      </c>
      <c r="P47" s="164">
        <v>46</v>
      </c>
      <c r="Q47" s="165" t="s">
        <v>139</v>
      </c>
      <c r="R47" s="165" t="s">
        <v>261</v>
      </c>
      <c r="S47" s="165" t="s">
        <v>23</v>
      </c>
      <c r="T47" s="164" t="str" cm="1">
        <f t="array" ref="T47">IFERROR( INDEX(韻母對照表[注音二式], MATCH(TRUE, EXACT( _xlfn.CONCAT(R47, LEFT(S47,1)), 韻母對照表[十五音識別碼]),0)), "")</f>
        <v>auh</v>
      </c>
      <c r="U47" s="164" t="s">
        <v>268</v>
      </c>
      <c r="V47" s="164" t="s">
        <v>2181</v>
      </c>
      <c r="W47" s="169" t="s">
        <v>266</v>
      </c>
      <c r="X47" s="174">
        <f t="shared" si="0"/>
        <v>3</v>
      </c>
      <c r="Y47" t="str">
        <f t="shared" si="1"/>
        <v xml:space="preserve">      - xform/auh/aoh/</v>
      </c>
      <c r="Z47"/>
    </row>
    <row r="48" spans="1:26" ht="29.25">
      <c r="A48" s="62">
        <v>51</v>
      </c>
      <c r="B48" s="2" t="s">
        <v>295</v>
      </c>
      <c r="C48" s="2" t="s">
        <v>293</v>
      </c>
      <c r="D48" s="92" t="str" cm="1">
        <f t="array" ref="D48" xml:space="preserve"> INDEX(【韻】韻母對照表!$B$4:$B$89, MATCH(TRUE, EXACT(韻母對照表[[#This Row],[台羅拼音]], 【韻】韻母對照表!$C$4:$C$89), 0))</f>
        <v>ã</v>
      </c>
      <c r="E48" s="15" t="s">
        <v>297</v>
      </c>
      <c r="F48" s="1" t="s">
        <v>297</v>
      </c>
      <c r="G48" s="1" t="s">
        <v>297</v>
      </c>
      <c r="H48" s="1" t="s">
        <v>299</v>
      </c>
      <c r="I48" s="90" t="s">
        <v>1254</v>
      </c>
      <c r="J48" s="1" t="s">
        <v>296</v>
      </c>
      <c r="K48" s="1" t="s">
        <v>2254</v>
      </c>
      <c r="L48" s="1" t="s">
        <v>301</v>
      </c>
      <c r="M48" s="1" t="s">
        <v>17</v>
      </c>
      <c r="N48" s="63" t="s">
        <v>300</v>
      </c>
      <c r="P48" s="173">
        <v>47</v>
      </c>
      <c r="Q48" s="165" t="s">
        <v>146</v>
      </c>
      <c r="R48" s="165" t="s">
        <v>273</v>
      </c>
      <c r="S48" s="165" t="s">
        <v>17</v>
      </c>
      <c r="T48" s="164" t="str" cm="1">
        <f t="array" ref="T48">IFERROR( INDEX(韻母對照表[注音二式], MATCH(TRUE, EXACT( _xlfn.CONCAT(R48, LEFT(S48,1)), 韻母對照表[十五音識別碼]),0)), "")</f>
        <v>ia</v>
      </c>
      <c r="U48" s="164" t="s">
        <v>272</v>
      </c>
      <c r="V48" s="164" t="s">
        <v>274</v>
      </c>
      <c r="W48" s="166" t="s">
        <v>271</v>
      </c>
      <c r="X48" s="174">
        <f t="shared" si="0"/>
        <v>2</v>
      </c>
      <c r="Y48" t="str">
        <f t="shared" si="1"/>
        <v xml:space="preserve">      - xform/ia/ia/</v>
      </c>
      <c r="Z48"/>
    </row>
    <row r="49" spans="1:26" ht="29.25">
      <c r="A49" s="62">
        <v>52</v>
      </c>
      <c r="B49" s="2" t="s">
        <v>295</v>
      </c>
      <c r="C49" s="8" t="s">
        <v>302</v>
      </c>
      <c r="D49" s="92" t="str" cm="1">
        <f t="array" ref="D49" xml:space="preserve"> INDEX(【韻】韻母對照表!$B$4:$B$89, MATCH(TRUE, EXACT(韻母對照表[[#This Row],[台羅拼音]], 【韻】韻母對照表!$C$4:$C$89), 0))</f>
        <v>ãʔ</v>
      </c>
      <c r="E49" s="15" t="s">
        <v>304</v>
      </c>
      <c r="F49" s="1" t="s">
        <v>303</v>
      </c>
      <c r="G49" s="1" t="s">
        <v>304</v>
      </c>
      <c r="H49" s="1" t="s">
        <v>305</v>
      </c>
      <c r="I49" s="90" t="s">
        <v>1255</v>
      </c>
      <c r="J49" s="1" t="s">
        <v>920</v>
      </c>
      <c r="K49" s="1" t="s">
        <v>2255</v>
      </c>
      <c r="L49" s="1" t="s">
        <v>301</v>
      </c>
      <c r="M49" s="1" t="s">
        <v>23</v>
      </c>
      <c r="N49" s="63" t="s">
        <v>306</v>
      </c>
      <c r="P49" s="164">
        <v>48</v>
      </c>
      <c r="Q49" s="165" t="s">
        <v>146</v>
      </c>
      <c r="R49" s="165" t="s">
        <v>273</v>
      </c>
      <c r="S49" s="165" t="s">
        <v>23</v>
      </c>
      <c r="T49" s="164" t="str" cm="1">
        <f t="array" ref="T49">IFERROR( INDEX(韻母對照表[注音二式], MATCH(TRUE, EXACT( _xlfn.CONCAT(R49, LEFT(S49,1)), 韻母對照表[十五音識別碼]),0)), "")</f>
        <v>iah</v>
      </c>
      <c r="U49" s="164" t="s">
        <v>278</v>
      </c>
      <c r="V49" s="164" t="s">
        <v>2184</v>
      </c>
      <c r="W49" s="166" t="s">
        <v>277</v>
      </c>
      <c r="X49" s="174">
        <f t="shared" si="0"/>
        <v>3</v>
      </c>
      <c r="Y49" t="str">
        <f t="shared" si="1"/>
        <v xml:space="preserve">      - xform/iah/iah/</v>
      </c>
      <c r="Z49"/>
    </row>
    <row r="50" spans="1:26" ht="29.25">
      <c r="A50" s="62">
        <v>53</v>
      </c>
      <c r="B50" s="2" t="s">
        <v>309</v>
      </c>
      <c r="C50" s="2" t="s">
        <v>307</v>
      </c>
      <c r="D50" s="92" t="str" cm="1">
        <f t="array" ref="D50" xml:space="preserve"> INDEX(【韻】韻母對照表!$B$4:$B$89, MATCH(TRUE, EXACT(韻母對照表[[#This Row],[台羅拼音]], 【韻】韻母對照表!$C$4:$C$89), 0))</f>
        <v>u</v>
      </c>
      <c r="E50" s="15" t="s">
        <v>308</v>
      </c>
      <c r="F50" s="1" t="s">
        <v>308</v>
      </c>
      <c r="G50" s="1" t="s">
        <v>308</v>
      </c>
      <c r="H50" s="1" t="s">
        <v>308</v>
      </c>
      <c r="I50" s="90" t="s">
        <v>308</v>
      </c>
      <c r="J50" s="1" t="s">
        <v>310</v>
      </c>
      <c r="K50" s="1" t="s">
        <v>310</v>
      </c>
      <c r="L50" s="1" t="s">
        <v>157</v>
      </c>
      <c r="M50" s="1" t="s">
        <v>17</v>
      </c>
      <c r="N50" s="63" t="s">
        <v>311</v>
      </c>
      <c r="P50" s="173">
        <v>49</v>
      </c>
      <c r="Q50" s="165" t="s">
        <v>151</v>
      </c>
      <c r="R50" s="165" t="s">
        <v>283</v>
      </c>
      <c r="S50" s="165" t="s">
        <v>17</v>
      </c>
      <c r="T50" s="164" t="str" cm="1">
        <f t="array" ref="T50">IFERROR( INDEX(韻母對照表[注音二式], MATCH(TRUE, EXACT( _xlfn.CONCAT(R50, LEFT(S50,1)), 韻母對照表[十五音識別碼]),0)), "")</f>
        <v>ue</v>
      </c>
      <c r="U50" s="164" t="s">
        <v>285</v>
      </c>
      <c r="V50" s="164" t="s">
        <v>284</v>
      </c>
      <c r="W50" s="166" t="s">
        <v>281</v>
      </c>
      <c r="X50" s="174">
        <f t="shared" si="0"/>
        <v>2</v>
      </c>
      <c r="Y50" t="str">
        <f t="shared" si="1"/>
        <v xml:space="preserve">      - xform/ue/ue/</v>
      </c>
      <c r="Z50"/>
    </row>
    <row r="51" spans="1:26" ht="29.25">
      <c r="A51" s="62">
        <v>54</v>
      </c>
      <c r="B51" s="2" t="s">
        <v>309</v>
      </c>
      <c r="C51" s="3" t="s">
        <v>312</v>
      </c>
      <c r="D51" s="92" t="str" cm="1">
        <f t="array" ref="D51" xml:space="preserve"> INDEX(【韻】韻母對照表!$B$4:$B$89, MATCH(TRUE, EXACT(韻母對照表[[#This Row],[台羅拼音]], 【韻】韻母對照表!$C$4:$C$89), 0))</f>
        <v>uʔ</v>
      </c>
      <c r="E51" s="15" t="s">
        <v>313</v>
      </c>
      <c r="F51" s="1" t="s">
        <v>313</v>
      </c>
      <c r="G51" s="1" t="s">
        <v>313</v>
      </c>
      <c r="H51" s="1" t="s">
        <v>313</v>
      </c>
      <c r="I51" s="90" t="s">
        <v>313</v>
      </c>
      <c r="J51" s="1" t="s">
        <v>921</v>
      </c>
      <c r="K51" s="1" t="s">
        <v>2256</v>
      </c>
      <c r="L51" s="1" t="s">
        <v>157</v>
      </c>
      <c r="M51" s="1" t="s">
        <v>23</v>
      </c>
      <c r="N51" s="63" t="s">
        <v>314</v>
      </c>
      <c r="P51" s="164">
        <v>50</v>
      </c>
      <c r="Q51" s="165" t="s">
        <v>151</v>
      </c>
      <c r="R51" s="165" t="s">
        <v>283</v>
      </c>
      <c r="S51" s="165" t="s">
        <v>23</v>
      </c>
      <c r="T51" s="164" t="str" cm="1">
        <f t="array" ref="T51">IFERROR( INDEX(韻母對照表[注音二式], MATCH(TRUE, EXACT( _xlfn.CONCAT(R51, LEFT(S51,1)), 韻母對照表[十五音識別碼]),0)), "")</f>
        <v>ueh</v>
      </c>
      <c r="U51" s="164" t="s">
        <v>290</v>
      </c>
      <c r="V51" s="164" t="s">
        <v>2198</v>
      </c>
      <c r="W51" s="167" t="s">
        <v>289</v>
      </c>
      <c r="X51" s="174">
        <f t="shared" si="0"/>
        <v>3</v>
      </c>
      <c r="Y51" t="str">
        <f t="shared" si="1"/>
        <v xml:space="preserve">      - xform/ueh/ueh/</v>
      </c>
      <c r="Z51"/>
    </row>
    <row r="52" spans="1:26" ht="29.25">
      <c r="A52" s="62">
        <v>55</v>
      </c>
      <c r="B52" s="2" t="s">
        <v>317</v>
      </c>
      <c r="C52" s="2" t="s">
        <v>315</v>
      </c>
      <c r="D52" s="92" t="str" cm="1">
        <f t="array" ref="D52" xml:space="preserve"> INDEX(【韻】韻母對照表!$B$4:$B$89, MATCH(TRUE, EXACT(韻母對照表[[#This Row],[台羅拼音]], 【韻】韻母對照表!$C$4:$C$89), 0))</f>
        <v>a</v>
      </c>
      <c r="E52" s="15" t="s">
        <v>316</v>
      </c>
      <c r="F52" s="1" t="s">
        <v>316</v>
      </c>
      <c r="G52" s="1" t="s">
        <v>316</v>
      </c>
      <c r="H52" s="1" t="s">
        <v>316</v>
      </c>
      <c r="I52" s="90" t="s">
        <v>316</v>
      </c>
      <c r="J52" s="1" t="s">
        <v>318</v>
      </c>
      <c r="K52" s="1" t="s">
        <v>318</v>
      </c>
      <c r="L52" s="1" t="s">
        <v>164</v>
      </c>
      <c r="M52" s="1" t="s">
        <v>17</v>
      </c>
      <c r="N52" s="63" t="s">
        <v>319</v>
      </c>
      <c r="P52" s="173">
        <v>51</v>
      </c>
      <c r="Q52" s="165" t="s">
        <v>301</v>
      </c>
      <c r="R52" s="165" t="s">
        <v>295</v>
      </c>
      <c r="S52" s="165" t="s">
        <v>17</v>
      </c>
      <c r="T52" s="164" t="str" cm="1">
        <f t="array" ref="T52">IFERROR( INDEX(韻母對照表[注音二式], MATCH(TRUE, EXACT( _xlfn.CONCAT(R52, LEFT(S52,1)), 韻母對照表[十五音識別碼]),0)), "")</f>
        <v>ann</v>
      </c>
      <c r="U52" s="164" t="s">
        <v>299</v>
      </c>
      <c r="V52" s="164" t="s">
        <v>296</v>
      </c>
      <c r="W52" s="166" t="s">
        <v>293</v>
      </c>
      <c r="X52" s="174">
        <f t="shared" si="0"/>
        <v>3</v>
      </c>
      <c r="Y52" t="str">
        <f t="shared" si="1"/>
        <v xml:space="preserve">      - xform/ann/na/</v>
      </c>
      <c r="Z52"/>
    </row>
    <row r="53" spans="1:26" ht="29.25">
      <c r="A53" s="62">
        <v>56</v>
      </c>
      <c r="B53" s="2" t="s">
        <v>317</v>
      </c>
      <c r="C53" s="2" t="s">
        <v>320</v>
      </c>
      <c r="D53" s="92" t="str" cm="1">
        <f t="array" ref="D53" xml:space="preserve"> INDEX(【韻】韻母對照表!$B$4:$B$89, MATCH(TRUE, EXACT(韻母對照表[[#This Row],[台羅拼音]], 【韻】韻母對照表!$C$4:$C$89), 0))</f>
        <v>aʔ</v>
      </c>
      <c r="E53" s="15" t="s">
        <v>321</v>
      </c>
      <c r="F53" s="1" t="s">
        <v>321</v>
      </c>
      <c r="G53" s="1" t="s">
        <v>321</v>
      </c>
      <c r="H53" s="1" t="s">
        <v>321</v>
      </c>
      <c r="I53" s="90" t="s">
        <v>321</v>
      </c>
      <c r="J53" s="1" t="s">
        <v>922</v>
      </c>
      <c r="K53" s="1" t="s">
        <v>2257</v>
      </c>
      <c r="L53" s="1" t="s">
        <v>164</v>
      </c>
      <c r="M53" s="1" t="s">
        <v>23</v>
      </c>
      <c r="N53" s="63" t="s">
        <v>322</v>
      </c>
      <c r="P53" s="164">
        <v>52</v>
      </c>
      <c r="Q53" s="165" t="s">
        <v>301</v>
      </c>
      <c r="R53" s="165" t="s">
        <v>295</v>
      </c>
      <c r="S53" s="165" t="s">
        <v>23</v>
      </c>
      <c r="T53" s="164" t="str" cm="1">
        <f t="array" ref="T53">IFERROR( INDEX(韻母對照表[注音二式], MATCH(TRUE, EXACT( _xlfn.CONCAT(R53, LEFT(S53,1)), 韻母對照表[十五音識別碼]),0)), "")</f>
        <v>annh</v>
      </c>
      <c r="U53" s="164" t="s">
        <v>305</v>
      </c>
      <c r="V53" s="164" t="s">
        <v>1318</v>
      </c>
      <c r="W53" s="170" t="s">
        <v>302</v>
      </c>
      <c r="X53" s="174">
        <f t="shared" si="0"/>
        <v>4</v>
      </c>
      <c r="Y53" t="str">
        <f t="shared" si="1"/>
        <v xml:space="preserve">      - xform/annh/nah/</v>
      </c>
      <c r="Z53"/>
    </row>
    <row r="54" spans="1:26" ht="29.25">
      <c r="A54" s="62">
        <v>57</v>
      </c>
      <c r="B54" s="2" t="s">
        <v>325</v>
      </c>
      <c r="C54" s="2" t="s">
        <v>323</v>
      </c>
      <c r="D54" s="92" t="str" cm="1">
        <f t="array" ref="D54" xml:space="preserve"> INDEX(【韻】韻母對照表!$B$4:$B$89, MATCH(TRUE, EXACT(韻母對照表[[#This Row],[台羅拼音]], 【韻】韻母對照表!$C$4:$C$89), 0))</f>
        <v>i</v>
      </c>
      <c r="E54" s="15" t="s">
        <v>324</v>
      </c>
      <c r="F54" s="1" t="s">
        <v>324</v>
      </c>
      <c r="G54" s="1" t="s">
        <v>324</v>
      </c>
      <c r="H54" s="1" t="s">
        <v>324</v>
      </c>
      <c r="I54" s="90" t="s">
        <v>324</v>
      </c>
      <c r="J54" s="1" t="s">
        <v>326</v>
      </c>
      <c r="K54" s="1" t="s">
        <v>326</v>
      </c>
      <c r="L54" s="1" t="s">
        <v>169</v>
      </c>
      <c r="M54" s="1" t="s">
        <v>17</v>
      </c>
      <c r="N54" s="63" t="s">
        <v>327</v>
      </c>
      <c r="P54" s="173">
        <v>53</v>
      </c>
      <c r="Q54" s="165" t="s">
        <v>157</v>
      </c>
      <c r="R54" s="165" t="s">
        <v>309</v>
      </c>
      <c r="S54" s="165" t="s">
        <v>17</v>
      </c>
      <c r="T54" s="164" t="str" cm="1">
        <f t="array" ref="T54">IFERROR( INDEX(韻母對照表[注音二式], MATCH(TRUE, EXACT( _xlfn.CONCAT(R54, LEFT(S54,1)), 韻母對照表[十五音識別碼]),0)), "")</f>
        <v>u</v>
      </c>
      <c r="U54" s="164" t="s">
        <v>308</v>
      </c>
      <c r="V54" s="164" t="s">
        <v>310</v>
      </c>
      <c r="W54" s="166" t="s">
        <v>307</v>
      </c>
      <c r="X54" s="174">
        <f t="shared" si="0"/>
        <v>1</v>
      </c>
      <c r="Y54" t="str">
        <f t="shared" si="1"/>
        <v xml:space="preserve">      - xform/u/u/</v>
      </c>
      <c r="Z54"/>
    </row>
    <row r="55" spans="1:26" ht="29.25">
      <c r="A55" s="62">
        <v>58</v>
      </c>
      <c r="B55" s="2" t="s">
        <v>325</v>
      </c>
      <c r="C55" s="4" t="s">
        <v>328</v>
      </c>
      <c r="D55" s="92" t="str" cm="1">
        <f t="array" ref="D55" xml:space="preserve"> INDEX(【韻】韻母對照表!$B$4:$B$89, MATCH(TRUE, EXACT(韻母對照表[[#This Row],[台羅拼音]], 【韻】韻母對照表!$C$4:$C$89), 0))</f>
        <v>iʔ</v>
      </c>
      <c r="E55" s="15" t="s">
        <v>329</v>
      </c>
      <c r="F55" s="1" t="s">
        <v>329</v>
      </c>
      <c r="G55" s="1" t="s">
        <v>329</v>
      </c>
      <c r="H55" s="1" t="s">
        <v>329</v>
      </c>
      <c r="I55" s="90" t="s">
        <v>329</v>
      </c>
      <c r="J55" s="1" t="s">
        <v>923</v>
      </c>
      <c r="K55" s="1" t="s">
        <v>2258</v>
      </c>
      <c r="L55" s="1" t="s">
        <v>169</v>
      </c>
      <c r="M55" s="1" t="s">
        <v>23</v>
      </c>
      <c r="N55" s="63" t="s">
        <v>330</v>
      </c>
      <c r="P55" s="164">
        <v>54</v>
      </c>
      <c r="Q55" s="165" t="s">
        <v>157</v>
      </c>
      <c r="R55" s="165" t="s">
        <v>309</v>
      </c>
      <c r="S55" s="165" t="s">
        <v>23</v>
      </c>
      <c r="T55" s="164" t="str" cm="1">
        <f t="array" ref="T55">IFERROR( INDEX(韻母對照表[注音二式], MATCH(TRUE, EXACT( _xlfn.CONCAT(R55, LEFT(S55,1)), 韻母對照表[十五音識別碼]),0)), "")</f>
        <v>uh</v>
      </c>
      <c r="U55" s="164" t="s">
        <v>313</v>
      </c>
      <c r="V55" s="164" t="s">
        <v>2193</v>
      </c>
      <c r="W55" s="167" t="s">
        <v>312</v>
      </c>
      <c r="X55" s="174">
        <f t="shared" si="0"/>
        <v>2</v>
      </c>
      <c r="Y55" t="str">
        <f t="shared" si="1"/>
        <v xml:space="preserve">      - xform/uh/uh/</v>
      </c>
      <c r="Z55"/>
    </row>
    <row r="56" spans="1:26" ht="29.25">
      <c r="A56" s="62">
        <v>59</v>
      </c>
      <c r="B56" s="2" t="s">
        <v>333</v>
      </c>
      <c r="C56" s="2" t="s">
        <v>331</v>
      </c>
      <c r="D56" s="92" t="str" cm="1">
        <f t="array" ref="D56" xml:space="preserve"> INDEX(【韻】韻母對照表!$B$4:$B$89, MATCH(TRUE, EXACT(韻母對照表[[#This Row],[台羅拼音]], 【韻】韻母對照表!$C$4:$C$89), 0))</f>
        <v>ɪu</v>
      </c>
      <c r="E56" s="15" t="s">
        <v>332</v>
      </c>
      <c r="F56" s="1" t="s">
        <v>332</v>
      </c>
      <c r="G56" s="1" t="s">
        <v>332</v>
      </c>
      <c r="H56" s="1" t="s">
        <v>332</v>
      </c>
      <c r="I56" s="90" t="s">
        <v>332</v>
      </c>
      <c r="J56" s="1" t="s">
        <v>334</v>
      </c>
      <c r="K56" s="1" t="s">
        <v>334</v>
      </c>
      <c r="L56" s="1" t="s">
        <v>176</v>
      </c>
      <c r="M56" s="1" t="s">
        <v>17</v>
      </c>
      <c r="N56" s="63" t="s">
        <v>335</v>
      </c>
      <c r="P56" s="173">
        <v>55</v>
      </c>
      <c r="Q56" s="165" t="s">
        <v>164</v>
      </c>
      <c r="R56" s="165" t="s">
        <v>317</v>
      </c>
      <c r="S56" s="165" t="s">
        <v>17</v>
      </c>
      <c r="T56" s="164" t="str" cm="1">
        <f t="array" ref="T56">IFERROR( INDEX(韻母對照表[注音二式], MATCH(TRUE, EXACT( _xlfn.CONCAT(R56, LEFT(S56,1)), 韻母對照表[十五音識別碼]),0)), "")</f>
        <v>a</v>
      </c>
      <c r="U56" s="164" t="s">
        <v>316</v>
      </c>
      <c r="V56" s="164" t="s">
        <v>318</v>
      </c>
      <c r="W56" s="166" t="s">
        <v>315</v>
      </c>
      <c r="X56" s="174">
        <f t="shared" si="0"/>
        <v>1</v>
      </c>
      <c r="Y56" t="str">
        <f t="shared" si="1"/>
        <v xml:space="preserve">      - xform/a/a/</v>
      </c>
      <c r="Z56"/>
    </row>
    <row r="57" spans="1:26" ht="29.25">
      <c r="A57" s="62">
        <v>61</v>
      </c>
      <c r="B57" s="7" t="s">
        <v>338</v>
      </c>
      <c r="C57" s="2" t="s">
        <v>336</v>
      </c>
      <c r="D57" s="92" t="str" cm="1">
        <f t="array" ref="D57" xml:space="preserve"> INDEX(【韻】韻母對照表!$B$4:$B$89, MATCH(TRUE, EXACT(韻母對照表[[#This Row],[台羅拼音]], 【韻】韻母對照表!$C$4:$C$89), 0))</f>
        <v>ẽ</v>
      </c>
      <c r="E57" s="15" t="s">
        <v>340</v>
      </c>
      <c r="F57" s="1" t="s">
        <v>340</v>
      </c>
      <c r="G57" s="1" t="s">
        <v>340</v>
      </c>
      <c r="H57" s="1" t="s">
        <v>342</v>
      </c>
      <c r="I57" s="90" t="s">
        <v>1256</v>
      </c>
      <c r="J57" s="1" t="s">
        <v>339</v>
      </c>
      <c r="K57" s="1" t="s">
        <v>2259</v>
      </c>
      <c r="L57" s="1" t="s">
        <v>181</v>
      </c>
      <c r="M57" s="1" t="s">
        <v>17</v>
      </c>
      <c r="N57" s="63" t="s">
        <v>343</v>
      </c>
      <c r="P57" s="164">
        <v>56</v>
      </c>
      <c r="Q57" s="165" t="s">
        <v>164</v>
      </c>
      <c r="R57" s="165" t="s">
        <v>317</v>
      </c>
      <c r="S57" s="165" t="s">
        <v>23</v>
      </c>
      <c r="T57" s="164" t="str" cm="1">
        <f t="array" ref="T57">IFERROR( INDEX(韻母對照表[注音二式], MATCH(TRUE, EXACT( _xlfn.CONCAT(R57, LEFT(S57,1)), 韻母對照表[十五音識別碼]),0)), "")</f>
        <v>ah</v>
      </c>
      <c r="U57" s="164" t="s">
        <v>321</v>
      </c>
      <c r="V57" s="164" t="s">
        <v>1295</v>
      </c>
      <c r="W57" s="166" t="s">
        <v>320</v>
      </c>
      <c r="X57" s="174">
        <f t="shared" si="0"/>
        <v>2</v>
      </c>
      <c r="Y57" t="str">
        <f t="shared" si="1"/>
        <v xml:space="preserve">      - xform/ah/ah/</v>
      </c>
      <c r="Z57"/>
    </row>
    <row r="58" spans="1:26" ht="29.25">
      <c r="A58" s="62">
        <v>62</v>
      </c>
      <c r="B58" s="7" t="s">
        <v>338</v>
      </c>
      <c r="C58" s="9" t="s">
        <v>344</v>
      </c>
      <c r="D58" s="92" t="str">
        <f>_xlfn.CONCAT("e", _xlfn.UNICHAR(771), "ʔ")</f>
        <v>ẽʔ</v>
      </c>
      <c r="E58" s="15" t="s">
        <v>634</v>
      </c>
      <c r="F58" s="1" t="s">
        <v>345</v>
      </c>
      <c r="G58" s="1" t="s">
        <v>346</v>
      </c>
      <c r="H58" s="1" t="s">
        <v>634</v>
      </c>
      <c r="I58" s="90" t="s">
        <v>1257</v>
      </c>
      <c r="J58" s="1" t="s">
        <v>924</v>
      </c>
      <c r="K58" s="1" t="s">
        <v>2260</v>
      </c>
      <c r="L58" s="1" t="s">
        <v>181</v>
      </c>
      <c r="M58" s="1" t="s">
        <v>23</v>
      </c>
      <c r="N58" s="63" t="s">
        <v>347</v>
      </c>
      <c r="P58" s="173">
        <v>57</v>
      </c>
      <c r="Q58" s="165" t="s">
        <v>169</v>
      </c>
      <c r="R58" s="165" t="s">
        <v>325</v>
      </c>
      <c r="S58" s="165" t="s">
        <v>17</v>
      </c>
      <c r="T58" s="164" t="str" cm="1">
        <f t="array" ref="T58">IFERROR( INDEX(韻母對照表[注音二式], MATCH(TRUE, EXACT( _xlfn.CONCAT(R58, LEFT(S58,1)), 韻母對照表[十五音識別碼]),0)), "")</f>
        <v>i</v>
      </c>
      <c r="U58" s="164" t="s">
        <v>324</v>
      </c>
      <c r="V58" s="164" t="s">
        <v>326</v>
      </c>
      <c r="W58" s="166" t="s">
        <v>323</v>
      </c>
      <c r="X58" s="174">
        <f t="shared" si="0"/>
        <v>1</v>
      </c>
      <c r="Y58" t="str">
        <f t="shared" si="1"/>
        <v xml:space="preserve">      - xform/i/i/</v>
      </c>
      <c r="Z58"/>
    </row>
    <row r="59" spans="1:26" ht="29.25">
      <c r="A59" s="62">
        <v>63</v>
      </c>
      <c r="B59" s="3" t="s">
        <v>349</v>
      </c>
      <c r="C59" s="4" t="s">
        <v>348</v>
      </c>
      <c r="D59" s="92" t="s">
        <v>2428</v>
      </c>
      <c r="E59" s="15" t="s">
        <v>351</v>
      </c>
      <c r="F59" s="1" t="s">
        <v>351</v>
      </c>
      <c r="G59" s="1" t="s">
        <v>351</v>
      </c>
      <c r="H59" s="1" t="s">
        <v>353</v>
      </c>
      <c r="I59" s="90" t="s">
        <v>1258</v>
      </c>
      <c r="J59" s="1" t="s">
        <v>350</v>
      </c>
      <c r="K59" s="1" t="s">
        <v>2261</v>
      </c>
      <c r="L59" s="1" t="s">
        <v>355</v>
      </c>
      <c r="M59" s="1" t="s">
        <v>17</v>
      </c>
      <c r="N59" s="63" t="s">
        <v>354</v>
      </c>
      <c r="P59" s="164">
        <v>58</v>
      </c>
      <c r="Q59" s="165" t="s">
        <v>169</v>
      </c>
      <c r="R59" s="165" t="s">
        <v>325</v>
      </c>
      <c r="S59" s="165" t="s">
        <v>17</v>
      </c>
      <c r="T59" s="164" t="str" cm="1">
        <f t="array" ref="T59">IFERROR( INDEX(韻母對照表[注音二式], MATCH(TRUE, EXACT( _xlfn.CONCAT(R59, LEFT(S59,1)), 韻母對照表[十五音識別碼]),0)), "")</f>
        <v>i</v>
      </c>
      <c r="U59" s="164" t="s">
        <v>329</v>
      </c>
      <c r="V59" s="164" t="s">
        <v>2183</v>
      </c>
      <c r="W59" s="168" t="s">
        <v>328</v>
      </c>
      <c r="X59" s="174">
        <f t="shared" si="0"/>
        <v>1</v>
      </c>
      <c r="Y59" t="str">
        <f t="shared" si="1"/>
        <v xml:space="preserve">      - xform/i/ih/</v>
      </c>
      <c r="Z59"/>
    </row>
    <row r="60" spans="1:26" ht="29.25">
      <c r="A60" s="62">
        <v>65</v>
      </c>
      <c r="B60" s="4" t="s">
        <v>358</v>
      </c>
      <c r="C60" s="2" t="s">
        <v>356</v>
      </c>
      <c r="D60" s="92" t="str" cm="1">
        <f t="array" ref="D60" xml:space="preserve"> INDEX(【韻】韻母對照表!$B$4:$B$89, MATCH(TRUE, EXACT(韻母對照表[[#This Row],[台羅拼音]], 【韻】韻母對照表!$C$4:$C$89), 0))</f>
        <v>ɪə</v>
      </c>
      <c r="E60" s="15" t="s">
        <v>357</v>
      </c>
      <c r="F60" s="1" t="s">
        <v>357</v>
      </c>
      <c r="G60" s="15" t="s">
        <v>360</v>
      </c>
      <c r="H60" s="1" t="s">
        <v>357</v>
      </c>
      <c r="I60" s="90" t="s">
        <v>357</v>
      </c>
      <c r="J60" s="1" t="s">
        <v>359</v>
      </c>
      <c r="K60" s="1" t="s">
        <v>359</v>
      </c>
      <c r="L60" s="1" t="s">
        <v>187</v>
      </c>
      <c r="M60" s="1" t="s">
        <v>17</v>
      </c>
      <c r="N60" s="63" t="s">
        <v>361</v>
      </c>
      <c r="P60" s="173">
        <v>59</v>
      </c>
      <c r="Q60" s="165" t="s">
        <v>176</v>
      </c>
      <c r="R60" s="165" t="s">
        <v>333</v>
      </c>
      <c r="S60" s="165" t="s">
        <v>17</v>
      </c>
      <c r="T60" s="164" t="str" cm="1">
        <f t="array" ref="T60">IFERROR( INDEX(韻母對照表[注音二式], MATCH(TRUE, EXACT( _xlfn.CONCAT(R60, LEFT(S60,1)), 韻母對照表[十五音識別碼]),0)), "")</f>
        <v>iu</v>
      </c>
      <c r="U60" s="164" t="s">
        <v>332</v>
      </c>
      <c r="V60" s="164" t="s">
        <v>334</v>
      </c>
      <c r="W60" s="166" t="s">
        <v>331</v>
      </c>
      <c r="X60" s="174">
        <f t="shared" si="0"/>
        <v>2</v>
      </c>
      <c r="Y60" t="str">
        <f t="shared" si="1"/>
        <v xml:space="preserve">      - xform/iu/iu/</v>
      </c>
      <c r="Z60"/>
    </row>
    <row r="61" spans="1:26" ht="29.25">
      <c r="A61" s="62">
        <v>66</v>
      </c>
      <c r="B61" s="2" t="s">
        <v>358</v>
      </c>
      <c r="C61" s="3" t="s">
        <v>362</v>
      </c>
      <c r="D61" s="92" t="str" cm="1">
        <f t="array" ref="D61" xml:space="preserve"> INDEX(【韻】韻母對照表!$B$4:$B$89, MATCH(TRUE, EXACT(韻母對照表[[#This Row],[台羅拼音]], 【韻】韻母對照表!$C$4:$C$89), 0))</f>
        <v>ɪəʔ</v>
      </c>
      <c r="E61" s="15" t="s">
        <v>363</v>
      </c>
      <c r="F61" s="1" t="s">
        <v>363</v>
      </c>
      <c r="G61" s="15" t="s">
        <v>364</v>
      </c>
      <c r="H61" s="1" t="s">
        <v>363</v>
      </c>
      <c r="I61" s="90" t="s">
        <v>363</v>
      </c>
      <c r="J61" s="1" t="s">
        <v>925</v>
      </c>
      <c r="K61" s="1" t="s">
        <v>2262</v>
      </c>
      <c r="L61" s="1" t="s">
        <v>187</v>
      </c>
      <c r="M61" s="1" t="s">
        <v>23</v>
      </c>
      <c r="N61" s="63" t="s">
        <v>365</v>
      </c>
      <c r="P61" s="164">
        <v>60</v>
      </c>
      <c r="Q61" s="165" t="s">
        <v>176</v>
      </c>
      <c r="R61" s="165" t="s">
        <v>333</v>
      </c>
      <c r="S61" s="165" t="s">
        <v>17</v>
      </c>
      <c r="T61" s="164" t="str" cm="1">
        <f t="array" ref="T61">IFERROR( INDEX(韻母對照表[注音二式], MATCH(TRUE, EXACT( _xlfn.CONCAT(R61, LEFT(S61,1)), 韻母對照表[十五音識別碼]),0)), "")</f>
        <v>iu</v>
      </c>
      <c r="U61" s="164" t="s">
        <v>2334</v>
      </c>
      <c r="V61" s="164" t="str">
        <f xml:space="preserve"> _xlfn.CONCAT(V60, "ㆷ")</f>
        <v>ㄧㄨㆷ</v>
      </c>
      <c r="W61" s="166"/>
      <c r="X61" s="174">
        <f t="shared" si="0"/>
        <v>2</v>
      </c>
      <c r="Y61" t="str">
        <f t="shared" si="1"/>
        <v xml:space="preserve">      - xform/iu/iuh/</v>
      </c>
      <c r="Z61"/>
    </row>
    <row r="62" spans="1:26" ht="29.25">
      <c r="A62" s="62">
        <v>67</v>
      </c>
      <c r="B62" s="2" t="s">
        <v>368</v>
      </c>
      <c r="C62" s="2" t="s">
        <v>366</v>
      </c>
      <c r="D62" s="92" t="s">
        <v>2429</v>
      </c>
      <c r="E62" s="15" t="s">
        <v>370</v>
      </c>
      <c r="F62" s="1" t="s">
        <v>370</v>
      </c>
      <c r="G62" s="1" t="s">
        <v>370</v>
      </c>
      <c r="H62" s="1" t="s">
        <v>372</v>
      </c>
      <c r="I62" s="90" t="s">
        <v>1259</v>
      </c>
      <c r="J62" s="1" t="s">
        <v>369</v>
      </c>
      <c r="K62" s="1" t="s">
        <v>2263</v>
      </c>
      <c r="L62" s="1" t="s">
        <v>193</v>
      </c>
      <c r="M62" s="1" t="s">
        <v>17</v>
      </c>
      <c r="N62" s="63" t="s">
        <v>373</v>
      </c>
      <c r="P62" s="173">
        <v>61</v>
      </c>
      <c r="Q62" s="165" t="s">
        <v>181</v>
      </c>
      <c r="R62" s="165" t="s">
        <v>338</v>
      </c>
      <c r="S62" s="165" t="s">
        <v>17</v>
      </c>
      <c r="T62" s="164" t="str" cm="1">
        <f t="array" ref="T62">IFERROR( INDEX(韻母對照表[注音二式], MATCH(TRUE, EXACT( _xlfn.CONCAT(R62, LEFT(S62,1)), 韻母對照表[十五音識別碼]),0)), "")</f>
        <v>enn</v>
      </c>
      <c r="U62" s="164" t="s">
        <v>342</v>
      </c>
      <c r="V62" s="164" t="s">
        <v>339</v>
      </c>
      <c r="W62" s="166" t="s">
        <v>336</v>
      </c>
      <c r="X62" s="174">
        <f t="shared" si="0"/>
        <v>3</v>
      </c>
      <c r="Y62" t="str">
        <f t="shared" si="1"/>
        <v xml:space="preserve">      - xform/enn/ne/</v>
      </c>
      <c r="Z62"/>
    </row>
    <row r="63" spans="1:26" ht="29.25">
      <c r="A63" s="62">
        <v>68</v>
      </c>
      <c r="B63" s="2" t="s">
        <v>368</v>
      </c>
      <c r="C63" s="3" t="s">
        <v>374</v>
      </c>
      <c r="D63" s="92" t="s">
        <v>2430</v>
      </c>
      <c r="E63" s="15" t="s">
        <v>376</v>
      </c>
      <c r="F63" s="1" t="s">
        <v>375</v>
      </c>
      <c r="G63" s="1" t="s">
        <v>376</v>
      </c>
      <c r="H63" s="1" t="s">
        <v>377</v>
      </c>
      <c r="I63" s="90" t="s">
        <v>1260</v>
      </c>
      <c r="J63" s="1" t="s">
        <v>926</v>
      </c>
      <c r="K63" s="1" t="s">
        <v>2264</v>
      </c>
      <c r="L63" s="1" t="s">
        <v>193</v>
      </c>
      <c r="M63" s="1" t="s">
        <v>23</v>
      </c>
      <c r="N63" s="63" t="s">
        <v>378</v>
      </c>
      <c r="P63" s="164">
        <v>62</v>
      </c>
      <c r="Q63" s="165" t="s">
        <v>181</v>
      </c>
      <c r="R63" s="165" t="s">
        <v>338</v>
      </c>
      <c r="S63" s="165" t="s">
        <v>17</v>
      </c>
      <c r="T63" s="164" t="str" cm="1">
        <f t="array" ref="T63">IFERROR( INDEX(韻母對照表[注音二式], MATCH(TRUE, EXACT( _xlfn.CONCAT(R63, LEFT(S63,1)), 韻母對照表[十五音識別碼]),0)), "")</f>
        <v>enn</v>
      </c>
      <c r="U63" s="164" t="s">
        <v>2335</v>
      </c>
      <c r="V63" s="164" t="s">
        <v>1320</v>
      </c>
      <c r="W63" s="171" t="s">
        <v>344</v>
      </c>
      <c r="X63" s="174">
        <f t="shared" si="0"/>
        <v>3</v>
      </c>
      <c r="Y63" t="str">
        <f t="shared" si="1"/>
        <v xml:space="preserve">      - xform/enn/neh/</v>
      </c>
      <c r="Z63"/>
    </row>
    <row r="64" spans="1:26" ht="29.25">
      <c r="A64" s="62">
        <v>69</v>
      </c>
      <c r="B64" s="5" t="s">
        <v>381</v>
      </c>
      <c r="C64" s="6" t="s">
        <v>379</v>
      </c>
      <c r="D64" s="92" t="s">
        <v>2431</v>
      </c>
      <c r="E64" s="15" t="s">
        <v>383</v>
      </c>
      <c r="F64" s="1" t="s">
        <v>383</v>
      </c>
      <c r="G64" s="1" t="s">
        <v>386</v>
      </c>
      <c r="H64" s="1" t="s">
        <v>385</v>
      </c>
      <c r="I64" s="90" t="s">
        <v>1261</v>
      </c>
      <c r="J64" s="1" t="s">
        <v>382</v>
      </c>
      <c r="K64" s="1" t="s">
        <v>2265</v>
      </c>
      <c r="L64" s="1" t="s">
        <v>199</v>
      </c>
      <c r="M64" s="1" t="s">
        <v>17</v>
      </c>
      <c r="N64" s="63" t="s">
        <v>387</v>
      </c>
      <c r="P64" s="173">
        <v>63</v>
      </c>
      <c r="Q64" s="165" t="s">
        <v>355</v>
      </c>
      <c r="R64" s="165" t="s">
        <v>349</v>
      </c>
      <c r="S64" s="165" t="s">
        <v>17</v>
      </c>
      <c r="T64" s="164" t="str" cm="1">
        <f t="array" ref="T64">IFERROR( INDEX(韻母對照表[注音二式], MATCH(TRUE, EXACT( _xlfn.CONCAT(R64, LEFT(S64,1)), 韻母對照表[十五音識別碼]),0)), "")</f>
        <v>uinn</v>
      </c>
      <c r="U64" s="164" t="s">
        <v>353</v>
      </c>
      <c r="V64" s="164" t="s">
        <v>350</v>
      </c>
      <c r="W64" s="168" t="s">
        <v>348</v>
      </c>
      <c r="X64" s="174">
        <f t="shared" si="0"/>
        <v>4</v>
      </c>
      <c r="Y64" t="str">
        <f t="shared" si="1"/>
        <v xml:space="preserve">      - xform/uinn/nui/</v>
      </c>
      <c r="Z64"/>
    </row>
    <row r="65" spans="1:26" ht="29.25">
      <c r="A65" s="62">
        <v>71</v>
      </c>
      <c r="B65" s="2" t="s">
        <v>389</v>
      </c>
      <c r="C65" s="2" t="s">
        <v>388</v>
      </c>
      <c r="D65" s="92" t="s">
        <v>2432</v>
      </c>
      <c r="E65" s="15" t="s">
        <v>391</v>
      </c>
      <c r="F65" s="1" t="s">
        <v>391</v>
      </c>
      <c r="G65" s="1" t="s">
        <v>391</v>
      </c>
      <c r="H65" s="1" t="s">
        <v>394</v>
      </c>
      <c r="I65" s="90" t="s">
        <v>1262</v>
      </c>
      <c r="J65" s="1" t="s">
        <v>390</v>
      </c>
      <c r="K65" s="1" t="s">
        <v>2266</v>
      </c>
      <c r="L65" s="1" t="s">
        <v>205</v>
      </c>
      <c r="M65" s="1" t="s">
        <v>17</v>
      </c>
      <c r="N65" s="63" t="s">
        <v>395</v>
      </c>
      <c r="P65" s="164">
        <v>64</v>
      </c>
      <c r="Q65" s="165" t="s">
        <v>355</v>
      </c>
      <c r="R65" s="165" t="s">
        <v>349</v>
      </c>
      <c r="S65" s="165" t="s">
        <v>17</v>
      </c>
      <c r="T65" s="164" t="str" cm="1">
        <f t="array" ref="T65">IFERROR( INDEX(韻母對照表[注音二式], MATCH(TRUE, EXACT( _xlfn.CONCAT(R65, LEFT(S65,1)), 韻母對照表[十五音識別碼]),0)), "")</f>
        <v>uinn</v>
      </c>
      <c r="U65" s="164" t="s">
        <v>2336</v>
      </c>
      <c r="V65" s="164" t="str">
        <f xml:space="preserve"> _xlfn.CONCAT(V64, "ㆷ")</f>
        <v>ㄨㆪㆷ</v>
      </c>
      <c r="W65" s="168"/>
      <c r="X65" s="174">
        <f t="shared" si="0"/>
        <v>4</v>
      </c>
      <c r="Y65" t="str">
        <f t="shared" si="1"/>
        <v xml:space="preserve">      - xform/uinn/nuih/</v>
      </c>
      <c r="Z65"/>
    </row>
    <row r="66" spans="1:26" ht="29.25">
      <c r="A66" s="62">
        <v>73</v>
      </c>
      <c r="B66" s="2" t="s">
        <v>397</v>
      </c>
      <c r="C66" s="2" t="s">
        <v>396</v>
      </c>
      <c r="D66" s="92" t="s">
        <v>2433</v>
      </c>
      <c r="E66" s="15" t="s">
        <v>399</v>
      </c>
      <c r="F66" s="1" t="s">
        <v>399</v>
      </c>
      <c r="G66" s="1" t="s">
        <v>399</v>
      </c>
      <c r="H66" s="1" t="s">
        <v>401</v>
      </c>
      <c r="I66" s="90" t="s">
        <v>1263</v>
      </c>
      <c r="J66" s="1" t="s">
        <v>398</v>
      </c>
      <c r="K66" s="1" t="s">
        <v>2267</v>
      </c>
      <c r="L66" s="1" t="s">
        <v>209</v>
      </c>
      <c r="M66" s="1" t="s">
        <v>17</v>
      </c>
      <c r="N66" s="63" t="s">
        <v>402</v>
      </c>
      <c r="P66" s="173">
        <v>65</v>
      </c>
      <c r="Q66" s="165" t="s">
        <v>187</v>
      </c>
      <c r="R66" s="165" t="s">
        <v>358</v>
      </c>
      <c r="S66" s="165" t="s">
        <v>17</v>
      </c>
      <c r="T66" s="164" t="str" cm="1">
        <f t="array" ref="T66">IFERROR( INDEX(韻母對照表[注音二式], MATCH(TRUE, EXACT( _xlfn.CONCAT(R66, LEFT(S66,1)), 韻母對照表[十五音識別碼]),0)), "")</f>
        <v>ior</v>
      </c>
      <c r="U66" s="164" t="s">
        <v>357</v>
      </c>
      <c r="V66" s="164" t="s">
        <v>359</v>
      </c>
      <c r="W66" s="166" t="s">
        <v>356</v>
      </c>
      <c r="X66" s="174">
        <f t="shared" si="0"/>
        <v>3</v>
      </c>
      <c r="Y66" t="str">
        <f t="shared" si="1"/>
        <v xml:space="preserve">      - xform/ior/io/</v>
      </c>
      <c r="Z66"/>
    </row>
    <row r="67" spans="1:26" ht="29.25">
      <c r="A67" s="62">
        <v>75</v>
      </c>
      <c r="B67" s="2" t="s">
        <v>405</v>
      </c>
      <c r="C67" s="2" t="s">
        <v>403</v>
      </c>
      <c r="D67" s="92" t="s">
        <v>2434</v>
      </c>
      <c r="E67" s="15" t="s">
        <v>407</v>
      </c>
      <c r="F67" s="1" t="s">
        <v>407</v>
      </c>
      <c r="G67" s="1" t="s">
        <v>407</v>
      </c>
      <c r="H67" s="1" t="s">
        <v>407</v>
      </c>
      <c r="I67" s="90" t="s">
        <v>407</v>
      </c>
      <c r="J67" s="1" t="s">
        <v>406</v>
      </c>
      <c r="K67" s="1" t="s">
        <v>1329</v>
      </c>
      <c r="L67" s="1" t="s">
        <v>215</v>
      </c>
      <c r="M67" s="1" t="s">
        <v>17</v>
      </c>
      <c r="N67" s="63" t="s">
        <v>408</v>
      </c>
      <c r="P67" s="164">
        <v>66</v>
      </c>
      <c r="Q67" s="165" t="s">
        <v>187</v>
      </c>
      <c r="R67" s="165" t="s">
        <v>358</v>
      </c>
      <c r="S67" s="165" t="s">
        <v>23</v>
      </c>
      <c r="T67" s="164" t="str" cm="1">
        <f t="array" ref="T67">IFERROR( INDEX(韻母對照表[注音二式], MATCH(TRUE, EXACT( _xlfn.CONCAT(R67, LEFT(S67,1)), 韻母對照表[十五音識別碼]),0)), "")</f>
        <v>iorh</v>
      </c>
      <c r="U67" s="164" t="s">
        <v>363</v>
      </c>
      <c r="V67" s="164" t="s">
        <v>2189</v>
      </c>
      <c r="W67" s="167" t="s">
        <v>362</v>
      </c>
      <c r="X67" s="174">
        <f t="shared" ref="X67:Z101" si="2">LEN(T67)</f>
        <v>4</v>
      </c>
      <c r="Y67" t="str">
        <f t="shared" ref="Y67:AA101" si="3" xml:space="preserve"> _xlfn.CONCAT("      - xform/",T67,"/",U67,"/")</f>
        <v xml:space="preserve">      - xform/iorh/ioh/</v>
      </c>
      <c r="Z67"/>
    </row>
    <row r="68" spans="1:26" ht="29.25">
      <c r="A68" s="62">
        <v>77</v>
      </c>
      <c r="B68" s="2" t="s">
        <v>410</v>
      </c>
      <c r="C68" s="2" t="s">
        <v>409</v>
      </c>
      <c r="D68" s="92" t="s">
        <v>1178</v>
      </c>
      <c r="E68" s="15" t="s">
        <v>60</v>
      </c>
      <c r="F68" s="1" t="s">
        <v>60</v>
      </c>
      <c r="G68" s="1" t="s">
        <v>60</v>
      </c>
      <c r="H68" s="1" t="s">
        <v>60</v>
      </c>
      <c r="I68" s="90" t="s">
        <v>60</v>
      </c>
      <c r="J68" s="1" t="s">
        <v>155</v>
      </c>
      <c r="K68" s="1" t="s">
        <v>58</v>
      </c>
      <c r="L68" s="1" t="s">
        <v>221</v>
      </c>
      <c r="M68" s="1" t="s">
        <v>17</v>
      </c>
      <c r="N68" s="63" t="s">
        <v>411</v>
      </c>
      <c r="P68" s="173">
        <v>67</v>
      </c>
      <c r="Q68" s="165" t="s">
        <v>193</v>
      </c>
      <c r="R68" s="165" t="s">
        <v>368</v>
      </c>
      <c r="S68" s="165" t="s">
        <v>17</v>
      </c>
      <c r="T68" s="164" t="str" cm="1">
        <f t="array" ref="T68">IFERROR( INDEX(韻母對照表[注音二式], MATCH(TRUE, EXACT( _xlfn.CONCAT(R68, LEFT(S68,1)), 韻母對照表[十五音識別碼]),0)), "")</f>
        <v>inn</v>
      </c>
      <c r="U68" s="164" t="s">
        <v>372</v>
      </c>
      <c r="V68" s="164" t="s">
        <v>369</v>
      </c>
      <c r="W68" s="166" t="s">
        <v>366</v>
      </c>
      <c r="X68" s="174">
        <f t="shared" si="2"/>
        <v>3</v>
      </c>
      <c r="Y68" t="str">
        <f t="shared" si="3"/>
        <v xml:space="preserve">      - xform/inn/ni/</v>
      </c>
      <c r="Z68"/>
    </row>
    <row r="69" spans="1:26" ht="29.25">
      <c r="A69" s="62">
        <v>78</v>
      </c>
      <c r="B69" s="2" t="s">
        <v>410</v>
      </c>
      <c r="C69" s="2" t="s">
        <v>412</v>
      </c>
      <c r="D69" s="92" t="s">
        <v>2435</v>
      </c>
      <c r="E69" s="15" t="s">
        <v>65</v>
      </c>
      <c r="F69" s="1" t="s">
        <v>65</v>
      </c>
      <c r="G69" s="1" t="s">
        <v>65</v>
      </c>
      <c r="H69" s="1" t="s">
        <v>65</v>
      </c>
      <c r="I69" s="90" t="s">
        <v>65</v>
      </c>
      <c r="J69" s="1" t="s">
        <v>927</v>
      </c>
      <c r="K69" s="1" t="s">
        <v>2230</v>
      </c>
      <c r="L69" s="1" t="s">
        <v>221</v>
      </c>
      <c r="M69" s="1" t="s">
        <v>23</v>
      </c>
      <c r="N69" s="63" t="s">
        <v>413</v>
      </c>
      <c r="P69" s="164">
        <v>68</v>
      </c>
      <c r="Q69" s="165" t="s">
        <v>193</v>
      </c>
      <c r="R69" s="165" t="s">
        <v>368</v>
      </c>
      <c r="S69" s="165" t="s">
        <v>17</v>
      </c>
      <c r="T69" s="164" t="str" cm="1">
        <f t="array" ref="T69">IFERROR( INDEX(韻母對照表[注音二式], MATCH(TRUE, EXACT( _xlfn.CONCAT(R69, LEFT(S69,1)), 韻母對照表[十五音識別碼]),0)), "")</f>
        <v>inn</v>
      </c>
      <c r="U69" s="164" t="s">
        <v>377</v>
      </c>
      <c r="V69" s="164" t="s">
        <v>2331</v>
      </c>
      <c r="W69" s="167" t="s">
        <v>374</v>
      </c>
      <c r="X69" s="174">
        <f t="shared" si="2"/>
        <v>3</v>
      </c>
      <c r="Y69" t="str">
        <f t="shared" si="3"/>
        <v xml:space="preserve">      - xform/inn/nih/</v>
      </c>
      <c r="Z69"/>
    </row>
    <row r="70" spans="1:26" ht="29.25">
      <c r="A70" s="62">
        <v>79</v>
      </c>
      <c r="B70" s="5" t="s">
        <v>415</v>
      </c>
      <c r="C70" s="5" t="s">
        <v>414</v>
      </c>
      <c r="D70" s="92" t="s">
        <v>2436</v>
      </c>
      <c r="E70" s="15" t="s">
        <v>417</v>
      </c>
      <c r="F70" s="1" t="s">
        <v>417</v>
      </c>
      <c r="G70" s="1" t="s">
        <v>417</v>
      </c>
      <c r="H70" s="1" t="s">
        <v>419</v>
      </c>
      <c r="I70" s="90" t="s">
        <v>1264</v>
      </c>
      <c r="J70" s="1" t="s">
        <v>416</v>
      </c>
      <c r="K70" s="1" t="s">
        <v>2268</v>
      </c>
      <c r="L70" s="1" t="s">
        <v>228</v>
      </c>
      <c r="M70" s="1" t="s">
        <v>17</v>
      </c>
      <c r="N70" s="63" t="s">
        <v>420</v>
      </c>
      <c r="P70" s="173">
        <v>69</v>
      </c>
      <c r="Q70" s="165" t="s">
        <v>199</v>
      </c>
      <c r="R70" s="165" t="s">
        <v>381</v>
      </c>
      <c r="S70" s="165" t="s">
        <v>17</v>
      </c>
      <c r="T70" s="164" t="str" cm="1">
        <f t="array" ref="T70">IFERROR( INDEX(韻母對照表[注音二式], MATCH(TRUE, EXACT( _xlfn.CONCAT(R70, LEFT(S70,1)), 韻母對照表[十五音識別碼]),0)), "")</f>
        <v>ioonn</v>
      </c>
      <c r="U70" s="164" t="s">
        <v>2337</v>
      </c>
      <c r="V70" s="164" t="s">
        <v>382</v>
      </c>
      <c r="W70" s="172" t="s">
        <v>379</v>
      </c>
      <c r="X70" s="174">
        <f t="shared" si="2"/>
        <v>5</v>
      </c>
      <c r="Y70" t="str">
        <f t="shared" si="3"/>
        <v xml:space="preserve">      - xform/ioonn/nio/</v>
      </c>
      <c r="Z70"/>
    </row>
    <row r="71" spans="1:26" ht="29.25">
      <c r="A71" s="62">
        <v>81</v>
      </c>
      <c r="B71" s="10" t="s">
        <v>422</v>
      </c>
      <c r="C71" s="5" t="s">
        <v>421</v>
      </c>
      <c r="D71" s="92" t="s">
        <v>907</v>
      </c>
      <c r="E71" s="15" t="s">
        <v>425</v>
      </c>
      <c r="F71" s="1" t="s">
        <v>425</v>
      </c>
      <c r="G71" s="1" t="s">
        <v>424</v>
      </c>
      <c r="H71" s="1" t="s">
        <v>427</v>
      </c>
      <c r="I71" s="90" t="s">
        <v>1265</v>
      </c>
      <c r="J71" s="1" t="s">
        <v>928</v>
      </c>
      <c r="K71" s="1" t="s">
        <v>2269</v>
      </c>
      <c r="L71" s="1" t="s">
        <v>233</v>
      </c>
      <c r="M71" s="1" t="s">
        <v>17</v>
      </c>
      <c r="N71" s="63" t="s">
        <v>428</v>
      </c>
      <c r="P71" s="164">
        <v>70</v>
      </c>
      <c r="Q71" s="165" t="s">
        <v>199</v>
      </c>
      <c r="R71" s="165" t="s">
        <v>381</v>
      </c>
      <c r="S71" s="165" t="s">
        <v>17</v>
      </c>
      <c r="T71" s="164" t="str" cm="1">
        <f t="array" ref="T71">IFERROR( INDEX(韻母對照表[注音二式], MATCH(TRUE, EXACT( _xlfn.CONCAT(R71, LEFT(S71,1)), 韻母對照表[十五音識別碼]),0)), "")</f>
        <v>ioonn</v>
      </c>
      <c r="U71" s="164" t="s">
        <v>2338</v>
      </c>
      <c r="V71" s="164" t="str">
        <f xml:space="preserve"> _xlfn.CONCAT(V70, "ㆷ")</f>
        <v>ㄧㆧㆷ</v>
      </c>
      <c r="W71" s="172"/>
      <c r="X71" s="174">
        <f t="shared" si="2"/>
        <v>5</v>
      </c>
      <c r="Y71" t="str">
        <f t="shared" si="3"/>
        <v xml:space="preserve">      - xform/ioonn/nioh/</v>
      </c>
      <c r="Z71"/>
    </row>
    <row r="72" spans="1:26" ht="29.25">
      <c r="A72" s="62">
        <v>83</v>
      </c>
      <c r="B72" s="2" t="s">
        <v>429</v>
      </c>
      <c r="C72" s="2" t="s">
        <v>429</v>
      </c>
      <c r="D72" s="92" t="s">
        <v>2437</v>
      </c>
      <c r="E72" s="15" t="s">
        <v>432</v>
      </c>
      <c r="F72" s="1" t="s">
        <v>432</v>
      </c>
      <c r="G72" s="1" t="s">
        <v>432</v>
      </c>
      <c r="H72" s="1" t="s">
        <v>432</v>
      </c>
      <c r="I72" s="90" t="s">
        <v>432</v>
      </c>
      <c r="J72" s="1" t="s">
        <v>431</v>
      </c>
      <c r="K72" s="1" t="s">
        <v>586</v>
      </c>
      <c r="L72" s="1" t="s">
        <v>239</v>
      </c>
      <c r="M72" s="1" t="s">
        <v>17</v>
      </c>
      <c r="N72" s="63" t="s">
        <v>433</v>
      </c>
      <c r="P72" s="173">
        <v>71</v>
      </c>
      <c r="Q72" s="165" t="s">
        <v>205</v>
      </c>
      <c r="R72" s="165" t="s">
        <v>389</v>
      </c>
      <c r="S72" s="165" t="s">
        <v>17</v>
      </c>
      <c r="T72" s="164" t="str" cm="1">
        <f t="array" ref="T72">IFERROR( INDEX(韻母對照表[注音二式], MATCH(TRUE, EXACT( _xlfn.CONCAT(R72, LEFT(S72,1)), 韻母對照表[十五音識別碼]),0)), "")</f>
        <v>iann</v>
      </c>
      <c r="U72" s="164" t="s">
        <v>394</v>
      </c>
      <c r="V72" s="164" t="s">
        <v>390</v>
      </c>
      <c r="W72" s="166" t="s">
        <v>388</v>
      </c>
      <c r="X72" s="174">
        <f t="shared" si="2"/>
        <v>4</v>
      </c>
      <c r="Y72" t="str">
        <f t="shared" si="3"/>
        <v xml:space="preserve">      - xform/iann/nia/</v>
      </c>
      <c r="Z72"/>
    </row>
    <row r="73" spans="1:26" ht="29.25">
      <c r="A73" s="62">
        <v>85</v>
      </c>
      <c r="B73" s="4" t="s">
        <v>436</v>
      </c>
      <c r="C73" s="5" t="s">
        <v>434</v>
      </c>
      <c r="D73" s="92" t="s">
        <v>2438</v>
      </c>
      <c r="E73" s="15" t="s">
        <v>437</v>
      </c>
      <c r="F73" s="1" t="s">
        <v>437</v>
      </c>
      <c r="G73" s="1" t="s">
        <v>437</v>
      </c>
      <c r="H73" s="1" t="s">
        <v>437</v>
      </c>
      <c r="I73" s="90" t="s">
        <v>438</v>
      </c>
      <c r="J73" s="1" t="s">
        <v>929</v>
      </c>
      <c r="K73" s="1" t="s">
        <v>2195</v>
      </c>
      <c r="L73" s="1" t="s">
        <v>245</v>
      </c>
      <c r="M73" s="1" t="s">
        <v>17</v>
      </c>
      <c r="N73" s="63" t="s">
        <v>439</v>
      </c>
      <c r="P73" s="164">
        <v>72</v>
      </c>
      <c r="Q73" s="165" t="s">
        <v>205</v>
      </c>
      <c r="R73" s="165" t="s">
        <v>389</v>
      </c>
      <c r="S73" s="165" t="s">
        <v>17</v>
      </c>
      <c r="T73" s="164" t="str" cm="1">
        <f t="array" ref="T73">IFERROR( INDEX(韻母對照表[注音二式], MATCH(TRUE, EXACT( _xlfn.CONCAT(R73, LEFT(S73,1)), 韻母對照表[十五音識別碼]),0)), "")</f>
        <v>iann</v>
      </c>
      <c r="U73" s="164" t="s">
        <v>2339</v>
      </c>
      <c r="V73" s="164" t="str">
        <f xml:space="preserve"> _xlfn.CONCAT(V72, "ㆷ")</f>
        <v>ㄧㆩㆷ</v>
      </c>
      <c r="W73" s="166"/>
      <c r="X73" s="174">
        <f t="shared" si="2"/>
        <v>4</v>
      </c>
      <c r="Y73" t="str">
        <f t="shared" si="3"/>
        <v xml:space="preserve">      - xform/iann/niah/</v>
      </c>
      <c r="Z73"/>
    </row>
    <row r="74" spans="1:26" ht="29.25">
      <c r="A74" s="62">
        <v>86</v>
      </c>
      <c r="B74" s="4" t="s">
        <v>436</v>
      </c>
      <c r="C74" s="5" t="s">
        <v>440</v>
      </c>
      <c r="D74" s="92" t="s">
        <v>2439</v>
      </c>
      <c r="E74" s="15" t="s">
        <v>443</v>
      </c>
      <c r="F74" s="1" t="s">
        <v>443</v>
      </c>
      <c r="G74" s="1" t="s">
        <v>443</v>
      </c>
      <c r="H74" s="1" t="s">
        <v>443</v>
      </c>
      <c r="I74" s="90" t="s">
        <v>444</v>
      </c>
      <c r="J74" s="1" t="s">
        <v>442</v>
      </c>
      <c r="K74" s="1" t="s">
        <v>2270</v>
      </c>
      <c r="L74" s="1" t="s">
        <v>245</v>
      </c>
      <c r="M74" s="1" t="s">
        <v>23</v>
      </c>
      <c r="N74" s="63" t="s">
        <v>445</v>
      </c>
      <c r="P74" s="173">
        <v>73</v>
      </c>
      <c r="Q74" s="165" t="s">
        <v>209</v>
      </c>
      <c r="R74" s="165" t="s">
        <v>397</v>
      </c>
      <c r="S74" s="165" t="s">
        <v>17</v>
      </c>
      <c r="T74" s="164" t="str" cm="1">
        <f t="array" ref="T74">IFERROR( INDEX(韻母對照表[注音二式], MATCH(TRUE, EXACT( _xlfn.CONCAT(R74, LEFT(S74,1)), 韻母對照表[十五音識別碼]),0)), "")</f>
        <v>uann</v>
      </c>
      <c r="U74" s="164" t="s">
        <v>401</v>
      </c>
      <c r="V74" s="164" t="s">
        <v>398</v>
      </c>
      <c r="W74" s="166" t="s">
        <v>396</v>
      </c>
      <c r="X74" s="174">
        <f t="shared" si="2"/>
        <v>4</v>
      </c>
      <c r="Y74" t="str">
        <f t="shared" si="3"/>
        <v xml:space="preserve">      - xform/uann/nua/</v>
      </c>
      <c r="Z74"/>
    </row>
    <row r="75" spans="1:26" ht="29.25">
      <c r="A75" s="62">
        <v>87</v>
      </c>
      <c r="B75" s="6" t="s">
        <v>447</v>
      </c>
      <c r="C75" s="2" t="s">
        <v>446</v>
      </c>
      <c r="D75" s="92" t="s">
        <v>2440</v>
      </c>
      <c r="E75" s="15" t="s">
        <v>449</v>
      </c>
      <c r="F75" s="1" t="s">
        <v>449</v>
      </c>
      <c r="G75" s="1" t="s">
        <v>449</v>
      </c>
      <c r="H75" s="1" t="s">
        <v>451</v>
      </c>
      <c r="I75" s="90" t="s">
        <v>1266</v>
      </c>
      <c r="J75" s="1" t="s">
        <v>448</v>
      </c>
      <c r="K75" s="1" t="s">
        <v>2271</v>
      </c>
      <c r="L75" s="1" t="s">
        <v>252</v>
      </c>
      <c r="M75" s="1" t="s">
        <v>17</v>
      </c>
      <c r="N75" s="63" t="s">
        <v>452</v>
      </c>
      <c r="P75" s="164">
        <v>74</v>
      </c>
      <c r="Q75" s="165" t="s">
        <v>209</v>
      </c>
      <c r="R75" s="165" t="s">
        <v>397</v>
      </c>
      <c r="S75" s="165" t="s">
        <v>17</v>
      </c>
      <c r="T75" s="164" t="str" cm="1">
        <f t="array" ref="T75">IFERROR( INDEX(韻母對照表[注音二式], MATCH(TRUE, EXACT( _xlfn.CONCAT(R75, LEFT(S75,1)), 韻母對照表[十五音識別碼]),0)), "")</f>
        <v>uann</v>
      </c>
      <c r="U75" s="164" t="s">
        <v>2340</v>
      </c>
      <c r="V75" s="164" t="str">
        <f xml:space="preserve"> _xlfn.CONCAT(V74, "ㆷ")</f>
        <v>ㄨㆩㆷ</v>
      </c>
      <c r="W75" s="166"/>
      <c r="X75" s="174">
        <f t="shared" si="2"/>
        <v>4</v>
      </c>
      <c r="Y75" t="str">
        <f t="shared" si="3"/>
        <v xml:space="preserve">      - xform/uann/nuah/</v>
      </c>
      <c r="Z75"/>
    </row>
    <row r="76" spans="1:26" ht="29.25">
      <c r="A76" s="62">
        <v>88</v>
      </c>
      <c r="B76" s="6" t="s">
        <v>447</v>
      </c>
      <c r="C76" s="8" t="s">
        <v>453</v>
      </c>
      <c r="D76" s="92" t="s">
        <v>2441</v>
      </c>
      <c r="E76" s="15" t="s">
        <v>455</v>
      </c>
      <c r="F76" s="1" t="s">
        <v>454</v>
      </c>
      <c r="G76" s="1" t="s">
        <v>455</v>
      </c>
      <c r="H76" s="1" t="s">
        <v>456</v>
      </c>
      <c r="I76" s="90" t="s">
        <v>1267</v>
      </c>
      <c r="J76" s="1" t="s">
        <v>930</v>
      </c>
      <c r="K76" s="1" t="s">
        <v>2272</v>
      </c>
      <c r="L76" s="1" t="s">
        <v>252</v>
      </c>
      <c r="M76" s="1" t="s">
        <v>23</v>
      </c>
      <c r="N76" s="63" t="s">
        <v>457</v>
      </c>
      <c r="P76" s="173">
        <v>75</v>
      </c>
      <c r="Q76" s="165" t="s">
        <v>215</v>
      </c>
      <c r="R76" s="165" t="s">
        <v>405</v>
      </c>
      <c r="S76" s="165" t="s">
        <v>17</v>
      </c>
      <c r="T76" s="164" t="str" cm="1">
        <f t="array" ref="T76">IFERROR( INDEX(韻母對照表[注音二式], MATCH(TRUE, EXACT( _xlfn.CONCAT(R76, LEFT(S76,1)), 韻母對照表[十五音識別碼]),0)), "")</f>
        <v>ng</v>
      </c>
      <c r="U76" s="164" t="s">
        <v>407</v>
      </c>
      <c r="V76" s="164" t="s">
        <v>406</v>
      </c>
      <c r="W76" s="166" t="s">
        <v>403</v>
      </c>
      <c r="X76" s="174">
        <f t="shared" si="2"/>
        <v>2</v>
      </c>
      <c r="Y76" t="str">
        <f t="shared" si="3"/>
        <v xml:space="preserve">      - xform/ng/ng/</v>
      </c>
      <c r="Z76"/>
    </row>
    <row r="77" spans="1:26" ht="39">
      <c r="A77" s="62">
        <v>89</v>
      </c>
      <c r="B77" s="11" t="s">
        <v>458</v>
      </c>
      <c r="C77" s="2" t="s">
        <v>512</v>
      </c>
      <c r="D77" s="92" t="s">
        <v>2442</v>
      </c>
      <c r="E77" s="15" t="s">
        <v>460</v>
      </c>
      <c r="F77" s="1" t="s">
        <v>460</v>
      </c>
      <c r="G77" s="1" t="s">
        <v>460</v>
      </c>
      <c r="H77" s="1" t="s">
        <v>462</v>
      </c>
      <c r="I77" s="90" t="s">
        <v>1268</v>
      </c>
      <c r="J77" s="1" t="s">
        <v>459</v>
      </c>
      <c r="K77" s="1" t="s">
        <v>2273</v>
      </c>
      <c r="L77" s="1" t="s">
        <v>258</v>
      </c>
      <c r="M77" s="1" t="s">
        <v>17</v>
      </c>
      <c r="N77" s="63" t="s">
        <v>463</v>
      </c>
      <c r="P77" s="164">
        <v>76</v>
      </c>
      <c r="Q77" s="165" t="s">
        <v>215</v>
      </c>
      <c r="R77" s="165" t="s">
        <v>405</v>
      </c>
      <c r="S77" s="165" t="s">
        <v>17</v>
      </c>
      <c r="T77" s="164" t="str" cm="1">
        <f t="array" ref="T77">IFERROR( INDEX(韻母對照表[注音二式], MATCH(TRUE, EXACT( _xlfn.CONCAT(R77, LEFT(S77,1)), 韻母對照表[十五音識別碼]),0)), "")</f>
        <v>ng</v>
      </c>
      <c r="U77" s="164" t="s">
        <v>2175</v>
      </c>
      <c r="V77" s="164" t="str">
        <f xml:space="preserve"> _xlfn.CONCAT(V76, "ㆷ")</f>
        <v>ㆭㆷ</v>
      </c>
      <c r="W77" s="166"/>
      <c r="X77" s="174">
        <f t="shared" si="2"/>
        <v>2</v>
      </c>
      <c r="Y77" t="str">
        <f t="shared" si="3"/>
        <v xml:space="preserve">      - xform/ng/ngh/</v>
      </c>
      <c r="Z77"/>
    </row>
    <row r="78" spans="1:26" ht="29.25">
      <c r="A78" s="62">
        <v>91</v>
      </c>
      <c r="B78" s="10" t="s">
        <v>465</v>
      </c>
      <c r="C78" s="4" t="s">
        <v>464</v>
      </c>
      <c r="D78" s="92" t="s">
        <v>2443</v>
      </c>
      <c r="E78" s="15" t="s">
        <v>467</v>
      </c>
      <c r="F78" s="1" t="s">
        <v>467</v>
      </c>
      <c r="G78" s="1" t="s">
        <v>467</v>
      </c>
      <c r="H78" s="1" t="s">
        <v>469</v>
      </c>
      <c r="I78" s="90" t="s">
        <v>1269</v>
      </c>
      <c r="J78" s="1" t="s">
        <v>466</v>
      </c>
      <c r="K78" s="1" t="s">
        <v>2274</v>
      </c>
      <c r="L78" s="1" t="s">
        <v>265</v>
      </c>
      <c r="M78" s="1" t="s">
        <v>17</v>
      </c>
      <c r="N78" s="63" t="s">
        <v>470</v>
      </c>
      <c r="P78" s="173">
        <v>77</v>
      </c>
      <c r="Q78" s="165" t="s">
        <v>221</v>
      </c>
      <c r="R78" s="165" t="s">
        <v>410</v>
      </c>
      <c r="S78" s="165" t="s">
        <v>17</v>
      </c>
      <c r="T78" s="164" t="str" cm="1">
        <f t="array" ref="T78">IFERROR( INDEX(韻母對照表[注音二式], MATCH(TRUE, EXACT( _xlfn.CONCAT(R78, LEFT(S78,1)), 韻母對照表[十五音識別碼]),0)), "")</f>
        <v>e</v>
      </c>
      <c r="U78" s="164" t="s">
        <v>60</v>
      </c>
      <c r="V78" s="164" t="s">
        <v>155</v>
      </c>
      <c r="W78" s="166" t="s">
        <v>409</v>
      </c>
      <c r="X78" s="174">
        <f t="shared" si="2"/>
        <v>1</v>
      </c>
      <c r="Y78" t="str">
        <f t="shared" si="3"/>
        <v xml:space="preserve">      - xform/e/e/</v>
      </c>
      <c r="Z78"/>
    </row>
    <row r="79" spans="1:26" ht="39">
      <c r="A79" s="62">
        <v>92</v>
      </c>
      <c r="B79" s="2" t="s">
        <v>465</v>
      </c>
      <c r="C79" s="2" t="s">
        <v>512</v>
      </c>
      <c r="D79" s="92" t="s">
        <v>2444</v>
      </c>
      <c r="E79" s="15" t="s">
        <v>472</v>
      </c>
      <c r="F79" s="1" t="s">
        <v>471</v>
      </c>
      <c r="G79" s="1" t="s">
        <v>472</v>
      </c>
      <c r="H79" s="1" t="s">
        <v>473</v>
      </c>
      <c r="I79" s="90" t="s">
        <v>1270</v>
      </c>
      <c r="J79" s="1" t="s">
        <v>931</v>
      </c>
      <c r="K79" s="1" t="s">
        <v>2275</v>
      </c>
      <c r="L79" s="1" t="s">
        <v>265</v>
      </c>
      <c r="M79" s="1" t="s">
        <v>23</v>
      </c>
      <c r="N79" s="63" t="s">
        <v>474</v>
      </c>
      <c r="P79" s="164">
        <v>78</v>
      </c>
      <c r="Q79" s="165" t="s">
        <v>221</v>
      </c>
      <c r="R79" s="165" t="s">
        <v>410</v>
      </c>
      <c r="S79" s="165" t="s">
        <v>17</v>
      </c>
      <c r="T79" s="164" t="str" cm="1">
        <f t="array" ref="T79">IFERROR( INDEX(韻母對照表[注音二式], MATCH(TRUE, EXACT( _xlfn.CONCAT(R79, LEFT(S79,1)), 韻母對照表[十五音識別碼]),0)), "")</f>
        <v>e</v>
      </c>
      <c r="U79" s="164" t="s">
        <v>65</v>
      </c>
      <c r="V79" s="164" t="s">
        <v>2182</v>
      </c>
      <c r="W79" s="166" t="s">
        <v>412</v>
      </c>
      <c r="X79" s="174">
        <f t="shared" si="2"/>
        <v>1</v>
      </c>
      <c r="Y79" t="str">
        <f t="shared" si="3"/>
        <v xml:space="preserve">      - xform/e/eh/</v>
      </c>
      <c r="Z79"/>
    </row>
    <row r="80" spans="1:26" ht="29.25">
      <c r="A80" s="62">
        <v>93</v>
      </c>
      <c r="B80" s="12" t="s">
        <v>477</v>
      </c>
      <c r="C80" s="4" t="s">
        <v>475</v>
      </c>
      <c r="D80" s="92" t="s">
        <v>2445</v>
      </c>
      <c r="E80" s="15" t="s">
        <v>2153</v>
      </c>
      <c r="F80" s="1" t="s">
        <v>479</v>
      </c>
      <c r="G80" s="1" t="s">
        <v>480</v>
      </c>
      <c r="H80" s="1" t="s">
        <v>2153</v>
      </c>
      <c r="I80" s="90" t="s">
        <v>479</v>
      </c>
      <c r="J80" s="1" t="s">
        <v>478</v>
      </c>
      <c r="K80" s="1" t="s">
        <v>2276</v>
      </c>
      <c r="L80" s="1" t="s">
        <v>270</v>
      </c>
      <c r="M80" s="1" t="s">
        <v>17</v>
      </c>
      <c r="N80" s="63" t="s">
        <v>481</v>
      </c>
      <c r="P80" s="173">
        <v>79</v>
      </c>
      <c r="Q80" s="165" t="s">
        <v>228</v>
      </c>
      <c r="R80" s="165" t="s">
        <v>415</v>
      </c>
      <c r="S80" s="165" t="s">
        <v>17</v>
      </c>
      <c r="T80" s="164" t="str" cm="1">
        <f t="array" ref="T80">IFERROR( INDEX(韻母對照表[注音二式], MATCH(TRUE, EXACT( _xlfn.CONCAT(R80, LEFT(S80,1)), 韻母對照表[十五音識別碼]),0)), "")</f>
        <v>ainn</v>
      </c>
      <c r="U80" s="164" t="s">
        <v>419</v>
      </c>
      <c r="V80" s="164" t="s">
        <v>416</v>
      </c>
      <c r="W80" s="169" t="s">
        <v>414</v>
      </c>
      <c r="X80" s="174">
        <f t="shared" si="2"/>
        <v>4</v>
      </c>
      <c r="Y80" t="str">
        <f t="shared" si="3"/>
        <v xml:space="preserve">      - xform/ainn/nai/</v>
      </c>
      <c r="Z80"/>
    </row>
    <row r="81" spans="1:27" ht="29.25">
      <c r="A81" s="62">
        <v>94</v>
      </c>
      <c r="B81" s="12" t="s">
        <v>477</v>
      </c>
      <c r="C81" s="2" t="s">
        <v>482</v>
      </c>
      <c r="D81" s="92" t="s">
        <v>884</v>
      </c>
      <c r="E81" s="15" t="s">
        <v>485</v>
      </c>
      <c r="F81" s="1" t="s">
        <v>485</v>
      </c>
      <c r="G81" s="1" t="s">
        <v>486</v>
      </c>
      <c r="H81" s="1" t="s">
        <v>485</v>
      </c>
      <c r="I81" s="90" t="s">
        <v>485</v>
      </c>
      <c r="J81" s="1" t="s">
        <v>484</v>
      </c>
      <c r="K81" s="1" t="s">
        <v>2277</v>
      </c>
      <c r="L81" s="1" t="s">
        <v>270</v>
      </c>
      <c r="M81" s="1" t="s">
        <v>23</v>
      </c>
      <c r="N81" s="63" t="s">
        <v>487</v>
      </c>
      <c r="P81" s="164">
        <v>80</v>
      </c>
      <c r="Q81" s="165" t="s">
        <v>228</v>
      </c>
      <c r="R81" s="165" t="s">
        <v>415</v>
      </c>
      <c r="S81" s="165" t="s">
        <v>17</v>
      </c>
      <c r="T81" s="164" t="str" cm="1">
        <f t="array" ref="T81">IFERROR( INDEX(韻母對照表[注音二式], MATCH(TRUE, EXACT( _xlfn.CONCAT(R81, LEFT(S81,1)), 韻母對照表[十五音識別碼]),0)), "")</f>
        <v>ainn</v>
      </c>
      <c r="U81" s="164" t="s">
        <v>2341</v>
      </c>
      <c r="V81" s="164" t="str">
        <f xml:space="preserve"> _xlfn.CONCAT(V80, "ㆷ")</f>
        <v>ㆮㆷ</v>
      </c>
      <c r="W81" s="169"/>
      <c r="X81" s="174">
        <f t="shared" si="2"/>
        <v>4</v>
      </c>
      <c r="Y81" t="str">
        <f t="shared" si="3"/>
        <v xml:space="preserve">      - xform/ainn/naih/</v>
      </c>
      <c r="Z81"/>
    </row>
    <row r="82" spans="1:27" ht="29.25">
      <c r="A82" s="62">
        <v>95</v>
      </c>
      <c r="B82" s="12" t="s">
        <v>489</v>
      </c>
      <c r="C82" s="8" t="s">
        <v>488</v>
      </c>
      <c r="D82" s="92" t="s">
        <v>2446</v>
      </c>
      <c r="E82" s="15" t="s">
        <v>491</v>
      </c>
      <c r="F82" s="1" t="s">
        <v>491</v>
      </c>
      <c r="G82" s="1" t="s">
        <v>491</v>
      </c>
      <c r="H82" s="1" t="s">
        <v>493</v>
      </c>
      <c r="I82" s="90" t="s">
        <v>1271</v>
      </c>
      <c r="J82" s="1" t="s">
        <v>490</v>
      </c>
      <c r="K82" s="1" t="s">
        <v>2278</v>
      </c>
      <c r="L82" s="1" t="s">
        <v>276</v>
      </c>
      <c r="M82" s="1" t="s">
        <v>17</v>
      </c>
      <c r="N82" s="63" t="s">
        <v>494</v>
      </c>
      <c r="P82" s="173">
        <v>81</v>
      </c>
      <c r="Q82" s="165" t="s">
        <v>233</v>
      </c>
      <c r="R82" s="165" t="s">
        <v>422</v>
      </c>
      <c r="S82" s="165" t="s">
        <v>17</v>
      </c>
      <c r="T82" s="164" t="str" cm="1">
        <f t="array" ref="T82">IFERROR( INDEX(韻母對照表[注音二式], MATCH(TRUE, EXACT( _xlfn.CONCAT(R82, LEFT(S82,1)), 韻母對照表[十五音識別碼]),0)), "")</f>
        <v>oonn</v>
      </c>
      <c r="U82" s="164" t="s">
        <v>427</v>
      </c>
      <c r="V82" s="164" t="s">
        <v>423</v>
      </c>
      <c r="W82" s="169" t="s">
        <v>421</v>
      </c>
      <c r="X82" s="174">
        <f t="shared" si="2"/>
        <v>4</v>
      </c>
      <c r="Y82" t="str">
        <f t="shared" si="3"/>
        <v xml:space="preserve">      - xform/oonn/noo/</v>
      </c>
      <c r="Z82"/>
    </row>
    <row r="83" spans="1:27" ht="29.25">
      <c r="A83" s="62">
        <v>97</v>
      </c>
      <c r="B83" s="11" t="s">
        <v>496</v>
      </c>
      <c r="C83" s="2" t="s">
        <v>495</v>
      </c>
      <c r="D83" s="92" t="s">
        <v>907</v>
      </c>
      <c r="E83" s="15" t="s">
        <v>425</v>
      </c>
      <c r="F83" s="1" t="s">
        <v>425</v>
      </c>
      <c r="G83" s="1" t="s">
        <v>498</v>
      </c>
      <c r="H83" s="1" t="s">
        <v>427</v>
      </c>
      <c r="I83" s="90" t="s">
        <v>497</v>
      </c>
      <c r="J83" s="1" t="s">
        <v>423</v>
      </c>
      <c r="K83" s="1" t="s">
        <v>2269</v>
      </c>
      <c r="L83" s="1" t="s">
        <v>280</v>
      </c>
      <c r="M83" s="1" t="s">
        <v>17</v>
      </c>
      <c r="N83" s="63" t="s">
        <v>499</v>
      </c>
      <c r="P83" s="164">
        <v>82</v>
      </c>
      <c r="Q83" s="165" t="s">
        <v>233</v>
      </c>
      <c r="R83" s="165" t="s">
        <v>422</v>
      </c>
      <c r="S83" s="165" t="s">
        <v>17</v>
      </c>
      <c r="T83" s="164" t="str" cm="1">
        <f t="array" ref="T83">IFERROR( INDEX(韻母對照表[注音二式], MATCH(TRUE, EXACT( _xlfn.CONCAT(R83, LEFT(S83,1)), 韻母對照表[十五音識別碼]),0)), "")</f>
        <v>oonn</v>
      </c>
      <c r="U83" s="164"/>
      <c r="V83" s="164"/>
      <c r="W83" s="169"/>
      <c r="X83" s="174">
        <f t="shared" si="2"/>
        <v>4</v>
      </c>
      <c r="Y83" t="str">
        <f t="shared" si="3"/>
        <v xml:space="preserve">      - xform/oonn//</v>
      </c>
      <c r="Z83"/>
    </row>
    <row r="84" spans="1:27" ht="39">
      <c r="A84" s="62">
        <v>98</v>
      </c>
      <c r="B84" s="11" t="s">
        <v>496</v>
      </c>
      <c r="C84" s="2" t="s">
        <v>512</v>
      </c>
      <c r="D84" s="92" t="s">
        <v>906</v>
      </c>
      <c r="E84" s="15" t="s">
        <v>501</v>
      </c>
      <c r="F84" s="1" t="s">
        <v>500</v>
      </c>
      <c r="G84" s="1" t="s">
        <v>1247</v>
      </c>
      <c r="H84" s="1" t="s">
        <v>502</v>
      </c>
      <c r="I84" s="90" t="s">
        <v>1272</v>
      </c>
      <c r="J84" s="1" t="s">
        <v>932</v>
      </c>
      <c r="K84" s="1" t="s">
        <v>2279</v>
      </c>
      <c r="L84" s="1" t="s">
        <v>280</v>
      </c>
      <c r="M84" s="1" t="s">
        <v>23</v>
      </c>
      <c r="N84" s="63" t="s">
        <v>503</v>
      </c>
      <c r="P84" s="173">
        <v>83</v>
      </c>
      <c r="Q84" s="165" t="s">
        <v>239</v>
      </c>
      <c r="R84" s="165" t="s">
        <v>429</v>
      </c>
      <c r="S84" s="165" t="s">
        <v>17</v>
      </c>
      <c r="T84" s="164" t="str" cm="1">
        <f t="array" ref="T84">IFERROR( INDEX(韻母對照表[注音二式], MATCH(TRUE, EXACT( _xlfn.CONCAT(R84, LEFT(S84,1)), 韻母對照表[十五音識別碼]),0)), "")</f>
        <v>m</v>
      </c>
      <c r="U84" s="164" t="s">
        <v>432</v>
      </c>
      <c r="V84" s="164" t="s">
        <v>431</v>
      </c>
      <c r="W84" s="166" t="s">
        <v>429</v>
      </c>
      <c r="X84" s="174">
        <f t="shared" si="2"/>
        <v>1</v>
      </c>
      <c r="Y84" t="str">
        <f t="shared" si="3"/>
        <v xml:space="preserve">      - xform/m/m/</v>
      </c>
      <c r="Z84"/>
    </row>
    <row r="85" spans="1:27" ht="29.25">
      <c r="A85" s="64">
        <v>99</v>
      </c>
      <c r="B85" s="65" t="s">
        <v>505</v>
      </c>
      <c r="C85" s="66" t="s">
        <v>504</v>
      </c>
      <c r="D85" s="93" t="s">
        <v>2447</v>
      </c>
      <c r="E85" s="96" t="s">
        <v>507</v>
      </c>
      <c r="F85" s="67" t="s">
        <v>507</v>
      </c>
      <c r="G85" s="67" t="s">
        <v>507</v>
      </c>
      <c r="H85" s="67" t="s">
        <v>509</v>
      </c>
      <c r="I85" s="91" t="s">
        <v>1273</v>
      </c>
      <c r="J85" s="67" t="s">
        <v>506</v>
      </c>
      <c r="K85" s="67" t="s">
        <v>2280</v>
      </c>
      <c r="L85" s="67" t="s">
        <v>288</v>
      </c>
      <c r="M85" s="67" t="s">
        <v>17</v>
      </c>
      <c r="N85" s="68" t="s">
        <v>510</v>
      </c>
      <c r="P85" s="164">
        <v>84</v>
      </c>
      <c r="Q85" s="165" t="s">
        <v>239</v>
      </c>
      <c r="R85" s="165" t="s">
        <v>429</v>
      </c>
      <c r="S85" s="165" t="s">
        <v>17</v>
      </c>
      <c r="T85" s="164" t="str" cm="1">
        <f t="array" ref="T85">IFERROR( INDEX(韻母對照表[注音二式], MATCH(TRUE, EXACT( _xlfn.CONCAT(R85, LEFT(S85,1)), 韻母對照表[十五音識別碼]),0)), "")</f>
        <v>m</v>
      </c>
      <c r="U85" s="164"/>
      <c r="V85" s="164"/>
      <c r="W85" s="166"/>
      <c r="X85" s="174">
        <f t="shared" si="2"/>
        <v>1</v>
      </c>
      <c r="Y85" t="str">
        <f t="shared" si="3"/>
        <v xml:space="preserve">      - xform/m//</v>
      </c>
      <c r="Z85"/>
    </row>
    <row r="86" spans="1:27" ht="29.25">
      <c r="R86" s="173">
        <v>85</v>
      </c>
      <c r="S86" s="165" t="s">
        <v>245</v>
      </c>
      <c r="T86" s="165" t="s">
        <v>436</v>
      </c>
      <c r="U86" s="165" t="s">
        <v>17</v>
      </c>
      <c r="V86" s="164" t="str" cm="1">
        <f t="array" ref="V86">IFERROR( INDEX(韻母對照表[注音二式], MATCH(TRUE, EXACT( _xlfn.CONCAT(T86, LEFT(U86,1)), 韻母對照表[十五音識別碼]),0)), "")</f>
        <v>uang</v>
      </c>
      <c r="W86" s="164" t="s">
        <v>437</v>
      </c>
      <c r="X86" s="164" t="s">
        <v>2195</v>
      </c>
      <c r="Y86" s="169" t="s">
        <v>434</v>
      </c>
      <c r="Z86" s="174">
        <f t="shared" si="2"/>
        <v>4</v>
      </c>
      <c r="AA86" t="str">
        <f t="shared" si="3"/>
        <v xml:space="preserve">      - xform/uang/uang/</v>
      </c>
    </row>
    <row r="87" spans="1:27" ht="29.25">
      <c r="R87" s="164">
        <v>86</v>
      </c>
      <c r="S87" s="165" t="s">
        <v>245</v>
      </c>
      <c r="T87" s="165" t="s">
        <v>436</v>
      </c>
      <c r="U87" s="165" t="s">
        <v>23</v>
      </c>
      <c r="V87" s="164" t="str" cm="1">
        <f t="array" ref="V87">IFERROR( INDEX(韻母對照表[注音二式], MATCH(TRUE, EXACT( _xlfn.CONCAT(T87, LEFT(U87,1)), 韻母對照表[十五音識別碼]),0)), "")</f>
        <v>uak</v>
      </c>
      <c r="W87" s="164" t="s">
        <v>443</v>
      </c>
      <c r="X87" s="164" t="s">
        <v>442</v>
      </c>
      <c r="Y87" s="169" t="s">
        <v>440</v>
      </c>
      <c r="Z87" s="174">
        <f t="shared" si="2"/>
        <v>3</v>
      </c>
      <c r="AA87" t="str">
        <f t="shared" si="3"/>
        <v xml:space="preserve">      - xform/uak/uak/</v>
      </c>
    </row>
    <row r="88" spans="1:27" ht="29.25">
      <c r="R88" s="173">
        <v>87</v>
      </c>
      <c r="S88" s="165" t="s">
        <v>252</v>
      </c>
      <c r="T88" s="165" t="s">
        <v>447</v>
      </c>
      <c r="U88" s="165" t="s">
        <v>17</v>
      </c>
      <c r="V88" s="164" t="str" cm="1">
        <f t="array" ref="V88">IFERROR( INDEX(韻母對照表[注音二式], MATCH(TRUE, EXACT( _xlfn.CONCAT(T88, LEFT(U88,1)), 韻母對照表[十五音識別碼]),0)), "")</f>
        <v>uainn</v>
      </c>
      <c r="W88" s="164" t="s">
        <v>451</v>
      </c>
      <c r="X88" s="164" t="s">
        <v>448</v>
      </c>
      <c r="Y88" s="166" t="s">
        <v>446</v>
      </c>
      <c r="Z88" s="174">
        <f t="shared" si="2"/>
        <v>5</v>
      </c>
      <c r="AA88" t="str">
        <f t="shared" si="3"/>
        <v xml:space="preserve">      - xform/uainn/nuai/</v>
      </c>
    </row>
    <row r="89" spans="1:27" ht="29.25">
      <c r="R89" s="164">
        <v>88</v>
      </c>
      <c r="S89" s="165" t="s">
        <v>252</v>
      </c>
      <c r="T89" s="165" t="s">
        <v>447</v>
      </c>
      <c r="U89" s="165" t="s">
        <v>23</v>
      </c>
      <c r="V89" s="164" t="str" cm="1">
        <f t="array" ref="V89">IFERROR( INDEX(韻母對照表[注音二式], MATCH(TRUE, EXACT( _xlfn.CONCAT(T89, LEFT(U89,1)), 韻母對照表[十五音識別碼]),0)), "")</f>
        <v>uainnh</v>
      </c>
      <c r="W89" s="164" t="s">
        <v>456</v>
      </c>
      <c r="X89" s="164" t="s">
        <v>2197</v>
      </c>
      <c r="Y89" s="170" t="s">
        <v>453</v>
      </c>
      <c r="Z89" s="174">
        <f t="shared" si="2"/>
        <v>6</v>
      </c>
      <c r="AA89" t="str">
        <f t="shared" si="3"/>
        <v xml:space="preserve">      - xform/uainnh/nuaih/</v>
      </c>
    </row>
    <row r="90" spans="1:27" ht="29.25">
      <c r="R90" s="173">
        <v>89</v>
      </c>
      <c r="S90" s="165" t="s">
        <v>258</v>
      </c>
      <c r="T90" s="165" t="s">
        <v>458</v>
      </c>
      <c r="U90" s="165" t="s">
        <v>17</v>
      </c>
      <c r="V90" s="164" t="str" cm="1">
        <f t="array" ref="V90">IFERROR( INDEX(韻母對照表[注音二式], MATCH(TRUE, EXACT( _xlfn.CONCAT(T90, LEFT(U90,1)), 韻母對照表[十五音識別碼]),0)), "")</f>
        <v>uenn</v>
      </c>
      <c r="W90" s="164" t="s">
        <v>462</v>
      </c>
      <c r="X90" s="164" t="s">
        <v>459</v>
      </c>
      <c r="Y90" s="166" t="s">
        <v>2333</v>
      </c>
      <c r="Z90" s="174">
        <f t="shared" si="2"/>
        <v>4</v>
      </c>
      <c r="AA90" t="str">
        <f t="shared" si="3"/>
        <v xml:space="preserve">      - xform/uenn/nue/</v>
      </c>
    </row>
    <row r="91" spans="1:27" ht="29.25">
      <c r="R91" s="164">
        <v>90</v>
      </c>
      <c r="S91" s="165" t="s">
        <v>258</v>
      </c>
      <c r="T91" s="165"/>
      <c r="U91" s="165"/>
      <c r="V91" s="164" t="str" cm="1">
        <f t="array" ref="V91">IFERROR( INDEX(韻母對照表[注音二式], MATCH(TRUE, EXACT( _xlfn.CONCAT(T91, LEFT(U91,1)), 韻母對照表[十五音識別碼]),0)), "")</f>
        <v/>
      </c>
      <c r="W91" s="164"/>
      <c r="X91" s="164"/>
      <c r="Y91" s="166"/>
      <c r="Z91" s="174">
        <f t="shared" si="2"/>
        <v>0</v>
      </c>
      <c r="AA91" t="str">
        <f t="shared" si="3"/>
        <v xml:space="preserve">      - xform///</v>
      </c>
    </row>
    <row r="92" spans="1:27" ht="29.25">
      <c r="R92" s="173">
        <v>91</v>
      </c>
      <c r="S92" s="165" t="s">
        <v>265</v>
      </c>
      <c r="T92" s="165" t="s">
        <v>465</v>
      </c>
      <c r="U92" s="165" t="s">
        <v>17</v>
      </c>
      <c r="V92" s="164" t="str" cm="1">
        <f t="array" ref="V92">IFERROR( INDEX(韻母對照表[注音二式], MATCH(TRUE, EXACT( _xlfn.CONCAT(T92, LEFT(U92,1)), 韻母對照表[十五音識別碼]),0)), "")</f>
        <v>iaunn</v>
      </c>
      <c r="W92" s="164" t="s">
        <v>469</v>
      </c>
      <c r="X92" s="164" t="s">
        <v>466</v>
      </c>
      <c r="Y92" s="168" t="s">
        <v>464</v>
      </c>
      <c r="Z92" s="174">
        <f t="shared" si="2"/>
        <v>5</v>
      </c>
      <c r="AA92" t="str">
        <f t="shared" si="3"/>
        <v xml:space="preserve">      - xform/iaunn/niao/</v>
      </c>
    </row>
    <row r="93" spans="1:27" ht="29.25">
      <c r="R93" s="164">
        <v>92</v>
      </c>
      <c r="S93" s="165" t="s">
        <v>265</v>
      </c>
      <c r="T93" s="165" t="s">
        <v>465</v>
      </c>
      <c r="U93" s="165" t="s">
        <v>23</v>
      </c>
      <c r="V93" s="164" t="str" cm="1">
        <f t="array" ref="V93">IFERROR( INDEX(韻母對照表[注音二式], MATCH(TRUE, EXACT( _xlfn.CONCAT(T93, LEFT(U93,1)), 韻母對照表[十五音識別碼]),0)), "")</f>
        <v>iaunnh</v>
      </c>
      <c r="W93" s="164" t="s">
        <v>473</v>
      </c>
      <c r="X93" s="164" t="s">
        <v>2332</v>
      </c>
      <c r="Y93" s="166" t="s">
        <v>2333</v>
      </c>
      <c r="Z93" s="174">
        <f t="shared" si="2"/>
        <v>6</v>
      </c>
      <c r="AA93" t="str">
        <f t="shared" si="3"/>
        <v xml:space="preserve">      - xform/iaunnh/niaoh/</v>
      </c>
    </row>
    <row r="94" spans="1:27" ht="29.25">
      <c r="R94" s="173">
        <v>93</v>
      </c>
      <c r="S94" s="165" t="s">
        <v>270</v>
      </c>
      <c r="T94" s="165" t="s">
        <v>477</v>
      </c>
      <c r="U94" s="165" t="s">
        <v>17</v>
      </c>
      <c r="V94" s="164" t="str" cm="1">
        <f t="array" ref="V94">IFERROR( INDEX(韻母對照表[注音二式], MATCH(TRUE, EXACT( _xlfn.CONCAT(T94, LEFT(U94,1)), 韻母對照表[十五音識別碼]),0)), "")</f>
        <v>oom</v>
      </c>
      <c r="W94" s="164" t="s">
        <v>2342</v>
      </c>
      <c r="X94" s="164" t="s">
        <v>478</v>
      </c>
      <c r="Y94" s="168" t="s">
        <v>475</v>
      </c>
      <c r="Z94" s="174">
        <f t="shared" si="2"/>
        <v>3</v>
      </c>
      <c r="AA94" t="str">
        <f t="shared" si="3"/>
        <v xml:space="preserve">      - xform/oom/oom/</v>
      </c>
    </row>
    <row r="95" spans="1:27" ht="29.25">
      <c r="R95" s="164">
        <v>94</v>
      </c>
      <c r="S95" s="165" t="s">
        <v>270</v>
      </c>
      <c r="T95" s="165" t="s">
        <v>477</v>
      </c>
      <c r="U95" s="165" t="s">
        <v>23</v>
      </c>
      <c r="V95" s="164" t="str" cm="1">
        <f t="array" ref="V95">IFERROR( INDEX(韻母對照表[注音二式], MATCH(TRUE, EXACT( _xlfn.CONCAT(T95, LEFT(U95,1)), 韻母對照表[十五音識別碼]),0)), "")</f>
        <v>oop</v>
      </c>
      <c r="W95" s="164" t="s">
        <v>2343</v>
      </c>
      <c r="X95" s="164" t="s">
        <v>484</v>
      </c>
      <c r="Y95" s="166" t="s">
        <v>482</v>
      </c>
      <c r="Z95" s="174">
        <f t="shared" si="2"/>
        <v>3</v>
      </c>
      <c r="AA95" t="str">
        <f t="shared" si="3"/>
        <v xml:space="preserve">      - xform/oop/oop/</v>
      </c>
    </row>
    <row r="96" spans="1:27" ht="29.25">
      <c r="R96" s="173">
        <v>95</v>
      </c>
      <c r="S96" s="165" t="s">
        <v>276</v>
      </c>
      <c r="T96" s="165" t="s">
        <v>489</v>
      </c>
      <c r="U96" s="165" t="s">
        <v>17</v>
      </c>
      <c r="V96" s="164" t="str" cm="1">
        <f t="array" ref="V96">IFERROR( INDEX(韻母對照表[注音二式], MATCH(TRUE, EXACT( _xlfn.CONCAT(T96, LEFT(U96,1)), 韻母對照表[十五音識別碼]),0)), "")</f>
        <v>aunn</v>
      </c>
      <c r="W96" s="164" t="s">
        <v>493</v>
      </c>
      <c r="X96" s="164" t="s">
        <v>490</v>
      </c>
      <c r="Y96" s="170" t="s">
        <v>488</v>
      </c>
      <c r="Z96" s="174">
        <f t="shared" si="2"/>
        <v>4</v>
      </c>
      <c r="AA96" t="str">
        <f t="shared" si="3"/>
        <v xml:space="preserve">      - xform/aunn/nao/</v>
      </c>
    </row>
    <row r="97" spans="15:27" ht="29.25">
      <c r="R97" s="164">
        <v>96</v>
      </c>
      <c r="S97" s="165" t="s">
        <v>276</v>
      </c>
      <c r="T97" s="165"/>
      <c r="U97" s="165"/>
      <c r="V97" s="164" t="str" cm="1">
        <f t="array" ref="V97">IFERROR( INDEX(韻母對照表[注音二式], MATCH(TRUE, EXACT( _xlfn.CONCAT(T97, LEFT(U97,1)), 韻母對照表[十五音識別碼]),0)), "")</f>
        <v/>
      </c>
      <c r="W97" s="164"/>
      <c r="X97" s="164"/>
      <c r="Y97" s="170"/>
      <c r="Z97" s="174">
        <f t="shared" si="2"/>
        <v>0</v>
      </c>
      <c r="AA97" t="str">
        <f t="shared" si="3"/>
        <v xml:space="preserve">      - xform///</v>
      </c>
    </row>
    <row r="98" spans="15:27" ht="29.25">
      <c r="R98" s="173">
        <v>97</v>
      </c>
      <c r="S98" s="165" t="s">
        <v>280</v>
      </c>
      <c r="T98" s="165" t="s">
        <v>496</v>
      </c>
      <c r="U98" s="165" t="s">
        <v>17</v>
      </c>
      <c r="V98" s="164" t="str" cm="1">
        <f t="array" ref="V98">IFERROR( INDEX(韻母對照表[注音二式], MATCH(TRUE, EXACT( _xlfn.CONCAT(T98, LEFT(U98,1)), 韻母對照表[十五音識別碼]),0)), "")</f>
        <v>ornn</v>
      </c>
      <c r="W98" s="164" t="s">
        <v>2344</v>
      </c>
      <c r="X98" s="164" t="s">
        <v>423</v>
      </c>
      <c r="Y98" s="166" t="s">
        <v>495</v>
      </c>
      <c r="Z98" s="174">
        <f t="shared" si="2"/>
        <v>4</v>
      </c>
      <c r="AA98" t="str">
        <f t="shared" si="3"/>
        <v xml:space="preserve">      - xform/ornn/no/</v>
      </c>
    </row>
    <row r="99" spans="15:27" ht="29.25">
      <c r="R99" s="164">
        <v>98</v>
      </c>
      <c r="S99" s="165" t="s">
        <v>280</v>
      </c>
      <c r="T99" s="165" t="s">
        <v>496</v>
      </c>
      <c r="U99" s="165" t="s">
        <v>23</v>
      </c>
      <c r="V99" s="164" t="str" cm="1">
        <f t="array" ref="V99">IFERROR( INDEX(韻母對照表[注音二式], MATCH(TRUE, EXACT( _xlfn.CONCAT(T99, LEFT(U99,1)), 韻母對照表[十五音識別碼]),0)), "")</f>
        <v>onnh</v>
      </c>
      <c r="W99" s="164" t="s">
        <v>2345</v>
      </c>
      <c r="X99" s="164" t="s">
        <v>2192</v>
      </c>
      <c r="Y99" s="166" t="s">
        <v>2333</v>
      </c>
      <c r="Z99" s="174">
        <f t="shared" si="2"/>
        <v>4</v>
      </c>
      <c r="AA99" t="str">
        <f t="shared" si="3"/>
        <v xml:space="preserve">      - xform/onnh/noh/</v>
      </c>
    </row>
    <row r="100" spans="15:27" ht="29.25">
      <c r="R100" s="173">
        <v>99</v>
      </c>
      <c r="S100" s="165" t="s">
        <v>288</v>
      </c>
      <c r="T100" s="165" t="s">
        <v>505</v>
      </c>
      <c r="U100" s="165" t="s">
        <v>17</v>
      </c>
      <c r="V100" s="164" t="str" cm="1">
        <f t="array" ref="V100">IFERROR( INDEX(韻母對照表[注音二式], MATCH(TRUE, EXACT( _xlfn.CONCAT(T100, LEFT(U100,1)), 韻母對照表[十五音識別碼]),0)), "")</f>
        <v>iunn</v>
      </c>
      <c r="W100" s="164" t="s">
        <v>509</v>
      </c>
      <c r="X100" s="164" t="s">
        <v>506</v>
      </c>
      <c r="Y100" s="166" t="s">
        <v>504</v>
      </c>
      <c r="Z100" s="174">
        <f t="shared" si="2"/>
        <v>4</v>
      </c>
      <c r="AA100" t="str">
        <f t="shared" si="3"/>
        <v xml:space="preserve">      - xform/iunn/niu/</v>
      </c>
    </row>
    <row r="101" spans="15:27" ht="29.25">
      <c r="R101" s="173">
        <v>100</v>
      </c>
      <c r="S101" s="165" t="s">
        <v>288</v>
      </c>
      <c r="T101" s="165"/>
      <c r="U101" s="165"/>
      <c r="V101" s="164" t="str" cm="1">
        <f t="array" ref="V101">IFERROR( INDEX(韻母對照表[注音二式], MATCH(TRUE, EXACT( _xlfn.CONCAT(T101, LEFT(U101,1)), 韻母對照表[十五音識別碼]),0)), "")</f>
        <v/>
      </c>
      <c r="W101" s="164"/>
      <c r="X101" s="164"/>
      <c r="Y101" s="166"/>
      <c r="Z101" s="174">
        <f t="shared" si="2"/>
        <v>0</v>
      </c>
      <c r="AA101" t="str">
        <f t="shared" si="3"/>
        <v xml:space="preserve">      - xform///</v>
      </c>
    </row>
    <row r="102" spans="15:27">
      <c r="O102" s="163"/>
      <c r="P102" s="163"/>
      <c r="Q102" s="163"/>
      <c r="R102" s="163"/>
      <c r="S102" s="163"/>
      <c r="Z102" s="163"/>
    </row>
  </sheetData>
  <phoneticPr fontId="4" type="noConversion"/>
  <conditionalFormatting sqref="P2:X85">
    <cfRule type="expression" dxfId="3" priority="5">
      <formula xml:space="preserve"> MOD($P2,2)=0</formula>
    </cfRule>
    <cfRule type="expression" dxfId="2" priority="6">
      <formula xml:space="preserve"> MOD($P2,2)=1</formula>
    </cfRule>
  </conditionalFormatting>
  <conditionalFormatting sqref="R86:Z101">
    <cfRule type="expression" dxfId="1" priority="1">
      <formula xml:space="preserve"> MOD($R86,2)=0</formula>
    </cfRule>
    <cfRule type="expression" dxfId="0" priority="2">
      <formula xml:space="preserve"> MOD($R86,2)=1</formula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FD9F1-DD5F-429F-8F70-B42990D3F146}">
  <dimension ref="A1:AU101"/>
  <sheetViews>
    <sheetView showGridLines="0" workbookViewId="0">
      <pane ySplit="3" topLeftCell="A15" activePane="bottomLeft" state="frozen"/>
      <selection pane="bottomLeft" activeCell="J19" sqref="J19:J22"/>
    </sheetView>
  </sheetViews>
  <sheetFormatPr defaultRowHeight="26.25" outlineLevelCol="1"/>
  <cols>
    <col min="1" max="1" width="5.58203125" style="51" customWidth="1"/>
    <col min="2" max="4" width="10.25" style="51" customWidth="1"/>
    <col min="5" max="8" width="10.25" style="51" customWidth="1" outlineLevel="1"/>
    <col min="9" max="10" width="10.25" style="51" customWidth="1"/>
    <col min="11" max="11" width="3.5" style="51" customWidth="1"/>
    <col min="12" max="12" width="5.1640625" style="51" customWidth="1"/>
    <col min="13" max="14" width="10.08203125" style="51" customWidth="1"/>
    <col min="15" max="15" width="1.9140625" style="51" customWidth="1"/>
    <col min="16" max="16" width="9.1640625" style="121" bestFit="1" customWidth="1"/>
    <col min="17" max="17" width="6" style="124" customWidth="1" outlineLevel="1"/>
    <col min="18" max="18" width="6.1640625" style="124" customWidth="1" outlineLevel="1"/>
    <col min="19" max="19" width="11.1640625" style="121" customWidth="1"/>
    <col min="20" max="20" width="3" style="51" customWidth="1"/>
    <col min="21" max="21" width="34.5" style="122" customWidth="1"/>
    <col min="22" max="22" width="8.6640625" style="51"/>
    <col min="23" max="34" width="5" style="129" customWidth="1"/>
    <col min="35" max="40" width="12.9140625" style="133" bestFit="1" customWidth="1"/>
    <col min="41" max="43" width="13.25" style="133" customWidth="1"/>
    <col min="44" max="44" width="13.25" style="51" customWidth="1"/>
    <col min="45" max="16384" width="8.6640625" style="51"/>
  </cols>
  <sheetData>
    <row r="1" spans="1:47">
      <c r="A1" s="50" t="s">
        <v>2499</v>
      </c>
      <c r="C1" s="50"/>
      <c r="D1" s="50"/>
      <c r="H1" s="50"/>
      <c r="I1" s="50"/>
      <c r="J1" s="50"/>
      <c r="L1" s="50"/>
      <c r="Q1" s="123"/>
    </row>
    <row r="2" spans="1:47" ht="16.5" customHeight="1" thickBot="1">
      <c r="A2" s="142"/>
      <c r="C2" s="50"/>
      <c r="D2" s="50"/>
      <c r="H2" s="50"/>
      <c r="I2" s="50"/>
      <c r="J2" s="50"/>
      <c r="L2" s="50"/>
      <c r="U2" s="125"/>
      <c r="X2" s="129">
        <v>1</v>
      </c>
      <c r="Y2" s="129">
        <v>2</v>
      </c>
      <c r="Z2" s="129">
        <v>3</v>
      </c>
      <c r="AA2" s="129">
        <v>4</v>
      </c>
      <c r="AB2" s="129">
        <v>5</v>
      </c>
      <c r="AC2" s="129">
        <v>6</v>
      </c>
      <c r="AD2" s="129">
        <v>7</v>
      </c>
      <c r="AE2" s="129">
        <v>8</v>
      </c>
      <c r="AF2" s="129">
        <v>9</v>
      </c>
      <c r="AG2" s="129">
        <v>9</v>
      </c>
    </row>
    <row r="3" spans="1:47" ht="54.75" thickBot="1">
      <c r="A3" s="58" t="s">
        <v>895</v>
      </c>
      <c r="B3" s="140" t="s">
        <v>875</v>
      </c>
      <c r="C3" s="140" t="s">
        <v>756</v>
      </c>
      <c r="D3" s="58" t="s">
        <v>662</v>
      </c>
      <c r="E3" s="58" t="s">
        <v>873</v>
      </c>
      <c r="F3" s="58" t="s">
        <v>758</v>
      </c>
      <c r="G3" s="58" t="s">
        <v>870</v>
      </c>
      <c r="H3" s="58" t="s">
        <v>874</v>
      </c>
      <c r="I3" s="58" t="s">
        <v>757</v>
      </c>
      <c r="J3" s="58" t="s">
        <v>1308</v>
      </c>
      <c r="K3" s="53"/>
      <c r="L3" s="58" t="s">
        <v>896</v>
      </c>
      <c r="M3" s="58" t="str">
        <f t="shared" ref="M3:M18" si="0">E3</f>
        <v>台語注音二式</v>
      </c>
      <c r="N3" s="58" t="str">
        <f t="shared" ref="N3:N18" si="1">I3</f>
        <v>方音符號</v>
      </c>
      <c r="P3" s="58" t="s">
        <v>756</v>
      </c>
      <c r="Q3" s="52" t="s">
        <v>1301</v>
      </c>
      <c r="R3" s="127" t="s">
        <v>1299</v>
      </c>
      <c r="S3" s="58" t="s">
        <v>662</v>
      </c>
      <c r="U3" s="52"/>
      <c r="W3" s="128"/>
      <c r="Y3" s="131" t="s">
        <v>667</v>
      </c>
      <c r="Z3" s="131" t="s">
        <v>1306</v>
      </c>
      <c r="AA3" s="131"/>
      <c r="AB3" s="131" t="s">
        <v>760</v>
      </c>
      <c r="AC3" s="131" t="s">
        <v>754</v>
      </c>
      <c r="AD3" s="131" t="s">
        <v>666</v>
      </c>
      <c r="AE3" s="131" t="s">
        <v>1307</v>
      </c>
      <c r="AF3" s="131" t="s">
        <v>670</v>
      </c>
      <c r="AG3" s="131" t="s">
        <v>669</v>
      </c>
      <c r="AH3" s="130"/>
    </row>
    <row r="4" spans="1:47" ht="27.75" thickBot="1">
      <c r="A4" s="57">
        <v>1</v>
      </c>
      <c r="B4" s="139" t="s">
        <v>316</v>
      </c>
      <c r="C4" s="141" t="s">
        <v>316</v>
      </c>
      <c r="D4" s="57" t="s">
        <v>316</v>
      </c>
      <c r="E4" s="57" t="s">
        <v>316</v>
      </c>
      <c r="F4" s="57" t="s">
        <v>316</v>
      </c>
      <c r="G4" s="60" t="s">
        <v>316</v>
      </c>
      <c r="H4" s="54" t="s">
        <v>319</v>
      </c>
      <c r="I4" s="57" t="s">
        <v>318</v>
      </c>
      <c r="J4" s="57"/>
      <c r="K4" s="73"/>
      <c r="L4" s="54">
        <f t="shared" ref="L4:L35" si="2" xml:space="preserve"> LEN(M4)</f>
        <v>1</v>
      </c>
      <c r="M4" s="57" t="str">
        <f t="shared" si="0"/>
        <v>a</v>
      </c>
      <c r="N4" s="57" t="str">
        <f t="shared" si="1"/>
        <v>ㄚ</v>
      </c>
      <c r="P4" s="121" t="str">
        <f xml:space="preserve"> _xlfn.CONCAT(M4, "(\d)")</f>
        <v>a(\d)</v>
      </c>
      <c r="Q4" s="124" t="s">
        <v>316</v>
      </c>
      <c r="R4" s="124">
        <f xml:space="preserve"> IFERROR( IF(Q4="", "", SEARCH(Q4, $M4)), "")</f>
        <v>1</v>
      </c>
      <c r="S4" s="121" t="str">
        <f xml:space="preserve"> IFERROR( _xlfn.CONCAT(LEFT(M4,R4-1), "》", MID(M4,R4,1), "${1}", RIGHT(M4, LEN(M4)-R4)), "" )</f>
        <v>》a${1}</v>
      </c>
      <c r="T4" s="55"/>
      <c r="U4" s="56" t="str">
        <f xml:space="preserve"> IF(AND(N4&lt;&gt;"", M4&lt;&gt;""), "    - xform/》" &amp; P4 &amp;  "/"  &amp; S4 &amp;  "/", "")</f>
        <v xml:space="preserve">    - xform/》a(\d)/》a${1}/</v>
      </c>
      <c r="W4" s="129" t="s">
        <v>1225</v>
      </c>
      <c r="X4" s="132" t="str">
        <f xml:space="preserve"> _xlfn.CONCAT($W4, IF(X$3="", "", _xlfn.UNICHAR( HEX2DEC( RIGHT(X$3,4)))))</f>
        <v>a</v>
      </c>
      <c r="Y4" s="132" t="str">
        <f t="shared" ref="Y4:AG4" si="3" xml:space="preserve"> _xlfn.CONCAT($W4, IF(Y$3="", "", _xlfn.UNICHAR( HEX2DEC( RIGHT(Y$3,4)))))</f>
        <v>á</v>
      </c>
      <c r="Z4" s="132" t="str">
        <f t="shared" si="3"/>
        <v>à</v>
      </c>
      <c r="AA4" s="132" t="str">
        <f t="shared" si="3"/>
        <v>a</v>
      </c>
      <c r="AB4" s="132" t="str">
        <f t="shared" si="3"/>
        <v>ǎ</v>
      </c>
      <c r="AC4" s="132" t="str">
        <f t="shared" si="3"/>
        <v>á</v>
      </c>
      <c r="AD4" s="132" t="str">
        <f t="shared" si="3"/>
        <v>ā</v>
      </c>
      <c r="AE4" s="132" t="str">
        <f t="shared" si="3"/>
        <v>a̍</v>
      </c>
      <c r="AF4" s="132" t="str">
        <f t="shared" si="3"/>
        <v>a̋</v>
      </c>
      <c r="AG4" s="132" t="str">
        <f t="shared" si="3"/>
        <v>å</v>
      </c>
      <c r="AI4" s="134" t="str">
        <f xml:space="preserve"> _xlfn.CONCAT("    - xform/》", $W4, X$2, "/", X4, "/")</f>
        <v xml:space="preserve">    - xform/》a1/a/</v>
      </c>
      <c r="AJ4" s="134" t="str">
        <f xml:space="preserve"> _xlfn.CONCAT("    - xform/》", $W4, Y$2, "/", Y4, "/")</f>
        <v xml:space="preserve">    - xform/》a2/á/</v>
      </c>
      <c r="AK4" s="134" t="str">
        <f t="shared" ref="AK4:AP10" si="4" xml:space="preserve"> _xlfn.CONCAT("    - xform/》", $W4, Z$2, "/", Z4, "/")</f>
        <v xml:space="preserve">    - xform/》a3/à/</v>
      </c>
      <c r="AL4" s="134" t="str">
        <f t="shared" si="4"/>
        <v xml:space="preserve">    - xform/》a4/a/</v>
      </c>
      <c r="AM4" s="134" t="str">
        <f t="shared" si="4"/>
        <v xml:space="preserve">    - xform/》a5/ǎ/</v>
      </c>
      <c r="AN4" s="134" t="str">
        <f t="shared" si="4"/>
        <v xml:space="preserve">    - xform/》a6/á/</v>
      </c>
      <c r="AO4" s="134" t="str">
        <f t="shared" si="4"/>
        <v xml:space="preserve">    - xform/》a7/ā/</v>
      </c>
      <c r="AP4" s="134" t="str">
        <f xml:space="preserve"> _xlfn.CONCAT("    - xform/》", $W4, AE$2, "/", AE4, "/")</f>
        <v xml:space="preserve">    - xform/》a8/a̍/</v>
      </c>
      <c r="AQ4" s="134" t="str">
        <f t="shared" ref="AQ4:AR10" si="5" xml:space="preserve"> _xlfn.CONCAT("    - xform/》", $W4, AF$2, "/", AF4, "/")</f>
        <v xml:space="preserve">    - xform/》a9/a̋/</v>
      </c>
      <c r="AR4" s="134" t="str">
        <f t="shared" si="5"/>
        <v xml:space="preserve">    - xform/》a9/å/</v>
      </c>
      <c r="AS4" s="132"/>
      <c r="AT4" s="132"/>
      <c r="AU4" s="129"/>
    </row>
    <row r="5" spans="1:47" ht="27.75" thickBot="1">
      <c r="A5" s="57">
        <v>2</v>
      </c>
      <c r="B5" s="139" t="s">
        <v>294</v>
      </c>
      <c r="C5" s="141" t="s">
        <v>297</v>
      </c>
      <c r="D5" s="57" t="s">
        <v>297</v>
      </c>
      <c r="E5" s="57" t="s">
        <v>297</v>
      </c>
      <c r="F5" s="57" t="s">
        <v>299</v>
      </c>
      <c r="G5" s="60" t="s">
        <v>298</v>
      </c>
      <c r="H5" s="54" t="s">
        <v>300</v>
      </c>
      <c r="I5" s="57" t="s">
        <v>296</v>
      </c>
      <c r="J5" s="135" t="s">
        <v>1309</v>
      </c>
      <c r="K5" s="73"/>
      <c r="L5" s="54">
        <f t="shared" si="2"/>
        <v>3</v>
      </c>
      <c r="M5" s="57" t="str">
        <f t="shared" si="0"/>
        <v>ann</v>
      </c>
      <c r="N5" s="57" t="str">
        <f t="shared" si="1"/>
        <v>ㆩ</v>
      </c>
      <c r="P5" s="121" t="str">
        <f t="shared" ref="P5:P68" si="6" xml:space="preserve"> _xlfn.CONCAT(M5, "(\d)")</f>
        <v>ann(\d)</v>
      </c>
      <c r="Q5" s="126" t="s">
        <v>316</v>
      </c>
      <c r="R5" s="124">
        <f t="shared" ref="R5:R68" si="7" xml:space="preserve"> IFERROR( IF(Q5="", "", SEARCH(Q5, $M5)), "")</f>
        <v>1</v>
      </c>
      <c r="S5" s="121" t="str">
        <f xml:space="preserve"> IFERROR( _xlfn.CONCAT(LEFT(M5,R5-1), "》", MID(M5,R5,1), "${1}", RIGHT(M5, LEN(M5)-R5)), "" )</f>
        <v>》a${1}nn</v>
      </c>
      <c r="T5" s="55"/>
      <c r="U5" s="56" t="str">
        <f t="shared" ref="U5:U68" si="8" xml:space="preserve"> IF(AND(N5&lt;&gt;"", M5&lt;&gt;""), "    - xform/》" &amp; P5 &amp;  "/"  &amp; S5 &amp;  "/", "")</f>
        <v xml:space="preserve">    - xform/》ann(\d)/》a${1}nn/</v>
      </c>
      <c r="W5" s="129" t="s">
        <v>1226</v>
      </c>
      <c r="X5" s="132" t="str">
        <f t="shared" ref="X5:AG10" si="9" xml:space="preserve"> _xlfn.CONCAT($W5, IF(X$3="", "", _xlfn.UNICHAR( HEX2DEC( RIGHT(X$3,4)))))</f>
        <v>i</v>
      </c>
      <c r="Y5" s="132" t="str">
        <f t="shared" si="9"/>
        <v>í</v>
      </c>
      <c r="Z5" s="132" t="str">
        <f t="shared" si="9"/>
        <v>ì</v>
      </c>
      <c r="AA5" s="132" t="str">
        <f t="shared" si="9"/>
        <v>i</v>
      </c>
      <c r="AB5" s="132" t="str">
        <f t="shared" si="9"/>
        <v>ǐ</v>
      </c>
      <c r="AC5" s="132" t="str">
        <f t="shared" si="9"/>
        <v>í</v>
      </c>
      <c r="AD5" s="132" t="str">
        <f t="shared" si="9"/>
        <v>ī</v>
      </c>
      <c r="AE5" s="132" t="str">
        <f t="shared" si="9"/>
        <v>i̍</v>
      </c>
      <c r="AF5" s="132" t="str">
        <f t="shared" si="9"/>
        <v>i̋</v>
      </c>
      <c r="AG5" s="132" t="str">
        <f t="shared" si="9"/>
        <v>i̊</v>
      </c>
      <c r="AI5" s="134" t="str">
        <f t="shared" ref="AI5:AJ10" si="10" xml:space="preserve"> _xlfn.CONCAT("    - xform/》", $W5, X$2, "/", X5, "/")</f>
        <v xml:space="preserve">    - xform/》i1/i/</v>
      </c>
      <c r="AJ5" s="134" t="str">
        <f t="shared" si="10"/>
        <v xml:space="preserve">    - xform/》i2/í/</v>
      </c>
      <c r="AK5" s="134" t="str">
        <f t="shared" si="4"/>
        <v xml:space="preserve">    - xform/》i3/ì/</v>
      </c>
      <c r="AL5" s="134" t="str">
        <f t="shared" si="4"/>
        <v xml:space="preserve">    - xform/》i4/i/</v>
      </c>
      <c r="AM5" s="134" t="str">
        <f t="shared" si="4"/>
        <v xml:space="preserve">    - xform/》i5/ǐ/</v>
      </c>
      <c r="AN5" s="134" t="str">
        <f t="shared" si="4"/>
        <v xml:space="preserve">    - xform/》i6/í/</v>
      </c>
      <c r="AO5" s="134" t="str">
        <f t="shared" si="4"/>
        <v xml:space="preserve">    - xform/》i7/ī/</v>
      </c>
      <c r="AP5" s="134" t="str">
        <f t="shared" si="4"/>
        <v xml:space="preserve">    - xform/》i8/i̍/</v>
      </c>
      <c r="AQ5" s="134" t="str">
        <f t="shared" si="5"/>
        <v xml:space="preserve">    - xform/》i9/i̋/</v>
      </c>
      <c r="AR5" s="134" t="str">
        <f t="shared" si="5"/>
        <v xml:space="preserve">    - xform/》i9/i̊/</v>
      </c>
      <c r="AS5" s="132"/>
      <c r="AT5" s="132"/>
      <c r="AU5" s="129"/>
    </row>
    <row r="6" spans="1:47" ht="27.75" thickBot="1">
      <c r="A6" s="57">
        <v>3</v>
      </c>
      <c r="B6" s="139" t="s">
        <v>830</v>
      </c>
      <c r="C6" s="141" t="s">
        <v>321</v>
      </c>
      <c r="D6" s="57" t="s">
        <v>321</v>
      </c>
      <c r="E6" s="57" t="s">
        <v>321</v>
      </c>
      <c r="F6" s="57" t="s">
        <v>321</v>
      </c>
      <c r="G6" s="60" t="s">
        <v>321</v>
      </c>
      <c r="H6" s="54" t="s">
        <v>322</v>
      </c>
      <c r="I6" s="57" t="s">
        <v>1295</v>
      </c>
      <c r="J6" s="57"/>
      <c r="K6" s="73"/>
      <c r="L6" s="54">
        <f t="shared" si="2"/>
        <v>2</v>
      </c>
      <c r="M6" s="57" t="str">
        <f t="shared" si="0"/>
        <v>ah</v>
      </c>
      <c r="N6" s="57" t="str">
        <f t="shared" si="1"/>
        <v>ㄚㆷ</v>
      </c>
      <c r="P6" s="121" t="str">
        <f t="shared" si="6"/>
        <v>ah(\d)</v>
      </c>
      <c r="Q6" s="124" t="s">
        <v>316</v>
      </c>
      <c r="R6" s="124">
        <f t="shared" si="7"/>
        <v>1</v>
      </c>
      <c r="S6" s="121" t="str">
        <f t="shared" ref="S6:S69" si="11" xml:space="preserve"> IFERROR( _xlfn.CONCAT(LEFT(M6,R6-1), "》", MID(M6,R6,1), "${1}", RIGHT(M6, LEN(M6)-R6)), "" )</f>
        <v>》a${1}h</v>
      </c>
      <c r="T6" s="55"/>
      <c r="U6" s="56" t="str">
        <f t="shared" si="8"/>
        <v xml:space="preserve">    - xform/》ah(\d)/》a${1}h/</v>
      </c>
      <c r="W6" s="129" t="s">
        <v>1224</v>
      </c>
      <c r="X6" s="132" t="str">
        <f t="shared" si="9"/>
        <v>u</v>
      </c>
      <c r="Y6" s="132" t="str">
        <f t="shared" si="9"/>
        <v>ú</v>
      </c>
      <c r="Z6" s="132" t="str">
        <f t="shared" si="9"/>
        <v>ù</v>
      </c>
      <c r="AA6" s="132" t="str">
        <f t="shared" si="9"/>
        <v>u</v>
      </c>
      <c r="AB6" s="132" t="str">
        <f t="shared" si="9"/>
        <v>ǔ</v>
      </c>
      <c r="AC6" s="132" t="str">
        <f t="shared" si="9"/>
        <v>ú</v>
      </c>
      <c r="AD6" s="132" t="str">
        <f t="shared" si="9"/>
        <v>ū</v>
      </c>
      <c r="AE6" s="132" t="str">
        <f t="shared" si="9"/>
        <v>u̍</v>
      </c>
      <c r="AF6" s="132" t="str">
        <f t="shared" si="9"/>
        <v>ű</v>
      </c>
      <c r="AG6" s="132" t="str">
        <f t="shared" si="9"/>
        <v>ů</v>
      </c>
      <c r="AI6" s="134" t="str">
        <f t="shared" si="10"/>
        <v xml:space="preserve">    - xform/》u1/u/</v>
      </c>
      <c r="AJ6" s="134" t="str">
        <f t="shared" si="10"/>
        <v xml:space="preserve">    - xform/》u2/ú/</v>
      </c>
      <c r="AK6" s="134" t="str">
        <f t="shared" si="4"/>
        <v xml:space="preserve">    - xform/》u3/ù/</v>
      </c>
      <c r="AL6" s="134" t="str">
        <f t="shared" si="4"/>
        <v xml:space="preserve">    - xform/》u4/u/</v>
      </c>
      <c r="AM6" s="134" t="str">
        <f t="shared" si="4"/>
        <v xml:space="preserve">    - xform/》u5/ǔ/</v>
      </c>
      <c r="AN6" s="134" t="str">
        <f t="shared" si="4"/>
        <v xml:space="preserve">    - xform/》u6/ú/</v>
      </c>
      <c r="AO6" s="134" t="str">
        <f t="shared" si="4"/>
        <v xml:space="preserve">    - xform/》u7/ū/</v>
      </c>
      <c r="AP6" s="134" t="str">
        <f t="shared" si="4"/>
        <v xml:space="preserve">    - xform/》u8/u̍/</v>
      </c>
      <c r="AQ6" s="134" t="str">
        <f t="shared" si="5"/>
        <v xml:space="preserve">    - xform/》u9/ű/</v>
      </c>
      <c r="AR6" s="134" t="str">
        <f t="shared" si="5"/>
        <v xml:space="preserve">    - xform/》u9/ů/</v>
      </c>
      <c r="AS6" s="132"/>
      <c r="AT6" s="132"/>
      <c r="AU6" s="129"/>
    </row>
    <row r="7" spans="1:47" ht="27.75" thickBot="1">
      <c r="A7" s="57">
        <v>4</v>
      </c>
      <c r="B7" s="139" t="s">
        <v>2483</v>
      </c>
      <c r="C7" s="141" t="s">
        <v>304</v>
      </c>
      <c r="D7" s="57" t="s">
        <v>303</v>
      </c>
      <c r="E7" s="57" t="s">
        <v>304</v>
      </c>
      <c r="F7" s="74" t="s">
        <v>305</v>
      </c>
      <c r="G7" s="60" t="s">
        <v>898</v>
      </c>
      <c r="H7" s="54" t="s">
        <v>306</v>
      </c>
      <c r="I7" s="57" t="s">
        <v>1318</v>
      </c>
      <c r="J7" s="135" t="s">
        <v>1309</v>
      </c>
      <c r="K7" s="73"/>
      <c r="L7" s="54">
        <f t="shared" si="2"/>
        <v>4</v>
      </c>
      <c r="M7" s="57" t="str">
        <f t="shared" si="0"/>
        <v>annh</v>
      </c>
      <c r="N7" s="57" t="str">
        <f t="shared" si="1"/>
        <v>ㆩㆷ</v>
      </c>
      <c r="P7" s="121" t="str">
        <f t="shared" si="6"/>
        <v>annh(\d)</v>
      </c>
      <c r="Q7" s="124" t="s">
        <v>316</v>
      </c>
      <c r="R7" s="124">
        <f t="shared" si="7"/>
        <v>1</v>
      </c>
      <c r="S7" s="121" t="str">
        <f t="shared" si="11"/>
        <v>》a${1}nnh</v>
      </c>
      <c r="T7" s="55"/>
      <c r="U7" s="56" t="str">
        <f t="shared" si="8"/>
        <v xml:space="preserve">    - xform/》annh(\d)/》a${1}nnh/</v>
      </c>
      <c r="W7" s="129" t="s">
        <v>1178</v>
      </c>
      <c r="X7" s="132" t="str">
        <f t="shared" si="9"/>
        <v>e</v>
      </c>
      <c r="Y7" s="132" t="str">
        <f t="shared" si="9"/>
        <v>é</v>
      </c>
      <c r="Z7" s="132" t="str">
        <f t="shared" si="9"/>
        <v>è</v>
      </c>
      <c r="AA7" s="132" t="str">
        <f t="shared" si="9"/>
        <v>e</v>
      </c>
      <c r="AB7" s="132" t="str">
        <f t="shared" si="9"/>
        <v>ě</v>
      </c>
      <c r="AC7" s="132" t="str">
        <f t="shared" si="9"/>
        <v>é</v>
      </c>
      <c r="AD7" s="132" t="str">
        <f t="shared" si="9"/>
        <v>ē</v>
      </c>
      <c r="AE7" s="132" t="str">
        <f t="shared" si="9"/>
        <v>e̍</v>
      </c>
      <c r="AF7" s="132" t="str">
        <f t="shared" si="9"/>
        <v>e̋</v>
      </c>
      <c r="AG7" s="132" t="str">
        <f t="shared" si="9"/>
        <v>e̊</v>
      </c>
      <c r="AI7" s="134" t="str">
        <f t="shared" si="10"/>
        <v xml:space="preserve">    - xform/》e1/e/</v>
      </c>
      <c r="AJ7" s="134" t="str">
        <f t="shared" si="10"/>
        <v xml:space="preserve">    - xform/》e2/é/</v>
      </c>
      <c r="AK7" s="134" t="str">
        <f t="shared" si="4"/>
        <v xml:space="preserve">    - xform/》e3/è/</v>
      </c>
      <c r="AL7" s="134" t="str">
        <f t="shared" si="4"/>
        <v xml:space="preserve">    - xform/》e4/e/</v>
      </c>
      <c r="AM7" s="134" t="str">
        <f t="shared" si="4"/>
        <v xml:space="preserve">    - xform/》e5/ě/</v>
      </c>
      <c r="AN7" s="134" t="str">
        <f t="shared" si="4"/>
        <v xml:space="preserve">    - xform/》e6/é/</v>
      </c>
      <c r="AO7" s="134" t="str">
        <f t="shared" si="4"/>
        <v xml:space="preserve">    - xform/》e7/ē/</v>
      </c>
      <c r="AP7" s="134" t="str">
        <f t="shared" si="4"/>
        <v xml:space="preserve">    - xform/》e8/e̍/</v>
      </c>
      <c r="AQ7" s="134" t="str">
        <f t="shared" si="5"/>
        <v xml:space="preserve">    - xform/》e9/e̋/</v>
      </c>
      <c r="AR7" s="134" t="str">
        <f t="shared" si="5"/>
        <v xml:space="preserve">    - xform/》e9/e̊/</v>
      </c>
      <c r="AS7" s="132"/>
      <c r="AT7" s="132"/>
      <c r="AU7" s="129"/>
    </row>
    <row r="8" spans="1:47" ht="27.75" thickBot="1">
      <c r="A8" s="57">
        <v>5</v>
      </c>
      <c r="B8" s="139" t="s">
        <v>211</v>
      </c>
      <c r="C8" s="141" t="s">
        <v>211</v>
      </c>
      <c r="D8" s="57" t="s">
        <v>211</v>
      </c>
      <c r="E8" s="57" t="s">
        <v>211</v>
      </c>
      <c r="F8" s="57" t="s">
        <v>211</v>
      </c>
      <c r="G8" s="60" t="s">
        <v>211</v>
      </c>
      <c r="H8" s="54" t="s">
        <v>214</v>
      </c>
      <c r="I8" s="57" t="s">
        <v>213</v>
      </c>
      <c r="J8" s="57"/>
      <c r="K8" s="73"/>
      <c r="L8" s="54">
        <f t="shared" si="2"/>
        <v>2</v>
      </c>
      <c r="M8" s="57" t="str">
        <f t="shared" si="0"/>
        <v>am</v>
      </c>
      <c r="N8" s="57" t="str">
        <f t="shared" si="1"/>
        <v>ㆰ</v>
      </c>
      <c r="P8" s="121" t="str">
        <f t="shared" si="6"/>
        <v>am(\d)</v>
      </c>
      <c r="Q8" s="124" t="s">
        <v>316</v>
      </c>
      <c r="R8" s="124">
        <f t="shared" si="7"/>
        <v>1</v>
      </c>
      <c r="S8" s="121" t="str">
        <f t="shared" si="11"/>
        <v>》a${1}m</v>
      </c>
      <c r="T8" s="55"/>
      <c r="U8" s="56" t="str">
        <f t="shared" si="8"/>
        <v xml:space="preserve">    - xform/》am(\d)/》a${1}m/</v>
      </c>
      <c r="W8" s="129" t="s">
        <v>1213</v>
      </c>
      <c r="X8" s="132" t="str">
        <f t="shared" si="9"/>
        <v>o</v>
      </c>
      <c r="Y8" s="132" t="str">
        <f t="shared" si="9"/>
        <v>ó</v>
      </c>
      <c r="Z8" s="132" t="str">
        <f t="shared" si="9"/>
        <v>ò</v>
      </c>
      <c r="AA8" s="132" t="str">
        <f t="shared" si="9"/>
        <v>o</v>
      </c>
      <c r="AB8" s="132" t="str">
        <f t="shared" si="9"/>
        <v>ǒ</v>
      </c>
      <c r="AC8" s="132" t="str">
        <f t="shared" si="9"/>
        <v>ó</v>
      </c>
      <c r="AD8" s="132" t="str">
        <f t="shared" si="9"/>
        <v>ō</v>
      </c>
      <c r="AE8" s="132" t="str">
        <f t="shared" si="9"/>
        <v>o̍</v>
      </c>
      <c r="AF8" s="132" t="str">
        <f t="shared" si="9"/>
        <v>ő</v>
      </c>
      <c r="AG8" s="132" t="str">
        <f t="shared" si="9"/>
        <v>o̊</v>
      </c>
      <c r="AI8" s="134" t="str">
        <f t="shared" si="10"/>
        <v xml:space="preserve">    - xform/》o1/o/</v>
      </c>
      <c r="AJ8" s="134" t="str">
        <f t="shared" si="10"/>
        <v xml:space="preserve">    - xform/》o2/ó/</v>
      </c>
      <c r="AK8" s="134" t="str">
        <f t="shared" si="4"/>
        <v xml:space="preserve">    - xform/》o3/ò/</v>
      </c>
      <c r="AL8" s="134" t="str">
        <f t="shared" si="4"/>
        <v xml:space="preserve">    - xform/》o4/o/</v>
      </c>
      <c r="AM8" s="134" t="str">
        <f t="shared" si="4"/>
        <v xml:space="preserve">    - xform/》o5/ǒ/</v>
      </c>
      <c r="AN8" s="134" t="str">
        <f t="shared" si="4"/>
        <v xml:space="preserve">    - xform/》o6/ó/</v>
      </c>
      <c r="AO8" s="134" t="str">
        <f t="shared" si="4"/>
        <v xml:space="preserve">    - xform/》o7/ō/</v>
      </c>
      <c r="AP8" s="134" t="str">
        <f t="shared" si="4"/>
        <v xml:space="preserve">    - xform/》o8/o̍/</v>
      </c>
      <c r="AQ8" s="134" t="str">
        <f t="shared" si="5"/>
        <v xml:space="preserve">    - xform/》o9/ő/</v>
      </c>
      <c r="AR8" s="134" t="str">
        <f t="shared" si="5"/>
        <v xml:space="preserve">    - xform/》o9/o̊/</v>
      </c>
      <c r="AS8" s="132"/>
      <c r="AT8" s="132"/>
      <c r="AU8" s="129"/>
    </row>
    <row r="9" spans="1:47" ht="27.75" thickBot="1">
      <c r="A9" s="57">
        <v>6</v>
      </c>
      <c r="B9" s="139" t="s">
        <v>69</v>
      </c>
      <c r="C9" s="141" t="s">
        <v>69</v>
      </c>
      <c r="D9" s="57" t="s">
        <v>69</v>
      </c>
      <c r="E9" s="57" t="s">
        <v>69</v>
      </c>
      <c r="F9" s="57" t="s">
        <v>69</v>
      </c>
      <c r="G9" s="60" t="s">
        <v>69</v>
      </c>
      <c r="H9" s="54" t="s">
        <v>72</v>
      </c>
      <c r="I9" s="57" t="s">
        <v>71</v>
      </c>
      <c r="J9" s="57"/>
      <c r="K9" s="73"/>
      <c r="L9" s="54">
        <f t="shared" si="2"/>
        <v>2</v>
      </c>
      <c r="M9" s="57" t="str">
        <f t="shared" si="0"/>
        <v>an</v>
      </c>
      <c r="N9" s="57" t="str">
        <f t="shared" si="1"/>
        <v>ㄢ</v>
      </c>
      <c r="P9" s="121" t="str">
        <f t="shared" si="6"/>
        <v>an(\d)</v>
      </c>
      <c r="Q9" s="124" t="s">
        <v>316</v>
      </c>
      <c r="R9" s="124">
        <f t="shared" si="7"/>
        <v>1</v>
      </c>
      <c r="S9" s="121" t="str">
        <f t="shared" si="11"/>
        <v>》a${1}n</v>
      </c>
      <c r="T9" s="55"/>
      <c r="U9" s="56" t="str">
        <f t="shared" si="8"/>
        <v xml:space="preserve">    - xform/》an(\d)/》a${1}n/</v>
      </c>
      <c r="W9" s="129" t="s">
        <v>1303</v>
      </c>
      <c r="X9" s="132" t="str">
        <f t="shared" si="9"/>
        <v>m</v>
      </c>
      <c r="Y9" s="132" t="str">
        <f t="shared" si="9"/>
        <v>ḿ</v>
      </c>
      <c r="Z9" s="132" t="str">
        <f t="shared" si="9"/>
        <v>m̀</v>
      </c>
      <c r="AA9" s="132" t="str">
        <f t="shared" si="9"/>
        <v>m</v>
      </c>
      <c r="AB9" s="132" t="str">
        <f t="shared" si="9"/>
        <v>m̌</v>
      </c>
      <c r="AC9" s="132" t="str">
        <f t="shared" si="9"/>
        <v>ḿ</v>
      </c>
      <c r="AD9" s="132" t="str">
        <f t="shared" si="9"/>
        <v>m̄</v>
      </c>
      <c r="AE9" s="132" t="str">
        <f t="shared" si="9"/>
        <v>m̍</v>
      </c>
      <c r="AF9" s="132" t="str">
        <f t="shared" si="9"/>
        <v>m̋</v>
      </c>
      <c r="AG9" s="132" t="str">
        <f t="shared" si="9"/>
        <v>m̊</v>
      </c>
      <c r="AI9" s="134" t="str">
        <f t="shared" si="10"/>
        <v xml:space="preserve">    - xform/》m1/m/</v>
      </c>
      <c r="AJ9" s="134" t="str">
        <f t="shared" si="10"/>
        <v xml:space="preserve">    - xform/》m2/ḿ/</v>
      </c>
      <c r="AK9" s="134" t="str">
        <f t="shared" si="4"/>
        <v xml:space="preserve">    - xform/》m3/m̀/</v>
      </c>
      <c r="AL9" s="134" t="str">
        <f t="shared" si="4"/>
        <v xml:space="preserve">    - xform/》m4/m/</v>
      </c>
      <c r="AM9" s="134" t="str">
        <f t="shared" si="4"/>
        <v xml:space="preserve">    - xform/》m5/m̌/</v>
      </c>
      <c r="AN9" s="134" t="str">
        <f t="shared" si="4"/>
        <v xml:space="preserve">    - xform/》m6/ḿ/</v>
      </c>
      <c r="AO9" s="134" t="str">
        <f t="shared" si="4"/>
        <v xml:space="preserve">    - xform/》m7/m̄/</v>
      </c>
      <c r="AP9" s="134" t="str">
        <f t="shared" si="4"/>
        <v xml:space="preserve">    - xform/》m8/m̍/</v>
      </c>
      <c r="AQ9" s="134" t="str">
        <f t="shared" si="5"/>
        <v xml:space="preserve">    - xform/》m9/m̋/</v>
      </c>
      <c r="AR9" s="134" t="str">
        <f t="shared" si="5"/>
        <v xml:space="preserve">    - xform/》m9/m̊/</v>
      </c>
      <c r="AS9" s="132"/>
      <c r="AT9" s="132"/>
      <c r="AU9" s="129"/>
    </row>
    <row r="10" spans="1:47" ht="27.75" thickBot="1">
      <c r="A10" s="57">
        <v>7</v>
      </c>
      <c r="B10" s="139" t="s">
        <v>235</v>
      </c>
      <c r="C10" s="141" t="s">
        <v>237</v>
      </c>
      <c r="D10" s="57" t="s">
        <v>237</v>
      </c>
      <c r="E10" s="57" t="s">
        <v>237</v>
      </c>
      <c r="F10" s="57" t="s">
        <v>237</v>
      </c>
      <c r="G10" s="60" t="s">
        <v>237</v>
      </c>
      <c r="H10" s="54" t="s">
        <v>238</v>
      </c>
      <c r="I10" s="57" t="s">
        <v>2179</v>
      </c>
      <c r="J10" s="57"/>
      <c r="K10" s="73"/>
      <c r="L10" s="54">
        <f t="shared" si="2"/>
        <v>3</v>
      </c>
      <c r="M10" s="57" t="str">
        <f t="shared" si="0"/>
        <v>ang</v>
      </c>
      <c r="N10" s="57" t="str">
        <f t="shared" si="1"/>
        <v>ㄤ</v>
      </c>
      <c r="P10" s="121" t="str">
        <f t="shared" si="6"/>
        <v>ang(\d)</v>
      </c>
      <c r="Q10" s="124" t="s">
        <v>316</v>
      </c>
      <c r="R10" s="124">
        <f t="shared" si="7"/>
        <v>1</v>
      </c>
      <c r="S10" s="121" t="str">
        <f t="shared" si="11"/>
        <v>》a${1}ng</v>
      </c>
      <c r="T10" s="55"/>
      <c r="U10" s="56" t="str">
        <f t="shared" si="8"/>
        <v xml:space="preserve">    - xform/》ang(\d)/》a${1}ng/</v>
      </c>
      <c r="W10" s="129" t="s">
        <v>1302</v>
      </c>
      <c r="X10" s="132" t="str">
        <f t="shared" si="9"/>
        <v>n</v>
      </c>
      <c r="Y10" s="132" t="str">
        <f t="shared" si="9"/>
        <v>ń</v>
      </c>
      <c r="Z10" s="132" t="str">
        <f t="shared" si="9"/>
        <v>ǹ</v>
      </c>
      <c r="AA10" s="132" t="str">
        <f t="shared" si="9"/>
        <v>n</v>
      </c>
      <c r="AB10" s="132" t="str">
        <f t="shared" si="9"/>
        <v>ň</v>
      </c>
      <c r="AC10" s="132" t="str">
        <f t="shared" si="9"/>
        <v>ń</v>
      </c>
      <c r="AD10" s="132" t="str">
        <f t="shared" si="9"/>
        <v>n̄</v>
      </c>
      <c r="AE10" s="132" t="str">
        <f t="shared" si="9"/>
        <v>n̍</v>
      </c>
      <c r="AF10" s="132" t="str">
        <f t="shared" si="9"/>
        <v>n̋</v>
      </c>
      <c r="AG10" s="132" t="str">
        <f t="shared" si="9"/>
        <v>n̊</v>
      </c>
      <c r="AI10" s="134" t="str">
        <f t="shared" si="10"/>
        <v xml:space="preserve">    - xform/》n1/n/</v>
      </c>
      <c r="AJ10" s="134" t="str">
        <f t="shared" si="10"/>
        <v xml:space="preserve">    - xform/》n2/ń/</v>
      </c>
      <c r="AK10" s="134" t="str">
        <f t="shared" si="4"/>
        <v xml:space="preserve">    - xform/》n3/ǹ/</v>
      </c>
      <c r="AL10" s="134" t="str">
        <f t="shared" si="4"/>
        <v xml:space="preserve">    - xform/》n4/n/</v>
      </c>
      <c r="AM10" s="134" t="str">
        <f t="shared" si="4"/>
        <v xml:space="preserve">    - xform/》n5/ň/</v>
      </c>
      <c r="AN10" s="134" t="str">
        <f t="shared" si="4"/>
        <v xml:space="preserve">    - xform/》n6/ń/</v>
      </c>
      <c r="AO10" s="134" t="str">
        <f t="shared" si="4"/>
        <v xml:space="preserve">    - xform/》n7/n̄/</v>
      </c>
      <c r="AP10" s="134" t="str">
        <f t="shared" si="4"/>
        <v xml:space="preserve">    - xform/》n8/n̍/</v>
      </c>
      <c r="AQ10" s="134" t="str">
        <f t="shared" si="5"/>
        <v xml:space="preserve">    - xform/》n9/n̋/</v>
      </c>
      <c r="AR10" s="134" t="str">
        <f t="shared" si="5"/>
        <v xml:space="preserve">    - xform/》n9/n̊/</v>
      </c>
      <c r="AS10" s="132"/>
      <c r="AT10" s="132"/>
      <c r="AU10" s="129"/>
    </row>
    <row r="11" spans="1:47" ht="27.75" thickBot="1">
      <c r="A11" s="57">
        <v>8</v>
      </c>
      <c r="B11" s="139" t="s">
        <v>217</v>
      </c>
      <c r="C11" s="141" t="s">
        <v>219</v>
      </c>
      <c r="D11" s="57" t="s">
        <v>219</v>
      </c>
      <c r="E11" s="57" t="s">
        <v>219</v>
      </c>
      <c r="F11" s="57" t="s">
        <v>219</v>
      </c>
      <c r="G11" s="60" t="s">
        <v>219</v>
      </c>
      <c r="H11" s="54" t="s">
        <v>220</v>
      </c>
      <c r="I11" s="57" t="s">
        <v>218</v>
      </c>
      <c r="J11" s="57"/>
      <c r="K11" s="73"/>
      <c r="L11" s="54">
        <f t="shared" si="2"/>
        <v>2</v>
      </c>
      <c r="M11" s="57" t="str">
        <f t="shared" si="0"/>
        <v>ap</v>
      </c>
      <c r="N11" s="57" t="str">
        <f t="shared" si="1"/>
        <v>ㄚㆴ</v>
      </c>
      <c r="P11" s="121" t="str">
        <f t="shared" si="6"/>
        <v>ap(\d)</v>
      </c>
      <c r="Q11" s="124" t="s">
        <v>316</v>
      </c>
      <c r="R11" s="124">
        <f t="shared" si="7"/>
        <v>1</v>
      </c>
      <c r="S11" s="121" t="str">
        <f t="shared" si="11"/>
        <v>》a${1}p</v>
      </c>
      <c r="T11" s="55"/>
      <c r="U11" s="56" t="str">
        <f t="shared" si="8"/>
        <v xml:space="preserve">    - xform/》ap(\d)/》a${1}p/</v>
      </c>
    </row>
    <row r="12" spans="1:47" ht="27.75" thickBot="1">
      <c r="A12" s="57">
        <v>9</v>
      </c>
      <c r="B12" s="139" t="s">
        <v>75</v>
      </c>
      <c r="C12" s="141" t="s">
        <v>77</v>
      </c>
      <c r="D12" s="57" t="s">
        <v>77</v>
      </c>
      <c r="E12" s="57" t="s">
        <v>77</v>
      </c>
      <c r="F12" s="57" t="s">
        <v>77</v>
      </c>
      <c r="G12" s="60" t="s">
        <v>77</v>
      </c>
      <c r="H12" s="54" t="s">
        <v>78</v>
      </c>
      <c r="I12" s="57" t="s">
        <v>76</v>
      </c>
      <c r="J12" s="57"/>
      <c r="K12" s="73"/>
      <c r="L12" s="54">
        <f t="shared" si="2"/>
        <v>2</v>
      </c>
      <c r="M12" s="57" t="str">
        <f t="shared" si="0"/>
        <v>at</v>
      </c>
      <c r="N12" s="57" t="str">
        <f t="shared" si="1"/>
        <v>ㄚㆵ</v>
      </c>
      <c r="P12" s="121" t="str">
        <f t="shared" si="6"/>
        <v>at(\d)</v>
      </c>
      <c r="Q12" s="124" t="s">
        <v>316</v>
      </c>
      <c r="R12" s="124">
        <f t="shared" si="7"/>
        <v>1</v>
      </c>
      <c r="S12" s="121" t="str">
        <f t="shared" si="11"/>
        <v>》a${1}t</v>
      </c>
      <c r="T12" s="55"/>
      <c r="U12" s="56" t="str">
        <f t="shared" si="8"/>
        <v xml:space="preserve">    - xform/》at(\d)/》a${1}t/</v>
      </c>
    </row>
    <row r="13" spans="1:47" ht="27.75" thickBot="1">
      <c r="A13" s="57">
        <v>10</v>
      </c>
      <c r="B13" s="139" t="s">
        <v>241</v>
      </c>
      <c r="C13" s="141" t="s">
        <v>243</v>
      </c>
      <c r="D13" s="57" t="s">
        <v>243</v>
      </c>
      <c r="E13" s="57" t="s">
        <v>243</v>
      </c>
      <c r="F13" s="57" t="s">
        <v>243</v>
      </c>
      <c r="G13" s="60" t="s">
        <v>243</v>
      </c>
      <c r="H13" s="54" t="s">
        <v>244</v>
      </c>
      <c r="I13" s="57" t="s">
        <v>242</v>
      </c>
      <c r="J13" s="57"/>
      <c r="K13" s="73"/>
      <c r="L13" s="54">
        <f t="shared" si="2"/>
        <v>2</v>
      </c>
      <c r="M13" s="57" t="str">
        <f t="shared" si="0"/>
        <v>ak</v>
      </c>
      <c r="N13" s="57" t="str">
        <f t="shared" si="1"/>
        <v>ㄚㆻ</v>
      </c>
      <c r="P13" s="121" t="str">
        <f t="shared" si="6"/>
        <v>ak(\d)</v>
      </c>
      <c r="Q13" s="124" t="s">
        <v>316</v>
      </c>
      <c r="R13" s="124">
        <f t="shared" si="7"/>
        <v>1</v>
      </c>
      <c r="S13" s="121" t="str">
        <f t="shared" si="11"/>
        <v>》a${1}k</v>
      </c>
      <c r="T13" s="55"/>
      <c r="U13" s="56" t="str">
        <f t="shared" si="8"/>
        <v xml:space="preserve">    - xform/》ak(\d)/》a${1}k/</v>
      </c>
    </row>
    <row r="14" spans="1:47" ht="27.75" thickBot="1">
      <c r="A14" s="57">
        <v>11</v>
      </c>
      <c r="B14" s="139" t="s">
        <v>1142</v>
      </c>
      <c r="C14" s="141" t="s">
        <v>183</v>
      </c>
      <c r="D14" s="57" t="s">
        <v>183</v>
      </c>
      <c r="E14" s="57" t="s">
        <v>183</v>
      </c>
      <c r="F14" s="57" t="s">
        <v>183</v>
      </c>
      <c r="G14" s="60" t="s">
        <v>183</v>
      </c>
      <c r="H14" s="54" t="s">
        <v>186</v>
      </c>
      <c r="I14" s="57" t="s">
        <v>185</v>
      </c>
      <c r="J14" s="57"/>
      <c r="K14" s="73"/>
      <c r="L14" s="54">
        <f t="shared" si="2"/>
        <v>2</v>
      </c>
      <c r="M14" s="57" t="str">
        <f t="shared" si="0"/>
        <v>ai</v>
      </c>
      <c r="N14" s="57" t="str">
        <f t="shared" si="1"/>
        <v>ㄞ</v>
      </c>
      <c r="P14" s="121" t="str">
        <f t="shared" si="6"/>
        <v>ai(\d)</v>
      </c>
      <c r="Q14" s="124" t="s">
        <v>316</v>
      </c>
      <c r="R14" s="124">
        <f t="shared" si="7"/>
        <v>1</v>
      </c>
      <c r="S14" s="121" t="str">
        <f t="shared" si="11"/>
        <v>》a${1}i</v>
      </c>
      <c r="T14" s="55"/>
      <c r="U14" s="56" t="str">
        <f t="shared" si="8"/>
        <v xml:space="preserve">    - xform/》ai(\d)/》a${1}i/</v>
      </c>
    </row>
    <row r="15" spans="1:47" ht="27.75" thickBot="1">
      <c r="A15" s="57">
        <v>12</v>
      </c>
      <c r="B15" s="139" t="s">
        <v>2484</v>
      </c>
      <c r="C15" s="141" t="s">
        <v>417</v>
      </c>
      <c r="D15" s="57" t="s">
        <v>417</v>
      </c>
      <c r="E15" s="57" t="s">
        <v>417</v>
      </c>
      <c r="F15" s="57" t="s">
        <v>419</v>
      </c>
      <c r="G15" s="60" t="s">
        <v>418</v>
      </c>
      <c r="H15" s="54" t="s">
        <v>420</v>
      </c>
      <c r="I15" s="57" t="s">
        <v>416</v>
      </c>
      <c r="J15" s="135" t="s">
        <v>1309</v>
      </c>
      <c r="K15" s="73"/>
      <c r="L15" s="54">
        <f t="shared" si="2"/>
        <v>4</v>
      </c>
      <c r="M15" s="57" t="str">
        <f t="shared" si="0"/>
        <v>ainn</v>
      </c>
      <c r="N15" s="57" t="str">
        <f t="shared" si="1"/>
        <v>ㆮ</v>
      </c>
      <c r="P15" s="121" t="str">
        <f t="shared" si="6"/>
        <v>ainn(\d)</v>
      </c>
      <c r="Q15" s="124" t="s">
        <v>316</v>
      </c>
      <c r="R15" s="124">
        <f t="shared" si="7"/>
        <v>1</v>
      </c>
      <c r="S15" s="121" t="str">
        <f t="shared" si="11"/>
        <v>》a${1}inn</v>
      </c>
      <c r="T15" s="55"/>
      <c r="U15" s="56" t="str">
        <f t="shared" si="8"/>
        <v xml:space="preserve">    - xform/》ainn(\d)/》a${1}inn/</v>
      </c>
    </row>
    <row r="16" spans="1:47" ht="30.75" thickBot="1">
      <c r="A16" s="57">
        <v>13</v>
      </c>
      <c r="B16" s="139" t="s">
        <v>1475</v>
      </c>
      <c r="C16" s="141" t="s">
        <v>1476</v>
      </c>
      <c r="D16" s="74" t="s">
        <v>1476</v>
      </c>
      <c r="E16" s="74" t="s">
        <v>1476</v>
      </c>
      <c r="F16" s="74" t="s">
        <v>1476</v>
      </c>
      <c r="G16" s="74" t="s">
        <v>1476</v>
      </c>
      <c r="H16" s="146" t="s">
        <v>2178</v>
      </c>
      <c r="I16" s="143" t="s">
        <v>2180</v>
      </c>
      <c r="J16" s="57"/>
      <c r="K16" s="73"/>
      <c r="L16" s="54">
        <f t="shared" si="2"/>
        <v>3</v>
      </c>
      <c r="M16" s="57" t="str">
        <f t="shared" si="0"/>
        <v>aih</v>
      </c>
      <c r="N16" s="57" t="str">
        <f t="shared" si="1"/>
        <v>ㄞㆷ</v>
      </c>
      <c r="P16" s="121" t="str">
        <f t="shared" si="6"/>
        <v>aih(\d)</v>
      </c>
      <c r="Q16" s="124" t="s">
        <v>316</v>
      </c>
      <c r="R16" s="124">
        <f t="shared" si="7"/>
        <v>1</v>
      </c>
      <c r="S16" s="121" t="str">
        <f t="shared" si="11"/>
        <v>》a${1}ih</v>
      </c>
      <c r="T16" s="55"/>
      <c r="U16" s="56" t="str">
        <f t="shared" si="8"/>
        <v xml:space="preserve">    - xform/》aih(\d)/》a${1}ih/</v>
      </c>
    </row>
    <row r="17" spans="1:21" ht="27.75" thickBot="1">
      <c r="A17" s="57">
        <v>14</v>
      </c>
      <c r="B17" s="139" t="s">
        <v>1169</v>
      </c>
      <c r="C17" s="141" t="s">
        <v>260</v>
      </c>
      <c r="D17" s="57" t="s">
        <v>260</v>
      </c>
      <c r="E17" s="57" t="s">
        <v>260</v>
      </c>
      <c r="F17" s="57" t="s">
        <v>263</v>
      </c>
      <c r="G17" s="60" t="s">
        <v>260</v>
      </c>
      <c r="H17" s="54" t="s">
        <v>264</v>
      </c>
      <c r="I17" s="57" t="s">
        <v>262</v>
      </c>
      <c r="J17" s="57"/>
      <c r="K17" s="73"/>
      <c r="L17" s="54">
        <f t="shared" si="2"/>
        <v>2</v>
      </c>
      <c r="M17" s="57" t="str">
        <f t="shared" si="0"/>
        <v>au</v>
      </c>
      <c r="N17" s="57" t="str">
        <f t="shared" si="1"/>
        <v>ㄠ</v>
      </c>
      <c r="P17" s="121" t="str">
        <f t="shared" si="6"/>
        <v>au(\d)</v>
      </c>
      <c r="Q17" s="124" t="s">
        <v>316</v>
      </c>
      <c r="R17" s="124">
        <f t="shared" si="7"/>
        <v>1</v>
      </c>
      <c r="S17" s="121" t="str">
        <f t="shared" si="11"/>
        <v>》a${1}u</v>
      </c>
      <c r="T17" s="55"/>
      <c r="U17" s="56" t="str">
        <f t="shared" si="8"/>
        <v xml:space="preserve">    - xform/》au(\d)/》a${1}u/</v>
      </c>
    </row>
    <row r="18" spans="1:21" ht="27.75" thickBot="1">
      <c r="A18" s="57">
        <v>15</v>
      </c>
      <c r="B18" s="139" t="s">
        <v>795</v>
      </c>
      <c r="C18" s="141" t="s">
        <v>267</v>
      </c>
      <c r="D18" s="57" t="s">
        <v>267</v>
      </c>
      <c r="E18" s="57" t="s">
        <v>267</v>
      </c>
      <c r="F18" s="57" t="s">
        <v>268</v>
      </c>
      <c r="G18" s="60" t="s">
        <v>267</v>
      </c>
      <c r="H18" s="54" t="s">
        <v>269</v>
      </c>
      <c r="I18" s="57" t="s">
        <v>2181</v>
      </c>
      <c r="J18" s="57"/>
      <c r="K18" s="73"/>
      <c r="L18" s="54">
        <f t="shared" si="2"/>
        <v>3</v>
      </c>
      <c r="M18" s="57" t="str">
        <f t="shared" si="0"/>
        <v>auh</v>
      </c>
      <c r="N18" s="57" t="str">
        <f t="shared" si="1"/>
        <v>ㄠㆷ</v>
      </c>
      <c r="P18" s="121" t="str">
        <f t="shared" si="6"/>
        <v>auh(\d)</v>
      </c>
      <c r="Q18" s="124" t="s">
        <v>316</v>
      </c>
      <c r="R18" s="124">
        <f t="shared" si="7"/>
        <v>1</v>
      </c>
      <c r="S18" s="121" t="str">
        <f t="shared" si="11"/>
        <v>》a${1}uh</v>
      </c>
      <c r="T18" s="55"/>
      <c r="U18" s="56" t="str">
        <f t="shared" si="8"/>
        <v xml:space="preserve">    - xform/》auh(\d)/》a${1}uh/</v>
      </c>
    </row>
    <row r="19" spans="1:21" ht="27.75" thickBot="1">
      <c r="A19" s="57">
        <v>16</v>
      </c>
      <c r="B19" s="139" t="s">
        <v>2455</v>
      </c>
      <c r="C19" s="141" t="s">
        <v>2456</v>
      </c>
      <c r="D19" s="74" t="s">
        <v>2456</v>
      </c>
      <c r="E19" s="185"/>
      <c r="F19" s="185"/>
      <c r="G19" s="185"/>
      <c r="H19" s="145" t="s">
        <v>2460</v>
      </c>
      <c r="I19" s="182" t="s">
        <v>2464</v>
      </c>
      <c r="J19" s="182"/>
      <c r="K19" s="73"/>
      <c r="L19" s="54">
        <f t="shared" si="2"/>
        <v>1</v>
      </c>
      <c r="M19" s="57" t="str">
        <f t="shared" ref="M19:M50" si="12">E23</f>
        <v>e</v>
      </c>
      <c r="N19" s="57" t="str">
        <f t="shared" ref="N19:N50" si="13">I23</f>
        <v>ㆤ</v>
      </c>
      <c r="P19" s="121" t="str">
        <f t="shared" si="6"/>
        <v>e(\d)</v>
      </c>
      <c r="Q19" s="124" t="s">
        <v>316</v>
      </c>
      <c r="R19" s="124" t="str">
        <f xml:space="preserve"> IFERROR( IF(Q19="", "", SEARCH(Q19, $M19)), "")</f>
        <v/>
      </c>
      <c r="S19" s="121" t="str">
        <f t="shared" si="11"/>
        <v/>
      </c>
      <c r="T19" s="55"/>
      <c r="U19" s="56" t="str">
        <f t="shared" si="8"/>
        <v xml:space="preserve">    - xform/》e(\d)//</v>
      </c>
    </row>
    <row r="20" spans="1:21" ht="27.75" thickBot="1">
      <c r="A20" s="57">
        <v>17</v>
      </c>
      <c r="B20" s="139" t="str">
        <f xml:space="preserve"> _xlfn.CONCAT(B19, "ʔ")</f>
        <v>ɛʔ</v>
      </c>
      <c r="C20" s="141" t="s">
        <v>2457</v>
      </c>
      <c r="D20" s="74" t="s">
        <v>2457</v>
      </c>
      <c r="E20" s="185"/>
      <c r="F20" s="185"/>
      <c r="G20" s="185"/>
      <c r="H20" s="145" t="s">
        <v>2461</v>
      </c>
      <c r="I20" s="182" t="s">
        <v>2466</v>
      </c>
      <c r="J20" s="182"/>
      <c r="K20" s="73"/>
      <c r="L20" s="54">
        <f t="shared" si="2"/>
        <v>3</v>
      </c>
      <c r="M20" s="57" t="str">
        <f t="shared" si="12"/>
        <v>enn</v>
      </c>
      <c r="N20" s="57" t="str">
        <f t="shared" si="13"/>
        <v>ㆥ</v>
      </c>
      <c r="P20" s="121" t="str">
        <f t="shared" si="6"/>
        <v>enn(\d)</v>
      </c>
      <c r="Q20" s="124" t="s">
        <v>60</v>
      </c>
      <c r="R20" s="124">
        <f xml:space="preserve"> IFERROR( IF(Q20="", "", SEARCH(Q20, $M20)), "")</f>
        <v>1</v>
      </c>
      <c r="S20" s="121" t="str">
        <f t="shared" si="11"/>
        <v>》e${1}nn</v>
      </c>
      <c r="T20" s="55"/>
      <c r="U20" s="56" t="str">
        <f t="shared" si="8"/>
        <v xml:space="preserve">    - xform/》enn(\d)/》e${1}nn/</v>
      </c>
    </row>
    <row r="21" spans="1:21" ht="27.75" thickBot="1">
      <c r="A21" s="57">
        <v>18</v>
      </c>
      <c r="B21" s="139" t="str">
        <f xml:space="preserve"> _xlfn.CONCAT(B19, "ŋ")</f>
        <v>ɛŋ</v>
      </c>
      <c r="C21" s="141" t="s">
        <v>2458</v>
      </c>
      <c r="D21" s="74" t="s">
        <v>2458</v>
      </c>
      <c r="E21" s="185"/>
      <c r="F21" s="185"/>
      <c r="G21" s="185"/>
      <c r="H21" s="145" t="s">
        <v>2462</v>
      </c>
      <c r="I21" s="183" t="s">
        <v>2467</v>
      </c>
      <c r="J21" s="183"/>
      <c r="K21" s="73"/>
      <c r="L21" s="54">
        <f t="shared" si="2"/>
        <v>2</v>
      </c>
      <c r="M21" s="57" t="str">
        <f t="shared" si="12"/>
        <v>eh</v>
      </c>
      <c r="N21" s="57" t="str">
        <f t="shared" si="13"/>
        <v>ㆤㆷ</v>
      </c>
      <c r="P21" s="121" t="str">
        <f t="shared" si="6"/>
        <v>eh(\d)</v>
      </c>
      <c r="Q21" s="124" t="s">
        <v>60</v>
      </c>
      <c r="R21" s="124">
        <f xml:space="preserve"> IFERROR( IF(Q21="", "", SEARCH(Q21, $M21)), "")</f>
        <v>1</v>
      </c>
      <c r="S21" s="121" t="str">
        <f t="shared" si="11"/>
        <v>》e${1}h</v>
      </c>
      <c r="T21" s="55"/>
      <c r="U21" s="56" t="str">
        <f t="shared" si="8"/>
        <v xml:space="preserve">    - xform/》eh(\d)/》e${1}h/</v>
      </c>
    </row>
    <row r="22" spans="1:21" ht="27.75" thickBot="1">
      <c r="A22" s="57">
        <v>19</v>
      </c>
      <c r="B22" s="139" t="str">
        <f xml:space="preserve"> _xlfn.CONCAT(B19, "k")</f>
        <v>ɛk</v>
      </c>
      <c r="C22" s="141" t="s">
        <v>2459</v>
      </c>
      <c r="D22" s="74" t="s">
        <v>2459</v>
      </c>
      <c r="E22" s="185"/>
      <c r="F22" s="185"/>
      <c r="G22" s="185"/>
      <c r="H22" s="145" t="s">
        <v>2463</v>
      </c>
      <c r="I22" s="183" t="s">
        <v>2469</v>
      </c>
      <c r="J22" s="183"/>
      <c r="K22" s="73"/>
      <c r="L22" s="54">
        <f t="shared" si="2"/>
        <v>4</v>
      </c>
      <c r="M22" s="57" t="str">
        <f t="shared" si="12"/>
        <v>ennh</v>
      </c>
      <c r="N22" s="57" t="str">
        <f t="shared" si="13"/>
        <v>ㆥㆷ</v>
      </c>
      <c r="P22" s="121" t="str">
        <f t="shared" si="6"/>
        <v>ennh(\d)</v>
      </c>
      <c r="Q22" s="124" t="s">
        <v>60</v>
      </c>
      <c r="R22" s="124">
        <f xml:space="preserve"> IFERROR( IF(Q22="", "", SEARCH(Q22, $M22)), "")</f>
        <v>1</v>
      </c>
      <c r="S22" s="121" t="str">
        <f t="shared" si="11"/>
        <v>》e${1}nnh</v>
      </c>
      <c r="T22" s="55"/>
      <c r="U22" s="56" t="str">
        <f t="shared" si="8"/>
        <v xml:space="preserve">    - xform/》ennh(\d)/》e${1}nnh/</v>
      </c>
    </row>
    <row r="23" spans="1:21" ht="27.75" thickBot="1">
      <c r="A23" s="57">
        <v>20</v>
      </c>
      <c r="B23" s="139" t="s">
        <v>60</v>
      </c>
      <c r="C23" s="141" t="s">
        <v>60</v>
      </c>
      <c r="D23" s="57" t="s">
        <v>153</v>
      </c>
      <c r="E23" s="57" t="s">
        <v>60</v>
      </c>
      <c r="F23" s="57" t="s">
        <v>60</v>
      </c>
      <c r="G23" s="60" t="s">
        <v>2199</v>
      </c>
      <c r="H23" s="54" t="s">
        <v>156</v>
      </c>
      <c r="I23" s="57" t="s">
        <v>155</v>
      </c>
      <c r="J23" s="57"/>
      <c r="K23" s="73"/>
      <c r="L23" s="54">
        <f t="shared" si="2"/>
        <v>1</v>
      </c>
      <c r="M23" s="57" t="str">
        <f t="shared" si="12"/>
        <v>i</v>
      </c>
      <c r="N23" s="57" t="str">
        <f t="shared" si="13"/>
        <v>ㄧ</v>
      </c>
      <c r="P23" s="121" t="str">
        <f t="shared" si="6"/>
        <v>i(\d)</v>
      </c>
      <c r="Q23" s="124" t="s">
        <v>324</v>
      </c>
      <c r="R23" s="124">
        <f t="shared" si="7"/>
        <v>1</v>
      </c>
      <c r="S23" s="121" t="str">
        <f t="shared" si="11"/>
        <v>》i${1}</v>
      </c>
      <c r="T23" s="55"/>
      <c r="U23" s="56" t="str">
        <f t="shared" si="8"/>
        <v xml:space="preserve">    - xform/》i(\d)/》i${1}/</v>
      </c>
    </row>
    <row r="24" spans="1:21" ht="27.75" thickBot="1">
      <c r="A24" s="57">
        <v>21</v>
      </c>
      <c r="B24" s="139" t="s">
        <v>1151</v>
      </c>
      <c r="C24" s="141" t="s">
        <v>340</v>
      </c>
      <c r="D24" s="57" t="s">
        <v>340</v>
      </c>
      <c r="E24" s="57" t="s">
        <v>340</v>
      </c>
      <c r="F24" s="57" t="s">
        <v>342</v>
      </c>
      <c r="G24" s="60" t="s">
        <v>341</v>
      </c>
      <c r="H24" s="54" t="s">
        <v>343</v>
      </c>
      <c r="I24" s="57" t="s">
        <v>339</v>
      </c>
      <c r="J24" s="135" t="s">
        <v>1309</v>
      </c>
      <c r="K24" s="73"/>
      <c r="L24" s="54">
        <f t="shared" si="2"/>
        <v>3</v>
      </c>
      <c r="M24" s="57" t="str">
        <f t="shared" si="12"/>
        <v>inn</v>
      </c>
      <c r="N24" s="57" t="str">
        <f t="shared" si="13"/>
        <v>ㆪ</v>
      </c>
      <c r="P24" s="121" t="str">
        <f t="shared" si="6"/>
        <v>inn(\d)</v>
      </c>
      <c r="Q24" s="124" t="s">
        <v>324</v>
      </c>
      <c r="R24" s="124">
        <f t="shared" si="7"/>
        <v>1</v>
      </c>
      <c r="S24" s="121" t="str">
        <f t="shared" si="11"/>
        <v>》i${1}nn</v>
      </c>
      <c r="T24" s="55"/>
      <c r="U24" s="56" t="str">
        <f t="shared" si="8"/>
        <v xml:space="preserve">    - xform/》inn(\d)/》i${1}nn/</v>
      </c>
    </row>
    <row r="25" spans="1:21" ht="27.75" thickBot="1">
      <c r="A25" s="57">
        <v>22</v>
      </c>
      <c r="B25" s="139" t="s">
        <v>837</v>
      </c>
      <c r="C25" s="141" t="s">
        <v>65</v>
      </c>
      <c r="D25" s="57" t="s">
        <v>65</v>
      </c>
      <c r="E25" s="57" t="s">
        <v>65</v>
      </c>
      <c r="F25" s="57" t="s">
        <v>65</v>
      </c>
      <c r="G25" s="60" t="s">
        <v>65</v>
      </c>
      <c r="H25" s="54" t="s">
        <v>413</v>
      </c>
      <c r="I25" s="57" t="s">
        <v>2182</v>
      </c>
      <c r="J25" s="57"/>
      <c r="K25" s="73"/>
      <c r="L25" s="54">
        <f t="shared" si="2"/>
        <v>2</v>
      </c>
      <c r="M25" s="57" t="str">
        <f t="shared" si="12"/>
        <v>ih</v>
      </c>
      <c r="N25" s="57" t="str">
        <f t="shared" si="13"/>
        <v>ㄧㆷ</v>
      </c>
      <c r="P25" s="121" t="str">
        <f t="shared" si="6"/>
        <v>ih(\d)</v>
      </c>
      <c r="Q25" s="124" t="s">
        <v>324</v>
      </c>
      <c r="R25" s="124">
        <f t="shared" si="7"/>
        <v>1</v>
      </c>
      <c r="S25" s="121" t="str">
        <f t="shared" si="11"/>
        <v>》i${1}h</v>
      </c>
      <c r="T25" s="55"/>
      <c r="U25" s="56" t="str">
        <f t="shared" si="8"/>
        <v xml:space="preserve">    - xform/》ih(\d)/》i${1}h/</v>
      </c>
    </row>
    <row r="26" spans="1:21" ht="30.75" thickBot="1">
      <c r="A26" s="57">
        <v>23</v>
      </c>
      <c r="B26" s="139" t="s">
        <v>1545</v>
      </c>
      <c r="C26" s="141" t="s">
        <v>346</v>
      </c>
      <c r="D26" s="74" t="s">
        <v>346</v>
      </c>
      <c r="E26" s="74" t="s">
        <v>346</v>
      </c>
      <c r="F26" s="74" t="s">
        <v>346</v>
      </c>
      <c r="G26" s="74" t="s">
        <v>2200</v>
      </c>
      <c r="H26" s="146" t="s">
        <v>347</v>
      </c>
      <c r="I26" s="144" t="s">
        <v>1320</v>
      </c>
      <c r="J26" s="135" t="s">
        <v>1309</v>
      </c>
      <c r="K26" s="73"/>
      <c r="L26" s="54">
        <f t="shared" si="2"/>
        <v>2</v>
      </c>
      <c r="M26" s="57" t="str">
        <f t="shared" si="12"/>
        <v>im</v>
      </c>
      <c r="N26" s="57" t="str">
        <f t="shared" si="13"/>
        <v>ㄧㆬ</v>
      </c>
      <c r="P26" s="121" t="str">
        <f t="shared" si="6"/>
        <v>im(\d)</v>
      </c>
      <c r="Q26" s="124" t="s">
        <v>324</v>
      </c>
      <c r="R26" s="124">
        <f t="shared" si="7"/>
        <v>1</v>
      </c>
      <c r="S26" s="121" t="str">
        <f t="shared" si="11"/>
        <v>》i${1}m</v>
      </c>
      <c r="T26" s="55"/>
      <c r="U26" s="56" t="str">
        <f t="shared" si="8"/>
        <v xml:space="preserve">    - xform/》im(\d)/》i${1}m/</v>
      </c>
    </row>
    <row r="27" spans="1:21" ht="27.75" thickBot="1">
      <c r="A27" s="57">
        <v>24</v>
      </c>
      <c r="B27" s="139" t="s">
        <v>324</v>
      </c>
      <c r="C27" s="141" t="s">
        <v>324</v>
      </c>
      <c r="D27" s="57" t="s">
        <v>324</v>
      </c>
      <c r="E27" s="57" t="s">
        <v>324</v>
      </c>
      <c r="F27" s="57" t="s">
        <v>324</v>
      </c>
      <c r="G27" s="60" t="s">
        <v>324</v>
      </c>
      <c r="H27" s="54" t="s">
        <v>327</v>
      </c>
      <c r="I27" s="57" t="s">
        <v>326</v>
      </c>
      <c r="J27" s="57"/>
      <c r="K27" s="73"/>
      <c r="L27" s="54">
        <f t="shared" si="2"/>
        <v>2</v>
      </c>
      <c r="M27" s="57" t="str">
        <f t="shared" si="12"/>
        <v>in</v>
      </c>
      <c r="N27" s="57" t="str">
        <f t="shared" si="13"/>
        <v>ㄧㄣ</v>
      </c>
      <c r="P27" s="121" t="str">
        <f t="shared" si="6"/>
        <v>in(\d)</v>
      </c>
      <c r="Q27" s="124" t="s">
        <v>324</v>
      </c>
      <c r="R27" s="124">
        <f t="shared" si="7"/>
        <v>1</v>
      </c>
      <c r="S27" s="121" t="str">
        <f t="shared" si="11"/>
        <v>》i${1}n</v>
      </c>
      <c r="T27" s="55"/>
      <c r="U27" s="56" t="str">
        <f t="shared" si="8"/>
        <v xml:space="preserve">    - xform/》in(\d)/》i${1}n/</v>
      </c>
    </row>
    <row r="28" spans="1:21" ht="27.75" thickBot="1">
      <c r="A28" s="57">
        <v>25</v>
      </c>
      <c r="B28" s="139" t="s">
        <v>367</v>
      </c>
      <c r="C28" s="141" t="s">
        <v>370</v>
      </c>
      <c r="D28" s="57" t="s">
        <v>370</v>
      </c>
      <c r="E28" s="57" t="s">
        <v>370</v>
      </c>
      <c r="F28" s="57" t="s">
        <v>372</v>
      </c>
      <c r="G28" s="60" t="s">
        <v>371</v>
      </c>
      <c r="H28" s="54" t="s">
        <v>373</v>
      </c>
      <c r="I28" s="57" t="s">
        <v>369</v>
      </c>
      <c r="J28" s="135" t="s">
        <v>1309</v>
      </c>
      <c r="K28" s="73"/>
      <c r="L28" s="54">
        <f t="shared" si="2"/>
        <v>3</v>
      </c>
      <c r="M28" s="57" t="str">
        <f t="shared" si="12"/>
        <v>ing</v>
      </c>
      <c r="N28" s="57" t="str">
        <f t="shared" si="13"/>
        <v>ㄧㄥ</v>
      </c>
      <c r="P28" s="121" t="str">
        <f t="shared" si="6"/>
        <v>ing(\d)</v>
      </c>
      <c r="Q28" s="124" t="s">
        <v>324</v>
      </c>
      <c r="R28" s="124">
        <f t="shared" si="7"/>
        <v>1</v>
      </c>
      <c r="S28" s="121" t="str">
        <f t="shared" si="11"/>
        <v>》i${1}ng</v>
      </c>
      <c r="T28" s="55"/>
      <c r="U28" s="56" t="str">
        <f t="shared" si="8"/>
        <v xml:space="preserve">    - xform/》ing(\d)/》i${1}ng/</v>
      </c>
    </row>
    <row r="29" spans="1:21" ht="27.75" thickBot="1">
      <c r="A29" s="57">
        <v>26</v>
      </c>
      <c r="B29" s="139" t="s">
        <v>845</v>
      </c>
      <c r="C29" s="141" t="s">
        <v>329</v>
      </c>
      <c r="D29" s="57" t="s">
        <v>329</v>
      </c>
      <c r="E29" s="57" t="s">
        <v>329</v>
      </c>
      <c r="F29" s="57" t="s">
        <v>329</v>
      </c>
      <c r="G29" s="60" t="s">
        <v>329</v>
      </c>
      <c r="H29" s="54" t="s">
        <v>330</v>
      </c>
      <c r="I29" s="57" t="s">
        <v>2183</v>
      </c>
      <c r="J29" s="57"/>
      <c r="K29" s="73"/>
      <c r="L29" s="54">
        <f t="shared" si="2"/>
        <v>2</v>
      </c>
      <c r="M29" s="57" t="str">
        <f t="shared" si="12"/>
        <v>ip</v>
      </c>
      <c r="N29" s="57" t="str">
        <f t="shared" si="13"/>
        <v>一ㆴ</v>
      </c>
      <c r="P29" s="121" t="str">
        <f t="shared" si="6"/>
        <v>ip(\d)</v>
      </c>
      <c r="Q29" s="124" t="s">
        <v>324</v>
      </c>
      <c r="R29" s="124">
        <f t="shared" si="7"/>
        <v>1</v>
      </c>
      <c r="S29" s="121" t="str">
        <f t="shared" si="11"/>
        <v>》i${1}p</v>
      </c>
      <c r="T29" s="55"/>
      <c r="U29" s="56" t="str">
        <f t="shared" si="8"/>
        <v xml:space="preserve">    - xform/》ip(\d)/》i${1}p/</v>
      </c>
    </row>
    <row r="30" spans="1:21" ht="27.75" thickBot="1">
      <c r="A30" s="57">
        <v>27</v>
      </c>
      <c r="B30" s="139" t="s">
        <v>38</v>
      </c>
      <c r="C30" s="141" t="s">
        <v>38</v>
      </c>
      <c r="D30" s="57" t="s">
        <v>38</v>
      </c>
      <c r="E30" s="57" t="s">
        <v>38</v>
      </c>
      <c r="F30" s="57" t="s">
        <v>38</v>
      </c>
      <c r="G30" s="60" t="s">
        <v>38</v>
      </c>
      <c r="H30" s="54" t="s">
        <v>41</v>
      </c>
      <c r="I30" s="57" t="s">
        <v>40</v>
      </c>
      <c r="J30" s="57"/>
      <c r="K30" s="73"/>
      <c r="L30" s="54">
        <f t="shared" si="2"/>
        <v>2</v>
      </c>
      <c r="M30" s="57" t="str">
        <f t="shared" si="12"/>
        <v>it</v>
      </c>
      <c r="N30" s="57" t="str">
        <f t="shared" si="13"/>
        <v>ㄧㆵ</v>
      </c>
      <c r="P30" s="121" t="str">
        <f t="shared" si="6"/>
        <v>it(\d)</v>
      </c>
      <c r="Q30" s="124" t="s">
        <v>324</v>
      </c>
      <c r="R30" s="124">
        <f t="shared" si="7"/>
        <v>1</v>
      </c>
      <c r="S30" s="121" t="str">
        <f t="shared" si="11"/>
        <v>》i${1}t</v>
      </c>
      <c r="T30" s="55"/>
      <c r="U30" s="56" t="str">
        <f t="shared" si="8"/>
        <v xml:space="preserve">    - xform/》it(\d)/》i${1}t/</v>
      </c>
    </row>
    <row r="31" spans="1:21" ht="27.75" thickBot="1">
      <c r="A31" s="57">
        <v>28</v>
      </c>
      <c r="B31" s="139" t="s">
        <v>189</v>
      </c>
      <c r="C31" s="141" t="s">
        <v>189</v>
      </c>
      <c r="D31" s="57" t="s">
        <v>189</v>
      </c>
      <c r="E31" s="57" t="s">
        <v>189</v>
      </c>
      <c r="F31" s="57" t="s">
        <v>189</v>
      </c>
      <c r="G31" s="60" t="s">
        <v>189</v>
      </c>
      <c r="H31" s="54" t="s">
        <v>192</v>
      </c>
      <c r="I31" s="57" t="s">
        <v>191</v>
      </c>
      <c r="J31" s="57"/>
      <c r="K31" s="73"/>
      <c r="L31" s="54">
        <f t="shared" si="2"/>
        <v>2</v>
      </c>
      <c r="M31" s="57" t="str">
        <f t="shared" si="12"/>
        <v>ik</v>
      </c>
      <c r="N31" s="57" t="str">
        <f t="shared" si="13"/>
        <v>ㄧㆻ</v>
      </c>
      <c r="P31" s="121" t="str">
        <f t="shared" si="6"/>
        <v>ik(\d)</v>
      </c>
      <c r="Q31" s="124" t="s">
        <v>324</v>
      </c>
      <c r="R31" s="124">
        <f t="shared" si="7"/>
        <v>1</v>
      </c>
      <c r="S31" s="121" t="str">
        <f t="shared" si="11"/>
        <v>》i${1}k</v>
      </c>
      <c r="T31" s="55"/>
      <c r="U31" s="56" t="str">
        <f t="shared" si="8"/>
        <v xml:space="preserve">    - xform/》ik(\d)/》i${1}k/</v>
      </c>
    </row>
    <row r="32" spans="1:21" ht="27.75" thickBot="1">
      <c r="A32" s="57">
        <v>29</v>
      </c>
      <c r="B32" s="139" t="s">
        <v>106</v>
      </c>
      <c r="C32" s="141" t="s">
        <v>109</v>
      </c>
      <c r="D32" s="57" t="s">
        <v>109</v>
      </c>
      <c r="E32" s="57" t="s">
        <v>109</v>
      </c>
      <c r="F32" s="57" t="s">
        <v>109</v>
      </c>
      <c r="G32" s="60" t="s">
        <v>110</v>
      </c>
      <c r="H32" s="54" t="s">
        <v>111</v>
      </c>
      <c r="I32" s="57" t="s">
        <v>108</v>
      </c>
      <c r="J32" s="57"/>
      <c r="K32" s="73"/>
      <c r="L32" s="54">
        <f t="shared" si="2"/>
        <v>2</v>
      </c>
      <c r="M32" s="57" t="str">
        <f t="shared" si="12"/>
        <v>ia</v>
      </c>
      <c r="N32" s="57" t="str">
        <f t="shared" si="13"/>
        <v>ㄧㄚ</v>
      </c>
      <c r="P32" s="121" t="str">
        <f t="shared" si="6"/>
        <v>ia(\d)</v>
      </c>
      <c r="Q32" s="124" t="s">
        <v>316</v>
      </c>
      <c r="R32" s="124">
        <f t="shared" si="7"/>
        <v>2</v>
      </c>
      <c r="S32" s="121" t="str">
        <f t="shared" si="11"/>
        <v>i》a${1}</v>
      </c>
      <c r="T32" s="55"/>
      <c r="U32" s="56" t="str">
        <f t="shared" si="8"/>
        <v xml:space="preserve">    - xform/》ia(\d)/i》a${1}/</v>
      </c>
    </row>
    <row r="33" spans="1:21" ht="27.75" thickBot="1">
      <c r="A33" s="57">
        <v>30</v>
      </c>
      <c r="B33" s="139" t="s">
        <v>44</v>
      </c>
      <c r="C33" s="141" t="s">
        <v>46</v>
      </c>
      <c r="D33" s="57" t="s">
        <v>46</v>
      </c>
      <c r="E33" s="57" t="s">
        <v>46</v>
      </c>
      <c r="F33" s="57" t="s">
        <v>46</v>
      </c>
      <c r="G33" s="60" t="s">
        <v>46</v>
      </c>
      <c r="H33" s="54" t="s">
        <v>47</v>
      </c>
      <c r="I33" s="57" t="s">
        <v>45</v>
      </c>
      <c r="J33" s="57"/>
      <c r="K33" s="73"/>
      <c r="L33" s="54">
        <f t="shared" si="2"/>
        <v>4</v>
      </c>
      <c r="M33" s="57" t="str">
        <f t="shared" si="12"/>
        <v>iann</v>
      </c>
      <c r="N33" s="57" t="str">
        <f t="shared" si="13"/>
        <v>ㄧㆩ</v>
      </c>
      <c r="P33" s="121" t="str">
        <f t="shared" si="6"/>
        <v>iann(\d)</v>
      </c>
      <c r="Q33" s="124" t="s">
        <v>316</v>
      </c>
      <c r="R33" s="124">
        <f t="shared" si="7"/>
        <v>2</v>
      </c>
      <c r="S33" s="121" t="str">
        <f t="shared" si="11"/>
        <v>i》a${1}nn</v>
      </c>
      <c r="T33" s="55"/>
      <c r="U33" s="56" t="str">
        <f t="shared" si="8"/>
        <v xml:space="preserve">    - xform/》iann(\d)/i》a${1}nn/</v>
      </c>
    </row>
    <row r="34" spans="1:21" ht="27.75" thickBot="1">
      <c r="A34" s="57">
        <v>31</v>
      </c>
      <c r="B34" s="139" t="s">
        <v>195</v>
      </c>
      <c r="C34" s="141" t="s">
        <v>197</v>
      </c>
      <c r="D34" s="57" t="s">
        <v>197</v>
      </c>
      <c r="E34" s="57" t="s">
        <v>197</v>
      </c>
      <c r="F34" s="57" t="s">
        <v>197</v>
      </c>
      <c r="G34" s="60" t="s">
        <v>197</v>
      </c>
      <c r="H34" s="54" t="s">
        <v>198</v>
      </c>
      <c r="I34" s="57" t="s">
        <v>196</v>
      </c>
      <c r="J34" s="57"/>
      <c r="K34" s="73"/>
      <c r="L34" s="54">
        <f t="shared" si="2"/>
        <v>3</v>
      </c>
      <c r="M34" s="57" t="str">
        <f t="shared" si="12"/>
        <v>iah</v>
      </c>
      <c r="N34" s="57" t="str">
        <f t="shared" si="13"/>
        <v>ㄧㄚㆷ</v>
      </c>
      <c r="P34" s="121" t="str">
        <f t="shared" si="6"/>
        <v>iah(\d)</v>
      </c>
      <c r="Q34" s="124" t="s">
        <v>316</v>
      </c>
      <c r="R34" s="124">
        <f t="shared" si="7"/>
        <v>2</v>
      </c>
      <c r="S34" s="121" t="str">
        <f t="shared" si="11"/>
        <v>i》a${1}h</v>
      </c>
      <c r="T34" s="55"/>
      <c r="U34" s="56" t="str">
        <f t="shared" si="8"/>
        <v xml:space="preserve">    - xform/》iah(\d)/i》a${1}h/</v>
      </c>
    </row>
    <row r="35" spans="1:21" ht="27.75" thickBot="1">
      <c r="A35" s="57">
        <v>32</v>
      </c>
      <c r="B35" s="139" t="s">
        <v>2485</v>
      </c>
      <c r="C35" s="141" t="s">
        <v>115</v>
      </c>
      <c r="D35" s="57" t="s">
        <v>115</v>
      </c>
      <c r="E35" s="57" t="s">
        <v>115</v>
      </c>
      <c r="F35" s="57" t="s">
        <v>115</v>
      </c>
      <c r="G35" s="60" t="s">
        <v>116</v>
      </c>
      <c r="H35" s="54" t="s">
        <v>117</v>
      </c>
      <c r="I35" s="57" t="s">
        <v>114</v>
      </c>
      <c r="J35" s="57"/>
      <c r="K35" s="73"/>
      <c r="L35" s="54">
        <f t="shared" si="2"/>
        <v>5</v>
      </c>
      <c r="M35" s="57" t="str">
        <f t="shared" si="12"/>
        <v>iannh</v>
      </c>
      <c r="N35" s="57" t="str">
        <f t="shared" si="13"/>
        <v>ㄧㆩㆷ</v>
      </c>
      <c r="P35" s="121" t="str">
        <f t="shared" si="6"/>
        <v>iannh(\d)</v>
      </c>
      <c r="Q35" s="124" t="s">
        <v>316</v>
      </c>
      <c r="R35" s="124">
        <f t="shared" si="7"/>
        <v>2</v>
      </c>
      <c r="S35" s="121" t="str">
        <f t="shared" si="11"/>
        <v>i》a${1}nnh</v>
      </c>
      <c r="T35" s="55"/>
      <c r="U35" s="56" t="str">
        <f t="shared" si="8"/>
        <v xml:space="preserve">    - xform/》iannh(\d)/i》a${1}nnh/</v>
      </c>
    </row>
    <row r="36" spans="1:21" ht="27.75" thickBot="1">
      <c r="A36" s="57">
        <v>33</v>
      </c>
      <c r="B36" s="139" t="s">
        <v>1171</v>
      </c>
      <c r="C36" s="141" t="s">
        <v>272</v>
      </c>
      <c r="D36" s="57" t="s">
        <v>272</v>
      </c>
      <c r="E36" s="57" t="s">
        <v>272</v>
      </c>
      <c r="F36" s="57" t="s">
        <v>272</v>
      </c>
      <c r="G36" s="60" t="s">
        <v>272</v>
      </c>
      <c r="H36" s="54" t="s">
        <v>275</v>
      </c>
      <c r="I36" s="57" t="s">
        <v>274</v>
      </c>
      <c r="J36" s="57"/>
      <c r="K36" s="73"/>
      <c r="L36" s="54">
        <f t="shared" ref="L36:L67" si="14" xml:space="preserve"> LEN(M36)</f>
        <v>3</v>
      </c>
      <c r="M36" s="57" t="str">
        <f t="shared" si="12"/>
        <v>iam</v>
      </c>
      <c r="N36" s="57" t="str">
        <f t="shared" si="13"/>
        <v>ㄧㆰ</v>
      </c>
      <c r="P36" s="121" t="str">
        <f t="shared" si="6"/>
        <v>iam(\d)</v>
      </c>
      <c r="Q36" s="124" t="s">
        <v>316</v>
      </c>
      <c r="R36" s="124">
        <f t="shared" si="7"/>
        <v>2</v>
      </c>
      <c r="S36" s="121" t="str">
        <f t="shared" si="11"/>
        <v>i》a${1}m</v>
      </c>
      <c r="T36" s="55"/>
      <c r="U36" s="56" t="str">
        <f t="shared" si="8"/>
        <v xml:space="preserve">    - xform/》iam(\d)/i》a${1}m/</v>
      </c>
    </row>
    <row r="37" spans="1:21" ht="27.75" thickBot="1">
      <c r="A37" s="57">
        <v>34</v>
      </c>
      <c r="B37" s="139" t="s">
        <v>2486</v>
      </c>
      <c r="C37" s="141" t="s">
        <v>391</v>
      </c>
      <c r="D37" s="57" t="s">
        <v>391</v>
      </c>
      <c r="E37" s="57" t="s">
        <v>391</v>
      </c>
      <c r="F37" s="57" t="s">
        <v>394</v>
      </c>
      <c r="G37" s="60" t="s">
        <v>393</v>
      </c>
      <c r="H37" s="54" t="s">
        <v>395</v>
      </c>
      <c r="I37" s="57" t="s">
        <v>390</v>
      </c>
      <c r="J37" s="135" t="s">
        <v>1309</v>
      </c>
      <c r="K37" s="73"/>
      <c r="L37" s="54">
        <f t="shared" si="14"/>
        <v>3</v>
      </c>
      <c r="M37" s="57" t="str">
        <f t="shared" si="12"/>
        <v>ian</v>
      </c>
      <c r="N37" s="57" t="str">
        <f t="shared" si="13"/>
        <v>ㄧㄢ</v>
      </c>
      <c r="P37" s="121" t="str">
        <f t="shared" si="6"/>
        <v>ian(\d)</v>
      </c>
      <c r="Q37" s="124" t="s">
        <v>316</v>
      </c>
      <c r="R37" s="124">
        <f t="shared" si="7"/>
        <v>2</v>
      </c>
      <c r="S37" s="121" t="str">
        <f t="shared" si="11"/>
        <v>i》a${1}n</v>
      </c>
      <c r="T37" s="55"/>
      <c r="U37" s="56" t="str">
        <f t="shared" si="8"/>
        <v xml:space="preserve">    - xform/》ian(\d)/i》a${1}n/</v>
      </c>
    </row>
    <row r="38" spans="1:21" ht="27.75" thickBot="1">
      <c r="A38" s="57">
        <v>35</v>
      </c>
      <c r="B38" s="139" t="s">
        <v>1679</v>
      </c>
      <c r="C38" s="141" t="s">
        <v>278</v>
      </c>
      <c r="D38" s="57" t="s">
        <v>278</v>
      </c>
      <c r="E38" s="57" t="s">
        <v>278</v>
      </c>
      <c r="F38" s="57" t="s">
        <v>278</v>
      </c>
      <c r="G38" s="60" t="s">
        <v>278</v>
      </c>
      <c r="H38" s="54" t="s">
        <v>279</v>
      </c>
      <c r="I38" s="57" t="s">
        <v>2184</v>
      </c>
      <c r="J38" s="57"/>
      <c r="K38" s="73"/>
      <c r="L38" s="54">
        <f t="shared" si="14"/>
        <v>4</v>
      </c>
      <c r="M38" s="57" t="str">
        <f t="shared" si="12"/>
        <v>iang</v>
      </c>
      <c r="N38" s="57" t="str">
        <f t="shared" si="13"/>
        <v>ㄧㄤ</v>
      </c>
      <c r="P38" s="121" t="str">
        <f t="shared" si="6"/>
        <v>iang(\d)</v>
      </c>
      <c r="Q38" s="124" t="s">
        <v>316</v>
      </c>
      <c r="R38" s="124">
        <f t="shared" si="7"/>
        <v>2</v>
      </c>
      <c r="S38" s="121" t="str">
        <f t="shared" si="11"/>
        <v>i》a${1}ng</v>
      </c>
      <c r="T38" s="55"/>
      <c r="U38" s="56" t="str">
        <f t="shared" si="8"/>
        <v xml:space="preserve">    - xform/》iang(\d)/i》a${1}ng/</v>
      </c>
    </row>
    <row r="39" spans="1:21" ht="30.75" thickBot="1">
      <c r="A39" s="57">
        <v>36</v>
      </c>
      <c r="B39" s="139" t="s">
        <v>2487</v>
      </c>
      <c r="C39" s="141" t="s">
        <v>392</v>
      </c>
      <c r="D39" s="74" t="s">
        <v>392</v>
      </c>
      <c r="E39" s="74" t="s">
        <v>392</v>
      </c>
      <c r="F39" s="74" t="s">
        <v>392</v>
      </c>
      <c r="G39" s="74" t="s">
        <v>2201</v>
      </c>
      <c r="H39" s="146" t="s">
        <v>279</v>
      </c>
      <c r="I39" s="143" t="s">
        <v>2185</v>
      </c>
      <c r="J39" s="135" t="s">
        <v>1309</v>
      </c>
      <c r="K39" s="73"/>
      <c r="L39" s="54">
        <f t="shared" si="14"/>
        <v>3</v>
      </c>
      <c r="M39" s="57" t="str">
        <f t="shared" si="12"/>
        <v>iap</v>
      </c>
      <c r="N39" s="57" t="str">
        <f t="shared" si="13"/>
        <v>ㄧㄚㆴ</v>
      </c>
      <c r="P39" s="121" t="str">
        <f t="shared" si="6"/>
        <v>iap(\d)</v>
      </c>
      <c r="Q39" s="124" t="s">
        <v>316</v>
      </c>
      <c r="R39" s="124">
        <f t="shared" si="7"/>
        <v>2</v>
      </c>
      <c r="S39" s="121" t="str">
        <f t="shared" si="11"/>
        <v>i》a${1}p</v>
      </c>
      <c r="T39" s="55"/>
      <c r="U39" s="56" t="str">
        <f t="shared" si="8"/>
        <v xml:space="preserve">    - xform/》iap(\d)/i》a${1}p/</v>
      </c>
    </row>
    <row r="40" spans="1:21" ht="27.75" thickBot="1">
      <c r="A40" s="57">
        <v>37</v>
      </c>
      <c r="B40" s="139" t="s">
        <v>1695</v>
      </c>
      <c r="C40" s="141" t="s">
        <v>247</v>
      </c>
      <c r="D40" s="57" t="s">
        <v>247</v>
      </c>
      <c r="E40" s="57" t="s">
        <v>247</v>
      </c>
      <c r="F40" s="57" t="s">
        <v>247</v>
      </c>
      <c r="G40" s="60" t="s">
        <v>247</v>
      </c>
      <c r="H40" s="54" t="s">
        <v>250</v>
      </c>
      <c r="I40" s="57" t="s">
        <v>249</v>
      </c>
      <c r="J40" s="57"/>
      <c r="K40" s="73"/>
      <c r="L40" s="54">
        <f t="shared" si="14"/>
        <v>3</v>
      </c>
      <c r="M40" s="57" t="str">
        <f t="shared" si="12"/>
        <v>iat</v>
      </c>
      <c r="N40" s="57" t="str">
        <f t="shared" si="13"/>
        <v>ㄧㄚㆵ</v>
      </c>
      <c r="P40" s="121" t="str">
        <f t="shared" si="6"/>
        <v>iat(\d)</v>
      </c>
      <c r="Q40" s="124" t="s">
        <v>316</v>
      </c>
      <c r="R40" s="124">
        <f t="shared" si="7"/>
        <v>2</v>
      </c>
      <c r="S40" s="121" t="str">
        <f t="shared" si="11"/>
        <v>i》a${1}t</v>
      </c>
      <c r="T40" s="55"/>
      <c r="U40" s="56" t="str">
        <f t="shared" si="8"/>
        <v xml:space="preserve">    - xform/》iat(\d)/i》a${1}t/</v>
      </c>
    </row>
    <row r="41" spans="1:21" ht="27.75" thickBot="1">
      <c r="A41" s="57">
        <v>38</v>
      </c>
      <c r="B41" s="139" t="s">
        <v>1159</v>
      </c>
      <c r="C41" s="141" t="s">
        <v>27</v>
      </c>
      <c r="D41" s="57" t="s">
        <v>27</v>
      </c>
      <c r="E41" s="57" t="s">
        <v>27</v>
      </c>
      <c r="F41" s="57" t="s">
        <v>27</v>
      </c>
      <c r="G41" s="60" t="s">
        <v>27</v>
      </c>
      <c r="H41" s="54" t="s">
        <v>30</v>
      </c>
      <c r="I41" s="57" t="s">
        <v>29</v>
      </c>
      <c r="J41" s="57"/>
      <c r="K41" s="73"/>
      <c r="L41" s="54">
        <f t="shared" si="14"/>
        <v>3</v>
      </c>
      <c r="M41" s="57" t="str">
        <f t="shared" si="12"/>
        <v>iak</v>
      </c>
      <c r="N41" s="57" t="str">
        <f t="shared" si="13"/>
        <v>ㄧㄚㆻ</v>
      </c>
      <c r="P41" s="121" t="str">
        <f t="shared" si="6"/>
        <v>iak(\d)</v>
      </c>
      <c r="Q41" s="124" t="s">
        <v>316</v>
      </c>
      <c r="R41" s="124">
        <f t="shared" si="7"/>
        <v>2</v>
      </c>
      <c r="S41" s="121" t="str">
        <f t="shared" si="11"/>
        <v>i》a${1}k</v>
      </c>
      <c r="T41" s="55"/>
      <c r="U41" s="56" t="str">
        <f t="shared" si="8"/>
        <v xml:space="preserve">    - xform/》iak(\d)/i》a${1}k/</v>
      </c>
    </row>
    <row r="42" spans="1:21" ht="27.75" thickBot="1">
      <c r="A42" s="57">
        <v>39</v>
      </c>
      <c r="B42" s="139" t="s">
        <v>1167</v>
      </c>
      <c r="C42" s="141" t="s">
        <v>203</v>
      </c>
      <c r="D42" s="57" t="s">
        <v>203</v>
      </c>
      <c r="E42" s="57" t="s">
        <v>203</v>
      </c>
      <c r="F42" s="57" t="s">
        <v>203</v>
      </c>
      <c r="G42" s="60" t="s">
        <v>203</v>
      </c>
      <c r="H42" s="54" t="s">
        <v>204</v>
      </c>
      <c r="I42" s="57" t="s">
        <v>2186</v>
      </c>
      <c r="J42" s="57"/>
      <c r="K42" s="73"/>
      <c r="L42" s="54">
        <f t="shared" si="14"/>
        <v>3</v>
      </c>
      <c r="M42" s="57" t="str">
        <f t="shared" si="12"/>
        <v>iau</v>
      </c>
      <c r="N42" s="57" t="str">
        <f t="shared" si="13"/>
        <v>ㄧㄠ</v>
      </c>
      <c r="P42" s="121" t="str">
        <f t="shared" si="6"/>
        <v>iau(\d)</v>
      </c>
      <c r="Q42" s="124" t="s">
        <v>316</v>
      </c>
      <c r="R42" s="124">
        <f t="shared" si="7"/>
        <v>2</v>
      </c>
      <c r="S42" s="121" t="str">
        <f t="shared" si="11"/>
        <v>i》a${1}u</v>
      </c>
      <c r="T42" s="55"/>
      <c r="U42" s="56" t="str">
        <f t="shared" si="8"/>
        <v xml:space="preserve">    - xform/》iau(\d)/i》a${1}u/</v>
      </c>
    </row>
    <row r="43" spans="1:21" ht="27.75" thickBot="1">
      <c r="A43" s="57">
        <v>40</v>
      </c>
      <c r="B43" s="139" t="s">
        <v>1733</v>
      </c>
      <c r="C43" s="141" t="s">
        <v>256</v>
      </c>
      <c r="D43" s="57" t="s">
        <v>256</v>
      </c>
      <c r="E43" s="57" t="s">
        <v>256</v>
      </c>
      <c r="F43" s="57" t="s">
        <v>256</v>
      </c>
      <c r="G43" s="60" t="s">
        <v>256</v>
      </c>
      <c r="H43" s="54" t="s">
        <v>257</v>
      </c>
      <c r="I43" s="57" t="s">
        <v>255</v>
      </c>
      <c r="J43" s="57"/>
      <c r="K43" s="73"/>
      <c r="L43" s="54">
        <f t="shared" si="14"/>
        <v>5</v>
      </c>
      <c r="M43" s="57" t="str">
        <f t="shared" si="12"/>
        <v>iaunn</v>
      </c>
      <c r="N43" s="57" t="str">
        <f t="shared" si="13"/>
        <v>ㄧㆯ</v>
      </c>
      <c r="P43" s="121" t="str">
        <f t="shared" si="6"/>
        <v>iaunn(\d)</v>
      </c>
      <c r="Q43" s="124" t="s">
        <v>316</v>
      </c>
      <c r="R43" s="124">
        <f t="shared" si="7"/>
        <v>2</v>
      </c>
      <c r="S43" s="121" t="str">
        <f t="shared" si="11"/>
        <v>i》a${1}unn</v>
      </c>
      <c r="T43" s="55"/>
      <c r="U43" s="56" t="str">
        <f t="shared" si="8"/>
        <v xml:space="preserve">    - xform/》iaunn(\d)/i》a${1}unn/</v>
      </c>
    </row>
    <row r="44" spans="1:21" ht="27.75" thickBot="1">
      <c r="A44" s="57">
        <v>41</v>
      </c>
      <c r="B44" s="139" t="s">
        <v>1160</v>
      </c>
      <c r="C44" s="141" t="s">
        <v>34</v>
      </c>
      <c r="D44" s="57" t="s">
        <v>34</v>
      </c>
      <c r="E44" s="57" t="s">
        <v>34</v>
      </c>
      <c r="F44" s="57" t="s">
        <v>34</v>
      </c>
      <c r="G44" s="60" t="s">
        <v>34</v>
      </c>
      <c r="H44" s="54" t="s">
        <v>35</v>
      </c>
      <c r="I44" s="57" t="s">
        <v>33</v>
      </c>
      <c r="J44" s="57"/>
      <c r="K44" s="73"/>
      <c r="L44" s="54">
        <f t="shared" si="14"/>
        <v>4</v>
      </c>
      <c r="M44" s="57" t="str">
        <f t="shared" si="12"/>
        <v>iauh</v>
      </c>
      <c r="N44" s="57" t="str">
        <f t="shared" si="13"/>
        <v>ㄧㄠㆷ</v>
      </c>
      <c r="P44" s="121" t="str">
        <f t="shared" si="6"/>
        <v>iauh(\d)</v>
      </c>
      <c r="Q44" s="124" t="s">
        <v>316</v>
      </c>
      <c r="R44" s="124">
        <f t="shared" si="7"/>
        <v>2</v>
      </c>
      <c r="S44" s="121" t="str">
        <f t="shared" si="11"/>
        <v>i》a${1}uh</v>
      </c>
      <c r="T44" s="55"/>
      <c r="U44" s="56" t="str">
        <f t="shared" si="8"/>
        <v xml:space="preserve">    - xform/》iauh(\d)/i》a${1}uh/</v>
      </c>
    </row>
    <row r="45" spans="1:21" ht="27.75" thickBot="1">
      <c r="A45" s="57">
        <v>42</v>
      </c>
      <c r="B45" s="139" t="s">
        <v>1168</v>
      </c>
      <c r="C45" s="141" t="s">
        <v>207</v>
      </c>
      <c r="D45" s="57" t="s">
        <v>207</v>
      </c>
      <c r="E45" s="57" t="s">
        <v>207</v>
      </c>
      <c r="F45" s="57" t="s">
        <v>207</v>
      </c>
      <c r="G45" s="60" t="s">
        <v>207</v>
      </c>
      <c r="H45" s="54" t="s">
        <v>208</v>
      </c>
      <c r="I45" s="57" t="s">
        <v>2187</v>
      </c>
      <c r="J45" s="57"/>
      <c r="K45" s="73"/>
      <c r="L45" s="54">
        <f t="shared" si="14"/>
        <v>3</v>
      </c>
      <c r="M45" s="57" t="str">
        <f t="shared" si="12"/>
        <v>ior</v>
      </c>
      <c r="N45" s="57" t="str">
        <f t="shared" si="13"/>
        <v>ㄧㄜ</v>
      </c>
      <c r="P45" s="121" t="str">
        <f t="shared" si="6"/>
        <v>ior(\d)</v>
      </c>
      <c r="Q45" s="124" t="s">
        <v>171</v>
      </c>
      <c r="R45" s="124">
        <f t="shared" si="7"/>
        <v>2</v>
      </c>
      <c r="S45" s="121" t="str">
        <f t="shared" si="11"/>
        <v>i》o${1}r</v>
      </c>
      <c r="T45" s="55"/>
      <c r="U45" s="56" t="str">
        <f t="shared" si="8"/>
        <v xml:space="preserve">    - xform/》ior(\d)/i》o${1}r/</v>
      </c>
    </row>
    <row r="46" spans="1:21" ht="27.75" thickBot="1">
      <c r="A46" s="57">
        <v>43</v>
      </c>
      <c r="B46" s="139" t="s">
        <v>1163</v>
      </c>
      <c r="C46" s="141" t="s">
        <v>141</v>
      </c>
      <c r="D46" s="57" t="s">
        <v>141</v>
      </c>
      <c r="E46" s="57" t="s">
        <v>141</v>
      </c>
      <c r="F46" s="57" t="s">
        <v>144</v>
      </c>
      <c r="G46" s="60" t="s">
        <v>141</v>
      </c>
      <c r="H46" s="54" t="s">
        <v>145</v>
      </c>
      <c r="I46" s="57" t="s">
        <v>143</v>
      </c>
      <c r="J46" s="57"/>
      <c r="K46" s="73"/>
      <c r="L46" s="54">
        <f t="shared" si="14"/>
        <v>5</v>
      </c>
      <c r="M46" s="57" t="str">
        <f t="shared" si="12"/>
        <v>ioonn</v>
      </c>
      <c r="N46" s="57" t="str">
        <f t="shared" si="13"/>
        <v>ㄧㆧ</v>
      </c>
      <c r="P46" s="121" t="str">
        <f t="shared" si="6"/>
        <v>ioonn(\d)</v>
      </c>
      <c r="Q46" s="124" t="s">
        <v>171</v>
      </c>
      <c r="R46" s="124">
        <f t="shared" si="7"/>
        <v>2</v>
      </c>
      <c r="S46" s="121" t="str">
        <f t="shared" si="11"/>
        <v>i》o${1}onn</v>
      </c>
      <c r="T46" s="55"/>
      <c r="U46" s="56" t="str">
        <f t="shared" si="8"/>
        <v xml:space="preserve">    - xform/》ioonn(\d)/i》o${1}onn/</v>
      </c>
    </row>
    <row r="47" spans="1:21" ht="27.75" thickBot="1">
      <c r="A47" s="57">
        <v>44</v>
      </c>
      <c r="B47" s="139" t="s">
        <v>2488</v>
      </c>
      <c r="C47" s="141" t="s">
        <v>467</v>
      </c>
      <c r="D47" s="57" t="s">
        <v>467</v>
      </c>
      <c r="E47" s="57" t="s">
        <v>467</v>
      </c>
      <c r="F47" s="57" t="s">
        <v>469</v>
      </c>
      <c r="G47" s="60" t="s">
        <v>468</v>
      </c>
      <c r="H47" s="54" t="s">
        <v>470</v>
      </c>
      <c r="I47" s="57" t="s">
        <v>466</v>
      </c>
      <c r="J47" s="135" t="s">
        <v>1309</v>
      </c>
      <c r="K47" s="73"/>
      <c r="L47" s="54">
        <f t="shared" si="14"/>
        <v>4</v>
      </c>
      <c r="M47" s="57" t="str">
        <f t="shared" si="12"/>
        <v>iorh</v>
      </c>
      <c r="N47" s="57" t="str">
        <f t="shared" si="13"/>
        <v>ㄧㄜㆷ</v>
      </c>
      <c r="P47" s="121" t="str">
        <f t="shared" si="6"/>
        <v>iorh(\d)</v>
      </c>
      <c r="Q47" s="124" t="s">
        <v>171</v>
      </c>
      <c r="R47" s="124">
        <f t="shared" si="7"/>
        <v>2</v>
      </c>
      <c r="S47" s="121" t="str">
        <f t="shared" si="11"/>
        <v>i》o${1}rh</v>
      </c>
      <c r="T47" s="55"/>
      <c r="U47" s="56" t="str">
        <f t="shared" si="8"/>
        <v xml:space="preserve">    - xform/》iorh(\d)/i》o${1}rh/</v>
      </c>
    </row>
    <row r="48" spans="1:21" ht="27.75" thickBot="1">
      <c r="A48" s="57">
        <v>45</v>
      </c>
      <c r="B48" s="139" t="s">
        <v>1164</v>
      </c>
      <c r="C48" s="141" t="s">
        <v>148</v>
      </c>
      <c r="D48" s="57" t="s">
        <v>148</v>
      </c>
      <c r="E48" s="57" t="s">
        <v>148</v>
      </c>
      <c r="F48" s="57" t="s">
        <v>149</v>
      </c>
      <c r="G48" s="60" t="s">
        <v>148</v>
      </c>
      <c r="H48" s="54" t="s">
        <v>150</v>
      </c>
      <c r="I48" s="57" t="s">
        <v>2188</v>
      </c>
      <c r="J48" s="57"/>
      <c r="K48" s="73"/>
      <c r="L48" s="54">
        <f t="shared" si="14"/>
        <v>4</v>
      </c>
      <c r="M48" s="57" t="str">
        <f t="shared" si="12"/>
        <v>iong</v>
      </c>
      <c r="N48" s="57" t="str">
        <f t="shared" si="13"/>
        <v>ㄧㆲ</v>
      </c>
      <c r="P48" s="121" t="str">
        <f t="shared" si="6"/>
        <v>iong(\d)</v>
      </c>
      <c r="Q48" s="124" t="s">
        <v>171</v>
      </c>
      <c r="R48" s="124">
        <f t="shared" si="7"/>
        <v>2</v>
      </c>
      <c r="S48" s="121" t="str">
        <f t="shared" si="11"/>
        <v>i》o${1}ng</v>
      </c>
      <c r="T48" s="55"/>
      <c r="U48" s="56" t="str">
        <f t="shared" si="8"/>
        <v xml:space="preserve">    - xform/》iong(\d)/i》o${1}ng/</v>
      </c>
    </row>
    <row r="49" spans="1:21" ht="27.75" thickBot="1">
      <c r="A49" s="57">
        <v>46</v>
      </c>
      <c r="B49" s="139" t="s">
        <v>2489</v>
      </c>
      <c r="C49" s="141" t="s">
        <v>357</v>
      </c>
      <c r="D49" s="57" t="s">
        <v>357</v>
      </c>
      <c r="E49" s="57" t="s">
        <v>360</v>
      </c>
      <c r="F49" s="57" t="s">
        <v>357</v>
      </c>
      <c r="G49" s="60" t="s">
        <v>357</v>
      </c>
      <c r="H49" s="54" t="s">
        <v>361</v>
      </c>
      <c r="I49" s="57" t="s">
        <v>359</v>
      </c>
      <c r="J49" s="57"/>
      <c r="K49" s="73"/>
      <c r="L49" s="54">
        <f t="shared" si="14"/>
        <v>4</v>
      </c>
      <c r="M49" s="57" t="str">
        <f t="shared" si="12"/>
        <v>iook</v>
      </c>
      <c r="N49" s="57" t="str">
        <f t="shared" si="13"/>
        <v>ㄧㆦㆻ</v>
      </c>
      <c r="P49" s="121" t="str">
        <f t="shared" si="6"/>
        <v>iook(\d)</v>
      </c>
      <c r="Q49" s="124" t="s">
        <v>171</v>
      </c>
      <c r="R49" s="124">
        <f t="shared" si="7"/>
        <v>2</v>
      </c>
      <c r="S49" s="121" t="str">
        <f t="shared" si="11"/>
        <v>i》o${1}ok</v>
      </c>
      <c r="T49" s="55"/>
      <c r="U49" s="56" t="str">
        <f t="shared" si="8"/>
        <v xml:space="preserve">    - xform/》iook(\d)/i》o${1}ok/</v>
      </c>
    </row>
    <row r="50" spans="1:21" ht="27.75" thickBot="1">
      <c r="A50" s="57">
        <v>47</v>
      </c>
      <c r="B50" s="139" t="s">
        <v>1804</v>
      </c>
      <c r="C50" s="141" t="s">
        <v>383</v>
      </c>
      <c r="D50" s="57" t="s">
        <v>383</v>
      </c>
      <c r="E50" s="57" t="s">
        <v>386</v>
      </c>
      <c r="F50" s="57" t="s">
        <v>385</v>
      </c>
      <c r="G50" s="60" t="s">
        <v>384</v>
      </c>
      <c r="H50" s="54" t="s">
        <v>387</v>
      </c>
      <c r="I50" s="57" t="s">
        <v>382</v>
      </c>
      <c r="J50" s="135" t="s">
        <v>1309</v>
      </c>
      <c r="K50" s="73"/>
      <c r="L50" s="54">
        <f t="shared" si="14"/>
        <v>2</v>
      </c>
      <c r="M50" s="57" t="str">
        <f t="shared" si="12"/>
        <v>iu</v>
      </c>
      <c r="N50" s="57" t="str">
        <f t="shared" si="13"/>
        <v>ㄧㄨ</v>
      </c>
      <c r="P50" s="121" t="str">
        <f t="shared" si="6"/>
        <v>iu(\d)</v>
      </c>
      <c r="Q50" s="124" t="s">
        <v>324</v>
      </c>
      <c r="R50" s="124">
        <f t="shared" si="7"/>
        <v>1</v>
      </c>
      <c r="S50" s="121" t="str">
        <f t="shared" si="11"/>
        <v>》i${1}u</v>
      </c>
      <c r="T50" s="55"/>
      <c r="U50" s="56" t="str">
        <f t="shared" si="8"/>
        <v xml:space="preserve">    - xform/》iu(\d)/》i${1}u/</v>
      </c>
    </row>
    <row r="51" spans="1:21" ht="27.75" thickBot="1">
      <c r="A51" s="57">
        <v>48</v>
      </c>
      <c r="B51" s="139" t="s">
        <v>2490</v>
      </c>
      <c r="C51" s="141" t="s">
        <v>363</v>
      </c>
      <c r="D51" s="57" t="s">
        <v>363</v>
      </c>
      <c r="E51" s="57" t="s">
        <v>364</v>
      </c>
      <c r="F51" s="57" t="s">
        <v>363</v>
      </c>
      <c r="G51" s="60" t="s">
        <v>363</v>
      </c>
      <c r="H51" s="54" t="s">
        <v>365</v>
      </c>
      <c r="I51" s="57" t="s">
        <v>2189</v>
      </c>
      <c r="J51" s="57"/>
      <c r="K51" s="73"/>
      <c r="L51" s="54">
        <f t="shared" si="14"/>
        <v>4</v>
      </c>
      <c r="M51" s="57" t="str">
        <f t="shared" ref="M51:M82" si="15">E55</f>
        <v>iunn</v>
      </c>
      <c r="N51" s="57" t="str">
        <f t="shared" ref="N51:N82" si="16">I55</f>
        <v>ㄧㆫ</v>
      </c>
      <c r="P51" s="121" t="str">
        <f t="shared" si="6"/>
        <v>iunn(\d)</v>
      </c>
      <c r="Q51" s="124" t="s">
        <v>324</v>
      </c>
      <c r="R51" s="124">
        <f t="shared" si="7"/>
        <v>1</v>
      </c>
      <c r="S51" s="121" t="str">
        <f t="shared" si="11"/>
        <v>》i${1}unn</v>
      </c>
      <c r="T51" s="55"/>
      <c r="U51" s="56" t="str">
        <f t="shared" si="8"/>
        <v xml:space="preserve">    - xform/》iunn(\d)/》i${1}unn/</v>
      </c>
    </row>
    <row r="52" spans="1:21" ht="27.75" thickBot="1">
      <c r="A52" s="57">
        <v>49</v>
      </c>
      <c r="B52" s="139" t="s">
        <v>1165</v>
      </c>
      <c r="C52" s="141" t="s">
        <v>162</v>
      </c>
      <c r="D52" s="57" t="s">
        <v>162</v>
      </c>
      <c r="E52" s="57" t="s">
        <v>162</v>
      </c>
      <c r="F52" s="57" t="s">
        <v>162</v>
      </c>
      <c r="G52" s="60" t="s">
        <v>162</v>
      </c>
      <c r="H52" s="54" t="s">
        <v>163</v>
      </c>
      <c r="I52" s="57" t="s">
        <v>161</v>
      </c>
      <c r="J52" s="57"/>
      <c r="K52" s="73"/>
      <c r="L52" s="54">
        <f t="shared" si="14"/>
        <v>5</v>
      </c>
      <c r="M52" s="57" t="str">
        <f t="shared" si="15"/>
        <v>iunnh</v>
      </c>
      <c r="N52" s="57" t="str">
        <f t="shared" si="16"/>
        <v>ㄧㆫㆷ</v>
      </c>
      <c r="P52" s="121" t="str">
        <f t="shared" si="6"/>
        <v>iunnh(\d)</v>
      </c>
      <c r="Q52" s="124" t="s">
        <v>324</v>
      </c>
      <c r="R52" s="124">
        <f t="shared" si="7"/>
        <v>1</v>
      </c>
      <c r="S52" s="121" t="str">
        <f t="shared" si="11"/>
        <v>》i${1}unnh</v>
      </c>
      <c r="T52" s="55"/>
      <c r="U52" s="56" t="str">
        <f t="shared" si="8"/>
        <v xml:space="preserve">    - xform/》iunnh(\d)/》i${1}unnh/</v>
      </c>
    </row>
    <row r="53" spans="1:21" ht="27.75" thickBot="1">
      <c r="A53" s="57">
        <v>50</v>
      </c>
      <c r="B53" s="139" t="s">
        <v>1166</v>
      </c>
      <c r="C53" s="141" t="s">
        <v>167</v>
      </c>
      <c r="D53" s="57" t="s">
        <v>167</v>
      </c>
      <c r="E53" s="57" t="s">
        <v>892</v>
      </c>
      <c r="F53" s="57" t="s">
        <v>167</v>
      </c>
      <c r="G53" s="60" t="s">
        <v>167</v>
      </c>
      <c r="H53" s="54" t="s">
        <v>168</v>
      </c>
      <c r="I53" s="57" t="s">
        <v>166</v>
      </c>
      <c r="J53" s="57"/>
      <c r="K53" s="73"/>
      <c r="L53" s="54">
        <f t="shared" si="14"/>
        <v>2</v>
      </c>
      <c r="M53" s="57" t="str">
        <f t="shared" si="15"/>
        <v>or</v>
      </c>
      <c r="N53" s="57" t="str">
        <f t="shared" si="16"/>
        <v>ㄜ</v>
      </c>
      <c r="P53" s="121" t="str">
        <f t="shared" si="6"/>
        <v>or(\d)</v>
      </c>
      <c r="Q53" s="124" t="s">
        <v>171</v>
      </c>
      <c r="R53" s="124">
        <f t="shared" si="7"/>
        <v>1</v>
      </c>
      <c r="S53" s="121" t="str">
        <f t="shared" si="11"/>
        <v>》o${1}r</v>
      </c>
      <c r="T53" s="55"/>
      <c r="U53" s="56" t="str">
        <f t="shared" si="8"/>
        <v xml:space="preserve">    - xform/》or(\d)/》o${1}r/</v>
      </c>
    </row>
    <row r="54" spans="1:21" ht="27.75" thickBot="1">
      <c r="A54" s="57">
        <v>51</v>
      </c>
      <c r="B54" s="139" t="s">
        <v>2491</v>
      </c>
      <c r="C54" s="141" t="s">
        <v>332</v>
      </c>
      <c r="D54" s="57" t="s">
        <v>332</v>
      </c>
      <c r="E54" s="57" t="s">
        <v>332</v>
      </c>
      <c r="F54" s="57" t="s">
        <v>332</v>
      </c>
      <c r="G54" s="60" t="s">
        <v>332</v>
      </c>
      <c r="H54" s="54" t="s">
        <v>335</v>
      </c>
      <c r="I54" s="57" t="s">
        <v>334</v>
      </c>
      <c r="J54" s="57"/>
      <c r="K54" s="73"/>
      <c r="L54" s="54">
        <f t="shared" si="14"/>
        <v>2</v>
      </c>
      <c r="M54" s="57" t="str">
        <f t="shared" si="15"/>
        <v>oo</v>
      </c>
      <c r="N54" s="57" t="str">
        <f t="shared" si="16"/>
        <v>ㆦ</v>
      </c>
      <c r="P54" s="121" t="str">
        <f t="shared" si="6"/>
        <v>oo(\d)</v>
      </c>
      <c r="Q54" s="124" t="s">
        <v>171</v>
      </c>
      <c r="R54" s="124">
        <f t="shared" si="7"/>
        <v>1</v>
      </c>
      <c r="S54" s="121" t="str">
        <f t="shared" si="11"/>
        <v>》o${1}o</v>
      </c>
      <c r="T54" s="55"/>
      <c r="U54" s="56" t="str">
        <f t="shared" si="8"/>
        <v xml:space="preserve">    - xform/》oo(\d)/》o${1}o/</v>
      </c>
    </row>
    <row r="55" spans="1:21" ht="27.75" thickBot="1">
      <c r="A55" s="57">
        <v>52</v>
      </c>
      <c r="B55" s="139" t="s">
        <v>2492</v>
      </c>
      <c r="C55" s="141" t="s">
        <v>507</v>
      </c>
      <c r="D55" s="57" t="s">
        <v>507</v>
      </c>
      <c r="E55" s="57" t="s">
        <v>507</v>
      </c>
      <c r="F55" s="57" t="s">
        <v>509</v>
      </c>
      <c r="G55" s="60" t="s">
        <v>508</v>
      </c>
      <c r="H55" s="54" t="s">
        <v>510</v>
      </c>
      <c r="I55" s="57" t="s">
        <v>506</v>
      </c>
      <c r="J55" s="135" t="s">
        <v>1309</v>
      </c>
      <c r="K55" s="73"/>
      <c r="L55" s="54">
        <f t="shared" si="14"/>
        <v>4</v>
      </c>
      <c r="M55" s="57" t="str">
        <f t="shared" si="15"/>
        <v>oonn</v>
      </c>
      <c r="N55" s="57" t="str">
        <f t="shared" si="16"/>
        <v>ㆧ</v>
      </c>
      <c r="P55" s="121" t="str">
        <f t="shared" si="6"/>
        <v>oonn(\d)</v>
      </c>
      <c r="Q55" s="124" t="s">
        <v>171</v>
      </c>
      <c r="R55" s="124">
        <f t="shared" si="7"/>
        <v>1</v>
      </c>
      <c r="S55" s="121" t="str">
        <f t="shared" si="11"/>
        <v>》o${1}onn</v>
      </c>
      <c r="T55" s="55"/>
      <c r="U55" s="56" t="str">
        <f t="shared" si="8"/>
        <v xml:space="preserve">    - xform/》oonn(\d)/》o${1}onn/</v>
      </c>
    </row>
    <row r="56" spans="1:21" ht="30.75" thickBot="1">
      <c r="A56" s="57">
        <v>53</v>
      </c>
      <c r="B56" s="139" t="s">
        <v>2493</v>
      </c>
      <c r="C56" s="141" t="s">
        <v>1867</v>
      </c>
      <c r="D56" s="74" t="s">
        <v>1867</v>
      </c>
      <c r="E56" s="74" t="s">
        <v>1867</v>
      </c>
      <c r="F56" s="74" t="s">
        <v>2166</v>
      </c>
      <c r="G56" s="74" t="s">
        <v>2202</v>
      </c>
      <c r="H56" s="146" t="s">
        <v>2177</v>
      </c>
      <c r="I56" s="143" t="s">
        <v>2190</v>
      </c>
      <c r="J56" s="135" t="s">
        <v>1309</v>
      </c>
      <c r="K56" s="73"/>
      <c r="L56" s="54">
        <f t="shared" si="14"/>
        <v>3</v>
      </c>
      <c r="M56" s="57" t="str">
        <f t="shared" si="15"/>
        <v>orh</v>
      </c>
      <c r="N56" s="57" t="str">
        <f t="shared" si="16"/>
        <v>ㄜㆷ</v>
      </c>
      <c r="P56" s="121" t="str">
        <f t="shared" si="6"/>
        <v>orh(\d)</v>
      </c>
      <c r="Q56" s="124" t="s">
        <v>171</v>
      </c>
      <c r="R56" s="124">
        <f t="shared" si="7"/>
        <v>1</v>
      </c>
      <c r="S56" s="121" t="str">
        <f t="shared" si="11"/>
        <v>》o${1}rh</v>
      </c>
      <c r="T56" s="55"/>
      <c r="U56" s="56" t="str">
        <f t="shared" si="8"/>
        <v xml:space="preserve">    - xform/》orh(\d)/》o${1}rh/</v>
      </c>
    </row>
    <row r="57" spans="1:21" ht="27.75" thickBot="1">
      <c r="A57" s="57">
        <v>54</v>
      </c>
      <c r="B57" s="139" t="s">
        <v>2494</v>
      </c>
      <c r="C57" s="141" t="s">
        <v>171</v>
      </c>
      <c r="D57" s="57" t="s">
        <v>171</v>
      </c>
      <c r="E57" s="57" t="s">
        <v>174</v>
      </c>
      <c r="F57" s="57" t="s">
        <v>171</v>
      </c>
      <c r="G57" s="60" t="s">
        <v>171</v>
      </c>
      <c r="H57" s="54" t="s">
        <v>175</v>
      </c>
      <c r="I57" s="57" t="s">
        <v>173</v>
      </c>
      <c r="J57" s="57"/>
      <c r="K57" s="73"/>
      <c r="L57" s="54">
        <f t="shared" si="14"/>
        <v>3</v>
      </c>
      <c r="M57" s="57" t="str">
        <f t="shared" si="15"/>
        <v>ooh</v>
      </c>
      <c r="N57" s="57" t="str">
        <f t="shared" si="16"/>
        <v>ㆦㆷ</v>
      </c>
      <c r="P57" s="121" t="str">
        <f t="shared" si="6"/>
        <v>ooh(\d)</v>
      </c>
      <c r="Q57" s="124" t="s">
        <v>171</v>
      </c>
      <c r="R57" s="124">
        <f t="shared" si="7"/>
        <v>1</v>
      </c>
      <c r="S57" s="121" t="str">
        <f t="shared" si="11"/>
        <v>》o${1}oh</v>
      </c>
      <c r="T57" s="55"/>
      <c r="U57" s="56" t="str">
        <f t="shared" si="8"/>
        <v xml:space="preserve">    - xform/》ooh(\d)/》o${1}oh/</v>
      </c>
    </row>
    <row r="58" spans="1:21" ht="27.75" thickBot="1">
      <c r="A58" s="57">
        <v>55</v>
      </c>
      <c r="B58" s="139" t="s">
        <v>851</v>
      </c>
      <c r="C58" s="141" t="s">
        <v>136</v>
      </c>
      <c r="D58" s="57" t="s">
        <v>136</v>
      </c>
      <c r="E58" s="57" t="s">
        <v>136</v>
      </c>
      <c r="F58" s="57" t="s">
        <v>136</v>
      </c>
      <c r="G58" s="60" t="s">
        <v>137</v>
      </c>
      <c r="H58" s="54" t="s">
        <v>138</v>
      </c>
      <c r="I58" s="57" t="s">
        <v>1336</v>
      </c>
      <c r="J58" s="57"/>
      <c r="K58" s="73"/>
      <c r="L58" s="54">
        <f t="shared" si="14"/>
        <v>4</v>
      </c>
      <c r="M58" s="57" t="str">
        <f t="shared" si="15"/>
        <v>onnh</v>
      </c>
      <c r="N58" s="57" t="str">
        <f t="shared" si="16"/>
        <v>ㆧㆷ</v>
      </c>
      <c r="P58" s="121" t="str">
        <f t="shared" si="6"/>
        <v>onnh(\d)</v>
      </c>
      <c r="Q58" s="124" t="s">
        <v>171</v>
      </c>
      <c r="R58" s="124">
        <f t="shared" si="7"/>
        <v>1</v>
      </c>
      <c r="S58" s="121" t="str">
        <f t="shared" si="11"/>
        <v>》o${1}nnh</v>
      </c>
      <c r="T58" s="55"/>
      <c r="U58" s="56" t="str">
        <f t="shared" si="8"/>
        <v xml:space="preserve">    - xform/》onnh(\d)/》o${1}nnh/</v>
      </c>
    </row>
    <row r="59" spans="1:21" ht="27.75" thickBot="1">
      <c r="A59" s="57">
        <v>56</v>
      </c>
      <c r="B59" s="139" t="s">
        <v>819</v>
      </c>
      <c r="C59" s="141" t="s">
        <v>425</v>
      </c>
      <c r="D59" s="57" t="s">
        <v>425</v>
      </c>
      <c r="E59" s="57" t="s">
        <v>424</v>
      </c>
      <c r="F59" s="57" t="s">
        <v>427</v>
      </c>
      <c r="G59" s="60" t="s">
        <v>2203</v>
      </c>
      <c r="H59" s="54" t="s">
        <v>428</v>
      </c>
      <c r="I59" s="57" t="s">
        <v>423</v>
      </c>
      <c r="J59" s="57"/>
      <c r="K59" s="73"/>
      <c r="L59" s="54">
        <f t="shared" si="14"/>
        <v>3</v>
      </c>
      <c r="M59" s="57" t="str">
        <f t="shared" si="15"/>
        <v>oom</v>
      </c>
      <c r="N59" s="57" t="str">
        <f t="shared" si="16"/>
        <v>ㆱ</v>
      </c>
      <c r="P59" s="121" t="str">
        <f t="shared" si="6"/>
        <v>oom(\d)</v>
      </c>
      <c r="Q59" s="124" t="s">
        <v>171</v>
      </c>
      <c r="R59" s="124">
        <f t="shared" si="7"/>
        <v>1</v>
      </c>
      <c r="S59" s="121" t="str">
        <f t="shared" si="11"/>
        <v>》o${1}om</v>
      </c>
      <c r="T59" s="55"/>
      <c r="U59" s="56" t="str">
        <f t="shared" si="8"/>
        <v xml:space="preserve">    - xform/》oom(\d)/》o${1}om/</v>
      </c>
    </row>
    <row r="60" spans="1:21" ht="27.75" thickBot="1">
      <c r="A60" s="57">
        <v>57</v>
      </c>
      <c r="B60" s="139" t="s">
        <v>2495</v>
      </c>
      <c r="C60" s="141" t="s">
        <v>178</v>
      </c>
      <c r="D60" s="57" t="s">
        <v>178</v>
      </c>
      <c r="E60" s="57" t="s">
        <v>179</v>
      </c>
      <c r="F60" s="57" t="s">
        <v>178</v>
      </c>
      <c r="G60" s="60" t="s">
        <v>178</v>
      </c>
      <c r="H60" s="54" t="s">
        <v>180</v>
      </c>
      <c r="I60" s="57" t="s">
        <v>2191</v>
      </c>
      <c r="J60" s="57"/>
      <c r="K60" s="73"/>
      <c r="L60" s="54">
        <f t="shared" si="14"/>
        <v>3</v>
      </c>
      <c r="M60" s="57" t="str">
        <f t="shared" si="15"/>
        <v>ong</v>
      </c>
      <c r="N60" s="57" t="str">
        <f t="shared" si="16"/>
        <v>ㆲ</v>
      </c>
      <c r="P60" s="121" t="str">
        <f t="shared" si="6"/>
        <v>ong(\d)</v>
      </c>
      <c r="Q60" s="124" t="s">
        <v>171</v>
      </c>
      <c r="R60" s="124">
        <f t="shared" si="7"/>
        <v>1</v>
      </c>
      <c r="S60" s="121" t="str">
        <f t="shared" si="11"/>
        <v>》o${1}ng</v>
      </c>
      <c r="T60" s="55"/>
      <c r="U60" s="56" t="str">
        <f t="shared" si="8"/>
        <v xml:space="preserve">    - xform/》ong(\d)/》o${1}ng/</v>
      </c>
    </row>
    <row r="61" spans="1:21" ht="30.75" thickBot="1">
      <c r="A61" s="57">
        <v>58</v>
      </c>
      <c r="B61" s="139" t="s">
        <v>821</v>
      </c>
      <c r="C61" s="141" t="s">
        <v>822</v>
      </c>
      <c r="D61" s="74" t="s">
        <v>822</v>
      </c>
      <c r="E61" s="74" t="s">
        <v>822</v>
      </c>
      <c r="F61" s="74" t="s">
        <v>822</v>
      </c>
      <c r="G61" s="74" t="s">
        <v>2169</v>
      </c>
      <c r="H61" s="146" t="s">
        <v>2176</v>
      </c>
      <c r="I61" s="144" t="s">
        <v>1325</v>
      </c>
      <c r="J61" s="57"/>
      <c r="K61" s="73"/>
      <c r="L61" s="54">
        <f t="shared" si="14"/>
        <v>3</v>
      </c>
      <c r="M61" s="57" t="str">
        <f t="shared" si="15"/>
        <v>oop</v>
      </c>
      <c r="N61" s="57" t="str">
        <f t="shared" si="16"/>
        <v>ㆦㆴ</v>
      </c>
      <c r="P61" s="121" t="str">
        <f t="shared" si="6"/>
        <v>oop(\d)</v>
      </c>
      <c r="Q61" s="124" t="s">
        <v>171</v>
      </c>
      <c r="R61" s="124">
        <f t="shared" si="7"/>
        <v>1</v>
      </c>
      <c r="S61" s="121" t="str">
        <f t="shared" si="11"/>
        <v>》o${1}op</v>
      </c>
      <c r="T61" s="55"/>
      <c r="U61" s="56" t="str">
        <f t="shared" si="8"/>
        <v xml:space="preserve">    - xform/》oop(\d)/》o${1}op/</v>
      </c>
    </row>
    <row r="62" spans="1:21" ht="27.75" thickBot="1">
      <c r="A62" s="57">
        <v>59</v>
      </c>
      <c r="B62" s="139" t="s">
        <v>791</v>
      </c>
      <c r="C62" s="141" t="s">
        <v>501</v>
      </c>
      <c r="D62" s="57" t="s">
        <v>500</v>
      </c>
      <c r="E62" s="57" t="s">
        <v>501</v>
      </c>
      <c r="F62" s="57" t="s">
        <v>2166</v>
      </c>
      <c r="G62" s="60" t="s">
        <v>903</v>
      </c>
      <c r="H62" s="54" t="s">
        <v>503</v>
      </c>
      <c r="I62" s="57" t="s">
        <v>2192</v>
      </c>
      <c r="J62" s="135" t="s">
        <v>1309</v>
      </c>
      <c r="K62" s="73"/>
      <c r="L62" s="54">
        <f t="shared" si="14"/>
        <v>2</v>
      </c>
      <c r="M62" s="57" t="str">
        <f t="shared" si="15"/>
        <v>ok</v>
      </c>
      <c r="N62" s="57" t="str">
        <f t="shared" si="16"/>
        <v>ㆦㆻ</v>
      </c>
      <c r="P62" s="121" t="str">
        <f t="shared" si="6"/>
        <v>ok(\d)</v>
      </c>
      <c r="Q62" s="124" t="s">
        <v>171</v>
      </c>
      <c r="R62" s="124">
        <f t="shared" si="7"/>
        <v>1</v>
      </c>
      <c r="S62" s="121" t="str">
        <f t="shared" si="11"/>
        <v>》o${1}k</v>
      </c>
      <c r="T62" s="55"/>
      <c r="U62" s="56" t="str">
        <f t="shared" si="8"/>
        <v xml:space="preserve">    - xform/》ok(\d)/》o${1}k/</v>
      </c>
    </row>
    <row r="63" spans="1:21" ht="27.75" thickBot="1">
      <c r="A63" s="57">
        <v>60</v>
      </c>
      <c r="B63" s="139" t="s">
        <v>476</v>
      </c>
      <c r="C63" s="141" t="s">
        <v>479</v>
      </c>
      <c r="D63" s="57" t="s">
        <v>479</v>
      </c>
      <c r="E63" s="57" t="s">
        <v>480</v>
      </c>
      <c r="F63" s="57" t="s">
        <v>479</v>
      </c>
      <c r="G63" s="60" t="s">
        <v>479</v>
      </c>
      <c r="H63" s="54" t="s">
        <v>481</v>
      </c>
      <c r="I63" s="57" t="s">
        <v>478</v>
      </c>
      <c r="J63" s="57"/>
      <c r="K63" s="73"/>
      <c r="L63" s="54">
        <f t="shared" si="14"/>
        <v>1</v>
      </c>
      <c r="M63" s="57" t="str">
        <f t="shared" si="15"/>
        <v>u</v>
      </c>
      <c r="N63" s="57" t="str">
        <f t="shared" si="16"/>
        <v>ㄨ</v>
      </c>
      <c r="P63" s="121" t="str">
        <f t="shared" si="6"/>
        <v>u(\d)</v>
      </c>
      <c r="Q63" s="124" t="s">
        <v>308</v>
      </c>
      <c r="R63" s="124">
        <f t="shared" si="7"/>
        <v>1</v>
      </c>
      <c r="S63" s="121" t="str">
        <f t="shared" si="11"/>
        <v>》u${1}</v>
      </c>
      <c r="T63" s="55"/>
      <c r="U63" s="56" t="str">
        <f t="shared" si="8"/>
        <v xml:space="preserve">    - xform/》u(\d)/》u${1}/</v>
      </c>
    </row>
    <row r="64" spans="1:21" ht="27.75" thickBot="1">
      <c r="A64" s="57">
        <v>61</v>
      </c>
      <c r="B64" s="139" t="s">
        <v>81</v>
      </c>
      <c r="C64" s="141" t="s">
        <v>84</v>
      </c>
      <c r="D64" s="57" t="s">
        <v>84</v>
      </c>
      <c r="E64" s="57" t="s">
        <v>84</v>
      </c>
      <c r="F64" s="57" t="s">
        <v>84</v>
      </c>
      <c r="G64" s="60" t="s">
        <v>84</v>
      </c>
      <c r="H64" s="54" t="s">
        <v>85</v>
      </c>
      <c r="I64" s="57" t="s">
        <v>83</v>
      </c>
      <c r="J64" s="57"/>
      <c r="K64" s="73"/>
      <c r="L64" s="54">
        <f t="shared" si="14"/>
        <v>2</v>
      </c>
      <c r="M64" s="57" t="str">
        <f t="shared" si="15"/>
        <v>uh</v>
      </c>
      <c r="N64" s="57" t="str">
        <f t="shared" si="16"/>
        <v>ㄨㆷ</v>
      </c>
      <c r="P64" s="121" t="str">
        <f t="shared" si="6"/>
        <v>uh(\d)</v>
      </c>
      <c r="Q64" s="124" t="s">
        <v>308</v>
      </c>
      <c r="R64" s="124">
        <f t="shared" si="7"/>
        <v>1</v>
      </c>
      <c r="S64" s="121" t="str">
        <f t="shared" si="11"/>
        <v>》u${1}h</v>
      </c>
      <c r="T64" s="55"/>
      <c r="U64" s="56" t="str">
        <f t="shared" si="8"/>
        <v xml:space="preserve">    - xform/》uh(\d)/》u${1}h/</v>
      </c>
    </row>
    <row r="65" spans="1:21" ht="27.75" thickBot="1">
      <c r="A65" s="57">
        <v>62</v>
      </c>
      <c r="B65" s="139" t="s">
        <v>483</v>
      </c>
      <c r="C65" s="141" t="s">
        <v>485</v>
      </c>
      <c r="D65" s="57" t="s">
        <v>485</v>
      </c>
      <c r="E65" s="57" t="s">
        <v>486</v>
      </c>
      <c r="F65" s="57" t="s">
        <v>485</v>
      </c>
      <c r="G65" s="60" t="s">
        <v>485</v>
      </c>
      <c r="H65" s="54" t="s">
        <v>487</v>
      </c>
      <c r="I65" s="57" t="s">
        <v>484</v>
      </c>
      <c r="J65" s="57"/>
      <c r="K65" s="73"/>
      <c r="L65" s="54">
        <f t="shared" si="14"/>
        <v>2</v>
      </c>
      <c r="M65" s="57" t="str">
        <f t="shared" si="15"/>
        <v>un</v>
      </c>
      <c r="N65" s="57" t="str">
        <f t="shared" si="16"/>
        <v>ㄨㄣ</v>
      </c>
      <c r="P65" s="121" t="str">
        <f t="shared" si="6"/>
        <v>un(\d)</v>
      </c>
      <c r="Q65" s="124" t="s">
        <v>308</v>
      </c>
      <c r="R65" s="124">
        <f t="shared" si="7"/>
        <v>1</v>
      </c>
      <c r="S65" s="121" t="str">
        <f t="shared" si="11"/>
        <v>》u${1}n</v>
      </c>
      <c r="T65" s="55"/>
      <c r="U65" s="56" t="str">
        <f t="shared" si="8"/>
        <v xml:space="preserve">    - xform/》un(\d)/》u${1}n/</v>
      </c>
    </row>
    <row r="66" spans="1:21" ht="27.75" thickBot="1">
      <c r="A66" s="57">
        <v>63</v>
      </c>
      <c r="B66" s="139" t="s">
        <v>88</v>
      </c>
      <c r="C66" s="141" t="s">
        <v>90</v>
      </c>
      <c r="D66" s="57" t="s">
        <v>90</v>
      </c>
      <c r="E66" s="57" t="s">
        <v>90</v>
      </c>
      <c r="F66" s="57" t="s">
        <v>90</v>
      </c>
      <c r="G66" s="60" t="s">
        <v>90</v>
      </c>
      <c r="H66" s="54" t="s">
        <v>91</v>
      </c>
      <c r="I66" s="57" t="s">
        <v>89</v>
      </c>
      <c r="J66" s="57"/>
      <c r="K66" s="73"/>
      <c r="L66" s="54">
        <f t="shared" si="14"/>
        <v>2</v>
      </c>
      <c r="M66" s="57" t="str">
        <f t="shared" si="15"/>
        <v>ut</v>
      </c>
      <c r="N66" s="57" t="str">
        <f t="shared" si="16"/>
        <v>ㄨㆵ</v>
      </c>
      <c r="P66" s="121" t="str">
        <f t="shared" si="6"/>
        <v>ut(\d)</v>
      </c>
      <c r="Q66" s="124" t="s">
        <v>308</v>
      </c>
      <c r="R66" s="124">
        <f t="shared" si="7"/>
        <v>1</v>
      </c>
      <c r="S66" s="121" t="str">
        <f t="shared" si="11"/>
        <v>》u${1}t</v>
      </c>
      <c r="T66" s="55"/>
      <c r="U66" s="56" t="str">
        <f t="shared" si="8"/>
        <v xml:space="preserve">    - xform/》ut(\d)/》u${1}t/</v>
      </c>
    </row>
    <row r="67" spans="1:21" ht="27.75" thickBot="1">
      <c r="A67" s="57">
        <v>64</v>
      </c>
      <c r="B67" s="139" t="s">
        <v>308</v>
      </c>
      <c r="C67" s="141" t="s">
        <v>308</v>
      </c>
      <c r="D67" s="57" t="s">
        <v>308</v>
      </c>
      <c r="E67" s="57" t="s">
        <v>308</v>
      </c>
      <c r="F67" s="57" t="s">
        <v>308</v>
      </c>
      <c r="G67" s="60" t="s">
        <v>308</v>
      </c>
      <c r="H67" s="54" t="s">
        <v>311</v>
      </c>
      <c r="I67" s="57" t="s">
        <v>310</v>
      </c>
      <c r="J67" s="57"/>
      <c r="K67" s="73"/>
      <c r="L67" s="54">
        <f t="shared" si="14"/>
        <v>2</v>
      </c>
      <c r="M67" s="57" t="str">
        <f t="shared" si="15"/>
        <v>ua</v>
      </c>
      <c r="N67" s="57" t="str">
        <f t="shared" si="16"/>
        <v>ㄨㄚ</v>
      </c>
      <c r="P67" s="121" t="str">
        <f t="shared" si="6"/>
        <v>ua(\d)</v>
      </c>
      <c r="Q67" s="124" t="s">
        <v>316</v>
      </c>
      <c r="R67" s="124">
        <f t="shared" si="7"/>
        <v>2</v>
      </c>
      <c r="S67" s="121" t="str">
        <f t="shared" si="11"/>
        <v>u》a${1}</v>
      </c>
      <c r="T67" s="55"/>
      <c r="U67" s="56" t="str">
        <f t="shared" si="8"/>
        <v xml:space="preserve">    - xform/》ua(\d)/u》a${1}/</v>
      </c>
    </row>
    <row r="68" spans="1:21" ht="27.75" thickBot="1">
      <c r="A68" s="57">
        <v>65</v>
      </c>
      <c r="B68" s="139" t="s">
        <v>854</v>
      </c>
      <c r="C68" s="141" t="s">
        <v>313</v>
      </c>
      <c r="D68" s="57" t="s">
        <v>313</v>
      </c>
      <c r="E68" s="57" t="s">
        <v>313</v>
      </c>
      <c r="F68" s="57" t="s">
        <v>313</v>
      </c>
      <c r="G68" s="60" t="s">
        <v>313</v>
      </c>
      <c r="H68" s="54" t="s">
        <v>314</v>
      </c>
      <c r="I68" s="57" t="s">
        <v>2193</v>
      </c>
      <c r="J68" s="57"/>
      <c r="K68" s="73"/>
      <c r="L68" s="54">
        <f t="shared" ref="L68:L85" si="17" xml:space="preserve"> LEN(M68)</f>
        <v>4</v>
      </c>
      <c r="M68" s="57" t="str">
        <f t="shared" si="15"/>
        <v>uann</v>
      </c>
      <c r="N68" s="57" t="str">
        <f t="shared" si="16"/>
        <v>ㄨㆩ</v>
      </c>
      <c r="P68" s="121" t="str">
        <f t="shared" si="6"/>
        <v>uann(\d)</v>
      </c>
      <c r="Q68" s="124" t="s">
        <v>316</v>
      </c>
      <c r="R68" s="124">
        <f t="shared" si="7"/>
        <v>2</v>
      </c>
      <c r="S68" s="121" t="str">
        <f t="shared" si="11"/>
        <v>u》a${1}nn</v>
      </c>
      <c r="T68" s="55"/>
      <c r="U68" s="56" t="str">
        <f t="shared" si="8"/>
        <v xml:space="preserve">    - xform/》uann(\d)/u》a${1}nn/</v>
      </c>
    </row>
    <row r="69" spans="1:21" ht="27.75" thickBot="1">
      <c r="A69" s="57">
        <v>66</v>
      </c>
      <c r="B69" s="139" t="s">
        <v>14</v>
      </c>
      <c r="C69" s="141" t="s">
        <v>14</v>
      </c>
      <c r="D69" s="57" t="s">
        <v>14</v>
      </c>
      <c r="E69" s="57" t="s">
        <v>14</v>
      </c>
      <c r="F69" s="57" t="s">
        <v>14</v>
      </c>
      <c r="G69" s="60" t="s">
        <v>14</v>
      </c>
      <c r="H69" s="54" t="s">
        <v>18</v>
      </c>
      <c r="I69" s="57" t="s">
        <v>16</v>
      </c>
      <c r="J69" s="57"/>
      <c r="K69" s="73"/>
      <c r="L69" s="54">
        <f t="shared" si="17"/>
        <v>3</v>
      </c>
      <c r="M69" s="57" t="str">
        <f t="shared" si="15"/>
        <v>uah</v>
      </c>
      <c r="N69" s="57" t="str">
        <f t="shared" si="16"/>
        <v>ㄨㄚㆷ</v>
      </c>
      <c r="P69" s="121" t="str">
        <f t="shared" ref="P69:P85" si="18" xml:space="preserve"> _xlfn.CONCAT(M69, "(\d)")</f>
        <v>uah(\d)</v>
      </c>
      <c r="Q69" s="124" t="s">
        <v>316</v>
      </c>
      <c r="R69" s="124">
        <f t="shared" ref="R69:R85" si="19" xml:space="preserve"> IFERROR( IF(Q69="", "", SEARCH(Q69, $M69)), "")</f>
        <v>2</v>
      </c>
      <c r="S69" s="121" t="str">
        <f t="shared" si="11"/>
        <v>u》a${1}h</v>
      </c>
      <c r="T69" s="55"/>
      <c r="U69" s="56" t="str">
        <f t="shared" ref="U69:U85" si="20" xml:space="preserve"> IF(AND(N69&lt;&gt;"", M69&lt;&gt;""), "    - xform/》" &amp; P69 &amp;  "/"  &amp; S69 &amp;  "/", "")</f>
        <v xml:space="preserve">    - xform/》uah(\d)/u》a${1}h/</v>
      </c>
    </row>
    <row r="70" spans="1:21" ht="27.75" thickBot="1">
      <c r="A70" s="57">
        <v>67</v>
      </c>
      <c r="B70" s="139" t="s">
        <v>1987</v>
      </c>
      <c r="C70" s="141" t="s">
        <v>22</v>
      </c>
      <c r="D70" s="57" t="s">
        <v>22</v>
      </c>
      <c r="E70" s="57" t="s">
        <v>22</v>
      </c>
      <c r="F70" s="57" t="s">
        <v>22</v>
      </c>
      <c r="G70" s="60" t="s">
        <v>22</v>
      </c>
      <c r="H70" s="54" t="s">
        <v>24</v>
      </c>
      <c r="I70" s="57" t="s">
        <v>21</v>
      </c>
      <c r="J70" s="57"/>
      <c r="K70" s="73"/>
      <c r="L70" s="54">
        <f t="shared" si="17"/>
        <v>3</v>
      </c>
      <c r="M70" s="57" t="str">
        <f t="shared" si="15"/>
        <v>uan</v>
      </c>
      <c r="N70" s="57" t="str">
        <f t="shared" si="16"/>
        <v>ㄨㄢ</v>
      </c>
      <c r="P70" s="121" t="str">
        <f t="shared" si="18"/>
        <v>uan(\d)</v>
      </c>
      <c r="Q70" s="124" t="s">
        <v>316</v>
      </c>
      <c r="R70" s="124">
        <f t="shared" si="19"/>
        <v>2</v>
      </c>
      <c r="S70" s="121" t="str">
        <f t="shared" ref="S70:S85" si="21" xml:space="preserve"> IFERROR( _xlfn.CONCAT(LEFT(M70,R70-1), "》", MID(M70,R70,1), "${1}", RIGHT(M70, LEN(M70)-R70)), "" )</f>
        <v>u》a${1}n</v>
      </c>
      <c r="T70" s="55"/>
      <c r="U70" s="56" t="str">
        <f t="shared" si="20"/>
        <v xml:space="preserve">    - xform/》uan(\d)/u》a${1}n/</v>
      </c>
    </row>
    <row r="71" spans="1:21" ht="27.75" thickBot="1">
      <c r="A71" s="57">
        <v>68</v>
      </c>
      <c r="B71" s="139" t="s">
        <v>223</v>
      </c>
      <c r="C71" s="141" t="s">
        <v>223</v>
      </c>
      <c r="D71" s="57" t="s">
        <v>223</v>
      </c>
      <c r="E71" s="57" t="s">
        <v>223</v>
      </c>
      <c r="F71" s="57" t="s">
        <v>223</v>
      </c>
      <c r="G71" s="60" t="s">
        <v>226</v>
      </c>
      <c r="H71" s="54" t="s">
        <v>227</v>
      </c>
      <c r="I71" s="57" t="s">
        <v>225</v>
      </c>
      <c r="J71" s="57"/>
      <c r="K71" s="73"/>
      <c r="L71" s="54">
        <f t="shared" si="17"/>
        <v>4</v>
      </c>
      <c r="M71" s="57" t="str">
        <f t="shared" si="15"/>
        <v>uang</v>
      </c>
      <c r="N71" s="57" t="str">
        <f t="shared" si="16"/>
        <v>ㄨㄤ</v>
      </c>
      <c r="P71" s="121" t="str">
        <f t="shared" si="18"/>
        <v>uang(\d)</v>
      </c>
      <c r="Q71" s="124" t="s">
        <v>316</v>
      </c>
      <c r="R71" s="124">
        <f t="shared" si="19"/>
        <v>2</v>
      </c>
      <c r="S71" s="121" t="str">
        <f t="shared" si="21"/>
        <v>u》a${1}ng</v>
      </c>
      <c r="T71" s="55"/>
      <c r="U71" s="56" t="str">
        <f t="shared" si="20"/>
        <v xml:space="preserve">    - xform/》uang(\d)/u》a${1}ng/</v>
      </c>
    </row>
    <row r="72" spans="1:21" ht="27.75" thickBot="1">
      <c r="A72" s="57">
        <v>69</v>
      </c>
      <c r="B72" s="139" t="s">
        <v>2496</v>
      </c>
      <c r="C72" s="141" t="s">
        <v>399</v>
      </c>
      <c r="D72" s="57" t="s">
        <v>399</v>
      </c>
      <c r="E72" s="57" t="s">
        <v>399</v>
      </c>
      <c r="F72" s="57" t="s">
        <v>401</v>
      </c>
      <c r="G72" s="60" t="s">
        <v>400</v>
      </c>
      <c r="H72" s="54" t="s">
        <v>402</v>
      </c>
      <c r="I72" s="57" t="s">
        <v>398</v>
      </c>
      <c r="J72" s="57"/>
      <c r="K72" s="73"/>
      <c r="L72" s="54">
        <f t="shared" si="17"/>
        <v>3</v>
      </c>
      <c r="M72" s="57" t="str">
        <f t="shared" si="15"/>
        <v>uat</v>
      </c>
      <c r="N72" s="57" t="str">
        <f t="shared" si="16"/>
        <v>ㄨㄚㆵ</v>
      </c>
      <c r="P72" s="121" t="str">
        <f t="shared" si="18"/>
        <v>uat(\d)</v>
      </c>
      <c r="Q72" s="124" t="s">
        <v>316</v>
      </c>
      <c r="R72" s="124">
        <f t="shared" si="19"/>
        <v>2</v>
      </c>
      <c r="S72" s="121" t="str">
        <f t="shared" si="21"/>
        <v>u》a${1}t</v>
      </c>
      <c r="T72" s="55"/>
      <c r="U72" s="56" t="str">
        <f t="shared" si="20"/>
        <v xml:space="preserve">    - xform/》uat(\d)/u》a${1}t/</v>
      </c>
    </row>
    <row r="73" spans="1:21" ht="27.75" thickBot="1">
      <c r="A73" s="57">
        <v>70</v>
      </c>
      <c r="B73" s="139" t="s">
        <v>823</v>
      </c>
      <c r="C73" s="141" t="s">
        <v>230</v>
      </c>
      <c r="D73" s="57" t="s">
        <v>230</v>
      </c>
      <c r="E73" s="57" t="s">
        <v>230</v>
      </c>
      <c r="F73" s="57" t="s">
        <v>230</v>
      </c>
      <c r="G73" s="60" t="s">
        <v>231</v>
      </c>
      <c r="H73" s="54" t="s">
        <v>232</v>
      </c>
      <c r="I73" s="57" t="s">
        <v>2194</v>
      </c>
      <c r="J73" s="57"/>
      <c r="K73" s="73"/>
      <c r="L73" s="54">
        <f t="shared" si="17"/>
        <v>3</v>
      </c>
      <c r="M73" s="57" t="str">
        <f t="shared" si="15"/>
        <v>uai</v>
      </c>
      <c r="N73" s="57" t="str">
        <f t="shared" si="16"/>
        <v>ㄨㄞ</v>
      </c>
      <c r="P73" s="121" t="str">
        <f t="shared" si="18"/>
        <v>uai(\d)</v>
      </c>
      <c r="Q73" s="124" t="s">
        <v>316</v>
      </c>
      <c r="R73" s="124">
        <f t="shared" si="19"/>
        <v>2</v>
      </c>
      <c r="S73" s="121" t="str">
        <f t="shared" si="21"/>
        <v>u》a${1}i</v>
      </c>
      <c r="T73" s="55"/>
      <c r="U73" s="56" t="str">
        <f t="shared" si="20"/>
        <v xml:space="preserve">    - xform/》uai(\d)/u》a${1}i/</v>
      </c>
    </row>
    <row r="74" spans="1:21" ht="27.75" thickBot="1">
      <c r="A74" s="57">
        <v>71</v>
      </c>
      <c r="B74" s="139" t="s">
        <v>120</v>
      </c>
      <c r="C74" s="141" t="s">
        <v>120</v>
      </c>
      <c r="D74" s="57" t="s">
        <v>120</v>
      </c>
      <c r="E74" s="57" t="s">
        <v>120</v>
      </c>
      <c r="F74" s="57" t="s">
        <v>120</v>
      </c>
      <c r="G74" s="60" t="s">
        <v>123</v>
      </c>
      <c r="H74" s="54" t="s">
        <v>124</v>
      </c>
      <c r="I74" s="57" t="s">
        <v>122</v>
      </c>
      <c r="J74" s="57"/>
      <c r="K74" s="73"/>
      <c r="L74" s="54">
        <f t="shared" si="17"/>
        <v>5</v>
      </c>
      <c r="M74" s="57" t="str">
        <f t="shared" si="15"/>
        <v>uainn</v>
      </c>
      <c r="N74" s="57" t="str">
        <f t="shared" si="16"/>
        <v>ㄨㆮ</v>
      </c>
      <c r="P74" s="121" t="str">
        <f t="shared" si="18"/>
        <v>uainn(\d)</v>
      </c>
      <c r="Q74" s="124" t="s">
        <v>316</v>
      </c>
      <c r="R74" s="124">
        <f t="shared" si="19"/>
        <v>2</v>
      </c>
      <c r="S74" s="121" t="str">
        <f t="shared" si="21"/>
        <v>u》a${1}inn</v>
      </c>
      <c r="T74" s="55"/>
      <c r="U74" s="56" t="str">
        <f t="shared" si="20"/>
        <v xml:space="preserve">    - xform/》uainn(\d)/u》a${1}inn/</v>
      </c>
    </row>
    <row r="75" spans="1:21" ht="27.75" thickBot="1">
      <c r="A75" s="57">
        <v>72</v>
      </c>
      <c r="B75" s="139" t="s">
        <v>435</v>
      </c>
      <c r="C75" s="141" t="s">
        <v>437</v>
      </c>
      <c r="D75" s="57" t="s">
        <v>437</v>
      </c>
      <c r="E75" s="57" t="s">
        <v>437</v>
      </c>
      <c r="F75" s="57" t="s">
        <v>437</v>
      </c>
      <c r="G75" s="60" t="s">
        <v>438</v>
      </c>
      <c r="H75" s="54" t="s">
        <v>439</v>
      </c>
      <c r="I75" s="57" t="s">
        <v>2195</v>
      </c>
      <c r="J75" s="57"/>
      <c r="K75" s="73"/>
      <c r="L75" s="54">
        <f t="shared" si="17"/>
        <v>4</v>
      </c>
      <c r="M75" s="57" t="str">
        <f t="shared" si="15"/>
        <v>uaih</v>
      </c>
      <c r="N75" s="57" t="str">
        <f t="shared" si="16"/>
        <v>ㄨㄞㆷ</v>
      </c>
      <c r="P75" s="121" t="str">
        <f t="shared" si="18"/>
        <v>uaih(\d)</v>
      </c>
      <c r="Q75" s="124" t="s">
        <v>316</v>
      </c>
      <c r="R75" s="124">
        <f t="shared" si="19"/>
        <v>2</v>
      </c>
      <c r="S75" s="121" t="str">
        <f t="shared" si="21"/>
        <v>u》a${1}ih</v>
      </c>
      <c r="T75" s="55"/>
      <c r="U75" s="56" t="str">
        <f t="shared" si="20"/>
        <v xml:space="preserve">    - xform/》uaih(\d)/u》a${1}ih/</v>
      </c>
    </row>
    <row r="76" spans="1:21" ht="27.75" thickBot="1">
      <c r="A76" s="57">
        <v>73</v>
      </c>
      <c r="B76" s="139" t="s">
        <v>127</v>
      </c>
      <c r="C76" s="141" t="s">
        <v>129</v>
      </c>
      <c r="D76" s="57" t="s">
        <v>129</v>
      </c>
      <c r="E76" s="57" t="s">
        <v>129</v>
      </c>
      <c r="F76" s="57" t="s">
        <v>129</v>
      </c>
      <c r="G76" s="60" t="s">
        <v>130</v>
      </c>
      <c r="H76" s="54" t="s">
        <v>131</v>
      </c>
      <c r="I76" s="57" t="s">
        <v>128</v>
      </c>
      <c r="J76" s="57"/>
      <c r="K76" s="73"/>
      <c r="L76" s="54">
        <f t="shared" si="17"/>
        <v>6</v>
      </c>
      <c r="M76" s="57" t="str">
        <f t="shared" si="15"/>
        <v>uainnh</v>
      </c>
      <c r="N76" s="57" t="str">
        <f t="shared" si="16"/>
        <v>ㄨㆮㆷ</v>
      </c>
      <c r="P76" s="121" t="str">
        <f t="shared" si="18"/>
        <v>uainnh(\d)</v>
      </c>
      <c r="Q76" s="124" t="s">
        <v>316</v>
      </c>
      <c r="R76" s="124">
        <f t="shared" si="19"/>
        <v>2</v>
      </c>
      <c r="S76" s="121" t="str">
        <f t="shared" si="21"/>
        <v>u》a${1}innh</v>
      </c>
      <c r="T76" s="55"/>
      <c r="U76" s="56" t="str">
        <f t="shared" si="20"/>
        <v xml:space="preserve">    - xform/》uainnh(\d)/u》a${1}innh/</v>
      </c>
    </row>
    <row r="77" spans="1:21" ht="27.75" thickBot="1">
      <c r="A77" s="57">
        <v>74</v>
      </c>
      <c r="B77" s="139" t="s">
        <v>94</v>
      </c>
      <c r="C77" s="141" t="s">
        <v>94</v>
      </c>
      <c r="D77" s="57" t="s">
        <v>94</v>
      </c>
      <c r="E77" s="57" t="s">
        <v>94</v>
      </c>
      <c r="F77" s="57" t="s">
        <v>94</v>
      </c>
      <c r="G77" s="60" t="s">
        <v>97</v>
      </c>
      <c r="H77" s="54" t="s">
        <v>98</v>
      </c>
      <c r="I77" s="57" t="s">
        <v>96</v>
      </c>
      <c r="J77" s="57"/>
      <c r="K77" s="73"/>
      <c r="L77" s="54">
        <f t="shared" si="17"/>
        <v>2</v>
      </c>
      <c r="M77" s="57" t="str">
        <f t="shared" si="15"/>
        <v>ue</v>
      </c>
      <c r="N77" s="57" t="str">
        <f t="shared" si="16"/>
        <v>ㄨㆤ</v>
      </c>
      <c r="P77" s="121" t="str">
        <f t="shared" si="18"/>
        <v>ue(\d)</v>
      </c>
      <c r="Q77" s="124" t="s">
        <v>308</v>
      </c>
      <c r="R77" s="124">
        <f t="shared" si="19"/>
        <v>1</v>
      </c>
      <c r="S77" s="121" t="str">
        <f t="shared" si="21"/>
        <v>》u${1}e</v>
      </c>
      <c r="T77" s="55"/>
      <c r="U77" s="56" t="str">
        <f t="shared" si="20"/>
        <v xml:space="preserve">    - xform/》ue(\d)/》u${1}e/</v>
      </c>
    </row>
    <row r="78" spans="1:21" ht="27.75" thickBot="1">
      <c r="A78" s="57">
        <v>75</v>
      </c>
      <c r="B78" s="139" t="s">
        <v>2497</v>
      </c>
      <c r="C78" s="141" t="s">
        <v>449</v>
      </c>
      <c r="D78" s="57" t="s">
        <v>449</v>
      </c>
      <c r="E78" s="57" t="s">
        <v>449</v>
      </c>
      <c r="F78" s="57" t="s">
        <v>451</v>
      </c>
      <c r="G78" s="60" t="s">
        <v>450</v>
      </c>
      <c r="H78" s="54" t="s">
        <v>452</v>
      </c>
      <c r="I78" s="57" t="s">
        <v>448</v>
      </c>
      <c r="J78" s="135" t="s">
        <v>1309</v>
      </c>
      <c r="K78" s="73"/>
      <c r="L78" s="54">
        <f t="shared" si="17"/>
        <v>3</v>
      </c>
      <c r="M78" s="57" t="str">
        <f t="shared" si="15"/>
        <v>ueh</v>
      </c>
      <c r="N78" s="57" t="str">
        <f t="shared" si="16"/>
        <v>ㄨㆤㆷ</v>
      </c>
      <c r="P78" s="121" t="str">
        <f t="shared" si="18"/>
        <v>ueh(\d)</v>
      </c>
      <c r="Q78" s="124" t="s">
        <v>308</v>
      </c>
      <c r="R78" s="124">
        <f t="shared" si="19"/>
        <v>1</v>
      </c>
      <c r="S78" s="121" t="str">
        <f t="shared" si="21"/>
        <v>》u${1}eh</v>
      </c>
      <c r="T78" s="55"/>
      <c r="U78" s="56" t="str">
        <f t="shared" si="20"/>
        <v xml:space="preserve">    - xform/》ueh(\d)/》u${1}eh/</v>
      </c>
    </row>
    <row r="79" spans="1:21" ht="27.75" thickBot="1">
      <c r="A79" s="57">
        <v>76</v>
      </c>
      <c r="B79" s="139" t="s">
        <v>1118</v>
      </c>
      <c r="C79" s="141" t="s">
        <v>101</v>
      </c>
      <c r="D79" s="57" t="s">
        <v>101</v>
      </c>
      <c r="E79" s="57" t="s">
        <v>101</v>
      </c>
      <c r="F79" s="57" t="s">
        <v>101</v>
      </c>
      <c r="G79" s="60" t="s">
        <v>102</v>
      </c>
      <c r="H79" s="54" t="s">
        <v>103</v>
      </c>
      <c r="I79" s="57" t="s">
        <v>2196</v>
      </c>
      <c r="J79" s="57"/>
      <c r="K79" s="73"/>
      <c r="L79" s="54">
        <f t="shared" si="17"/>
        <v>2</v>
      </c>
      <c r="M79" s="57" t="str">
        <f t="shared" si="15"/>
        <v>ui</v>
      </c>
      <c r="N79" s="57" t="str">
        <f t="shared" si="16"/>
        <v>ㄨㄧ</v>
      </c>
      <c r="P79" s="121" t="str">
        <f t="shared" si="18"/>
        <v>ui(\d)</v>
      </c>
      <c r="Q79" s="124" t="s">
        <v>308</v>
      </c>
      <c r="R79" s="124">
        <f t="shared" si="19"/>
        <v>1</v>
      </c>
      <c r="S79" s="121" t="str">
        <f t="shared" si="21"/>
        <v>》u${1}i</v>
      </c>
      <c r="T79" s="55"/>
      <c r="U79" s="56" t="str">
        <f t="shared" si="20"/>
        <v xml:space="preserve">    - xform/》ui(\d)/》u${1}i/</v>
      </c>
    </row>
    <row r="80" spans="1:21" ht="27.75" thickBot="1">
      <c r="A80" s="57">
        <v>77</v>
      </c>
      <c r="B80" s="139" t="s">
        <v>2498</v>
      </c>
      <c r="C80" s="141" t="s">
        <v>455</v>
      </c>
      <c r="D80" s="57" t="s">
        <v>454</v>
      </c>
      <c r="E80" s="57" t="s">
        <v>455</v>
      </c>
      <c r="F80" s="74" t="s">
        <v>455</v>
      </c>
      <c r="G80" s="60" t="s">
        <v>901</v>
      </c>
      <c r="H80" s="54" t="s">
        <v>457</v>
      </c>
      <c r="I80" s="57" t="s">
        <v>2197</v>
      </c>
      <c r="J80" s="135" t="s">
        <v>1309</v>
      </c>
      <c r="K80" s="73"/>
      <c r="L80" s="54">
        <f t="shared" si="17"/>
        <v>4</v>
      </c>
      <c r="M80" s="57" t="str">
        <f t="shared" si="15"/>
        <v>uinn</v>
      </c>
      <c r="N80" s="57" t="str">
        <f t="shared" si="16"/>
        <v>ㄨㆪ</v>
      </c>
      <c r="P80" s="121" t="str">
        <f t="shared" si="18"/>
        <v>uinn(\d)</v>
      </c>
      <c r="Q80" s="124" t="s">
        <v>308</v>
      </c>
      <c r="R80" s="124">
        <f t="shared" si="19"/>
        <v>1</v>
      </c>
      <c r="S80" s="121" t="str">
        <f t="shared" si="21"/>
        <v>》u${1}inn</v>
      </c>
      <c r="T80" s="55"/>
      <c r="U80" s="56" t="str">
        <f t="shared" si="20"/>
        <v xml:space="preserve">    - xform/》uinn(\d)/》u${1}inn/</v>
      </c>
    </row>
    <row r="81" spans="1:21" ht="27.75" thickBot="1">
      <c r="A81" s="57">
        <v>78</v>
      </c>
      <c r="B81" s="139" t="s">
        <v>285</v>
      </c>
      <c r="C81" s="141" t="s">
        <v>285</v>
      </c>
      <c r="D81" s="57" t="s">
        <v>285</v>
      </c>
      <c r="E81" s="57" t="s">
        <v>285</v>
      </c>
      <c r="F81" s="57" t="s">
        <v>285</v>
      </c>
      <c r="G81" s="60" t="s">
        <v>286</v>
      </c>
      <c r="H81" s="54" t="s">
        <v>287</v>
      </c>
      <c r="I81" s="57" t="s">
        <v>284</v>
      </c>
      <c r="J81" s="57"/>
      <c r="K81" s="73"/>
      <c r="L81" s="54">
        <f t="shared" si="17"/>
        <v>3</v>
      </c>
      <c r="M81" s="57" t="str">
        <f t="shared" si="15"/>
        <v>uih</v>
      </c>
      <c r="N81" s="57" t="str">
        <f t="shared" si="16"/>
        <v>ㄨㄧㆷ</v>
      </c>
      <c r="P81" s="121" t="str">
        <f t="shared" si="18"/>
        <v>uih(\d)</v>
      </c>
      <c r="Q81" s="124" t="s">
        <v>308</v>
      </c>
      <c r="R81" s="124">
        <f t="shared" si="19"/>
        <v>1</v>
      </c>
      <c r="S81" s="121" t="str">
        <f t="shared" si="21"/>
        <v>》u${1}ih</v>
      </c>
      <c r="T81" s="55"/>
      <c r="U81" s="56" t="str">
        <f t="shared" si="20"/>
        <v xml:space="preserve">    - xform/》uih(\d)/》u${1}ih/</v>
      </c>
    </row>
    <row r="82" spans="1:21" ht="27.75" thickBot="1">
      <c r="A82" s="57">
        <v>79</v>
      </c>
      <c r="B82" s="139" t="s">
        <v>828</v>
      </c>
      <c r="C82" s="141" t="s">
        <v>290</v>
      </c>
      <c r="D82" s="57" t="s">
        <v>290</v>
      </c>
      <c r="E82" s="57" t="s">
        <v>290</v>
      </c>
      <c r="F82" s="57" t="s">
        <v>290</v>
      </c>
      <c r="G82" s="60" t="s">
        <v>291</v>
      </c>
      <c r="H82" s="54" t="s">
        <v>292</v>
      </c>
      <c r="I82" s="57" t="s">
        <v>2198</v>
      </c>
      <c r="J82" s="57"/>
      <c r="K82" s="73"/>
      <c r="L82" s="54">
        <f t="shared" si="17"/>
        <v>1</v>
      </c>
      <c r="M82" s="57" t="str">
        <f t="shared" si="15"/>
        <v>m</v>
      </c>
      <c r="N82" s="57" t="str">
        <f t="shared" si="16"/>
        <v>ㆬ</v>
      </c>
      <c r="P82" s="121" t="str">
        <f t="shared" si="18"/>
        <v>m(\d)</v>
      </c>
      <c r="Q82" s="124" t="s">
        <v>432</v>
      </c>
      <c r="R82" s="124">
        <f t="shared" si="19"/>
        <v>1</v>
      </c>
      <c r="S82" s="121" t="str">
        <f t="shared" si="21"/>
        <v>》m${1}</v>
      </c>
      <c r="T82" s="55"/>
      <c r="U82" s="56" t="str">
        <f t="shared" si="20"/>
        <v xml:space="preserve">    - xform/》m(\d)/》m${1}/</v>
      </c>
    </row>
    <row r="83" spans="1:21" ht="27.75" thickBot="1">
      <c r="A83" s="57">
        <v>80</v>
      </c>
      <c r="B83" s="139" t="s">
        <v>50</v>
      </c>
      <c r="C83" s="141" t="s">
        <v>50</v>
      </c>
      <c r="D83" s="57" t="s">
        <v>50</v>
      </c>
      <c r="E83" s="57" t="s">
        <v>50</v>
      </c>
      <c r="F83" s="57" t="s">
        <v>50</v>
      </c>
      <c r="G83" s="60" t="s">
        <v>50</v>
      </c>
      <c r="H83" s="54" t="s">
        <v>53</v>
      </c>
      <c r="I83" s="57" t="s">
        <v>52</v>
      </c>
      <c r="J83" s="57"/>
      <c r="K83" s="73"/>
      <c r="L83" s="54">
        <f t="shared" si="17"/>
        <v>2</v>
      </c>
      <c r="M83" s="57" t="str">
        <f t="shared" ref="M83:M85" si="22">E87</f>
        <v>mh</v>
      </c>
      <c r="N83" s="57" t="str">
        <f t="shared" ref="N83:N85" si="23">I87</f>
        <v>ㆬㆷ</v>
      </c>
      <c r="P83" s="121" t="str">
        <f t="shared" si="18"/>
        <v>mh(\d)</v>
      </c>
      <c r="Q83" s="124" t="s">
        <v>432</v>
      </c>
      <c r="R83" s="124">
        <f t="shared" si="19"/>
        <v>1</v>
      </c>
      <c r="S83" s="121" t="str">
        <f t="shared" si="21"/>
        <v>》m${1}h</v>
      </c>
      <c r="T83" s="55"/>
      <c r="U83" s="56" t="str">
        <f t="shared" si="20"/>
        <v xml:space="preserve">    - xform/》mh(\d)/》m${1}h/</v>
      </c>
    </row>
    <row r="84" spans="1:21" ht="27.75" thickBot="1">
      <c r="A84" s="57">
        <v>81</v>
      </c>
      <c r="B84" s="139" t="s">
        <v>2123</v>
      </c>
      <c r="C84" s="141" t="s">
        <v>351</v>
      </c>
      <c r="D84" s="57" t="s">
        <v>351</v>
      </c>
      <c r="E84" s="57" t="s">
        <v>351</v>
      </c>
      <c r="F84" s="57" t="s">
        <v>353</v>
      </c>
      <c r="G84" s="60" t="s">
        <v>352</v>
      </c>
      <c r="H84" s="54" t="s">
        <v>354</v>
      </c>
      <c r="I84" s="57" t="s">
        <v>350</v>
      </c>
      <c r="J84" s="57"/>
      <c r="K84" s="73"/>
      <c r="L84" s="54">
        <f t="shared" si="17"/>
        <v>2</v>
      </c>
      <c r="M84" s="57" t="str">
        <f t="shared" si="22"/>
        <v>ng</v>
      </c>
      <c r="N84" s="57" t="str">
        <f t="shared" si="23"/>
        <v>ㆭ</v>
      </c>
      <c r="P84" s="121" t="str">
        <f t="shared" si="18"/>
        <v>ng(\d)</v>
      </c>
      <c r="Q84" s="124" t="s">
        <v>590</v>
      </c>
      <c r="R84" s="124">
        <f t="shared" si="19"/>
        <v>1</v>
      </c>
      <c r="S84" s="121" t="str">
        <f t="shared" si="21"/>
        <v>》n${1}g</v>
      </c>
      <c r="T84" s="55"/>
      <c r="U84" s="56" t="str">
        <f t="shared" si="20"/>
        <v xml:space="preserve">    - xform/》ng(\d)/》n${1}g/</v>
      </c>
    </row>
    <row r="85" spans="1:21" ht="27.75" thickBot="1">
      <c r="A85" s="57">
        <v>82</v>
      </c>
      <c r="B85" s="139" t="s">
        <v>2130</v>
      </c>
      <c r="C85" s="141" t="s">
        <v>2131</v>
      </c>
      <c r="D85" s="74" t="s">
        <v>2131</v>
      </c>
      <c r="E85" s="74" t="s">
        <v>2131</v>
      </c>
      <c r="F85" s="74" t="s">
        <v>2131</v>
      </c>
      <c r="G85" s="74" t="s">
        <v>2131</v>
      </c>
      <c r="H85" s="145" t="s">
        <v>2173</v>
      </c>
      <c r="I85" s="143" t="s">
        <v>2161</v>
      </c>
      <c r="J85" s="135" t="s">
        <v>1309</v>
      </c>
      <c r="K85" s="73"/>
      <c r="L85" s="54">
        <f t="shared" si="17"/>
        <v>3</v>
      </c>
      <c r="M85" s="57" t="str">
        <f t="shared" si="22"/>
        <v>ngh</v>
      </c>
      <c r="N85" s="57" t="str">
        <f t="shared" si="23"/>
        <v>ㆭㆷ</v>
      </c>
      <c r="P85" s="121" t="str">
        <f t="shared" si="18"/>
        <v>ngh(\d)</v>
      </c>
      <c r="Q85" s="124" t="s">
        <v>590</v>
      </c>
      <c r="R85" s="124">
        <f t="shared" si="19"/>
        <v>1</v>
      </c>
      <c r="S85" s="121" t="str">
        <f t="shared" si="21"/>
        <v>》n${1}gh</v>
      </c>
      <c r="T85" s="55"/>
      <c r="U85" s="56" t="str">
        <f t="shared" si="20"/>
        <v xml:space="preserve">    - xform/》ngh(\d)/》n${1}gh/</v>
      </c>
    </row>
    <row r="86" spans="1:21" ht="27.75" thickBot="1">
      <c r="A86" s="57">
        <v>83</v>
      </c>
      <c r="B86" s="139" t="s">
        <v>430</v>
      </c>
      <c r="C86" s="141" t="s">
        <v>432</v>
      </c>
      <c r="D86" s="57" t="s">
        <v>432</v>
      </c>
      <c r="E86" s="57" t="s">
        <v>432</v>
      </c>
      <c r="F86" s="57" t="s">
        <v>432</v>
      </c>
      <c r="G86" s="60" t="s">
        <v>432</v>
      </c>
      <c r="H86" s="54" t="s">
        <v>433</v>
      </c>
      <c r="I86" s="57" t="s">
        <v>431</v>
      </c>
      <c r="J86" s="57"/>
    </row>
    <row r="87" spans="1:21" ht="27.75" thickBot="1">
      <c r="A87" s="57">
        <v>84</v>
      </c>
      <c r="B87" s="139" t="s">
        <v>846</v>
      </c>
      <c r="C87" s="141" t="s">
        <v>847</v>
      </c>
      <c r="D87" s="74" t="s">
        <v>847</v>
      </c>
      <c r="E87" s="74" t="s">
        <v>847</v>
      </c>
      <c r="F87" s="74" t="s">
        <v>847</v>
      </c>
      <c r="G87" s="74" t="s">
        <v>847</v>
      </c>
      <c r="H87" s="145" t="s">
        <v>2172</v>
      </c>
      <c r="I87" s="144" t="s">
        <v>2163</v>
      </c>
      <c r="J87" s="57"/>
    </row>
    <row r="88" spans="1:21" ht="27.75" thickBot="1">
      <c r="A88" s="57">
        <v>85</v>
      </c>
      <c r="B88" s="139" t="s">
        <v>404</v>
      </c>
      <c r="C88" s="141" t="s">
        <v>407</v>
      </c>
      <c r="D88" s="57" t="s">
        <v>407</v>
      </c>
      <c r="E88" s="57" t="s">
        <v>407</v>
      </c>
      <c r="F88" s="57" t="s">
        <v>407</v>
      </c>
      <c r="G88" s="60" t="s">
        <v>407</v>
      </c>
      <c r="H88" s="54" t="s">
        <v>408</v>
      </c>
      <c r="I88" s="57" t="s">
        <v>406</v>
      </c>
      <c r="J88" s="57"/>
    </row>
    <row r="89" spans="1:21" ht="27.75" thickBot="1">
      <c r="A89" s="57">
        <v>86</v>
      </c>
      <c r="B89" s="139" t="s">
        <v>816</v>
      </c>
      <c r="C89" s="141" t="s">
        <v>817</v>
      </c>
      <c r="D89" s="74" t="s">
        <v>817</v>
      </c>
      <c r="E89" s="74" t="s">
        <v>817</v>
      </c>
      <c r="F89" s="74" t="s">
        <v>817</v>
      </c>
      <c r="G89" s="74" t="s">
        <v>817</v>
      </c>
      <c r="H89" s="145" t="s">
        <v>2174</v>
      </c>
      <c r="I89" s="144" t="s">
        <v>1323</v>
      </c>
      <c r="J89" s="57"/>
    </row>
    <row r="90" spans="1:21" ht="27" thickBot="1"/>
    <row r="91" spans="1:21" ht="48.75" thickBot="1">
      <c r="B91" s="58" t="s">
        <v>1311</v>
      </c>
      <c r="C91" s="58" t="s">
        <v>1316</v>
      </c>
      <c r="D91" s="58" t="s">
        <v>1316</v>
      </c>
    </row>
    <row r="92" spans="1:21" ht="27.75" thickBot="1">
      <c r="B92" s="57" t="s">
        <v>1312</v>
      </c>
      <c r="C92" s="57">
        <f xml:space="preserve"> HEX2DEC(VALUE(RIGHT(B92,4)))</f>
        <v>771</v>
      </c>
      <c r="D92" s="57" t="str">
        <f xml:space="preserve"> _xlfn.CONCAT("a", _xlfn.UNICHAR(HEX2DEC(RIGHT(B92,4))))</f>
        <v>ã</v>
      </c>
    </row>
    <row r="93" spans="1:21" ht="27.75" thickBot="1">
      <c r="B93" s="57" t="s">
        <v>1313</v>
      </c>
      <c r="C93" s="57">
        <f xml:space="preserve"> HEX2DEC(VALUE(RIGHT(B93,4)))</f>
        <v>660</v>
      </c>
      <c r="D93" s="57" t="str">
        <f xml:space="preserve"> _xlfn.CONCAT("a", _xlfn.UNICHAR(HEX2DEC(RIGHT(B93,4))))</f>
        <v>aʔ</v>
      </c>
    </row>
    <row r="94" spans="1:21" ht="27" thickBot="1"/>
    <row r="95" spans="1:21" ht="27" thickBot="1">
      <c r="B95" s="58" t="s">
        <v>1315</v>
      </c>
      <c r="C95" s="58">
        <f xml:space="preserve"> HEX2DEC(VALUE(RIGHT(B95,4)))</f>
        <v>2134</v>
      </c>
      <c r="D95" s="58" t="str">
        <f xml:space="preserve"> _xlfn.CONCAT("o", _xlfn.UNICHAR( RIGHT(B95,4)))</f>
        <v>o͘</v>
      </c>
    </row>
    <row r="96" spans="1:21" ht="27" thickBot="1">
      <c r="B96" s="58" t="s">
        <v>1314</v>
      </c>
      <c r="C96" s="58">
        <f xml:space="preserve"> _xlfn.UNICODE( RIGHT(B96,1) )</f>
        <v>856</v>
      </c>
      <c r="D96" s="58" t="str">
        <f xml:space="preserve"> _xlfn.CONCAT("o", _xlfn.UNICHAR(C96))</f>
        <v>o͘</v>
      </c>
    </row>
    <row r="97" spans="1:3" ht="27" thickBot="1"/>
    <row r="98" spans="1:3" ht="27" thickBot="1">
      <c r="B98" s="58" t="s">
        <v>1330</v>
      </c>
      <c r="C98" s="58" t="s">
        <v>2154</v>
      </c>
    </row>
    <row r="99" spans="1:3" ht="27" thickBot="1">
      <c r="B99" s="58" t="s">
        <v>1332</v>
      </c>
      <c r="C99" s="58" t="s">
        <v>1331</v>
      </c>
    </row>
    <row r="101" spans="1:3">
      <c r="A101" s="50" t="str">
        <f xml:space="preserve"> "(""" &amp; _xlfn.TEXTJOIN(""",""",TRUE,F4:F89)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sortState xmlns:xlrd2="http://schemas.microsoft.com/office/spreadsheetml/2017/richdata2" ref="L4:N85">
    <sortCondition descending="1" ref="L4:L85"/>
  </sortState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3D1B8-C933-4F87-997F-1644EE992569}">
  <dimension ref="A1:W73"/>
  <sheetViews>
    <sheetView zoomScale="96" zoomScaleNormal="96" workbookViewId="0">
      <selection activeCell="C4" sqref="C4"/>
    </sheetView>
  </sheetViews>
  <sheetFormatPr defaultRowHeight="25.5"/>
  <cols>
    <col min="1" max="2" width="7.33203125" customWidth="1"/>
    <col min="3" max="3" width="9.08203125" customWidth="1"/>
    <col min="4" max="4" width="7.33203125" customWidth="1"/>
    <col min="5" max="5" width="9.08203125" customWidth="1"/>
    <col min="6" max="6" width="12.75" customWidth="1"/>
    <col min="7" max="7" width="12.75" style="19" customWidth="1"/>
    <col min="8" max="8" width="12.4140625" style="19" customWidth="1"/>
    <col min="9" max="9" width="12.4140625" customWidth="1"/>
    <col min="10" max="10" width="12.75" customWidth="1"/>
    <col min="11" max="14" width="12.4140625" customWidth="1"/>
    <col min="15" max="15" width="12.75" customWidth="1"/>
    <col min="16" max="16" width="12.08203125" customWidth="1"/>
    <col min="17" max="17" width="10.9140625" bestFit="1" customWidth="1"/>
    <col min="23" max="23" width="31.9140625" customWidth="1"/>
  </cols>
  <sheetData>
    <row r="1" spans="1:16" s="215" customFormat="1">
      <c r="A1" s="212" t="s">
        <v>0</v>
      </c>
      <c r="B1" s="213" t="s">
        <v>627</v>
      </c>
      <c r="C1" s="213" t="s">
        <v>626</v>
      </c>
      <c r="D1" s="213" t="s">
        <v>625</v>
      </c>
      <c r="E1" s="213" t="s">
        <v>630</v>
      </c>
      <c r="F1" s="213" t="s">
        <v>665</v>
      </c>
      <c r="G1" s="213" t="s">
        <v>663</v>
      </c>
      <c r="H1" s="213" t="s">
        <v>661</v>
      </c>
      <c r="I1" s="213" t="s">
        <v>662</v>
      </c>
      <c r="J1" s="213" t="s">
        <v>664</v>
      </c>
      <c r="K1" s="213" t="s">
        <v>629</v>
      </c>
      <c r="L1" s="213" t="s">
        <v>757</v>
      </c>
      <c r="M1" s="213" t="s">
        <v>628</v>
      </c>
      <c r="N1" s="213" t="s">
        <v>660</v>
      </c>
      <c r="O1" s="213" t="s">
        <v>2359</v>
      </c>
      <c r="P1" s="214" t="s">
        <v>2357</v>
      </c>
    </row>
    <row r="2" spans="1:16" ht="39">
      <c r="A2" s="62">
        <v>1</v>
      </c>
      <c r="B2" s="13" t="s">
        <v>633</v>
      </c>
      <c r="C2" s="13" t="s">
        <v>631</v>
      </c>
      <c r="D2" s="105">
        <v>44</v>
      </c>
      <c r="E2" s="13">
        <v>1</v>
      </c>
      <c r="F2" s="105"/>
      <c r="G2" s="157" t="str">
        <f xml:space="preserve"> _xlfn.CONCAT("a", IF($F2="", "", _xlfn.UNICHAR(HEX2DEC(RIGHT($F2,4)))))</f>
        <v>a</v>
      </c>
      <c r="H2" s="104" t="s">
        <v>632</v>
      </c>
      <c r="I2" s="156" t="str">
        <f>IFERROR( _xlfn.CONCAT("t", "o", IF($F2="", "", _xlfn.UNICHAR(HEX2DEC(RIGHT($F2,4)))), IF(RIGHT($C2,1)&lt;&gt;"入", "ng", "k")), "")</f>
        <v>tong</v>
      </c>
      <c r="J2" s="13" t="s">
        <v>634</v>
      </c>
      <c r="K2" s="106" t="str">
        <f xml:space="preserve"> _xlfn.CONCAT("ㄚ", IF($J2="", "", _xlfn.UNICHAR(HEX2DEC(RIGHT($J2,4)))))</f>
        <v>ㄚ</v>
      </c>
      <c r="L2" s="156" t="str">
        <f>IFERROR( _xlfn.CONCAT("ㄉ", IF(RIGHT($C2,1)&lt;&gt;"入", "ㆲ", "ㆦㆻ"),  IF($J2="", "", _xlfn.UNICHAR(HEX2DEC(RIGHT($J2,4)))),), "")</f>
        <v>ㄉㆲ</v>
      </c>
      <c r="M2" s="107" t="s">
        <v>1275</v>
      </c>
      <c r="N2" s="13">
        <v>1</v>
      </c>
      <c r="O2" s="179" t="s">
        <v>2350</v>
      </c>
      <c r="P2" s="203" t="s">
        <v>2350</v>
      </c>
    </row>
    <row r="3" spans="1:16" ht="39">
      <c r="A3" s="62">
        <v>2</v>
      </c>
      <c r="B3" s="13" t="s">
        <v>637</v>
      </c>
      <c r="C3" s="13" t="s">
        <v>635</v>
      </c>
      <c r="D3" s="105">
        <v>22</v>
      </c>
      <c r="E3" s="13">
        <v>7</v>
      </c>
      <c r="F3" s="105" t="s">
        <v>666</v>
      </c>
      <c r="G3" s="157" t="str">
        <f t="shared" ref="G3:G6" si="0" xml:space="preserve"> _xlfn.CONCAT("a", IF($F3="", "", _xlfn.UNICHAR(HEX2DEC(RIGHT($F3,4)))))</f>
        <v>ā</v>
      </c>
      <c r="H3" s="104" t="s">
        <v>636</v>
      </c>
      <c r="I3" s="156" t="str">
        <f t="shared" ref="I3:I8" si="1">IFERROR( _xlfn.CONCAT("t", "o", IF($F3="", "", _xlfn.UNICHAR(HEX2DEC(RIGHT($F3,4)))), IF(RIGHT($C3,1)&lt;&gt;"入", "ng", "k")), "")</f>
        <v>tōng</v>
      </c>
      <c r="J3" s="13" t="s">
        <v>2208</v>
      </c>
      <c r="K3" s="106" t="str">
        <f t="shared" ref="K3:K6" si="2" xml:space="preserve"> _xlfn.CONCAT("ㄚ", IF($J3="", "", _xlfn.UNICHAR(HEX2DEC(RIGHT($J3,4)))))</f>
        <v>ㄚ˫</v>
      </c>
      <c r="L3" s="156" t="str">
        <f t="shared" ref="L3:L8" si="3">IFERROR( _xlfn.CONCAT("ㄉ", IF(RIGHT($C3,1)&lt;&gt;"入", "ㆲ", "ㆦㆻ"),  IF($J3="", "", _xlfn.UNICHAR(HEX2DEC(RIGHT($J3,4)))),), "")</f>
        <v>ㄉㆲ˫</v>
      </c>
      <c r="M3" s="106" t="s">
        <v>638</v>
      </c>
      <c r="N3" s="13">
        <v>6</v>
      </c>
      <c r="O3" s="179" t="s">
        <v>2351</v>
      </c>
      <c r="P3" s="203" t="s">
        <v>2355</v>
      </c>
    </row>
    <row r="4" spans="1:16" ht="39">
      <c r="A4" s="62">
        <v>3</v>
      </c>
      <c r="B4" s="13" t="s">
        <v>642</v>
      </c>
      <c r="C4" s="13" t="s">
        <v>640</v>
      </c>
      <c r="D4" s="105">
        <v>21</v>
      </c>
      <c r="E4" s="13">
        <v>3</v>
      </c>
      <c r="F4" s="105" t="s">
        <v>752</v>
      </c>
      <c r="G4" s="157" t="str">
        <f t="shared" si="0"/>
        <v>à</v>
      </c>
      <c r="H4" s="104" t="s">
        <v>641</v>
      </c>
      <c r="I4" s="156" t="str">
        <f t="shared" si="1"/>
        <v>tòng</v>
      </c>
      <c r="J4" s="13" t="s">
        <v>2207</v>
      </c>
      <c r="K4" s="106" t="str">
        <f t="shared" si="2"/>
        <v>ㄚ˪</v>
      </c>
      <c r="L4" s="156" t="str">
        <f t="shared" si="3"/>
        <v>ㄉㆲ˪</v>
      </c>
      <c r="M4" s="106" t="s">
        <v>643</v>
      </c>
      <c r="N4" s="13">
        <v>5</v>
      </c>
      <c r="O4" s="179" t="s">
        <v>2352</v>
      </c>
      <c r="P4" s="203" t="s">
        <v>2353</v>
      </c>
    </row>
    <row r="5" spans="1:16" ht="39">
      <c r="A5" s="62">
        <v>4</v>
      </c>
      <c r="B5" s="13" t="s">
        <v>646</v>
      </c>
      <c r="C5" s="13" t="s">
        <v>2206</v>
      </c>
      <c r="D5" s="105">
        <v>53</v>
      </c>
      <c r="E5" s="13">
        <v>2</v>
      </c>
      <c r="F5" s="105" t="s">
        <v>754</v>
      </c>
      <c r="G5" s="157" t="str">
        <f t="shared" si="0"/>
        <v>á</v>
      </c>
      <c r="H5" s="104" t="s">
        <v>645</v>
      </c>
      <c r="I5" s="156" t="str">
        <f t="shared" si="1"/>
        <v>tóng</v>
      </c>
      <c r="J5" s="13" t="s">
        <v>1306</v>
      </c>
      <c r="K5" s="106" t="str">
        <f t="shared" si="2"/>
        <v>ㄚ̀</v>
      </c>
      <c r="L5" s="156" t="str">
        <f t="shared" si="3"/>
        <v>ㄉㆲ̀</v>
      </c>
      <c r="M5" s="106" t="s">
        <v>647</v>
      </c>
      <c r="N5" s="13">
        <v>3</v>
      </c>
      <c r="O5" s="179" t="s">
        <v>2353</v>
      </c>
      <c r="P5" s="203" t="s">
        <v>2354</v>
      </c>
    </row>
    <row r="6" spans="1:16" ht="39">
      <c r="A6" s="62">
        <v>5</v>
      </c>
      <c r="B6" s="13" t="s">
        <v>650</v>
      </c>
      <c r="C6" s="13" t="s">
        <v>648</v>
      </c>
      <c r="D6" s="105">
        <v>13</v>
      </c>
      <c r="E6" s="13">
        <v>5</v>
      </c>
      <c r="F6" s="105" t="s">
        <v>760</v>
      </c>
      <c r="G6" s="157" t="str">
        <f t="shared" si="0"/>
        <v>ǎ</v>
      </c>
      <c r="H6" s="104" t="s">
        <v>649</v>
      </c>
      <c r="I6" s="156" t="str">
        <f t="shared" si="1"/>
        <v>tǒng</v>
      </c>
      <c r="J6" s="13" t="s">
        <v>667</v>
      </c>
      <c r="K6" s="106" t="str">
        <f t="shared" si="2"/>
        <v>ㄚ́</v>
      </c>
      <c r="L6" s="156" t="str">
        <f t="shared" si="3"/>
        <v>ㄉㆲ́</v>
      </c>
      <c r="M6" s="106" t="s">
        <v>651</v>
      </c>
      <c r="N6" s="13">
        <v>2</v>
      </c>
      <c r="O6" s="179" t="s">
        <v>2354</v>
      </c>
      <c r="P6" s="203" t="s">
        <v>2352</v>
      </c>
    </row>
    <row r="7" spans="1:16" ht="39">
      <c r="A7" s="62">
        <v>6</v>
      </c>
      <c r="B7" s="13" t="s">
        <v>654</v>
      </c>
      <c r="C7" s="13" t="s">
        <v>652</v>
      </c>
      <c r="D7" s="105">
        <v>32</v>
      </c>
      <c r="E7" s="13">
        <v>4</v>
      </c>
      <c r="F7" s="105"/>
      <c r="G7" s="157" t="str">
        <f xml:space="preserve"> _xlfn.CONCAT("a", IF($F7="", "", _xlfn.UNICHAR(HEX2DEC(RIGHT($F7,4)))), "h")</f>
        <v>ah</v>
      </c>
      <c r="H7" s="104" t="s">
        <v>653</v>
      </c>
      <c r="I7" s="156" t="str">
        <f t="shared" si="1"/>
        <v>tok</v>
      </c>
      <c r="J7" s="13" t="s">
        <v>634</v>
      </c>
      <c r="K7" s="106" t="str">
        <f xml:space="preserve"> _xlfn.CONCAT("ㄚ", "ㆷ", IF($J7="", "", _xlfn.UNICHAR(HEX2DEC(RIGHT($J7,4)))))</f>
        <v>ㄚㆷ</v>
      </c>
      <c r="L7" s="156" t="str">
        <f t="shared" si="3"/>
        <v>ㄉㆦㆻ</v>
      </c>
      <c r="M7" s="106" t="s">
        <v>655</v>
      </c>
      <c r="N7" s="13">
        <v>7</v>
      </c>
      <c r="O7" s="179" t="s">
        <v>2355</v>
      </c>
      <c r="P7" s="203" t="s">
        <v>2358</v>
      </c>
    </row>
    <row r="8" spans="1:16" ht="39">
      <c r="A8" s="64">
        <v>7</v>
      </c>
      <c r="B8" s="204" t="s">
        <v>658</v>
      </c>
      <c r="C8" s="204" t="s">
        <v>656</v>
      </c>
      <c r="D8" s="205">
        <v>121</v>
      </c>
      <c r="E8" s="204">
        <v>8</v>
      </c>
      <c r="F8" s="205" t="s">
        <v>775</v>
      </c>
      <c r="G8" s="206" t="str">
        <f xml:space="preserve"> _xlfn.CONCAT("a", IF($F8="", "", _xlfn.UNICHAR(HEX2DEC(RIGHT($F8,4)))), "h")</f>
        <v>a̍h</v>
      </c>
      <c r="H8" s="207" t="s">
        <v>657</v>
      </c>
      <c r="I8" s="208" t="str">
        <f t="shared" si="1"/>
        <v>to̍k</v>
      </c>
      <c r="J8" s="204" t="s">
        <v>2209</v>
      </c>
      <c r="K8" s="209" t="str">
        <f xml:space="preserve"> _xlfn.CONCAT("ㄚ", "ㆷ", IF($J8="", "", _xlfn.UNICHAR(HEX2DEC(RIGHT($J8,4)))))</f>
        <v>ㄚㆷ˙</v>
      </c>
      <c r="L8" s="208" t="str">
        <f t="shared" si="3"/>
        <v>ㄉㆦㆻ˙</v>
      </c>
      <c r="M8" s="209" t="s">
        <v>659</v>
      </c>
      <c r="N8" s="204">
        <v>8</v>
      </c>
      <c r="O8" s="210" t="s">
        <v>2356</v>
      </c>
      <c r="P8" s="211" t="s">
        <v>2356</v>
      </c>
    </row>
    <row r="11" spans="1:16">
      <c r="A11" s="13" t="s">
        <v>0</v>
      </c>
      <c r="B11" s="13" t="s">
        <v>627</v>
      </c>
      <c r="C11" s="13" t="s">
        <v>626</v>
      </c>
      <c r="D11" s="13" t="s">
        <v>625</v>
      </c>
      <c r="E11" s="13" t="s">
        <v>630</v>
      </c>
      <c r="F11" s="13" t="s">
        <v>2211</v>
      </c>
      <c r="G11" s="13" t="s">
        <v>629</v>
      </c>
      <c r="H11" s="13" t="s">
        <v>4</v>
      </c>
      <c r="I11" s="13" t="s">
        <v>2210</v>
      </c>
      <c r="J11" s="13" t="s">
        <v>628</v>
      </c>
    </row>
    <row r="12" spans="1:16">
      <c r="A12" s="1">
        <v>1</v>
      </c>
      <c r="B12" s="1" t="s">
        <v>633</v>
      </c>
      <c r="C12" s="1" t="s">
        <v>631</v>
      </c>
      <c r="D12" s="1">
        <v>44</v>
      </c>
      <c r="E12" s="1">
        <v>1</v>
      </c>
      <c r="F12" s="1" t="s">
        <v>634</v>
      </c>
      <c r="G12" s="1" t="s">
        <v>318</v>
      </c>
      <c r="H12" s="1" t="s">
        <v>2212</v>
      </c>
      <c r="I12" s="13" t="s">
        <v>632</v>
      </c>
      <c r="J12" s="13" t="s">
        <v>2219</v>
      </c>
    </row>
    <row r="13" spans="1:16">
      <c r="A13" s="1">
        <v>2</v>
      </c>
      <c r="B13" s="1" t="s">
        <v>637</v>
      </c>
      <c r="C13" s="1" t="s">
        <v>635</v>
      </c>
      <c r="D13" s="1">
        <v>22</v>
      </c>
      <c r="E13" s="1">
        <v>7</v>
      </c>
      <c r="F13" s="1" t="s">
        <v>2208</v>
      </c>
      <c r="G13" s="1" t="s">
        <v>639</v>
      </c>
      <c r="H13" s="1" t="s">
        <v>2213</v>
      </c>
      <c r="I13" s="13" t="s">
        <v>636</v>
      </c>
      <c r="J13" s="13">
        <v>5</v>
      </c>
    </row>
    <row r="14" spans="1:16">
      <c r="A14" s="1">
        <v>3</v>
      </c>
      <c r="B14" s="1" t="s">
        <v>642</v>
      </c>
      <c r="C14" s="1" t="s">
        <v>640</v>
      </c>
      <c r="D14" s="1">
        <v>21</v>
      </c>
      <c r="E14" s="1">
        <v>3</v>
      </c>
      <c r="F14" s="1" t="s">
        <v>2207</v>
      </c>
      <c r="G14" s="1" t="s">
        <v>644</v>
      </c>
      <c r="H14" s="1" t="s">
        <v>2214</v>
      </c>
      <c r="I14" s="13" t="s">
        <v>641</v>
      </c>
      <c r="J14" s="13">
        <v>3</v>
      </c>
    </row>
    <row r="15" spans="1:16">
      <c r="A15" s="1">
        <v>4</v>
      </c>
      <c r="B15" s="1" t="s">
        <v>646</v>
      </c>
      <c r="C15" s="1" t="s">
        <v>2205</v>
      </c>
      <c r="D15" s="1">
        <v>53</v>
      </c>
      <c r="E15" s="1">
        <v>2</v>
      </c>
      <c r="F15" s="1" t="s">
        <v>1306</v>
      </c>
      <c r="G15" s="1" t="s">
        <v>1294</v>
      </c>
      <c r="H15" s="1" t="s">
        <v>2215</v>
      </c>
      <c r="I15" s="13" t="s">
        <v>645</v>
      </c>
      <c r="J15" s="13">
        <v>4</v>
      </c>
    </row>
    <row r="16" spans="1:16">
      <c r="A16" s="1">
        <v>5</v>
      </c>
      <c r="B16" s="1" t="s">
        <v>650</v>
      </c>
      <c r="C16" s="1" t="s">
        <v>648</v>
      </c>
      <c r="D16" s="1">
        <v>13</v>
      </c>
      <c r="E16" s="1">
        <v>5</v>
      </c>
      <c r="F16" s="1" t="s">
        <v>667</v>
      </c>
      <c r="G16" s="1" t="s">
        <v>1293</v>
      </c>
      <c r="H16" s="1" t="s">
        <v>2216</v>
      </c>
      <c r="I16" s="13" t="s">
        <v>649</v>
      </c>
      <c r="J16" s="13">
        <v>6</v>
      </c>
    </row>
    <row r="17" spans="1:23">
      <c r="A17" s="1">
        <v>6</v>
      </c>
      <c r="B17" s="1" t="s">
        <v>654</v>
      </c>
      <c r="C17" s="1" t="s">
        <v>652</v>
      </c>
      <c r="D17" s="1">
        <v>32</v>
      </c>
      <c r="E17" s="1">
        <v>4</v>
      </c>
      <c r="F17" s="1" t="s">
        <v>634</v>
      </c>
      <c r="G17" s="1" t="s">
        <v>1295</v>
      </c>
      <c r="H17" s="1" t="s">
        <v>2217</v>
      </c>
      <c r="I17" s="13" t="s">
        <v>653</v>
      </c>
      <c r="J17" s="13" t="s">
        <v>655</v>
      </c>
    </row>
    <row r="18" spans="1:23">
      <c r="A18" s="1">
        <v>7</v>
      </c>
      <c r="B18" s="1" t="s">
        <v>658</v>
      </c>
      <c r="C18" s="1" t="s">
        <v>656</v>
      </c>
      <c r="D18" s="1">
        <v>121</v>
      </c>
      <c r="E18" s="1">
        <v>8</v>
      </c>
      <c r="F18" s="1" t="s">
        <v>2209</v>
      </c>
      <c r="G18" s="1" t="s">
        <v>694</v>
      </c>
      <c r="H18" s="1" t="s">
        <v>2218</v>
      </c>
      <c r="I18" s="13" t="s">
        <v>657</v>
      </c>
      <c r="J18" s="13" t="s">
        <v>659</v>
      </c>
    </row>
    <row r="22" spans="1:23">
      <c r="Q22" t="s">
        <v>776</v>
      </c>
    </row>
    <row r="23" spans="1:23" ht="30">
      <c r="A23" s="48" t="s">
        <v>0</v>
      </c>
      <c r="B23" s="48" t="s">
        <v>773</v>
      </c>
      <c r="C23" s="48"/>
      <c r="D23" s="48"/>
      <c r="E23" s="48"/>
      <c r="F23" s="48"/>
      <c r="G23" s="48" t="s">
        <v>668</v>
      </c>
      <c r="H23" s="48" t="s">
        <v>628</v>
      </c>
      <c r="I23" s="48" t="s">
        <v>770</v>
      </c>
      <c r="J23" s="48" t="s">
        <v>756</v>
      </c>
      <c r="K23" s="48" t="s">
        <v>772</v>
      </c>
      <c r="L23" s="48" t="s">
        <v>758</v>
      </c>
      <c r="M23" s="48" t="s">
        <v>628</v>
      </c>
      <c r="N23" s="48" t="s">
        <v>771</v>
      </c>
      <c r="O23" s="48" t="s">
        <v>757</v>
      </c>
      <c r="Q23" s="48" t="s">
        <v>756</v>
      </c>
      <c r="U23" s="147" t="str">
        <f xml:space="preserve"> _xlfn.CONCAT("o", _xlfn.UNICHAR(HEX2DEC(RIGHT("U+0358",4))))</f>
        <v>o͘</v>
      </c>
      <c r="V23" s="48" t="s">
        <v>870</v>
      </c>
    </row>
    <row r="24" spans="1:23" ht="30">
      <c r="A24" s="1">
        <v>1</v>
      </c>
      <c r="B24" s="13" t="s">
        <v>762</v>
      </c>
      <c r="C24" s="13"/>
      <c r="D24" s="13"/>
      <c r="E24" s="13"/>
      <c r="F24" s="13"/>
      <c r="G24" s="13">
        <v>1</v>
      </c>
      <c r="H24" s="100" t="s">
        <v>1275</v>
      </c>
      <c r="I24" s="112"/>
      <c r="J24" s="97" t="str">
        <f xml:space="preserve"> IFERROR( _xlfn.CONCAT("a"), "")</f>
        <v>a</v>
      </c>
      <c r="K24" s="110" t="s">
        <v>666</v>
      </c>
      <c r="L24" s="116" t="str">
        <f t="shared" ref="L24:L26" si="4" xml:space="preserve"> IFERROR( _xlfn.CONCAT("a", _xlfn.UNICHAR(HEX2DEC(RIGHT(K24,4)))), "")</f>
        <v>ā</v>
      </c>
      <c r="M24" s="102" t="s">
        <v>1274</v>
      </c>
      <c r="N24" s="114"/>
      <c r="O24" s="118" t="str">
        <f xml:space="preserve"> IFERROR( _xlfn.CONCAT("ㄚ"), "")</f>
        <v>ㄚ</v>
      </c>
      <c r="Q24" s="49" t="str">
        <f xml:space="preserve"> IFERROR( _xlfn.CONCAT("a"), "")</f>
        <v>a</v>
      </c>
      <c r="S24" t="str">
        <f t="shared" ref="S24:S31" si="5" xml:space="preserve"> IFERROR( _xlfn.CONCAT("l", "u", _xlfn.UNICHAR(HEX2DEC(RIGHT($K24,4))), "n"), "")</f>
        <v>lūn</v>
      </c>
      <c r="T24" t="str">
        <f t="shared" ref="T24:T31" si="6" xml:space="preserve"> IFERROR( _xlfn.CONCAT("n", "g", "o", _xlfn.UNICHAR(HEX2DEC(RIGHT($K24,4))), "o"), "")</f>
        <v>ngōo</v>
      </c>
      <c r="U24">
        <v>1</v>
      </c>
      <c r="V24" s="147" t="str">
        <f>IFERROR( _xlfn.CONCAT("o", _xlfn.UNICHAR(HEX2DEC(RIGHT("U+0358",4))), _xlfn.UNICHAR(HEX2DEC(RIGHT(I24,4)))), $U$23)</f>
        <v>o͘</v>
      </c>
      <c r="W24" s="148" t="str">
        <f xml:space="preserve"> _xlfn.CONCAT("    - xform/", $U$23, U24, "/", V24, "/")</f>
        <v xml:space="preserve">    - xform/o͘1/o͘/</v>
      </c>
    </row>
    <row r="25" spans="1:23" ht="30">
      <c r="A25" s="1">
        <v>2</v>
      </c>
      <c r="B25" s="13" t="s">
        <v>763</v>
      </c>
      <c r="C25" s="13"/>
      <c r="D25" s="13"/>
      <c r="E25" s="13"/>
      <c r="F25" s="13"/>
      <c r="G25" s="13">
        <v>2</v>
      </c>
      <c r="H25" s="101" t="s">
        <v>1276</v>
      </c>
      <c r="I25" s="112" t="s">
        <v>667</v>
      </c>
      <c r="J25" s="97" t="str">
        <f xml:space="preserve"> IFERROR( _xlfn.CONCAT("a", _xlfn.UNICHAR(HEX2DEC(RIGHT($I25,4)))), "")</f>
        <v>á</v>
      </c>
      <c r="K25" s="110" t="s">
        <v>760</v>
      </c>
      <c r="L25" s="116" t="str">
        <f t="shared" si="4"/>
        <v>ǎ</v>
      </c>
      <c r="M25" s="103">
        <v>4</v>
      </c>
      <c r="N25" s="114" t="s">
        <v>752</v>
      </c>
      <c r="O25" s="118" t="str">
        <f xml:space="preserve"> IFERROR( _xlfn.CONCAT("ㄚ", _xlfn.UNICHAR(HEX2DEC(RIGHT(N25,4)))), "")</f>
        <v>ㄚ̀</v>
      </c>
      <c r="Q25" s="49" t="str">
        <f xml:space="preserve"> IFERROR( _xlfn.CONCAT("a", _xlfn.UNICHAR(HEX2DEC(RIGHT($I25,4)))), "")</f>
        <v>á</v>
      </c>
      <c r="S25" t="str">
        <f t="shared" si="5"/>
        <v>lǔn</v>
      </c>
      <c r="T25" t="str">
        <f t="shared" si="6"/>
        <v>ngǒo</v>
      </c>
      <c r="U25">
        <v>2</v>
      </c>
      <c r="V25" s="147" t="str">
        <f>IFERROR( _xlfn.CONCAT("o", _xlfn.UNICHAR(HEX2DEC(RIGHT("U+0358",4))), _xlfn.UNICHAR(HEX2DEC(RIGHT(I25,4)))), $U$23)</f>
        <v>ó͘</v>
      </c>
      <c r="W25" s="148" t="str">
        <f t="shared" ref="W25:W33" si="7" xml:space="preserve"> _xlfn.CONCAT("    - xform/", $U$23, U25, "/", V25, "/")</f>
        <v xml:space="preserve">    - xform/o͘2/ó͘/</v>
      </c>
    </row>
    <row r="26" spans="1:23" ht="30">
      <c r="A26" s="1">
        <v>3</v>
      </c>
      <c r="B26" s="13" t="s">
        <v>764</v>
      </c>
      <c r="C26" s="13"/>
      <c r="D26" s="13"/>
      <c r="E26" s="13"/>
      <c r="F26" s="13"/>
      <c r="G26" s="13">
        <v>3</v>
      </c>
      <c r="H26" s="101" t="s">
        <v>643</v>
      </c>
      <c r="I26" s="112" t="s">
        <v>752</v>
      </c>
      <c r="J26" s="97" t="str">
        <f t="shared" ref="J26:J33" si="8" xml:space="preserve"> IFERROR( _xlfn.CONCAT("a", _xlfn.UNICHAR(HEX2DEC(RIGHT($I26,4)))), "")</f>
        <v>à</v>
      </c>
      <c r="K26" s="110" t="s">
        <v>752</v>
      </c>
      <c r="L26" s="116" t="str">
        <f t="shared" si="4"/>
        <v>à</v>
      </c>
      <c r="M26" s="103">
        <v>3</v>
      </c>
      <c r="N26" s="114" t="s">
        <v>753</v>
      </c>
      <c r="O26" s="118" t="str">
        <f xml:space="preserve"> IFERROR( _xlfn.CONCAT("ㄚ", _xlfn.UNICHAR(HEX2DEC(RIGHT(N26,4)))), "")</f>
        <v>ㄚ˪</v>
      </c>
      <c r="Q26" s="49" t="str">
        <f t="shared" ref="Q26:Q33" si="9" xml:space="preserve"> IFERROR( _xlfn.CONCAT("a", _xlfn.UNICHAR(HEX2DEC(RIGHT($I26,4)))), "")</f>
        <v>à</v>
      </c>
      <c r="S26" t="str">
        <f t="shared" si="5"/>
        <v>lùn</v>
      </c>
      <c r="T26" t="str">
        <f t="shared" si="6"/>
        <v>ngòo</v>
      </c>
      <c r="U26">
        <v>3</v>
      </c>
      <c r="V26" s="147" t="str">
        <f>IFERROR( _xlfn.CONCAT("o", _xlfn.UNICHAR(HEX2DEC(RIGHT("U+0358",4))), _xlfn.UNICHAR(HEX2DEC(RIGHT(I26,4)))), $U$23)</f>
        <v>ò͘</v>
      </c>
      <c r="W26" s="148" t="str">
        <f t="shared" si="7"/>
        <v xml:space="preserve">    - xform/o͘3/ò͘/</v>
      </c>
    </row>
    <row r="27" spans="1:23" ht="30">
      <c r="A27" s="1">
        <v>4</v>
      </c>
      <c r="B27" s="13" t="s">
        <v>765</v>
      </c>
      <c r="C27" s="13"/>
      <c r="D27" s="13"/>
      <c r="E27" s="13"/>
      <c r="F27" s="13"/>
      <c r="G27" s="13">
        <v>4</v>
      </c>
      <c r="H27" s="101" t="s">
        <v>1277</v>
      </c>
      <c r="I27" s="112"/>
      <c r="J27" s="97" t="str">
        <f t="shared" si="8"/>
        <v/>
      </c>
      <c r="K27" s="110" t="s">
        <v>769</v>
      </c>
      <c r="L27" s="116" t="str">
        <f xml:space="preserve"> IFERROR( _xlfn.CONCAT("a", _xlfn.UNICHAR(HEX2DEC(RIGHT(K27,4))), "h"), "")</f>
        <v>āh</v>
      </c>
      <c r="M27" s="103" t="s">
        <v>1277</v>
      </c>
      <c r="N27" s="114"/>
      <c r="O27" s="118" t="str">
        <f xml:space="preserve"> IFERROR( _xlfn.CONCAT("ㄚ", "ㆷ"), "")</f>
        <v>ㄚㆷ</v>
      </c>
      <c r="Q27" s="49" t="str">
        <f t="shared" si="9"/>
        <v/>
      </c>
      <c r="S27" t="str">
        <f t="shared" si="5"/>
        <v>lūn</v>
      </c>
      <c r="T27" t="str">
        <f t="shared" si="6"/>
        <v>ngōo</v>
      </c>
      <c r="U27">
        <v>4</v>
      </c>
      <c r="V27" s="147" t="str">
        <f>IFERROR( _xlfn.CONCAT("o", _xlfn.UNICHAR(HEX2DEC(RIGHT("U+0358",4))), _xlfn.UNICHAR(HEX2DEC(RIGHT(I27,4)))), $U$23)</f>
        <v>o͘</v>
      </c>
      <c r="W27" s="148" t="str">
        <f t="shared" si="7"/>
        <v xml:space="preserve">    - xform/o͘4/o͘/</v>
      </c>
    </row>
    <row r="28" spans="1:23" ht="30">
      <c r="A28" s="1">
        <v>5</v>
      </c>
      <c r="B28" s="13" t="s">
        <v>766</v>
      </c>
      <c r="C28" s="13"/>
      <c r="D28" s="13"/>
      <c r="E28" s="13"/>
      <c r="F28" s="13"/>
      <c r="G28" s="13">
        <v>5</v>
      </c>
      <c r="H28" s="101" t="s">
        <v>651</v>
      </c>
      <c r="I28" s="112" t="s">
        <v>760</v>
      </c>
      <c r="J28" s="97" t="str">
        <f t="shared" si="8"/>
        <v>ǎ</v>
      </c>
      <c r="K28" s="110" t="s">
        <v>754</v>
      </c>
      <c r="L28" s="116" t="str">
        <f t="shared" ref="L28:L29" si="10" xml:space="preserve"> IFERROR( _xlfn.CONCAT("a", _xlfn.UNICHAR(HEX2DEC(RIGHT(K28,4)))), "")</f>
        <v>á</v>
      </c>
      <c r="M28" s="103">
        <v>6</v>
      </c>
      <c r="N28" s="114" t="s">
        <v>754</v>
      </c>
      <c r="O28" s="118" t="str">
        <f xml:space="preserve"> IFERROR( _xlfn.CONCAT("ㄚ", _xlfn.UNICHAR(HEX2DEC(RIGHT(N28,4)))), "")</f>
        <v>ㄚ́</v>
      </c>
      <c r="Q28" s="49" t="str">
        <f t="shared" si="9"/>
        <v>ǎ</v>
      </c>
      <c r="S28" t="str">
        <f t="shared" si="5"/>
        <v>lún</v>
      </c>
      <c r="T28" t="str">
        <f t="shared" si="6"/>
        <v>ngóo</v>
      </c>
      <c r="U28">
        <v>5</v>
      </c>
      <c r="V28" s="147" t="str">
        <f t="shared" ref="V28:V33" si="11">IFERROR( _xlfn.CONCAT("o", _xlfn.UNICHAR(HEX2DEC(RIGHT("U+0358",4))), _xlfn.UNICHAR(HEX2DEC(RIGHT(I28,4)))), "")</f>
        <v>ǒ͘</v>
      </c>
      <c r="W28" s="148" t="str">
        <f t="shared" si="7"/>
        <v xml:space="preserve">    - xform/o͘5/ǒ͘/</v>
      </c>
    </row>
    <row r="29" spans="1:23" ht="30">
      <c r="A29" s="1">
        <v>6</v>
      </c>
      <c r="B29" s="13" t="s">
        <v>763</v>
      </c>
      <c r="C29" s="13"/>
      <c r="D29" s="13"/>
      <c r="E29" s="13"/>
      <c r="F29" s="13"/>
      <c r="G29" s="108">
        <v>6</v>
      </c>
      <c r="H29" s="101"/>
      <c r="I29" s="113" t="s">
        <v>754</v>
      </c>
      <c r="J29" s="97" t="str">
        <f t="shared" si="8"/>
        <v>á</v>
      </c>
      <c r="K29" s="111" t="s">
        <v>760</v>
      </c>
      <c r="L29" s="117" t="str">
        <f t="shared" si="10"/>
        <v>ǎ</v>
      </c>
      <c r="M29" s="103"/>
      <c r="N29" s="115" t="s">
        <v>752</v>
      </c>
      <c r="O29" s="119" t="str">
        <f xml:space="preserve"> IFERROR( _xlfn.CONCAT("ㄚ", _xlfn.UNICHAR(HEX2DEC(RIGHT(N29,4)))), "")</f>
        <v>ㄚ̀</v>
      </c>
      <c r="Q29" s="49" t="str">
        <f t="shared" si="9"/>
        <v>á</v>
      </c>
      <c r="S29" t="str">
        <f t="shared" si="5"/>
        <v>lǔn</v>
      </c>
      <c r="T29" t="str">
        <f t="shared" si="6"/>
        <v>ngǒo</v>
      </c>
      <c r="U29">
        <v>6</v>
      </c>
      <c r="V29" s="147" t="str">
        <f t="shared" si="11"/>
        <v>ó͘</v>
      </c>
      <c r="W29" s="148" t="str">
        <f t="shared" si="7"/>
        <v xml:space="preserve">    - xform/o͘6/ó͘/</v>
      </c>
    </row>
    <row r="30" spans="1:23" ht="30">
      <c r="A30" s="1">
        <v>7</v>
      </c>
      <c r="B30" s="13" t="s">
        <v>767</v>
      </c>
      <c r="C30" s="13"/>
      <c r="D30" s="13"/>
      <c r="E30" s="13"/>
      <c r="F30" s="13"/>
      <c r="G30" s="13">
        <v>7</v>
      </c>
      <c r="H30" s="100" t="s">
        <v>1278</v>
      </c>
      <c r="I30" s="112" t="s">
        <v>666</v>
      </c>
      <c r="J30" s="97" t="str">
        <f t="shared" si="8"/>
        <v>ā</v>
      </c>
      <c r="K30" s="110" t="s">
        <v>759</v>
      </c>
      <c r="L30" s="116" t="str">
        <f t="shared" ref="L30" si="12" xml:space="preserve"> IFERROR( _xlfn.CONCAT("a", _xlfn.UNICHAR(HEX2DEC(RIGHT(K30,4)))), "")</f>
        <v>â</v>
      </c>
      <c r="M30" s="102">
        <v>5</v>
      </c>
      <c r="N30" s="114" t="s">
        <v>755</v>
      </c>
      <c r="O30" s="118" t="str">
        <f xml:space="preserve"> IFERROR( _xlfn.CONCAT("ㄚ", _xlfn.UNICHAR(HEX2DEC(RIGHT(N30,4)))), "")</f>
        <v>ㄚ˫</v>
      </c>
      <c r="Q30" s="49" t="str">
        <f t="shared" si="9"/>
        <v>ā</v>
      </c>
      <c r="S30" t="str">
        <f t="shared" si="5"/>
        <v>lûn</v>
      </c>
      <c r="T30" t="str">
        <f t="shared" si="6"/>
        <v>ngôo</v>
      </c>
      <c r="U30">
        <v>7</v>
      </c>
      <c r="V30" s="147" t="str">
        <f t="shared" si="11"/>
        <v>ō͘</v>
      </c>
      <c r="W30" s="148" t="str">
        <f t="shared" si="7"/>
        <v xml:space="preserve">    - xform/o͘7/ō͘/</v>
      </c>
    </row>
    <row r="31" spans="1:23" ht="30">
      <c r="A31" s="1">
        <v>8</v>
      </c>
      <c r="B31" s="13" t="s">
        <v>768</v>
      </c>
      <c r="C31" s="13"/>
      <c r="D31" s="13"/>
      <c r="E31" s="13"/>
      <c r="F31" s="13"/>
      <c r="G31" s="13">
        <v>8</v>
      </c>
      <c r="H31" s="101" t="s">
        <v>659</v>
      </c>
      <c r="I31" s="112" t="s">
        <v>775</v>
      </c>
      <c r="J31" s="97" t="str">
        <f t="shared" si="8"/>
        <v>a̍</v>
      </c>
      <c r="K31" s="110" t="s">
        <v>754</v>
      </c>
      <c r="L31" s="116" t="str">
        <f xml:space="preserve"> IFERROR( _xlfn.CONCAT("a", _xlfn.UNICHAR(HEX2DEC(RIGHT(K31,4))), "h"), "")</f>
        <v>áh</v>
      </c>
      <c r="M31" s="103" t="s">
        <v>1279</v>
      </c>
      <c r="N31" s="114" t="s">
        <v>751</v>
      </c>
      <c r="O31" s="118" t="str">
        <f xml:space="preserve"> IFERROR( _xlfn.CONCAT("ㄚ", "ㆷ", _xlfn.UNICHAR(HEX2DEC(RIGHT(N31,4)))), "")</f>
        <v>ㄚㆷ˙</v>
      </c>
      <c r="Q31" s="49" t="str">
        <f t="shared" si="9"/>
        <v>a̍</v>
      </c>
      <c r="S31" t="str">
        <f t="shared" si="5"/>
        <v>lún</v>
      </c>
      <c r="T31" t="str">
        <f t="shared" si="6"/>
        <v>ngóo</v>
      </c>
      <c r="U31">
        <v>8</v>
      </c>
      <c r="V31" s="147" t="str">
        <f t="shared" si="11"/>
        <v>o̍͘</v>
      </c>
      <c r="W31" s="148" t="str">
        <f t="shared" si="7"/>
        <v xml:space="preserve">    - xform/o͘8/o̍͘/</v>
      </c>
    </row>
    <row r="32" spans="1:23" ht="30">
      <c r="A32" s="1">
        <v>9</v>
      </c>
      <c r="B32" s="13" t="s">
        <v>761</v>
      </c>
      <c r="C32" s="13"/>
      <c r="D32" s="13"/>
      <c r="E32" s="13"/>
      <c r="F32" s="13"/>
      <c r="G32" s="13">
        <v>9</v>
      </c>
      <c r="H32" s="101"/>
      <c r="I32" s="112" t="s">
        <v>670</v>
      </c>
      <c r="J32" s="97" t="str">
        <f t="shared" si="8"/>
        <v>a̋</v>
      </c>
      <c r="K32" s="110"/>
      <c r="L32" s="109"/>
      <c r="M32" s="103"/>
      <c r="N32" s="114"/>
      <c r="O32" s="118"/>
      <c r="Q32" s="49" t="str">
        <f t="shared" si="9"/>
        <v>a̋</v>
      </c>
      <c r="S32" t="str">
        <f xml:space="preserve"> IFERROR( _xlfn.CONCAT("l", "u", _xlfn.UNICHAR(HEX2DEC(RIGHT(K32,4))), "n"), "")</f>
        <v/>
      </c>
      <c r="U32">
        <v>9</v>
      </c>
      <c r="V32" s="147" t="str">
        <f t="shared" si="11"/>
        <v>ő͘</v>
      </c>
      <c r="W32" s="148" t="str">
        <f t="shared" si="7"/>
        <v xml:space="preserve">    - xform/o͘9/ő͘/</v>
      </c>
    </row>
    <row r="33" spans="1:23" ht="30">
      <c r="A33" s="1">
        <v>10</v>
      </c>
      <c r="B33" s="13" t="s">
        <v>761</v>
      </c>
      <c r="C33" s="13"/>
      <c r="D33" s="13"/>
      <c r="E33" s="13"/>
      <c r="F33" s="13"/>
      <c r="G33" s="13">
        <v>0</v>
      </c>
      <c r="H33" s="101"/>
      <c r="I33" s="112" t="s">
        <v>669</v>
      </c>
      <c r="J33" s="97" t="str">
        <f t="shared" si="8"/>
        <v>å</v>
      </c>
      <c r="K33" s="110"/>
      <c r="L33" s="109"/>
      <c r="M33" s="103">
        <v>7</v>
      </c>
      <c r="N33" s="114" t="s">
        <v>669</v>
      </c>
      <c r="O33" s="118" t="str">
        <f xml:space="preserve"> IFERROR( _xlfn.CONCAT("ㄚ", _xlfn.UNICHAR(HEX2DEC(RIGHT(N33,4)))), "")</f>
        <v>ㄚ̊</v>
      </c>
      <c r="Q33" s="49" t="str">
        <f t="shared" si="9"/>
        <v>å</v>
      </c>
      <c r="S33" t="str">
        <f xml:space="preserve"> IFERROR( _xlfn.CONCAT("l", "u", _xlfn.UNICHAR(HEX2DEC(RIGHT(K33,4))), "n"), "")</f>
        <v/>
      </c>
      <c r="U33">
        <v>0</v>
      </c>
      <c r="V33" s="147" t="str">
        <f t="shared" si="11"/>
        <v>o̊͘</v>
      </c>
      <c r="W33" s="148" t="str">
        <f t="shared" si="7"/>
        <v xml:space="preserve">    - xform/o͘0/o̊͘/</v>
      </c>
    </row>
    <row r="36" spans="1:23" ht="30">
      <c r="U36" s="147" t="s">
        <v>137</v>
      </c>
      <c r="V36" s="48" t="s">
        <v>870</v>
      </c>
    </row>
    <row r="37" spans="1:23" ht="30">
      <c r="U37">
        <v>1</v>
      </c>
      <c r="V37" s="147" t="s">
        <v>137</v>
      </c>
      <c r="W37" s="148" t="s">
        <v>2281</v>
      </c>
    </row>
    <row r="38" spans="1:23" ht="30">
      <c r="U38">
        <v>2</v>
      </c>
      <c r="V38" s="147" t="s">
        <v>2282</v>
      </c>
      <c r="W38" s="148" t="s">
        <v>2283</v>
      </c>
    </row>
    <row r="39" spans="1:23" ht="30">
      <c r="U39">
        <v>3</v>
      </c>
      <c r="V39" s="147" t="s">
        <v>2284</v>
      </c>
      <c r="W39" s="148" t="s">
        <v>2285</v>
      </c>
    </row>
    <row r="40" spans="1:23" ht="30">
      <c r="U40">
        <v>4</v>
      </c>
      <c r="V40" s="147" t="s">
        <v>137</v>
      </c>
      <c r="W40" s="148" t="s">
        <v>2286</v>
      </c>
    </row>
    <row r="41" spans="1:23" ht="30">
      <c r="U41">
        <v>5</v>
      </c>
      <c r="V41" s="147" t="s">
        <v>2287</v>
      </c>
      <c r="W41" s="148" t="s">
        <v>2288</v>
      </c>
    </row>
    <row r="42" spans="1:23" ht="30">
      <c r="U42">
        <v>6</v>
      </c>
      <c r="V42" s="147" t="s">
        <v>2282</v>
      </c>
      <c r="W42" s="148" t="s">
        <v>2289</v>
      </c>
    </row>
    <row r="43" spans="1:23" ht="30">
      <c r="U43">
        <v>7</v>
      </c>
      <c r="V43" s="147" t="s">
        <v>2290</v>
      </c>
      <c r="W43" s="148" t="s">
        <v>2291</v>
      </c>
    </row>
    <row r="44" spans="1:23" ht="30">
      <c r="U44">
        <v>8</v>
      </c>
      <c r="V44" s="147" t="s">
        <v>2292</v>
      </c>
      <c r="W44" s="148" t="s">
        <v>2293</v>
      </c>
    </row>
    <row r="45" spans="1:23" ht="30">
      <c r="U45">
        <v>9</v>
      </c>
      <c r="V45" s="147" t="s">
        <v>2294</v>
      </c>
      <c r="W45" s="148" t="s">
        <v>2295</v>
      </c>
    </row>
    <row r="46" spans="1:23" ht="30">
      <c r="U46">
        <v>0</v>
      </c>
      <c r="V46" s="147" t="s">
        <v>2296</v>
      </c>
      <c r="W46" s="148" t="s">
        <v>2297</v>
      </c>
    </row>
    <row r="51" spans="10:15">
      <c r="J51" s="48" t="s">
        <v>1292</v>
      </c>
      <c r="K51" s="48" t="s">
        <v>1281</v>
      </c>
      <c r="L51" s="48" t="s">
        <v>668</v>
      </c>
      <c r="M51" s="48" t="s">
        <v>773</v>
      </c>
      <c r="N51" s="48" t="s">
        <v>757</v>
      </c>
      <c r="O51" s="48" t="s">
        <v>1282</v>
      </c>
    </row>
    <row r="52" spans="10:15" ht="30">
      <c r="J52" s="13">
        <v>1</v>
      </c>
      <c r="K52" s="102" t="s">
        <v>1274</v>
      </c>
      <c r="L52" s="13" t="s">
        <v>1283</v>
      </c>
      <c r="M52" s="13" t="s">
        <v>762</v>
      </c>
      <c r="N52" s="98" t="str">
        <f xml:space="preserve"> IFERROR( _xlfn.CONCAT("ㄚ"), "")</f>
        <v>ㄚ</v>
      </c>
      <c r="O52" s="98" t="s">
        <v>769</v>
      </c>
    </row>
    <row r="53" spans="10:15" ht="30">
      <c r="J53" s="13">
        <v>2</v>
      </c>
      <c r="K53" s="103">
        <v>4</v>
      </c>
      <c r="L53" s="13" t="s">
        <v>1284</v>
      </c>
      <c r="M53" s="13" t="s">
        <v>763</v>
      </c>
      <c r="N53" s="98" t="str">
        <f xml:space="preserve"> IFERROR( _xlfn.CONCAT("ㄚ", _xlfn.UNICHAR(HEX2DEC(RIGHT(O53,4)))), "")</f>
        <v>ㄚ̀</v>
      </c>
      <c r="O53" s="98" t="s">
        <v>752</v>
      </c>
    </row>
    <row r="54" spans="10:15" ht="30">
      <c r="J54" s="13">
        <v>3</v>
      </c>
      <c r="K54" s="103">
        <v>3</v>
      </c>
      <c r="L54" s="13" t="s">
        <v>1285</v>
      </c>
      <c r="M54" s="13" t="s">
        <v>764</v>
      </c>
      <c r="N54" s="98" t="str">
        <f xml:space="preserve"> IFERROR( _xlfn.CONCAT("ㄚ", _xlfn.UNICHAR(HEX2DEC(RIGHT(O54,4)))), "")</f>
        <v>ㄚ˪</v>
      </c>
      <c r="O54" s="98" t="s">
        <v>753</v>
      </c>
    </row>
    <row r="55" spans="10:15" ht="30">
      <c r="J55" s="13">
        <v>4</v>
      </c>
      <c r="K55" s="103" t="s">
        <v>1277</v>
      </c>
      <c r="L55" s="13" t="s">
        <v>1286</v>
      </c>
      <c r="M55" s="13" t="s">
        <v>765</v>
      </c>
      <c r="N55" s="98" t="str">
        <f xml:space="preserve"> IFERROR( _xlfn.CONCAT("ㄚ", "ㆷ"), "")</f>
        <v>ㄚㆷ</v>
      </c>
      <c r="O55" s="98"/>
    </row>
    <row r="56" spans="10:15" ht="30">
      <c r="J56" s="13">
        <v>5</v>
      </c>
      <c r="K56" s="103">
        <v>6</v>
      </c>
      <c r="L56" s="13" t="s">
        <v>1287</v>
      </c>
      <c r="M56" s="13" t="s">
        <v>766</v>
      </c>
      <c r="N56" s="98" t="str">
        <f xml:space="preserve"> IFERROR( _xlfn.CONCAT("ㄚ", _xlfn.UNICHAR(HEX2DEC(RIGHT(O56,4)))), "")</f>
        <v>ㄚ́</v>
      </c>
      <c r="O56" s="98" t="s">
        <v>754</v>
      </c>
    </row>
    <row r="57" spans="10:15" ht="30">
      <c r="J57" s="13">
        <v>6</v>
      </c>
      <c r="K57" s="103"/>
      <c r="L57" s="108" t="s">
        <v>1288</v>
      </c>
      <c r="M57" s="13" t="s">
        <v>763</v>
      </c>
      <c r="N57" s="99" t="str">
        <f xml:space="preserve"> IFERROR( _xlfn.CONCAT("ㄚ", _xlfn.UNICHAR(HEX2DEC(RIGHT(O57,4)))), "")</f>
        <v>ㄚ̀</v>
      </c>
      <c r="O57" s="99" t="s">
        <v>752</v>
      </c>
    </row>
    <row r="58" spans="10:15" ht="30">
      <c r="J58" s="13">
        <v>7</v>
      </c>
      <c r="K58" s="102">
        <v>5</v>
      </c>
      <c r="L58" s="13" t="s">
        <v>1289</v>
      </c>
      <c r="M58" s="13" t="s">
        <v>767</v>
      </c>
      <c r="N58" s="98" t="str">
        <f xml:space="preserve"> IFERROR( _xlfn.CONCAT("ㄚ", _xlfn.UNICHAR(HEX2DEC(RIGHT(O58,4)))), "")</f>
        <v>ㄚ˫</v>
      </c>
      <c r="O58" s="98" t="s">
        <v>755</v>
      </c>
    </row>
    <row r="59" spans="10:15" ht="30">
      <c r="J59" s="13">
        <v>8</v>
      </c>
      <c r="K59" s="103" t="s">
        <v>1279</v>
      </c>
      <c r="L59" s="13" t="s">
        <v>1290</v>
      </c>
      <c r="M59" s="13" t="s">
        <v>768</v>
      </c>
      <c r="N59" s="98" t="str">
        <f xml:space="preserve"> IFERROR( _xlfn.CONCAT("ㄚ", "ㆷ", _xlfn.UNICHAR(HEX2DEC(RIGHT(O59,4)))), "")</f>
        <v>ㄚㆷ˙</v>
      </c>
      <c r="O59" s="98" t="s">
        <v>751</v>
      </c>
    </row>
    <row r="60" spans="10:15" ht="30">
      <c r="J60" s="13">
        <v>9</v>
      </c>
      <c r="K60" s="103">
        <v>7</v>
      </c>
      <c r="L60" s="13" t="s">
        <v>1291</v>
      </c>
      <c r="M60" s="13" t="s">
        <v>1280</v>
      </c>
      <c r="N60" s="98" t="str">
        <f xml:space="preserve"> IFERROR( _xlfn.CONCAT("ㄚ", _xlfn.UNICHAR(HEX2DEC(RIGHT(O60,4)))), "")</f>
        <v>ㄚ̊</v>
      </c>
      <c r="O60" s="98" t="s">
        <v>669</v>
      </c>
    </row>
    <row r="63" spans="10:15">
      <c r="J63" s="48" t="s">
        <v>1292</v>
      </c>
      <c r="K63" s="48" t="s">
        <v>4</v>
      </c>
      <c r="L63" s="48" t="s">
        <v>1282</v>
      </c>
      <c r="M63" s="48" t="s">
        <v>1296</v>
      </c>
      <c r="N63" s="48" t="s">
        <v>1297</v>
      </c>
    </row>
    <row r="64" spans="10:15">
      <c r="J64" s="13">
        <v>1</v>
      </c>
      <c r="K64" s="98" t="s">
        <v>318</v>
      </c>
      <c r="L64" s="98" t="s">
        <v>769</v>
      </c>
      <c r="M64" s="13" t="s">
        <v>1283</v>
      </c>
      <c r="N64" s="13" t="s">
        <v>762</v>
      </c>
    </row>
    <row r="65" spans="10:14">
      <c r="J65" s="13">
        <v>2</v>
      </c>
      <c r="K65" s="98" t="s">
        <v>1294</v>
      </c>
      <c r="L65" s="98" t="s">
        <v>752</v>
      </c>
      <c r="M65" s="13" t="s">
        <v>1284</v>
      </c>
      <c r="N65" s="13" t="s">
        <v>763</v>
      </c>
    </row>
    <row r="66" spans="10:14">
      <c r="J66" s="13">
        <v>3</v>
      </c>
      <c r="K66" s="98" t="s">
        <v>644</v>
      </c>
      <c r="L66" s="98" t="s">
        <v>753</v>
      </c>
      <c r="M66" s="13" t="s">
        <v>1285</v>
      </c>
      <c r="N66" s="13" t="s">
        <v>764</v>
      </c>
    </row>
    <row r="67" spans="10:14">
      <c r="J67" s="13">
        <v>4</v>
      </c>
      <c r="K67" s="98" t="s">
        <v>1295</v>
      </c>
      <c r="L67" s="98"/>
      <c r="M67" s="13" t="s">
        <v>1286</v>
      </c>
      <c r="N67" s="13" t="s">
        <v>765</v>
      </c>
    </row>
    <row r="68" spans="10:14">
      <c r="J68" s="13">
        <v>5</v>
      </c>
      <c r="K68" s="98" t="s">
        <v>1293</v>
      </c>
      <c r="L68" s="98" t="s">
        <v>754</v>
      </c>
      <c r="M68" s="13" t="s">
        <v>1287</v>
      </c>
      <c r="N68" s="13" t="s">
        <v>766</v>
      </c>
    </row>
    <row r="69" spans="10:14">
      <c r="J69" s="13">
        <v>6</v>
      </c>
      <c r="K69" s="99" t="s">
        <v>1294</v>
      </c>
      <c r="L69" s="99" t="s">
        <v>752</v>
      </c>
      <c r="M69" s="108" t="s">
        <v>1288</v>
      </c>
      <c r="N69" s="13" t="s">
        <v>763</v>
      </c>
    </row>
    <row r="70" spans="10:14">
      <c r="J70" s="13">
        <v>7</v>
      </c>
      <c r="K70" s="98" t="s">
        <v>639</v>
      </c>
      <c r="L70" s="98" t="s">
        <v>755</v>
      </c>
      <c r="M70" s="13" t="s">
        <v>1289</v>
      </c>
      <c r="N70" s="13" t="s">
        <v>767</v>
      </c>
    </row>
    <row r="71" spans="10:14">
      <c r="J71" s="13">
        <v>8</v>
      </c>
      <c r="K71" s="98" t="s">
        <v>694</v>
      </c>
      <c r="L71" s="98" t="s">
        <v>751</v>
      </c>
      <c r="M71" s="13" t="s">
        <v>1290</v>
      </c>
      <c r="N71" s="13" t="s">
        <v>768</v>
      </c>
    </row>
    <row r="73" spans="10:14">
      <c r="K73" t="str">
        <f xml:space="preserve"> _xlfn.UNICHAR( HEX2DEC( RIGHT(L73,4)))</f>
        <v>¯</v>
      </c>
      <c r="L73" s="120" t="s">
        <v>1298</v>
      </c>
    </row>
  </sheetData>
  <phoneticPr fontId="4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8C6B9-E1AD-4791-BA27-C166B65963CB}">
  <dimension ref="A3:R37"/>
  <sheetViews>
    <sheetView topLeftCell="C1" workbookViewId="0">
      <selection activeCell="I30" sqref="I30"/>
    </sheetView>
  </sheetViews>
  <sheetFormatPr defaultRowHeight="25.5"/>
  <cols>
    <col min="1" max="3" width="7.33203125" customWidth="1"/>
    <col min="4" max="4" width="11.83203125" bestFit="1" customWidth="1"/>
    <col min="5" max="5" width="7.33203125" customWidth="1"/>
    <col min="6" max="6" width="8.08203125" customWidth="1"/>
    <col min="7" max="7" width="8.08203125" style="19" customWidth="1"/>
    <col min="8" max="8" width="12.4140625" style="19" customWidth="1"/>
    <col min="9" max="9" width="12.4140625" customWidth="1"/>
    <col min="10" max="10" width="2.1640625" bestFit="1" customWidth="1"/>
    <col min="11" max="19" width="7.08203125" customWidth="1"/>
  </cols>
  <sheetData>
    <row r="3" spans="1:18" ht="30">
      <c r="A3" s="48" t="s">
        <v>668</v>
      </c>
      <c r="B3" s="48" t="s">
        <v>773</v>
      </c>
      <c r="C3" s="48" t="s">
        <v>628</v>
      </c>
      <c r="D3" s="48" t="s">
        <v>770</v>
      </c>
      <c r="E3" s="48" t="s">
        <v>756</v>
      </c>
      <c r="F3" s="48" t="s">
        <v>772</v>
      </c>
      <c r="G3" s="48" t="s">
        <v>758</v>
      </c>
      <c r="H3" s="48" t="s">
        <v>756</v>
      </c>
      <c r="K3" s="154" t="str">
        <f xml:space="preserve"> _xlfn.CONCAT("o", _xlfn.UNICHAR(HEX2DEC(RIGHT("U+0358",4))))</f>
        <v>o͘</v>
      </c>
      <c r="L3" s="48" t="s">
        <v>1225</v>
      </c>
      <c r="M3" s="48" t="s">
        <v>1226</v>
      </c>
      <c r="N3" s="48" t="s">
        <v>1224</v>
      </c>
      <c r="O3" s="48" t="s">
        <v>1178</v>
      </c>
      <c r="P3" s="48" t="s">
        <v>1213</v>
      </c>
      <c r="Q3" s="48" t="s">
        <v>1303</v>
      </c>
      <c r="R3" s="48" t="s">
        <v>1302</v>
      </c>
    </row>
    <row r="4" spans="1:18" ht="30">
      <c r="A4" s="13">
        <v>1</v>
      </c>
      <c r="B4" s="13" t="s">
        <v>762</v>
      </c>
      <c r="C4" s="100" t="s">
        <v>1275</v>
      </c>
      <c r="D4" s="149"/>
      <c r="E4" s="97" t="str">
        <f xml:space="preserve"> IFERROR( _xlfn.CONCAT("a"), "")</f>
        <v>a</v>
      </c>
      <c r="F4" s="151" t="s">
        <v>666</v>
      </c>
      <c r="G4" s="116" t="str">
        <f t="shared" ref="G4:G6" si="0" xml:space="preserve"> IFERROR( _xlfn.CONCAT("a", _xlfn.UNICHAR(HEX2DEC(RIGHT(F4,4)))), "")</f>
        <v>ā</v>
      </c>
      <c r="H4" s="49" t="str">
        <f xml:space="preserve"> IFERROR( _xlfn.CONCAT("a"), "")</f>
        <v>a</v>
      </c>
      <c r="J4">
        <v>1</v>
      </c>
      <c r="K4" s="147" t="str">
        <f>IFERROR( _xlfn.CONCAT("o", _xlfn.UNICHAR(HEX2DEC(RIGHT("U+0358",4))), _xlfn.UNICHAR(HEX2DEC(RIGHT(D4,4)))), $K$3)</f>
        <v>o͘</v>
      </c>
      <c r="L4" s="147" t="str">
        <f>IFERROR( _xlfn.CONCAT(L$3, IF($D4="", "", _xlfn.UNICHAR(HEX2DEC(RIGHT($D4,4))))), "")</f>
        <v>a</v>
      </c>
      <c r="M4" s="147" t="str">
        <f t="shared" ref="M4:R4" si="1">IFERROR( _xlfn.CONCAT(M$3, IF($D4="", "", _xlfn.UNICHAR(HEX2DEC(RIGHT($D4,4))))), "")</f>
        <v>i</v>
      </c>
      <c r="N4" s="147" t="str">
        <f t="shared" si="1"/>
        <v>u</v>
      </c>
      <c r="O4" s="147" t="str">
        <f t="shared" si="1"/>
        <v>e</v>
      </c>
      <c r="P4" s="147" t="str">
        <f t="shared" si="1"/>
        <v>o</v>
      </c>
      <c r="Q4" s="147" t="str">
        <f t="shared" si="1"/>
        <v>m</v>
      </c>
      <c r="R4" s="147" t="str">
        <f t="shared" si="1"/>
        <v>n</v>
      </c>
    </row>
    <row r="5" spans="1:18" ht="30">
      <c r="A5" s="13">
        <v>2</v>
      </c>
      <c r="B5" s="13" t="s">
        <v>763</v>
      </c>
      <c r="C5" s="101" t="s">
        <v>1276</v>
      </c>
      <c r="D5" s="149" t="s">
        <v>667</v>
      </c>
      <c r="E5" s="97" t="str">
        <f xml:space="preserve"> IFERROR( _xlfn.CONCAT("a", _xlfn.UNICHAR(HEX2DEC(RIGHT($D5,4)))), "")</f>
        <v>á</v>
      </c>
      <c r="F5" s="151" t="s">
        <v>760</v>
      </c>
      <c r="G5" s="116" t="str">
        <f t="shared" si="0"/>
        <v>ǎ</v>
      </c>
      <c r="H5" s="49" t="str">
        <f xml:space="preserve"> IFERROR( _xlfn.CONCAT("a", _xlfn.UNICHAR(HEX2DEC(RIGHT($D5,4)))), "")</f>
        <v>á</v>
      </c>
      <c r="J5">
        <v>2</v>
      </c>
      <c r="K5" s="147" t="str">
        <f>IFERROR( _xlfn.CONCAT("o", _xlfn.UNICHAR(HEX2DEC(RIGHT("U+0358",4))), _xlfn.UNICHAR(HEX2DEC(RIGHT(D5,4)))), $K$3)</f>
        <v>ó͘</v>
      </c>
      <c r="L5" s="147" t="str">
        <f t="shared" ref="L5:R13" si="2">IFERROR( _xlfn.CONCAT(L$3, IF($D5="", "", _xlfn.UNICHAR(HEX2DEC(RIGHT($D5,4))))), "")</f>
        <v>á</v>
      </c>
      <c r="M5" s="147" t="str">
        <f t="shared" si="2"/>
        <v>í</v>
      </c>
      <c r="N5" s="147" t="str">
        <f t="shared" si="2"/>
        <v>ú</v>
      </c>
      <c r="O5" s="147" t="str">
        <f t="shared" si="2"/>
        <v>é</v>
      </c>
      <c r="P5" s="147" t="str">
        <f t="shared" si="2"/>
        <v>ó</v>
      </c>
      <c r="Q5" s="147" t="str">
        <f t="shared" si="2"/>
        <v>ḿ</v>
      </c>
      <c r="R5" s="147" t="str">
        <f t="shared" si="2"/>
        <v>ń</v>
      </c>
    </row>
    <row r="6" spans="1:18" ht="30">
      <c r="A6" s="13">
        <v>3</v>
      </c>
      <c r="B6" s="13" t="s">
        <v>764</v>
      </c>
      <c r="C6" s="101" t="s">
        <v>643</v>
      </c>
      <c r="D6" s="149" t="s">
        <v>752</v>
      </c>
      <c r="E6" s="97" t="str">
        <f t="shared" ref="E6:E13" si="3" xml:space="preserve"> IFERROR( _xlfn.CONCAT("a", _xlfn.UNICHAR(HEX2DEC(RIGHT($D6,4)))), "")</f>
        <v>à</v>
      </c>
      <c r="F6" s="151" t="s">
        <v>752</v>
      </c>
      <c r="G6" s="116" t="str">
        <f t="shared" si="0"/>
        <v>à</v>
      </c>
      <c r="H6" s="49" t="str">
        <f t="shared" ref="H6:H13" si="4" xml:space="preserve"> IFERROR( _xlfn.CONCAT("a", _xlfn.UNICHAR(HEX2DEC(RIGHT($D6,4)))), "")</f>
        <v>à</v>
      </c>
      <c r="J6">
        <v>3</v>
      </c>
      <c r="K6" s="147" t="str">
        <f>IFERROR( _xlfn.CONCAT("o", _xlfn.UNICHAR(HEX2DEC(RIGHT("U+0358",4))), _xlfn.UNICHAR(HEX2DEC(RIGHT(D6,4)))), $K$3)</f>
        <v>ò͘</v>
      </c>
      <c r="L6" s="147" t="str">
        <f t="shared" si="2"/>
        <v>à</v>
      </c>
      <c r="M6" s="147" t="str">
        <f t="shared" si="2"/>
        <v>ì</v>
      </c>
      <c r="N6" s="147" t="str">
        <f t="shared" si="2"/>
        <v>ù</v>
      </c>
      <c r="O6" s="147" t="str">
        <f t="shared" si="2"/>
        <v>è</v>
      </c>
      <c r="P6" s="147" t="str">
        <f t="shared" si="2"/>
        <v>ò</v>
      </c>
      <c r="Q6" s="147" t="str">
        <f t="shared" si="2"/>
        <v>m̀</v>
      </c>
      <c r="R6" s="147" t="str">
        <f t="shared" si="2"/>
        <v>ǹ</v>
      </c>
    </row>
    <row r="7" spans="1:18" ht="30">
      <c r="A7" s="13">
        <v>4</v>
      </c>
      <c r="B7" s="13" t="s">
        <v>765</v>
      </c>
      <c r="C7" s="101" t="s">
        <v>1277</v>
      </c>
      <c r="D7" s="149"/>
      <c r="E7" s="97" t="str">
        <f t="shared" si="3"/>
        <v/>
      </c>
      <c r="F7" s="151" t="s">
        <v>769</v>
      </c>
      <c r="G7" s="116" t="str">
        <f xml:space="preserve"> IFERROR( _xlfn.CONCAT("a", _xlfn.UNICHAR(HEX2DEC(RIGHT(F7,4))), "h"), "")</f>
        <v>āh</v>
      </c>
      <c r="H7" s="49" t="str">
        <f t="shared" si="4"/>
        <v/>
      </c>
      <c r="J7">
        <v>4</v>
      </c>
      <c r="K7" s="147" t="str">
        <f>IFERROR( _xlfn.CONCAT("o", _xlfn.UNICHAR(HEX2DEC(RIGHT("U+0358",4))), _xlfn.UNICHAR(HEX2DEC(RIGHT(D7,4)))), $K$3)</f>
        <v>o͘</v>
      </c>
      <c r="L7" s="147" t="str">
        <f t="shared" si="2"/>
        <v>a</v>
      </c>
      <c r="M7" s="147" t="str">
        <f t="shared" si="2"/>
        <v>i</v>
      </c>
      <c r="N7" s="147" t="str">
        <f t="shared" si="2"/>
        <v>u</v>
      </c>
      <c r="O7" s="147" t="str">
        <f t="shared" si="2"/>
        <v>e</v>
      </c>
      <c r="P7" s="147" t="str">
        <f t="shared" si="2"/>
        <v>o</v>
      </c>
      <c r="Q7" s="147" t="str">
        <f t="shared" si="2"/>
        <v>m</v>
      </c>
      <c r="R7" s="147" t="str">
        <f t="shared" si="2"/>
        <v>n</v>
      </c>
    </row>
    <row r="8" spans="1:18" ht="30">
      <c r="A8" s="13">
        <v>5</v>
      </c>
      <c r="B8" s="13" t="s">
        <v>766</v>
      </c>
      <c r="C8" s="101" t="s">
        <v>651</v>
      </c>
      <c r="D8" s="149" t="s">
        <v>760</v>
      </c>
      <c r="E8" s="97" t="str">
        <f t="shared" si="3"/>
        <v>ǎ</v>
      </c>
      <c r="F8" s="151" t="s">
        <v>754</v>
      </c>
      <c r="G8" s="116" t="str">
        <f t="shared" ref="G8:G10" si="5" xml:space="preserve"> IFERROR( _xlfn.CONCAT("a", _xlfn.UNICHAR(HEX2DEC(RIGHT(F8,4)))), "")</f>
        <v>á</v>
      </c>
      <c r="H8" s="49" t="str">
        <f t="shared" si="4"/>
        <v>ǎ</v>
      </c>
      <c r="J8">
        <v>5</v>
      </c>
      <c r="K8" s="147" t="str">
        <f t="shared" ref="K8:K13" si="6">IFERROR( _xlfn.CONCAT("o", _xlfn.UNICHAR(HEX2DEC(RIGHT("U+0358",4))), _xlfn.UNICHAR(HEX2DEC(RIGHT(D8,4)))), "")</f>
        <v>ǒ͘</v>
      </c>
      <c r="L8" s="147" t="str">
        <f t="shared" si="2"/>
        <v>ǎ</v>
      </c>
      <c r="M8" s="147" t="str">
        <f t="shared" si="2"/>
        <v>ǐ</v>
      </c>
      <c r="N8" s="147" t="str">
        <f t="shared" si="2"/>
        <v>ǔ</v>
      </c>
      <c r="O8" s="147" t="str">
        <f t="shared" si="2"/>
        <v>ě</v>
      </c>
      <c r="P8" s="147" t="str">
        <f t="shared" si="2"/>
        <v>ǒ</v>
      </c>
      <c r="Q8" s="147" t="str">
        <f t="shared" si="2"/>
        <v>m̌</v>
      </c>
      <c r="R8" s="147" t="str">
        <f t="shared" si="2"/>
        <v>ň</v>
      </c>
    </row>
    <row r="9" spans="1:18" ht="30">
      <c r="A9" s="108">
        <v>6</v>
      </c>
      <c r="B9" s="13" t="s">
        <v>763</v>
      </c>
      <c r="C9" s="101"/>
      <c r="D9" s="150" t="s">
        <v>754</v>
      </c>
      <c r="E9" s="97" t="str">
        <f t="shared" si="3"/>
        <v>á</v>
      </c>
      <c r="F9" s="152" t="s">
        <v>760</v>
      </c>
      <c r="G9" s="117" t="str">
        <f t="shared" si="5"/>
        <v>ǎ</v>
      </c>
      <c r="H9" s="49" t="str">
        <f t="shared" si="4"/>
        <v>á</v>
      </c>
      <c r="J9">
        <v>6</v>
      </c>
      <c r="K9" s="147" t="str">
        <f t="shared" si="6"/>
        <v>ó͘</v>
      </c>
      <c r="L9" s="147" t="str">
        <f t="shared" si="2"/>
        <v>á</v>
      </c>
      <c r="M9" s="147" t="str">
        <f t="shared" si="2"/>
        <v>í</v>
      </c>
      <c r="N9" s="147" t="str">
        <f t="shared" si="2"/>
        <v>ú</v>
      </c>
      <c r="O9" s="147" t="str">
        <f t="shared" si="2"/>
        <v>é</v>
      </c>
      <c r="P9" s="147" t="str">
        <f t="shared" si="2"/>
        <v>ó</v>
      </c>
      <c r="Q9" s="147" t="str">
        <f t="shared" si="2"/>
        <v>ḿ</v>
      </c>
      <c r="R9" s="147" t="str">
        <f t="shared" si="2"/>
        <v>ń</v>
      </c>
    </row>
    <row r="10" spans="1:18" ht="30">
      <c r="A10" s="13">
        <v>7</v>
      </c>
      <c r="B10" s="13" t="s">
        <v>767</v>
      </c>
      <c r="C10" s="100" t="s">
        <v>1278</v>
      </c>
      <c r="D10" s="149" t="s">
        <v>666</v>
      </c>
      <c r="E10" s="97" t="str">
        <f t="shared" si="3"/>
        <v>ā</v>
      </c>
      <c r="F10" s="151" t="s">
        <v>759</v>
      </c>
      <c r="G10" s="116" t="str">
        <f t="shared" si="5"/>
        <v>â</v>
      </c>
      <c r="H10" s="49" t="str">
        <f t="shared" si="4"/>
        <v>ā</v>
      </c>
      <c r="J10">
        <v>7</v>
      </c>
      <c r="K10" s="147" t="str">
        <f t="shared" si="6"/>
        <v>ō͘</v>
      </c>
      <c r="L10" s="147" t="str">
        <f t="shared" si="2"/>
        <v>ā</v>
      </c>
      <c r="M10" s="147" t="str">
        <f t="shared" si="2"/>
        <v>ī</v>
      </c>
      <c r="N10" s="147" t="str">
        <f t="shared" si="2"/>
        <v>ū</v>
      </c>
      <c r="O10" s="147" t="str">
        <f t="shared" si="2"/>
        <v>ē</v>
      </c>
      <c r="P10" s="147" t="str">
        <f t="shared" si="2"/>
        <v>ō</v>
      </c>
      <c r="Q10" s="147" t="str">
        <f t="shared" si="2"/>
        <v>m̄</v>
      </c>
      <c r="R10" s="147" t="str">
        <f t="shared" si="2"/>
        <v>n̄</v>
      </c>
    </row>
    <row r="11" spans="1:18" ht="30">
      <c r="A11" s="13">
        <v>8</v>
      </c>
      <c r="B11" s="13" t="s">
        <v>768</v>
      </c>
      <c r="C11" s="101" t="s">
        <v>659</v>
      </c>
      <c r="D11" s="149" t="s">
        <v>775</v>
      </c>
      <c r="E11" s="97" t="str">
        <f t="shared" si="3"/>
        <v>a̍</v>
      </c>
      <c r="F11" s="151" t="s">
        <v>754</v>
      </c>
      <c r="G11" s="116" t="str">
        <f xml:space="preserve"> IFERROR( _xlfn.CONCAT("a", _xlfn.UNICHAR(HEX2DEC(RIGHT(F11,4))), "h"), "")</f>
        <v>áh</v>
      </c>
      <c r="H11" s="49" t="str">
        <f t="shared" si="4"/>
        <v>a̍</v>
      </c>
      <c r="J11">
        <v>8</v>
      </c>
      <c r="K11" s="147" t="str">
        <f t="shared" si="6"/>
        <v>o̍͘</v>
      </c>
      <c r="L11" s="147" t="str">
        <f t="shared" si="2"/>
        <v>a̍</v>
      </c>
      <c r="M11" s="147" t="str">
        <f t="shared" si="2"/>
        <v>i̍</v>
      </c>
      <c r="N11" s="147" t="str">
        <f t="shared" si="2"/>
        <v>u̍</v>
      </c>
      <c r="O11" s="147" t="str">
        <f t="shared" si="2"/>
        <v>e̍</v>
      </c>
      <c r="P11" s="147" t="str">
        <f t="shared" si="2"/>
        <v>o̍</v>
      </c>
      <c r="Q11" s="147" t="str">
        <f t="shared" si="2"/>
        <v>m̍</v>
      </c>
      <c r="R11" s="147" t="str">
        <f t="shared" si="2"/>
        <v>n̍</v>
      </c>
    </row>
    <row r="12" spans="1:18" ht="30">
      <c r="A12" s="13">
        <v>9</v>
      </c>
      <c r="B12" s="13" t="s">
        <v>761</v>
      </c>
      <c r="C12" s="101"/>
      <c r="D12" s="149" t="s">
        <v>670</v>
      </c>
      <c r="E12" s="97" t="str">
        <f t="shared" si="3"/>
        <v>a̋</v>
      </c>
      <c r="F12" s="151"/>
      <c r="G12" s="109"/>
      <c r="H12" s="49" t="str">
        <f t="shared" si="4"/>
        <v>a̋</v>
      </c>
      <c r="J12">
        <v>9</v>
      </c>
      <c r="K12" s="147" t="str">
        <f t="shared" si="6"/>
        <v>ő͘</v>
      </c>
      <c r="L12" s="147" t="str">
        <f t="shared" si="2"/>
        <v>a̋</v>
      </c>
      <c r="M12" s="147" t="str">
        <f t="shared" si="2"/>
        <v>i̋</v>
      </c>
      <c r="N12" s="147" t="str">
        <f t="shared" si="2"/>
        <v>ű</v>
      </c>
      <c r="O12" s="147" t="str">
        <f t="shared" si="2"/>
        <v>e̋</v>
      </c>
      <c r="P12" s="147" t="str">
        <f t="shared" si="2"/>
        <v>ő</v>
      </c>
      <c r="Q12" s="147" t="str">
        <f t="shared" si="2"/>
        <v>m̋</v>
      </c>
      <c r="R12" s="147" t="str">
        <f t="shared" si="2"/>
        <v>n̋</v>
      </c>
    </row>
    <row r="13" spans="1:18" ht="30">
      <c r="A13" s="13">
        <v>0</v>
      </c>
      <c r="B13" s="13" t="s">
        <v>761</v>
      </c>
      <c r="C13" s="101"/>
      <c r="D13" s="149" t="s">
        <v>669</v>
      </c>
      <c r="E13" s="97" t="str">
        <f t="shared" si="3"/>
        <v>å</v>
      </c>
      <c r="F13" s="151"/>
      <c r="G13" s="109"/>
      <c r="H13" s="49" t="str">
        <f t="shared" si="4"/>
        <v>å</v>
      </c>
      <c r="J13">
        <v>0</v>
      </c>
      <c r="K13" s="147" t="str">
        <f t="shared" si="6"/>
        <v>o̊͘</v>
      </c>
      <c r="L13" s="147" t="str">
        <f t="shared" si="2"/>
        <v>å</v>
      </c>
      <c r="M13" s="147" t="str">
        <f t="shared" si="2"/>
        <v>i̊</v>
      </c>
      <c r="N13" s="147" t="str">
        <f t="shared" si="2"/>
        <v>ů</v>
      </c>
      <c r="O13" s="147" t="str">
        <f t="shared" si="2"/>
        <v>e̊</v>
      </c>
      <c r="P13" s="147" t="str">
        <f t="shared" si="2"/>
        <v>o̊</v>
      </c>
      <c r="Q13" s="147" t="str">
        <f t="shared" si="2"/>
        <v>m̊</v>
      </c>
      <c r="R13" s="147" t="str">
        <f t="shared" si="2"/>
        <v>n̊</v>
      </c>
    </row>
    <row r="16" spans="1:18">
      <c r="A16" s="48" t="s">
        <v>668</v>
      </c>
      <c r="B16" s="48" t="s">
        <v>773</v>
      </c>
      <c r="C16" s="48" t="s">
        <v>628</v>
      </c>
      <c r="D16" s="48" t="s">
        <v>2204</v>
      </c>
      <c r="E16" s="48" t="s">
        <v>8</v>
      </c>
      <c r="G16"/>
      <c r="H16"/>
      <c r="K16" s="48" t="s">
        <v>1225</v>
      </c>
      <c r="L16" s="48" t="s">
        <v>1226</v>
      </c>
      <c r="M16" s="48" t="s">
        <v>1224</v>
      </c>
      <c r="N16" s="48" t="s">
        <v>1178</v>
      </c>
      <c r="O16" s="48" t="s">
        <v>1213</v>
      </c>
      <c r="P16" s="48" t="s">
        <v>1303</v>
      </c>
      <c r="Q16" s="48" t="s">
        <v>1302</v>
      </c>
    </row>
    <row r="17" spans="1:17" ht="30">
      <c r="A17" s="13">
        <v>1</v>
      </c>
      <c r="B17" s="13" t="s">
        <v>762</v>
      </c>
      <c r="C17" s="100" t="s">
        <v>1275</v>
      </c>
      <c r="D17" s="151" t="s">
        <v>666</v>
      </c>
      <c r="E17" s="110" t="str">
        <f t="shared" ref="E17:E21" si="7" xml:space="preserve"> IFERROR( _xlfn.CONCAT("a", _xlfn.UNICHAR(HEX2DEC(RIGHT(D17,4)))), "")</f>
        <v>ā</v>
      </c>
      <c r="G17"/>
      <c r="H17" t="str">
        <f t="shared" ref="H17:H24" si="8" xml:space="preserve"> IFERROR( _xlfn.CONCAT("l", "u", _xlfn.UNICHAR(HEX2DEC(RIGHT($F4,4))), "n"), "")</f>
        <v>lūn</v>
      </c>
      <c r="I17" t="str">
        <f t="shared" ref="I17:I24" si="9" xml:space="preserve"> IFERROR( _xlfn.CONCAT("n", "g", "o", _xlfn.UNICHAR(HEX2DEC(RIGHT($F4,4))), "o"), "")</f>
        <v>ngōo</v>
      </c>
      <c r="J17">
        <v>1</v>
      </c>
      <c r="K17" s="147" t="str">
        <f t="shared" ref="K17:Q24" si="10">IFERROR( _xlfn.CONCAT(L$3, IF($D17="", "", _xlfn.UNICHAR(HEX2DEC(RIGHT($D17,4))))), "")</f>
        <v>ā</v>
      </c>
      <c r="L17" s="147" t="str">
        <f t="shared" si="10"/>
        <v>ī</v>
      </c>
      <c r="M17" s="147" t="str">
        <f t="shared" si="10"/>
        <v>ū</v>
      </c>
      <c r="N17" s="147" t="str">
        <f t="shared" si="10"/>
        <v>ē</v>
      </c>
      <c r="O17" s="147" t="str">
        <f t="shared" si="10"/>
        <v>ō</v>
      </c>
      <c r="P17" s="147" t="str">
        <f t="shared" si="10"/>
        <v>m̄</v>
      </c>
      <c r="Q17" s="147" t="str">
        <f t="shared" si="10"/>
        <v>n̄</v>
      </c>
    </row>
    <row r="18" spans="1:17" ht="30">
      <c r="A18" s="13">
        <v>2</v>
      </c>
      <c r="B18" s="13" t="s">
        <v>766</v>
      </c>
      <c r="C18" s="101" t="s">
        <v>651</v>
      </c>
      <c r="D18" s="151" t="s">
        <v>754</v>
      </c>
      <c r="E18" s="110" t="str">
        <f xml:space="preserve"> IFERROR( _xlfn.CONCAT("a", _xlfn.UNICHAR(HEX2DEC(RIGHT(D18,4)))), "")</f>
        <v>á</v>
      </c>
      <c r="G18"/>
      <c r="H18" t="str">
        <f t="shared" si="8"/>
        <v>lǔn</v>
      </c>
      <c r="I18" t="str">
        <f t="shared" si="9"/>
        <v>ngǒo</v>
      </c>
      <c r="J18">
        <v>2</v>
      </c>
      <c r="K18" s="147" t="str">
        <f t="shared" si="10"/>
        <v>á</v>
      </c>
      <c r="L18" s="147" t="str">
        <f t="shared" si="10"/>
        <v>í</v>
      </c>
      <c r="M18" s="147" t="str">
        <f t="shared" si="10"/>
        <v>ú</v>
      </c>
      <c r="N18" s="147" t="str">
        <f t="shared" si="10"/>
        <v>é</v>
      </c>
      <c r="O18" s="147" t="str">
        <f t="shared" si="10"/>
        <v>ó</v>
      </c>
      <c r="P18" s="147" t="str">
        <f t="shared" si="10"/>
        <v>ḿ</v>
      </c>
      <c r="Q18" s="147" t="str">
        <f t="shared" si="10"/>
        <v>ń</v>
      </c>
    </row>
    <row r="19" spans="1:17" ht="30">
      <c r="A19" s="13">
        <v>3</v>
      </c>
      <c r="B19" s="13" t="s">
        <v>763</v>
      </c>
      <c r="C19" s="101" t="s">
        <v>1276</v>
      </c>
      <c r="D19" s="151" t="s">
        <v>760</v>
      </c>
      <c r="E19" s="110" t="str">
        <f t="shared" si="7"/>
        <v>ǎ</v>
      </c>
      <c r="G19"/>
      <c r="H19" t="str">
        <f t="shared" si="8"/>
        <v>lùn</v>
      </c>
      <c r="I19" t="str">
        <f t="shared" si="9"/>
        <v>ngòo</v>
      </c>
      <c r="J19">
        <v>3</v>
      </c>
      <c r="K19" s="147" t="str">
        <f t="shared" si="10"/>
        <v>ǎ</v>
      </c>
      <c r="L19" s="147" t="str">
        <f t="shared" si="10"/>
        <v>ǐ</v>
      </c>
      <c r="M19" s="147" t="str">
        <f t="shared" si="10"/>
        <v>ǔ</v>
      </c>
      <c r="N19" s="147" t="str">
        <f t="shared" si="10"/>
        <v>ě</v>
      </c>
      <c r="O19" s="147" t="str">
        <f t="shared" si="10"/>
        <v>ǒ</v>
      </c>
      <c r="P19" s="147" t="str">
        <f t="shared" si="10"/>
        <v>m̌</v>
      </c>
      <c r="Q19" s="147" t="str">
        <f t="shared" si="10"/>
        <v>ň</v>
      </c>
    </row>
    <row r="20" spans="1:17" ht="30">
      <c r="A20" s="13">
        <v>4</v>
      </c>
      <c r="B20" s="13" t="s">
        <v>763</v>
      </c>
      <c r="C20" s="101"/>
      <c r="D20" s="152" t="s">
        <v>760</v>
      </c>
      <c r="E20" s="153" t="str">
        <f xml:space="preserve"> IFERROR( _xlfn.CONCAT("a", _xlfn.UNICHAR(HEX2DEC(RIGHT(D20,4)))), "")</f>
        <v>ǎ</v>
      </c>
      <c r="G20"/>
      <c r="H20" t="str">
        <f t="shared" si="8"/>
        <v>lūn</v>
      </c>
      <c r="I20" t="str">
        <f t="shared" si="9"/>
        <v>ngōo</v>
      </c>
      <c r="J20">
        <v>4</v>
      </c>
      <c r="K20" s="147" t="str">
        <f t="shared" si="10"/>
        <v>ǎ</v>
      </c>
      <c r="L20" s="147" t="str">
        <f t="shared" si="10"/>
        <v>ǐ</v>
      </c>
      <c r="M20" s="147" t="str">
        <f t="shared" si="10"/>
        <v>ǔ</v>
      </c>
      <c r="N20" s="147" t="str">
        <f t="shared" si="10"/>
        <v>ě</v>
      </c>
      <c r="O20" s="147" t="str">
        <f t="shared" si="10"/>
        <v>ǒ</v>
      </c>
      <c r="P20" s="147" t="str">
        <f t="shared" si="10"/>
        <v>m̌</v>
      </c>
      <c r="Q20" s="147" t="str">
        <f t="shared" si="10"/>
        <v>ň</v>
      </c>
    </row>
    <row r="21" spans="1:17" ht="30">
      <c r="A21" s="13">
        <v>5</v>
      </c>
      <c r="B21" s="13" t="s">
        <v>764</v>
      </c>
      <c r="C21" s="101" t="s">
        <v>643</v>
      </c>
      <c r="D21" s="151" t="s">
        <v>752</v>
      </c>
      <c r="E21" s="110" t="str">
        <f t="shared" si="7"/>
        <v>à</v>
      </c>
      <c r="G21"/>
      <c r="H21" t="str">
        <f t="shared" si="8"/>
        <v>lún</v>
      </c>
      <c r="I21" t="str">
        <f t="shared" si="9"/>
        <v>ngóo</v>
      </c>
      <c r="J21">
        <v>5</v>
      </c>
      <c r="K21" s="147" t="str">
        <f t="shared" si="10"/>
        <v>à</v>
      </c>
      <c r="L21" s="147" t="str">
        <f t="shared" si="10"/>
        <v>ì</v>
      </c>
      <c r="M21" s="147" t="str">
        <f t="shared" si="10"/>
        <v>ù</v>
      </c>
      <c r="N21" s="147" t="str">
        <f t="shared" si="10"/>
        <v>è</v>
      </c>
      <c r="O21" s="147" t="str">
        <f t="shared" si="10"/>
        <v>ò</v>
      </c>
      <c r="P21" s="147" t="str">
        <f t="shared" si="10"/>
        <v>m̀</v>
      </c>
      <c r="Q21" s="147" t="str">
        <f t="shared" si="10"/>
        <v>ǹ</v>
      </c>
    </row>
    <row r="22" spans="1:17" ht="30">
      <c r="A22" s="108">
        <v>6</v>
      </c>
      <c r="B22" s="13" t="s">
        <v>767</v>
      </c>
      <c r="C22" s="100" t="s">
        <v>1278</v>
      </c>
      <c r="D22" s="151" t="s">
        <v>759</v>
      </c>
      <c r="E22" s="110" t="str">
        <f t="shared" ref="E22" si="11" xml:space="preserve"> IFERROR( _xlfn.CONCAT("a", _xlfn.UNICHAR(HEX2DEC(RIGHT(D22,4)))), "")</f>
        <v>â</v>
      </c>
      <c r="G22"/>
      <c r="H22" t="str">
        <f t="shared" si="8"/>
        <v>lǔn</v>
      </c>
      <c r="I22" t="str">
        <f t="shared" si="9"/>
        <v>ngǒo</v>
      </c>
      <c r="J22">
        <v>6</v>
      </c>
      <c r="K22" s="147" t="str">
        <f t="shared" si="10"/>
        <v>â</v>
      </c>
      <c r="L22" s="147" t="str">
        <f t="shared" si="10"/>
        <v>î</v>
      </c>
      <c r="M22" s="147" t="str">
        <f t="shared" si="10"/>
        <v>û</v>
      </c>
      <c r="N22" s="147" t="str">
        <f t="shared" si="10"/>
        <v>ê</v>
      </c>
      <c r="O22" s="147" t="str">
        <f t="shared" si="10"/>
        <v>ô</v>
      </c>
      <c r="P22" s="147" t="str">
        <f t="shared" si="10"/>
        <v>m̂</v>
      </c>
      <c r="Q22" s="147" t="str">
        <f t="shared" si="10"/>
        <v>n̂</v>
      </c>
    </row>
    <row r="23" spans="1:17" ht="30">
      <c r="A23" s="13">
        <v>7</v>
      </c>
      <c r="B23" s="13" t="s">
        <v>765</v>
      </c>
      <c r="C23" s="101" t="s">
        <v>1277</v>
      </c>
      <c r="D23" s="151" t="s">
        <v>769</v>
      </c>
      <c r="E23" s="110" t="str">
        <f xml:space="preserve"> IFERROR( _xlfn.CONCAT("a", _xlfn.UNICHAR(HEX2DEC(RIGHT(D23,4))), "h"), "")</f>
        <v>āh</v>
      </c>
      <c r="G23"/>
      <c r="H23" t="str">
        <f t="shared" si="8"/>
        <v>lûn</v>
      </c>
      <c r="I23" t="str">
        <f t="shared" si="9"/>
        <v>ngôo</v>
      </c>
      <c r="J23">
        <v>7</v>
      </c>
      <c r="K23" s="147" t="str">
        <f t="shared" si="10"/>
        <v>ā</v>
      </c>
      <c r="L23" s="147" t="str">
        <f t="shared" si="10"/>
        <v>ī</v>
      </c>
      <c r="M23" s="147" t="str">
        <f t="shared" si="10"/>
        <v>ū</v>
      </c>
      <c r="N23" s="147" t="str">
        <f t="shared" si="10"/>
        <v>ē</v>
      </c>
      <c r="O23" s="147" t="str">
        <f t="shared" si="10"/>
        <v>ō</v>
      </c>
      <c r="P23" s="147" t="str">
        <f t="shared" si="10"/>
        <v>m̄</v>
      </c>
      <c r="Q23" s="147" t="str">
        <f t="shared" si="10"/>
        <v>n̄</v>
      </c>
    </row>
    <row r="24" spans="1:17" ht="30">
      <c r="A24" s="13">
        <v>8</v>
      </c>
      <c r="B24" s="13" t="s">
        <v>768</v>
      </c>
      <c r="C24" s="101" t="s">
        <v>659</v>
      </c>
      <c r="D24" s="151" t="s">
        <v>754</v>
      </c>
      <c r="E24" s="110" t="str">
        <f xml:space="preserve"> IFERROR( _xlfn.CONCAT("a", _xlfn.UNICHAR(HEX2DEC(RIGHT(D24,4))), "h"), "")</f>
        <v>áh</v>
      </c>
      <c r="G24"/>
      <c r="H24" t="str">
        <f t="shared" si="8"/>
        <v>lún</v>
      </c>
      <c r="I24" t="str">
        <f t="shared" si="9"/>
        <v>ngóo</v>
      </c>
      <c r="J24">
        <v>8</v>
      </c>
      <c r="K24" s="147" t="str">
        <f t="shared" si="10"/>
        <v>á</v>
      </c>
      <c r="L24" s="147" t="str">
        <f t="shared" si="10"/>
        <v>í</v>
      </c>
      <c r="M24" s="147" t="str">
        <f t="shared" si="10"/>
        <v>ú</v>
      </c>
      <c r="N24" s="147" t="str">
        <f t="shared" si="10"/>
        <v>é</v>
      </c>
      <c r="O24" s="147" t="str">
        <f t="shared" si="10"/>
        <v>ó</v>
      </c>
      <c r="P24" s="147" t="str">
        <f t="shared" si="10"/>
        <v>ḿ</v>
      </c>
      <c r="Q24" s="147" t="str">
        <f t="shared" si="10"/>
        <v>ń</v>
      </c>
    </row>
    <row r="25" spans="1:17" ht="30">
      <c r="A25" s="13">
        <v>9</v>
      </c>
      <c r="B25" s="13" t="s">
        <v>761</v>
      </c>
      <c r="C25" s="101"/>
      <c r="D25" s="151"/>
      <c r="E25" s="110"/>
      <c r="G25"/>
      <c r="H25" t="str">
        <f xml:space="preserve"> IFERROR( _xlfn.CONCAT("l", "u", _xlfn.UNICHAR(HEX2DEC(RIGHT(F12,4))), "n"), "")</f>
        <v/>
      </c>
    </row>
    <row r="26" spans="1:17" ht="30">
      <c r="A26" s="13">
        <v>0</v>
      </c>
      <c r="B26" s="13" t="s">
        <v>761</v>
      </c>
      <c r="C26" s="101"/>
      <c r="D26" s="151"/>
      <c r="E26" s="110"/>
      <c r="G26"/>
      <c r="H26" t="str">
        <f xml:space="preserve"> IFERROR( _xlfn.CONCAT("l", "u", _xlfn.UNICHAR(HEX2DEC(RIGHT(F13,4))), "n"), "")</f>
        <v/>
      </c>
    </row>
    <row r="29" spans="1:17">
      <c r="A29" s="48" t="s">
        <v>668</v>
      </c>
      <c r="B29" s="48" t="s">
        <v>773</v>
      </c>
      <c r="C29" s="48" t="s">
        <v>628</v>
      </c>
      <c r="D29" s="48" t="s">
        <v>770</v>
      </c>
      <c r="E29" s="48" t="s">
        <v>756</v>
      </c>
      <c r="H29" t="s">
        <v>1213</v>
      </c>
      <c r="I29" t="s">
        <v>1213</v>
      </c>
      <c r="K29" s="48" t="s">
        <v>1225</v>
      </c>
      <c r="L29" s="48" t="s">
        <v>1226</v>
      </c>
      <c r="M29" s="48" t="s">
        <v>1224</v>
      </c>
      <c r="N29" s="48" t="s">
        <v>1178</v>
      </c>
      <c r="O29" s="48" t="s">
        <v>1213</v>
      </c>
      <c r="P29" s="48" t="s">
        <v>1303</v>
      </c>
      <c r="Q29" s="48" t="s">
        <v>1302</v>
      </c>
    </row>
    <row r="30" spans="1:17" ht="30">
      <c r="A30" s="13">
        <v>1</v>
      </c>
      <c r="B30" s="13" t="s">
        <v>762</v>
      </c>
      <c r="C30" s="100" t="s">
        <v>1275</v>
      </c>
      <c r="D30" s="149"/>
      <c r="E30" s="97" t="str">
        <f xml:space="preserve"> IFERROR( _xlfn.CONCAT("a", IF($D30="", "", _xlfn.UNICHAR(HEX2DEC(RIGHT($D30,4))))), "")</f>
        <v>a</v>
      </c>
      <c r="H30" s="155" t="str">
        <f>IFERROR( _xlfn.CONCAT("l", "o", IF($D30="", "", _xlfn.UNICHAR(HEX2DEC(RIGHT($D30,4))))), "")</f>
        <v>lo</v>
      </c>
      <c r="I30" s="155" t="str">
        <f>IFERROR( _xlfn.CONCAT("l", "o", IF($D30="", "", _xlfn.UNICHAR(HEX2DEC(RIGHT($D30,4)))), "r", IF(OR(J30=4, J30=8), "k", "")), "")</f>
        <v>lor</v>
      </c>
      <c r="J30">
        <v>1</v>
      </c>
      <c r="K30" s="147" t="str">
        <f t="shared" ref="K30:Q37" si="12">IFERROR( _xlfn.CONCAT(L$3, IF($D28="", "", _xlfn.UNICHAR(HEX2DEC(RIGHT($D28,4))))), "")</f>
        <v>a</v>
      </c>
      <c r="L30" s="147" t="str">
        <f t="shared" si="12"/>
        <v>i</v>
      </c>
      <c r="M30" s="147" t="str">
        <f t="shared" si="12"/>
        <v>u</v>
      </c>
      <c r="N30" s="147" t="str">
        <f t="shared" si="12"/>
        <v>e</v>
      </c>
      <c r="O30" s="147" t="str">
        <f t="shared" si="12"/>
        <v>o</v>
      </c>
      <c r="P30" s="147" t="str">
        <f t="shared" si="12"/>
        <v>m</v>
      </c>
      <c r="Q30" s="147" t="str">
        <f t="shared" si="12"/>
        <v>n</v>
      </c>
    </row>
    <row r="31" spans="1:17" ht="30">
      <c r="A31" s="13">
        <v>2</v>
      </c>
      <c r="B31" s="13" t="s">
        <v>766</v>
      </c>
      <c r="C31" s="101" t="s">
        <v>651</v>
      </c>
      <c r="D31" s="149" t="s">
        <v>667</v>
      </c>
      <c r="E31" s="97" t="str">
        <f xml:space="preserve"> IFERROR( _xlfn.CONCAT("a", IF($D31="", "", _xlfn.UNICHAR(HEX2DEC(RIGHT($D31,4))))), "")</f>
        <v>á</v>
      </c>
      <c r="H31" s="155" t="str">
        <f t="shared" ref="H31:H36" si="13">IFERROR( _xlfn.CONCAT("l", "o", IF($D31="", "", _xlfn.UNICHAR(HEX2DEC(RIGHT($D31,4))))), "")</f>
        <v>ló</v>
      </c>
      <c r="I31" s="155" t="str">
        <f t="shared" ref="I31:I37" si="14">IFERROR( _xlfn.CONCAT("l", "o", IF($D31="", "", _xlfn.UNICHAR(HEX2DEC(RIGHT($D31,4)))), "r", IF(OR(J31=4, J31=8), "k", "")), "")</f>
        <v>lór</v>
      </c>
      <c r="J31">
        <v>2</v>
      </c>
      <c r="K31" s="147" t="str">
        <f t="shared" si="12"/>
        <v/>
      </c>
      <c r="L31" s="147" t="str">
        <f t="shared" si="12"/>
        <v/>
      </c>
      <c r="M31" s="147" t="str">
        <f t="shared" si="12"/>
        <v/>
      </c>
      <c r="N31" s="147" t="str">
        <f t="shared" si="12"/>
        <v/>
      </c>
      <c r="O31" s="147" t="str">
        <f t="shared" si="12"/>
        <v/>
      </c>
      <c r="P31" s="147" t="str">
        <f t="shared" si="12"/>
        <v/>
      </c>
      <c r="Q31" s="147" t="str">
        <f t="shared" si="12"/>
        <v/>
      </c>
    </row>
    <row r="32" spans="1:17" ht="30">
      <c r="A32" s="13">
        <v>3</v>
      </c>
      <c r="B32" s="13" t="s">
        <v>763</v>
      </c>
      <c r="C32" s="101" t="s">
        <v>1276</v>
      </c>
      <c r="D32" s="149" t="s">
        <v>752</v>
      </c>
      <c r="E32" s="97" t="str">
        <f t="shared" ref="E32:E37" si="15" xml:space="preserve"> IFERROR( _xlfn.CONCAT("a", IF($D32="", "", _xlfn.UNICHAR(HEX2DEC(RIGHT($D32,4))))), "")</f>
        <v>à</v>
      </c>
      <c r="H32" s="155" t="str">
        <f t="shared" si="13"/>
        <v>lò</v>
      </c>
      <c r="I32" s="155" t="str">
        <f t="shared" si="14"/>
        <v>lòr</v>
      </c>
      <c r="J32">
        <v>3</v>
      </c>
      <c r="K32" s="147" t="str">
        <f t="shared" si="12"/>
        <v>a</v>
      </c>
      <c r="L32" s="147" t="str">
        <f t="shared" si="12"/>
        <v>i</v>
      </c>
      <c r="M32" s="147" t="str">
        <f t="shared" si="12"/>
        <v>u</v>
      </c>
      <c r="N32" s="147" t="str">
        <f t="shared" si="12"/>
        <v>e</v>
      </c>
      <c r="O32" s="147" t="str">
        <f t="shared" si="12"/>
        <v>o</v>
      </c>
      <c r="P32" s="147" t="str">
        <f t="shared" si="12"/>
        <v>m</v>
      </c>
      <c r="Q32" s="147" t="str">
        <f t="shared" si="12"/>
        <v>n</v>
      </c>
    </row>
    <row r="33" spans="1:17" ht="30">
      <c r="A33" s="13">
        <v>4</v>
      </c>
      <c r="B33" s="13" t="s">
        <v>763</v>
      </c>
      <c r="C33" s="101"/>
      <c r="D33" s="149"/>
      <c r="E33" s="97" t="str">
        <f t="shared" si="15"/>
        <v>a</v>
      </c>
      <c r="H33" s="155" t="str">
        <f>IFERROR( _xlfn.CONCAT("l", "o", IF($D33="", "", _xlfn.UNICHAR(HEX2DEC(RIGHT($D33,4)))), "k"), "")</f>
        <v>lok</v>
      </c>
      <c r="I33" s="155" t="str">
        <f t="shared" si="14"/>
        <v>lork</v>
      </c>
      <c r="J33">
        <v>4</v>
      </c>
      <c r="K33" s="147" t="str">
        <f t="shared" si="12"/>
        <v>á</v>
      </c>
      <c r="L33" s="147" t="str">
        <f t="shared" si="12"/>
        <v>í</v>
      </c>
      <c r="M33" s="147" t="str">
        <f t="shared" si="12"/>
        <v>ú</v>
      </c>
      <c r="N33" s="147" t="str">
        <f t="shared" si="12"/>
        <v>é</v>
      </c>
      <c r="O33" s="147" t="str">
        <f t="shared" si="12"/>
        <v>ó</v>
      </c>
      <c r="P33" s="147" t="str">
        <f t="shared" si="12"/>
        <v>ḿ</v>
      </c>
      <c r="Q33" s="147" t="str">
        <f t="shared" si="12"/>
        <v>ń</v>
      </c>
    </row>
    <row r="34" spans="1:17" ht="30">
      <c r="A34" s="13">
        <v>5</v>
      </c>
      <c r="B34" s="13" t="s">
        <v>764</v>
      </c>
      <c r="C34" s="101" t="s">
        <v>643</v>
      </c>
      <c r="D34" s="149" t="s">
        <v>760</v>
      </c>
      <c r="E34" s="97" t="str">
        <f t="shared" si="15"/>
        <v>ǎ</v>
      </c>
      <c r="H34" s="155" t="str">
        <f t="shared" si="13"/>
        <v>lǒ</v>
      </c>
      <c r="I34" s="155" t="str">
        <f t="shared" si="14"/>
        <v>lǒr</v>
      </c>
      <c r="J34">
        <v>5</v>
      </c>
      <c r="K34" s="147" t="str">
        <f t="shared" si="12"/>
        <v>à</v>
      </c>
      <c r="L34" s="147" t="str">
        <f t="shared" si="12"/>
        <v>ì</v>
      </c>
      <c r="M34" s="147" t="str">
        <f t="shared" si="12"/>
        <v>ù</v>
      </c>
      <c r="N34" s="147" t="str">
        <f t="shared" si="12"/>
        <v>è</v>
      </c>
      <c r="O34" s="147" t="str">
        <f t="shared" si="12"/>
        <v>ò</v>
      </c>
      <c r="P34" s="147" t="str">
        <f t="shared" si="12"/>
        <v>m̀</v>
      </c>
      <c r="Q34" s="147" t="str">
        <f t="shared" si="12"/>
        <v>ǹ</v>
      </c>
    </row>
    <row r="35" spans="1:17" ht="30">
      <c r="A35" s="108">
        <v>6</v>
      </c>
      <c r="B35" s="13" t="s">
        <v>767</v>
      </c>
      <c r="C35" s="100" t="s">
        <v>1278</v>
      </c>
      <c r="D35" s="150" t="s">
        <v>754</v>
      </c>
      <c r="E35" s="97" t="str">
        <f t="shared" si="15"/>
        <v>á</v>
      </c>
      <c r="H35" s="155" t="str">
        <f t="shared" si="13"/>
        <v>ló</v>
      </c>
      <c r="I35" s="155" t="str">
        <f t="shared" si="14"/>
        <v>lór</v>
      </c>
      <c r="J35">
        <v>6</v>
      </c>
      <c r="K35" s="147" t="str">
        <f t="shared" si="12"/>
        <v>a</v>
      </c>
      <c r="L35" s="147" t="str">
        <f t="shared" si="12"/>
        <v>i</v>
      </c>
      <c r="M35" s="147" t="str">
        <f t="shared" si="12"/>
        <v>u</v>
      </c>
      <c r="N35" s="147" t="str">
        <f t="shared" si="12"/>
        <v>e</v>
      </c>
      <c r="O35" s="147" t="str">
        <f t="shared" si="12"/>
        <v>o</v>
      </c>
      <c r="P35" s="147" t="str">
        <f t="shared" si="12"/>
        <v>m</v>
      </c>
      <c r="Q35" s="147" t="str">
        <f t="shared" si="12"/>
        <v>n</v>
      </c>
    </row>
    <row r="36" spans="1:17" ht="30">
      <c r="A36" s="13">
        <v>7</v>
      </c>
      <c r="B36" s="13" t="s">
        <v>765</v>
      </c>
      <c r="C36" s="101" t="s">
        <v>1277</v>
      </c>
      <c r="D36" s="149" t="s">
        <v>666</v>
      </c>
      <c r="E36" s="97" t="str">
        <f t="shared" si="15"/>
        <v>ā</v>
      </c>
      <c r="H36" s="155" t="str">
        <f t="shared" si="13"/>
        <v>lō</v>
      </c>
      <c r="I36" s="155" t="str">
        <f t="shared" si="14"/>
        <v>lōr</v>
      </c>
      <c r="J36">
        <v>7</v>
      </c>
      <c r="K36" s="147" t="str">
        <f t="shared" si="12"/>
        <v>ǎ</v>
      </c>
      <c r="L36" s="147" t="str">
        <f t="shared" si="12"/>
        <v>ǐ</v>
      </c>
      <c r="M36" s="147" t="str">
        <f t="shared" si="12"/>
        <v>ǔ</v>
      </c>
      <c r="N36" s="147" t="str">
        <f t="shared" si="12"/>
        <v>ě</v>
      </c>
      <c r="O36" s="147" t="str">
        <f t="shared" si="12"/>
        <v>ǒ</v>
      </c>
      <c r="P36" s="147" t="str">
        <f t="shared" si="12"/>
        <v>m̌</v>
      </c>
      <c r="Q36" s="147" t="str">
        <f t="shared" si="12"/>
        <v>ň</v>
      </c>
    </row>
    <row r="37" spans="1:17" ht="30">
      <c r="A37" s="13">
        <v>8</v>
      </c>
      <c r="B37" s="13" t="s">
        <v>768</v>
      </c>
      <c r="C37" s="101" t="s">
        <v>659</v>
      </c>
      <c r="D37" s="149" t="s">
        <v>775</v>
      </c>
      <c r="E37" s="97" t="str">
        <f t="shared" si="15"/>
        <v>a̍</v>
      </c>
      <c r="H37" s="155" t="str">
        <f>IFERROR( _xlfn.CONCAT("l", "o", IF($D37="", "", _xlfn.UNICHAR(HEX2DEC(RIGHT($D37,4)))), "k"), "")</f>
        <v>lo̍k</v>
      </c>
      <c r="I37" s="155" t="str">
        <f t="shared" si="14"/>
        <v>lo̍rk</v>
      </c>
      <c r="J37">
        <v>8</v>
      </c>
      <c r="K37" s="147" t="str">
        <f t="shared" si="12"/>
        <v>á</v>
      </c>
      <c r="L37" s="147" t="str">
        <f t="shared" si="12"/>
        <v>í</v>
      </c>
      <c r="M37" s="147" t="str">
        <f t="shared" si="12"/>
        <v>ú</v>
      </c>
      <c r="N37" s="147" t="str">
        <f t="shared" si="12"/>
        <v>é</v>
      </c>
      <c r="O37" s="147" t="str">
        <f t="shared" si="12"/>
        <v>ó</v>
      </c>
      <c r="P37" s="147" t="str">
        <f t="shared" si="12"/>
        <v>ḿ</v>
      </c>
      <c r="Q37" s="147" t="str">
        <f t="shared" si="12"/>
        <v>ń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81195-1B02-4A55-86CE-D92DBBE7945B}">
  <dimension ref="A1:AU109"/>
  <sheetViews>
    <sheetView showGridLines="0" workbookViewId="0">
      <pane ySplit="3" topLeftCell="A4" activePane="bottomLeft" state="frozen"/>
      <selection pane="bottomLeft" activeCell="B27" sqref="B27"/>
    </sheetView>
  </sheetViews>
  <sheetFormatPr defaultRowHeight="26.25" outlineLevelCol="1"/>
  <cols>
    <col min="1" max="1" width="5.58203125" style="51" customWidth="1"/>
    <col min="2" max="4" width="10.25" style="51" customWidth="1"/>
    <col min="5" max="8" width="10.25" style="51" hidden="1" customWidth="1" outlineLevel="1"/>
    <col min="9" max="9" width="10.25" style="51" customWidth="1" collapsed="1"/>
    <col min="10" max="10" width="10.25" style="51" customWidth="1"/>
    <col min="11" max="11" width="5.1640625" style="51" customWidth="1"/>
    <col min="12" max="12" width="3.5" style="51" customWidth="1"/>
    <col min="13" max="14" width="10.08203125" style="51" customWidth="1"/>
    <col min="15" max="15" width="1.9140625" style="51" customWidth="1"/>
    <col min="16" max="16" width="9.1640625" style="121" bestFit="1" customWidth="1"/>
    <col min="17" max="17" width="6" style="124" customWidth="1" outlineLevel="1"/>
    <col min="18" max="18" width="6.1640625" style="124" customWidth="1" outlineLevel="1"/>
    <col min="19" max="19" width="11.1640625" style="121" customWidth="1"/>
    <col min="20" max="20" width="3" style="51" customWidth="1"/>
    <col min="21" max="21" width="34.5" style="122" customWidth="1"/>
    <col min="22" max="22" width="8.6640625" style="51"/>
    <col min="23" max="34" width="5" style="129" customWidth="1"/>
    <col min="35" max="40" width="12.9140625" style="133" bestFit="1" customWidth="1"/>
    <col min="41" max="43" width="13.25" style="133" customWidth="1"/>
    <col min="44" max="44" width="13.25" style="51" customWidth="1"/>
    <col min="45" max="16384" width="8.6640625" style="51"/>
  </cols>
  <sheetData>
    <row r="1" spans="1:47" ht="46.5" customHeight="1">
      <c r="A1" s="50"/>
      <c r="B1" s="50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ɑe","ɑh","ai","ɑk","ɑm","ɑn","ao","ɑp","ɑt","eh","eu","iɑ","ie","ih","ik","im","in","io","ip","it","iu","mh","ng","oh","ok","oo","op","uɑ","ue","uh","ui","un","ut")</v>
      </c>
      <c r="D1" s="50"/>
      <c r="H1" s="50"/>
      <c r="I1" s="50"/>
      <c r="J1" s="50"/>
      <c r="K1" s="50"/>
      <c r="Q1" s="123"/>
    </row>
    <row r="2" spans="1:47" ht="27" thickBot="1">
      <c r="A2" s="50"/>
      <c r="B2" s="50" t="s">
        <v>1310</v>
      </c>
      <c r="D2" s="50"/>
      <c r="H2" s="50"/>
      <c r="I2" s="50"/>
      <c r="J2" s="50"/>
      <c r="K2" s="50"/>
      <c r="Q2" s="124" t="s">
        <v>1300</v>
      </c>
      <c r="U2" s="125"/>
      <c r="X2" s="129">
        <v>1</v>
      </c>
      <c r="Y2" s="129">
        <v>2</v>
      </c>
      <c r="Z2" s="129">
        <v>3</v>
      </c>
      <c r="AA2" s="129">
        <v>4</v>
      </c>
      <c r="AB2" s="129">
        <v>5</v>
      </c>
      <c r="AC2" s="129">
        <v>6</v>
      </c>
      <c r="AD2" s="129">
        <v>7</v>
      </c>
      <c r="AE2" s="129">
        <v>8</v>
      </c>
      <c r="AF2" s="129">
        <v>9</v>
      </c>
      <c r="AG2" s="129">
        <v>9</v>
      </c>
    </row>
    <row r="3" spans="1:47" ht="54.75" thickBot="1">
      <c r="A3" s="58" t="s">
        <v>895</v>
      </c>
      <c r="B3" s="58" t="s">
        <v>875</v>
      </c>
      <c r="C3" s="58" t="s">
        <v>756</v>
      </c>
      <c r="D3" s="58" t="s">
        <v>662</v>
      </c>
      <c r="E3" s="58" t="s">
        <v>873</v>
      </c>
      <c r="F3" s="58" t="s">
        <v>758</v>
      </c>
      <c r="G3" s="58" t="s">
        <v>870</v>
      </c>
      <c r="H3" s="58" t="s">
        <v>874</v>
      </c>
      <c r="I3" s="58" t="s">
        <v>757</v>
      </c>
      <c r="J3" s="58" t="s">
        <v>1308</v>
      </c>
      <c r="K3" s="58" t="s">
        <v>896</v>
      </c>
      <c r="L3" s="53"/>
      <c r="M3" s="58" t="s">
        <v>756</v>
      </c>
      <c r="N3" s="58" t="s">
        <v>662</v>
      </c>
      <c r="P3" s="58" t="s">
        <v>756</v>
      </c>
      <c r="Q3" s="52" t="s">
        <v>1301</v>
      </c>
      <c r="R3" s="127" t="s">
        <v>1299</v>
      </c>
      <c r="S3" s="58" t="s">
        <v>662</v>
      </c>
      <c r="U3" s="52"/>
      <c r="W3" s="128"/>
      <c r="Y3" s="131" t="s">
        <v>667</v>
      </c>
      <c r="Z3" s="131" t="s">
        <v>1306</v>
      </c>
      <c r="AA3" s="131"/>
      <c r="AB3" s="131" t="s">
        <v>760</v>
      </c>
      <c r="AC3" s="131" t="s">
        <v>754</v>
      </c>
      <c r="AD3" s="131" t="s">
        <v>666</v>
      </c>
      <c r="AE3" s="131" t="s">
        <v>1307</v>
      </c>
      <c r="AF3" s="131" t="s">
        <v>670</v>
      </c>
      <c r="AG3" s="131" t="s">
        <v>669</v>
      </c>
      <c r="AH3" s="130"/>
    </row>
    <row r="4" spans="1:47" ht="27.75" thickBot="1">
      <c r="A4" s="57">
        <f xml:space="preserve"> ROW() - 3</f>
        <v>1</v>
      </c>
      <c r="B4" s="74" t="str" cm="1">
        <f t="array" ref="B4" xml:space="preserve"> IFERROR( INDEX(韻母對照表[國際音標], MATCH(TRUE, EXACT('【韻】韻母清單（台語音標）'!$C4, 韻母對照表[台羅拼音]), 0)), "")</f>
        <v>iãuʔ</v>
      </c>
      <c r="C4" s="57" t="s">
        <v>472</v>
      </c>
      <c r="D4" s="57" t="s">
        <v>472</v>
      </c>
      <c r="E4" s="57" t="str" cm="1">
        <f t="array" ref="E4" xml:space="preserve"> IFERROR( INDEX(韻母對照表[注音二式], MATCH(TRUE, EXACT('【韻】韻母清單（台語音標）'!$C4, 韻母對照表[台羅拼音]), 0)), "")</f>
        <v>iaunnh</v>
      </c>
      <c r="F4" s="57" t="s">
        <v>777</v>
      </c>
      <c r="G4" s="61" t="str" cm="1">
        <f t="array" ref="G4" xml:space="preserve"> IFERROR( INDEX(韻母對照表[白話字], MATCH(TRUE, EXACT('【韻】韻母清單（台語音標）'!$C4, 韻母對照表[台羅拼音]), 0)), "")</f>
        <v>iauhⁿ</v>
      </c>
      <c r="H4" s="54" t="str" cm="1">
        <f t="array" ref="H4" xml:space="preserve"> IFERROR( INDEX(韻母對照表[十五音識別碼], MATCH(TRUE, EXACT('【韻】韻母清單（台語音標）'!$C4, 韻母對照表[台羅拼音]), 0)), "")</f>
        <v>嘄促</v>
      </c>
      <c r="I4" s="57" t="str" cm="1">
        <f t="array" ref="I4" xml:space="preserve"> IFERROR( INDEX(韻母對照表[方音符號], MATCH(TRUE, EXACT('【韻】韻母清單（台語音標）'!$C4, 韻母對照表[台羅拼音]), 0)), "")</f>
        <v>ㄧㆯㆷ</v>
      </c>
      <c r="J4" s="135" t="s">
        <v>1309</v>
      </c>
      <c r="K4" s="54">
        <f t="shared" ref="K4:K35" si="0" xml:space="preserve"> LEN(D4)</f>
        <v>6</v>
      </c>
      <c r="L4" s="73"/>
      <c r="M4" s="57" t="str">
        <f>C4</f>
        <v>iaunnh</v>
      </c>
      <c r="N4" s="57" t="str">
        <f>D4</f>
        <v>iaunnh</v>
      </c>
      <c r="P4" s="121" t="str">
        <f xml:space="preserve"> _xlfn.CONCAT(M4, "(\d)")</f>
        <v>iaunnh(\d)</v>
      </c>
      <c r="Q4" s="124" t="s">
        <v>1225</v>
      </c>
      <c r="R4" s="124">
        <f xml:space="preserve"> IFERROR( IF(Q4="", "", SEARCH(Q4, $M4)), "")</f>
        <v>2</v>
      </c>
      <c r="S4" s="121" t="str">
        <f xml:space="preserve"> IFERROR( _xlfn.CONCAT(LEFT(M4,R4-1), "》", MID(M4,R4,1), "${1}", RIGHT(M4, LEN(M4)-R4)), "" )</f>
        <v>i》a${1}unnh</v>
      </c>
      <c r="T4" s="55"/>
      <c r="U4" s="56" t="str">
        <f xml:space="preserve"> IF(AND(N4&lt;&gt;"", M4&lt;&gt;""), "    - xform/》" &amp; P4 &amp;  "/"  &amp; S4 &amp;  "/", "")</f>
        <v xml:space="preserve">    - xform/》iaunnh(\d)/i》a${1}unnh/</v>
      </c>
      <c r="W4" s="129" t="s">
        <v>1225</v>
      </c>
      <c r="X4" s="132" t="str">
        <f xml:space="preserve"> _xlfn.CONCAT($W4, IF(X$3="", "", _xlfn.UNICHAR( HEX2DEC( RIGHT(X$3,4)))))</f>
        <v>a</v>
      </c>
      <c r="Y4" s="132" t="str">
        <f t="shared" ref="Y4:AG4" si="1" xml:space="preserve"> _xlfn.CONCAT($W4, IF(Y$3="", "", _xlfn.UNICHAR( HEX2DEC( RIGHT(Y$3,4)))))</f>
        <v>á</v>
      </c>
      <c r="Z4" s="132" t="str">
        <f t="shared" si="1"/>
        <v>à</v>
      </c>
      <c r="AA4" s="132" t="str">
        <f t="shared" si="1"/>
        <v>a</v>
      </c>
      <c r="AB4" s="132" t="str">
        <f t="shared" si="1"/>
        <v>ǎ</v>
      </c>
      <c r="AC4" s="132" t="str">
        <f t="shared" si="1"/>
        <v>á</v>
      </c>
      <c r="AD4" s="132" t="str">
        <f t="shared" si="1"/>
        <v>ā</v>
      </c>
      <c r="AE4" s="132" t="str">
        <f t="shared" si="1"/>
        <v>a̍</v>
      </c>
      <c r="AF4" s="132" t="str">
        <f t="shared" si="1"/>
        <v>a̋</v>
      </c>
      <c r="AG4" s="132" t="str">
        <f t="shared" si="1"/>
        <v>å</v>
      </c>
      <c r="AI4" s="134" t="str">
        <f xml:space="preserve"> _xlfn.CONCAT("    - xform/》", $W4, X$2, "/", X4, "/")</f>
        <v xml:space="preserve">    - xform/》a1/a/</v>
      </c>
      <c r="AJ4" s="134" t="str">
        <f xml:space="preserve"> _xlfn.CONCAT("    - xform/》", $W4, Y$2, "/", Y4, "/")</f>
        <v xml:space="preserve">    - xform/》a2/á/</v>
      </c>
      <c r="AK4" s="134" t="str">
        <f t="shared" ref="AK4:AP10" si="2" xml:space="preserve"> _xlfn.CONCAT("    - xform/》", $W4, Z$2, "/", Z4, "/")</f>
        <v xml:space="preserve">    - xform/》a3/à/</v>
      </c>
      <c r="AL4" s="134" t="str">
        <f t="shared" si="2"/>
        <v xml:space="preserve">    - xform/》a4/a/</v>
      </c>
      <c r="AM4" s="134" t="str">
        <f t="shared" si="2"/>
        <v xml:space="preserve">    - xform/》a5/ǎ/</v>
      </c>
      <c r="AN4" s="134" t="str">
        <f t="shared" si="2"/>
        <v xml:space="preserve">    - xform/》a6/á/</v>
      </c>
      <c r="AO4" s="134" t="str">
        <f t="shared" si="2"/>
        <v xml:space="preserve">    - xform/》a7/ā/</v>
      </c>
      <c r="AP4" s="134" t="str">
        <f xml:space="preserve"> _xlfn.CONCAT("    - xform/》", $W4, AE$2, "/", AE4, "/")</f>
        <v xml:space="preserve">    - xform/》a8/a̍/</v>
      </c>
      <c r="AQ4" s="134" t="str">
        <f t="shared" ref="AQ4:AQ10" si="3" xml:space="preserve"> _xlfn.CONCAT("    - xform/》", $W4, AF$2, "/", AF4, "/")</f>
        <v xml:space="preserve">    - xform/》a9/a̋/</v>
      </c>
      <c r="AR4" s="134" t="str">
        <f t="shared" ref="AR4:AR10" si="4" xml:space="preserve"> _xlfn.CONCAT("    - xform/》", $W4, AG$2, "/", AG4, "/")</f>
        <v xml:space="preserve">    - xform/》a9/å/</v>
      </c>
      <c r="AS4" s="132"/>
      <c r="AT4" s="132"/>
      <c r="AU4" s="129"/>
    </row>
    <row r="5" spans="1:47" ht="27.75" thickBot="1">
      <c r="A5" s="57">
        <f t="shared" ref="A5:A68" si="5" xml:space="preserve"> ROW() - 3</f>
        <v>2</v>
      </c>
      <c r="B5" s="74" t="str" cm="1">
        <f t="array" ref="B5" xml:space="preserve"> IFERROR( INDEX(韻母對照表[國際音標], MATCH(TRUE, EXACT('【韻】韻母清單（台語音標）'!$C5, 韻母對照表[台羅拼音]), 0)), "")</f>
        <v>uãiʔ</v>
      </c>
      <c r="C5" s="57" t="s">
        <v>455</v>
      </c>
      <c r="D5" s="57" t="s">
        <v>455</v>
      </c>
      <c r="E5" s="57" t="str" cm="1">
        <f t="array" ref="E5" xml:space="preserve"> IFERROR( INDEX(韻母對照表[注音二式], MATCH(TRUE, EXACT('【韻】韻母清單（台語音標）'!$C5, 韻母對照表[台羅拼音]), 0)), "")</f>
        <v>uainnh</v>
      </c>
      <c r="F5" s="57" t="s">
        <v>778</v>
      </c>
      <c r="G5" s="61" t="str" cm="1">
        <f t="array" ref="G5" xml:space="preserve"> IFERROR( INDEX(韻母對照表[白話字], MATCH(TRUE, EXACT('【韻】韻母清單（台語音標）'!$C5, 韻母對照表[台羅拼音]), 0)), "")</f>
        <v>oaihⁿ</v>
      </c>
      <c r="H5" s="54" t="str" cm="1">
        <f t="array" ref="H5" xml:space="preserve"> IFERROR( INDEX(韻母對照表[十五音識別碼], MATCH(TRUE, EXACT('【韻】韻母清單（台語音標）'!$C5, 韻母對照表[台羅拼音]), 0)), "")</f>
        <v>閂促</v>
      </c>
      <c r="I5" s="57" t="str" cm="1">
        <f t="array" ref="I5" xml:space="preserve"> IFERROR( INDEX(韻母對照表[方音符號], MATCH(TRUE, EXACT('【韻】韻母清單（台語音標）'!$C5, 韻母對照表[台羅拼音]), 0)), "")</f>
        <v>ㄨㆮㆷ</v>
      </c>
      <c r="J5" s="57"/>
      <c r="K5" s="54">
        <f t="shared" si="0"/>
        <v>6</v>
      </c>
      <c r="L5" s="73"/>
      <c r="M5" s="57" t="str">
        <f t="shared" ref="M5:M68" si="6">C5</f>
        <v>uainnh</v>
      </c>
      <c r="N5" s="57" t="str">
        <f t="shared" ref="N5:N68" si="7">D5</f>
        <v>uainnh</v>
      </c>
      <c r="P5" s="121" t="str">
        <f t="shared" ref="P5:P68" si="8" xml:space="preserve"> _xlfn.CONCAT(M5, "(\d)")</f>
        <v>uainnh(\d)</v>
      </c>
      <c r="Q5" s="126" t="s">
        <v>1225</v>
      </c>
      <c r="R5" s="124">
        <f t="shared" ref="R5:R68" si="9" xml:space="preserve"> IFERROR( IF(Q5="", "", SEARCH(Q5, $M5)), "")</f>
        <v>2</v>
      </c>
      <c r="S5" s="121" t="str">
        <f xml:space="preserve"> IFERROR( _xlfn.CONCAT(LEFT(M5,R5-1), "》", MID(M5,R5,1), "${1}", RIGHT(M5, LEN(M5)-R5)), "" )</f>
        <v>u》a${1}innh</v>
      </c>
      <c r="T5" s="55"/>
      <c r="U5" s="56" t="str">
        <f t="shared" ref="U5:U68" si="10" xml:space="preserve"> IF(AND(N5&lt;&gt;"", M5&lt;&gt;""), "    - xform/》" &amp; P5 &amp;  "/"  &amp; S5 &amp;  "/", "")</f>
        <v xml:space="preserve">    - xform/》uainnh(\d)/u》a${1}innh/</v>
      </c>
      <c r="W5" s="129" t="s">
        <v>1226</v>
      </c>
      <c r="X5" s="132" t="str">
        <f t="shared" ref="X5:AG10" si="11" xml:space="preserve"> _xlfn.CONCAT($W5, IF(X$3="", "", _xlfn.UNICHAR( HEX2DEC( RIGHT(X$3,4)))))</f>
        <v>i</v>
      </c>
      <c r="Y5" s="132" t="str">
        <f t="shared" si="11"/>
        <v>í</v>
      </c>
      <c r="Z5" s="132" t="str">
        <f t="shared" si="11"/>
        <v>ì</v>
      </c>
      <c r="AA5" s="132" t="str">
        <f t="shared" si="11"/>
        <v>i</v>
      </c>
      <c r="AB5" s="132" t="str">
        <f t="shared" si="11"/>
        <v>ǐ</v>
      </c>
      <c r="AC5" s="132" t="str">
        <f t="shared" si="11"/>
        <v>í</v>
      </c>
      <c r="AD5" s="132" t="str">
        <f t="shared" si="11"/>
        <v>ī</v>
      </c>
      <c r="AE5" s="132" t="str">
        <f t="shared" si="11"/>
        <v>i̍</v>
      </c>
      <c r="AF5" s="132" t="str">
        <f t="shared" si="11"/>
        <v>i̋</v>
      </c>
      <c r="AG5" s="132" t="str">
        <f t="shared" si="11"/>
        <v>i̊</v>
      </c>
      <c r="AI5" s="134" t="str">
        <f t="shared" ref="AI5:AJ10" si="12" xml:space="preserve"> _xlfn.CONCAT("    - xform/》", $W5, X$2, "/", X5, "/")</f>
        <v xml:space="preserve">    - xform/》i1/i/</v>
      </c>
      <c r="AJ5" s="134" t="str">
        <f t="shared" si="12"/>
        <v xml:space="preserve">    - xform/》i2/í/</v>
      </c>
      <c r="AK5" s="134" t="str">
        <f t="shared" si="2"/>
        <v xml:space="preserve">    - xform/》i3/ì/</v>
      </c>
      <c r="AL5" s="134" t="str">
        <f t="shared" si="2"/>
        <v xml:space="preserve">    - xform/》i4/i/</v>
      </c>
      <c r="AM5" s="134" t="str">
        <f t="shared" si="2"/>
        <v xml:space="preserve">    - xform/》i5/ǐ/</v>
      </c>
      <c r="AN5" s="134" t="str">
        <f t="shared" si="2"/>
        <v xml:space="preserve">    - xform/》i6/í/</v>
      </c>
      <c r="AO5" s="134" t="str">
        <f t="shared" si="2"/>
        <v xml:space="preserve">    - xform/》i7/ī/</v>
      </c>
      <c r="AP5" s="134" t="str">
        <f t="shared" si="2"/>
        <v xml:space="preserve">    - xform/》i8/i̍/</v>
      </c>
      <c r="AQ5" s="134" t="str">
        <f t="shared" si="3"/>
        <v xml:space="preserve">    - xform/》i9/i̋/</v>
      </c>
      <c r="AR5" s="134" t="str">
        <f t="shared" si="4"/>
        <v xml:space="preserve">    - xform/》i9/i̊/</v>
      </c>
      <c r="AS5" s="132"/>
      <c r="AT5" s="132"/>
      <c r="AU5" s="129"/>
    </row>
    <row r="6" spans="1:47" ht="27.75" thickBot="1">
      <c r="A6" s="57">
        <f t="shared" si="5"/>
        <v>3</v>
      </c>
      <c r="B6" s="74" t="str">
        <f xml:space="preserve"> _xlfn.CONCAT("ã", "u", _xlfn.UNICHAR(771), "ʔ")</f>
        <v>ãũʔ</v>
      </c>
      <c r="C6" s="57" t="s">
        <v>786</v>
      </c>
      <c r="D6" s="57" t="s">
        <v>786</v>
      </c>
      <c r="E6" s="57" t="str" cm="1">
        <f t="array" ref="E6" xml:space="preserve"> IFERROR( INDEX(韻母對照表[注音二式], MATCH(TRUE, EXACT('【韻】韻母清單（台語音標）'!$C6, 韻母對照表[台羅拼音]), 0)), "")</f>
        <v/>
      </c>
      <c r="F6" s="57" t="s">
        <v>787</v>
      </c>
      <c r="G6" s="61" t="str" cm="1">
        <f t="array" ref="G6" xml:space="preserve"> IFERROR( INDEX(韻母對照表[白話字], MATCH(TRUE, EXACT('【韻】韻母清單（台語音標）'!$C10, 韻母對照表[台羅拼音]), 0)), "")</f>
        <v>iang</v>
      </c>
      <c r="H6" s="54" t="str" cm="1">
        <f t="array" ref="H6" xml:space="preserve"> IFERROR( INDEX(韻母對照表[十五音識別碼], MATCH(TRUE, EXACT('【韻】韻母清單（台語音標）'!$C10, 韻母對照表[台羅拼音]), 0)), "")</f>
        <v>姜舒</v>
      </c>
      <c r="I6" s="136" t="s">
        <v>1317</v>
      </c>
      <c r="J6" s="57"/>
      <c r="K6" s="54">
        <f t="shared" si="0"/>
        <v>5</v>
      </c>
      <c r="L6" s="73"/>
      <c r="M6" s="57" t="str">
        <f t="shared" si="6"/>
        <v>aunnh</v>
      </c>
      <c r="N6" s="57" t="str">
        <f t="shared" si="7"/>
        <v>aunnh</v>
      </c>
      <c r="P6" s="121" t="str">
        <f t="shared" si="8"/>
        <v>aunnh(\d)</v>
      </c>
      <c r="Q6" s="124" t="s">
        <v>1225</v>
      </c>
      <c r="R6" s="124">
        <f t="shared" si="9"/>
        <v>1</v>
      </c>
      <c r="S6" s="121" t="str">
        <f t="shared" ref="S6:S69" si="13" xml:space="preserve"> IFERROR( _xlfn.CONCAT(LEFT(M6,R6-1), "》", MID(M6,R6,1), "${1}", RIGHT(M6, LEN(M6)-R6)), "" )</f>
        <v>》a${1}unnh</v>
      </c>
      <c r="T6" s="55"/>
      <c r="U6" s="56" t="str">
        <f t="shared" si="10"/>
        <v xml:space="preserve">    - xform/》aunnh(\d)/》a${1}unnh/</v>
      </c>
      <c r="W6" s="129" t="s">
        <v>1224</v>
      </c>
      <c r="X6" s="132" t="str">
        <f t="shared" si="11"/>
        <v>u</v>
      </c>
      <c r="Y6" s="132" t="str">
        <f t="shared" si="11"/>
        <v>ú</v>
      </c>
      <c r="Z6" s="132" t="str">
        <f t="shared" si="11"/>
        <v>ù</v>
      </c>
      <c r="AA6" s="132" t="str">
        <f t="shared" si="11"/>
        <v>u</v>
      </c>
      <c r="AB6" s="132" t="str">
        <f t="shared" si="11"/>
        <v>ǔ</v>
      </c>
      <c r="AC6" s="132" t="str">
        <f t="shared" si="11"/>
        <v>ú</v>
      </c>
      <c r="AD6" s="132" t="str">
        <f t="shared" si="11"/>
        <v>ū</v>
      </c>
      <c r="AE6" s="132" t="str">
        <f t="shared" si="11"/>
        <v>u̍</v>
      </c>
      <c r="AF6" s="132" t="str">
        <f t="shared" si="11"/>
        <v>ű</v>
      </c>
      <c r="AG6" s="132" t="str">
        <f t="shared" si="11"/>
        <v>ů</v>
      </c>
      <c r="AI6" s="134" t="str">
        <f t="shared" si="12"/>
        <v xml:space="preserve">    - xform/》u1/u/</v>
      </c>
      <c r="AJ6" s="134" t="str">
        <f t="shared" si="12"/>
        <v xml:space="preserve">    - xform/》u2/ú/</v>
      </c>
      <c r="AK6" s="134" t="str">
        <f t="shared" si="2"/>
        <v xml:space="preserve">    - xform/》u3/ù/</v>
      </c>
      <c r="AL6" s="134" t="str">
        <f t="shared" si="2"/>
        <v xml:space="preserve">    - xform/》u4/u/</v>
      </c>
      <c r="AM6" s="134" t="str">
        <f t="shared" si="2"/>
        <v xml:space="preserve">    - xform/》u5/ǔ/</v>
      </c>
      <c r="AN6" s="134" t="str">
        <f t="shared" si="2"/>
        <v xml:space="preserve">    - xform/》u6/ú/</v>
      </c>
      <c r="AO6" s="134" t="str">
        <f t="shared" si="2"/>
        <v xml:space="preserve">    - xform/》u7/ū/</v>
      </c>
      <c r="AP6" s="134" t="str">
        <f t="shared" si="2"/>
        <v xml:space="preserve">    - xform/》u8/u̍/</v>
      </c>
      <c r="AQ6" s="134" t="str">
        <f t="shared" si="3"/>
        <v xml:space="preserve">    - xform/》u9/ű/</v>
      </c>
      <c r="AR6" s="134" t="str">
        <f t="shared" si="4"/>
        <v xml:space="preserve">    - xform/》u9/ů/</v>
      </c>
      <c r="AS6" s="132"/>
      <c r="AT6" s="132"/>
      <c r="AU6" s="129"/>
    </row>
    <row r="7" spans="1:47" ht="27.75" thickBot="1">
      <c r="A7" s="57">
        <f t="shared" si="5"/>
        <v>4</v>
      </c>
      <c r="B7" s="74" t="str">
        <f xml:space="preserve"> _xlfn.CONCAT("i", _xlfn.UNICHAR(771), "ãʔ")</f>
        <v>ĩãʔ</v>
      </c>
      <c r="C7" s="57" t="s">
        <v>392</v>
      </c>
      <c r="D7" s="57" t="s">
        <v>392</v>
      </c>
      <c r="E7" s="57" t="str" cm="1">
        <f t="array" ref="E7" xml:space="preserve"> IFERROR( INDEX(韻母對照表[注音二式], MATCH(TRUE, EXACT('【韻】韻母清單（台語音標）'!$C7, 韻母對照表[台羅拼音]), 0)), "")</f>
        <v/>
      </c>
      <c r="F7" s="57" t="s">
        <v>789</v>
      </c>
      <c r="G7" s="72" t="str" cm="1">
        <f t="array" ref="G7" xml:space="preserve"> IFERROR( INDEX(韻母對照表[白話字], MATCH(TRUE, EXACT('【韻】韻母清單（台語音標）'!$C11, 韻母對照表[台羅拼音]), 0)), "")</f>
        <v>iauh</v>
      </c>
      <c r="H7" s="54" t="str" cm="1">
        <f t="array" ref="H7" xml:space="preserve"> IFERROR( INDEX(韻母對照表[十五音識別碼], MATCH(TRUE, EXACT('【韻】韻母清單（台語音標）'!$C11, 韻母對照表[台羅拼音]), 0)), "")</f>
        <v>嬌促</v>
      </c>
      <c r="I7" s="136" t="s">
        <v>1319</v>
      </c>
      <c r="J7" s="57"/>
      <c r="K7" s="54">
        <f t="shared" si="0"/>
        <v>5</v>
      </c>
      <c r="L7" s="73"/>
      <c r="M7" s="57" t="str">
        <f t="shared" si="6"/>
        <v>iannh</v>
      </c>
      <c r="N7" s="57" t="str">
        <f t="shared" si="7"/>
        <v>iannh</v>
      </c>
      <c r="P7" s="121" t="str">
        <f t="shared" si="8"/>
        <v>iannh(\d)</v>
      </c>
      <c r="Q7" s="124" t="s">
        <v>1225</v>
      </c>
      <c r="R7" s="124">
        <f t="shared" si="9"/>
        <v>2</v>
      </c>
      <c r="S7" s="121" t="str">
        <f t="shared" si="13"/>
        <v>i》a${1}nnh</v>
      </c>
      <c r="T7" s="55"/>
      <c r="U7" s="56" t="str">
        <f t="shared" si="10"/>
        <v xml:space="preserve">    - xform/》iannh(\d)/i》a${1}nnh/</v>
      </c>
      <c r="W7" s="129" t="s">
        <v>1178</v>
      </c>
      <c r="X7" s="132" t="str">
        <f t="shared" si="11"/>
        <v>e</v>
      </c>
      <c r="Y7" s="132" t="str">
        <f t="shared" si="11"/>
        <v>é</v>
      </c>
      <c r="Z7" s="132" t="str">
        <f t="shared" si="11"/>
        <v>è</v>
      </c>
      <c r="AA7" s="132" t="str">
        <f t="shared" si="11"/>
        <v>e</v>
      </c>
      <c r="AB7" s="132" t="str">
        <f t="shared" si="11"/>
        <v>ě</v>
      </c>
      <c r="AC7" s="132" t="str">
        <f t="shared" si="11"/>
        <v>é</v>
      </c>
      <c r="AD7" s="132" t="str">
        <f t="shared" si="11"/>
        <v>ē</v>
      </c>
      <c r="AE7" s="132" t="str">
        <f t="shared" si="11"/>
        <v>e̍</v>
      </c>
      <c r="AF7" s="132" t="str">
        <f t="shared" si="11"/>
        <v>e̋</v>
      </c>
      <c r="AG7" s="132" t="str">
        <f t="shared" si="11"/>
        <v>e̊</v>
      </c>
      <c r="AI7" s="134" t="str">
        <f t="shared" si="12"/>
        <v xml:space="preserve">    - xform/》e1/e/</v>
      </c>
      <c r="AJ7" s="134" t="str">
        <f t="shared" si="12"/>
        <v xml:space="preserve">    - xform/》e2/é/</v>
      </c>
      <c r="AK7" s="134" t="str">
        <f t="shared" si="2"/>
        <v xml:space="preserve">    - xform/》e3/è/</v>
      </c>
      <c r="AL7" s="134" t="str">
        <f t="shared" si="2"/>
        <v xml:space="preserve">    - xform/》e4/e/</v>
      </c>
      <c r="AM7" s="134" t="str">
        <f t="shared" si="2"/>
        <v xml:space="preserve">    - xform/》e5/ě/</v>
      </c>
      <c r="AN7" s="134" t="str">
        <f t="shared" si="2"/>
        <v xml:space="preserve">    - xform/》e6/é/</v>
      </c>
      <c r="AO7" s="134" t="str">
        <f t="shared" si="2"/>
        <v xml:space="preserve">    - xform/》e7/ē/</v>
      </c>
      <c r="AP7" s="134" t="str">
        <f t="shared" si="2"/>
        <v xml:space="preserve">    - xform/》e8/e̍/</v>
      </c>
      <c r="AQ7" s="134" t="str">
        <f t="shared" si="3"/>
        <v xml:space="preserve">    - xform/》e9/e̋/</v>
      </c>
      <c r="AR7" s="134" t="str">
        <f t="shared" si="4"/>
        <v xml:space="preserve">    - xform/》e9/e̊/</v>
      </c>
      <c r="AS7" s="132"/>
      <c r="AT7" s="132"/>
      <c r="AU7" s="129"/>
    </row>
    <row r="8" spans="1:47" ht="27.75" thickBot="1">
      <c r="A8" s="57">
        <f t="shared" si="5"/>
        <v>5</v>
      </c>
      <c r="B8" s="57" t="s">
        <v>141</v>
      </c>
      <c r="C8" s="57" t="s">
        <v>467</v>
      </c>
      <c r="D8" s="57" t="s">
        <v>467</v>
      </c>
      <c r="E8" s="57" t="str" cm="1">
        <f t="array" ref="E8" xml:space="preserve"> IFERROR( INDEX(韻母對照表[注音二式], MATCH(TRUE, EXACT('【韻】韻母清單（台語音標）'!$C8, 韻母對照表[台羅拼音]), 0)), "")</f>
        <v>iaunn</v>
      </c>
      <c r="F8" s="57" t="s">
        <v>790</v>
      </c>
      <c r="G8" s="59" t="str" cm="1">
        <f t="array" ref="G8" xml:space="preserve"> IFERROR( INDEX(韻母對照表[白話字], MATCH(TRUE, EXACT('【韻】韻母清單（台語音標）'!$C12, 韻母對照表[台羅拼音]), 0)), "")</f>
        <v>iong</v>
      </c>
      <c r="H8" s="54" t="str" cm="1">
        <f t="array" ref="H8" xml:space="preserve"> IFERROR( INDEX(韻母對照表[十五音識別碼], MATCH(TRUE, EXACT('【韻】韻母清單（台語音標）'!$C12, 韻母對照表[台羅拼音]), 0)), "")</f>
        <v>恭舒</v>
      </c>
      <c r="I8" s="57" t="str" cm="1">
        <f t="array" ref="I8" xml:space="preserve"> IFERROR( INDEX(韻母對照表[方音符號], MATCH(TRUE, EXACT('【韻】韻母清單（台語音標）'!$C8, 韻母對照表[台羅拼音]), 0)), "")</f>
        <v>ㄧㆯ</v>
      </c>
      <c r="J8" s="57"/>
      <c r="K8" s="54">
        <f t="shared" si="0"/>
        <v>5</v>
      </c>
      <c r="L8" s="73"/>
      <c r="M8" s="57" t="str">
        <f t="shared" si="6"/>
        <v>iaunn</v>
      </c>
      <c r="N8" s="57" t="str">
        <f t="shared" si="7"/>
        <v>iaunn</v>
      </c>
      <c r="P8" s="121" t="str">
        <f t="shared" si="8"/>
        <v>iaunn(\d)</v>
      </c>
      <c r="Q8" s="124" t="s">
        <v>1225</v>
      </c>
      <c r="R8" s="124">
        <f t="shared" si="9"/>
        <v>2</v>
      </c>
      <c r="S8" s="121" t="str">
        <f t="shared" si="13"/>
        <v>i》a${1}unn</v>
      </c>
      <c r="T8" s="55"/>
      <c r="U8" s="56" t="str">
        <f t="shared" si="10"/>
        <v xml:space="preserve">    - xform/》iaunn(\d)/i》a${1}unn/</v>
      </c>
      <c r="W8" s="129" t="s">
        <v>1213</v>
      </c>
      <c r="X8" s="132" t="str">
        <f t="shared" si="11"/>
        <v>o</v>
      </c>
      <c r="Y8" s="132" t="str">
        <f t="shared" si="11"/>
        <v>ó</v>
      </c>
      <c r="Z8" s="132" t="str">
        <f t="shared" si="11"/>
        <v>ò</v>
      </c>
      <c r="AA8" s="132" t="str">
        <f t="shared" si="11"/>
        <v>o</v>
      </c>
      <c r="AB8" s="132" t="str">
        <f t="shared" si="11"/>
        <v>ǒ</v>
      </c>
      <c r="AC8" s="132" t="str">
        <f t="shared" si="11"/>
        <v>ó</v>
      </c>
      <c r="AD8" s="132" t="str">
        <f t="shared" si="11"/>
        <v>ō</v>
      </c>
      <c r="AE8" s="132" t="str">
        <f t="shared" si="11"/>
        <v>o̍</v>
      </c>
      <c r="AF8" s="132" t="str">
        <f t="shared" si="11"/>
        <v>ő</v>
      </c>
      <c r="AG8" s="132" t="str">
        <f t="shared" si="11"/>
        <v>o̊</v>
      </c>
      <c r="AI8" s="134" t="str">
        <f t="shared" si="12"/>
        <v xml:space="preserve">    - xform/》o1/o/</v>
      </c>
      <c r="AJ8" s="134" t="str">
        <f t="shared" si="12"/>
        <v xml:space="preserve">    - xform/》o2/ó/</v>
      </c>
      <c r="AK8" s="134" t="str">
        <f t="shared" si="2"/>
        <v xml:space="preserve">    - xform/》o3/ò/</v>
      </c>
      <c r="AL8" s="134" t="str">
        <f t="shared" si="2"/>
        <v xml:space="preserve">    - xform/》o4/o/</v>
      </c>
      <c r="AM8" s="134" t="str">
        <f t="shared" si="2"/>
        <v xml:space="preserve">    - xform/》o5/ǒ/</v>
      </c>
      <c r="AN8" s="134" t="str">
        <f t="shared" si="2"/>
        <v xml:space="preserve">    - xform/》o6/ó/</v>
      </c>
      <c r="AO8" s="134" t="str">
        <f t="shared" si="2"/>
        <v xml:space="preserve">    - xform/》o7/ō/</v>
      </c>
      <c r="AP8" s="134" t="str">
        <f t="shared" si="2"/>
        <v xml:space="preserve">    - xform/》o8/o̍/</v>
      </c>
      <c r="AQ8" s="134" t="str">
        <f t="shared" si="3"/>
        <v xml:space="preserve">    - xform/》o9/ő/</v>
      </c>
      <c r="AR8" s="134" t="str">
        <f t="shared" si="4"/>
        <v xml:space="preserve">    - xform/》o9/o̊/</v>
      </c>
      <c r="AS8" s="132"/>
      <c r="AT8" s="132"/>
      <c r="AU8" s="129"/>
    </row>
    <row r="9" spans="1:47" ht="27.75" thickBot="1">
      <c r="A9" s="57">
        <f t="shared" si="5"/>
        <v>6</v>
      </c>
      <c r="B9" s="57" t="str" cm="1">
        <f t="array" ref="B9" xml:space="preserve"> IFERROR( INDEX(韻母對照表[國際音標], MATCH(TRUE, EXACT('【韻】韻母清單（台語音標）'!$C43, 韻母對照表[台羅拼音]), 0)), "")</f>
        <v>ɔŋ</v>
      </c>
      <c r="C9" s="57" t="s">
        <v>449</v>
      </c>
      <c r="D9" s="57" t="s">
        <v>449</v>
      </c>
      <c r="E9" s="57" t="str" cm="1">
        <f t="array" ref="E9" xml:space="preserve"> IFERROR( INDEX(韻母對照表[注音二式], MATCH(TRUE, EXACT('【韻】韻母清單（台語音標）'!$C9, 韻母對照表[台羅拼音]), 0)), "")</f>
        <v>uainn</v>
      </c>
      <c r="F9" s="57" t="s">
        <v>825</v>
      </c>
      <c r="G9" s="59" t="str" cm="1">
        <f t="array" ref="G9" xml:space="preserve"> IFERROR( INDEX(韻母對照表[白話字], MATCH(TRUE, EXACT('【韻】韻母清單（台語音標）'!$C43, 韻母對照表[台羅拼音]), 0)), "")</f>
        <v>ong</v>
      </c>
      <c r="H9" s="54" t="str" cm="1">
        <f t="array" ref="H9" xml:space="preserve"> IFERROR( INDEX(韻母對照表[十五音識別碼], MATCH(TRUE, EXACT('【韻】韻母清單（台語音標）'!$C43, 韻母對照表[台羅拼音]), 0)), "")</f>
        <v>公舒</v>
      </c>
      <c r="I9" s="57" t="str" cm="1">
        <f t="array" ref="I9" xml:space="preserve"> IFERROR( INDEX(韻母對照表[方音符號], MATCH(TRUE, EXACT('【韻】韻母清單（台語音標）'!$C9, 韻母對照表[台羅拼音]), 0)), "")</f>
        <v>ㄨㆮ</v>
      </c>
      <c r="J9" s="57"/>
      <c r="K9" s="54">
        <f t="shared" si="0"/>
        <v>5</v>
      </c>
      <c r="L9" s="73"/>
      <c r="M9" s="57" t="str">
        <f t="shared" si="6"/>
        <v>uainn</v>
      </c>
      <c r="N9" s="57" t="str">
        <f t="shared" si="7"/>
        <v>uainn</v>
      </c>
      <c r="P9" s="121" t="str">
        <f t="shared" si="8"/>
        <v>uainn(\d)</v>
      </c>
      <c r="Q9" s="124" t="s">
        <v>1225</v>
      </c>
      <c r="R9" s="124">
        <f t="shared" si="9"/>
        <v>2</v>
      </c>
      <c r="S9" s="121" t="str">
        <f t="shared" si="13"/>
        <v>u》a${1}inn</v>
      </c>
      <c r="T9" s="55"/>
      <c r="U9" s="56" t="str">
        <f t="shared" si="10"/>
        <v xml:space="preserve">    - xform/》uainn(\d)/u》a${1}inn/</v>
      </c>
      <c r="W9" s="129" t="s">
        <v>1303</v>
      </c>
      <c r="X9" s="132" t="str">
        <f t="shared" si="11"/>
        <v>m</v>
      </c>
      <c r="Y9" s="132" t="str">
        <f t="shared" si="11"/>
        <v>ḿ</v>
      </c>
      <c r="Z9" s="132" t="str">
        <f t="shared" si="11"/>
        <v>m̀</v>
      </c>
      <c r="AA9" s="132" t="str">
        <f t="shared" si="11"/>
        <v>m</v>
      </c>
      <c r="AB9" s="132" t="str">
        <f t="shared" si="11"/>
        <v>m̌</v>
      </c>
      <c r="AC9" s="132" t="str">
        <f t="shared" si="11"/>
        <v>ḿ</v>
      </c>
      <c r="AD9" s="132" t="str">
        <f t="shared" si="11"/>
        <v>m̄</v>
      </c>
      <c r="AE9" s="132" t="str">
        <f t="shared" si="11"/>
        <v>m̍</v>
      </c>
      <c r="AF9" s="132" t="str">
        <f t="shared" si="11"/>
        <v>m̋</v>
      </c>
      <c r="AG9" s="132" t="str">
        <f t="shared" si="11"/>
        <v>m̊</v>
      </c>
      <c r="AI9" s="134" t="str">
        <f t="shared" si="12"/>
        <v xml:space="preserve">    - xform/》m1/m/</v>
      </c>
      <c r="AJ9" s="134" t="str">
        <f t="shared" si="12"/>
        <v xml:space="preserve">    - xform/》m2/ḿ/</v>
      </c>
      <c r="AK9" s="134" t="str">
        <f t="shared" si="2"/>
        <v xml:space="preserve">    - xform/》m3/m̀/</v>
      </c>
      <c r="AL9" s="134" t="str">
        <f t="shared" si="2"/>
        <v xml:space="preserve">    - xform/》m4/m/</v>
      </c>
      <c r="AM9" s="134" t="str">
        <f t="shared" si="2"/>
        <v xml:space="preserve">    - xform/》m5/m̌/</v>
      </c>
      <c r="AN9" s="134" t="str">
        <f t="shared" si="2"/>
        <v xml:space="preserve">    - xform/》m6/ḿ/</v>
      </c>
      <c r="AO9" s="134" t="str">
        <f t="shared" si="2"/>
        <v xml:space="preserve">    - xform/》m7/m̄/</v>
      </c>
      <c r="AP9" s="134" t="str">
        <f t="shared" si="2"/>
        <v xml:space="preserve">    - xform/》m8/m̍/</v>
      </c>
      <c r="AQ9" s="134" t="str">
        <f t="shared" si="3"/>
        <v xml:space="preserve">    - xform/》m9/m̋/</v>
      </c>
      <c r="AR9" s="134" t="str">
        <f t="shared" si="4"/>
        <v xml:space="preserve">    - xform/》m9/m̊/</v>
      </c>
      <c r="AS9" s="132"/>
      <c r="AT9" s="132"/>
      <c r="AU9" s="129"/>
    </row>
    <row r="10" spans="1:47" ht="27.75" thickBot="1">
      <c r="A10" s="57">
        <f t="shared" si="5"/>
        <v>7</v>
      </c>
      <c r="B10" s="57" t="s">
        <v>779</v>
      </c>
      <c r="C10" s="57" t="s">
        <v>203</v>
      </c>
      <c r="D10" s="57" t="s">
        <v>203</v>
      </c>
      <c r="E10" s="57" t="str" cm="1">
        <f t="array" ref="E10" xml:space="preserve"> IFERROR( INDEX(韻母對照表[注音二式], MATCH(TRUE, EXACT('【韻】韻母清單（台語音標）'!$C10, 韻母對照表[台羅拼音]), 0)), "")</f>
        <v>iang</v>
      </c>
      <c r="F10" s="57" t="s">
        <v>780</v>
      </c>
      <c r="G10" s="60" t="str" cm="1">
        <f t="array" ref="G10" xml:space="preserve"> IFERROR( INDEX(韻母對照表[白話字], MATCH(TRUE, EXACT('【韻】韻母清單（台語音標）'!$C6, 韻母對照表[台羅拼音]), 0)), "")</f>
        <v/>
      </c>
      <c r="H10" s="54" t="str" cm="1">
        <f t="array" ref="H10" xml:space="preserve"> IFERROR( INDEX(韻母對照表[十五音識別碼], MATCH(TRUE, EXACT('【韻】韻母清單（台語音標）'!$C6, 韻母對照表[台羅拼音]), 0)), "")</f>
        <v/>
      </c>
      <c r="I10" s="57" t="str" cm="1">
        <f t="array" ref="I10" xml:space="preserve"> IFERROR( INDEX(韻母對照表[方音符號], MATCH(TRUE, EXACT('【韻】韻母清單（台語音標）'!$C10, 韻母對照表[台羅拼音]), 0)), "")</f>
        <v>ㄧㄤ</v>
      </c>
      <c r="J10" s="57"/>
      <c r="K10" s="54">
        <f t="shared" si="0"/>
        <v>4</v>
      </c>
      <c r="L10" s="73"/>
      <c r="M10" s="57" t="str">
        <f t="shared" si="6"/>
        <v>iang</v>
      </c>
      <c r="N10" s="57" t="str">
        <f t="shared" si="7"/>
        <v>iang</v>
      </c>
      <c r="P10" s="121" t="str">
        <f t="shared" si="8"/>
        <v>iang(\d)</v>
      </c>
      <c r="Q10" s="124" t="s">
        <v>1225</v>
      </c>
      <c r="R10" s="124">
        <f t="shared" si="9"/>
        <v>2</v>
      </c>
      <c r="S10" s="121" t="str">
        <f t="shared" si="13"/>
        <v>i》a${1}ng</v>
      </c>
      <c r="T10" s="55"/>
      <c r="U10" s="56" t="str">
        <f t="shared" si="10"/>
        <v xml:space="preserve">    - xform/》iang(\d)/i》a${1}ng/</v>
      </c>
      <c r="W10" s="129" t="s">
        <v>1302</v>
      </c>
      <c r="X10" s="132" t="str">
        <f t="shared" si="11"/>
        <v>n</v>
      </c>
      <c r="Y10" s="132" t="str">
        <f t="shared" si="11"/>
        <v>ń</v>
      </c>
      <c r="Z10" s="132" t="str">
        <f t="shared" si="11"/>
        <v>ǹ</v>
      </c>
      <c r="AA10" s="132" t="str">
        <f t="shared" si="11"/>
        <v>n</v>
      </c>
      <c r="AB10" s="132" t="str">
        <f t="shared" si="11"/>
        <v>ň</v>
      </c>
      <c r="AC10" s="132" t="str">
        <f t="shared" si="11"/>
        <v>ń</v>
      </c>
      <c r="AD10" s="132" t="str">
        <f t="shared" si="11"/>
        <v>n̄</v>
      </c>
      <c r="AE10" s="132" t="str">
        <f t="shared" si="11"/>
        <v>n̍</v>
      </c>
      <c r="AF10" s="132" t="str">
        <f t="shared" si="11"/>
        <v>n̋</v>
      </c>
      <c r="AG10" s="132" t="str">
        <f t="shared" si="11"/>
        <v>n̊</v>
      </c>
      <c r="AI10" s="134" t="str">
        <f t="shared" si="12"/>
        <v xml:space="preserve">    - xform/》n1/n/</v>
      </c>
      <c r="AJ10" s="134" t="str">
        <f t="shared" si="12"/>
        <v xml:space="preserve">    - xform/》n2/ń/</v>
      </c>
      <c r="AK10" s="134" t="str">
        <f t="shared" si="2"/>
        <v xml:space="preserve">    - xform/》n3/ǹ/</v>
      </c>
      <c r="AL10" s="134" t="str">
        <f t="shared" si="2"/>
        <v xml:space="preserve">    - xform/》n4/n/</v>
      </c>
      <c r="AM10" s="134" t="str">
        <f t="shared" si="2"/>
        <v xml:space="preserve">    - xform/》n5/ň/</v>
      </c>
      <c r="AN10" s="134" t="str">
        <f t="shared" si="2"/>
        <v xml:space="preserve">    - xform/》n6/ń/</v>
      </c>
      <c r="AO10" s="134" t="str">
        <f t="shared" si="2"/>
        <v xml:space="preserve">    - xform/》n7/n̄/</v>
      </c>
      <c r="AP10" s="134" t="str">
        <f t="shared" si="2"/>
        <v xml:space="preserve">    - xform/》n8/n̍/</v>
      </c>
      <c r="AQ10" s="134" t="str">
        <f t="shared" si="3"/>
        <v xml:space="preserve">    - xform/》n9/n̋/</v>
      </c>
      <c r="AR10" s="134" t="str">
        <f t="shared" si="4"/>
        <v xml:space="preserve">    - xform/》n9/n̊/</v>
      </c>
      <c r="AS10" s="132"/>
      <c r="AT10" s="132"/>
      <c r="AU10" s="129"/>
    </row>
    <row r="11" spans="1:47" ht="27.75" thickBot="1">
      <c r="A11" s="57">
        <f t="shared" si="5"/>
        <v>8</v>
      </c>
      <c r="B11" s="57" t="s">
        <v>781</v>
      </c>
      <c r="C11" s="57" t="s">
        <v>148</v>
      </c>
      <c r="D11" s="57" t="s">
        <v>148</v>
      </c>
      <c r="E11" s="57" t="str" cm="1">
        <f t="array" ref="E11" xml:space="preserve"> IFERROR( INDEX(韻母對照表[注音二式], MATCH(TRUE, EXACT('【韻】韻母清單（台語音標）'!$C11, 韻母對照表[台羅拼音]), 0)), "")</f>
        <v>iauh</v>
      </c>
      <c r="F11" s="57" t="s">
        <v>149</v>
      </c>
      <c r="G11" s="59" t="str" cm="1">
        <f t="array" ref="G11" xml:space="preserve"> IFERROR( INDEX(韻母對照表[白話字], MATCH(TRUE, EXACT('【韻】韻母清單（台語音標）'!$C7, 韻母對照表[台羅拼音]), 0)), "")</f>
        <v/>
      </c>
      <c r="H11" s="54" t="str" cm="1">
        <f t="array" ref="H11" xml:space="preserve"> IFERROR( INDEX(韻母對照表[十五音識別碼], MATCH(TRUE, EXACT('【韻】韻母清單（台語音標）'!$C7, 韻母對照表[台羅拼音]), 0)), "")</f>
        <v/>
      </c>
      <c r="I11" s="57" t="str" cm="1">
        <f t="array" ref="I11" xml:space="preserve"> IFERROR( INDEX(韻母對照表[方音符號], MATCH(TRUE, EXACT('【韻】韻母清單（台語音標）'!$C11, 韻母對照表[台羅拼音]), 0)), "")</f>
        <v>ㄧㄠㆷ</v>
      </c>
      <c r="J11" s="57"/>
      <c r="K11" s="54">
        <f t="shared" si="0"/>
        <v>4</v>
      </c>
      <c r="L11" s="73"/>
      <c r="M11" s="57" t="str">
        <f t="shared" si="6"/>
        <v>iauh</v>
      </c>
      <c r="N11" s="57" t="str">
        <f t="shared" si="7"/>
        <v>iauh</v>
      </c>
      <c r="P11" s="121" t="str">
        <f t="shared" si="8"/>
        <v>iauh(\d)</v>
      </c>
      <c r="Q11" s="124" t="s">
        <v>1225</v>
      </c>
      <c r="R11" s="124">
        <f t="shared" si="9"/>
        <v>2</v>
      </c>
      <c r="S11" s="121" t="str">
        <f t="shared" si="13"/>
        <v>i》a${1}uh</v>
      </c>
      <c r="T11" s="55"/>
      <c r="U11" s="56" t="str">
        <f t="shared" si="10"/>
        <v xml:space="preserve">    - xform/》iauh(\d)/i》a${1}uh/</v>
      </c>
    </row>
    <row r="12" spans="1:47" ht="27.75" thickBot="1">
      <c r="A12" s="57">
        <f t="shared" si="5"/>
        <v>9</v>
      </c>
      <c r="B12" s="57" t="s">
        <v>159</v>
      </c>
      <c r="C12" s="57" t="s">
        <v>162</v>
      </c>
      <c r="D12" s="57" t="s">
        <v>162</v>
      </c>
      <c r="E12" s="57" t="str" cm="1">
        <f t="array" ref="E12" xml:space="preserve"> IFERROR( INDEX(韻母對照表[注音二式], MATCH(TRUE, EXACT('【韻】韻母清單（台語音標）'!$C12, 韻母對照表[台羅拼音]), 0)), "")</f>
        <v>iong</v>
      </c>
      <c r="F12" s="57" t="s">
        <v>782</v>
      </c>
      <c r="G12" s="60" t="str" cm="1">
        <f t="array" ref="G12" xml:space="preserve"> IFERROR( INDEX(韻母對照表[白話字], MATCH(TRUE, EXACT('【韻】韻母清單（台語音標）'!$C8, 韻母對照表[台羅拼音]), 0)), "")</f>
        <v>iauⁿ</v>
      </c>
      <c r="H12" s="54" t="str" cm="1">
        <f t="array" ref="H12" xml:space="preserve"> IFERROR( INDEX(韻母對照表[十五音識別碼], MATCH(TRUE, EXACT('【韻】韻母清單（台語音標）'!$C8, 韻母對照表[台羅拼音]), 0)), "")</f>
        <v>嘄舒</v>
      </c>
      <c r="I12" s="57" t="str" cm="1">
        <f t="array" ref="I12" xml:space="preserve"> IFERROR( INDEX(韻母對照表[方音符號], MATCH(TRUE, EXACT('【韻】韻母清單（台語音標）'!$C12, 韻母對照表[台羅拼音]), 0)), "")</f>
        <v>ㄧㆲ</v>
      </c>
      <c r="J12" s="57"/>
      <c r="K12" s="54">
        <f t="shared" si="0"/>
        <v>4</v>
      </c>
      <c r="L12" s="73"/>
      <c r="M12" s="57" t="str">
        <f t="shared" si="6"/>
        <v>iong</v>
      </c>
      <c r="N12" s="57" t="str">
        <f t="shared" si="7"/>
        <v>iong</v>
      </c>
      <c r="P12" s="121" t="str">
        <f t="shared" si="8"/>
        <v>iong(\d)</v>
      </c>
      <c r="Q12" s="124" t="s">
        <v>1213</v>
      </c>
      <c r="R12" s="124">
        <f t="shared" si="9"/>
        <v>2</v>
      </c>
      <c r="S12" s="121" t="str">
        <f t="shared" si="13"/>
        <v>i》o${1}ng</v>
      </c>
      <c r="T12" s="55"/>
      <c r="U12" s="56" t="str">
        <f t="shared" si="10"/>
        <v xml:space="preserve">    - xform/》iong(\d)/i》o${1}ng/</v>
      </c>
    </row>
    <row r="13" spans="1:47" ht="27.75" thickBot="1">
      <c r="A13" s="57">
        <f t="shared" si="5"/>
        <v>10</v>
      </c>
      <c r="B13" s="74" t="s">
        <v>783</v>
      </c>
      <c r="C13" s="57" t="s">
        <v>346</v>
      </c>
      <c r="D13" s="57" t="s">
        <v>346</v>
      </c>
      <c r="E13" s="57" t="str" cm="1">
        <f t="array" ref="E13" xml:space="preserve"> IFERROR( INDEX(韻母對照表[注音二式], MATCH(TRUE, EXACT('【韻】韻母清單（台語音標）'!$C13, 韻母對照表[台羅拼音]), 0)), "")</f>
        <v/>
      </c>
      <c r="F13" s="57" t="s">
        <v>784</v>
      </c>
      <c r="G13" s="72" t="str" cm="1">
        <f t="array" ref="G13" xml:space="preserve"> IFERROR( INDEX(韻母對照表[白話字], MATCH(TRUE, EXACT('【韻】韻母清單（台語音標）'!$C9, 韻母對照表[台羅拼音]), 0)), "")</f>
        <v>oaiⁿ</v>
      </c>
      <c r="H13" s="54" t="str" cm="1">
        <f t="array" ref="H13" xml:space="preserve"> IFERROR( INDEX(韻母對照表[十五音識別碼], MATCH(TRUE, EXACT('【韻】韻母清單（台語音標）'!$C9, 韻母對照表[台羅拼音]), 0)), "")</f>
        <v>閂舒</v>
      </c>
      <c r="I13" s="136" t="s">
        <v>924</v>
      </c>
      <c r="J13" s="57"/>
      <c r="K13" s="54">
        <f t="shared" si="0"/>
        <v>4</v>
      </c>
      <c r="L13" s="73"/>
      <c r="M13" s="57" t="str">
        <f t="shared" si="6"/>
        <v>ennh</v>
      </c>
      <c r="N13" s="57" t="str">
        <f t="shared" si="7"/>
        <v>ennh</v>
      </c>
      <c r="P13" s="121" t="str">
        <f t="shared" si="8"/>
        <v>ennh(\d)</v>
      </c>
      <c r="Q13" s="124" t="s">
        <v>1178</v>
      </c>
      <c r="R13" s="124">
        <f t="shared" si="9"/>
        <v>1</v>
      </c>
      <c r="S13" s="121" t="str">
        <f t="shared" si="13"/>
        <v>》e${1}nnh</v>
      </c>
      <c r="T13" s="55"/>
      <c r="U13" s="56" t="str">
        <f t="shared" si="10"/>
        <v xml:space="preserve">    - xform/》ennh(\d)/》e${1}nnh/</v>
      </c>
    </row>
    <row r="14" spans="1:47" ht="27.75" thickBot="1">
      <c r="A14" s="57">
        <f t="shared" si="5"/>
        <v>11</v>
      </c>
      <c r="B14" s="74" t="str">
        <f xml:space="preserve"> _xlfn.CONCAT("ɔ", _xlfn.UNICHAR(771), "ʔ")</f>
        <v>ɔ̃ʔ</v>
      </c>
      <c r="C14" s="57" t="s">
        <v>501</v>
      </c>
      <c r="D14" s="57" t="s">
        <v>501</v>
      </c>
      <c r="E14" s="57" t="str" cm="1">
        <f t="array" ref="E14" xml:space="preserve"> IFERROR( INDEX(韻母對照表[注音二式], MATCH(TRUE, EXACT('【韻】韻母清單（台語音標）'!$C14, 韻母對照表[台羅拼音]), 0)), "")</f>
        <v>onnh</v>
      </c>
      <c r="F14" s="57" t="s">
        <v>502</v>
      </c>
      <c r="G14" s="72" t="str" cm="1">
        <f t="array" ref="G14" xml:space="preserve"> IFERROR( INDEX(韻母對照表[白話字], MATCH(TRUE, EXACT('【韻】韻母清單（台語音標）'!$C13, 韻母對照表[台羅拼音]), 0)), "")</f>
        <v/>
      </c>
      <c r="H14" s="54" t="str" cm="1">
        <f t="array" ref="H14" xml:space="preserve"> IFERROR( INDEX(韻母對照表[十五音識別碼], MATCH(TRUE, EXACT('【韻】韻母清單（台語音標）'!$C13, 韻母對照表[台羅拼音]), 0)), "")</f>
        <v/>
      </c>
      <c r="I14" s="57" t="str" cm="1">
        <f t="array" ref="I14" xml:space="preserve"> IFERROR( INDEX(韻母對照表[方音符號], MATCH(TRUE, EXACT('【韻】韻母清單（台語音標）'!$C14, 韻母對照表[台羅拼音]), 0)), "")</f>
        <v>ㆧㆷ</v>
      </c>
      <c r="J14" s="57"/>
      <c r="K14" s="54">
        <f t="shared" si="0"/>
        <v>4</v>
      </c>
      <c r="L14" s="73"/>
      <c r="M14" s="57" t="str">
        <f t="shared" si="6"/>
        <v>onnh</v>
      </c>
      <c r="N14" s="57" t="str">
        <f t="shared" si="7"/>
        <v>onnh</v>
      </c>
      <c r="P14" s="121" t="str">
        <f t="shared" si="8"/>
        <v>onnh(\d)</v>
      </c>
      <c r="Q14" s="124" t="s">
        <v>1213</v>
      </c>
      <c r="R14" s="124">
        <f t="shared" si="9"/>
        <v>1</v>
      </c>
      <c r="S14" s="121" t="str">
        <f t="shared" si="13"/>
        <v>》o${1}nnh</v>
      </c>
      <c r="T14" s="55"/>
      <c r="U14" s="56" t="str">
        <f t="shared" si="10"/>
        <v xml:space="preserve">    - xform/》onnh(\d)/》o${1}nnh/</v>
      </c>
    </row>
    <row r="15" spans="1:47" ht="27.75" thickBot="1">
      <c r="A15" s="57">
        <f t="shared" si="5"/>
        <v>12</v>
      </c>
      <c r="B15" s="74" t="s">
        <v>810</v>
      </c>
      <c r="C15" s="57" t="s">
        <v>304</v>
      </c>
      <c r="D15" s="57" t="s">
        <v>304</v>
      </c>
      <c r="E15" s="57" t="str" cm="1">
        <f t="array" ref="E15" xml:space="preserve"> IFERROR( INDEX(韻母對照表[注音二式], MATCH(TRUE, EXACT('【韻】韻母清單（台語音標）'!$C15, 韻母對照表[台羅拼音]), 0)), "")</f>
        <v>annh</v>
      </c>
      <c r="F15" s="57" t="s">
        <v>811</v>
      </c>
      <c r="G15" s="72" t="str" cm="1">
        <f t="array" ref="G15" xml:space="preserve"> IFERROR( INDEX(韻母對照表[白話字], MATCH(TRUE, EXACT('【韻】韻母清單（台語音標）'!$C29, 韻母對照表[台羅拼音]), 0)), "")</f>
        <v>iah</v>
      </c>
      <c r="H15" s="54" t="str" cm="1">
        <f t="array" ref="H15" xml:space="preserve"> IFERROR( INDEX(韻母對照表[十五音識別碼], MATCH(TRUE, EXACT('【韻】韻母清單（台語音標）'!$C29, 韻母對照表[台羅拼音]), 0)), "")</f>
        <v>迦促</v>
      </c>
      <c r="I15" s="57" t="str" cm="1">
        <f t="array" ref="I15" xml:space="preserve"> IFERROR( INDEX(韻母對照表[方音符號], MATCH(TRUE, EXACT('【韻】韻母清單（台語音標）'!$C15, 韻母對照表[台羅拼音]), 0)), "")</f>
        <v>ㆩㆷ</v>
      </c>
      <c r="J15" s="57"/>
      <c r="K15" s="54">
        <f t="shared" si="0"/>
        <v>4</v>
      </c>
      <c r="L15" s="73"/>
      <c r="M15" s="57" t="str">
        <f t="shared" si="6"/>
        <v>annh</v>
      </c>
      <c r="N15" s="57" t="str">
        <f t="shared" si="7"/>
        <v>annh</v>
      </c>
      <c r="P15" s="121" t="str">
        <f t="shared" si="8"/>
        <v>annh(\d)</v>
      </c>
      <c r="Q15" s="124" t="s">
        <v>1225</v>
      </c>
      <c r="R15" s="124">
        <f t="shared" si="9"/>
        <v>1</v>
      </c>
      <c r="S15" s="121" t="str">
        <f t="shared" si="13"/>
        <v>》a${1}nnh</v>
      </c>
      <c r="T15" s="55"/>
      <c r="U15" s="56" t="str">
        <f t="shared" si="10"/>
        <v xml:space="preserve">    - xform/》annh(\d)/》a${1}nnh/</v>
      </c>
    </row>
    <row r="16" spans="1:47" ht="27.75" thickBot="1">
      <c r="A16" s="57">
        <f t="shared" si="5"/>
        <v>13</v>
      </c>
      <c r="B16" s="57" t="str">
        <f xml:space="preserve"> _xlfn.CONCAT("a", _xlfn.UNICHAR(771), "i", _xlfn.UNICHAR(771))</f>
        <v>ãĩ</v>
      </c>
      <c r="C16" s="57" t="s">
        <v>417</v>
      </c>
      <c r="D16" s="57" t="s">
        <v>417</v>
      </c>
      <c r="E16" s="57" t="str" cm="1">
        <f t="array" ref="E16" xml:space="preserve"> IFERROR( INDEX(韻母對照表[注音二式], MATCH(TRUE, EXACT('【韻】韻母清單（台語音標）'!$C16, 韻母對照表[台羅拼音]), 0)), "")</f>
        <v>ainn</v>
      </c>
      <c r="F16" s="57" t="s">
        <v>813</v>
      </c>
      <c r="G16" s="60" t="str" cm="1">
        <f t="array" ref="G16" xml:space="preserve"> IFERROR( INDEX(韻母對照表[白話字], MATCH(TRUE, EXACT('【韻】韻母清單（台語音標）'!$C30, 韻母對照表[台羅拼音]), 0)), "")</f>
        <v>iak</v>
      </c>
      <c r="H16" s="54" t="str" cm="1">
        <f t="array" ref="H16" xml:space="preserve"> IFERROR( INDEX(韻母對照表[十五音識別碼], MATCH(TRUE, EXACT('【韻】韻母清單（台語音標）'!$C30, 韻母對照表[台羅拼音]), 0)), "")</f>
        <v>姜促</v>
      </c>
      <c r="I16" s="57" t="str" cm="1">
        <f t="array" ref="I16" xml:space="preserve"> IFERROR( INDEX(韻母對照表[方音符號], MATCH(TRUE, EXACT('【韻】韻母清單（台語音標）'!$C16, 韻母對照表[台羅拼音]), 0)), "")</f>
        <v>ㆮ</v>
      </c>
      <c r="J16" s="57"/>
      <c r="K16" s="54">
        <f t="shared" si="0"/>
        <v>4</v>
      </c>
      <c r="L16" s="73"/>
      <c r="M16" s="57" t="str">
        <f t="shared" si="6"/>
        <v>ainn</v>
      </c>
      <c r="N16" s="57" t="str">
        <f t="shared" si="7"/>
        <v>ainn</v>
      </c>
      <c r="P16" s="121" t="str">
        <f t="shared" si="8"/>
        <v>ainn(\d)</v>
      </c>
      <c r="Q16" s="124" t="s">
        <v>1225</v>
      </c>
      <c r="R16" s="124">
        <f t="shared" si="9"/>
        <v>1</v>
      </c>
      <c r="S16" s="121" t="str">
        <f t="shared" si="13"/>
        <v>》a${1}inn</v>
      </c>
      <c r="T16" s="55"/>
      <c r="U16" s="56" t="str">
        <f t="shared" si="10"/>
        <v xml:space="preserve">    - xform/》ainn(\d)/》a${1}inn/</v>
      </c>
    </row>
    <row r="17" spans="1:21" ht="27.75" thickBot="1">
      <c r="A17" s="57">
        <f t="shared" si="5"/>
        <v>14</v>
      </c>
      <c r="B17" s="57" t="str">
        <f xml:space="preserve"> _xlfn.CONCAT("a", _xlfn.UNICHAR(771), "u", _xlfn.UNICHAR(771))</f>
        <v>ãũ</v>
      </c>
      <c r="C17" s="57" t="s">
        <v>491</v>
      </c>
      <c r="D17" s="57" t="s">
        <v>491</v>
      </c>
      <c r="E17" s="57" t="str" cm="1">
        <f t="array" ref="E17" xml:space="preserve"> IFERROR( INDEX(韻母對照表[注音二式], MATCH(TRUE, EXACT('【韻】韻母清單（台語音標）'!$C17, 韻母對照表[台羅拼音]), 0)), "")</f>
        <v>aunn</v>
      </c>
      <c r="F17" s="57" t="s">
        <v>815</v>
      </c>
      <c r="G17" s="59" t="str" cm="1">
        <f t="array" ref="G17" xml:space="preserve"> IFERROR( INDEX(韻母對照表[白話字], MATCH(TRUE, EXACT('【韻】韻母清單（台語音標）'!$C31, 韻母對照表[台羅拼音]), 0)), "")</f>
        <v>iam</v>
      </c>
      <c r="H17" s="54" t="str" cm="1">
        <f t="array" ref="H17" xml:space="preserve"> IFERROR( INDEX(韻母對照表[十五音識別碼], MATCH(TRUE, EXACT('【韻】韻母清單（台語音標）'!$C31, 韻母對照表[台羅拼音]), 0)), "")</f>
        <v>兼舒</v>
      </c>
      <c r="I17" s="57" t="str" cm="1">
        <f t="array" ref="I17" xml:space="preserve"> IFERROR( INDEX(韻母對照表[方音符號], MATCH(TRUE, EXACT('【韻】韻母清單（台語音標）'!$C17, 韻母對照表[台羅拼音]), 0)), "")</f>
        <v>ㆯ</v>
      </c>
      <c r="J17" s="57"/>
      <c r="K17" s="54">
        <f t="shared" si="0"/>
        <v>4</v>
      </c>
      <c r="L17" s="73"/>
      <c r="M17" s="57" t="str">
        <f t="shared" si="6"/>
        <v>aunn</v>
      </c>
      <c r="N17" s="57" t="str">
        <f t="shared" si="7"/>
        <v>aunn</v>
      </c>
      <c r="P17" s="121" t="str">
        <f t="shared" si="8"/>
        <v>aunn(\d)</v>
      </c>
      <c r="Q17" s="124" t="s">
        <v>1225</v>
      </c>
      <c r="R17" s="124">
        <f t="shared" si="9"/>
        <v>1</v>
      </c>
      <c r="S17" s="121" t="str">
        <f t="shared" si="13"/>
        <v>》a${1}unn</v>
      </c>
      <c r="T17" s="55"/>
      <c r="U17" s="56" t="str">
        <f t="shared" si="10"/>
        <v xml:space="preserve">    - xform/》aunn(\d)/》a${1}unn/</v>
      </c>
    </row>
    <row r="18" spans="1:21" ht="27.75" thickBot="1">
      <c r="A18" s="57">
        <f t="shared" si="5"/>
        <v>15</v>
      </c>
      <c r="B18" s="74" t="str">
        <f xml:space="preserve"> _xlfn.CONCAT("i", _xlfn.UNICHAR(771), "a", _xlfn.UNICHAR(771), )</f>
        <v>ĩã</v>
      </c>
      <c r="C18" s="57" t="s">
        <v>391</v>
      </c>
      <c r="D18" s="57" t="s">
        <v>391</v>
      </c>
      <c r="E18" s="57" t="str" cm="1">
        <f t="array" ref="E18" xml:space="preserve"> IFERROR( INDEX(韻母對照表[注音二式], MATCH(TRUE, EXACT('【韻】韻母清單（台語音標）'!$C18, 韻母對照表[台羅拼音]), 0)), "")</f>
        <v>iann</v>
      </c>
      <c r="F18" s="57" t="s">
        <v>394</v>
      </c>
      <c r="G18" s="60" t="str" cm="1">
        <f t="array" ref="G18" xml:space="preserve"> IFERROR( INDEX(韻母對照表[白話字], MATCH(TRUE, EXACT('【韻】韻母清單（台語音標）'!$C33, 韻母對照表[台羅拼音]), 0)), "")</f>
        <v>iau</v>
      </c>
      <c r="H18" s="54" t="str" cm="1">
        <f t="array" ref="H18" xml:space="preserve"> IFERROR( INDEX(韻母對照表[十五音識別碼], MATCH(TRUE, EXACT('【韻】韻母清單（台語音標）'!$C33, 韻母對照表[台羅拼音]), 0)), "")</f>
        <v>嬌舒</v>
      </c>
      <c r="I18" s="57" t="str" cm="1">
        <f t="array" ref="I18" xml:space="preserve"> IFERROR( INDEX(韻母對照表[方音符號], MATCH(TRUE, EXACT('【韻】韻母清單（台語音標）'!$C18, 韻母對照表[台羅拼音]), 0)), "")</f>
        <v>ㄧㆩ</v>
      </c>
      <c r="J18" s="57"/>
      <c r="K18" s="54">
        <f t="shared" si="0"/>
        <v>4</v>
      </c>
      <c r="L18" s="73"/>
      <c r="M18" s="57" t="str">
        <f t="shared" si="6"/>
        <v>iann</v>
      </c>
      <c r="N18" s="57" t="str">
        <f t="shared" si="7"/>
        <v>iann</v>
      </c>
      <c r="P18" s="121" t="str">
        <f t="shared" si="8"/>
        <v>iann(\d)</v>
      </c>
      <c r="Q18" s="124" t="s">
        <v>1225</v>
      </c>
      <c r="R18" s="124">
        <f t="shared" si="9"/>
        <v>2</v>
      </c>
      <c r="S18" s="121" t="str">
        <f t="shared" si="13"/>
        <v>i》a${1}nn</v>
      </c>
      <c r="T18" s="55"/>
      <c r="U18" s="56" t="str">
        <f t="shared" si="10"/>
        <v xml:space="preserve">    - xform/》iann(\d)/i》a${1}nn/</v>
      </c>
    </row>
    <row r="19" spans="1:21" ht="27.75" thickBot="1">
      <c r="A19" s="57">
        <f t="shared" si="5"/>
        <v>16</v>
      </c>
      <c r="B19" s="74" t="str">
        <f xml:space="preserve"> _xlfn.CONCAT("i", _xlfn.UNICHAR(771), _xlfn.UNICHAR(660))</f>
        <v>ĩʔ</v>
      </c>
      <c r="C19" s="57" t="s">
        <v>376</v>
      </c>
      <c r="D19" s="57" t="s">
        <v>376</v>
      </c>
      <c r="E19" s="57" t="str" cm="1">
        <f t="array" ref="E19" xml:space="preserve"> IFERROR( INDEX(韻母對照表[注音二式], MATCH(TRUE, EXACT('【韻】韻母清單（台語音標）'!$C19, 韻母對照表[台羅拼音]), 0)), "")</f>
        <v>innh</v>
      </c>
      <c r="F19" s="57" t="s">
        <v>377</v>
      </c>
      <c r="G19" s="72" t="str" cm="1">
        <f t="array" ref="G19" xml:space="preserve"> IFERROR( INDEX(韻母對照表[白話字], MATCH(TRUE, EXACT('【韻】韻母清單（台語音標）'!$C34, 韻母對照表[台羅拼音]), 0)), "")</f>
        <v>iap</v>
      </c>
      <c r="H19" s="54" t="str" cm="1">
        <f t="array" ref="H19" xml:space="preserve"> IFERROR( INDEX(韻母對照表[十五音識別碼], MATCH(TRUE, EXACT('【韻】韻母清單（台語音標）'!$C34, 韻母對照表[台羅拼音]), 0)), "")</f>
        <v>兼促</v>
      </c>
      <c r="I19" s="57" t="str" cm="1">
        <f t="array" ref="I19" xml:space="preserve"> IFERROR( INDEX(韻母對照表[方音符號], MATCH(TRUE, EXACT('【韻】韻母清單（台語音標）'!$C19, 韻母對照表[台羅拼音]), 0)), "")</f>
        <v>ㆪㆷ</v>
      </c>
      <c r="J19" s="57"/>
      <c r="K19" s="54">
        <f t="shared" si="0"/>
        <v>4</v>
      </c>
      <c r="L19" s="73"/>
      <c r="M19" s="57" t="str">
        <f t="shared" si="6"/>
        <v>innh</v>
      </c>
      <c r="N19" s="57" t="str">
        <f t="shared" si="7"/>
        <v>innh</v>
      </c>
      <c r="P19" s="121" t="str">
        <f t="shared" si="8"/>
        <v>innh(\d)</v>
      </c>
      <c r="Q19" s="124" t="s">
        <v>1226</v>
      </c>
      <c r="R19" s="124">
        <f t="shared" si="9"/>
        <v>1</v>
      </c>
      <c r="S19" s="121" t="str">
        <f t="shared" si="13"/>
        <v>》i${1}nnh</v>
      </c>
      <c r="T19" s="55"/>
      <c r="U19" s="56" t="str">
        <f t="shared" si="10"/>
        <v xml:space="preserve">    - xform/》innh(\d)/》i${1}nnh/</v>
      </c>
    </row>
    <row r="20" spans="1:21" ht="27.75" thickBot="1">
      <c r="A20" s="57">
        <f t="shared" si="5"/>
        <v>17</v>
      </c>
      <c r="B20" s="74" t="str">
        <f xml:space="preserve"> _xlfn.CONCAT("i", _xlfn.UNICHAR(771), "u", _xlfn.UNICHAR(771))</f>
        <v>ĩũ</v>
      </c>
      <c r="C20" s="57" t="s">
        <v>507</v>
      </c>
      <c r="D20" s="57" t="s">
        <v>507</v>
      </c>
      <c r="E20" s="57" t="str" cm="1">
        <f t="array" ref="E20" xml:space="preserve"> IFERROR( INDEX(韻母對照表[注音二式], MATCH(TRUE, EXACT('【韻】韻母清單（台語音標）'!$C20, 韻母對照表[台羅拼音]), 0)), "")</f>
        <v>iunn</v>
      </c>
      <c r="F20" s="57" t="s">
        <v>509</v>
      </c>
      <c r="G20" s="60" t="str" cm="1">
        <f t="array" ref="G20" xml:space="preserve"> IFERROR( INDEX(韻母對照表[白話字], MATCH(TRUE, EXACT('【韻】韻母清單（台語音標）'!$C35, 韻母對照表[台羅拼音]), 0)), "")</f>
        <v>iat</v>
      </c>
      <c r="H20" s="54" t="str" cm="1">
        <f t="array" ref="H20" xml:space="preserve"> IFERROR( INDEX(韻母對照表[十五音識別碼], MATCH(TRUE, EXACT('【韻】韻母清單（台語音標）'!$C35, 韻母對照表[台羅拼音]), 0)), "")</f>
        <v>堅促</v>
      </c>
      <c r="I20" s="57" t="str" cm="1">
        <f t="array" ref="I20" xml:space="preserve"> IFERROR( INDEX(韻母對照表[方音符號], MATCH(TRUE, EXACT('【韻】韻母清單（台語音標）'!$C20, 韻母對照表[台羅拼音]), 0)), "")</f>
        <v>ㄧㆫ</v>
      </c>
      <c r="J20" s="57"/>
      <c r="K20" s="54">
        <f t="shared" si="0"/>
        <v>4</v>
      </c>
      <c r="L20" s="73"/>
      <c r="M20" s="57" t="str">
        <f t="shared" si="6"/>
        <v>iunn</v>
      </c>
      <c r="N20" s="57" t="str">
        <f t="shared" si="7"/>
        <v>iunn</v>
      </c>
      <c r="P20" s="121" t="str">
        <f t="shared" si="8"/>
        <v>iunn(\d)</v>
      </c>
      <c r="Q20" s="124" t="s">
        <v>1226</v>
      </c>
      <c r="R20" s="124">
        <f t="shared" si="9"/>
        <v>1</v>
      </c>
      <c r="S20" s="121" t="str">
        <f t="shared" si="13"/>
        <v>》i${1}unn</v>
      </c>
      <c r="T20" s="55"/>
      <c r="U20" s="56" t="str">
        <f t="shared" si="10"/>
        <v xml:space="preserve">    - xform/》iunn(\d)/》i${1}unn/</v>
      </c>
    </row>
    <row r="21" spans="1:21" ht="27.75" thickBot="1">
      <c r="A21" s="57">
        <f t="shared" si="5"/>
        <v>18</v>
      </c>
      <c r="B21" s="74" t="str">
        <f xml:space="preserve"> _xlfn.CONCAT("u", _xlfn.UNICHAR(771), "a", _xlfn.UNICHAR(771))</f>
        <v>ũã</v>
      </c>
      <c r="C21" s="57" t="s">
        <v>399</v>
      </c>
      <c r="D21" s="57" t="s">
        <v>399</v>
      </c>
      <c r="E21" s="57" t="str" cm="1">
        <f t="array" ref="E21" xml:space="preserve"> IFERROR( INDEX(韻母對照表[注音二式], MATCH(TRUE, EXACT('【韻】韻母清單（台語音標）'!$C21, 韻母對照表[台羅拼音]), 0)), "")</f>
        <v>uann</v>
      </c>
      <c r="F21" s="57" t="s">
        <v>401</v>
      </c>
      <c r="G21" s="60" t="str" cm="1">
        <f t="array" ref="G21" xml:space="preserve"> IFERROR( INDEX(韻母對照表[白話字], MATCH(TRUE, EXACT('【韻】韻母清單（台語音標）'!$C37, 韻母對照表[台羅拼音]), 0)), "")</f>
        <v>ioh</v>
      </c>
      <c r="H21" s="54" t="str" cm="1">
        <f t="array" ref="H21" xml:space="preserve"> IFERROR( INDEX(韻母對照表[十五音識別碼], MATCH(TRUE, EXACT('【韻】韻母清單（台語音標）'!$C37, 韻母對照表[台羅拼音]), 0)), "")</f>
        <v>茄促</v>
      </c>
      <c r="I21" s="57" t="str" cm="1">
        <f t="array" ref="I21" xml:space="preserve"> IFERROR( INDEX(韻母對照表[方音符號], MATCH(TRUE, EXACT('【韻】韻母清單（台語音標）'!$C21, 韻母對照表[台羅拼音]), 0)), "")</f>
        <v>ㄨㆩ</v>
      </c>
      <c r="J21" s="57"/>
      <c r="K21" s="54">
        <f t="shared" si="0"/>
        <v>4</v>
      </c>
      <c r="L21" s="73"/>
      <c r="M21" s="57" t="str">
        <f t="shared" si="6"/>
        <v>uann</v>
      </c>
      <c r="N21" s="57" t="str">
        <f t="shared" si="7"/>
        <v>uann</v>
      </c>
      <c r="P21" s="121" t="str">
        <f t="shared" si="8"/>
        <v>uann(\d)</v>
      </c>
      <c r="Q21" s="124" t="s">
        <v>1225</v>
      </c>
      <c r="R21" s="124">
        <f t="shared" si="9"/>
        <v>2</v>
      </c>
      <c r="S21" s="121" t="str">
        <f t="shared" si="13"/>
        <v>u》a${1}nn</v>
      </c>
      <c r="T21" s="55"/>
      <c r="U21" s="56" t="str">
        <f t="shared" si="10"/>
        <v xml:space="preserve">    - xform/》uann(\d)/u》a${1}nn/</v>
      </c>
    </row>
    <row r="22" spans="1:21" ht="27.75" thickBot="1">
      <c r="A22" s="57">
        <f t="shared" si="5"/>
        <v>19</v>
      </c>
      <c r="B22" s="74" t="str">
        <f xml:space="preserve"> _xlfn.CONCAT("u", _xlfn.UNICHAR(771), "i", _xlfn.UNICHAR(771))</f>
        <v>ũĩ</v>
      </c>
      <c r="C22" s="57" t="s">
        <v>351</v>
      </c>
      <c r="D22" s="57" t="s">
        <v>351</v>
      </c>
      <c r="E22" s="57" t="str" cm="1">
        <f t="array" ref="E22" xml:space="preserve"> IFERROR( INDEX(韻母對照表[注音二式], MATCH(TRUE, EXACT('【韻】韻母清單（台語音標）'!$C22, 韻母對照表[台羅拼音]), 0)), "")</f>
        <v>uinn</v>
      </c>
      <c r="F22" s="57" t="s">
        <v>353</v>
      </c>
      <c r="G22" s="60" t="str" cm="1">
        <f t="array" ref="G22" xml:space="preserve"> IFERROR( INDEX(韻母對照表[白話字], MATCH(TRUE, EXACT('【韻】韻母清單（台語音標）'!$C38, 韻母對照表[台羅拼音]), 0)), "")</f>
        <v>iok</v>
      </c>
      <c r="H22" s="54" t="str" cm="1">
        <f t="array" ref="H22" xml:space="preserve"> IFERROR( INDEX(韻母對照表[十五音識別碼], MATCH(TRUE, EXACT('【韻】韻母清單（台語音標）'!$C38, 韻母對照表[台羅拼音]), 0)), "")</f>
        <v>恭促</v>
      </c>
      <c r="I22" s="57" t="str" cm="1">
        <f t="array" ref="I22" xml:space="preserve"> IFERROR( INDEX(韻母對照表[方音符號], MATCH(TRUE, EXACT('【韻】韻母清單（台語音標）'!$C22, 韻母對照表[台羅拼音]), 0)), "")</f>
        <v>ㄨㆪ</v>
      </c>
      <c r="J22" s="57"/>
      <c r="K22" s="54">
        <f t="shared" si="0"/>
        <v>4</v>
      </c>
      <c r="L22" s="73"/>
      <c r="M22" s="57" t="str">
        <f t="shared" si="6"/>
        <v>uinn</v>
      </c>
      <c r="N22" s="57" t="str">
        <f t="shared" si="7"/>
        <v>uinn</v>
      </c>
      <c r="P22" s="121" t="str">
        <f t="shared" si="8"/>
        <v>uinn(\d)</v>
      </c>
      <c r="Q22" s="124" t="s">
        <v>1226</v>
      </c>
      <c r="R22" s="124">
        <f t="shared" si="9"/>
        <v>2</v>
      </c>
      <c r="S22" s="121" t="str">
        <f t="shared" si="13"/>
        <v>u》i${1}nn</v>
      </c>
      <c r="T22" s="55"/>
      <c r="U22" s="56" t="str">
        <f t="shared" si="10"/>
        <v xml:space="preserve">    - xform/》uinn(\d)/u》i${1}nn/</v>
      </c>
    </row>
    <row r="23" spans="1:21" ht="27.75" thickBot="1">
      <c r="A23" s="57">
        <f t="shared" si="5"/>
        <v>20</v>
      </c>
      <c r="B23" s="74" t="str">
        <f xml:space="preserve"> _xlfn.CONCAT("i", _xlfn.UNICHAR(771), "ɔ", _xlfn.UNICHAR(771))</f>
        <v>ĩɔ̃</v>
      </c>
      <c r="C23" s="57" t="s">
        <v>383</v>
      </c>
      <c r="D23" s="57" t="s">
        <v>383</v>
      </c>
      <c r="E23" s="57" t="str" cm="1">
        <f t="array" ref="E23" xml:space="preserve"> IFERROR( INDEX(韻母對照表[注音二式], MATCH(TRUE, EXACT('【韻】韻母清單（台語音標）'!$C23, 韻母對照表[台羅拼音]), 0)), "")</f>
        <v>ioonn</v>
      </c>
      <c r="F23" s="57" t="s">
        <v>638</v>
      </c>
      <c r="G23" s="59" t="str" cm="1">
        <f t="array" ref="G23" xml:space="preserve"> IFERROR( INDEX(韻母對照表[白話字], MATCH(TRUE, EXACT('【韻】韻母清單（台語音標）'!$C89, 韻母對照表[台羅拼音]), 0)), "")</f>
        <v/>
      </c>
      <c r="H23" s="54" t="str" cm="1">
        <f t="array" ref="H23" xml:space="preserve"> IFERROR( INDEX(韻母對照表[十五音識別碼], MATCH(TRUE, EXACT('【韻】韻母清單（台語音標）'!$C89, 韻母對照表[台羅拼音]), 0)), "")</f>
        <v/>
      </c>
      <c r="I23" s="57" t="str" cm="1">
        <f t="array" ref="I23" xml:space="preserve"> IFERROR( INDEX(韻母對照表[方音符號], MATCH(TRUE, EXACT('【韻】韻母清單（台語音標）'!$C23, 韻母對照表[台羅拼音]), 0)), "")</f>
        <v>ㄧㆧ</v>
      </c>
      <c r="J23" s="57"/>
      <c r="K23" s="54">
        <f t="shared" si="0"/>
        <v>4</v>
      </c>
      <c r="L23" s="73"/>
      <c r="M23" s="57" t="str">
        <f t="shared" si="6"/>
        <v>ionn</v>
      </c>
      <c r="N23" s="57" t="str">
        <f t="shared" si="7"/>
        <v>ionn</v>
      </c>
      <c r="P23" s="121" t="str">
        <f t="shared" si="8"/>
        <v>ionn(\d)</v>
      </c>
      <c r="Q23" s="124" t="s">
        <v>1213</v>
      </c>
      <c r="R23" s="124">
        <f t="shared" si="9"/>
        <v>2</v>
      </c>
      <c r="S23" s="121" t="str">
        <f t="shared" si="13"/>
        <v>i》o${1}nn</v>
      </c>
      <c r="T23" s="55"/>
      <c r="U23" s="56" t="str">
        <f t="shared" si="10"/>
        <v xml:space="preserve">    - xform/》ionn(\d)/i》o${1}nn/</v>
      </c>
    </row>
    <row r="24" spans="1:21" ht="27.75" thickBot="1">
      <c r="A24" s="57">
        <f t="shared" si="5"/>
        <v>21</v>
      </c>
      <c r="B24" s="74" t="s">
        <v>856</v>
      </c>
      <c r="C24" s="57" t="s">
        <v>857</v>
      </c>
      <c r="D24" s="57" t="s">
        <v>857</v>
      </c>
      <c r="E24" s="57" t="str" cm="1">
        <f t="array" ref="E24" xml:space="preserve"> IFERROR( INDEX(韻母對照表[注音二式], MATCH(TRUE, EXACT('【韻】韻母清單（台語音標）'!$C24, 韻母對照表[台羅拼音]), 0)), "")</f>
        <v/>
      </c>
      <c r="F24" s="57" t="str" cm="1">
        <f t="array" ref="F24" xml:space="preserve"> IFERROR( INDEX(韻母對照表[閩拼方案], MATCH(TRUE, EXACT('【韻】韻母清單（台語音標）'!$B90, 韻母對照表[國際音標]), 0)), "")</f>
        <v/>
      </c>
      <c r="G24" s="59" t="str" cm="1">
        <f t="array" ref="G24" xml:space="preserve"> IFERROR( INDEX(韻母對照表[白話字], MATCH(TRUE, EXACT('【韻】韻母清單（台語音標）'!$C90, 韻母對照表[台羅拼音]), 0)), "")</f>
        <v/>
      </c>
      <c r="H24" s="54" t="str" cm="1">
        <f t="array" ref="H24" xml:space="preserve"> IFERROR( INDEX(韻母對照表[十五音識別碼], MATCH(TRUE, EXACT('【韻】韻母清單（台語音標）'!$C90, 韻母對照表[台羅拼音]), 0)), "")</f>
        <v/>
      </c>
      <c r="I24" s="136" t="s">
        <v>1321</v>
      </c>
      <c r="J24" s="57"/>
      <c r="K24" s="54">
        <f t="shared" si="0"/>
        <v>4</v>
      </c>
      <c r="L24" s="73"/>
      <c r="M24" s="57" t="str">
        <f t="shared" si="6"/>
        <v>iooh</v>
      </c>
      <c r="N24" s="57" t="str">
        <f t="shared" si="7"/>
        <v>iooh</v>
      </c>
      <c r="P24" s="121" t="str">
        <f t="shared" si="8"/>
        <v>iooh(\d)</v>
      </c>
      <c r="Q24" s="124" t="s">
        <v>1213</v>
      </c>
      <c r="R24" s="124">
        <f t="shared" si="9"/>
        <v>2</v>
      </c>
      <c r="S24" s="121" t="str">
        <f t="shared" si="13"/>
        <v>i》o${1}oh</v>
      </c>
      <c r="T24" s="55"/>
      <c r="U24" s="56" t="str">
        <f t="shared" si="10"/>
        <v xml:space="preserve">    - xform/》iooh(\d)/i》o${1}oh/</v>
      </c>
    </row>
    <row r="25" spans="1:21" ht="27.75" thickBot="1">
      <c r="A25" s="57">
        <f t="shared" si="5"/>
        <v>22</v>
      </c>
      <c r="B25" s="74"/>
      <c r="C25" s="57" t="s">
        <v>864</v>
      </c>
      <c r="D25" s="57" t="s">
        <v>864</v>
      </c>
      <c r="E25" s="57" t="str" cm="1">
        <f t="array" ref="E25" xml:space="preserve"> IFERROR( INDEX(韻母對照表[注音二式], MATCH(TRUE, EXACT('【韻】韻母清單（台語音標）'!$C25, 韻母對照表[台羅拼音]), 0)), "")</f>
        <v/>
      </c>
      <c r="F25" s="57" t="str" cm="1">
        <f t="array" ref="F25" xml:space="preserve"> IFERROR( INDEX(韻母對照表[閩拼方案], MATCH(TRUE, EXACT('【韻】韻母清單（台語音標）'!$B95, 韻母對照表[國際音標]), 0)), "")</f>
        <v>e</v>
      </c>
      <c r="G25" s="61" cm="1">
        <f t="array" ref="G25" xml:space="preserve"> IFERROR( INDEX(韻母對照表[白話字], MATCH(TRUE, EXACT('【韻】韻母清單（台語音標）'!$C95, 韻母對照表[台羅拼音]), 0)), "")</f>
        <v>0</v>
      </c>
      <c r="H25" s="54" t="str" cm="1">
        <f t="array" ref="H25" xml:space="preserve"> IFERROR( INDEX(韻母對照表[十五音識別碼], MATCH(TRUE, EXACT('【韻】韻母清單（台語音標）'!$C95, 韻母對照表[台羅拼音]), 0)), "")</f>
        <v>稽舒</v>
      </c>
      <c r="I25" s="57" t="str" cm="1">
        <f t="array" ref="I25" xml:space="preserve"> IFERROR( INDEX(韻母對照表[方音符號], MATCH(TRUE, EXACT('【韻】韻母清單（台語音標）'!$C25, 韻母對照表[台羅拼音]), 0)), "")</f>
        <v/>
      </c>
      <c r="J25" s="57"/>
      <c r="K25" s="54">
        <f t="shared" si="0"/>
        <v>4</v>
      </c>
      <c r="L25" s="73"/>
      <c r="M25" s="57" t="str">
        <f t="shared" si="6"/>
        <v>aenn</v>
      </c>
      <c r="N25" s="57" t="str">
        <f t="shared" si="7"/>
        <v>aenn</v>
      </c>
      <c r="P25" s="121" t="str">
        <f t="shared" si="8"/>
        <v>aenn(\d)</v>
      </c>
      <c r="Q25" s="124" t="s">
        <v>1225</v>
      </c>
      <c r="R25" s="124">
        <f t="shared" si="9"/>
        <v>1</v>
      </c>
      <c r="S25" s="121" t="str">
        <f t="shared" si="13"/>
        <v>》a${1}enn</v>
      </c>
      <c r="T25" s="55"/>
      <c r="U25" s="56" t="str">
        <f t="shared" si="10"/>
        <v xml:space="preserve">    - xform/》aenn(\d)/》a${1}enn/</v>
      </c>
    </row>
    <row r="26" spans="1:21" ht="27.75" thickBot="1">
      <c r="A26" s="57">
        <f t="shared" si="5"/>
        <v>23</v>
      </c>
      <c r="B26" s="57" t="s">
        <v>891</v>
      </c>
      <c r="C26" s="57" t="s">
        <v>64</v>
      </c>
      <c r="D26" s="57" t="s">
        <v>64</v>
      </c>
      <c r="E26" s="57" t="str" cm="1">
        <f t="array" ref="E26" xml:space="preserve"> IFERROR( INDEX(韻母對照表[注音二式], MATCH(TRUE, EXACT('【韻】韻母清單（台語音標）'!$C26, 韻母對照表[台羅拼音]), 0)), "")</f>
        <v>eh</v>
      </c>
      <c r="F26" s="57" t="s">
        <v>792</v>
      </c>
      <c r="G26" s="61"/>
      <c r="H26" s="54" t="str" cm="1">
        <f t="array" ref="H26" xml:space="preserve"> IFERROR( INDEX(韻母對照表[十五音識別碼], MATCH(TRUE, EXACT('【韻】韻母清單（台語音標）'!$C14, 韻母對照表[台羅拼音]), 0)), "")</f>
        <v>扛促</v>
      </c>
      <c r="I26" s="57" t="str" cm="1">
        <f t="array" ref="I26" xml:space="preserve"> IFERROR( INDEX(韻母對照表[方音符號], MATCH(TRUE, EXACT('【韻】韻母清單（台語音標）'!$C26, 韻母對照表[台羅拼音]), 0)), "")</f>
        <v>ㄝㆷ</v>
      </c>
      <c r="J26" s="57"/>
      <c r="K26" s="54">
        <f t="shared" si="0"/>
        <v>3</v>
      </c>
      <c r="L26" s="73"/>
      <c r="M26" s="57" t="str">
        <f t="shared" si="6"/>
        <v>eeh</v>
      </c>
      <c r="N26" s="57" t="str">
        <f t="shared" si="7"/>
        <v>eeh</v>
      </c>
      <c r="P26" s="121" t="str">
        <f t="shared" si="8"/>
        <v>eeh(\d)</v>
      </c>
      <c r="Q26" s="124" t="s">
        <v>1178</v>
      </c>
      <c r="R26" s="124">
        <f t="shared" si="9"/>
        <v>1</v>
      </c>
      <c r="S26" s="121" t="str">
        <f t="shared" si="13"/>
        <v>》e${1}eh</v>
      </c>
      <c r="T26" s="55"/>
      <c r="U26" s="56" t="str">
        <f t="shared" si="10"/>
        <v xml:space="preserve">    - xform/》eeh(\d)/》e${1}eh/</v>
      </c>
    </row>
    <row r="27" spans="1:21" ht="27.75" thickBot="1">
      <c r="A27" s="57">
        <f t="shared" si="5"/>
        <v>24</v>
      </c>
      <c r="B27" s="57" t="s">
        <v>793</v>
      </c>
      <c r="C27" s="57" t="s">
        <v>237</v>
      </c>
      <c r="D27" s="57" t="s">
        <v>237</v>
      </c>
      <c r="E27" s="57" t="str" cm="1">
        <f t="array" ref="E27" xml:space="preserve"> IFERROR( INDEX(韻母對照表[注音二式], MATCH(TRUE, EXACT('【韻】韻母清單（台語音標）'!$C27, 韻母對照表[台羅拼音]), 0)), "")</f>
        <v>ang</v>
      </c>
      <c r="F27" s="57" t="s">
        <v>794</v>
      </c>
      <c r="G27" s="60" t="str" cm="1">
        <f t="array" ref="G27" xml:space="preserve"> IFERROR( INDEX(韻母對照表[白話字], MATCH(TRUE, EXACT('【韻】韻母清單（台語音標）'!$C15, 韻母對照表[台羅拼音]), 0)), "")</f>
        <v>ahⁿ</v>
      </c>
      <c r="H27" s="54" t="str" cm="1">
        <f t="array" ref="H27" xml:space="preserve"> IFERROR( INDEX(韻母對照表[十五音識別碼], MATCH(TRUE, EXACT('【韻】韻母清單（台語音標）'!$C15, 韻母對照表[台羅拼音]), 0)), "")</f>
        <v>監促</v>
      </c>
      <c r="I27" s="57" t="str" cm="1">
        <f t="array" ref="I27" xml:space="preserve"> IFERROR( INDEX(韻母對照表[方音符號], MATCH(TRUE, EXACT('【韻】韻母清單（台語音標）'!$C27, 韻母對照表[台羅拼音]), 0)), "")</f>
        <v>ㄤ</v>
      </c>
      <c r="J27" s="57"/>
      <c r="K27" s="54">
        <f t="shared" si="0"/>
        <v>3</v>
      </c>
      <c r="L27" s="73"/>
      <c r="M27" s="57" t="str">
        <f t="shared" si="6"/>
        <v>ang</v>
      </c>
      <c r="N27" s="57" t="str">
        <f t="shared" si="7"/>
        <v>ang</v>
      </c>
      <c r="P27" s="121" t="str">
        <f t="shared" si="8"/>
        <v>ang(\d)</v>
      </c>
      <c r="Q27" s="124" t="s">
        <v>1225</v>
      </c>
      <c r="R27" s="124">
        <f t="shared" si="9"/>
        <v>1</v>
      </c>
      <c r="S27" s="121" t="str">
        <f t="shared" si="13"/>
        <v>》a${1}ng</v>
      </c>
      <c r="T27" s="55"/>
      <c r="U27" s="56" t="str">
        <f t="shared" si="10"/>
        <v xml:space="preserve">    - xform/》ang(\d)/》a${1}ng/</v>
      </c>
    </row>
    <row r="28" spans="1:21" ht="27.75" thickBot="1">
      <c r="A28" s="57">
        <f t="shared" si="5"/>
        <v>25</v>
      </c>
      <c r="B28" s="57" t="s">
        <v>795</v>
      </c>
      <c r="C28" s="57" t="s">
        <v>267</v>
      </c>
      <c r="D28" s="57" t="s">
        <v>267</v>
      </c>
      <c r="E28" s="57" t="str" cm="1">
        <f t="array" ref="E28" xml:space="preserve"> IFERROR( INDEX(韻母對照表[注音二式], MATCH(TRUE, EXACT('【韻】韻母清單（台語音標）'!$C28, 韻母對照表[台羅拼音]), 0)), "")</f>
        <v>auh</v>
      </c>
      <c r="F28" s="57" t="s">
        <v>796</v>
      </c>
      <c r="G28" s="60" t="str" cm="1">
        <f t="array" ref="G28" xml:space="preserve"> IFERROR( INDEX(韻母對照表[白話字], MATCH(TRUE, EXACT('【韻】韻母清單（台語音標）'!$C16, 韻母對照表[台羅拼音]), 0)), "")</f>
        <v>aiⁿ</v>
      </c>
      <c r="H28" s="54" t="str" cm="1">
        <f t="array" ref="H28" xml:space="preserve"> IFERROR( INDEX(韻母對照表[十五音識別碼], MATCH(TRUE, EXACT('【韻】韻母清單（台語音標）'!$C16, 韻母對照表[台羅拼音]), 0)), "")</f>
        <v>閒舒</v>
      </c>
      <c r="I28" s="57" t="str" cm="1">
        <f t="array" ref="I28" xml:space="preserve"> IFERROR( INDEX(韻母對照表[方音符號], MATCH(TRUE, EXACT('【韻】韻母清單（台語音標）'!$C28, 韻母對照表[台羅拼音]), 0)), "")</f>
        <v>ㄠㆷ</v>
      </c>
      <c r="J28" s="57"/>
      <c r="K28" s="54">
        <f t="shared" si="0"/>
        <v>3</v>
      </c>
      <c r="L28" s="73"/>
      <c r="M28" s="57" t="str">
        <f t="shared" si="6"/>
        <v>auh</v>
      </c>
      <c r="N28" s="57" t="str">
        <f t="shared" si="7"/>
        <v>auh</v>
      </c>
      <c r="P28" s="121" t="str">
        <f t="shared" si="8"/>
        <v>auh(\d)</v>
      </c>
      <c r="Q28" s="124" t="s">
        <v>1225</v>
      </c>
      <c r="R28" s="124">
        <f t="shared" si="9"/>
        <v>1</v>
      </c>
      <c r="S28" s="121" t="str">
        <f t="shared" si="13"/>
        <v>》a${1}uh</v>
      </c>
      <c r="T28" s="55"/>
      <c r="U28" s="56" t="str">
        <f t="shared" si="10"/>
        <v xml:space="preserve">    - xform/》auh(\d)/》a${1}uh/</v>
      </c>
    </row>
    <row r="29" spans="1:21" ht="27.75" thickBot="1">
      <c r="A29" s="57">
        <f t="shared" si="5"/>
        <v>26</v>
      </c>
      <c r="B29" s="57" t="s">
        <v>797</v>
      </c>
      <c r="C29" s="57" t="s">
        <v>278</v>
      </c>
      <c r="D29" s="57" t="s">
        <v>278</v>
      </c>
      <c r="E29" s="57" t="str" cm="1">
        <f t="array" ref="E29" xml:space="preserve"> IFERROR( INDEX(韻母對照表[注音二式], MATCH(TRUE, EXACT('【韻】韻母清單（台語音標）'!$C29, 韻母對照表[台羅拼音]), 0)), "")</f>
        <v>iah</v>
      </c>
      <c r="F29" s="57" t="s">
        <v>798</v>
      </c>
      <c r="G29" s="60" t="str" cm="1">
        <f t="array" ref="G29" xml:space="preserve"> IFERROR( INDEX(韻母對照表[白話字], MATCH(TRUE, EXACT('【韻】韻母清單（台語音標）'!$C17, 韻母對照表[台羅拼音]), 0)), "")</f>
        <v>auⁿ</v>
      </c>
      <c r="H29" s="54" t="str" cm="1">
        <f t="array" ref="H29" xml:space="preserve"> IFERROR( INDEX(韻母對照表[十五音識別碼], MATCH(TRUE, EXACT('【韻】韻母清單（台語音標）'!$C17, 韻母對照表[台羅拼音]), 0)), "")</f>
        <v>爻舒</v>
      </c>
      <c r="I29" s="57" t="str" cm="1">
        <f t="array" ref="I29" xml:space="preserve"> IFERROR( INDEX(韻母對照表[方音符號], MATCH(TRUE, EXACT('【韻】韻母清單（台語音標）'!$C29, 韻母對照表[台羅拼音]), 0)), "")</f>
        <v>ㄧㄚㆷ</v>
      </c>
      <c r="J29" s="57"/>
      <c r="K29" s="54">
        <f t="shared" si="0"/>
        <v>3</v>
      </c>
      <c r="L29" s="73"/>
      <c r="M29" s="57" t="str">
        <f t="shared" si="6"/>
        <v>iah</v>
      </c>
      <c r="N29" s="57" t="str">
        <f t="shared" si="7"/>
        <v>iah</v>
      </c>
      <c r="P29" s="121" t="str">
        <f t="shared" si="8"/>
        <v>iah(\d)</v>
      </c>
      <c r="Q29" s="124" t="s">
        <v>1225</v>
      </c>
      <c r="R29" s="124">
        <f t="shared" si="9"/>
        <v>2</v>
      </c>
      <c r="S29" s="121" t="str">
        <f t="shared" si="13"/>
        <v>i》a${1}h</v>
      </c>
      <c r="T29" s="55"/>
      <c r="U29" s="56" t="str">
        <f t="shared" si="10"/>
        <v xml:space="preserve">    - xform/》iah(\d)/i》a${1}h/</v>
      </c>
    </row>
    <row r="30" spans="1:21" ht="27.75" thickBot="1">
      <c r="A30" s="57">
        <f t="shared" si="5"/>
        <v>27</v>
      </c>
      <c r="B30" s="57" t="s">
        <v>885</v>
      </c>
      <c r="C30" s="57" t="s">
        <v>207</v>
      </c>
      <c r="D30" s="57" t="s">
        <v>207</v>
      </c>
      <c r="E30" s="57" t="str" cm="1">
        <f t="array" ref="E30" xml:space="preserve"> IFERROR( INDEX(韻母對照表[注音二式], MATCH(TRUE, EXACT('【韻】韻母清單（台語音標）'!$C30, 韻母對照表[台羅拼音]), 0)), "")</f>
        <v>iak</v>
      </c>
      <c r="F30" s="57" t="s">
        <v>799</v>
      </c>
      <c r="G30" s="60" t="str" cm="1">
        <f t="array" ref="G30" xml:space="preserve"> IFERROR( INDEX(韻母對照表[白話字], MATCH(TRUE, EXACT('【韻】韻母清單（台語音標）'!$C18, 韻母對照表[台羅拼音]), 0)), "")</f>
        <v>iaⁿ</v>
      </c>
      <c r="H30" s="54" t="str" cm="1">
        <f t="array" ref="H30" xml:space="preserve"> IFERROR( INDEX(韻母對照表[十五音識別碼], MATCH(TRUE, EXACT('【韻】韻母清單（台語音標）'!$C18, 韻母對照表[台羅拼音]), 0)), "")</f>
        <v>驚舒</v>
      </c>
      <c r="I30" s="57" t="str" cm="1">
        <f t="array" ref="I30" xml:space="preserve"> IFERROR( INDEX(韻母對照表[方音符號], MATCH(TRUE, EXACT('【韻】韻母清單（台語音標）'!$C30, 韻母對照表[台羅拼音]), 0)), "")</f>
        <v>ㄧㄚㆻ</v>
      </c>
      <c r="J30" s="57"/>
      <c r="K30" s="54">
        <f t="shared" si="0"/>
        <v>3</v>
      </c>
      <c r="L30" s="73"/>
      <c r="M30" s="57" t="str">
        <f t="shared" si="6"/>
        <v>iak</v>
      </c>
      <c r="N30" s="57" t="str">
        <f t="shared" si="7"/>
        <v>iak</v>
      </c>
      <c r="P30" s="121" t="str">
        <f t="shared" si="8"/>
        <v>iak(\d)</v>
      </c>
      <c r="Q30" s="124" t="s">
        <v>1225</v>
      </c>
      <c r="R30" s="124">
        <f t="shared" si="9"/>
        <v>2</v>
      </c>
      <c r="S30" s="121" t="str">
        <f t="shared" si="13"/>
        <v>i》a${1}k</v>
      </c>
      <c r="T30" s="55"/>
      <c r="U30" s="56" t="str">
        <f t="shared" si="10"/>
        <v xml:space="preserve">    - xform/》iak(\d)/i》a${1}k/</v>
      </c>
    </row>
    <row r="31" spans="1:21" ht="27.75" thickBot="1">
      <c r="A31" s="57">
        <f t="shared" si="5"/>
        <v>28</v>
      </c>
      <c r="B31" s="57" t="s">
        <v>247</v>
      </c>
      <c r="C31" s="57" t="s">
        <v>247</v>
      </c>
      <c r="D31" s="57" t="s">
        <v>247</v>
      </c>
      <c r="E31" s="57" t="str" cm="1">
        <f t="array" ref="E31" xml:space="preserve"> IFERROR( INDEX(韻母對照表[注音二式], MATCH(TRUE, EXACT('【韻】韻母清單（台語音標）'!$C31, 韻母對照表[台羅拼音]), 0)), "")</f>
        <v>iam</v>
      </c>
      <c r="F31" s="57" t="s">
        <v>800</v>
      </c>
      <c r="G31" s="60" t="str" cm="1">
        <f t="array" ref="G31" xml:space="preserve"> IFERROR( INDEX(韻母對照表[白話字], MATCH(TRUE, EXACT('【韻】韻母清單（台語音標）'!$C19, 韻母對照表[台羅拼音]), 0)), "")</f>
        <v>ihⁿ</v>
      </c>
      <c r="H31" s="54" t="str" cm="1">
        <f t="array" ref="H31" xml:space="preserve"> IFERROR( INDEX(韻母對照表[十五音識別碼], MATCH(TRUE, EXACT('【韻】韻母清單（台語音標）'!$C19, 韻母對照表[台羅拼音]), 0)), "")</f>
        <v>梔促</v>
      </c>
      <c r="I31" s="57" t="str" cm="1">
        <f t="array" ref="I31" xml:space="preserve"> IFERROR( INDEX(韻母對照表[方音符號], MATCH(TRUE, EXACT('【韻】韻母清單（台語音標）'!$C31, 韻母對照表[台羅拼音]), 0)), "")</f>
        <v>ㄧㆰ</v>
      </c>
      <c r="J31" s="57"/>
      <c r="K31" s="54">
        <f t="shared" si="0"/>
        <v>3</v>
      </c>
      <c r="L31" s="73"/>
      <c r="M31" s="57" t="str">
        <f t="shared" si="6"/>
        <v>iam</v>
      </c>
      <c r="N31" s="57" t="str">
        <f t="shared" si="7"/>
        <v>iam</v>
      </c>
      <c r="P31" s="121" t="str">
        <f t="shared" si="8"/>
        <v>iam(\d)</v>
      </c>
      <c r="Q31" s="124" t="s">
        <v>1225</v>
      </c>
      <c r="R31" s="124">
        <f t="shared" si="9"/>
        <v>2</v>
      </c>
      <c r="S31" s="121" t="str">
        <f t="shared" si="13"/>
        <v>i》a${1}m</v>
      </c>
      <c r="T31" s="55"/>
      <c r="U31" s="56" t="str">
        <f t="shared" si="10"/>
        <v xml:space="preserve">    - xform/》iam(\d)/i》a${1}m/</v>
      </c>
    </row>
    <row r="32" spans="1:21" ht="27.75" thickBot="1">
      <c r="A32" s="57">
        <f t="shared" si="5"/>
        <v>29</v>
      </c>
      <c r="B32" s="57" t="s">
        <v>27</v>
      </c>
      <c r="C32" s="57" t="s">
        <v>27</v>
      </c>
      <c r="D32" s="57" t="s">
        <v>27</v>
      </c>
      <c r="E32" s="57" t="str" cm="1">
        <f t="array" ref="E32" xml:space="preserve"> IFERROR( INDEX(韻母對照表[注音二式], MATCH(TRUE, EXACT('【韻】韻母清單（台語音標）'!$C32, 韻母對照表[台羅拼音]), 0)), "")</f>
        <v>ian</v>
      </c>
      <c r="F32" s="57" t="s">
        <v>801</v>
      </c>
      <c r="G32" s="60" t="str" cm="1">
        <f t="array" ref="G32" xml:space="preserve"> IFERROR( INDEX(韻母對照表[白話字], MATCH(TRUE, EXACT('【韻】韻母清單（台語音標）'!$C20, 韻母對照表[台羅拼音]), 0)), "")</f>
        <v>iuⁿ</v>
      </c>
      <c r="H32" s="54" t="str" cm="1">
        <f t="array" ref="H32" xml:space="preserve"> IFERROR( INDEX(韻母對照表[十五音識別碼], MATCH(TRUE, EXACT('【韻】韻母清單（台語音標）'!$C20, 韻母對照表[台羅拼音]), 0)), "")</f>
        <v>牛舒</v>
      </c>
      <c r="I32" s="57" t="str" cm="1">
        <f t="array" ref="I32" xml:space="preserve"> IFERROR( INDEX(韻母對照表[方音符號], MATCH(TRUE, EXACT('【韻】韻母清單（台語音標）'!$C32, 韻母對照表[台羅拼音]), 0)), "")</f>
        <v>ㄧㄢ</v>
      </c>
      <c r="J32" s="57"/>
      <c r="K32" s="54">
        <f t="shared" si="0"/>
        <v>3</v>
      </c>
      <c r="L32" s="73"/>
      <c r="M32" s="57" t="str">
        <f t="shared" si="6"/>
        <v>ian</v>
      </c>
      <c r="N32" s="57" t="str">
        <f t="shared" si="7"/>
        <v>ian</v>
      </c>
      <c r="P32" s="121" t="str">
        <f t="shared" si="8"/>
        <v>ian(\d)</v>
      </c>
      <c r="Q32" s="124" t="s">
        <v>1225</v>
      </c>
      <c r="R32" s="124">
        <f t="shared" si="9"/>
        <v>2</v>
      </c>
      <c r="S32" s="121" t="str">
        <f t="shared" si="13"/>
        <v>i》a${1}n</v>
      </c>
      <c r="T32" s="55"/>
      <c r="U32" s="56" t="str">
        <f t="shared" si="10"/>
        <v xml:space="preserve">    - xform/》ian(\d)/i》a${1}n/</v>
      </c>
    </row>
    <row r="33" spans="1:21" ht="27.75" thickBot="1">
      <c r="A33" s="57">
        <f t="shared" si="5"/>
        <v>30</v>
      </c>
      <c r="B33" s="57" t="s">
        <v>141</v>
      </c>
      <c r="C33" s="57" t="s">
        <v>141</v>
      </c>
      <c r="D33" s="57" t="s">
        <v>141</v>
      </c>
      <c r="E33" s="57" t="str" cm="1">
        <f t="array" ref="E33" xml:space="preserve"> IFERROR( INDEX(韻母對照表[注音二式], MATCH(TRUE, EXACT('【韻】韻母清單（台語音標）'!$C33, 韻母對照表[台羅拼音]), 0)), "")</f>
        <v>iau</v>
      </c>
      <c r="F33" s="57" t="s">
        <v>802</v>
      </c>
      <c r="G33" s="59" t="str" cm="1">
        <f t="array" ref="G33" xml:space="preserve"> IFERROR( INDEX(韻母對照表[白話字], MATCH(TRUE, EXACT('【韻】韻母清單（台語音標）'!$C21, 韻母對照表[台羅拼音]), 0)), "")</f>
        <v>oaⁿ</v>
      </c>
      <c r="H33" s="54" t="str" cm="1">
        <f t="array" ref="H33" xml:space="preserve"> IFERROR( INDEX(韻母對照表[十五音識別碼], MATCH(TRUE, EXACT('【韻】韻母清單（台語音標）'!$C21, 韻母對照表[台羅拼音]), 0)), "")</f>
        <v>官舒</v>
      </c>
      <c r="I33" s="57" t="str" cm="1">
        <f t="array" ref="I33" xml:space="preserve"> IFERROR( INDEX(韻母對照表[方音符號], MATCH(TRUE, EXACT('【韻】韻母清單（台語音標）'!$C33, 韻母對照表[台羅拼音]), 0)), "")</f>
        <v>ㄧㄠ</v>
      </c>
      <c r="J33" s="57"/>
      <c r="K33" s="54">
        <f t="shared" si="0"/>
        <v>3</v>
      </c>
      <c r="L33" s="73"/>
      <c r="M33" s="57" t="str">
        <f t="shared" si="6"/>
        <v>iau</v>
      </c>
      <c r="N33" s="57" t="str">
        <f t="shared" si="7"/>
        <v>iau</v>
      </c>
      <c r="P33" s="121" t="str">
        <f t="shared" si="8"/>
        <v>iau(\d)</v>
      </c>
      <c r="Q33" s="124" t="s">
        <v>1225</v>
      </c>
      <c r="R33" s="124">
        <f t="shared" si="9"/>
        <v>2</v>
      </c>
      <c r="S33" s="121" t="str">
        <f t="shared" si="13"/>
        <v>i》a${1}u</v>
      </c>
      <c r="T33" s="55"/>
      <c r="U33" s="56" t="str">
        <f t="shared" si="10"/>
        <v xml:space="preserve">    - xform/》iau(\d)/i》a${1}u/</v>
      </c>
    </row>
    <row r="34" spans="1:21" ht="27.75" thickBot="1">
      <c r="A34" s="57">
        <f t="shared" si="5"/>
        <v>31</v>
      </c>
      <c r="B34" s="57" t="s">
        <v>881</v>
      </c>
      <c r="C34" s="57" t="s">
        <v>256</v>
      </c>
      <c r="D34" s="57" t="s">
        <v>256</v>
      </c>
      <c r="E34" s="57" t="str" cm="1">
        <f t="array" ref="E34" xml:space="preserve"> IFERROR( INDEX(韻母對照表[注音二式], MATCH(TRUE, EXACT('【韻】韻母清單（台語音標）'!$C34, 韻母對照表[台羅拼音]), 0)), "")</f>
        <v>iap</v>
      </c>
      <c r="F34" s="57" t="s">
        <v>803</v>
      </c>
      <c r="G34" s="60" t="str" cm="1">
        <f t="array" ref="G34" xml:space="preserve"> IFERROR( INDEX(韻母對照表[白話字], MATCH(TRUE, EXACT('【韻】韻母清單（台語音標）'!$C22, 韻母對照表[台羅拼音]), 0)), "")</f>
        <v>uiⁿ</v>
      </c>
      <c r="H34" s="54" t="str" cm="1">
        <f t="array" ref="H34" xml:space="preserve"> IFERROR( INDEX(韻母對照表[十五音識別碼], MATCH(TRUE, EXACT('【韻】韻母清單（台語音標）'!$C22, 韻母對照表[台羅拼音]), 0)), "")</f>
        <v>褌舒</v>
      </c>
      <c r="I34" s="57" t="str" cm="1">
        <f t="array" ref="I34" xml:space="preserve"> IFERROR( INDEX(韻母對照表[方音符號], MATCH(TRUE, EXACT('【韻】韻母清單（台語音標）'!$C34, 韻母對照表[台羅拼音]), 0)), "")</f>
        <v>ㄧㄚㆴ</v>
      </c>
      <c r="J34" s="57"/>
      <c r="K34" s="54">
        <f t="shared" si="0"/>
        <v>3</v>
      </c>
      <c r="L34" s="73"/>
      <c r="M34" s="57" t="str">
        <f t="shared" si="6"/>
        <v>iap</v>
      </c>
      <c r="N34" s="57" t="str">
        <f t="shared" si="7"/>
        <v>iap</v>
      </c>
      <c r="P34" s="121" t="str">
        <f t="shared" si="8"/>
        <v>iap(\d)</v>
      </c>
      <c r="Q34" s="124" t="s">
        <v>1225</v>
      </c>
      <c r="R34" s="124">
        <f t="shared" si="9"/>
        <v>2</v>
      </c>
      <c r="S34" s="121" t="str">
        <f t="shared" si="13"/>
        <v>i》a${1}p</v>
      </c>
      <c r="T34" s="55"/>
      <c r="U34" s="56" t="str">
        <f t="shared" si="10"/>
        <v xml:space="preserve">    - xform/》iap(\d)/i》a${1}p/</v>
      </c>
    </row>
    <row r="35" spans="1:21" ht="27.75" thickBot="1">
      <c r="A35" s="57">
        <f t="shared" si="5"/>
        <v>32</v>
      </c>
      <c r="B35" s="57" t="s">
        <v>876</v>
      </c>
      <c r="C35" s="57" t="s">
        <v>34</v>
      </c>
      <c r="D35" s="57" t="s">
        <v>34</v>
      </c>
      <c r="E35" s="57" t="str" cm="1">
        <f t="array" ref="E35" xml:space="preserve"> IFERROR( INDEX(韻母對照表[注音二式], MATCH(TRUE, EXACT('【韻】韻母清單（台語音標）'!$C35, 韻母對照表[台羅拼音]), 0)), "")</f>
        <v>iat</v>
      </c>
      <c r="F35" s="57" t="s">
        <v>804</v>
      </c>
      <c r="G35" s="60" t="str" cm="1">
        <f t="array" ref="G35" xml:space="preserve"> IFERROR( INDEX(韻母對照表[白話字], MATCH(TRUE, EXACT('【韻】韻母清單（台語音標）'!$C23, 韻母對照表[台羅拼音]), 0)), "")</f>
        <v>ioⁿ</v>
      </c>
      <c r="H35" s="54" t="str" cm="1">
        <f t="array" ref="H35" xml:space="preserve"> IFERROR( INDEX(韻母對照表[十五音識別碼], MATCH(TRUE, EXACT('【韻】韻母清單（台語音標）'!$C23, 韻母對照表[台羅拼音]), 0)), "")</f>
        <v>薑舒</v>
      </c>
      <c r="I35" s="57" t="str" cm="1">
        <f t="array" ref="I35" xml:space="preserve"> IFERROR( INDEX(韻母對照表[方音符號], MATCH(TRUE, EXACT('【韻】韻母清單（台語音標）'!$C35, 韻母對照表[台羅拼音]), 0)), "")</f>
        <v>ㄧㄚㆵ</v>
      </c>
      <c r="J35" s="57"/>
      <c r="K35" s="54">
        <f t="shared" si="0"/>
        <v>3</v>
      </c>
      <c r="L35" s="73"/>
      <c r="M35" s="57" t="str">
        <f t="shared" si="6"/>
        <v>iat</v>
      </c>
      <c r="N35" s="57" t="str">
        <f t="shared" si="7"/>
        <v>iat</v>
      </c>
      <c r="P35" s="121" t="str">
        <f t="shared" si="8"/>
        <v>iat(\d)</v>
      </c>
      <c r="Q35" s="124" t="s">
        <v>1225</v>
      </c>
      <c r="R35" s="124">
        <f t="shared" si="9"/>
        <v>2</v>
      </c>
      <c r="S35" s="121" t="str">
        <f t="shared" si="13"/>
        <v>i》a${1}t</v>
      </c>
      <c r="T35" s="55"/>
      <c r="U35" s="56" t="str">
        <f t="shared" si="10"/>
        <v xml:space="preserve">    - xform/》iat(\d)/i》a${1}t/</v>
      </c>
    </row>
    <row r="36" spans="1:21" ht="27.75" thickBot="1">
      <c r="A36" s="57">
        <f t="shared" si="5"/>
        <v>33</v>
      </c>
      <c r="B36" s="57" t="s">
        <v>106</v>
      </c>
      <c r="C36" s="57" t="s">
        <v>109</v>
      </c>
      <c r="D36" s="57" t="s">
        <v>109</v>
      </c>
      <c r="E36" s="57" t="str" cm="1">
        <f t="array" ref="E36" xml:space="preserve"> IFERROR( INDEX(韻母對照表[注音二式], MATCH(TRUE, EXACT('【韻】韻母清單（台語音標）'!$C36, 韻母對照表[台羅拼音]), 0)), "")</f>
        <v>ing</v>
      </c>
      <c r="F36" s="57" t="s">
        <v>805</v>
      </c>
      <c r="G36" s="59" t="str" cm="1">
        <f t="array" ref="G36" xml:space="preserve"> IFERROR( INDEX(韻母對照表[白話字], MATCH(TRUE, EXACT('【韻】韻母清單（台語音標）'!$C24, 韻母對照表[台羅拼音]), 0)), "")</f>
        <v/>
      </c>
      <c r="H36" s="54" t="str" cm="1">
        <f t="array" ref="H36" xml:space="preserve"> IFERROR( INDEX(韻母對照表[十五音識別碼], MATCH(TRUE, EXACT('【韻】韻母清單（台語音標）'!$C24, 韻母對照表[台羅拼音]), 0)), "")</f>
        <v/>
      </c>
      <c r="I36" s="57" t="str" cm="1">
        <f t="array" ref="I36" xml:space="preserve"> IFERROR( INDEX(韻母對照表[方音符號], MATCH(TRUE, EXACT('【韻】韻母清單（台語音標）'!$C36, 韻母對照表[台羅拼音]), 0)), "")</f>
        <v>ㄧㄥ</v>
      </c>
      <c r="J36" s="57"/>
      <c r="K36" s="54">
        <f t="shared" ref="K36:K67" si="14" xml:space="preserve"> LEN(D36)</f>
        <v>3</v>
      </c>
      <c r="L36" s="73"/>
      <c r="M36" s="57" t="str">
        <f t="shared" si="6"/>
        <v>ing</v>
      </c>
      <c r="N36" s="57" t="str">
        <f t="shared" si="7"/>
        <v>ing</v>
      </c>
      <c r="P36" s="121" t="str">
        <f t="shared" si="8"/>
        <v>ing(\d)</v>
      </c>
      <c r="Q36" s="124" t="s">
        <v>1226</v>
      </c>
      <c r="R36" s="124">
        <f t="shared" si="9"/>
        <v>1</v>
      </c>
      <c r="S36" s="121" t="str">
        <f t="shared" si="13"/>
        <v>》i${1}ng</v>
      </c>
      <c r="T36" s="55"/>
      <c r="U36" s="56" t="str">
        <f t="shared" si="10"/>
        <v xml:space="preserve">    - xform/》ing(\d)/》i${1}ng/</v>
      </c>
    </row>
    <row r="37" spans="1:21" ht="27.75" thickBot="1">
      <c r="A37" s="57">
        <f t="shared" si="5"/>
        <v>34</v>
      </c>
      <c r="B37" s="57" t="s">
        <v>806</v>
      </c>
      <c r="C37" s="57" t="s">
        <v>363</v>
      </c>
      <c r="D37" s="57" t="s">
        <v>363</v>
      </c>
      <c r="E37" s="57" t="str" cm="1">
        <f t="array" ref="E37" xml:space="preserve"> IFERROR( INDEX(韻母對照表[注音二式], MATCH(TRUE, EXACT('【韻】韻母清單（台語音標）'!$C37, 韻母對照表[台羅拼音]), 0)), "")</f>
        <v>iorh</v>
      </c>
      <c r="F37" s="57" t="s">
        <v>363</v>
      </c>
      <c r="G37" s="60" t="str" cm="1">
        <f t="array" ref="G37" xml:space="preserve"> IFERROR( INDEX(韻母對照表[白話字], MATCH(TRUE, EXACT('【韻】韻母清單（台語音標）'!$C25, 韻母對照表[台羅拼音]), 0)), "")</f>
        <v/>
      </c>
      <c r="H37" s="54" t="str" cm="1">
        <f t="array" ref="H37" xml:space="preserve"> IFERROR( INDEX(韻母對照表[十五音識別碼], MATCH(TRUE, EXACT('【韻】韻母清單（台語音標）'!$C25, 韻母對照表[台羅拼音]), 0)), "")</f>
        <v/>
      </c>
      <c r="I37" s="57" t="str" cm="1">
        <f t="array" ref="I37" xml:space="preserve"> IFERROR( INDEX(韻母對照表[方音符號], MATCH(TRUE, EXACT('【韻】韻母清單（台語音標）'!$C37, 韻母對照表[台羅拼音]), 0)), "")</f>
        <v>ㄧㄜㆷ</v>
      </c>
      <c r="J37" s="57"/>
      <c r="K37" s="54">
        <f t="shared" si="14"/>
        <v>3</v>
      </c>
      <c r="L37" s="73"/>
      <c r="M37" s="57" t="str">
        <f t="shared" si="6"/>
        <v>ioh</v>
      </c>
      <c r="N37" s="57" t="str">
        <f t="shared" si="7"/>
        <v>ioh</v>
      </c>
      <c r="P37" s="121" t="str">
        <f t="shared" si="8"/>
        <v>ioh(\d)</v>
      </c>
      <c r="Q37" s="124" t="s">
        <v>1226</v>
      </c>
      <c r="R37" s="124">
        <f t="shared" si="9"/>
        <v>1</v>
      </c>
      <c r="S37" s="121" t="str">
        <f t="shared" si="13"/>
        <v>》i${1}oh</v>
      </c>
      <c r="T37" s="55"/>
      <c r="U37" s="56" t="str">
        <f t="shared" si="10"/>
        <v xml:space="preserve">    - xform/》ioh(\d)/》i${1}oh/</v>
      </c>
    </row>
    <row r="38" spans="1:21" ht="27.75" thickBot="1">
      <c r="A38" s="57">
        <f t="shared" si="5"/>
        <v>35</v>
      </c>
      <c r="B38" s="57" t="s">
        <v>894</v>
      </c>
      <c r="C38" s="57" t="s">
        <v>167</v>
      </c>
      <c r="D38" s="57" t="s">
        <v>167</v>
      </c>
      <c r="E38" s="57" t="str" cm="1">
        <f t="array" ref="E38" xml:space="preserve"> IFERROR( INDEX(韻母對照表[注音二式], MATCH(TRUE, EXACT('【韻】韻母清單（台語音標）'!$C38, 韻母對照表[台羅拼音]), 0)), "")</f>
        <v>iook</v>
      </c>
      <c r="F38" s="57" t="s">
        <v>167</v>
      </c>
      <c r="G38" s="60" cm="1">
        <f t="array" ref="G38" xml:space="preserve"> IFERROR( INDEX(韻母對照表[白話字], MATCH(TRUE, EXACT('【韻】韻母清單（台語音標）'!$C26, 韻母對照表[台羅拼音]), 0)), "")</f>
        <v>0</v>
      </c>
      <c r="H38" s="54" t="str" cm="1">
        <f t="array" ref="H38" xml:space="preserve"> IFERROR( INDEX(韻母對照表[十五音識別碼], MATCH(TRUE, EXACT('【韻】韻母清單（台語音標）'!$C26, 韻母對照表[台羅拼音]), 0)), "")</f>
        <v>嘉促</v>
      </c>
      <c r="I38" s="57" t="str" cm="1">
        <f t="array" ref="I38" xml:space="preserve"> IFERROR( INDEX(韻母對照表[方音符號], MATCH(TRUE, EXACT('【韻】韻母清單（台語音標）'!$C38, 韻母對照表[台羅拼音]), 0)), "")</f>
        <v>ㄧㆦㆻ</v>
      </c>
      <c r="J38" s="57"/>
      <c r="K38" s="54">
        <f t="shared" si="14"/>
        <v>3</v>
      </c>
      <c r="L38" s="73"/>
      <c r="M38" s="57" t="str">
        <f t="shared" si="6"/>
        <v>iok</v>
      </c>
      <c r="N38" s="57" t="str">
        <f t="shared" si="7"/>
        <v>iok</v>
      </c>
      <c r="P38" s="121" t="str">
        <f t="shared" si="8"/>
        <v>iok(\d)</v>
      </c>
      <c r="Q38" s="124" t="s">
        <v>1226</v>
      </c>
      <c r="R38" s="124">
        <f t="shared" si="9"/>
        <v>1</v>
      </c>
      <c r="S38" s="121" t="str">
        <f t="shared" si="13"/>
        <v>》i${1}ok</v>
      </c>
      <c r="T38" s="55"/>
      <c r="U38" s="56" t="str">
        <f t="shared" si="10"/>
        <v xml:space="preserve">    - xform/》iok(\d)/》i${1}ok/</v>
      </c>
    </row>
    <row r="39" spans="1:21" ht="27.75" thickBot="1">
      <c r="A39" s="57">
        <f t="shared" si="5"/>
        <v>36</v>
      </c>
      <c r="B39" s="74" t="s">
        <v>807</v>
      </c>
      <c r="C39" s="57" t="s">
        <v>808</v>
      </c>
      <c r="D39" s="57" t="s">
        <v>808</v>
      </c>
      <c r="E39" s="57" t="str" cm="1">
        <f t="array" ref="E39" xml:space="preserve"> IFERROR( INDEX(韻母對照表[注音二式], MATCH(TRUE, EXACT('【韻】韻母清單（台語音標）'!$C39, 韻母對照表[台羅拼音]), 0)), "")</f>
        <v/>
      </c>
      <c r="F39" s="57" t="s">
        <v>808</v>
      </c>
      <c r="G39" s="60" t="str" cm="1">
        <f t="array" ref="G39" xml:space="preserve"> IFERROR( INDEX(韻母對照表[白話字], MATCH(TRUE, EXACT('【韻】韻母清單（台語音標）'!$C27, 韻母對照表[台羅拼音]), 0)), "")</f>
        <v>ang</v>
      </c>
      <c r="H39" s="54" t="str" cm="1">
        <f t="array" ref="H39" xml:space="preserve"> IFERROR( INDEX(韻母對照表[十五音識別碼], MATCH(TRUE, EXACT('【韻】韻母清單（台語音標）'!$C27, 韻母對照表[台羅拼音]), 0)), "")</f>
        <v>江舒</v>
      </c>
      <c r="I39" s="136" t="s">
        <v>1322</v>
      </c>
      <c r="J39" s="57"/>
      <c r="K39" s="54">
        <f t="shared" si="14"/>
        <v>3</v>
      </c>
      <c r="L39" s="73"/>
      <c r="M39" s="57" t="str">
        <f t="shared" si="6"/>
        <v>iuh</v>
      </c>
      <c r="N39" s="57" t="str">
        <f t="shared" si="7"/>
        <v>iuh</v>
      </c>
      <c r="P39" s="121" t="str">
        <f t="shared" si="8"/>
        <v>iuh(\d)</v>
      </c>
      <c r="Q39" s="124" t="s">
        <v>1226</v>
      </c>
      <c r="R39" s="124">
        <f t="shared" si="9"/>
        <v>1</v>
      </c>
      <c r="S39" s="121" t="str">
        <f t="shared" si="13"/>
        <v>》i${1}uh</v>
      </c>
      <c r="T39" s="55"/>
      <c r="U39" s="56" t="str">
        <f t="shared" si="10"/>
        <v xml:space="preserve">    - xform/》iuh(\d)/》i${1}uh/</v>
      </c>
    </row>
    <row r="40" spans="1:21" ht="27.75" thickBot="1">
      <c r="A40" s="57">
        <f t="shared" si="5"/>
        <v>37</v>
      </c>
      <c r="B40" s="74" t="str">
        <f xml:space="preserve"> _xlfn.CONCAT("e", _xlfn.UNICHAR(771))</f>
        <v>ẽ</v>
      </c>
      <c r="C40" s="57" t="s">
        <v>340</v>
      </c>
      <c r="D40" s="57" t="s">
        <v>340</v>
      </c>
      <c r="E40" s="57" t="str" cm="1">
        <f t="array" ref="E40" xml:space="preserve"> IFERROR( INDEX(韻母對照表[注音二式], MATCH(TRUE, EXACT('【韻】韻母清單（台語音標）'!$C40, 韻母對照表[台羅拼音]), 0)), "")</f>
        <v>enn</v>
      </c>
      <c r="F40" s="57" t="s">
        <v>809</v>
      </c>
      <c r="G40" s="60" t="str" cm="1">
        <f t="array" ref="G40" xml:space="preserve"> IFERROR( INDEX(韻母對照表[白話字], MATCH(TRUE, EXACT('【韻】韻母清單（台語音標）'!$C28, 韻母對照表[台羅拼音]), 0)), "")</f>
        <v>auh</v>
      </c>
      <c r="H40" s="54" t="str" cm="1">
        <f t="array" ref="H40" xml:space="preserve"> IFERROR( INDEX(韻母對照表[十五音識別碼], MATCH(TRUE, EXACT('【韻】韻母清單（台語音標）'!$C28, 韻母對照表[台羅拼音]), 0)), "")</f>
        <v>交促</v>
      </c>
      <c r="I40" s="57" t="str" cm="1">
        <f t="array" ref="I40" xml:space="preserve"> IFERROR( INDEX(韻母對照表[方音符號], MATCH(TRUE, EXACT('【韻】韻母清單（台語音標）'!$C40, 韻母對照表[台羅拼音]), 0)), "")</f>
        <v>ㆥ</v>
      </c>
      <c r="J40" s="57"/>
      <c r="K40" s="54">
        <f t="shared" si="14"/>
        <v>3</v>
      </c>
      <c r="L40" s="73"/>
      <c r="M40" s="57" t="str">
        <f t="shared" si="6"/>
        <v>enn</v>
      </c>
      <c r="N40" s="57" t="str">
        <f t="shared" si="7"/>
        <v>enn</v>
      </c>
      <c r="P40" s="121" t="str">
        <f t="shared" si="8"/>
        <v>enn(\d)</v>
      </c>
      <c r="Q40" s="124" t="s">
        <v>1178</v>
      </c>
      <c r="R40" s="124">
        <f t="shared" si="9"/>
        <v>1</v>
      </c>
      <c r="S40" s="121" t="str">
        <f t="shared" si="13"/>
        <v>》e${1}nn</v>
      </c>
      <c r="T40" s="55"/>
      <c r="U40" s="56" t="str">
        <f t="shared" si="10"/>
        <v xml:space="preserve">    - xform/》enn(\d)/》e${1}nn/</v>
      </c>
    </row>
    <row r="41" spans="1:21" ht="27.75" thickBot="1">
      <c r="A41" s="57">
        <f t="shared" si="5"/>
        <v>38</v>
      </c>
      <c r="B41" s="74" t="s">
        <v>816</v>
      </c>
      <c r="C41" s="57" t="s">
        <v>817</v>
      </c>
      <c r="D41" s="57" t="s">
        <v>817</v>
      </c>
      <c r="E41" s="57" t="str" cm="1">
        <f t="array" ref="E41" xml:space="preserve"> IFERROR( INDEX(韻母對照表[注音二式], MATCH(TRUE, EXACT('【韻】韻母清單（台語音標）'!$C41, 韻母對照表[台羅拼音]), 0)), "")</f>
        <v/>
      </c>
      <c r="F41" s="57" t="s">
        <v>817</v>
      </c>
      <c r="G41" s="60" t="str" cm="1">
        <f t="array" ref="G41" xml:space="preserve"> IFERROR( INDEX(韻母對照表[白話字], MATCH(TRUE, EXACT('【韻】韻母清單（台語音標）'!$C32, 韻母對照表[台羅拼音]), 0)), "")</f>
        <v>ian</v>
      </c>
      <c r="H41" s="54" t="str" cm="1">
        <f t="array" ref="H41" xml:space="preserve"> IFERROR( INDEX(韻母對照表[十五音識別碼], MATCH(TRUE, EXACT('【韻】韻母清單（台語音標）'!$C32, 韻母對照表[台羅拼音]), 0)), "")</f>
        <v>堅舒</v>
      </c>
      <c r="I41" s="136" t="s">
        <v>1324</v>
      </c>
      <c r="J41" s="57"/>
      <c r="K41" s="54">
        <f t="shared" si="14"/>
        <v>3</v>
      </c>
      <c r="L41" s="73"/>
      <c r="M41" s="57" t="str">
        <f t="shared" si="6"/>
        <v>ngh</v>
      </c>
      <c r="N41" s="57" t="str">
        <f t="shared" si="7"/>
        <v>ngh</v>
      </c>
      <c r="P41" s="121" t="str">
        <f t="shared" si="8"/>
        <v>ngh(\d)</v>
      </c>
      <c r="Q41" s="124" t="s">
        <v>1302</v>
      </c>
      <c r="R41" s="124">
        <f t="shared" si="9"/>
        <v>1</v>
      </c>
      <c r="S41" s="121" t="str">
        <f t="shared" si="13"/>
        <v>》n${1}gh</v>
      </c>
      <c r="T41" s="55"/>
      <c r="U41" s="56" t="str">
        <f t="shared" si="10"/>
        <v xml:space="preserve">    - xform/》ngh(\d)/》n${1}gh/</v>
      </c>
    </row>
    <row r="42" spans="1:21" ht="27.75" thickBot="1">
      <c r="A42" s="57">
        <f t="shared" si="5"/>
        <v>39</v>
      </c>
      <c r="B42" s="57" t="s">
        <v>907</v>
      </c>
      <c r="C42" s="57" t="s">
        <v>425</v>
      </c>
      <c r="D42" s="57" t="s">
        <v>425</v>
      </c>
      <c r="E42" s="57" t="str" cm="1">
        <f t="array" ref="E42" xml:space="preserve"> IFERROR( INDEX(韻母對照表[注音二式], MATCH(TRUE, EXACT('【韻】韻母清單（台語音標）'!$C42, 韻母對照表[台羅拼音]), 0)), "")</f>
        <v>oonn</v>
      </c>
      <c r="F42" s="57" t="s">
        <v>427</v>
      </c>
      <c r="G42" s="59" t="str" cm="1">
        <f t="array" ref="G42" xml:space="preserve"> IFERROR( INDEX(韻母對照表[白話字], MATCH(TRUE, EXACT('【韻】韻母清單（台語音標）'!$C36, 韻母對照表[台羅拼音]), 0)), "")</f>
        <v>eng</v>
      </c>
      <c r="H42" s="54" t="str" cm="1">
        <f t="array" ref="H42" xml:space="preserve"> IFERROR( INDEX(韻母對照表[十五音識別碼], MATCH(TRUE, EXACT('【韻】韻母清單（台語音標）'!$C36, 韻母對照表[台羅拼音]), 0)), "")</f>
        <v>經舒</v>
      </c>
      <c r="I42" s="57" t="str" cm="1">
        <f t="array" ref="I42" xml:space="preserve"> IFERROR( INDEX(韻母對照表[方音符號], MATCH(TRUE, EXACT('【韻】韻母清單（台語音標）'!$C42, 韻母對照表[台羅拼音]), 0)), "")</f>
        <v>ㆧ</v>
      </c>
      <c r="J42" s="57"/>
      <c r="K42" s="54">
        <f t="shared" si="14"/>
        <v>3</v>
      </c>
      <c r="L42" s="73"/>
      <c r="M42" s="57" t="str">
        <f t="shared" si="6"/>
        <v>onn</v>
      </c>
      <c r="N42" s="57" t="str">
        <f t="shared" si="7"/>
        <v>onn</v>
      </c>
      <c r="P42" s="121" t="str">
        <f t="shared" si="8"/>
        <v>onn(\d)</v>
      </c>
      <c r="Q42" s="124" t="s">
        <v>1213</v>
      </c>
      <c r="R42" s="124">
        <f t="shared" si="9"/>
        <v>1</v>
      </c>
      <c r="S42" s="121" t="str">
        <f t="shared" si="13"/>
        <v>》o${1}nn</v>
      </c>
      <c r="T42" s="55"/>
      <c r="U42" s="56" t="str">
        <f t="shared" si="10"/>
        <v xml:space="preserve">    - xform/》onn(\d)/》o${1}nn/</v>
      </c>
    </row>
    <row r="43" spans="1:21" ht="27.75" thickBot="1">
      <c r="A43" s="57">
        <f t="shared" si="5"/>
        <v>40</v>
      </c>
      <c r="B43" s="57" t="s">
        <v>81</v>
      </c>
      <c r="C43" s="57" t="s">
        <v>84</v>
      </c>
      <c r="D43" s="57" t="s">
        <v>84</v>
      </c>
      <c r="E43" s="57" t="str" cm="1">
        <f t="array" ref="E43" xml:space="preserve"> IFERROR( INDEX(韻母對照表[注音二式], MATCH(TRUE, EXACT('【韻】韻母清單（台語音標）'!$C43, 韻母對照表[台羅拼音]), 0)), "")</f>
        <v>ong</v>
      </c>
      <c r="F43" s="57" t="s">
        <v>820</v>
      </c>
      <c r="G43" s="60" t="str" cm="1">
        <f t="array" ref="G43" xml:space="preserve"> IFERROR( INDEX(韻母對照表[白話字], MATCH(TRUE, EXACT('【韻】韻母清單（台語音標）'!$C39, 韻母對照表[台羅拼音]), 0)), "")</f>
        <v/>
      </c>
      <c r="H43" s="54" t="str" cm="1">
        <f t="array" ref="H43" xml:space="preserve"> IFERROR( INDEX(韻母對照表[十五音識別碼], MATCH(TRUE, EXACT('【韻】韻母清單（台語音標）'!$C39, 韻母對照表[台羅拼音]), 0)), "")</f>
        <v/>
      </c>
      <c r="I43" s="57" t="str" cm="1">
        <f t="array" ref="I43" xml:space="preserve"> IFERROR( INDEX(韻母對照表[方音符號], MATCH(TRUE, EXACT('【韻】韻母清單（台語音標）'!$C43, 韻母對照表[台羅拼音]), 0)), "")</f>
        <v>ㆲ</v>
      </c>
      <c r="J43" s="57"/>
      <c r="K43" s="54">
        <f t="shared" si="14"/>
        <v>3</v>
      </c>
      <c r="L43" s="73"/>
      <c r="M43" s="57" t="str">
        <f t="shared" si="6"/>
        <v>ong</v>
      </c>
      <c r="N43" s="57" t="str">
        <f t="shared" si="7"/>
        <v>ong</v>
      </c>
      <c r="P43" s="121" t="str">
        <f t="shared" si="8"/>
        <v>ong(\d)</v>
      </c>
      <c r="Q43" s="124" t="s">
        <v>1213</v>
      </c>
      <c r="R43" s="124">
        <f t="shared" si="9"/>
        <v>1</v>
      </c>
      <c r="S43" s="121" t="str">
        <f t="shared" si="13"/>
        <v>》o${1}ng</v>
      </c>
      <c r="T43" s="55"/>
      <c r="U43" s="56" t="str">
        <f t="shared" si="10"/>
        <v xml:space="preserve">    - xform/》ong(\d)/》o${1}ng/</v>
      </c>
    </row>
    <row r="44" spans="1:21" ht="27.75" thickBot="1">
      <c r="A44" s="57">
        <f t="shared" si="5"/>
        <v>41</v>
      </c>
      <c r="B44" s="74" t="s">
        <v>821</v>
      </c>
      <c r="C44" s="57" t="s">
        <v>822</v>
      </c>
      <c r="D44" s="57" t="s">
        <v>822</v>
      </c>
      <c r="E44" s="57" t="str" cm="1">
        <f t="array" ref="E44" xml:space="preserve"> IFERROR( INDEX(韻母對照表[注音二式], MATCH(TRUE, EXACT('【韻】韻母清單（台語音標）'!$C44, 韻母對照表[台羅拼音]), 0)), "")</f>
        <v/>
      </c>
      <c r="F44" s="57" t="s">
        <v>822</v>
      </c>
      <c r="G44" s="59" t="str" cm="1">
        <f t="array" ref="G44" xml:space="preserve"> IFERROR( INDEX(韻母對照表[白話字], MATCH(TRUE, EXACT('【韻】韻母清單（台語音標）'!$C40, 韻母對照表[台羅拼音]), 0)), "")</f>
        <v>eⁿ</v>
      </c>
      <c r="H44" s="54" t="str" cm="1">
        <f t="array" ref="H44" xml:space="preserve"> IFERROR( INDEX(韻母對照表[十五音識別碼], MATCH(TRUE, EXACT('【韻】韻母清單（台語音標）'!$C40, 韻母對照表[台羅拼音]), 0)), "")</f>
        <v>更舒</v>
      </c>
      <c r="I44" s="136" t="s">
        <v>1326</v>
      </c>
      <c r="J44" s="57"/>
      <c r="K44" s="54">
        <f t="shared" si="14"/>
        <v>3</v>
      </c>
      <c r="L44" s="73"/>
      <c r="M44" s="57" t="str">
        <f t="shared" si="6"/>
        <v>ooh</v>
      </c>
      <c r="N44" s="57" t="str">
        <f t="shared" si="7"/>
        <v>ooh</v>
      </c>
      <c r="P44" s="121" t="str">
        <f t="shared" si="8"/>
        <v>ooh(\d)</v>
      </c>
      <c r="Q44" s="124" t="s">
        <v>1213</v>
      </c>
      <c r="R44" s="124">
        <f t="shared" si="9"/>
        <v>1</v>
      </c>
      <c r="S44" s="121" t="str">
        <f t="shared" si="13"/>
        <v>》o${1}oh</v>
      </c>
      <c r="T44" s="55"/>
      <c r="U44" s="56" t="str">
        <f t="shared" si="10"/>
        <v xml:space="preserve">    - xform/》ooh(\d)/》o${1}oh/</v>
      </c>
    </row>
    <row r="45" spans="1:21" ht="27.75" thickBot="1">
      <c r="A45" s="57">
        <f t="shared" si="5"/>
        <v>42</v>
      </c>
      <c r="B45" s="57" t="s">
        <v>823</v>
      </c>
      <c r="C45" s="57" t="s">
        <v>230</v>
      </c>
      <c r="D45" s="57" t="s">
        <v>230</v>
      </c>
      <c r="E45" s="57" t="str" cm="1">
        <f t="array" ref="E45" xml:space="preserve"> IFERROR( INDEX(韻母對照表[注音二式], MATCH(TRUE, EXACT('【韻】韻母清單（台語音標）'!$C45, 韻母對照表[台羅拼音]), 0)), "")</f>
        <v>uah</v>
      </c>
      <c r="F45" s="57" t="s">
        <v>824</v>
      </c>
      <c r="G45" s="59" t="str" cm="1">
        <f t="array" ref="G45" xml:space="preserve"> IFERROR( INDEX(韻母對照表[白話字], MATCH(TRUE, EXACT('【韻】韻母清單（台語音標）'!$C41, 韻母對照表[台羅拼音]), 0)), "")</f>
        <v/>
      </c>
      <c r="H45" s="54" t="str" cm="1">
        <f t="array" ref="H45" xml:space="preserve"> IFERROR( INDEX(韻母對照表[十五音識別碼], MATCH(TRUE, EXACT('【韻】韻母清單（台語音標）'!$C41, 韻母對照表[台羅拼音]), 0)), "")</f>
        <v/>
      </c>
      <c r="I45" s="57" t="str" cm="1">
        <f t="array" ref="I45" xml:space="preserve"> IFERROR( INDEX(韻母對照表[方音符號], MATCH(TRUE, EXACT('【韻】韻母清單（台語音標）'!$C45, 韻母對照表[台羅拼音]), 0)), "")</f>
        <v>ㄨㄚㆷ</v>
      </c>
      <c r="J45" s="57"/>
      <c r="K45" s="54">
        <f t="shared" si="14"/>
        <v>3</v>
      </c>
      <c r="L45" s="73"/>
      <c r="M45" s="57" t="str">
        <f t="shared" si="6"/>
        <v>uah</v>
      </c>
      <c r="N45" s="57" t="str">
        <f t="shared" si="7"/>
        <v>uah</v>
      </c>
      <c r="P45" s="121" t="str">
        <f t="shared" si="8"/>
        <v>uah(\d)</v>
      </c>
      <c r="Q45" s="124" t="s">
        <v>1225</v>
      </c>
      <c r="R45" s="124">
        <f t="shared" si="9"/>
        <v>2</v>
      </c>
      <c r="S45" s="121" t="str">
        <f t="shared" si="13"/>
        <v>u》a${1}h</v>
      </c>
      <c r="T45" s="55"/>
      <c r="U45" s="56" t="str">
        <f t="shared" si="10"/>
        <v xml:space="preserve">    - xform/》uah(\d)/u》a${1}h/</v>
      </c>
    </row>
    <row r="46" spans="1:21" ht="27.75" thickBot="1">
      <c r="A46" s="57">
        <f t="shared" si="5"/>
        <v>43</v>
      </c>
      <c r="B46" s="57" t="s">
        <v>94</v>
      </c>
      <c r="C46" s="57" t="s">
        <v>94</v>
      </c>
      <c r="D46" s="57" t="s">
        <v>94</v>
      </c>
      <c r="E46" s="57" t="str" cm="1">
        <f t="array" ref="E46" xml:space="preserve"> IFERROR( INDEX(韻母對照表[注音二式], MATCH(TRUE, EXACT('【韻】韻母清單（台語音標）'!$C46, 韻母對照表[台羅拼音]), 0)), "")</f>
        <v>uai</v>
      </c>
      <c r="F46" s="57" t="s">
        <v>94</v>
      </c>
      <c r="G46" s="59" t="str" cm="1">
        <f t="array" ref="G46" xml:space="preserve"> IFERROR( INDEX(韻母對照表[白話字], MATCH(TRUE, EXACT('【韻】韻母清單（台語音標）'!$C42, 韻母對照表[台羅拼音]), 0)), "")</f>
        <v>oⁿ</v>
      </c>
      <c r="H46" s="54" t="str" cm="1">
        <f t="array" ref="H46" xml:space="preserve"> IFERROR( INDEX(韻母對照表[十五音識別碼], MATCH(TRUE, EXACT('【韻】韻母清單（台語音標）'!$C42, 韻母對照表[台羅拼音]), 0)), "")</f>
        <v>姑舒</v>
      </c>
      <c r="I46" s="57" t="str" cm="1">
        <f t="array" ref="I46" xml:space="preserve"> IFERROR( INDEX(韻母對照表[方音符號], MATCH(TRUE, EXACT('【韻】韻母清單（台語音標）'!$C46, 韻母對照表[台羅拼音]), 0)), "")</f>
        <v>ㄨㄞ</v>
      </c>
      <c r="J46" s="57"/>
      <c r="K46" s="54">
        <f t="shared" si="14"/>
        <v>3</v>
      </c>
      <c r="L46" s="73"/>
      <c r="M46" s="57" t="str">
        <f t="shared" si="6"/>
        <v>uai</v>
      </c>
      <c r="N46" s="57" t="str">
        <f t="shared" si="7"/>
        <v>uai</v>
      </c>
      <c r="P46" s="121" t="str">
        <f t="shared" si="8"/>
        <v>uai(\d)</v>
      </c>
      <c r="Q46" s="124" t="s">
        <v>1225</v>
      </c>
      <c r="R46" s="124">
        <f t="shared" si="9"/>
        <v>2</v>
      </c>
      <c r="S46" s="121" t="str">
        <f t="shared" si="13"/>
        <v>u》a${1}i</v>
      </c>
      <c r="T46" s="55"/>
      <c r="U46" s="56" t="str">
        <f t="shared" si="10"/>
        <v xml:space="preserve">    - xform/》uai(\d)/u》a${1}i/</v>
      </c>
    </row>
    <row r="47" spans="1:21" ht="27.75" thickBot="1">
      <c r="A47" s="57">
        <f t="shared" si="5"/>
        <v>44</v>
      </c>
      <c r="B47" s="57" t="s">
        <v>120</v>
      </c>
      <c r="C47" s="57" t="s">
        <v>120</v>
      </c>
      <c r="D47" s="57" t="s">
        <v>120</v>
      </c>
      <c r="E47" s="57" t="str" cm="1">
        <f t="array" ref="E47" xml:space="preserve"> IFERROR( INDEX(韻母對照表[注音二式], MATCH(TRUE, EXACT('【韻】韻母清單（台語音標）'!$C47, 韻母對照表[台羅拼音]), 0)), "")</f>
        <v>uan</v>
      </c>
      <c r="F47" s="57" t="s">
        <v>826</v>
      </c>
      <c r="G47" s="59" t="str" cm="1">
        <f t="array" ref="G47" xml:space="preserve"> IFERROR( INDEX(韻母對照表[白話字], MATCH(TRUE, EXACT('【韻】韻母清單（台語音標）'!$C44, 韻母對照表[台羅拼音]), 0)), "")</f>
        <v/>
      </c>
      <c r="H47" s="54" t="str" cm="1">
        <f t="array" ref="H47" xml:space="preserve"> IFERROR( INDEX(韻母對照表[十五音識別碼], MATCH(TRUE, EXACT('【韻】韻母清單（台語音標）'!$C44, 韻母對照表[台羅拼音]), 0)), "")</f>
        <v/>
      </c>
      <c r="I47" s="57" t="str" cm="1">
        <f t="array" ref="I47" xml:space="preserve"> IFERROR( INDEX(韻母對照表[方音符號], MATCH(TRUE, EXACT('【韻】韻母清單（台語音標）'!$C47, 韻母對照表[台羅拼音]), 0)), "")</f>
        <v>ㄨㄢ</v>
      </c>
      <c r="J47" s="57"/>
      <c r="K47" s="54">
        <f t="shared" si="14"/>
        <v>3</v>
      </c>
      <c r="L47" s="73"/>
      <c r="M47" s="57" t="str">
        <f t="shared" si="6"/>
        <v>uan</v>
      </c>
      <c r="N47" s="57" t="str">
        <f t="shared" si="7"/>
        <v>uan</v>
      </c>
      <c r="P47" s="121" t="str">
        <f t="shared" si="8"/>
        <v>uan(\d)</v>
      </c>
      <c r="Q47" s="124" t="s">
        <v>1225</v>
      </c>
      <c r="R47" s="124">
        <f t="shared" si="9"/>
        <v>2</v>
      </c>
      <c r="S47" s="121" t="str">
        <f t="shared" si="13"/>
        <v>u》a${1}n</v>
      </c>
      <c r="T47" s="55"/>
      <c r="U47" s="56" t="str">
        <f t="shared" si="10"/>
        <v xml:space="preserve">    - xform/》uan(\d)/u》a${1}n/</v>
      </c>
    </row>
    <row r="48" spans="1:21" ht="27.75" thickBot="1">
      <c r="A48" s="57">
        <f t="shared" si="5"/>
        <v>45</v>
      </c>
      <c r="B48" s="57" t="s">
        <v>877</v>
      </c>
      <c r="C48" s="57" t="s">
        <v>129</v>
      </c>
      <c r="D48" s="57" t="s">
        <v>129</v>
      </c>
      <c r="E48" s="57" t="str" cm="1">
        <f t="array" ref="E48" xml:space="preserve"> IFERROR( INDEX(韻母對照表[注音二式], MATCH(TRUE, EXACT('【韻】韻母清單（台語音標）'!$C48, 韻母對照表[台羅拼音]), 0)), "")</f>
        <v>uat</v>
      </c>
      <c r="F48" s="57" t="s">
        <v>827</v>
      </c>
      <c r="G48" s="59" t="str" cm="1">
        <f t="array" ref="G48" xml:space="preserve"> IFERROR( INDEX(韻母對照表[白話字], MATCH(TRUE, EXACT('【韻】韻母清單（台語音標）'!$C45, 韻母對照表[台羅拼音]), 0)), "")</f>
        <v>oah</v>
      </c>
      <c r="H48" s="54" t="str" cm="1">
        <f t="array" ref="H48" xml:space="preserve"> IFERROR( INDEX(韻母對照表[十五音識別碼], MATCH(TRUE, EXACT('【韻】韻母清單（台語音標）'!$C45, 韻母對照表[台羅拼音]), 0)), "")</f>
        <v>瓜促</v>
      </c>
      <c r="I48" s="57" t="str" cm="1">
        <f t="array" ref="I48" xml:space="preserve"> IFERROR( INDEX(韻母對照表[方音符號], MATCH(TRUE, EXACT('【韻】韻母清單（台語音標）'!$C48, 韻母對照表[台羅拼音]), 0)), "")</f>
        <v>ㄨㄚㆵ</v>
      </c>
      <c r="J48" s="57"/>
      <c r="K48" s="54">
        <f t="shared" si="14"/>
        <v>3</v>
      </c>
      <c r="L48" s="73"/>
      <c r="M48" s="57" t="str">
        <f t="shared" si="6"/>
        <v>uat</v>
      </c>
      <c r="N48" s="57" t="str">
        <f t="shared" si="7"/>
        <v>uat</v>
      </c>
      <c r="P48" s="121" t="str">
        <f t="shared" si="8"/>
        <v>uat(\d)</v>
      </c>
      <c r="Q48" s="124" t="s">
        <v>1225</v>
      </c>
      <c r="R48" s="124">
        <f t="shared" si="9"/>
        <v>2</v>
      </c>
      <c r="S48" s="121" t="str">
        <f t="shared" si="13"/>
        <v>u》a${1}t</v>
      </c>
      <c r="T48" s="55"/>
      <c r="U48" s="56" t="str">
        <f t="shared" si="10"/>
        <v xml:space="preserve">    - xform/》uat(\d)/u》a${1}t/</v>
      </c>
    </row>
    <row r="49" spans="1:21" ht="27.75" thickBot="1">
      <c r="A49" s="57">
        <f t="shared" si="5"/>
        <v>46</v>
      </c>
      <c r="B49" s="57" t="s">
        <v>828</v>
      </c>
      <c r="C49" s="57" t="s">
        <v>290</v>
      </c>
      <c r="D49" s="57" t="s">
        <v>290</v>
      </c>
      <c r="E49" s="57" t="str" cm="1">
        <f t="array" ref="E49" xml:space="preserve"> IFERROR( INDEX(韻母對照表[注音二式], MATCH(TRUE, EXACT('【韻】韻母清單（台語音標）'!$C49, 韻母對照表[台羅拼音]), 0)), "")</f>
        <v>ueh</v>
      </c>
      <c r="F49" s="57" t="s">
        <v>290</v>
      </c>
      <c r="G49" s="59" t="str" cm="1">
        <f t="array" ref="G49" xml:space="preserve"> IFERROR( INDEX(韻母對照表[白話字], MATCH(TRUE, EXACT('【韻】韻母清單（台語音標）'!$C46, 韻母對照表[台羅拼音]), 0)), "")</f>
        <v>oai</v>
      </c>
      <c r="H49" s="54" t="str" cm="1">
        <f t="array" ref="H49" xml:space="preserve"> IFERROR( INDEX(韻母對照表[十五音識別碼], MATCH(TRUE, EXACT('【韻】韻母清單（台語音標）'!$C46, 韻母對照表[台羅拼音]), 0)), "")</f>
        <v>乖舒</v>
      </c>
      <c r="I49" s="57" t="str" cm="1">
        <f t="array" ref="I49" xml:space="preserve"> IFERROR( INDEX(韻母對照表[方音符號], MATCH(TRUE, EXACT('【韻】韻母清單（台語音標）'!$C49, 韻母對照表[台羅拼音]), 0)), "")</f>
        <v>ㄨㆤㆷ</v>
      </c>
      <c r="J49" s="57"/>
      <c r="K49" s="54">
        <f t="shared" si="14"/>
        <v>3</v>
      </c>
      <c r="L49" s="73"/>
      <c r="M49" s="57" t="str">
        <f t="shared" si="6"/>
        <v>ueh</v>
      </c>
      <c r="N49" s="57" t="str">
        <f t="shared" si="7"/>
        <v>ueh</v>
      </c>
      <c r="P49" s="121" t="str">
        <f t="shared" si="8"/>
        <v>ueh(\d)</v>
      </c>
      <c r="Q49" s="124" t="s">
        <v>1178</v>
      </c>
      <c r="R49" s="124">
        <f t="shared" si="9"/>
        <v>2</v>
      </c>
      <c r="S49" s="121" t="str">
        <f t="shared" si="13"/>
        <v>u》e${1}h</v>
      </c>
      <c r="T49" s="55"/>
      <c r="U49" s="56" t="str">
        <f t="shared" si="10"/>
        <v xml:space="preserve">    - xform/》ueh(\d)/u》e${1}h/</v>
      </c>
    </row>
    <row r="50" spans="1:21" ht="27.75" thickBot="1">
      <c r="A50" s="57">
        <f t="shared" si="5"/>
        <v>47</v>
      </c>
      <c r="B50" s="57" t="s">
        <v>294</v>
      </c>
      <c r="C50" s="57" t="s">
        <v>297</v>
      </c>
      <c r="D50" s="57" t="s">
        <v>297</v>
      </c>
      <c r="E50" s="57" t="str" cm="1">
        <f t="array" ref="E50" xml:space="preserve"> IFERROR( INDEX(韻母對照表[注音二式], MATCH(TRUE, EXACT('【韻】韻母清單（台語音標）'!$C50, 韻母對照表[台羅拼音]), 0)), "")</f>
        <v>ann</v>
      </c>
      <c r="F50" s="57" t="s">
        <v>299</v>
      </c>
      <c r="G50" s="60" t="str" cm="1">
        <f t="array" ref="G50" xml:space="preserve"> IFERROR( INDEX(韻母對照表[白話字], MATCH(TRUE, EXACT('【韻】韻母清單（台語音標）'!$C69, 韻母對照表[台羅拼音]), 0)), "")</f>
        <v>ek</v>
      </c>
      <c r="H50" s="54" t="str" cm="1">
        <f t="array" ref="H50" xml:space="preserve"> IFERROR( INDEX(韻母對照表[十五音識別碼], MATCH(TRUE, EXACT('【韻】韻母清單（台語音標）'!$C69, 韻母對照表[台羅拼音]), 0)), "")</f>
        <v>經促</v>
      </c>
      <c r="I50" s="57" t="str" cm="1">
        <f t="array" ref="I50" xml:space="preserve"> IFERROR( INDEX(韻母對照表[方音符號], MATCH(TRUE, EXACT('【韻】韻母清單（台語音標）'!$C50, 韻母對照表[台羅拼音]), 0)), "")</f>
        <v>ㆩ</v>
      </c>
      <c r="J50" s="57"/>
      <c r="K50" s="54">
        <f t="shared" si="14"/>
        <v>3</v>
      </c>
      <c r="L50" s="73"/>
      <c r="M50" s="57" t="str">
        <f t="shared" si="6"/>
        <v>ann</v>
      </c>
      <c r="N50" s="57" t="str">
        <f t="shared" si="7"/>
        <v>ann</v>
      </c>
      <c r="P50" s="121" t="str">
        <f t="shared" si="8"/>
        <v>ann(\d)</v>
      </c>
      <c r="Q50" s="124" t="s">
        <v>1225</v>
      </c>
      <c r="R50" s="124">
        <f t="shared" si="9"/>
        <v>1</v>
      </c>
      <c r="S50" s="121" t="str">
        <f t="shared" si="13"/>
        <v>》a${1}nn</v>
      </c>
      <c r="T50" s="55"/>
      <c r="U50" s="56" t="str">
        <f t="shared" si="10"/>
        <v xml:space="preserve">    - xform/》ann(\d)/》a${1}nn/</v>
      </c>
    </row>
    <row r="51" spans="1:21" ht="27.75" thickBot="1">
      <c r="A51" s="57">
        <f t="shared" si="5"/>
        <v>48</v>
      </c>
      <c r="B51" s="57" t="s">
        <v>848</v>
      </c>
      <c r="C51" s="57" t="s">
        <v>370</v>
      </c>
      <c r="D51" s="57" t="s">
        <v>370</v>
      </c>
      <c r="E51" s="57" t="str" cm="1">
        <f t="array" ref="E51" xml:space="preserve"> IFERROR( INDEX(韻母對照表[注音二式], MATCH(TRUE, EXACT('【韻】韻母清單（台語音標）'!$C51, 韻母對照表[台羅拼音]), 0)), "")</f>
        <v>inn</v>
      </c>
      <c r="F51" s="57" t="s">
        <v>372</v>
      </c>
      <c r="G51" s="60" t="str" cm="1">
        <f t="array" ref="G51" xml:space="preserve"> IFERROR( INDEX(韻母對照表[白話字], MATCH(TRUE, EXACT('【韻】韻母清單（台語音標）'!$C71, 韻母對照表[台羅拼音]), 0)), "")</f>
        <v>in</v>
      </c>
      <c r="H51" s="54" t="str" cm="1">
        <f t="array" ref="H51" xml:space="preserve"> IFERROR( INDEX(韻母對照表[十五音識別碼], MATCH(TRUE, EXACT('【韻】韻母清單（台語音標）'!$C71, 韻母對照表[台羅拼音]), 0)), "")</f>
        <v>巾舒</v>
      </c>
      <c r="I51" s="57" t="str" cm="1">
        <f t="array" ref="I51" xml:space="preserve"> IFERROR( INDEX(韻母對照表[方音符號], MATCH(TRUE, EXACT('【韻】韻母清單（台語音標）'!$C51, 韻母對照表[台羅拼音]), 0)), "")</f>
        <v>ㆪ</v>
      </c>
      <c r="J51" s="57"/>
      <c r="K51" s="54">
        <f t="shared" si="14"/>
        <v>3</v>
      </c>
      <c r="L51" s="73"/>
      <c r="M51" s="57" t="str">
        <f t="shared" si="6"/>
        <v>inn</v>
      </c>
      <c r="N51" s="57" t="str">
        <f t="shared" si="7"/>
        <v>inn</v>
      </c>
      <c r="P51" s="121" t="str">
        <f t="shared" si="8"/>
        <v>inn(\d)</v>
      </c>
      <c r="Q51" s="124" t="s">
        <v>1226</v>
      </c>
      <c r="R51" s="124">
        <f t="shared" si="9"/>
        <v>1</v>
      </c>
      <c r="S51" s="121" t="str">
        <f t="shared" si="13"/>
        <v>》i${1}nn</v>
      </c>
      <c r="T51" s="55"/>
      <c r="U51" s="56" t="str">
        <f t="shared" si="10"/>
        <v xml:space="preserve">    - xform/》inn(\d)/》i${1}nn/</v>
      </c>
    </row>
    <row r="52" spans="1:21" ht="27.75" thickBot="1">
      <c r="A52" s="57">
        <f t="shared" si="5"/>
        <v>49</v>
      </c>
      <c r="B52" s="74" t="s">
        <v>861</v>
      </c>
      <c r="C52" s="57" t="s">
        <v>862</v>
      </c>
      <c r="D52" s="57" t="s">
        <v>862</v>
      </c>
      <c r="E52" s="57" t="str" cm="1">
        <f t="array" ref="E52" xml:space="preserve"> IFERROR( INDEX(韻母對照表[注音二式], MATCH(TRUE, EXACT('【韻】韻母清單（台語音標）'!$C52, 韻母對照表[台羅拼音]), 0)), "")</f>
        <v/>
      </c>
      <c r="F52" s="57" t="str" cm="1">
        <f t="array" ref="F52" xml:space="preserve"> IFERROR( INDEX(韻母對照表[閩拼方案], MATCH(TRUE, EXACT('【韻】韻母清單（台語音標）'!$B94, 韻母對照表[國際音標]), 0)), "")</f>
        <v>a</v>
      </c>
      <c r="G52" s="61" t="str" cm="1">
        <f t="array" ref="G52" xml:space="preserve"> IFERROR( INDEX(韻母對照表[白話字], MATCH(TRUE, EXACT('【韻】韻母清單（台語音標）'!$C94, 韻母對照表[台羅拼音]), 0)), "")</f>
        <v>a</v>
      </c>
      <c r="H52" s="54" t="str" cm="1">
        <f t="array" ref="H52" xml:space="preserve"> IFERROR( INDEX(韻母對照表[十五音識別碼], MATCH(TRUE, EXACT('【韻】韻母清單（台語音標）'!$C94, 韻母對照表[台羅拼音]), 0)), "")</f>
        <v>膠舒</v>
      </c>
      <c r="I52" s="57" t="str" cm="1">
        <f t="array" ref="I52" xml:space="preserve"> IFERROR( INDEX(韻母對照表[方音符號], MATCH(TRUE, EXACT('【韻】韻母清單（台語音標）'!$C52, 韻母對照表[台羅拼音]), 0)), "")</f>
        <v/>
      </c>
      <c r="J52" s="57"/>
      <c r="K52" s="54">
        <f t="shared" si="14"/>
        <v>3</v>
      </c>
      <c r="L52" s="73"/>
      <c r="M52" s="57" t="str">
        <f t="shared" si="6"/>
        <v>uae</v>
      </c>
      <c r="N52" s="57" t="str">
        <f t="shared" si="7"/>
        <v>uae</v>
      </c>
      <c r="P52" s="121" t="str">
        <f t="shared" si="8"/>
        <v>uae(\d)</v>
      </c>
      <c r="Q52" s="124" t="s">
        <v>1225</v>
      </c>
      <c r="R52" s="124">
        <f t="shared" si="9"/>
        <v>2</v>
      </c>
      <c r="S52" s="121" t="str">
        <f t="shared" si="13"/>
        <v>u》a${1}e</v>
      </c>
      <c r="T52" s="55"/>
      <c r="U52" s="56" t="str">
        <f t="shared" si="10"/>
        <v xml:space="preserve">    - xform/》uae(\d)/u》a${1}e/</v>
      </c>
    </row>
    <row r="53" spans="1:21" ht="27.75" thickBot="1">
      <c r="A53" s="57">
        <f t="shared" si="5"/>
        <v>50</v>
      </c>
      <c r="B53" s="74" t="s">
        <v>866</v>
      </c>
      <c r="C53" s="57" t="s">
        <v>867</v>
      </c>
      <c r="D53" s="57" t="s">
        <v>867</v>
      </c>
      <c r="E53" s="57" t="str" cm="1">
        <f t="array" ref="E53" xml:space="preserve"> IFERROR( INDEX(韻母對照表[注音二式], MATCH(TRUE, EXACT('【韻】韻母清單（台語音標）'!$C53, 韻母對照表[台羅拼音]), 0)), "")</f>
        <v/>
      </c>
      <c r="F53" s="57" t="str" cm="1">
        <f t="array" ref="F53" xml:space="preserve"> IFERROR( INDEX(韻母對照表[閩拼方案], MATCH(TRUE, EXACT('【韻】韻母清單（台語音標）'!$B97, 韻母對照表[國際音標]), 0)), "")</f>
        <v>m</v>
      </c>
      <c r="G53" s="61" t="str" cm="1">
        <f t="array" ref="G53" xml:space="preserve"> IFERROR( INDEX(韻母對照表[白話字], MATCH(TRUE, EXACT('【韻】韻母清單（台語音標）'!$C97, 韻母對照表[台羅拼音]), 0)), "")</f>
        <v>m</v>
      </c>
      <c r="H53" s="54" t="str" cm="1">
        <f t="array" ref="H53" xml:space="preserve"> IFERROR( INDEX(韻母對照表[十五音識別碼], MATCH(TRUE, EXACT('【韻】韻母清單（台語音標）'!$C97, 韻母對照表[台羅拼音]), 0)), "")</f>
        <v>姆舒</v>
      </c>
      <c r="I53" s="136" t="s">
        <v>1327</v>
      </c>
      <c r="J53" s="57"/>
      <c r="K53" s="54">
        <f t="shared" si="14"/>
        <v>3</v>
      </c>
      <c r="L53" s="73"/>
      <c r="M53" s="57" t="str">
        <f t="shared" si="6"/>
        <v>ioo</v>
      </c>
      <c r="N53" s="57" t="str">
        <f t="shared" si="7"/>
        <v>ioo</v>
      </c>
      <c r="P53" s="121" t="str">
        <f t="shared" si="8"/>
        <v>ioo(\d)</v>
      </c>
      <c r="Q53" s="124" t="s">
        <v>1226</v>
      </c>
      <c r="R53" s="124">
        <f t="shared" si="9"/>
        <v>1</v>
      </c>
      <c r="S53" s="121" t="str">
        <f t="shared" si="13"/>
        <v>》i${1}oo</v>
      </c>
      <c r="T53" s="55"/>
      <c r="U53" s="56" t="str">
        <f t="shared" si="10"/>
        <v xml:space="preserve">    - xform/》ioo(\d)/》i${1}oo/</v>
      </c>
    </row>
    <row r="54" spans="1:21" ht="27.75" thickBot="1">
      <c r="A54" s="57">
        <f t="shared" si="5"/>
        <v>51</v>
      </c>
      <c r="B54" s="74" t="s">
        <v>868</v>
      </c>
      <c r="C54" s="57" t="s">
        <v>110</v>
      </c>
      <c r="D54" s="57" t="s">
        <v>110</v>
      </c>
      <c r="E54" s="57" t="str" cm="1">
        <f t="array" ref="E54" xml:space="preserve"> IFERROR( INDEX(韻母對照表[注音二式], MATCH(TRUE, EXACT('【韻】韻母清單（台語音標）'!$C54, 韻母對照表[台羅拼音]), 0)), "")</f>
        <v/>
      </c>
      <c r="F54" s="57" t="str" cm="1">
        <f t="array" ref="F54" xml:space="preserve"> IFERROR( INDEX(韻母對照表[閩拼方案], MATCH(TRUE, EXACT('【韻】韻母清單（台語音標）'!$B98, 韻母對照表[國際音標]), 0)), "")</f>
        <v/>
      </c>
      <c r="G54" s="59" t="str" cm="1">
        <f t="array" ref="G54" xml:space="preserve"> IFERROR( INDEX(韻母對照表[白話字], MATCH(TRUE, EXACT('【韻】韻母清單（台語音標）'!$C98, 韻母對照表[台羅拼音]), 0)), "")</f>
        <v>o</v>
      </c>
      <c r="H54" s="54" t="str" cm="1">
        <f t="array" ref="H54" xml:space="preserve"> IFERROR( INDEX(韻母對照表[十五音識別碼], MATCH(TRUE, EXACT('【韻】韻母清單（台語音標）'!$C98, 韻母對照表[台羅拼音]), 0)), "")</f>
        <v>高舒</v>
      </c>
      <c r="I54" s="136" t="s">
        <v>1328</v>
      </c>
      <c r="J54" s="57"/>
      <c r="K54" s="54">
        <f t="shared" si="14"/>
        <v>3</v>
      </c>
      <c r="L54" s="73"/>
      <c r="M54" s="57" t="str">
        <f t="shared" si="6"/>
        <v>eng</v>
      </c>
      <c r="N54" s="57" t="str">
        <f t="shared" si="7"/>
        <v>eng</v>
      </c>
      <c r="P54" s="121" t="str">
        <f t="shared" si="8"/>
        <v>eng(\d)</v>
      </c>
      <c r="Q54" s="124" t="s">
        <v>1178</v>
      </c>
      <c r="R54" s="124">
        <f t="shared" si="9"/>
        <v>1</v>
      </c>
      <c r="S54" s="121" t="str">
        <f t="shared" si="13"/>
        <v>》e${1}ng</v>
      </c>
      <c r="T54" s="55"/>
      <c r="U54" s="56" t="str">
        <f t="shared" si="10"/>
        <v xml:space="preserve">    - xform/》eng(\d)/》e${1}ng/</v>
      </c>
    </row>
    <row r="55" spans="1:21" ht="27.75" thickBot="1">
      <c r="A55" s="57">
        <f t="shared" si="5"/>
        <v>52</v>
      </c>
      <c r="B55" s="57" t="s">
        <v>56</v>
      </c>
      <c r="C55" s="57" t="s">
        <v>59</v>
      </c>
      <c r="D55" s="57" t="s">
        <v>59</v>
      </c>
      <c r="E55" s="57" t="str" cm="1">
        <f t="array" ref="E55" xml:space="preserve"> IFERROR( INDEX(韻母對照表[注音二式], MATCH(TRUE, EXACT('【韻】韻母清單（台語音標）'!$C55, 韻母對照表[台羅拼音]), 0)), "")</f>
        <v>e</v>
      </c>
      <c r="F55" s="57" t="s">
        <v>829</v>
      </c>
      <c r="G55" s="61"/>
      <c r="H55" s="54" t="str" cm="1">
        <f t="array" ref="H55" xml:space="preserve"> IFERROR( INDEX(韻母對照表[十五音識別碼], MATCH(TRUE, EXACT('【韻】韻母清單（台語音標）'!$C47, 韻母對照表[台羅拼音]), 0)), "")</f>
        <v>觀舒</v>
      </c>
      <c r="I55" s="57" t="str" cm="1">
        <f t="array" ref="I55" xml:space="preserve"> IFERROR( INDEX(韻母對照表[方音符號], MATCH(TRUE, EXACT('【韻】韻母清單（台語音標）'!$C55, 韻母對照表[台羅拼音]), 0)), "")</f>
        <v>ㄝ</v>
      </c>
      <c r="J55" s="57"/>
      <c r="K55" s="54">
        <f t="shared" si="14"/>
        <v>2</v>
      </c>
      <c r="L55" s="73"/>
      <c r="M55" s="57" t="str">
        <f t="shared" si="6"/>
        <v>ee</v>
      </c>
      <c r="N55" s="57" t="str">
        <f t="shared" si="7"/>
        <v>ee</v>
      </c>
      <c r="P55" s="121" t="str">
        <f t="shared" si="8"/>
        <v>ee(\d)</v>
      </c>
      <c r="Q55" s="124" t="s">
        <v>1178</v>
      </c>
      <c r="R55" s="124">
        <f t="shared" si="9"/>
        <v>1</v>
      </c>
      <c r="S55" s="121" t="str">
        <f t="shared" si="13"/>
        <v>》e${1}e</v>
      </c>
      <c r="T55" s="55"/>
      <c r="U55" s="56" t="str">
        <f t="shared" si="10"/>
        <v xml:space="preserve">    - xform/》ee(\d)/》e${1}e/</v>
      </c>
    </row>
    <row r="56" spans="1:21" ht="27.75" thickBot="1">
      <c r="A56" s="57">
        <f t="shared" si="5"/>
        <v>53</v>
      </c>
      <c r="B56" s="57" t="s">
        <v>830</v>
      </c>
      <c r="C56" s="57" t="s">
        <v>321</v>
      </c>
      <c r="D56" s="57" t="s">
        <v>321</v>
      </c>
      <c r="E56" s="57" t="str" cm="1">
        <f t="array" ref="E56" xml:space="preserve"> IFERROR( INDEX(韻母對照表[注音二式], MATCH(TRUE, EXACT('【韻】韻母清單（台語音標）'!$C56, 韻母對照表[台羅拼音]), 0)), "")</f>
        <v>ah</v>
      </c>
      <c r="F56" s="57" t="s">
        <v>831</v>
      </c>
      <c r="G56" s="60" t="str" cm="1">
        <f t="array" ref="G56" xml:space="preserve"> IFERROR( INDEX(韻母對照表[白話字], MATCH(TRUE, EXACT('【韻】韻母清單（台語音標）'!$C48, 韻母對照表[台羅拼音]), 0)), "")</f>
        <v>oat</v>
      </c>
      <c r="H56" s="54" t="str" cm="1">
        <f t="array" ref="H56" xml:space="preserve"> IFERROR( INDEX(韻母對照表[十五音識別碼], MATCH(TRUE, EXACT('【韻】韻母清單（台語音標）'!$C48, 韻母對照表[台羅拼音]), 0)), "")</f>
        <v>觀促</v>
      </c>
      <c r="I56" s="57" t="str" cm="1">
        <f t="array" ref="I56" xml:space="preserve"> IFERROR( INDEX(韻母對照表[方音符號], MATCH(TRUE, EXACT('【韻】韻母清單（台語音標）'!$C56, 韻母對照表[台羅拼音]), 0)), "")</f>
        <v>ㄚㆷ</v>
      </c>
      <c r="J56" s="57"/>
      <c r="K56" s="54">
        <f t="shared" si="14"/>
        <v>2</v>
      </c>
      <c r="L56" s="73"/>
      <c r="M56" s="57" t="str">
        <f t="shared" si="6"/>
        <v>ah</v>
      </c>
      <c r="N56" s="57" t="str">
        <f t="shared" si="7"/>
        <v>ah</v>
      </c>
      <c r="P56" s="121" t="str">
        <f t="shared" si="8"/>
        <v>ah(\d)</v>
      </c>
      <c r="Q56" s="124" t="s">
        <v>1225</v>
      </c>
      <c r="R56" s="124">
        <f t="shared" si="9"/>
        <v>1</v>
      </c>
      <c r="S56" s="121" t="str">
        <f t="shared" si="13"/>
        <v>》a${1}h</v>
      </c>
      <c r="T56" s="55"/>
      <c r="U56" s="56" t="str">
        <f t="shared" si="10"/>
        <v xml:space="preserve">    - xform/》ah(\d)/》a${1}h/</v>
      </c>
    </row>
    <row r="57" spans="1:21" ht="27.75" thickBot="1">
      <c r="A57" s="57">
        <f t="shared" si="5"/>
        <v>54</v>
      </c>
      <c r="B57" s="57" t="s">
        <v>183</v>
      </c>
      <c r="C57" s="57" t="s">
        <v>183</v>
      </c>
      <c r="D57" s="57" t="s">
        <v>183</v>
      </c>
      <c r="E57" s="57" t="str" cm="1">
        <f t="array" ref="E57" xml:space="preserve"> IFERROR( INDEX(韻母對照表[注音二式], MATCH(TRUE, EXACT('【韻】韻母清單（台語音標）'!$C57, 韻母對照表[台羅拼音]), 0)), "")</f>
        <v>ai</v>
      </c>
      <c r="F57" s="57" t="s">
        <v>183</v>
      </c>
      <c r="G57" s="60" t="str" cm="1">
        <f t="array" ref="G57" xml:space="preserve"> IFERROR( INDEX(韻母對照表[白話字], MATCH(TRUE, EXACT('【韻】韻母清單（台語音標）'!$C49, 韻母對照表[台羅拼音]), 0)), "")</f>
        <v>oeh</v>
      </c>
      <c r="H57" s="54" t="str" cm="1">
        <f t="array" ref="H57" xml:space="preserve"> IFERROR( INDEX(韻母對照表[十五音識別碼], MATCH(TRUE, EXACT('【韻】韻母清單（台語音標）'!$C49, 韻母對照表[台羅拼音]), 0)), "")</f>
        <v>檜促</v>
      </c>
      <c r="I57" s="57" t="str" cm="1">
        <f t="array" ref="I57" xml:space="preserve"> IFERROR( INDEX(韻母對照表[方音符號], MATCH(TRUE, EXACT('【韻】韻母清單（台語音標）'!$C57, 韻母對照表[台羅拼音]), 0)), "")</f>
        <v>ㄞ</v>
      </c>
      <c r="J57" s="57"/>
      <c r="K57" s="54">
        <f t="shared" si="14"/>
        <v>2</v>
      </c>
      <c r="L57" s="73"/>
      <c r="M57" s="57" t="str">
        <f t="shared" si="6"/>
        <v>ai</v>
      </c>
      <c r="N57" s="57" t="str">
        <f t="shared" si="7"/>
        <v>ai</v>
      </c>
      <c r="P57" s="121" t="str">
        <f t="shared" si="8"/>
        <v>ai(\d)</v>
      </c>
      <c r="Q57" s="124" t="s">
        <v>1225</v>
      </c>
      <c r="R57" s="124">
        <f t="shared" si="9"/>
        <v>1</v>
      </c>
      <c r="S57" s="121" t="str">
        <f t="shared" si="13"/>
        <v>》a${1}i</v>
      </c>
      <c r="T57" s="55"/>
      <c r="U57" s="56" t="str">
        <f t="shared" si="10"/>
        <v xml:space="preserve">    - xform/》ai(\d)/》a${1}i/</v>
      </c>
    </row>
    <row r="58" spans="1:21" ht="27.75" thickBot="1">
      <c r="A58" s="57">
        <f t="shared" si="5"/>
        <v>55</v>
      </c>
      <c r="B58" s="57" t="s">
        <v>886</v>
      </c>
      <c r="C58" s="57" t="s">
        <v>243</v>
      </c>
      <c r="D58" s="57" t="s">
        <v>243</v>
      </c>
      <c r="E58" s="57" t="str" cm="1">
        <f t="array" ref="E58" xml:space="preserve"> IFERROR( INDEX(韻母對照表[注音二式], MATCH(TRUE, EXACT('【韻】韻母清單（台語音標）'!$C58, 韻母對照表[台羅拼音]), 0)), "")</f>
        <v>ak</v>
      </c>
      <c r="F58" s="57" t="s">
        <v>832</v>
      </c>
      <c r="G58" s="60" t="str" cm="1">
        <f t="array" ref="G58" xml:space="preserve"> IFERROR( INDEX(韻母對照表[白話字], MATCH(TRUE, EXACT('【韻】韻母清單（台語音標）'!$C50, 韻母對照表[台羅拼音]), 0)), "")</f>
        <v>aⁿ</v>
      </c>
      <c r="H58" s="54" t="str" cm="1">
        <f t="array" ref="H58" xml:space="preserve"> IFERROR( INDEX(韻母對照表[十五音識別碼], MATCH(TRUE, EXACT('【韻】韻母清單（台語音標）'!$C50, 韻母對照表[台羅拼音]), 0)), "")</f>
        <v>監舒</v>
      </c>
      <c r="I58" s="57" t="str" cm="1">
        <f t="array" ref="I58" xml:space="preserve"> IFERROR( INDEX(韻母對照表[方音符號], MATCH(TRUE, EXACT('【韻】韻母清單（台語音標）'!$C58, 韻母對照表[台羅拼音]), 0)), "")</f>
        <v>ㄚㆻ</v>
      </c>
      <c r="J58" s="57"/>
      <c r="K58" s="54">
        <f t="shared" si="14"/>
        <v>2</v>
      </c>
      <c r="L58" s="73"/>
      <c r="M58" s="57" t="str">
        <f t="shared" si="6"/>
        <v>ak</v>
      </c>
      <c r="N58" s="57" t="str">
        <f t="shared" si="7"/>
        <v>ak</v>
      </c>
      <c r="P58" s="121" t="str">
        <f t="shared" si="8"/>
        <v>ak(\d)</v>
      </c>
      <c r="Q58" s="124" t="s">
        <v>1225</v>
      </c>
      <c r="R58" s="124">
        <f t="shared" si="9"/>
        <v>1</v>
      </c>
      <c r="S58" s="121" t="str">
        <f t="shared" si="13"/>
        <v>》a${1}k</v>
      </c>
      <c r="T58" s="55"/>
      <c r="U58" s="56" t="str">
        <f t="shared" si="10"/>
        <v xml:space="preserve">    - xform/》ak(\d)/》a${1}k/</v>
      </c>
    </row>
    <row r="59" spans="1:21" ht="27.75" thickBot="1">
      <c r="A59" s="57">
        <f t="shared" si="5"/>
        <v>56</v>
      </c>
      <c r="B59" s="57" t="s">
        <v>211</v>
      </c>
      <c r="C59" s="57" t="s">
        <v>211</v>
      </c>
      <c r="D59" s="57" t="s">
        <v>211</v>
      </c>
      <c r="E59" s="57" t="str" cm="1">
        <f t="array" ref="E59" xml:space="preserve"> IFERROR( INDEX(韻母對照表[注音二式], MATCH(TRUE, EXACT('【韻】韻母清單（台語音標）'!$C59, 韻母對照表[台羅拼音]), 0)), "")</f>
        <v>am</v>
      </c>
      <c r="F59" s="57" t="s">
        <v>833</v>
      </c>
      <c r="G59" s="60" t="str" cm="1">
        <f t="array" ref="G59" xml:space="preserve"> IFERROR( INDEX(韻母對照表[白話字], MATCH(TRUE, EXACT('【韻】韻母清單（台語音標）'!$C51, 韻母對照表[台羅拼音]), 0)), "")</f>
        <v>iⁿ</v>
      </c>
      <c r="H59" s="54" t="str" cm="1">
        <f t="array" ref="H59" xml:space="preserve"> IFERROR( INDEX(韻母對照表[十五音識別碼], MATCH(TRUE, EXACT('【韻】韻母清單（台語音標）'!$C51, 韻母對照表[台羅拼音]), 0)), "")</f>
        <v>梔舒</v>
      </c>
      <c r="I59" s="57" t="str" cm="1">
        <f t="array" ref="I59" xml:space="preserve"> IFERROR( INDEX(韻母對照表[方音符號], MATCH(TRUE, EXACT('【韻】韻母清單（台語音標）'!$C59, 韻母對照表[台羅拼音]), 0)), "")</f>
        <v>ㆰ</v>
      </c>
      <c r="J59" s="57"/>
      <c r="K59" s="54">
        <f t="shared" si="14"/>
        <v>2</v>
      </c>
      <c r="L59" s="73"/>
      <c r="M59" s="57" t="str">
        <f t="shared" si="6"/>
        <v>am</v>
      </c>
      <c r="N59" s="57" t="str">
        <f t="shared" si="7"/>
        <v>am</v>
      </c>
      <c r="P59" s="121" t="str">
        <f t="shared" si="8"/>
        <v>am(\d)</v>
      </c>
      <c r="Q59" s="124" t="s">
        <v>1225</v>
      </c>
      <c r="R59" s="124">
        <f t="shared" si="9"/>
        <v>1</v>
      </c>
      <c r="S59" s="121" t="str">
        <f t="shared" si="13"/>
        <v>》a${1}m</v>
      </c>
      <c r="T59" s="55"/>
      <c r="U59" s="56" t="str">
        <f t="shared" si="10"/>
        <v xml:space="preserve">    - xform/》am(\d)/》a${1}m/</v>
      </c>
    </row>
    <row r="60" spans="1:21" ht="27.75" thickBot="1">
      <c r="A60" s="57">
        <f t="shared" si="5"/>
        <v>57</v>
      </c>
      <c r="B60" s="57" t="s">
        <v>69</v>
      </c>
      <c r="C60" s="57" t="s">
        <v>69</v>
      </c>
      <c r="D60" s="57" t="s">
        <v>69</v>
      </c>
      <c r="E60" s="57" t="str" cm="1">
        <f t="array" ref="E60" xml:space="preserve"> IFERROR( INDEX(韻母對照表[注音二式], MATCH(TRUE, EXACT('【韻】韻母清單（台語音標）'!$C60, 韻母對照表[台羅拼音]), 0)), "")</f>
        <v>an</v>
      </c>
      <c r="F60" s="57" t="s">
        <v>834</v>
      </c>
      <c r="G60" s="60" t="str" cm="1">
        <f t="array" ref="G60" xml:space="preserve"> IFERROR( INDEX(韻母對照表[白話字], MATCH(TRUE, EXACT('【韻】韻母清單（台語音標）'!$C52, 韻母對照表[台羅拼音]), 0)), "")</f>
        <v/>
      </c>
      <c r="H60" s="54" t="str" cm="1">
        <f t="array" ref="H60" xml:space="preserve"> IFERROR( INDEX(韻母對照表[十五音識別碼], MATCH(TRUE, EXACT('【韻】韻母清單（台語音標）'!$C52, 韻母對照表[台羅拼音]), 0)), "")</f>
        <v/>
      </c>
      <c r="I60" s="57" t="str" cm="1">
        <f t="array" ref="I60" xml:space="preserve"> IFERROR( INDEX(韻母對照表[方音符號], MATCH(TRUE, EXACT('【韻】韻母清單（台語音標）'!$C60, 韻母對照表[台羅拼音]), 0)), "")</f>
        <v>ㄢ</v>
      </c>
      <c r="J60" s="57"/>
      <c r="K60" s="54">
        <f t="shared" si="14"/>
        <v>2</v>
      </c>
      <c r="L60" s="73"/>
      <c r="M60" s="57" t="str">
        <f t="shared" si="6"/>
        <v>an</v>
      </c>
      <c r="N60" s="57" t="str">
        <f t="shared" si="7"/>
        <v>an</v>
      </c>
      <c r="P60" s="121" t="str">
        <f t="shared" si="8"/>
        <v>an(\d)</v>
      </c>
      <c r="Q60" s="124" t="s">
        <v>1225</v>
      </c>
      <c r="R60" s="124">
        <f t="shared" si="9"/>
        <v>1</v>
      </c>
      <c r="S60" s="121" t="str">
        <f t="shared" si="13"/>
        <v>》a${1}n</v>
      </c>
      <c r="T60" s="55"/>
      <c r="U60" s="56" t="str">
        <f t="shared" si="10"/>
        <v xml:space="preserve">    - xform/》an(\d)/》a${1}n/</v>
      </c>
    </row>
    <row r="61" spans="1:21" ht="27.75" thickBot="1">
      <c r="A61" s="57">
        <f t="shared" si="5"/>
        <v>58</v>
      </c>
      <c r="B61" s="57" t="s">
        <v>260</v>
      </c>
      <c r="C61" s="57" t="s">
        <v>260</v>
      </c>
      <c r="D61" s="57" t="s">
        <v>260</v>
      </c>
      <c r="E61" s="57" t="str" cm="1">
        <f t="array" ref="E61" xml:space="preserve"> IFERROR( INDEX(韻母對照表[注音二式], MATCH(TRUE, EXACT('【韻】韻母清單（台語音標）'!$C61, 韻母對照表[台羅拼音]), 0)), "")</f>
        <v>au</v>
      </c>
      <c r="F61" s="57" t="s">
        <v>263</v>
      </c>
      <c r="G61" s="59" t="str" cm="1">
        <f t="array" ref="G61" xml:space="preserve"> IFERROR( INDEX(韻母對照表[白話字], MATCH(TRUE, EXACT('【韻】韻母清單（台語音標）'!$C53, 韻母對照表[台羅拼音]), 0)), "")</f>
        <v/>
      </c>
      <c r="H61" s="54" t="str" cm="1">
        <f t="array" ref="H61" xml:space="preserve"> IFERROR( INDEX(韻母對照表[十五音識別碼], MATCH(TRUE, EXACT('【韻】韻母清單（台語音標）'!$C53, 韻母對照表[台羅拼音]), 0)), "")</f>
        <v/>
      </c>
      <c r="I61" s="57" t="str" cm="1">
        <f t="array" ref="I61" xml:space="preserve"> IFERROR( INDEX(韻母對照表[方音符號], MATCH(TRUE, EXACT('【韻】韻母清單（台語音標）'!$C61, 韻母對照表[台羅拼音]), 0)), "")</f>
        <v>ㄠ</v>
      </c>
      <c r="J61" s="57"/>
      <c r="K61" s="54">
        <f t="shared" si="14"/>
        <v>2</v>
      </c>
      <c r="L61" s="73"/>
      <c r="M61" s="57" t="str">
        <f t="shared" si="6"/>
        <v>au</v>
      </c>
      <c r="N61" s="57" t="str">
        <f t="shared" si="7"/>
        <v>au</v>
      </c>
      <c r="P61" s="121" t="str">
        <f t="shared" si="8"/>
        <v>au(\d)</v>
      </c>
      <c r="Q61" s="124" t="s">
        <v>1225</v>
      </c>
      <c r="R61" s="124">
        <f t="shared" si="9"/>
        <v>1</v>
      </c>
      <c r="S61" s="121" t="str">
        <f t="shared" si="13"/>
        <v>》a${1}u</v>
      </c>
      <c r="T61" s="55"/>
      <c r="U61" s="56" t="str">
        <f t="shared" si="10"/>
        <v xml:space="preserve">    - xform/》au(\d)/》a${1}u/</v>
      </c>
    </row>
    <row r="62" spans="1:21" ht="27.75" thickBot="1">
      <c r="A62" s="57">
        <f t="shared" si="5"/>
        <v>59</v>
      </c>
      <c r="B62" s="57" t="s">
        <v>882</v>
      </c>
      <c r="C62" s="57" t="s">
        <v>219</v>
      </c>
      <c r="D62" s="57" t="s">
        <v>219</v>
      </c>
      <c r="E62" s="57" t="str" cm="1">
        <f t="array" ref="E62" xml:space="preserve"> IFERROR( INDEX(韻母對照表[注音二式], MATCH(TRUE, EXACT('【韻】韻母清單（台語音標）'!$C62, 韻母對照表[台羅拼音]), 0)), "")</f>
        <v>ap</v>
      </c>
      <c r="F62" s="57" t="s">
        <v>835</v>
      </c>
      <c r="G62" s="60" t="str" cm="1">
        <f t="array" ref="G62" xml:space="preserve"> IFERROR( INDEX(韻母對照表[白話字], MATCH(TRUE, EXACT('【韻】韻母清單（台語音標）'!$C54, 韻母對照表[台羅拼音]), 0)), "")</f>
        <v/>
      </c>
      <c r="H62" s="54" t="str" cm="1">
        <f t="array" ref="H62" xml:space="preserve"> IFERROR( INDEX(韻母對照表[十五音識別碼], MATCH(TRUE, EXACT('【韻】韻母清單（台語音標）'!$C54, 韻母對照表[台羅拼音]), 0)), "")</f>
        <v/>
      </c>
      <c r="I62" s="57" t="str" cm="1">
        <f t="array" ref="I62" xml:space="preserve"> IFERROR( INDEX(韻母對照表[方音符號], MATCH(TRUE, EXACT('【韻】韻母清單（台語音標）'!$C62, 韻母對照表[台羅拼音]), 0)), "")</f>
        <v>ㄚㆴ</v>
      </c>
      <c r="J62" s="57"/>
      <c r="K62" s="54">
        <f t="shared" si="14"/>
        <v>2</v>
      </c>
      <c r="L62" s="73"/>
      <c r="M62" s="57" t="str">
        <f t="shared" si="6"/>
        <v>ap</v>
      </c>
      <c r="N62" s="57" t="str">
        <f t="shared" si="7"/>
        <v>ap</v>
      </c>
      <c r="P62" s="121" t="str">
        <f t="shared" si="8"/>
        <v>ap(\d)</v>
      </c>
      <c r="Q62" s="124" t="s">
        <v>1225</v>
      </c>
      <c r="R62" s="124">
        <f t="shared" si="9"/>
        <v>1</v>
      </c>
      <c r="S62" s="121" t="str">
        <f t="shared" si="13"/>
        <v>》a${1}p</v>
      </c>
      <c r="T62" s="55"/>
      <c r="U62" s="56" t="str">
        <f t="shared" si="10"/>
        <v xml:space="preserve">    - xform/》ap(\d)/》a${1}p/</v>
      </c>
    </row>
    <row r="63" spans="1:21" ht="27.75" thickBot="1">
      <c r="A63" s="57">
        <f t="shared" si="5"/>
        <v>60</v>
      </c>
      <c r="B63" s="57" t="s">
        <v>878</v>
      </c>
      <c r="C63" s="57" t="s">
        <v>77</v>
      </c>
      <c r="D63" s="57" t="s">
        <v>77</v>
      </c>
      <c r="E63" s="57" t="str" cm="1">
        <f t="array" ref="E63" xml:space="preserve"> IFERROR( INDEX(韻母對照表[注音二式], MATCH(TRUE, EXACT('【韻】韻母清單（台語音標）'!$C63, 韻母對照表[台羅拼音]), 0)), "")</f>
        <v>at</v>
      </c>
      <c r="F63" s="57" t="s">
        <v>836</v>
      </c>
      <c r="G63" s="60" cm="1">
        <f t="array" ref="G63" xml:space="preserve"> IFERROR( INDEX(韻母對照表[白話字], MATCH(TRUE, EXACT('【韻】韻母清單（台語音標）'!$C55, 韻母對照表[台羅拼音]), 0)), "")</f>
        <v>0</v>
      </c>
      <c r="H63" s="54" t="str" cm="1">
        <f t="array" ref="H63" xml:space="preserve"> IFERROR( INDEX(韻母對照表[十五音識別碼], MATCH(TRUE, EXACT('【韻】韻母清單（台語音標）'!$C55, 韻母對照表[台羅拼音]), 0)), "")</f>
        <v>嘉舒</v>
      </c>
      <c r="I63" s="57" t="str" cm="1">
        <f t="array" ref="I63" xml:space="preserve"> IFERROR( INDEX(韻母對照表[方音符號], MATCH(TRUE, EXACT('【韻】韻母清單（台語音標）'!$C63, 韻母對照表[台羅拼音]), 0)), "")</f>
        <v>ㄚㆵ</v>
      </c>
      <c r="J63" s="57"/>
      <c r="K63" s="54">
        <f t="shared" si="14"/>
        <v>2</v>
      </c>
      <c r="L63" s="73"/>
      <c r="M63" s="57" t="str">
        <f t="shared" si="6"/>
        <v>at</v>
      </c>
      <c r="N63" s="57" t="str">
        <f t="shared" si="7"/>
        <v>at</v>
      </c>
      <c r="P63" s="121" t="str">
        <f t="shared" si="8"/>
        <v>at(\d)</v>
      </c>
      <c r="Q63" s="124" t="s">
        <v>1225</v>
      </c>
      <c r="R63" s="124">
        <f t="shared" si="9"/>
        <v>1</v>
      </c>
      <c r="S63" s="121" t="str">
        <f t="shared" si="13"/>
        <v>》a${1}t</v>
      </c>
      <c r="T63" s="55"/>
      <c r="U63" s="56" t="str">
        <f t="shared" si="10"/>
        <v xml:space="preserve">    - xform/》at(\d)/》a${1}t/</v>
      </c>
    </row>
    <row r="64" spans="1:21" ht="27.75" thickBot="1">
      <c r="A64" s="57">
        <f t="shared" si="5"/>
        <v>61</v>
      </c>
      <c r="B64" s="57" t="s">
        <v>837</v>
      </c>
      <c r="C64" s="57" t="s">
        <v>65</v>
      </c>
      <c r="D64" s="57" t="s">
        <v>65</v>
      </c>
      <c r="E64" s="57" t="str" cm="1">
        <f t="array" ref="E64" xml:space="preserve"> IFERROR( INDEX(韻母對照表[注音二式], MATCH(TRUE, EXACT('【韻】韻母清單（台語音標）'!$C64, 韻母對照表[台羅拼音]), 0)), "")</f>
        <v>eh</v>
      </c>
      <c r="F64" s="57" t="s">
        <v>65</v>
      </c>
      <c r="G64" s="60" t="str" cm="1">
        <f t="array" ref="G64" xml:space="preserve"> IFERROR( INDEX(韻母對照表[白話字], MATCH(TRUE, EXACT('【韻】韻母清單（台語音標）'!$C56, 韻母對照表[台羅拼音]), 0)), "")</f>
        <v>ah</v>
      </c>
      <c r="H64" s="54" t="str" cm="1">
        <f t="array" ref="H64" xml:space="preserve"> IFERROR( INDEX(韻母對照表[十五音識別碼], MATCH(TRUE, EXACT('【韻】韻母清單（台語音標）'!$C56, 韻母對照表[台羅拼音]), 0)), "")</f>
        <v>膠促</v>
      </c>
      <c r="I64" s="57" t="str" cm="1">
        <f t="array" ref="I64" xml:space="preserve"> IFERROR( INDEX(韻母對照表[方音符號], MATCH(TRUE, EXACT('【韻】韻母清單（台語音標）'!$C64, 韻母對照表[台羅拼音]), 0)), "")</f>
        <v>ㆤㆷ</v>
      </c>
      <c r="J64" s="57"/>
      <c r="K64" s="54">
        <f t="shared" si="14"/>
        <v>2</v>
      </c>
      <c r="L64" s="73"/>
      <c r="M64" s="57" t="str">
        <f t="shared" si="6"/>
        <v>eh</v>
      </c>
      <c r="N64" s="57" t="str">
        <f t="shared" si="7"/>
        <v>eh</v>
      </c>
      <c r="P64" s="121" t="str">
        <f t="shared" si="8"/>
        <v>eh(\d)</v>
      </c>
      <c r="Q64" s="124" t="s">
        <v>1178</v>
      </c>
      <c r="R64" s="124">
        <f t="shared" si="9"/>
        <v>1</v>
      </c>
      <c r="S64" s="121" t="str">
        <f t="shared" si="13"/>
        <v>》e${1}h</v>
      </c>
      <c r="T64" s="55"/>
      <c r="U64" s="56" t="str">
        <f t="shared" si="10"/>
        <v xml:space="preserve">    - xform/》eh(\d)/》e${1}h/</v>
      </c>
    </row>
    <row r="65" spans="1:21" ht="27.75" thickBot="1">
      <c r="A65" s="57">
        <f t="shared" si="5"/>
        <v>62</v>
      </c>
      <c r="B65" s="74" t="s">
        <v>838</v>
      </c>
      <c r="C65" s="57" t="s">
        <v>839</v>
      </c>
      <c r="D65" s="57" t="s">
        <v>839</v>
      </c>
      <c r="E65" s="57" t="str" cm="1">
        <f t="array" ref="E65" xml:space="preserve"> IFERROR( INDEX(韻母對照表[注音二式], MATCH(TRUE, EXACT('【韻】韻母清單（台語音標）'!$C65, 韻母對照表[台羅拼音]), 0)), "")</f>
        <v/>
      </c>
      <c r="F65" s="57" t="s">
        <v>840</v>
      </c>
      <c r="G65" s="61" t="str" cm="1">
        <f t="array" ref="G65" xml:space="preserve"> IFERROR( INDEX(韻母對照表[白話字], MATCH(TRUE, EXACT('【韻】韻母清單（台語音標）'!$C57, 韻母對照表[台羅拼音]), 0)), "")</f>
        <v>ai</v>
      </c>
      <c r="H65" s="54" t="str" cm="1">
        <f t="array" ref="H65" xml:space="preserve"> IFERROR( INDEX(韻母對照表[十五音識別碼], MATCH(TRUE, EXACT('【韻】韻母清單（台語音標）'!$C57, 韻母對照表[台羅拼音]), 0)), "")</f>
        <v>皆舒</v>
      </c>
      <c r="I65" s="136" t="s">
        <v>1333</v>
      </c>
      <c r="J65" s="57"/>
      <c r="K65" s="54">
        <f t="shared" si="14"/>
        <v>2</v>
      </c>
      <c r="L65" s="73"/>
      <c r="M65" s="57" t="str">
        <f t="shared" si="6"/>
        <v>ir</v>
      </c>
      <c r="N65" s="57" t="str">
        <f t="shared" si="7"/>
        <v>ir</v>
      </c>
      <c r="P65" s="121" t="str">
        <f t="shared" si="8"/>
        <v>ir(\d)</v>
      </c>
      <c r="Q65" s="124" t="s">
        <v>1226</v>
      </c>
      <c r="R65" s="124">
        <f t="shared" si="9"/>
        <v>1</v>
      </c>
      <c r="S65" s="121" t="str">
        <f t="shared" si="13"/>
        <v>》i${1}r</v>
      </c>
      <c r="T65" s="55"/>
      <c r="U65" s="56" t="str">
        <f t="shared" si="10"/>
        <v xml:space="preserve">    - xform/》ir(\d)/》i${1}r/</v>
      </c>
    </row>
    <row r="66" spans="1:21" ht="27.75" thickBot="1">
      <c r="A66" s="57">
        <f t="shared" si="5"/>
        <v>63</v>
      </c>
      <c r="B66" s="57" t="s">
        <v>272</v>
      </c>
      <c r="C66" s="57" t="s">
        <v>272</v>
      </c>
      <c r="D66" s="57" t="s">
        <v>272</v>
      </c>
      <c r="E66" s="57" t="str" cm="1">
        <f t="array" ref="E66" xml:space="preserve"> IFERROR( INDEX(韻母對照表[注音二式], MATCH(TRUE, EXACT('【韻】韻母清單（台語音標）'!$C66, 韻母對照表[台羅拼音]), 0)), "")</f>
        <v>ia</v>
      </c>
      <c r="F66" s="57" t="s">
        <v>841</v>
      </c>
      <c r="G66" s="60" t="str" cm="1">
        <f t="array" ref="G66" xml:space="preserve"> IFERROR( INDEX(韻母對照表[白話字], MATCH(TRUE, EXACT('【韻】韻母清單（台語音標）'!$C58, 韻母對照表[台羅拼音]), 0)), "")</f>
        <v>ak</v>
      </c>
      <c r="H66" s="54" t="str" cm="1">
        <f t="array" ref="H66" xml:space="preserve"> IFERROR( INDEX(韻母對照表[十五音識別碼], MATCH(TRUE, EXACT('【韻】韻母清單（台語音標）'!$C58, 韻母對照表[台羅拼音]), 0)), "")</f>
        <v>江促</v>
      </c>
      <c r="I66" s="57" t="str" cm="1">
        <f t="array" ref="I66" xml:space="preserve"> IFERROR( INDEX(韻母對照表[方音符號], MATCH(TRUE, EXACT('【韻】韻母清單（台語音標）'!$C66, 韻母對照表[台羅拼音]), 0)), "")</f>
        <v>ㄧㄚ</v>
      </c>
      <c r="J66" s="57"/>
      <c r="K66" s="54">
        <f t="shared" si="14"/>
        <v>2</v>
      </c>
      <c r="L66" s="73"/>
      <c r="M66" s="57" t="str">
        <f t="shared" si="6"/>
        <v>ia</v>
      </c>
      <c r="N66" s="57" t="str">
        <f t="shared" si="7"/>
        <v>ia</v>
      </c>
      <c r="P66" s="121" t="str">
        <f t="shared" si="8"/>
        <v>ia(\d)</v>
      </c>
      <c r="Q66" s="124" t="s">
        <v>1225</v>
      </c>
      <c r="R66" s="124">
        <f t="shared" si="9"/>
        <v>2</v>
      </c>
      <c r="S66" s="121" t="str">
        <f t="shared" si="13"/>
        <v>i》a${1}</v>
      </c>
      <c r="T66" s="55"/>
      <c r="U66" s="56" t="str">
        <f t="shared" si="10"/>
        <v xml:space="preserve">    - xform/》ia(\d)/i》a${1}/</v>
      </c>
    </row>
    <row r="67" spans="1:21" ht="27.75" thickBot="1">
      <c r="A67" s="57">
        <f t="shared" si="5"/>
        <v>64</v>
      </c>
      <c r="B67" s="74" t="s">
        <v>842</v>
      </c>
      <c r="C67" s="57" t="s">
        <v>843</v>
      </c>
      <c r="D67" s="57" t="s">
        <v>843</v>
      </c>
      <c r="E67" s="57" t="str" cm="1">
        <f t="array" ref="E67" xml:space="preserve"> IFERROR( INDEX(韻母對照表[注音二式], MATCH(TRUE, EXACT('【韻】韻母清單（台語音標）'!$C67, 韻母對照表[台羅拼音]), 0)), "")</f>
        <v/>
      </c>
      <c r="F67" s="57" t="s">
        <v>844</v>
      </c>
      <c r="G67" s="61" t="str" cm="1">
        <f t="array" ref="G67" xml:space="preserve"> IFERROR( INDEX(韻母對照表[白話字], MATCH(TRUE, EXACT('【韻】韻母清單（台語音標）'!$C59, 韻母對照表[台羅拼音]), 0)), "")</f>
        <v>am</v>
      </c>
      <c r="H67" s="54" t="str" cm="1">
        <f t="array" ref="H67" xml:space="preserve"> IFERROR( INDEX(韻母對照表[十五音識別碼], MATCH(TRUE, EXACT('【韻】韻母清單（台語音標）'!$C59, 韻母對照表[台羅拼音]), 0)), "")</f>
        <v>甘舒</v>
      </c>
      <c r="I67" s="57" t="str" cm="1">
        <f t="array" ref="I67" xml:space="preserve"> IFERROR( INDEX(韻母對照表[方音符號], MATCH(TRUE, EXACT('【韻】韻母清單（台語音標）'!$C67, 韻母對照表[台羅拼音]), 0)), "")</f>
        <v/>
      </c>
      <c r="J67" s="57"/>
      <c r="K67" s="54">
        <f t="shared" si="14"/>
        <v>2</v>
      </c>
      <c r="L67" s="73"/>
      <c r="M67" s="57" t="str">
        <f t="shared" si="6"/>
        <v>er</v>
      </c>
      <c r="N67" s="57" t="str">
        <f t="shared" si="7"/>
        <v>er</v>
      </c>
      <c r="P67" s="121" t="str">
        <f t="shared" si="8"/>
        <v>er(\d)</v>
      </c>
      <c r="Q67" s="124" t="s">
        <v>1178</v>
      </c>
      <c r="R67" s="124">
        <f t="shared" si="9"/>
        <v>1</v>
      </c>
      <c r="S67" s="121" t="str">
        <f t="shared" si="13"/>
        <v>》e${1}r</v>
      </c>
      <c r="T67" s="55"/>
      <c r="U67" s="56" t="str">
        <f t="shared" si="10"/>
        <v xml:space="preserve">    - xform/》er(\d)/》e${1}r/</v>
      </c>
    </row>
    <row r="68" spans="1:21" ht="27.75" thickBot="1">
      <c r="A68" s="57">
        <f t="shared" si="5"/>
        <v>65</v>
      </c>
      <c r="B68" s="57" t="s">
        <v>845</v>
      </c>
      <c r="C68" s="57" t="s">
        <v>329</v>
      </c>
      <c r="D68" s="57" t="s">
        <v>329</v>
      </c>
      <c r="E68" s="57" t="str" cm="1">
        <f t="array" ref="E68" xml:space="preserve"> IFERROR( INDEX(韻母對照表[注音二式], MATCH(TRUE, EXACT('【韻】韻母清單（台語音標）'!$C68, 韻母對照表[台羅拼音]), 0)), "")</f>
        <v>ih</v>
      </c>
      <c r="F68" s="57" t="s">
        <v>329</v>
      </c>
      <c r="G68" s="60" t="str" cm="1">
        <f t="array" ref="G68" xml:space="preserve"> IFERROR( INDEX(韻母對照表[白話字], MATCH(TRUE, EXACT('【韻】韻母清單（台語音標）'!$C60, 韻母對照表[台羅拼音]), 0)), "")</f>
        <v>an</v>
      </c>
      <c r="H68" s="54" t="str" cm="1">
        <f t="array" ref="H68" xml:space="preserve"> IFERROR( INDEX(韻母對照表[十五音識別碼], MATCH(TRUE, EXACT('【韻】韻母清單（台語音標）'!$C60, 韻母對照表[台羅拼音]), 0)), "")</f>
        <v>干舒</v>
      </c>
      <c r="I68" s="57" t="str" cm="1">
        <f t="array" ref="I68" xml:space="preserve"> IFERROR( INDEX(韻母對照表[方音符號], MATCH(TRUE, EXACT('【韻】韻母清單（台語音標）'!$C68, 韻母對照表[台羅拼音]), 0)), "")</f>
        <v>ㄧㆷ</v>
      </c>
      <c r="J68" s="57"/>
      <c r="K68" s="54">
        <f t="shared" ref="K68:K99" si="15" xml:space="preserve"> LEN(D68)</f>
        <v>2</v>
      </c>
      <c r="L68" s="73"/>
      <c r="M68" s="57" t="str">
        <f t="shared" si="6"/>
        <v>ih</v>
      </c>
      <c r="N68" s="57" t="str">
        <f t="shared" si="7"/>
        <v>ih</v>
      </c>
      <c r="P68" s="121" t="str">
        <f t="shared" si="8"/>
        <v>ih(\d)</v>
      </c>
      <c r="Q68" s="124" t="s">
        <v>1226</v>
      </c>
      <c r="R68" s="124">
        <f t="shared" si="9"/>
        <v>1</v>
      </c>
      <c r="S68" s="121" t="str">
        <f t="shared" si="13"/>
        <v>》i${1}h</v>
      </c>
      <c r="T68" s="55"/>
      <c r="U68" s="56" t="str">
        <f t="shared" si="10"/>
        <v xml:space="preserve">    - xform/》ih(\d)/》i${1}h/</v>
      </c>
    </row>
    <row r="69" spans="1:21" ht="27.75" thickBot="1">
      <c r="A69" s="57">
        <f t="shared" ref="A69:A99" si="16" xml:space="preserve"> ROW() - 3</f>
        <v>66</v>
      </c>
      <c r="B69" s="57" t="s">
        <v>887</v>
      </c>
      <c r="C69" s="57" t="s">
        <v>115</v>
      </c>
      <c r="D69" s="57" t="s">
        <v>115</v>
      </c>
      <c r="E69" s="57" t="str" cm="1">
        <f t="array" ref="E69" xml:space="preserve"> IFERROR( INDEX(韻母對照表[注音二式], MATCH(TRUE, EXACT('【韻】韻母清單（台語音標）'!$C69, 韻母對照表[台羅拼音]), 0)), "")</f>
        <v>ik</v>
      </c>
      <c r="F69" s="57" t="s">
        <v>115</v>
      </c>
      <c r="G69" s="59" t="str" cm="1">
        <f t="array" ref="G69" xml:space="preserve"> IFERROR( INDEX(韻母對照表[白話字], MATCH(TRUE, EXACT('【韻】韻母清單（台語音標）'!$C61, 韻母對照表[台羅拼音]), 0)), "")</f>
        <v>au</v>
      </c>
      <c r="H69" s="54" t="str" cm="1">
        <f t="array" ref="H69" xml:space="preserve"> IFERROR( INDEX(韻母對照表[十五音識別碼], MATCH(TRUE, EXACT('【韻】韻母清單（台語音標）'!$C61, 韻母對照表[台羅拼音]), 0)), "")</f>
        <v>交舒</v>
      </c>
      <c r="I69" s="57" t="str" cm="1">
        <f t="array" ref="I69" xml:space="preserve"> IFERROR( INDEX(韻母對照表[方音符號], MATCH(TRUE, EXACT('【韻】韻母清單（台語音標）'!$C69, 韻母對照表[台羅拼音]), 0)), "")</f>
        <v>ㄧㆻ</v>
      </c>
      <c r="J69" s="57"/>
      <c r="K69" s="54">
        <f t="shared" si="15"/>
        <v>2</v>
      </c>
      <c r="L69" s="73"/>
      <c r="M69" s="57" t="str">
        <f t="shared" ref="M69:M99" si="17">C69</f>
        <v>ik</v>
      </c>
      <c r="N69" s="57" t="str">
        <f t="shared" ref="N69:N99" si="18">D69</f>
        <v>ik</v>
      </c>
      <c r="P69" s="121" t="str">
        <f t="shared" ref="P69:P99" si="19" xml:space="preserve"> _xlfn.CONCAT(M69, "(\d)")</f>
        <v>ik(\d)</v>
      </c>
      <c r="Q69" s="124" t="s">
        <v>1226</v>
      </c>
      <c r="R69" s="124">
        <f t="shared" ref="R69:R99" si="20" xml:space="preserve"> IFERROR( IF(Q69="", "", SEARCH(Q69, $M69)), "")</f>
        <v>1</v>
      </c>
      <c r="S69" s="121" t="str">
        <f t="shared" si="13"/>
        <v>》i${1}k</v>
      </c>
      <c r="T69" s="55"/>
      <c r="U69" s="56" t="str">
        <f t="shared" ref="U69:U99" si="21" xml:space="preserve"> IF(AND(N69&lt;&gt;"", M69&lt;&gt;""), "    - xform/》" &amp; P69 &amp;  "/"  &amp; S69 &amp;  "/", "")</f>
        <v xml:space="preserve">    - xform/》ik(\d)/》i${1}k/</v>
      </c>
    </row>
    <row r="70" spans="1:21" ht="27.75" thickBot="1">
      <c r="A70" s="57">
        <f t="shared" si="16"/>
        <v>67</v>
      </c>
      <c r="B70" s="57" t="s">
        <v>38</v>
      </c>
      <c r="C70" s="57" t="s">
        <v>38</v>
      </c>
      <c r="D70" s="57" t="s">
        <v>38</v>
      </c>
      <c r="E70" s="57" t="str" cm="1">
        <f t="array" ref="E70" xml:space="preserve"> IFERROR( INDEX(韻母對照表[注音二式], MATCH(TRUE, EXACT('【韻】韻母清單（台語音標）'!$C70, 韻母對照表[台羅拼音]), 0)), "")</f>
        <v>im</v>
      </c>
      <c r="F70" s="57" t="s">
        <v>38</v>
      </c>
      <c r="G70" s="60" t="str" cm="1">
        <f t="array" ref="G70" xml:space="preserve"> IFERROR( INDEX(韻母對照表[白話字], MATCH(TRUE, EXACT('【韻】韻母清單（台語音標）'!$C62, 韻母對照表[台羅拼音]), 0)), "")</f>
        <v>ap</v>
      </c>
      <c r="H70" s="54" t="str" cm="1">
        <f t="array" ref="H70" xml:space="preserve"> IFERROR( INDEX(韻母對照表[十五音識別碼], MATCH(TRUE, EXACT('【韻】韻母清單（台語音標）'!$C62, 韻母對照表[台羅拼音]), 0)), "")</f>
        <v>甘促</v>
      </c>
      <c r="I70" s="57" t="str" cm="1">
        <f t="array" ref="I70" xml:space="preserve"> IFERROR( INDEX(韻母對照表[方音符號], MATCH(TRUE, EXACT('【韻】韻母清單（台語音標）'!$C70, 韻母對照表[台羅拼音]), 0)), "")</f>
        <v>ㄧㆬ</v>
      </c>
      <c r="J70" s="57"/>
      <c r="K70" s="54">
        <f t="shared" si="15"/>
        <v>2</v>
      </c>
      <c r="L70" s="73"/>
      <c r="M70" s="57" t="str">
        <f t="shared" si="17"/>
        <v>im</v>
      </c>
      <c r="N70" s="57" t="str">
        <f t="shared" si="18"/>
        <v>im</v>
      </c>
      <c r="P70" s="121" t="str">
        <f t="shared" si="19"/>
        <v>im(\d)</v>
      </c>
      <c r="Q70" s="124" t="s">
        <v>1226</v>
      </c>
      <c r="R70" s="124">
        <f t="shared" si="20"/>
        <v>1</v>
      </c>
      <c r="S70" s="121" t="str">
        <f t="shared" ref="S70:S99" si="22" xml:space="preserve"> IFERROR( _xlfn.CONCAT(LEFT(M70,R70-1), "》", MID(M70,R70,1), "${1}", RIGHT(M70, LEN(M70)-R70)), "" )</f>
        <v>》i${1}m</v>
      </c>
      <c r="T70" s="55"/>
      <c r="U70" s="56" t="str">
        <f t="shared" si="21"/>
        <v xml:space="preserve">    - xform/》im(\d)/》i${1}m/</v>
      </c>
    </row>
    <row r="71" spans="1:21" ht="27.75" thickBot="1">
      <c r="A71" s="57">
        <f t="shared" si="16"/>
        <v>68</v>
      </c>
      <c r="B71" s="57" t="s">
        <v>189</v>
      </c>
      <c r="C71" s="57" t="s">
        <v>189</v>
      </c>
      <c r="D71" s="57" t="s">
        <v>189</v>
      </c>
      <c r="E71" s="57" t="str" cm="1">
        <f t="array" ref="E71" xml:space="preserve"> IFERROR( INDEX(韻母對照表[注音二式], MATCH(TRUE, EXACT('【韻】韻母清單（台語音標）'!$C71, 韻母對照表[台羅拼音]), 0)), "")</f>
        <v>in</v>
      </c>
      <c r="F71" s="57" t="s">
        <v>189</v>
      </c>
      <c r="G71" s="60" t="str" cm="1">
        <f t="array" ref="G71" xml:space="preserve"> IFERROR( INDEX(韻母對照表[白話字], MATCH(TRUE, EXACT('【韻】韻母清單（台語音標）'!$C63, 韻母對照表[台羅拼音]), 0)), "")</f>
        <v>at</v>
      </c>
      <c r="H71" s="54" t="str" cm="1">
        <f t="array" ref="H71" xml:space="preserve"> IFERROR( INDEX(韻母對照表[十五音識別碼], MATCH(TRUE, EXACT('【韻】韻母清單（台語音標）'!$C63, 韻母對照表[台羅拼音]), 0)), "")</f>
        <v>干促</v>
      </c>
      <c r="I71" s="57" t="str" cm="1">
        <f t="array" ref="I71" xml:space="preserve"> IFERROR( INDEX(韻母對照表[方音符號], MATCH(TRUE, EXACT('【韻】韻母清單（台語音標）'!$C71, 韻母對照表[台羅拼音]), 0)), "")</f>
        <v>ㄧㄣ</v>
      </c>
      <c r="J71" s="57"/>
      <c r="K71" s="54">
        <f t="shared" si="15"/>
        <v>2</v>
      </c>
      <c r="L71" s="73"/>
      <c r="M71" s="57" t="str">
        <f t="shared" si="17"/>
        <v>in</v>
      </c>
      <c r="N71" s="57" t="str">
        <f t="shared" si="18"/>
        <v>in</v>
      </c>
      <c r="P71" s="121" t="str">
        <f t="shared" si="19"/>
        <v>in(\d)</v>
      </c>
      <c r="Q71" s="124" t="s">
        <v>1226</v>
      </c>
      <c r="R71" s="124">
        <f t="shared" si="20"/>
        <v>1</v>
      </c>
      <c r="S71" s="121" t="str">
        <f t="shared" si="22"/>
        <v>》i${1}n</v>
      </c>
      <c r="T71" s="55"/>
      <c r="U71" s="56" t="str">
        <f t="shared" si="21"/>
        <v xml:space="preserve">    - xform/》in(\d)/》i${1}n/</v>
      </c>
    </row>
    <row r="72" spans="1:21" ht="27.75" thickBot="1">
      <c r="A72" s="57">
        <f t="shared" si="16"/>
        <v>69</v>
      </c>
      <c r="B72" s="57" t="s">
        <v>357</v>
      </c>
      <c r="C72" s="57" t="s">
        <v>357</v>
      </c>
      <c r="D72" s="57" t="s">
        <v>357</v>
      </c>
      <c r="E72" s="57" t="str" cm="1">
        <f t="array" ref="E72" xml:space="preserve"> IFERROR( INDEX(韻母對照表[注音二式], MATCH(TRUE, EXACT('【韻】韻母清單（台語音標）'!$C72, 韻母對照表[台羅拼音]), 0)), "")</f>
        <v>ior</v>
      </c>
      <c r="F72" s="57" t="s">
        <v>357</v>
      </c>
      <c r="G72" s="60" t="str" cm="1">
        <f t="array" ref="G72" xml:space="preserve"> IFERROR( INDEX(韻母對照表[白話字], MATCH(TRUE, EXACT('【韻】韻母清單（台語音標）'!$C64, 韻母對照表[台羅拼音]), 0)), "")</f>
        <v>eh</v>
      </c>
      <c r="H72" s="54" t="str" cm="1">
        <f t="array" ref="H72" xml:space="preserve"> IFERROR( INDEX(韻母對照表[十五音識別碼], MATCH(TRUE, EXACT('【韻】韻母清單（台語音標）'!$C64, 韻母對照表[台羅拼音]), 0)), "")</f>
        <v>伽促</v>
      </c>
      <c r="I72" s="57" t="str" cm="1">
        <f t="array" ref="I72" xml:space="preserve"> IFERROR( INDEX(韻母對照表[方音符號], MATCH(TRUE, EXACT('【韻】韻母清單（台語音標）'!$C72, 韻母對照表[台羅拼音]), 0)), "")</f>
        <v>ㄧㄜ</v>
      </c>
      <c r="J72" s="57"/>
      <c r="K72" s="54">
        <f t="shared" si="15"/>
        <v>2</v>
      </c>
      <c r="L72" s="73"/>
      <c r="M72" s="57" t="str">
        <f t="shared" si="17"/>
        <v>io</v>
      </c>
      <c r="N72" s="57" t="str">
        <f t="shared" si="18"/>
        <v>io</v>
      </c>
      <c r="P72" s="121" t="str">
        <f t="shared" si="19"/>
        <v>io(\d)</v>
      </c>
      <c r="Q72" s="124" t="s">
        <v>1226</v>
      </c>
      <c r="R72" s="124">
        <f t="shared" si="20"/>
        <v>1</v>
      </c>
      <c r="S72" s="121" t="str">
        <f t="shared" si="22"/>
        <v>》i${1}o</v>
      </c>
      <c r="T72" s="55"/>
      <c r="U72" s="56" t="str">
        <f t="shared" si="21"/>
        <v xml:space="preserve">    - xform/》io(\d)/》i${1}o/</v>
      </c>
    </row>
    <row r="73" spans="1:21" ht="27.75" thickBot="1">
      <c r="A73" s="57">
        <f t="shared" si="16"/>
        <v>70</v>
      </c>
      <c r="B73" s="57" t="s">
        <v>883</v>
      </c>
      <c r="C73" s="57" t="s">
        <v>46</v>
      </c>
      <c r="D73" s="57" t="s">
        <v>46</v>
      </c>
      <c r="E73" s="57" t="str" cm="1">
        <f t="array" ref="E73" xml:space="preserve"> IFERROR( INDEX(韻母對照表[注音二式], MATCH(TRUE, EXACT('【韻】韻母清單（台語音標）'!$C73, 韻母對照表[台羅拼音]), 0)), "")</f>
        <v>ip</v>
      </c>
      <c r="F73" s="57" t="s">
        <v>46</v>
      </c>
      <c r="G73" s="60" t="str" cm="1">
        <f t="array" ref="G73" xml:space="preserve"> IFERROR( INDEX(韻母對照表[白話字], MATCH(TRUE, EXACT('【韻】韻母清單（台語音標）'!$C65, 韻母對照表[台羅拼音]), 0)), "")</f>
        <v/>
      </c>
      <c r="H73" s="54" t="str" cm="1">
        <f t="array" ref="H73" xml:space="preserve"> IFERROR( INDEX(韻母對照表[十五音識別碼], MATCH(TRUE, EXACT('【韻】韻母清單（台語音標）'!$C65, 韻母對照表[台羅拼音]), 0)), "")</f>
        <v/>
      </c>
      <c r="I73" s="57" t="str" cm="1">
        <f t="array" ref="I73" xml:space="preserve"> IFERROR( INDEX(韻母對照表[方音符號], MATCH(TRUE, EXACT('【韻】韻母清單（台語音標）'!$C73, 韻母對照表[台羅拼音]), 0)), "")</f>
        <v>一ㆴ</v>
      </c>
      <c r="J73" s="57"/>
      <c r="K73" s="54">
        <f t="shared" si="15"/>
        <v>2</v>
      </c>
      <c r="L73" s="73"/>
      <c r="M73" s="57" t="str">
        <f t="shared" si="17"/>
        <v>ip</v>
      </c>
      <c r="N73" s="57" t="str">
        <f t="shared" si="18"/>
        <v>ip</v>
      </c>
      <c r="P73" s="121" t="str">
        <f t="shared" si="19"/>
        <v>ip(\d)</v>
      </c>
      <c r="Q73" s="124" t="s">
        <v>1226</v>
      </c>
      <c r="R73" s="124">
        <f t="shared" si="20"/>
        <v>1</v>
      </c>
      <c r="S73" s="121" t="str">
        <f t="shared" si="22"/>
        <v>》i${1}p</v>
      </c>
      <c r="T73" s="55"/>
      <c r="U73" s="56" t="str">
        <f t="shared" si="21"/>
        <v xml:space="preserve">    - xform/》ip(\d)/》i${1}p/</v>
      </c>
    </row>
    <row r="74" spans="1:21" ht="27.75" thickBot="1">
      <c r="A74" s="57">
        <f t="shared" si="16"/>
        <v>71</v>
      </c>
      <c r="B74" s="57" t="s">
        <v>879</v>
      </c>
      <c r="C74" s="57" t="s">
        <v>197</v>
      </c>
      <c r="D74" s="57" t="s">
        <v>197</v>
      </c>
      <c r="E74" s="57" t="str" cm="1">
        <f t="array" ref="E74" xml:space="preserve"> IFERROR( INDEX(韻母對照表[注音二式], MATCH(TRUE, EXACT('【韻】韻母清單（台語音標）'!$C74, 韻母對照表[台羅拼音]), 0)), "")</f>
        <v>it</v>
      </c>
      <c r="F74" s="57" t="s">
        <v>197</v>
      </c>
      <c r="G74" s="60" t="str" cm="1">
        <f t="array" ref="G74" xml:space="preserve"> IFERROR( INDEX(韻母對照表[白話字], MATCH(TRUE, EXACT('【韻】韻母清單（台語音標）'!$C66, 韻母對照表[台羅拼音]), 0)), "")</f>
        <v>ia</v>
      </c>
      <c r="H74" s="54" t="str" cm="1">
        <f t="array" ref="H74" xml:space="preserve"> IFERROR( INDEX(韻母對照表[十五音識別碼], MATCH(TRUE, EXACT('【韻】韻母清單（台語音標）'!$C66, 韻母對照表[台羅拼音]), 0)), "")</f>
        <v>迦舒</v>
      </c>
      <c r="I74" s="57" t="str" cm="1">
        <f t="array" ref="I74" xml:space="preserve"> IFERROR( INDEX(韻母對照表[方音符號], MATCH(TRUE, EXACT('【韻】韻母清單（台語音標）'!$C74, 韻母對照表[台羅拼音]), 0)), "")</f>
        <v>ㄧㆵ</v>
      </c>
      <c r="J74" s="57"/>
      <c r="K74" s="54">
        <f t="shared" si="15"/>
        <v>2</v>
      </c>
      <c r="L74" s="73"/>
      <c r="M74" s="57" t="str">
        <f t="shared" si="17"/>
        <v>it</v>
      </c>
      <c r="N74" s="57" t="str">
        <f t="shared" si="18"/>
        <v>it</v>
      </c>
      <c r="P74" s="121" t="str">
        <f t="shared" si="19"/>
        <v>it(\d)</v>
      </c>
      <c r="Q74" s="124" t="s">
        <v>1226</v>
      </c>
      <c r="R74" s="124">
        <f t="shared" si="20"/>
        <v>1</v>
      </c>
      <c r="S74" s="121" t="str">
        <f t="shared" si="22"/>
        <v>》i${1}t</v>
      </c>
      <c r="T74" s="55"/>
      <c r="U74" s="56" t="str">
        <f t="shared" si="21"/>
        <v xml:space="preserve">    - xform/》it(\d)/》i${1}t/</v>
      </c>
    </row>
    <row r="75" spans="1:21" ht="27.75" thickBot="1">
      <c r="A75" s="57">
        <f t="shared" si="16"/>
        <v>72</v>
      </c>
      <c r="B75" s="57" t="s">
        <v>332</v>
      </c>
      <c r="C75" s="57" t="s">
        <v>332</v>
      </c>
      <c r="D75" s="57" t="s">
        <v>332</v>
      </c>
      <c r="E75" s="57" t="str" cm="1">
        <f t="array" ref="E75" xml:space="preserve"> IFERROR( INDEX(韻母對照表[注音二式], MATCH(TRUE, EXACT('【韻】韻母清單（台語音標）'!$C75, 韻母對照表[台羅拼音]), 0)), "")</f>
        <v>iu</v>
      </c>
      <c r="F75" s="57" t="s">
        <v>332</v>
      </c>
      <c r="G75" s="60" t="str" cm="1">
        <f t="array" ref="G75" xml:space="preserve"> IFERROR( INDEX(韻母對照表[白話字], MATCH(TRUE, EXACT('【韻】韻母清單（台語音標）'!$C67, 韻母對照表[台羅拼音]), 0)), "")</f>
        <v/>
      </c>
      <c r="H75" s="54" t="str" cm="1">
        <f t="array" ref="H75" xml:space="preserve"> IFERROR( INDEX(韻母對照表[十五音識別碼], MATCH(TRUE, EXACT('【韻】韻母清單（台語音標）'!$C67, 韻母對照表[台羅拼音]), 0)), "")</f>
        <v/>
      </c>
      <c r="I75" s="57" t="str" cm="1">
        <f t="array" ref="I75" xml:space="preserve"> IFERROR( INDEX(韻母對照表[方音符號], MATCH(TRUE, EXACT('【韻】韻母清單（台語音標）'!$C75, 韻母對照表[台羅拼音]), 0)), "")</f>
        <v>ㄧㄨ</v>
      </c>
      <c r="J75" s="57"/>
      <c r="K75" s="54">
        <f t="shared" si="15"/>
        <v>2</v>
      </c>
      <c r="L75" s="73"/>
      <c r="M75" s="57" t="str">
        <f t="shared" si="17"/>
        <v>iu</v>
      </c>
      <c r="N75" s="57" t="str">
        <f t="shared" si="18"/>
        <v>iu</v>
      </c>
      <c r="P75" s="121" t="str">
        <f t="shared" si="19"/>
        <v>iu(\d)</v>
      </c>
      <c r="Q75" s="124" t="s">
        <v>1226</v>
      </c>
      <c r="R75" s="124">
        <f t="shared" si="20"/>
        <v>1</v>
      </c>
      <c r="S75" s="121" t="str">
        <f t="shared" si="22"/>
        <v>》i${1}u</v>
      </c>
      <c r="T75" s="55"/>
      <c r="U75" s="56" t="str">
        <f t="shared" si="21"/>
        <v xml:space="preserve">    - xform/》iu(\d)/》i${1}u/</v>
      </c>
    </row>
    <row r="76" spans="1:21" ht="27.75" thickBot="1">
      <c r="A76" s="57">
        <f t="shared" si="16"/>
        <v>73</v>
      </c>
      <c r="B76" s="74" t="s">
        <v>846</v>
      </c>
      <c r="C76" s="57" t="s">
        <v>847</v>
      </c>
      <c r="D76" s="57" t="s">
        <v>847</v>
      </c>
      <c r="E76" s="57" t="str" cm="1">
        <f t="array" ref="E76" xml:space="preserve"> IFERROR( INDEX(韻母對照表[注音二式], MATCH(TRUE, EXACT('【韻】韻母清單（台語音標）'!$C76, 韻母對照表[台羅拼音]), 0)), "")</f>
        <v/>
      </c>
      <c r="F76" s="57" t="s">
        <v>847</v>
      </c>
      <c r="G76" s="60" t="str" cm="1">
        <f t="array" ref="G76" xml:space="preserve"> IFERROR( INDEX(韻母對照表[白話字], MATCH(TRUE, EXACT('【韻】韻母清單（台語音標）'!$C68, 韻母對照表[台羅拼音]), 0)), "")</f>
        <v>ih</v>
      </c>
      <c r="H76" s="54" t="str" cm="1">
        <f t="array" ref="H76" xml:space="preserve"> IFERROR( INDEX(韻母對照表[十五音識別碼], MATCH(TRUE, EXACT('【韻】韻母清單（台語音標）'!$C68, 韻母對照表[台羅拼音]), 0)), "")</f>
        <v>居促</v>
      </c>
      <c r="I76" s="136" t="s">
        <v>1334</v>
      </c>
      <c r="J76" s="57"/>
      <c r="K76" s="54">
        <f t="shared" si="15"/>
        <v>2</v>
      </c>
      <c r="L76" s="73"/>
      <c r="M76" s="57" t="str">
        <f t="shared" si="17"/>
        <v>mh</v>
      </c>
      <c r="N76" s="57" t="str">
        <f t="shared" si="18"/>
        <v>mh</v>
      </c>
      <c r="P76" s="121" t="str">
        <f t="shared" si="19"/>
        <v>mh(\d)</v>
      </c>
      <c r="Q76" s="124" t="s">
        <v>1303</v>
      </c>
      <c r="R76" s="124">
        <f t="shared" si="20"/>
        <v>1</v>
      </c>
      <c r="S76" s="121" t="str">
        <f t="shared" si="22"/>
        <v>》m${1}h</v>
      </c>
      <c r="T76" s="55"/>
      <c r="U76" s="56" t="str">
        <f t="shared" si="21"/>
        <v xml:space="preserve">    - xform/》mh(\d)/》m${1}h/</v>
      </c>
    </row>
    <row r="77" spans="1:21" ht="27.75" thickBot="1">
      <c r="A77" s="57">
        <f t="shared" si="16"/>
        <v>74</v>
      </c>
      <c r="B77" s="57" t="s">
        <v>404</v>
      </c>
      <c r="C77" s="57" t="s">
        <v>407</v>
      </c>
      <c r="D77" s="57" t="s">
        <v>407</v>
      </c>
      <c r="E77" s="57" t="str" cm="1">
        <f t="array" ref="E77" xml:space="preserve"> IFERROR( INDEX(韻母對照表[注音二式], MATCH(TRUE, EXACT('【韻】韻母清單（台語音標）'!$C77, 韻母對照表[台羅拼音]), 0)), "")</f>
        <v>ng</v>
      </c>
      <c r="F77" s="57" t="s">
        <v>407</v>
      </c>
      <c r="G77" s="60" t="str" cm="1">
        <f t="array" ref="G77" xml:space="preserve"> IFERROR( INDEX(韻母對照表[白話字], MATCH(TRUE, EXACT('【韻】韻母清單（台語音標）'!$C70, 韻母對照表[台羅拼音]), 0)), "")</f>
        <v>im</v>
      </c>
      <c r="H77" s="54" t="str" cm="1">
        <f t="array" ref="H77" xml:space="preserve"> IFERROR( INDEX(韻母對照表[十五音識別碼], MATCH(TRUE, EXACT('【韻】韻母清單（台語音標）'!$C70, 韻母對照表[台羅拼音]), 0)), "")</f>
        <v>金舒</v>
      </c>
      <c r="I77" s="57" t="str" cm="1">
        <f t="array" ref="I77" xml:space="preserve"> IFERROR( INDEX(韻母對照表[方音符號], MATCH(TRUE, EXACT('【韻】韻母清單（台語音標）'!$C77, 韻母對照表[台羅拼音]), 0)), "")</f>
        <v>ㆭ</v>
      </c>
      <c r="J77" s="57"/>
      <c r="K77" s="54">
        <f t="shared" si="15"/>
        <v>2</v>
      </c>
      <c r="L77" s="73"/>
      <c r="M77" s="57" t="str">
        <f t="shared" si="17"/>
        <v>ng</v>
      </c>
      <c r="N77" s="57" t="str">
        <f t="shared" si="18"/>
        <v>ng</v>
      </c>
      <c r="P77" s="121" t="str">
        <f t="shared" si="19"/>
        <v>ng(\d)</v>
      </c>
      <c r="Q77" s="124" t="s">
        <v>1302</v>
      </c>
      <c r="R77" s="124">
        <f t="shared" si="20"/>
        <v>1</v>
      </c>
      <c r="S77" s="121" t="str">
        <f t="shared" si="22"/>
        <v>》n${1}g</v>
      </c>
      <c r="T77" s="55"/>
      <c r="U77" s="56" t="str">
        <f t="shared" si="21"/>
        <v xml:space="preserve">    - xform/》ng(\d)/》n${1}g/</v>
      </c>
    </row>
    <row r="78" spans="1:21" ht="27.75" thickBot="1">
      <c r="A78" s="57">
        <f t="shared" si="16"/>
        <v>75</v>
      </c>
      <c r="B78" s="57" t="s">
        <v>849</v>
      </c>
      <c r="C78" s="57" t="s">
        <v>178</v>
      </c>
      <c r="D78" s="57" t="s">
        <v>178</v>
      </c>
      <c r="E78" s="57" t="str" cm="1">
        <f t="array" ref="E78" xml:space="preserve"> IFERROR( INDEX(韻母對照表[注音二式], MATCH(TRUE, EXACT('【韻】韻母清單（台語音標）'!$C78, 韻母對照表[台羅拼音]), 0)), "")</f>
        <v>orh</v>
      </c>
      <c r="F78" s="57" t="s">
        <v>178</v>
      </c>
      <c r="G78" s="60" t="str" cm="1">
        <f t="array" ref="G78" xml:space="preserve"> IFERROR( INDEX(韻母對照表[白話字], MATCH(TRUE, EXACT('【韻】韻母清單（台語音標）'!$C72, 韻母對照表[台羅拼音]), 0)), "")</f>
        <v>io</v>
      </c>
      <c r="H78" s="54" t="str" cm="1">
        <f t="array" ref="H78" xml:space="preserve"> IFERROR( INDEX(韻母對照表[十五音識別碼], MATCH(TRUE, EXACT('【韻】韻母清單（台語音標）'!$C72, 韻母對照表[台羅拼音]), 0)), "")</f>
        <v>茄舒</v>
      </c>
      <c r="I78" s="57" t="str" cm="1">
        <f t="array" ref="I78" xml:space="preserve"> IFERROR( INDEX(韻母對照表[方音符號], MATCH(TRUE, EXACT('【韻】韻母清單（台語音標）'!$C78, 韻母對照表[台羅拼音]), 0)), "")</f>
        <v>ㄜㆷ</v>
      </c>
      <c r="J78" s="57"/>
      <c r="K78" s="54">
        <f t="shared" si="15"/>
        <v>2</v>
      </c>
      <c r="L78" s="73"/>
      <c r="M78" s="57" t="str">
        <f t="shared" si="17"/>
        <v>oh</v>
      </c>
      <c r="N78" s="57" t="str">
        <f t="shared" si="18"/>
        <v>oh</v>
      </c>
      <c r="P78" s="121" t="str">
        <f t="shared" si="19"/>
        <v>oh(\d)</v>
      </c>
      <c r="Q78" s="124" t="s">
        <v>1213</v>
      </c>
      <c r="R78" s="124">
        <f t="shared" si="20"/>
        <v>1</v>
      </c>
      <c r="S78" s="121" t="str">
        <f t="shared" si="22"/>
        <v>》o${1}h</v>
      </c>
      <c r="T78" s="55"/>
      <c r="U78" s="56" t="str">
        <f t="shared" si="21"/>
        <v xml:space="preserve">    - xform/》oh(\d)/》o${1}h/</v>
      </c>
    </row>
    <row r="79" spans="1:21" ht="27.75" thickBot="1">
      <c r="A79" s="57">
        <f t="shared" si="16"/>
        <v>76</v>
      </c>
      <c r="B79" s="57" t="s">
        <v>888</v>
      </c>
      <c r="C79" s="57" t="s">
        <v>90</v>
      </c>
      <c r="D79" s="57" t="s">
        <v>90</v>
      </c>
      <c r="E79" s="57" t="str" cm="1">
        <f t="array" ref="E79" xml:space="preserve"> IFERROR( INDEX(韻母對照表[注音二式], MATCH(TRUE, EXACT('【韻】韻母清單（台語音標）'!$C79, 韻母對照表[台羅拼音]), 0)), "")</f>
        <v>ok</v>
      </c>
      <c r="F79" s="57" t="s">
        <v>90</v>
      </c>
      <c r="G79" s="60" t="str" cm="1">
        <f t="array" ref="G79" xml:space="preserve"> IFERROR( INDEX(韻母對照表[白話字], MATCH(TRUE, EXACT('【韻】韻母清單（台語音標）'!$C73, 韻母對照表[台羅拼音]), 0)), "")</f>
        <v>ip</v>
      </c>
      <c r="H79" s="54" t="str" cm="1">
        <f t="array" ref="H79" xml:space="preserve"> IFERROR( INDEX(韻母對照表[十五音識別碼], MATCH(TRUE, EXACT('【韻】韻母清單（台語音標）'!$C73, 韻母對照表[台羅拼音]), 0)), "")</f>
        <v>金促</v>
      </c>
      <c r="I79" s="57" t="str" cm="1">
        <f t="array" ref="I79" xml:space="preserve"> IFERROR( INDEX(韻母對照表[方音符號], MATCH(TRUE, EXACT('【韻】韻母清單（台語音標）'!$C79, 韻母對照表[台羅拼音]), 0)), "")</f>
        <v>ㆦㆻ</v>
      </c>
      <c r="J79" s="57"/>
      <c r="K79" s="54">
        <f t="shared" si="15"/>
        <v>2</v>
      </c>
      <c r="L79" s="73"/>
      <c r="M79" s="57" t="str">
        <f t="shared" si="17"/>
        <v>ok</v>
      </c>
      <c r="N79" s="57" t="str">
        <f t="shared" si="18"/>
        <v>ok</v>
      </c>
      <c r="P79" s="121" t="str">
        <f t="shared" si="19"/>
        <v>ok(\d)</v>
      </c>
      <c r="Q79" s="124" t="s">
        <v>1213</v>
      </c>
      <c r="R79" s="124">
        <f t="shared" si="20"/>
        <v>1</v>
      </c>
      <c r="S79" s="121" t="str">
        <f t="shared" si="22"/>
        <v>》o${1}k</v>
      </c>
      <c r="T79" s="55"/>
      <c r="U79" s="56" t="str">
        <f t="shared" si="21"/>
        <v xml:space="preserve">    - xform/》ok(\d)/》o${1}k/</v>
      </c>
    </row>
    <row r="80" spans="1:21" ht="27.75" thickBot="1">
      <c r="A80" s="57">
        <f t="shared" si="16"/>
        <v>77</v>
      </c>
      <c r="B80" s="57" t="s">
        <v>851</v>
      </c>
      <c r="C80" s="57" t="s">
        <v>136</v>
      </c>
      <c r="D80" s="57" t="s">
        <v>136</v>
      </c>
      <c r="E80" s="57" t="str" cm="1">
        <f t="array" ref="E80" xml:space="preserve"> IFERROR( INDEX(韻母對照表[注音二式], MATCH(TRUE, EXACT('【韻】韻母清單（台語音標）'!$C80, 韻母對照表[台羅拼音]), 0)), "")</f>
        <v>oo</v>
      </c>
      <c r="F80" s="57" t="s">
        <v>136</v>
      </c>
      <c r="G80" s="59" t="str" cm="1">
        <f t="array" ref="G80" xml:space="preserve"> IFERROR( INDEX(韻母對照表[白話字], MATCH(TRUE, EXACT('【韻】韻母清單（台語音標）'!$C74, 韻母對照表[台羅拼音]), 0)), "")</f>
        <v>it</v>
      </c>
      <c r="H80" s="54" t="str" cm="1">
        <f t="array" ref="H80" xml:space="preserve"> IFERROR( INDEX(韻母對照表[十五音識別碼], MATCH(TRUE, EXACT('【韻】韻母清單（台語音標）'!$C74, 韻母對照表[台羅拼音]), 0)), "")</f>
        <v>巾促</v>
      </c>
      <c r="I80" s="57" t="str" cm="1">
        <f t="array" ref="I80" xml:space="preserve"> IFERROR( INDEX(韻母對照表[方音符號], MATCH(TRUE, EXACT('【韻】韻母清單（台語音標）'!$C80, 韻母對照表[台羅拼音]), 0)), "")</f>
        <v>ㆦ</v>
      </c>
      <c r="J80" s="57"/>
      <c r="K80" s="54">
        <f t="shared" si="15"/>
        <v>2</v>
      </c>
      <c r="L80" s="73"/>
      <c r="M80" s="57" t="str">
        <f t="shared" si="17"/>
        <v>oo</v>
      </c>
      <c r="N80" s="57" t="str">
        <f t="shared" si="18"/>
        <v>oo</v>
      </c>
      <c r="P80" s="121" t="str">
        <f t="shared" si="19"/>
        <v>oo(\d)</v>
      </c>
      <c r="Q80" s="124" t="s">
        <v>1213</v>
      </c>
      <c r="R80" s="124">
        <f t="shared" si="20"/>
        <v>1</v>
      </c>
      <c r="S80" s="121" t="str">
        <f t="shared" si="22"/>
        <v>》o${1}o</v>
      </c>
      <c r="T80" s="55"/>
      <c r="U80" s="56" t="str">
        <f t="shared" si="21"/>
        <v xml:space="preserve">    - xform/》oo(\d)/》o${1}o/</v>
      </c>
    </row>
    <row r="81" spans="1:21" ht="27.75" thickBot="1">
      <c r="A81" s="57">
        <f t="shared" si="16"/>
        <v>78</v>
      </c>
      <c r="B81" s="57" t="s">
        <v>884</v>
      </c>
      <c r="C81" s="57" t="s">
        <v>485</v>
      </c>
      <c r="D81" s="57" t="s">
        <v>485</v>
      </c>
      <c r="E81" s="57" t="str" cm="1">
        <f t="array" ref="E81" xml:space="preserve"> IFERROR( INDEX(韻母對照表[注音二式], MATCH(TRUE, EXACT('【韻】韻母清單（台語音標）'!$C81, 韻母對照表[台羅拼音]), 0)), "")</f>
        <v>oop</v>
      </c>
      <c r="F81" s="57" t="s">
        <v>485</v>
      </c>
      <c r="G81" s="60" t="str" cm="1">
        <f t="array" ref="G81" xml:space="preserve"> IFERROR( INDEX(韻母對照表[白話字], MATCH(TRUE, EXACT('【韻】韻母清單（台語音標）'!$C75, 韻母對照表[台羅拼音]), 0)), "")</f>
        <v>iu</v>
      </c>
      <c r="H81" s="54" t="str" cm="1">
        <f t="array" ref="H81" xml:space="preserve"> IFERROR( INDEX(韻母對照表[十五音識別碼], MATCH(TRUE, EXACT('【韻】韻母清單（台語音標）'!$C75, 韻母對照表[台羅拼音]), 0)), "")</f>
        <v>丩舒</v>
      </c>
      <c r="I81" s="57" t="str" cm="1">
        <f t="array" ref="I81" xml:space="preserve"> IFERROR( INDEX(韻母對照表[方音符號], MATCH(TRUE, EXACT('【韻】韻母清單（台語音標）'!$C81, 韻母對照表[台羅拼音]), 0)), "")</f>
        <v>ㆦㆴ</v>
      </c>
      <c r="J81" s="57"/>
      <c r="K81" s="54">
        <f t="shared" si="15"/>
        <v>2</v>
      </c>
      <c r="L81" s="73"/>
      <c r="M81" s="57" t="str">
        <f t="shared" si="17"/>
        <v>op</v>
      </c>
      <c r="N81" s="57" t="str">
        <f t="shared" si="18"/>
        <v>op</v>
      </c>
      <c r="P81" s="121" t="str">
        <f t="shared" si="19"/>
        <v>op(\d)</v>
      </c>
      <c r="Q81" s="124" t="s">
        <v>1213</v>
      </c>
      <c r="R81" s="124">
        <f t="shared" si="20"/>
        <v>1</v>
      </c>
      <c r="S81" s="121" t="str">
        <f t="shared" si="22"/>
        <v>》o${1}p</v>
      </c>
      <c r="T81" s="55"/>
      <c r="U81" s="56" t="str">
        <f t="shared" si="21"/>
        <v xml:space="preserve">    - xform/》op(\d)/》o${1}p/</v>
      </c>
    </row>
    <row r="82" spans="1:21" ht="27.75" thickBot="1">
      <c r="A82" s="57">
        <f t="shared" si="16"/>
        <v>79</v>
      </c>
      <c r="B82" s="57" t="s">
        <v>223</v>
      </c>
      <c r="C82" s="57" t="s">
        <v>223</v>
      </c>
      <c r="D82" s="57" t="s">
        <v>223</v>
      </c>
      <c r="E82" s="57" t="str" cm="1">
        <f t="array" ref="E82" xml:space="preserve"> IFERROR( INDEX(韻母對照表[注音二式], MATCH(TRUE, EXACT('【韻】韻母清單（台語音標）'!$C82, 韻母對照表[台羅拼音]), 0)), "")</f>
        <v>ua</v>
      </c>
      <c r="F82" s="57" t="s">
        <v>853</v>
      </c>
      <c r="G82" s="59" t="str" cm="1">
        <f t="array" ref="G82" xml:space="preserve"> IFERROR( INDEX(韻母對照表[白話字], MATCH(TRUE, EXACT('【韻】韻母清單（台語音標）'!$C76, 韻母對照表[台羅拼音]), 0)), "")</f>
        <v/>
      </c>
      <c r="H82" s="54" t="str" cm="1">
        <f t="array" ref="H82" xml:space="preserve"> IFERROR( INDEX(韻母對照表[十五音識別碼], MATCH(TRUE, EXACT('【韻】韻母清單（台語音標）'!$C76, 韻母對照表[台羅拼音]), 0)), "")</f>
        <v/>
      </c>
      <c r="I82" s="57" t="str" cm="1">
        <f t="array" ref="I82" xml:space="preserve"> IFERROR( INDEX(韻母對照表[方音符號], MATCH(TRUE, EXACT('【韻】韻母清單（台語音標）'!$C82, 韻母對照表[台羅拼音]), 0)), "")</f>
        <v>ㄨㄚ</v>
      </c>
      <c r="J82" s="57"/>
      <c r="K82" s="54">
        <f t="shared" si="15"/>
        <v>2</v>
      </c>
      <c r="L82" s="73"/>
      <c r="M82" s="57" t="str">
        <f t="shared" si="17"/>
        <v>ua</v>
      </c>
      <c r="N82" s="57" t="str">
        <f t="shared" si="18"/>
        <v>ua</v>
      </c>
      <c r="P82" s="121" t="str">
        <f t="shared" si="19"/>
        <v>ua(\d)</v>
      </c>
      <c r="Q82" s="124" t="s">
        <v>1224</v>
      </c>
      <c r="R82" s="124">
        <f t="shared" si="20"/>
        <v>1</v>
      </c>
      <c r="S82" s="121" t="str">
        <f t="shared" si="22"/>
        <v>》u${1}a</v>
      </c>
      <c r="T82" s="55"/>
      <c r="U82" s="56" t="str">
        <f t="shared" si="21"/>
        <v xml:space="preserve">    - xform/》ua(\d)/》u${1}a/</v>
      </c>
    </row>
    <row r="83" spans="1:21" ht="27.75" thickBot="1">
      <c r="A83" s="57">
        <f t="shared" si="16"/>
        <v>80</v>
      </c>
      <c r="B83" s="57" t="s">
        <v>285</v>
      </c>
      <c r="C83" s="57" t="s">
        <v>285</v>
      </c>
      <c r="D83" s="57" t="s">
        <v>285</v>
      </c>
      <c r="E83" s="57" t="str" cm="1">
        <f t="array" ref="E83" xml:space="preserve"> IFERROR( INDEX(韻母對照表[注音二式], MATCH(TRUE, EXACT('【韻】韻母清單（台語音標）'!$C83, 韻母對照表[台羅拼音]), 0)), "")</f>
        <v>ue</v>
      </c>
      <c r="F83" s="57" t="s">
        <v>285</v>
      </c>
      <c r="G83" s="59" t="str" cm="1">
        <f t="array" ref="G83" xml:space="preserve"> IFERROR( INDEX(韻母對照表[白話字], MATCH(TRUE, EXACT('【韻】韻母清單（台語音標）'!$C77, 韻母對照表[台羅拼音]), 0)), "")</f>
        <v>ng</v>
      </c>
      <c r="H83" s="54" t="str" cm="1">
        <f t="array" ref="H83" xml:space="preserve"> IFERROR( INDEX(韻母對照表[十五音識別碼], MATCH(TRUE, EXACT('【韻】韻母清單（台語音標）'!$C77, 韻母對照表[台羅拼音]), 0)), "")</f>
        <v>鋼舒</v>
      </c>
      <c r="I83" s="57" t="str" cm="1">
        <f t="array" ref="I83" xml:space="preserve"> IFERROR( INDEX(韻母對照表[方音符號], MATCH(TRUE, EXACT('【韻】韻母清單（台語音標）'!$C83, 韻母對照表[台羅拼音]), 0)), "")</f>
        <v>ㄨㆤ</v>
      </c>
      <c r="J83" s="57"/>
      <c r="K83" s="54">
        <f t="shared" si="15"/>
        <v>2</v>
      </c>
      <c r="L83" s="73"/>
      <c r="M83" s="57" t="str">
        <f t="shared" si="17"/>
        <v>ue</v>
      </c>
      <c r="N83" s="57" t="str">
        <f t="shared" si="18"/>
        <v>ue</v>
      </c>
      <c r="P83" s="121" t="str">
        <f t="shared" si="19"/>
        <v>ue(\d)</v>
      </c>
      <c r="Q83" s="124" t="s">
        <v>1224</v>
      </c>
      <c r="R83" s="124">
        <f t="shared" si="20"/>
        <v>1</v>
      </c>
      <c r="S83" s="121" t="str">
        <f t="shared" si="22"/>
        <v>》u${1}e</v>
      </c>
      <c r="T83" s="55"/>
      <c r="U83" s="56" t="str">
        <f t="shared" si="21"/>
        <v xml:space="preserve">    - xform/》ue(\d)/》u${1}e/</v>
      </c>
    </row>
    <row r="84" spans="1:21" ht="27.75" thickBot="1">
      <c r="A84" s="57">
        <f t="shared" si="16"/>
        <v>81</v>
      </c>
      <c r="B84" s="57" t="s">
        <v>854</v>
      </c>
      <c r="C84" s="57" t="s">
        <v>313</v>
      </c>
      <c r="D84" s="57" t="s">
        <v>313</v>
      </c>
      <c r="E84" s="57" t="str" cm="1">
        <f t="array" ref="E84" xml:space="preserve"> IFERROR( INDEX(韻母對照表[注音二式], MATCH(TRUE, EXACT('【韻】韻母清單（台語音標）'!$C84, 韻母對照表[台羅拼音]), 0)), "")</f>
        <v>uh</v>
      </c>
      <c r="F84" s="57" t="s">
        <v>313</v>
      </c>
      <c r="G84" s="60" t="str" cm="1">
        <f t="array" ref="G84" xml:space="preserve"> IFERROR( INDEX(韻母對照表[白話字], MATCH(TRUE, EXACT('【韻】韻母清單（台語音標）'!$C78, 韻母對照表[台羅拼音]), 0)), "")</f>
        <v>oh</v>
      </c>
      <c r="H84" s="54" t="str" cm="1">
        <f t="array" ref="H84" xml:space="preserve"> IFERROR( INDEX(韻母對照表[十五音識別碼], MATCH(TRUE, EXACT('【韻】韻母清單（台語音標）'!$C78, 韻母對照表[台羅拼音]), 0)), "")</f>
        <v>高促</v>
      </c>
      <c r="I84" s="57" t="str" cm="1">
        <f t="array" ref="I84" xml:space="preserve"> IFERROR( INDEX(韻母對照表[方音符號], MATCH(TRUE, EXACT('【韻】韻母清單（台語音標）'!$C84, 韻母對照表[台羅拼音]), 0)), "")</f>
        <v>ㄨㆷ</v>
      </c>
      <c r="J84" s="57"/>
      <c r="K84" s="54">
        <f t="shared" si="15"/>
        <v>2</v>
      </c>
      <c r="L84" s="73"/>
      <c r="M84" s="57" t="str">
        <f t="shared" si="17"/>
        <v>uh</v>
      </c>
      <c r="N84" s="57" t="str">
        <f t="shared" si="18"/>
        <v>uh</v>
      </c>
      <c r="P84" s="121" t="str">
        <f t="shared" si="19"/>
        <v>uh(\d)</v>
      </c>
      <c r="Q84" s="124" t="s">
        <v>1224</v>
      </c>
      <c r="R84" s="124">
        <f t="shared" si="20"/>
        <v>1</v>
      </c>
      <c r="S84" s="121" t="str">
        <f t="shared" si="22"/>
        <v>》u${1}h</v>
      </c>
      <c r="T84" s="55"/>
      <c r="U84" s="56" t="str">
        <f t="shared" si="21"/>
        <v xml:space="preserve">    - xform/》uh(\d)/》u${1}h/</v>
      </c>
    </row>
    <row r="85" spans="1:21" ht="27.75" thickBot="1">
      <c r="A85" s="57">
        <f t="shared" si="16"/>
        <v>82</v>
      </c>
      <c r="B85" s="57" t="s">
        <v>50</v>
      </c>
      <c r="C85" s="57" t="s">
        <v>50</v>
      </c>
      <c r="D85" s="57" t="s">
        <v>50</v>
      </c>
      <c r="E85" s="57" t="str" cm="1">
        <f t="array" ref="E85" xml:space="preserve"> IFERROR( INDEX(韻母對照表[注音二式], MATCH(TRUE, EXACT('【韻】韻母清單（台語音標）'!$C85, 韻母對照表[台羅拼音]), 0)), "")</f>
        <v>ui</v>
      </c>
      <c r="F85" s="57" t="s">
        <v>50</v>
      </c>
      <c r="G85" s="60" t="str" cm="1">
        <f t="array" ref="G85" xml:space="preserve"> IFERROR( INDEX(韻母對照表[白話字], MATCH(TRUE, EXACT('【韻】韻母清單（台語音標）'!$C79, 韻母對照表[台羅拼音]), 0)), "")</f>
        <v>ok</v>
      </c>
      <c r="H85" s="54" t="str" cm="1">
        <f t="array" ref="H85" xml:space="preserve"> IFERROR( INDEX(韻母對照表[十五音識別碼], MATCH(TRUE, EXACT('【韻】韻母清單（台語音標）'!$C79, 韻母對照表[台羅拼音]), 0)), "")</f>
        <v>公促</v>
      </c>
      <c r="I85" s="57" t="str" cm="1">
        <f t="array" ref="I85" xml:space="preserve"> IFERROR( INDEX(韻母對照表[方音符號], MATCH(TRUE, EXACT('【韻】韻母清單（台語音標）'!$C85, 韻母對照表[台羅拼音]), 0)), "")</f>
        <v>ㄨㄧ</v>
      </c>
      <c r="J85" s="57"/>
      <c r="K85" s="54">
        <f t="shared" si="15"/>
        <v>2</v>
      </c>
      <c r="L85" s="73"/>
      <c r="M85" s="57" t="str">
        <f t="shared" si="17"/>
        <v>ui</v>
      </c>
      <c r="N85" s="57" t="str">
        <f t="shared" si="18"/>
        <v>ui</v>
      </c>
      <c r="P85" s="121" t="str">
        <f t="shared" si="19"/>
        <v>ui(\d)</v>
      </c>
      <c r="Q85" s="124" t="s">
        <v>1224</v>
      </c>
      <c r="R85" s="124">
        <f t="shared" si="20"/>
        <v>1</v>
      </c>
      <c r="S85" s="121" t="str">
        <f t="shared" si="22"/>
        <v>》u${1}i</v>
      </c>
      <c r="T85" s="55"/>
      <c r="U85" s="56" t="str">
        <f t="shared" si="21"/>
        <v xml:space="preserve">    - xform/》ui(\d)/》u${1}i/</v>
      </c>
    </row>
    <row r="86" spans="1:21" ht="27.75" thickBot="1">
      <c r="A86" s="57">
        <f t="shared" si="16"/>
        <v>83</v>
      </c>
      <c r="B86" s="57" t="s">
        <v>14</v>
      </c>
      <c r="C86" s="57" t="s">
        <v>14</v>
      </c>
      <c r="D86" s="57" t="s">
        <v>14</v>
      </c>
      <c r="E86" s="57" t="str" cm="1">
        <f t="array" ref="E86" xml:space="preserve"> IFERROR( INDEX(韻母對照表[注音二式], MATCH(TRUE, EXACT('【韻】韻母清單（台語音標）'!$C86, 韻母對照表[台羅拼音]), 0)), "")</f>
        <v>un</v>
      </c>
      <c r="F86" s="57" t="s">
        <v>14</v>
      </c>
      <c r="G86" s="60" t="str" cm="1">
        <f t="array" ref="G86" xml:space="preserve"> IFERROR( INDEX(韻母對照表[白話字], MATCH(TRUE, EXACT('【韻】韻母清單（台語音標）'!$C80, 韻母對照表[台羅拼音]), 0)), "")</f>
        <v>o͘</v>
      </c>
      <c r="H86" s="54" t="str" cm="1">
        <f t="array" ref="H86" xml:space="preserve"> IFERROR( INDEX(韻母對照表[十五音識別碼], MATCH(TRUE, EXACT('【韻】韻母清單（台語音標）'!$C80, 韻母對照表[台羅拼音]), 0)), "")</f>
        <v>沽舒</v>
      </c>
      <c r="I86" s="57" t="str" cm="1">
        <f t="array" ref="I86" xml:space="preserve"> IFERROR( INDEX(韻母對照表[方音符號], MATCH(TRUE, EXACT('【韻】韻母清單（台語音標）'!$C86, 韻母對照表[台羅拼音]), 0)), "")</f>
        <v>ㄨㄣ</v>
      </c>
      <c r="J86" s="57"/>
      <c r="K86" s="54">
        <f t="shared" si="15"/>
        <v>2</v>
      </c>
      <c r="L86" s="73"/>
      <c r="M86" s="57" t="str">
        <f t="shared" si="17"/>
        <v>un</v>
      </c>
      <c r="N86" s="57" t="str">
        <f t="shared" si="18"/>
        <v>un</v>
      </c>
      <c r="P86" s="121" t="str">
        <f t="shared" si="19"/>
        <v>un(\d)</v>
      </c>
      <c r="Q86" s="124" t="s">
        <v>1224</v>
      </c>
      <c r="R86" s="124">
        <f t="shared" si="20"/>
        <v>1</v>
      </c>
      <c r="S86" s="121" t="str">
        <f t="shared" si="22"/>
        <v>》u${1}n</v>
      </c>
      <c r="T86" s="55"/>
      <c r="U86" s="56" t="str">
        <f t="shared" si="21"/>
        <v xml:space="preserve">    - xform/》un(\d)/》u${1}n/</v>
      </c>
    </row>
    <row r="87" spans="1:21" ht="27.75" thickBot="1">
      <c r="A87" s="57">
        <f t="shared" si="16"/>
        <v>84</v>
      </c>
      <c r="B87" s="57" t="s">
        <v>880</v>
      </c>
      <c r="C87" s="57" t="s">
        <v>22</v>
      </c>
      <c r="D87" s="57" t="s">
        <v>22</v>
      </c>
      <c r="E87" s="57" t="str" cm="1">
        <f t="array" ref="E87" xml:space="preserve"> IFERROR( INDEX(韻母對照表[注音二式], MATCH(TRUE, EXACT('【韻】韻母清單（台語音標）'!$C87, 韻母對照表[台羅拼音]), 0)), "")</f>
        <v>ut</v>
      </c>
      <c r="F87" s="57" t="s">
        <v>22</v>
      </c>
      <c r="G87" s="60" t="str" cm="1">
        <f t="array" ref="G87" xml:space="preserve"> IFERROR( INDEX(韻母對照表[白話字], MATCH(TRUE, EXACT('【韻】韻母清單（台語音標）'!$C81, 韻母對照表[台羅拼音]), 0)), "")</f>
        <v>op</v>
      </c>
      <c r="H87" s="54" t="str" cm="1">
        <f t="array" ref="H87" xml:space="preserve"> IFERROR( INDEX(韻母對照表[十五音識別碼], MATCH(TRUE, EXACT('【韻】韻母清單（台語音標）'!$C81, 韻母對照表[台羅拼音]), 0)), "")</f>
        <v>箴促</v>
      </c>
      <c r="I87" s="57" t="str" cm="1">
        <f t="array" ref="I87" xml:space="preserve"> IFERROR( INDEX(韻母對照表[方音符號], MATCH(TRUE, EXACT('【韻】韻母清單（台語音標）'!$C87, 韻母對照表[台羅拼音]), 0)), "")</f>
        <v>ㄨㆵ</v>
      </c>
      <c r="J87" s="57"/>
      <c r="K87" s="54">
        <f t="shared" si="15"/>
        <v>2</v>
      </c>
      <c r="L87" s="73"/>
      <c r="M87" s="57" t="str">
        <f t="shared" si="17"/>
        <v>ut</v>
      </c>
      <c r="N87" s="57" t="str">
        <f t="shared" si="18"/>
        <v>ut</v>
      </c>
      <c r="P87" s="121" t="str">
        <f t="shared" si="19"/>
        <v>ut(\d)</v>
      </c>
      <c r="Q87" s="124" t="s">
        <v>1224</v>
      </c>
      <c r="R87" s="124">
        <f t="shared" si="20"/>
        <v>1</v>
      </c>
      <c r="S87" s="121" t="str">
        <f t="shared" si="22"/>
        <v>》u${1}t</v>
      </c>
      <c r="T87" s="55"/>
      <c r="U87" s="56" t="str">
        <f t="shared" si="21"/>
        <v xml:space="preserve">    - xform/》ut(\d)/》u${1}t/</v>
      </c>
    </row>
    <row r="88" spans="1:21" ht="27.75" thickBot="1">
      <c r="A88" s="57">
        <f t="shared" si="16"/>
        <v>85</v>
      </c>
      <c r="B88" s="57" t="s">
        <v>476</v>
      </c>
      <c r="C88" s="57" t="s">
        <v>479</v>
      </c>
      <c r="D88" s="57" t="s">
        <v>479</v>
      </c>
      <c r="E88" s="57" t="str" cm="1">
        <f t="array" ref="E88" xml:space="preserve"> IFERROR( INDEX(韻母對照表[注音二式], MATCH(TRUE, EXACT('【韻】韻母清單（台語音標）'!$C88, 韻母對照表[台羅拼音]), 0)), "")</f>
        <v>oom</v>
      </c>
      <c r="F88" s="57" t="s">
        <v>638</v>
      </c>
      <c r="G88" s="60" t="str" cm="1">
        <f t="array" ref="G88" xml:space="preserve"> IFERROR( INDEX(韻母對照表[白話字], MATCH(TRUE, EXACT('【韻】韻母清單（台語音標）'!$C88, 韻母對照表[台羅拼音]), 0)), "")</f>
        <v>om</v>
      </c>
      <c r="H88" s="54" t="str" cm="1">
        <f t="array" ref="H88" xml:space="preserve"> IFERROR( INDEX(韻母對照表[十五音識別碼], MATCH(TRUE, EXACT('【韻】韻母清單（台語音標）'!$C88, 韻母對照表[台羅拼音]), 0)), "")</f>
        <v>箴舒</v>
      </c>
      <c r="I88" s="136" t="s">
        <v>1335</v>
      </c>
      <c r="J88" s="57"/>
      <c r="K88" s="54">
        <f t="shared" si="15"/>
        <v>2</v>
      </c>
      <c r="L88" s="73"/>
      <c r="M88" s="57" t="str">
        <f t="shared" si="17"/>
        <v>om</v>
      </c>
      <c r="N88" s="57" t="str">
        <f t="shared" si="18"/>
        <v>om</v>
      </c>
      <c r="P88" s="121" t="str">
        <f t="shared" si="19"/>
        <v>om(\d)</v>
      </c>
      <c r="Q88" s="124" t="s">
        <v>1213</v>
      </c>
      <c r="R88" s="124">
        <f t="shared" si="20"/>
        <v>1</v>
      </c>
      <c r="S88" s="121" t="str">
        <f t="shared" si="22"/>
        <v>》o${1}m</v>
      </c>
      <c r="T88" s="55"/>
      <c r="U88" s="56" t="str">
        <f t="shared" si="21"/>
        <v xml:space="preserve">    - xform/》om(\d)/》o${1}m/</v>
      </c>
    </row>
    <row r="89" spans="1:21" ht="27.75" thickBot="1">
      <c r="A89" s="57">
        <f t="shared" si="16"/>
        <v>86</v>
      </c>
      <c r="B89" s="57" t="s">
        <v>153</v>
      </c>
      <c r="C89" s="57" t="s">
        <v>153</v>
      </c>
      <c r="D89" s="57" t="s">
        <v>153</v>
      </c>
      <c r="E89" s="57" t="str" cm="1">
        <f t="array" ref="E89" xml:space="preserve"> IFERROR( INDEX(韻母對照表[注音二式], MATCH(TRUE, EXACT('【韻】韻母清單（台語音標）'!$C89, 韻母對照表[台羅拼音]), 0)), "")</f>
        <v/>
      </c>
      <c r="F89" s="57" t="str" cm="1">
        <f t="array" ref="F89" xml:space="preserve"> IFERROR( INDEX(韻母對照表[閩拼方案], MATCH(TRUE, EXACT('【韻】韻母清單（台語音標）'!$B91, 韻母對照表[國際音標]), 0)), "")</f>
        <v/>
      </c>
      <c r="G89" s="61" t="str" cm="1">
        <f t="array" ref="G89" xml:space="preserve"> IFERROR( INDEX(韻母對照表[白話字], MATCH(TRUE, EXACT('【韻】韻母清單（台語音標）'!$C91, 韻母對照表[台羅拼音]), 0)), "")</f>
        <v/>
      </c>
      <c r="H89" s="54" t="str" cm="1">
        <f t="array" ref="H89" xml:space="preserve"> IFERROR( INDEX(韻母對照表[十五音識別碼], MATCH(TRUE, EXACT('【韻】韻母清單（台語音標）'!$C91, 韻母對照表[台羅拼音]), 0)), "")</f>
        <v/>
      </c>
      <c r="I89" s="136" t="s">
        <v>1337</v>
      </c>
      <c r="J89" s="57"/>
      <c r="K89" s="54">
        <f t="shared" si="15"/>
        <v>2</v>
      </c>
      <c r="L89" s="73"/>
      <c r="M89" s="57" t="str">
        <f t="shared" si="17"/>
        <v>ei</v>
      </c>
      <c r="N89" s="57" t="str">
        <f t="shared" si="18"/>
        <v>ei</v>
      </c>
      <c r="P89" s="121" t="str">
        <f t="shared" si="19"/>
        <v>ei(\d)</v>
      </c>
      <c r="Q89" s="124" t="s">
        <v>1178</v>
      </c>
      <c r="R89" s="124">
        <f t="shared" si="20"/>
        <v>1</v>
      </c>
      <c r="S89" s="121" t="s">
        <v>1304</v>
      </c>
      <c r="T89" s="55"/>
      <c r="U89" s="56" t="str">
        <f t="shared" si="21"/>
        <v xml:space="preserve">    - xform/》ei(\d)/》e${1}i/</v>
      </c>
    </row>
    <row r="90" spans="1:21" ht="27.75" thickBot="1">
      <c r="A90" s="57">
        <f t="shared" si="16"/>
        <v>87</v>
      </c>
      <c r="B90" s="74" t="s">
        <v>904</v>
      </c>
      <c r="C90" s="57" t="s">
        <v>134</v>
      </c>
      <c r="D90" s="57" t="s">
        <v>134</v>
      </c>
      <c r="E90" s="57" t="str" cm="1">
        <f t="array" ref="E90" xml:space="preserve"> IFERROR( INDEX(韻母對照表[注音二式], MATCH(TRUE, EXACT('【韻】韻母清單（台語音標）'!$C90, 韻母對照表[台羅拼音]), 0)), "")</f>
        <v/>
      </c>
      <c r="F90" s="57" t="str" cm="1">
        <f t="array" ref="F90" xml:space="preserve"> IFERROR( INDEX(韻母對照表[閩拼方案], MATCH(TRUE, EXACT('【韻】韻母清單（台語音標）'!$B92, 韻母對照表[國際音標]), 0)), "")</f>
        <v/>
      </c>
      <c r="G90" s="61" t="str" cm="1">
        <f t="array" ref="G90" xml:space="preserve"> IFERROR( INDEX(韻母對照表[白話字], MATCH(TRUE, EXACT('【韻】韻母清單（台語音標）'!$C92, 韻母對照表[台羅拼音]), 0)), "")</f>
        <v/>
      </c>
      <c r="H90" s="54" t="str" cm="1">
        <f t="array" ref="H90" xml:space="preserve"> IFERROR( INDEX(韻母對照表[十五音識別碼], MATCH(TRUE, EXACT('【韻】韻母清單（台語音標）'!$C92, 韻母對照表[台羅拼音]), 0)), "")</f>
        <v/>
      </c>
      <c r="I90" s="136" t="s">
        <v>910</v>
      </c>
      <c r="J90" s="57"/>
      <c r="K90" s="54">
        <f t="shared" si="15"/>
        <v>2</v>
      </c>
      <c r="L90" s="73"/>
      <c r="M90" s="57" t="str">
        <f t="shared" si="17"/>
        <v>ou</v>
      </c>
      <c r="N90" s="57" t="str">
        <f t="shared" si="18"/>
        <v>ou</v>
      </c>
      <c r="P90" s="121" t="str">
        <f t="shared" si="19"/>
        <v>ou(\d)</v>
      </c>
      <c r="Q90" s="124" t="s">
        <v>1213</v>
      </c>
      <c r="R90" s="124">
        <f t="shared" si="20"/>
        <v>1</v>
      </c>
      <c r="S90" s="121" t="s">
        <v>1305</v>
      </c>
      <c r="T90" s="55"/>
      <c r="U90" s="56" t="str">
        <f t="shared" si="21"/>
        <v xml:space="preserve">    - xform/》ou(\d)/》o${1}u/</v>
      </c>
    </row>
    <row r="91" spans="1:21" ht="27.75" thickBot="1">
      <c r="A91" s="57">
        <f t="shared" si="16"/>
        <v>88</v>
      </c>
      <c r="B91" s="74" t="s">
        <v>859</v>
      </c>
      <c r="C91" s="57" t="s">
        <v>860</v>
      </c>
      <c r="D91" s="57" t="s">
        <v>860</v>
      </c>
      <c r="E91" s="57" t="str" cm="1">
        <f t="array" ref="E91" xml:space="preserve"> IFERROR( INDEX(韻母對照表[注音二式], MATCH(TRUE, EXACT('【韻】韻母清單（台語音標）'!$C91, 韻母對照表[台羅拼音]), 0)), "")</f>
        <v/>
      </c>
      <c r="F91" s="57" t="str" cm="1">
        <f t="array" ref="F91" xml:space="preserve"> IFERROR( INDEX(韻母對照表[閩拼方案], MATCH(TRUE, EXACT('【韻】韻母清單（台語音標）'!$B93, 韻母對照表[國際音標]), 0)), "")</f>
        <v/>
      </c>
      <c r="G91" s="61" t="str" cm="1">
        <f t="array" ref="G91" xml:space="preserve"> IFERROR( INDEX(韻母對照表[白話字], MATCH(TRUE, EXACT('【韻】韻母清單（台語音標）'!$C93, 韻母對照表[台羅拼音]), 0)), "")</f>
        <v/>
      </c>
      <c r="H91" s="54" t="str" cm="1">
        <f t="array" ref="H91" xml:space="preserve"> IFERROR( INDEX(韻母對照表[十五音識別碼], MATCH(TRUE, EXACT('【韻】韻母清單（台語音標）'!$C93, 韻母對照表[台羅拼音]), 0)), "")</f>
        <v/>
      </c>
      <c r="I91" s="137"/>
      <c r="J91" s="57"/>
      <c r="K91" s="54">
        <f t="shared" si="15"/>
        <v>2</v>
      </c>
      <c r="L91" s="73"/>
      <c r="M91" s="57" t="str">
        <f t="shared" si="17"/>
        <v>ae</v>
      </c>
      <c r="N91" s="57" t="str">
        <f t="shared" si="18"/>
        <v>ae</v>
      </c>
      <c r="P91" s="121" t="str">
        <f t="shared" si="19"/>
        <v>ae(\d)</v>
      </c>
      <c r="Q91" s="124" t="s">
        <v>1225</v>
      </c>
      <c r="R91" s="124">
        <f t="shared" si="20"/>
        <v>1</v>
      </c>
      <c r="S91" s="121" t="str">
        <f t="shared" si="22"/>
        <v>》a${1}e</v>
      </c>
      <c r="T91" s="55"/>
      <c r="U91" s="56" t="str">
        <f t="shared" si="21"/>
        <v xml:space="preserve">    - xform/》ae(\d)/》a${1}e/</v>
      </c>
    </row>
    <row r="92" spans="1:21" ht="27.75" thickBot="1">
      <c r="A92" s="57">
        <f t="shared" si="16"/>
        <v>89</v>
      </c>
      <c r="B92" s="74" t="s">
        <v>865</v>
      </c>
      <c r="C92" s="57" t="s">
        <v>840</v>
      </c>
      <c r="D92" s="57" t="s">
        <v>840</v>
      </c>
      <c r="E92" s="57" t="str" cm="1">
        <f t="array" ref="E92" xml:space="preserve"> IFERROR( INDEX(韻母對照表[注音二式], MATCH(TRUE, EXACT('【韻】韻母清單（台語音標）'!$C92, 韻母對照表[台羅拼音]), 0)), "")</f>
        <v/>
      </c>
      <c r="F92" s="57" t="str" cm="1">
        <f t="array" ref="F92" xml:space="preserve"> IFERROR( INDEX(韻母對照表[閩拼方案], MATCH(TRUE, EXACT('【韻】韻母清單（台語音標）'!$B96, 韻母對照表[國際音標]), 0)), "")</f>
        <v>i</v>
      </c>
      <c r="G92" s="61" t="str" cm="1">
        <f t="array" ref="G92" xml:space="preserve"> IFERROR( INDEX(韻母對照表[白話字], MATCH(TRUE, EXACT('【韻】韻母清單（台語音標）'!$C96, 韻母對照表[台羅拼音]), 0)), "")</f>
        <v>i</v>
      </c>
      <c r="H92" s="54" t="str" cm="1">
        <f t="array" ref="H92" xml:space="preserve"> IFERROR( INDEX(韻母對照表[十五音識別碼], MATCH(TRUE, EXACT('【韻】韻母清單（台語音標）'!$C96, 韻母對照表[台羅拼音]), 0)), "")</f>
        <v>居舒</v>
      </c>
      <c r="I92" s="137"/>
      <c r="J92" s="57"/>
      <c r="K92" s="54">
        <f t="shared" si="15"/>
        <v>2</v>
      </c>
      <c r="L92" s="73"/>
      <c r="M92" s="57" t="str">
        <f t="shared" si="17"/>
        <v>eu</v>
      </c>
      <c r="N92" s="57" t="str">
        <f t="shared" si="18"/>
        <v>eu</v>
      </c>
      <c r="P92" s="121" t="str">
        <f t="shared" si="19"/>
        <v>eu(\d)</v>
      </c>
      <c r="Q92" s="124" t="s">
        <v>1178</v>
      </c>
      <c r="R92" s="124">
        <f t="shared" si="20"/>
        <v>1</v>
      </c>
      <c r="S92" s="121" t="str">
        <f t="shared" si="22"/>
        <v>》e${1}u</v>
      </c>
      <c r="T92" s="55"/>
      <c r="U92" s="56" t="str">
        <f t="shared" si="21"/>
        <v xml:space="preserve">    - xform/》eu(\d)/》e${1}u/</v>
      </c>
    </row>
    <row r="93" spans="1:21" ht="27.75" thickBot="1">
      <c r="A93" s="57">
        <f t="shared" si="16"/>
        <v>90</v>
      </c>
      <c r="B93" s="74" t="s">
        <v>889</v>
      </c>
      <c r="C93" s="57" t="s">
        <v>116</v>
      </c>
      <c r="D93" s="57" t="s">
        <v>116</v>
      </c>
      <c r="E93" s="57" t="str" cm="1">
        <f t="array" ref="E93" xml:space="preserve"> IFERROR( INDEX(韻母對照表[注音二式], MATCH(TRUE, EXACT('【韻】韻母清單（台語音標）'!$C93, 韻母對照表[台羅拼音]), 0)), "")</f>
        <v/>
      </c>
      <c r="F93" s="57" t="str" cm="1">
        <f t="array" ref="F93" xml:space="preserve"> IFERROR( INDEX(韻母對照表[閩拼方案], MATCH(TRUE, EXACT('【韻】韻母清單（台語音標）'!$B99, 韻母對照表[國際音標]), 0)), "")</f>
        <v>u</v>
      </c>
      <c r="G93" s="59" t="str" cm="1">
        <f t="array" ref="G93" xml:space="preserve"> IFERROR( INDEX(韻母對照表[白話字], MATCH(TRUE, EXACT('【韻】韻母清單（台語音標）'!$C99, 韻母對照表[台羅拼音]), 0)), "")</f>
        <v>u</v>
      </c>
      <c r="H93" s="54" t="str" cm="1">
        <f t="array" ref="H93" xml:space="preserve"> IFERROR( INDEX(韻母對照表[十五音識別碼], MATCH(TRUE, EXACT('【韻】韻母清單（台語音標）'!$C99, 韻母對照表[台羅拼音]), 0)), "")</f>
        <v>艍舒</v>
      </c>
      <c r="I93" s="136" t="s">
        <v>1338</v>
      </c>
      <c r="J93" s="57"/>
      <c r="K93" s="54">
        <f t="shared" si="15"/>
        <v>2</v>
      </c>
      <c r="L93" s="73"/>
      <c r="M93" s="57" t="str">
        <f t="shared" si="17"/>
        <v>ek</v>
      </c>
      <c r="N93" s="57" t="str">
        <f t="shared" si="18"/>
        <v>ek</v>
      </c>
      <c r="P93" s="121" t="str">
        <f t="shared" si="19"/>
        <v>ek(\d)</v>
      </c>
      <c r="Q93" s="124" t="s">
        <v>1178</v>
      </c>
      <c r="R93" s="124">
        <f t="shared" si="20"/>
        <v>1</v>
      </c>
      <c r="S93" s="121" t="str">
        <f t="shared" si="22"/>
        <v>》e${1}k</v>
      </c>
      <c r="T93" s="55"/>
      <c r="U93" s="56" t="str">
        <f t="shared" si="21"/>
        <v xml:space="preserve">    - xform/》ek(\d)/》e${1}k/</v>
      </c>
    </row>
    <row r="94" spans="1:21" ht="27.75" thickBot="1">
      <c r="A94" s="57">
        <f t="shared" si="16"/>
        <v>91</v>
      </c>
      <c r="B94" s="57" t="s">
        <v>316</v>
      </c>
      <c r="C94" s="57" t="s">
        <v>316</v>
      </c>
      <c r="D94" s="57" t="s">
        <v>316</v>
      </c>
      <c r="E94" s="57" t="str" cm="1">
        <f t="array" ref="E94" xml:space="preserve"> IFERROR( INDEX(韻母對照表[注音二式], MATCH(TRUE, EXACT('【韻】韻母清單（台語音標）'!$C94, 韻母對照表[台羅拼音]), 0)), "")</f>
        <v>a</v>
      </c>
      <c r="F94" s="57" t="s">
        <v>855</v>
      </c>
      <c r="G94" s="60" t="str" cm="1">
        <f t="array" ref="G94" xml:space="preserve"> IFERROR( INDEX(韻母對照表[白話字], MATCH(TRUE, EXACT('【韻】韻母清單（台語音標）'!$C82, 韻母對照表[台羅拼音]), 0)), "")</f>
        <v>oa</v>
      </c>
      <c r="H94" s="54" t="str" cm="1">
        <f t="array" ref="H94" xml:space="preserve"> IFERROR( INDEX(韻母對照表[十五音識別碼], MATCH(TRUE, EXACT('【韻】韻母清單（台語音標）'!$C82, 韻母對照表[台羅拼音]), 0)), "")</f>
        <v>瓜舒</v>
      </c>
      <c r="I94" s="57" t="str" cm="1">
        <f t="array" ref="I94" xml:space="preserve"> IFERROR( INDEX(韻母對照表[方音符號], MATCH(TRUE, EXACT('【韻】韻母清單（台語音標）'!$C94, 韻母對照表[台羅拼音]), 0)), "")</f>
        <v>ㄚ</v>
      </c>
      <c r="J94" s="57"/>
      <c r="K94" s="54">
        <f t="shared" si="15"/>
        <v>1</v>
      </c>
      <c r="L94" s="73"/>
      <c r="M94" s="57" t="str">
        <f t="shared" si="17"/>
        <v>a</v>
      </c>
      <c r="N94" s="57" t="str">
        <f t="shared" si="18"/>
        <v>a</v>
      </c>
      <c r="P94" s="121" t="str">
        <f t="shared" si="19"/>
        <v>a(\d)</v>
      </c>
      <c r="Q94" s="124" t="s">
        <v>1225</v>
      </c>
      <c r="R94" s="124">
        <f t="shared" si="20"/>
        <v>1</v>
      </c>
      <c r="S94" s="121" t="str">
        <f t="shared" si="22"/>
        <v>》a${1}</v>
      </c>
      <c r="T94" s="55"/>
      <c r="U94" s="56" t="str">
        <f t="shared" si="21"/>
        <v xml:space="preserve">    - xform/》a(\d)/》a${1}/</v>
      </c>
    </row>
    <row r="95" spans="1:21" ht="27.75" thickBot="1">
      <c r="A95" s="57">
        <f t="shared" si="16"/>
        <v>92</v>
      </c>
      <c r="B95" s="57" t="s">
        <v>60</v>
      </c>
      <c r="C95" s="57" t="s">
        <v>60</v>
      </c>
      <c r="D95" s="57" t="s">
        <v>60</v>
      </c>
      <c r="E95" s="57" t="str" cm="1">
        <f t="array" ref="E95" xml:space="preserve"> IFERROR( INDEX(韻母對照表[注音二式], MATCH(TRUE, EXACT('【韻】韻母清單（台語音標）'!$C95, 韻母對照表[台羅拼音]), 0)), "")</f>
        <v>e</v>
      </c>
      <c r="F95" s="57" t="s">
        <v>60</v>
      </c>
      <c r="G95" s="60" t="str" cm="1">
        <f t="array" ref="G95" xml:space="preserve"> IFERROR( INDEX(韻母對照表[白話字], MATCH(TRUE, EXACT('【韻】韻母清單（台語音標）'!$C83, 韻母對照表[台羅拼音]), 0)), "")</f>
        <v>oe</v>
      </c>
      <c r="H95" s="54" t="str" cm="1">
        <f t="array" ref="H95" xml:space="preserve"> IFERROR( INDEX(韻母對照表[十五音識別碼], MATCH(TRUE, EXACT('【韻】韻母清單（台語音標）'!$C83, 韻母對照表[台羅拼音]), 0)), "")</f>
        <v>檜舒</v>
      </c>
      <c r="I95" s="57" t="str" cm="1">
        <f t="array" ref="I95" xml:space="preserve"> IFERROR( INDEX(韻母對照表[方音符號], MATCH(TRUE, EXACT('【韻】韻母清單（台語音標）'!$C95, 韻母對照表[台羅拼音]), 0)), "")</f>
        <v>ㆤ</v>
      </c>
      <c r="J95" s="57"/>
      <c r="K95" s="54">
        <f t="shared" si="15"/>
        <v>1</v>
      </c>
      <c r="L95" s="73"/>
      <c r="M95" s="57" t="str">
        <f t="shared" si="17"/>
        <v>e</v>
      </c>
      <c r="N95" s="57" t="str">
        <f t="shared" si="18"/>
        <v>e</v>
      </c>
      <c r="P95" s="121" t="str">
        <f t="shared" si="19"/>
        <v>e(\d)</v>
      </c>
      <c r="Q95" s="124" t="s">
        <v>1178</v>
      </c>
      <c r="R95" s="124">
        <f t="shared" si="20"/>
        <v>1</v>
      </c>
      <c r="S95" s="121" t="str">
        <f t="shared" si="22"/>
        <v>》e${1}</v>
      </c>
      <c r="T95" s="55"/>
      <c r="U95" s="56" t="str">
        <f t="shared" si="21"/>
        <v xml:space="preserve">    - xform/》e(\d)/》e${1}/</v>
      </c>
    </row>
    <row r="96" spans="1:21" ht="27.75" thickBot="1">
      <c r="A96" s="57">
        <f t="shared" si="16"/>
        <v>93</v>
      </c>
      <c r="B96" s="57" t="s">
        <v>324</v>
      </c>
      <c r="C96" s="57" t="s">
        <v>324</v>
      </c>
      <c r="D96" s="57" t="s">
        <v>324</v>
      </c>
      <c r="E96" s="57" t="str" cm="1">
        <f t="array" ref="E96" xml:space="preserve"> IFERROR( INDEX(韻母對照表[注音二式], MATCH(TRUE, EXACT('【韻】韻母清單（台語音標）'!$C96, 韻母對照表[台羅拼音]), 0)), "")</f>
        <v>i</v>
      </c>
      <c r="F96" s="57" t="s">
        <v>324</v>
      </c>
      <c r="G96" s="60" t="str" cm="1">
        <f t="array" ref="G96" xml:space="preserve"> IFERROR( INDEX(韻母對照表[白話字], MATCH(TRUE, EXACT('【韻】韻母清單（台語音標）'!$C84, 韻母對照表[台羅拼音]), 0)), "")</f>
        <v>uh</v>
      </c>
      <c r="H96" s="54" t="str" cm="1">
        <f t="array" ref="H96" xml:space="preserve"> IFERROR( INDEX(韻母對照表[十五音識別碼], MATCH(TRUE, EXACT('【韻】韻母清單（台語音標）'!$C84, 韻母對照表[台羅拼音]), 0)), "")</f>
        <v>艍促</v>
      </c>
      <c r="I96" s="57" t="str" cm="1">
        <f t="array" ref="I96" xml:space="preserve"> IFERROR( INDEX(韻母對照表[方音符號], MATCH(TRUE, EXACT('【韻】韻母清單（台語音標）'!$C96, 韻母對照表[台羅拼音]), 0)), "")</f>
        <v>ㄧ</v>
      </c>
      <c r="J96" s="57"/>
      <c r="K96" s="54">
        <f t="shared" si="15"/>
        <v>1</v>
      </c>
      <c r="L96" s="73"/>
      <c r="M96" s="57" t="str">
        <f t="shared" si="17"/>
        <v>i</v>
      </c>
      <c r="N96" s="57" t="str">
        <f t="shared" si="18"/>
        <v>i</v>
      </c>
      <c r="P96" s="121" t="str">
        <f t="shared" si="19"/>
        <v>i(\d)</v>
      </c>
      <c r="Q96" s="124" t="s">
        <v>1226</v>
      </c>
      <c r="R96" s="124">
        <f t="shared" si="20"/>
        <v>1</v>
      </c>
      <c r="S96" s="121" t="str">
        <f t="shared" si="22"/>
        <v>》i${1}</v>
      </c>
      <c r="T96" s="55"/>
      <c r="U96" s="56" t="str">
        <f t="shared" si="21"/>
        <v xml:space="preserve">    - xform/》i(\d)/》i${1}/</v>
      </c>
    </row>
    <row r="97" spans="1:21" ht="27.75" thickBot="1">
      <c r="A97" s="57">
        <f t="shared" si="16"/>
        <v>94</v>
      </c>
      <c r="B97" s="57" t="s">
        <v>430</v>
      </c>
      <c r="C97" s="57" t="s">
        <v>432</v>
      </c>
      <c r="D97" s="57" t="s">
        <v>432</v>
      </c>
      <c r="E97" s="57" t="str" cm="1">
        <f t="array" ref="E97" xml:space="preserve"> IFERROR( INDEX(韻母對照表[注音二式], MATCH(TRUE, EXACT('【韻】韻母清單（台語音標）'!$C97, 韻母對照表[台羅拼音]), 0)), "")</f>
        <v>m</v>
      </c>
      <c r="F97" s="57" t="s">
        <v>432</v>
      </c>
      <c r="G97" s="60" t="str" cm="1">
        <f t="array" ref="G97" xml:space="preserve"> IFERROR( INDEX(韻母對照表[白話字], MATCH(TRUE, EXACT('【韻】韻母清單（台語音標）'!$C85, 韻母對照表[台羅拼音]), 0)), "")</f>
        <v>ui</v>
      </c>
      <c r="H97" s="54" t="str" cm="1">
        <f t="array" ref="H97" xml:space="preserve"> IFERROR( INDEX(韻母對照表[十五音識別碼], MATCH(TRUE, EXACT('【韻】韻母清單（台語音標）'!$C85, 韻母對照表[台羅拼音]), 0)), "")</f>
        <v>規舒</v>
      </c>
      <c r="I97" s="57" t="str" cm="1">
        <f t="array" ref="I97" xml:space="preserve"> IFERROR( INDEX(韻母對照表[方音符號], MATCH(TRUE, EXACT('【韻】韻母清單（台語音標）'!$C97, 韻母對照表[台羅拼音]), 0)), "")</f>
        <v>ㆬ</v>
      </c>
      <c r="J97" s="57"/>
      <c r="K97" s="54">
        <f t="shared" si="15"/>
        <v>1</v>
      </c>
      <c r="L97" s="73"/>
      <c r="M97" s="57" t="str">
        <f t="shared" si="17"/>
        <v>m</v>
      </c>
      <c r="N97" s="57" t="str">
        <f t="shared" si="18"/>
        <v>m</v>
      </c>
      <c r="P97" s="121" t="str">
        <f t="shared" si="19"/>
        <v>m(\d)</v>
      </c>
      <c r="Q97" s="124" t="s">
        <v>1303</v>
      </c>
      <c r="R97" s="124">
        <f t="shared" si="20"/>
        <v>1</v>
      </c>
      <c r="S97" s="121" t="str">
        <f t="shared" si="22"/>
        <v>》m${1}</v>
      </c>
      <c r="T97" s="55"/>
      <c r="U97" s="56" t="str">
        <f t="shared" si="21"/>
        <v xml:space="preserve">    - xform/》m(\d)/》m${1}/</v>
      </c>
    </row>
    <row r="98" spans="1:21" ht="27.75" thickBot="1">
      <c r="A98" s="57">
        <f t="shared" si="16"/>
        <v>95</v>
      </c>
      <c r="B98" s="57" t="s">
        <v>171</v>
      </c>
      <c r="C98" s="57" t="s">
        <v>171</v>
      </c>
      <c r="D98" s="57" t="s">
        <v>171</v>
      </c>
      <c r="E98" s="57" t="str" cm="1">
        <f t="array" ref="E98" xml:space="preserve"> IFERROR( INDEX(韻母對照表[注音二式], MATCH(TRUE, EXACT('【韻】韻母清單（台語音標）'!$C98, 韻母對照表[台羅拼音]), 0)), "")</f>
        <v>or</v>
      </c>
      <c r="F98" s="57" t="s">
        <v>171</v>
      </c>
      <c r="G98" s="60" t="str" cm="1">
        <f t="array" ref="G98" xml:space="preserve"> IFERROR( INDEX(韻母對照表[白話字], MATCH(TRUE, EXACT('【韻】韻母清單（台語音標）'!$C86, 韻母對照表[台羅拼音]), 0)), "")</f>
        <v>un</v>
      </c>
      <c r="H98" s="54" t="str" cm="1">
        <f t="array" ref="H98" xml:space="preserve"> IFERROR( INDEX(韻母對照表[十五音識別碼], MATCH(TRUE, EXACT('【韻】韻母清單（台語音標）'!$C86, 韻母對照表[台羅拼音]), 0)), "")</f>
        <v>君舒</v>
      </c>
      <c r="I98" s="57" t="str" cm="1">
        <f t="array" ref="I98" xml:space="preserve"> IFERROR( INDEX(韻母對照表[方音符號], MATCH(TRUE, EXACT('【韻】韻母清單（台語音標）'!$C98, 韻母對照表[台羅拼音]), 0)), "")</f>
        <v>ㄜ</v>
      </c>
      <c r="J98" s="57"/>
      <c r="K98" s="54">
        <f t="shared" si="15"/>
        <v>1</v>
      </c>
      <c r="L98" s="73"/>
      <c r="M98" s="57" t="str">
        <f t="shared" si="17"/>
        <v>o</v>
      </c>
      <c r="N98" s="57" t="str">
        <f t="shared" si="18"/>
        <v>o</v>
      </c>
      <c r="P98" s="121" t="str">
        <f t="shared" si="19"/>
        <v>o(\d)</v>
      </c>
      <c r="Q98" s="124" t="s">
        <v>1213</v>
      </c>
      <c r="R98" s="124">
        <f t="shared" si="20"/>
        <v>1</v>
      </c>
      <c r="S98" s="121" t="str">
        <f t="shared" si="22"/>
        <v>》o${1}</v>
      </c>
      <c r="T98" s="55"/>
      <c r="U98" s="56" t="str">
        <f t="shared" si="21"/>
        <v xml:space="preserve">    - xform/》o(\d)/》o${1}/</v>
      </c>
    </row>
    <row r="99" spans="1:21" ht="27.75" thickBot="1">
      <c r="A99" s="57">
        <f t="shared" si="16"/>
        <v>96</v>
      </c>
      <c r="B99" s="57" t="s">
        <v>308</v>
      </c>
      <c r="C99" s="57" t="s">
        <v>308</v>
      </c>
      <c r="D99" s="57" t="s">
        <v>308</v>
      </c>
      <c r="E99" s="57" t="str" cm="1">
        <f t="array" ref="E99" xml:space="preserve"> IFERROR( INDEX(韻母對照表[注音二式], MATCH(TRUE, EXACT('【韻】韻母清單（台語音標）'!$C99, 韻母對照表[台羅拼音]), 0)), "")</f>
        <v>u</v>
      </c>
      <c r="F99" s="57" t="s">
        <v>308</v>
      </c>
      <c r="G99" s="60" t="str" cm="1">
        <f t="array" ref="G99" xml:space="preserve"> IFERROR( INDEX(韻母對照表[白話字], MATCH(TRUE, EXACT('【韻】韻母清單（台語音標）'!$C87, 韻母對照表[台羅拼音]), 0)), "")</f>
        <v>ut</v>
      </c>
      <c r="H99" s="54" t="str" cm="1">
        <f t="array" ref="H99" xml:space="preserve"> IFERROR( INDEX(韻母對照表[十五音識別碼], MATCH(TRUE, EXACT('【韻】韻母清單（台語音標）'!$C87, 韻母對照表[台羅拼音]), 0)), "")</f>
        <v>君促</v>
      </c>
      <c r="I99" s="57" t="str" cm="1">
        <f t="array" ref="I99" xml:space="preserve"> IFERROR( INDEX(韻母對照表[方音符號], MATCH(TRUE, EXACT('【韻】韻母清單（台語音標）'!$C99, 韻母對照表[台羅拼音]), 0)), "")</f>
        <v>ㄨ</v>
      </c>
      <c r="J99" s="57"/>
      <c r="K99" s="54">
        <f t="shared" si="15"/>
        <v>1</v>
      </c>
      <c r="L99" s="73"/>
      <c r="M99" s="57" t="str">
        <f t="shared" si="17"/>
        <v>u</v>
      </c>
      <c r="N99" s="57" t="str">
        <f t="shared" si="18"/>
        <v>u</v>
      </c>
      <c r="P99" s="121" t="str">
        <f t="shared" si="19"/>
        <v>u(\d)</v>
      </c>
      <c r="Q99" s="124" t="s">
        <v>1224</v>
      </c>
      <c r="R99" s="124">
        <f t="shared" si="20"/>
        <v>1</v>
      </c>
      <c r="S99" s="121" t="str">
        <f t="shared" si="22"/>
        <v>》u${1}</v>
      </c>
      <c r="T99" s="55"/>
      <c r="U99" s="56" t="str">
        <f t="shared" si="21"/>
        <v xml:space="preserve">    - xform/》u(\d)/》u${1}/</v>
      </c>
    </row>
    <row r="100" spans="1:21" ht="27" thickBot="1"/>
    <row r="101" spans="1:21" ht="48.75" thickBot="1">
      <c r="B101" s="58" t="s">
        <v>1311</v>
      </c>
      <c r="C101" s="58" t="s">
        <v>1316</v>
      </c>
      <c r="D101" s="58" t="s">
        <v>1316</v>
      </c>
    </row>
    <row r="102" spans="1:21" ht="27.75" thickBot="1">
      <c r="B102" s="57" t="s">
        <v>1312</v>
      </c>
      <c r="C102" s="57">
        <f xml:space="preserve"> HEX2DEC(VALUE(RIGHT(B102,4)))</f>
        <v>771</v>
      </c>
      <c r="D102" s="57" t="str">
        <f xml:space="preserve"> _xlfn.CONCAT("a", _xlfn.UNICHAR(HEX2DEC(RIGHT(B102,4))))</f>
        <v>ã</v>
      </c>
    </row>
    <row r="103" spans="1:21" ht="27.75" thickBot="1">
      <c r="B103" s="57" t="s">
        <v>1313</v>
      </c>
      <c r="C103" s="57">
        <f xml:space="preserve"> HEX2DEC(VALUE(RIGHT(B103,4)))</f>
        <v>660</v>
      </c>
      <c r="D103" s="57" t="str">
        <f xml:space="preserve"> _xlfn.CONCAT("a", _xlfn.UNICHAR(HEX2DEC(RIGHT(B103,4))))</f>
        <v>aʔ</v>
      </c>
    </row>
    <row r="104" spans="1:21" ht="27" thickBot="1"/>
    <row r="105" spans="1:21" ht="27.75" thickBot="1">
      <c r="B105" s="58" t="s">
        <v>1315</v>
      </c>
      <c r="C105" s="57">
        <f xml:space="preserve"> HEX2DEC(VALUE(RIGHT(B105,4)))</f>
        <v>2134</v>
      </c>
      <c r="D105" s="58" t="str">
        <f xml:space="preserve"> _xlfn.CONCAT("o", _xlfn.UNICHAR( RIGHT(B105,4)))</f>
        <v>o͘</v>
      </c>
    </row>
    <row r="106" spans="1:21" ht="27" thickBot="1">
      <c r="B106" s="58" t="s">
        <v>1314</v>
      </c>
      <c r="C106" s="58">
        <f xml:space="preserve"> _xlfn.UNICODE( RIGHT(B106,1) )</f>
        <v>856</v>
      </c>
      <c r="D106" s="58" t="str">
        <f xml:space="preserve"> _xlfn.CONCAT("o", _xlfn.UNICHAR(C106))</f>
        <v>o͘</v>
      </c>
    </row>
    <row r="107" spans="1:21" ht="27" thickBot="1"/>
    <row r="108" spans="1:21" ht="27.75" thickBot="1">
      <c r="B108" s="58" t="s">
        <v>1330</v>
      </c>
      <c r="C108" s="57" t="s">
        <v>1329</v>
      </c>
    </row>
    <row r="109" spans="1:21" ht="27.75" thickBot="1">
      <c r="B109" s="58" t="s">
        <v>1332</v>
      </c>
      <c r="C109" s="57" t="s">
        <v>1331</v>
      </c>
    </row>
  </sheetData>
  <autoFilter ref="B3:L99" xr:uid="{1D918839-8279-4205-A1C9-3667D2078600}"/>
  <sortState xmlns:xlrd2="http://schemas.microsoft.com/office/spreadsheetml/2017/richdata2" ref="A4:K99">
    <sortCondition ref="A4:A99"/>
  </sortState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244F8-C6AC-4FDD-ADA9-DDCEF8FB7AC7}">
  <dimension ref="A1:S84"/>
  <sheetViews>
    <sheetView workbookViewId="0">
      <selection activeCell="A3" sqref="A3:B84"/>
    </sheetView>
  </sheetViews>
  <sheetFormatPr defaultRowHeight="25.5"/>
  <sheetData>
    <row r="1" spans="1:19">
      <c r="A1" t="s">
        <v>1339</v>
      </c>
    </row>
    <row r="2" spans="1:19">
      <c r="B2" t="s">
        <v>566</v>
      </c>
      <c r="C2" t="s">
        <v>583</v>
      </c>
      <c r="D2" t="s">
        <v>519</v>
      </c>
      <c r="E2" t="s">
        <v>539</v>
      </c>
      <c r="F2" t="s">
        <v>522</v>
      </c>
      <c r="G2" t="s">
        <v>432</v>
      </c>
      <c r="H2" t="s">
        <v>534</v>
      </c>
      <c r="I2" t="s">
        <v>544</v>
      </c>
      <c r="J2" t="s">
        <v>590</v>
      </c>
      <c r="K2" t="s">
        <v>515</v>
      </c>
      <c r="L2" t="s">
        <v>1340</v>
      </c>
      <c r="M2" t="s">
        <v>1341</v>
      </c>
      <c r="N2" t="s">
        <v>1342</v>
      </c>
      <c r="O2" t="s">
        <v>1343</v>
      </c>
      <c r="P2" t="s">
        <v>524</v>
      </c>
      <c r="Q2" t="s">
        <v>529</v>
      </c>
      <c r="R2" t="s">
        <v>527</v>
      </c>
      <c r="S2" t="s">
        <v>595</v>
      </c>
    </row>
    <row r="3" spans="1:19">
      <c r="A3" t="s">
        <v>316</v>
      </c>
      <c r="B3" t="s">
        <v>316</v>
      </c>
      <c r="C3" t="s">
        <v>1344</v>
      </c>
      <c r="D3" t="s">
        <v>1345</v>
      </c>
      <c r="E3" t="s">
        <v>1346</v>
      </c>
      <c r="F3" t="s">
        <v>1347</v>
      </c>
      <c r="G3" t="s">
        <v>1348</v>
      </c>
      <c r="H3" t="s">
        <v>1349</v>
      </c>
      <c r="I3" t="s">
        <v>1350</v>
      </c>
      <c r="J3" t="s">
        <v>299</v>
      </c>
      <c r="K3" t="s">
        <v>1351</v>
      </c>
      <c r="L3" t="s">
        <v>1352</v>
      </c>
      <c r="M3" t="s">
        <v>1353</v>
      </c>
      <c r="O3" t="s">
        <v>1354</v>
      </c>
      <c r="P3" t="s">
        <v>1355</v>
      </c>
      <c r="Q3" t="s">
        <v>1356</v>
      </c>
      <c r="R3" t="s">
        <v>1357</v>
      </c>
      <c r="S3" t="s">
        <v>1358</v>
      </c>
    </row>
    <row r="4" spans="1:19">
      <c r="A4" t="s">
        <v>1123</v>
      </c>
      <c r="B4" t="s">
        <v>297</v>
      </c>
      <c r="C4" t="s">
        <v>1359</v>
      </c>
      <c r="E4" t="s">
        <v>1360</v>
      </c>
      <c r="H4" t="s">
        <v>1361</v>
      </c>
      <c r="I4" t="s">
        <v>1362</v>
      </c>
      <c r="L4" t="s">
        <v>1363</v>
      </c>
      <c r="M4" t="s">
        <v>1364</v>
      </c>
      <c r="O4" t="s">
        <v>1365</v>
      </c>
      <c r="P4" t="s">
        <v>1366</v>
      </c>
      <c r="Q4" t="s">
        <v>1367</v>
      </c>
    </row>
    <row r="5" spans="1:19">
      <c r="A5" t="s">
        <v>830</v>
      </c>
      <c r="B5" t="s">
        <v>321</v>
      </c>
      <c r="C5" t="s">
        <v>1368</v>
      </c>
      <c r="D5" t="s">
        <v>1369</v>
      </c>
      <c r="E5" t="s">
        <v>1370</v>
      </c>
      <c r="F5" t="s">
        <v>1371</v>
      </c>
      <c r="G5" t="s">
        <v>1372</v>
      </c>
      <c r="H5" t="s">
        <v>1373</v>
      </c>
      <c r="I5" t="s">
        <v>1374</v>
      </c>
      <c r="J5" t="s">
        <v>305</v>
      </c>
      <c r="K5" t="s">
        <v>1375</v>
      </c>
      <c r="L5" t="s">
        <v>1376</v>
      </c>
      <c r="M5" t="s">
        <v>1377</v>
      </c>
      <c r="O5" t="s">
        <v>1378</v>
      </c>
      <c r="P5" t="s">
        <v>1379</v>
      </c>
      <c r="Q5" t="s">
        <v>1380</v>
      </c>
    </row>
    <row r="6" spans="1:19">
      <c r="A6" t="s">
        <v>810</v>
      </c>
      <c r="B6" t="s">
        <v>304</v>
      </c>
      <c r="C6" t="s">
        <v>1381</v>
      </c>
      <c r="O6" t="s">
        <v>1382</v>
      </c>
    </row>
    <row r="7" spans="1:19">
      <c r="A7" t="s">
        <v>211</v>
      </c>
      <c r="B7" t="s">
        <v>211</v>
      </c>
      <c r="C7" t="s">
        <v>1383</v>
      </c>
      <c r="H7" t="s">
        <v>1384</v>
      </c>
      <c r="I7" t="s">
        <v>1385</v>
      </c>
      <c r="K7" t="s">
        <v>1386</v>
      </c>
      <c r="L7" t="s">
        <v>1387</v>
      </c>
      <c r="M7" t="s">
        <v>1388</v>
      </c>
      <c r="O7" t="s">
        <v>1389</v>
      </c>
      <c r="P7" t="s">
        <v>1390</v>
      </c>
      <c r="Q7" t="s">
        <v>1391</v>
      </c>
      <c r="R7" t="s">
        <v>1392</v>
      </c>
    </row>
    <row r="8" spans="1:19">
      <c r="A8" t="s">
        <v>69</v>
      </c>
      <c r="B8" t="s">
        <v>69</v>
      </c>
      <c r="C8" t="s">
        <v>1393</v>
      </c>
      <c r="D8" t="s">
        <v>1394</v>
      </c>
      <c r="E8" t="s">
        <v>1395</v>
      </c>
      <c r="F8" t="s">
        <v>1396</v>
      </c>
      <c r="H8" t="s">
        <v>1397</v>
      </c>
      <c r="I8" t="s">
        <v>1398</v>
      </c>
      <c r="K8" t="s">
        <v>1399</v>
      </c>
      <c r="L8" t="s">
        <v>1400</v>
      </c>
      <c r="M8" t="s">
        <v>1401</v>
      </c>
      <c r="O8" t="s">
        <v>1402</v>
      </c>
      <c r="P8" t="s">
        <v>1403</v>
      </c>
      <c r="Q8" t="s">
        <v>1404</v>
      </c>
      <c r="R8" t="s">
        <v>1405</v>
      </c>
    </row>
    <row r="9" spans="1:19">
      <c r="A9" t="s">
        <v>235</v>
      </c>
      <c r="B9" t="s">
        <v>237</v>
      </c>
      <c r="C9" t="s">
        <v>1406</v>
      </c>
      <c r="D9" t="s">
        <v>1407</v>
      </c>
      <c r="E9" t="s">
        <v>1408</v>
      </c>
      <c r="F9" t="s">
        <v>1409</v>
      </c>
      <c r="H9" t="s">
        <v>1410</v>
      </c>
      <c r="I9" t="s">
        <v>1411</v>
      </c>
      <c r="K9" t="s">
        <v>1412</v>
      </c>
      <c r="L9" t="s">
        <v>1413</v>
      </c>
      <c r="M9" t="s">
        <v>1414</v>
      </c>
      <c r="O9" t="s">
        <v>1415</v>
      </c>
      <c r="P9" t="s">
        <v>1416</v>
      </c>
      <c r="Q9" t="s">
        <v>1417</v>
      </c>
      <c r="R9" t="s">
        <v>1418</v>
      </c>
    </row>
    <row r="10" spans="1:19">
      <c r="A10" t="s">
        <v>217</v>
      </c>
      <c r="B10" t="s">
        <v>219</v>
      </c>
      <c r="C10" t="s">
        <v>1419</v>
      </c>
      <c r="H10" t="s">
        <v>1420</v>
      </c>
      <c r="I10" t="s">
        <v>1421</v>
      </c>
      <c r="K10" t="s">
        <v>1422</v>
      </c>
      <c r="L10" t="s">
        <v>1423</v>
      </c>
      <c r="M10" t="s">
        <v>1424</v>
      </c>
      <c r="O10" t="s">
        <v>1425</v>
      </c>
      <c r="P10" t="s">
        <v>1426</v>
      </c>
      <c r="Q10" t="s">
        <v>1427</v>
      </c>
    </row>
    <row r="11" spans="1:19">
      <c r="A11" t="s">
        <v>75</v>
      </c>
      <c r="B11" t="s">
        <v>77</v>
      </c>
      <c r="C11" t="s">
        <v>1428</v>
      </c>
      <c r="D11" t="s">
        <v>1429</v>
      </c>
      <c r="E11" t="s">
        <v>1430</v>
      </c>
      <c r="F11" t="s">
        <v>1431</v>
      </c>
      <c r="H11" t="s">
        <v>1432</v>
      </c>
      <c r="I11" t="s">
        <v>1433</v>
      </c>
      <c r="K11" t="s">
        <v>1434</v>
      </c>
      <c r="L11" t="s">
        <v>1435</v>
      </c>
      <c r="M11" t="s">
        <v>1436</v>
      </c>
      <c r="O11" t="s">
        <v>1437</v>
      </c>
      <c r="P11" t="s">
        <v>1438</v>
      </c>
      <c r="Q11" t="s">
        <v>1439</v>
      </c>
    </row>
    <row r="12" spans="1:19">
      <c r="A12" t="s">
        <v>241</v>
      </c>
      <c r="B12" t="s">
        <v>243</v>
      </c>
      <c r="C12" t="s">
        <v>1440</v>
      </c>
      <c r="D12" t="s">
        <v>1441</v>
      </c>
      <c r="E12" t="s">
        <v>1442</v>
      </c>
      <c r="F12" t="s">
        <v>1443</v>
      </c>
      <c r="H12" t="s">
        <v>1444</v>
      </c>
      <c r="I12" t="s">
        <v>1445</v>
      </c>
      <c r="K12" t="s">
        <v>1446</v>
      </c>
      <c r="L12" t="s">
        <v>1447</v>
      </c>
      <c r="M12" t="s">
        <v>1448</v>
      </c>
      <c r="O12" t="s">
        <v>1449</v>
      </c>
      <c r="P12" t="s">
        <v>1450</v>
      </c>
      <c r="Q12" t="s">
        <v>1451</v>
      </c>
      <c r="R12" t="s">
        <v>1452</v>
      </c>
    </row>
    <row r="13" spans="1:19">
      <c r="A13" t="s">
        <v>1142</v>
      </c>
      <c r="B13" t="s">
        <v>183</v>
      </c>
      <c r="C13" t="s">
        <v>1453</v>
      </c>
      <c r="D13" t="s">
        <v>1454</v>
      </c>
      <c r="E13" t="s">
        <v>1455</v>
      </c>
      <c r="F13" t="s">
        <v>1456</v>
      </c>
      <c r="G13" t="s">
        <v>1457</v>
      </c>
      <c r="H13" t="s">
        <v>1458</v>
      </c>
      <c r="I13" t="s">
        <v>1459</v>
      </c>
      <c r="J13" t="s">
        <v>419</v>
      </c>
      <c r="K13" t="s">
        <v>1460</v>
      </c>
      <c r="L13" t="s">
        <v>1461</v>
      </c>
      <c r="M13" t="s">
        <v>1462</v>
      </c>
      <c r="O13" t="s">
        <v>1463</v>
      </c>
      <c r="P13" t="s">
        <v>1464</v>
      </c>
      <c r="Q13" t="s">
        <v>1465</v>
      </c>
      <c r="R13" t="s">
        <v>1466</v>
      </c>
      <c r="S13" t="s">
        <v>1467</v>
      </c>
    </row>
    <row r="14" spans="1:19">
      <c r="A14" t="s">
        <v>1468</v>
      </c>
      <c r="B14" t="s">
        <v>417</v>
      </c>
      <c r="C14" t="s">
        <v>1469</v>
      </c>
      <c r="E14" t="s">
        <v>1470</v>
      </c>
      <c r="H14" t="s">
        <v>1471</v>
      </c>
      <c r="L14" t="s">
        <v>1472</v>
      </c>
      <c r="P14" t="s">
        <v>1473</v>
      </c>
      <c r="Q14" t="s">
        <v>1474</v>
      </c>
    </row>
    <row r="15" spans="1:19">
      <c r="A15" t="s">
        <v>1475</v>
      </c>
      <c r="B15" t="s">
        <v>1476</v>
      </c>
      <c r="C15" t="s">
        <v>1477</v>
      </c>
      <c r="K15" t="s">
        <v>1478</v>
      </c>
      <c r="O15" t="s">
        <v>1479</v>
      </c>
    </row>
    <row r="16" spans="1:19">
      <c r="A16" t="s">
        <v>260</v>
      </c>
      <c r="B16" t="s">
        <v>260</v>
      </c>
      <c r="C16" t="s">
        <v>1480</v>
      </c>
      <c r="D16" t="s">
        <v>1481</v>
      </c>
      <c r="E16" t="s">
        <v>1482</v>
      </c>
      <c r="F16" t="s">
        <v>1483</v>
      </c>
      <c r="G16" t="s">
        <v>1484</v>
      </c>
      <c r="H16" t="s">
        <v>1485</v>
      </c>
      <c r="I16" t="s">
        <v>1486</v>
      </c>
      <c r="J16" t="s">
        <v>1487</v>
      </c>
      <c r="K16" t="s">
        <v>1488</v>
      </c>
      <c r="L16" t="s">
        <v>1489</v>
      </c>
      <c r="M16" t="s">
        <v>1490</v>
      </c>
      <c r="O16" t="s">
        <v>1491</v>
      </c>
      <c r="P16" t="s">
        <v>1492</v>
      </c>
      <c r="Q16" t="s">
        <v>1493</v>
      </c>
      <c r="R16" t="s">
        <v>1494</v>
      </c>
      <c r="S16" t="s">
        <v>1495</v>
      </c>
    </row>
    <row r="17" spans="1:19">
      <c r="A17" t="s">
        <v>795</v>
      </c>
      <c r="B17" t="s">
        <v>267</v>
      </c>
      <c r="E17" t="s">
        <v>1496</v>
      </c>
      <c r="G17" t="s">
        <v>1497</v>
      </c>
      <c r="H17" t="s">
        <v>1498</v>
      </c>
      <c r="J17" t="s">
        <v>1499</v>
      </c>
      <c r="K17" t="s">
        <v>1500</v>
      </c>
      <c r="M17" t="s">
        <v>1501</v>
      </c>
      <c r="P17" t="s">
        <v>1502</v>
      </c>
      <c r="S17" t="s">
        <v>1503</v>
      </c>
    </row>
    <row r="18" spans="1:19" s="138" customFormat="1">
      <c r="A18" s="138" t="s">
        <v>60</v>
      </c>
      <c r="B18" s="138" t="s">
        <v>60</v>
      </c>
      <c r="C18" s="138" t="s">
        <v>1504</v>
      </c>
      <c r="D18" s="138" t="s">
        <v>1505</v>
      </c>
      <c r="E18" s="138" t="s">
        <v>1506</v>
      </c>
      <c r="F18" s="138" t="s">
        <v>1507</v>
      </c>
      <c r="G18" s="138" t="s">
        <v>1508</v>
      </c>
      <c r="H18" s="138" t="s">
        <v>1509</v>
      </c>
      <c r="I18" s="138" t="s">
        <v>1510</v>
      </c>
      <c r="J18" s="138" t="s">
        <v>342</v>
      </c>
      <c r="K18" s="138" t="s">
        <v>1511</v>
      </c>
      <c r="L18" s="138" t="s">
        <v>1512</v>
      </c>
      <c r="M18" s="138" t="s">
        <v>1513</v>
      </c>
      <c r="O18" s="138" t="s">
        <v>1514</v>
      </c>
      <c r="P18" s="138" t="s">
        <v>1515</v>
      </c>
      <c r="Q18" s="138" t="s">
        <v>1516</v>
      </c>
      <c r="R18" s="138" t="s">
        <v>1517</v>
      </c>
      <c r="S18" s="138" t="s">
        <v>1518</v>
      </c>
    </row>
    <row r="19" spans="1:19" s="138" customFormat="1">
      <c r="A19" s="138" t="s">
        <v>1151</v>
      </c>
      <c r="B19" s="138" t="s">
        <v>340</v>
      </c>
      <c r="C19" s="138" t="s">
        <v>1519</v>
      </c>
      <c r="D19" s="138" t="s">
        <v>1520</v>
      </c>
      <c r="E19" s="138" t="s">
        <v>1521</v>
      </c>
      <c r="H19" s="138" t="s">
        <v>1522</v>
      </c>
      <c r="I19" s="138" t="s">
        <v>1523</v>
      </c>
      <c r="L19" s="138" t="s">
        <v>1524</v>
      </c>
      <c r="M19" s="138" t="s">
        <v>1525</v>
      </c>
      <c r="O19" s="138" t="s">
        <v>1526</v>
      </c>
      <c r="P19" s="138" t="s">
        <v>1527</v>
      </c>
      <c r="Q19" s="138" t="s">
        <v>1528</v>
      </c>
    </row>
    <row r="20" spans="1:19" s="138" customFormat="1">
      <c r="A20" s="138" t="s">
        <v>837</v>
      </c>
      <c r="B20" s="138" t="s">
        <v>65</v>
      </c>
      <c r="C20" s="138" t="s">
        <v>1529</v>
      </c>
      <c r="D20" s="138" t="s">
        <v>1530</v>
      </c>
      <c r="E20" s="138" t="s">
        <v>1531</v>
      </c>
      <c r="F20" s="138" t="s">
        <v>1532</v>
      </c>
      <c r="G20" s="138" t="s">
        <v>1533</v>
      </c>
      <c r="H20" s="138" t="s">
        <v>1534</v>
      </c>
      <c r="I20" s="138" t="s">
        <v>1535</v>
      </c>
      <c r="J20" s="138" t="s">
        <v>1536</v>
      </c>
      <c r="K20" s="138" t="s">
        <v>1537</v>
      </c>
      <c r="L20" s="138" t="s">
        <v>1538</v>
      </c>
      <c r="M20" s="138" t="s">
        <v>1539</v>
      </c>
      <c r="O20" s="138" t="s">
        <v>1540</v>
      </c>
      <c r="P20" s="138" t="s">
        <v>1541</v>
      </c>
      <c r="Q20" s="138" t="s">
        <v>1542</v>
      </c>
      <c r="R20" s="138" t="s">
        <v>1543</v>
      </c>
      <c r="S20" s="138" t="s">
        <v>1544</v>
      </c>
    </row>
    <row r="21" spans="1:19" s="138" customFormat="1">
      <c r="A21" s="138" t="s">
        <v>1545</v>
      </c>
      <c r="B21" s="138" t="s">
        <v>346</v>
      </c>
      <c r="C21" s="138" t="s">
        <v>1546</v>
      </c>
      <c r="Q21" s="138" t="s">
        <v>1547</v>
      </c>
    </row>
    <row r="22" spans="1:19">
      <c r="A22" t="s">
        <v>324</v>
      </c>
      <c r="B22" t="s">
        <v>324</v>
      </c>
      <c r="C22" t="s">
        <v>1548</v>
      </c>
      <c r="D22" t="s">
        <v>1549</v>
      </c>
      <c r="E22" t="s">
        <v>1550</v>
      </c>
      <c r="F22" t="s">
        <v>1551</v>
      </c>
      <c r="G22" t="s">
        <v>1552</v>
      </c>
      <c r="H22" t="s">
        <v>1553</v>
      </c>
      <c r="I22" t="s">
        <v>1554</v>
      </c>
      <c r="J22" t="s">
        <v>372</v>
      </c>
      <c r="K22" t="s">
        <v>1555</v>
      </c>
      <c r="L22" t="s">
        <v>607</v>
      </c>
      <c r="M22" t="s">
        <v>613</v>
      </c>
      <c r="N22" t="s">
        <v>601</v>
      </c>
      <c r="O22" t="s">
        <v>618</v>
      </c>
      <c r="P22" t="s">
        <v>1556</v>
      </c>
      <c r="Q22" t="s">
        <v>1557</v>
      </c>
      <c r="R22" t="s">
        <v>1558</v>
      </c>
      <c r="S22" t="s">
        <v>1559</v>
      </c>
    </row>
    <row r="23" spans="1:19">
      <c r="A23" t="s">
        <v>367</v>
      </c>
      <c r="B23" t="s">
        <v>370</v>
      </c>
      <c r="C23" t="s">
        <v>1560</v>
      </c>
      <c r="D23" t="s">
        <v>1561</v>
      </c>
      <c r="E23" t="s">
        <v>1562</v>
      </c>
      <c r="H23" t="s">
        <v>1563</v>
      </c>
      <c r="I23" t="s">
        <v>1564</v>
      </c>
      <c r="L23" t="s">
        <v>1565</v>
      </c>
      <c r="M23" t="s">
        <v>1566</v>
      </c>
      <c r="O23" t="s">
        <v>1567</v>
      </c>
      <c r="P23" t="s">
        <v>1568</v>
      </c>
      <c r="Q23" t="s">
        <v>1569</v>
      </c>
    </row>
    <row r="24" spans="1:19">
      <c r="A24" t="s">
        <v>845</v>
      </c>
      <c r="B24" t="s">
        <v>329</v>
      </c>
      <c r="D24" t="s">
        <v>1570</v>
      </c>
      <c r="E24" t="s">
        <v>1571</v>
      </c>
      <c r="F24" t="s">
        <v>1572</v>
      </c>
      <c r="G24" t="s">
        <v>1573</v>
      </c>
      <c r="H24" t="s">
        <v>1574</v>
      </c>
      <c r="I24" t="s">
        <v>1575</v>
      </c>
      <c r="J24" t="s">
        <v>377</v>
      </c>
      <c r="K24" t="s">
        <v>1576</v>
      </c>
      <c r="L24" t="s">
        <v>1577</v>
      </c>
      <c r="M24" t="s">
        <v>1578</v>
      </c>
      <c r="O24" t="s">
        <v>1579</v>
      </c>
      <c r="P24" t="s">
        <v>1580</v>
      </c>
      <c r="Q24" t="s">
        <v>1581</v>
      </c>
    </row>
    <row r="25" spans="1:19">
      <c r="A25" t="s">
        <v>38</v>
      </c>
      <c r="B25" t="s">
        <v>38</v>
      </c>
      <c r="C25" t="s">
        <v>1582</v>
      </c>
      <c r="H25" t="s">
        <v>1583</v>
      </c>
      <c r="I25" t="s">
        <v>1584</v>
      </c>
      <c r="K25" t="s">
        <v>1585</v>
      </c>
      <c r="L25" t="s">
        <v>1586</v>
      </c>
      <c r="M25" t="s">
        <v>1587</v>
      </c>
      <c r="N25" t="s">
        <v>1588</v>
      </c>
      <c r="O25" t="s">
        <v>1589</v>
      </c>
      <c r="P25" t="s">
        <v>1590</v>
      </c>
      <c r="Q25" t="s">
        <v>1591</v>
      </c>
      <c r="R25" t="s">
        <v>1592</v>
      </c>
    </row>
    <row r="26" spans="1:19">
      <c r="A26" t="s">
        <v>189</v>
      </c>
      <c r="B26" t="s">
        <v>189</v>
      </c>
      <c r="C26" t="s">
        <v>1593</v>
      </c>
      <c r="D26" t="s">
        <v>1594</v>
      </c>
      <c r="E26" t="s">
        <v>1595</v>
      </c>
      <c r="F26" t="s">
        <v>1596</v>
      </c>
      <c r="H26" t="s">
        <v>1597</v>
      </c>
      <c r="I26" t="s">
        <v>1598</v>
      </c>
      <c r="K26" t="s">
        <v>1599</v>
      </c>
      <c r="L26" t="s">
        <v>1600</v>
      </c>
      <c r="M26" t="s">
        <v>1601</v>
      </c>
      <c r="N26" t="s">
        <v>1602</v>
      </c>
      <c r="O26" t="s">
        <v>1603</v>
      </c>
      <c r="P26" t="s">
        <v>1604</v>
      </c>
      <c r="Q26" t="s">
        <v>1605</v>
      </c>
      <c r="R26" t="s">
        <v>1606</v>
      </c>
    </row>
    <row r="27" spans="1:19">
      <c r="A27" t="s">
        <v>106</v>
      </c>
      <c r="B27" t="s">
        <v>109</v>
      </c>
      <c r="C27" t="s">
        <v>1607</v>
      </c>
      <c r="D27" t="s">
        <v>1608</v>
      </c>
      <c r="E27" t="s">
        <v>1609</v>
      </c>
      <c r="F27" t="s">
        <v>1610</v>
      </c>
      <c r="H27" t="s">
        <v>1611</v>
      </c>
      <c r="I27" t="s">
        <v>1612</v>
      </c>
      <c r="K27" t="s">
        <v>1613</v>
      </c>
      <c r="L27" t="s">
        <v>1614</v>
      </c>
      <c r="M27" t="s">
        <v>1615</v>
      </c>
      <c r="O27" t="s">
        <v>1616</v>
      </c>
      <c r="P27" t="s">
        <v>1617</v>
      </c>
      <c r="Q27" t="s">
        <v>1618</v>
      </c>
      <c r="R27" t="s">
        <v>1619</v>
      </c>
    </row>
    <row r="28" spans="1:19">
      <c r="A28" t="s">
        <v>44</v>
      </c>
      <c r="B28" t="s">
        <v>46</v>
      </c>
      <c r="C28" t="s">
        <v>1620</v>
      </c>
      <c r="K28" t="s">
        <v>1621</v>
      </c>
      <c r="L28" t="s">
        <v>1622</v>
      </c>
      <c r="M28" t="s">
        <v>1623</v>
      </c>
      <c r="N28" t="s">
        <v>1624</v>
      </c>
      <c r="O28" t="s">
        <v>1625</v>
      </c>
      <c r="P28" t="s">
        <v>1626</v>
      </c>
      <c r="Q28" t="s">
        <v>1627</v>
      </c>
    </row>
    <row r="29" spans="1:19">
      <c r="A29" t="s">
        <v>195</v>
      </c>
      <c r="B29" t="s">
        <v>197</v>
      </c>
      <c r="C29" t="s">
        <v>1628</v>
      </c>
      <c r="D29" t="s">
        <v>1629</v>
      </c>
      <c r="E29" t="s">
        <v>1630</v>
      </c>
      <c r="F29" t="s">
        <v>1631</v>
      </c>
      <c r="H29" t="s">
        <v>1632</v>
      </c>
      <c r="I29" t="s">
        <v>1633</v>
      </c>
      <c r="K29" t="s">
        <v>1634</v>
      </c>
      <c r="L29" t="s">
        <v>1635</v>
      </c>
      <c r="M29" t="s">
        <v>1636</v>
      </c>
      <c r="N29" t="s">
        <v>1637</v>
      </c>
      <c r="O29" t="s">
        <v>1638</v>
      </c>
      <c r="P29" t="s">
        <v>1639</v>
      </c>
      <c r="Q29" t="s">
        <v>1640</v>
      </c>
    </row>
    <row r="30" spans="1:19">
      <c r="A30" t="s">
        <v>1641</v>
      </c>
      <c r="B30" t="s">
        <v>115</v>
      </c>
      <c r="C30" t="s">
        <v>1642</v>
      </c>
      <c r="D30" t="s">
        <v>1643</v>
      </c>
      <c r="E30" t="s">
        <v>1644</v>
      </c>
      <c r="F30" t="s">
        <v>1645</v>
      </c>
      <c r="H30" t="s">
        <v>1646</v>
      </c>
      <c r="I30" t="s">
        <v>1647</v>
      </c>
      <c r="K30" t="s">
        <v>1648</v>
      </c>
      <c r="L30" t="s">
        <v>1649</v>
      </c>
      <c r="M30" t="s">
        <v>1650</v>
      </c>
      <c r="N30" t="s">
        <v>1651</v>
      </c>
      <c r="O30" t="s">
        <v>1652</v>
      </c>
      <c r="P30" t="s">
        <v>1653</v>
      </c>
      <c r="Q30" t="s">
        <v>1654</v>
      </c>
      <c r="R30" t="s">
        <v>1655</v>
      </c>
    </row>
    <row r="31" spans="1:19">
      <c r="A31" t="s">
        <v>1171</v>
      </c>
      <c r="B31" t="s">
        <v>272</v>
      </c>
      <c r="C31" t="s">
        <v>1656</v>
      </c>
      <c r="G31" t="s">
        <v>1657</v>
      </c>
      <c r="H31" t="s">
        <v>1658</v>
      </c>
      <c r="J31" t="s">
        <v>394</v>
      </c>
      <c r="K31" t="s">
        <v>1659</v>
      </c>
      <c r="L31" t="s">
        <v>1660</v>
      </c>
      <c r="M31" t="s">
        <v>1661</v>
      </c>
      <c r="N31" t="s">
        <v>1662</v>
      </c>
      <c r="O31" t="s">
        <v>1663</v>
      </c>
      <c r="P31" t="s">
        <v>1664</v>
      </c>
      <c r="Q31" t="s">
        <v>1665</v>
      </c>
      <c r="R31" t="s">
        <v>1666</v>
      </c>
      <c r="S31" t="s">
        <v>1667</v>
      </c>
    </row>
    <row r="32" spans="1:19">
      <c r="A32" t="s">
        <v>1668</v>
      </c>
      <c r="B32" t="s">
        <v>391</v>
      </c>
      <c r="C32" t="s">
        <v>1669</v>
      </c>
      <c r="D32" t="s">
        <v>1670</v>
      </c>
      <c r="E32" t="s">
        <v>1671</v>
      </c>
      <c r="H32" t="s">
        <v>1672</v>
      </c>
      <c r="I32" t="s">
        <v>1673</v>
      </c>
      <c r="L32" t="s">
        <v>1674</v>
      </c>
      <c r="M32" t="s">
        <v>1675</v>
      </c>
      <c r="O32" t="s">
        <v>1676</v>
      </c>
      <c r="P32" t="s">
        <v>1677</v>
      </c>
      <c r="Q32" t="s">
        <v>1678</v>
      </c>
    </row>
    <row r="33" spans="1:19">
      <c r="A33" t="s">
        <v>1679</v>
      </c>
      <c r="B33" t="s">
        <v>278</v>
      </c>
      <c r="C33" t="s">
        <v>1680</v>
      </c>
      <c r="D33" t="s">
        <v>1681</v>
      </c>
      <c r="E33" t="s">
        <v>1682</v>
      </c>
      <c r="H33" t="s">
        <v>1683</v>
      </c>
      <c r="I33" t="s">
        <v>1684</v>
      </c>
      <c r="K33" t="s">
        <v>1685</v>
      </c>
      <c r="L33" t="s">
        <v>1686</v>
      </c>
      <c r="M33" t="s">
        <v>1687</v>
      </c>
      <c r="N33" t="s">
        <v>1688</v>
      </c>
      <c r="O33" t="s">
        <v>1689</v>
      </c>
      <c r="P33" t="s">
        <v>1690</v>
      </c>
      <c r="Q33" t="s">
        <v>1691</v>
      </c>
      <c r="R33" t="s">
        <v>1692</v>
      </c>
    </row>
    <row r="34" spans="1:19">
      <c r="A34" t="s">
        <v>788</v>
      </c>
      <c r="B34" t="s">
        <v>392</v>
      </c>
      <c r="C34" t="s">
        <v>1693</v>
      </c>
      <c r="O34" t="s">
        <v>1694</v>
      </c>
    </row>
    <row r="35" spans="1:19">
      <c r="A35" t="s">
        <v>1695</v>
      </c>
      <c r="B35" t="s">
        <v>247</v>
      </c>
      <c r="C35" t="s">
        <v>1696</v>
      </c>
      <c r="H35" t="s">
        <v>1697</v>
      </c>
      <c r="I35" t="s">
        <v>1698</v>
      </c>
      <c r="K35" t="s">
        <v>1699</v>
      </c>
      <c r="L35" t="s">
        <v>1700</v>
      </c>
      <c r="M35" t="s">
        <v>1701</v>
      </c>
      <c r="N35" t="s">
        <v>1702</v>
      </c>
      <c r="O35" t="s">
        <v>1703</v>
      </c>
      <c r="P35" t="s">
        <v>1704</v>
      </c>
      <c r="Q35" t="s">
        <v>1705</v>
      </c>
      <c r="R35" t="s">
        <v>1706</v>
      </c>
    </row>
    <row r="36" spans="1:19">
      <c r="A36" t="s">
        <v>1707</v>
      </c>
      <c r="B36" t="s">
        <v>27</v>
      </c>
      <c r="C36" t="s">
        <v>1708</v>
      </c>
      <c r="D36" t="s">
        <v>1709</v>
      </c>
      <c r="E36" t="s">
        <v>1710</v>
      </c>
      <c r="F36" t="s">
        <v>1711</v>
      </c>
      <c r="H36" t="s">
        <v>1712</v>
      </c>
      <c r="I36" t="s">
        <v>1713</v>
      </c>
      <c r="K36" t="s">
        <v>1714</v>
      </c>
      <c r="L36" t="s">
        <v>1715</v>
      </c>
      <c r="M36" t="s">
        <v>1716</v>
      </c>
      <c r="N36" t="s">
        <v>1717</v>
      </c>
      <c r="O36" t="s">
        <v>1718</v>
      </c>
      <c r="P36" t="s">
        <v>1719</v>
      </c>
      <c r="Q36" t="s">
        <v>1720</v>
      </c>
      <c r="R36" t="s">
        <v>1721</v>
      </c>
    </row>
    <row r="37" spans="1:19" s="138" customFormat="1">
      <c r="A37" s="138" t="s">
        <v>1167</v>
      </c>
      <c r="B37" s="138" t="s">
        <v>203</v>
      </c>
      <c r="C37" s="138" t="s">
        <v>1722</v>
      </c>
      <c r="D37" s="138" t="s">
        <v>1723</v>
      </c>
      <c r="E37" s="138" t="s">
        <v>1724</v>
      </c>
      <c r="K37" s="138" t="s">
        <v>1725</v>
      </c>
      <c r="L37" s="138" t="s">
        <v>1726</v>
      </c>
      <c r="M37" s="138" t="s">
        <v>1727</v>
      </c>
      <c r="N37" s="138" t="s">
        <v>1728</v>
      </c>
      <c r="O37" s="138" t="s">
        <v>1729</v>
      </c>
      <c r="P37" s="138" t="s">
        <v>1730</v>
      </c>
      <c r="Q37" s="138" t="s">
        <v>1731</v>
      </c>
      <c r="R37" s="138" t="s">
        <v>1732</v>
      </c>
    </row>
    <row r="38" spans="1:19" s="138" customFormat="1">
      <c r="A38" s="138" t="s">
        <v>1733</v>
      </c>
      <c r="B38" s="138" t="s">
        <v>256</v>
      </c>
      <c r="C38" s="138" t="s">
        <v>1734</v>
      </c>
      <c r="H38" s="138" t="s">
        <v>1735</v>
      </c>
      <c r="I38" s="138" t="s">
        <v>1736</v>
      </c>
      <c r="K38" s="138" t="s">
        <v>1737</v>
      </c>
      <c r="L38" s="138" t="s">
        <v>1738</v>
      </c>
      <c r="M38" s="138" t="s">
        <v>1739</v>
      </c>
      <c r="N38" s="138" t="s">
        <v>1740</v>
      </c>
      <c r="O38" s="138" t="s">
        <v>1741</v>
      </c>
      <c r="P38" s="138" t="s">
        <v>1742</v>
      </c>
      <c r="Q38" s="138" t="s">
        <v>1743</v>
      </c>
      <c r="R38" s="138" t="s">
        <v>1744</v>
      </c>
    </row>
    <row r="39" spans="1:19" s="138" customFormat="1">
      <c r="A39" s="138" t="s">
        <v>1745</v>
      </c>
      <c r="B39" s="138" t="s">
        <v>34</v>
      </c>
      <c r="C39" s="138" t="s">
        <v>1746</v>
      </c>
      <c r="D39" s="138" t="s">
        <v>1747</v>
      </c>
      <c r="E39" s="138" t="s">
        <v>1748</v>
      </c>
      <c r="F39" s="138" t="s">
        <v>1749</v>
      </c>
      <c r="H39" s="138" t="s">
        <v>1750</v>
      </c>
      <c r="I39" s="138" t="s">
        <v>1751</v>
      </c>
      <c r="K39" s="138" t="s">
        <v>1752</v>
      </c>
      <c r="L39" s="138" t="s">
        <v>1753</v>
      </c>
      <c r="M39" s="138" t="s">
        <v>1754</v>
      </c>
      <c r="N39" s="138" t="s">
        <v>1755</v>
      </c>
      <c r="O39" s="138" t="s">
        <v>1756</v>
      </c>
      <c r="P39" s="138" t="s">
        <v>1757</v>
      </c>
      <c r="Q39" s="138" t="s">
        <v>1758</v>
      </c>
      <c r="R39" s="138" t="s">
        <v>1759</v>
      </c>
    </row>
    <row r="40" spans="1:19" s="138" customFormat="1">
      <c r="A40" s="138" t="s">
        <v>1168</v>
      </c>
      <c r="B40" s="138" t="s">
        <v>207</v>
      </c>
      <c r="D40" s="138" t="s">
        <v>1760</v>
      </c>
      <c r="E40" s="138" t="s">
        <v>1761</v>
      </c>
      <c r="H40" s="138" t="s">
        <v>1762</v>
      </c>
      <c r="M40" s="138" t="s">
        <v>1763</v>
      </c>
      <c r="O40" s="138" t="s">
        <v>1764</v>
      </c>
      <c r="Q40" s="138" t="s">
        <v>1765</v>
      </c>
    </row>
    <row r="41" spans="1:19" s="138" customFormat="1">
      <c r="A41" s="138" t="s">
        <v>1766</v>
      </c>
      <c r="B41" s="138" t="s">
        <v>141</v>
      </c>
      <c r="C41" s="138" t="s">
        <v>1767</v>
      </c>
      <c r="D41" s="138" t="s">
        <v>1768</v>
      </c>
      <c r="E41" s="138" t="s">
        <v>1769</v>
      </c>
      <c r="F41" s="138" t="s">
        <v>1770</v>
      </c>
      <c r="G41" s="138" t="s">
        <v>1771</v>
      </c>
      <c r="H41" s="138" t="s">
        <v>1772</v>
      </c>
      <c r="I41" s="138" t="s">
        <v>1773</v>
      </c>
      <c r="J41" s="138" t="s">
        <v>1774</v>
      </c>
      <c r="K41" s="138" t="s">
        <v>1775</v>
      </c>
      <c r="L41" s="138" t="s">
        <v>1776</v>
      </c>
      <c r="M41" s="138" t="s">
        <v>1777</v>
      </c>
      <c r="N41" s="138" t="s">
        <v>1778</v>
      </c>
      <c r="O41" s="138" t="s">
        <v>1779</v>
      </c>
      <c r="P41" s="138" t="s">
        <v>1780</v>
      </c>
      <c r="Q41" s="138" t="s">
        <v>1781</v>
      </c>
      <c r="R41" s="138" t="s">
        <v>1782</v>
      </c>
      <c r="S41" s="138" t="s">
        <v>1783</v>
      </c>
    </row>
    <row r="42" spans="1:19" s="138" customFormat="1">
      <c r="A42" s="138" t="s">
        <v>1784</v>
      </c>
      <c r="B42" s="138" t="s">
        <v>467</v>
      </c>
    </row>
    <row r="43" spans="1:19" s="138" customFormat="1">
      <c r="A43" s="138" t="s">
        <v>1785</v>
      </c>
      <c r="B43" s="138" t="s">
        <v>148</v>
      </c>
      <c r="C43" s="138" t="s">
        <v>1786</v>
      </c>
      <c r="Q43" s="138" t="s">
        <v>1787</v>
      </c>
      <c r="S43" s="138" t="s">
        <v>1788</v>
      </c>
    </row>
    <row r="44" spans="1:19" s="138" customFormat="1">
      <c r="A44" s="138" t="s">
        <v>1789</v>
      </c>
      <c r="B44" s="138" t="s">
        <v>357</v>
      </c>
      <c r="C44" s="138" t="s">
        <v>1790</v>
      </c>
      <c r="D44" s="138" t="s">
        <v>1791</v>
      </c>
      <c r="E44" s="138" t="s">
        <v>1792</v>
      </c>
      <c r="F44" s="138" t="s">
        <v>1793</v>
      </c>
      <c r="H44" s="138" t="s">
        <v>1794</v>
      </c>
      <c r="I44" s="138" t="s">
        <v>1795</v>
      </c>
      <c r="K44" s="138" t="s">
        <v>1796</v>
      </c>
      <c r="L44" s="138" t="s">
        <v>1797</v>
      </c>
      <c r="M44" s="138" t="s">
        <v>1798</v>
      </c>
      <c r="N44" s="138" t="s">
        <v>1799</v>
      </c>
      <c r="O44" s="138" t="s">
        <v>1800</v>
      </c>
      <c r="P44" s="138" t="s">
        <v>1801</v>
      </c>
      <c r="Q44" s="138" t="s">
        <v>1802</v>
      </c>
      <c r="R44" s="138" t="s">
        <v>1803</v>
      </c>
    </row>
    <row r="45" spans="1:19" s="138" customFormat="1">
      <c r="A45" s="138" t="s">
        <v>1804</v>
      </c>
      <c r="B45" s="138" t="s">
        <v>383</v>
      </c>
      <c r="C45" s="138" t="s">
        <v>1805</v>
      </c>
      <c r="H45" s="138" t="s">
        <v>1806</v>
      </c>
      <c r="L45" s="138" t="s">
        <v>1807</v>
      </c>
      <c r="M45" s="138" t="s">
        <v>1808</v>
      </c>
      <c r="O45" s="138" t="s">
        <v>1809</v>
      </c>
      <c r="P45" s="138" t="s">
        <v>1810</v>
      </c>
      <c r="Q45" s="138" t="s">
        <v>1811</v>
      </c>
    </row>
    <row r="46" spans="1:19" s="138" customFormat="1">
      <c r="A46" s="138" t="s">
        <v>1812</v>
      </c>
      <c r="B46" s="138" t="s">
        <v>363</v>
      </c>
      <c r="C46" s="138" t="s">
        <v>1813</v>
      </c>
      <c r="H46" s="138" t="s">
        <v>1814</v>
      </c>
      <c r="K46" s="138" t="s">
        <v>1815</v>
      </c>
      <c r="L46" s="138" t="s">
        <v>1816</v>
      </c>
      <c r="M46" s="138" t="s">
        <v>1817</v>
      </c>
      <c r="O46" s="138" t="s">
        <v>1818</v>
      </c>
      <c r="P46" s="138" t="s">
        <v>1819</v>
      </c>
      <c r="Q46" s="138" t="s">
        <v>1820</v>
      </c>
      <c r="R46" s="138" t="s">
        <v>1821</v>
      </c>
    </row>
    <row r="47" spans="1:19" s="138" customFormat="1">
      <c r="A47" s="138" t="s">
        <v>1165</v>
      </c>
      <c r="B47" s="138" t="s">
        <v>162</v>
      </c>
      <c r="C47" s="138" t="s">
        <v>1822</v>
      </c>
      <c r="H47" s="138" t="s">
        <v>1823</v>
      </c>
      <c r="I47" s="138" t="s">
        <v>1824</v>
      </c>
      <c r="K47" s="138" t="s">
        <v>1825</v>
      </c>
      <c r="L47" s="138" t="s">
        <v>1826</v>
      </c>
      <c r="M47" s="138" t="s">
        <v>1827</v>
      </c>
      <c r="N47" s="138" t="s">
        <v>1828</v>
      </c>
      <c r="O47" s="138" t="s">
        <v>1829</v>
      </c>
      <c r="P47" s="138" t="s">
        <v>1830</v>
      </c>
      <c r="Q47" s="138" t="s">
        <v>1831</v>
      </c>
      <c r="R47" s="138" t="s">
        <v>1832</v>
      </c>
    </row>
    <row r="48" spans="1:19" s="138" customFormat="1">
      <c r="A48" s="138" t="s">
        <v>1166</v>
      </c>
      <c r="B48" s="138" t="s">
        <v>167</v>
      </c>
      <c r="C48" s="138" t="s">
        <v>1833</v>
      </c>
      <c r="H48" s="138" t="s">
        <v>1834</v>
      </c>
      <c r="I48" s="138" t="s">
        <v>1835</v>
      </c>
      <c r="K48" s="138" t="s">
        <v>1836</v>
      </c>
      <c r="L48" s="138" t="s">
        <v>1837</v>
      </c>
      <c r="M48" s="138" t="s">
        <v>1838</v>
      </c>
      <c r="N48" s="138" t="s">
        <v>1839</v>
      </c>
      <c r="O48" s="138" t="s">
        <v>1840</v>
      </c>
      <c r="P48" s="138" t="s">
        <v>1841</v>
      </c>
      <c r="Q48" s="138" t="s">
        <v>1842</v>
      </c>
      <c r="R48" s="138" t="s">
        <v>1843</v>
      </c>
    </row>
    <row r="49" spans="1:19" s="138" customFormat="1">
      <c r="A49" s="138" t="s">
        <v>332</v>
      </c>
      <c r="B49" s="138" t="s">
        <v>332</v>
      </c>
      <c r="C49" s="138" t="s">
        <v>1844</v>
      </c>
      <c r="D49" s="138" t="s">
        <v>1845</v>
      </c>
      <c r="F49" s="138" t="s">
        <v>1846</v>
      </c>
      <c r="H49" s="138" t="s">
        <v>1847</v>
      </c>
      <c r="I49" s="138" t="s">
        <v>1848</v>
      </c>
      <c r="J49" s="138" t="s">
        <v>509</v>
      </c>
      <c r="K49" s="138" t="s">
        <v>1849</v>
      </c>
      <c r="L49" s="138" t="s">
        <v>1850</v>
      </c>
      <c r="M49" s="138" t="s">
        <v>1851</v>
      </c>
      <c r="N49" s="138" t="s">
        <v>1852</v>
      </c>
      <c r="O49" s="138" t="s">
        <v>1853</v>
      </c>
      <c r="P49" s="138" t="s">
        <v>1854</v>
      </c>
      <c r="Q49" s="138" t="s">
        <v>1855</v>
      </c>
      <c r="R49" s="138" t="s">
        <v>1856</v>
      </c>
      <c r="S49" s="138" t="s">
        <v>1857</v>
      </c>
    </row>
    <row r="50" spans="1:19" s="138" customFormat="1">
      <c r="A50" s="138" t="s">
        <v>1858</v>
      </c>
      <c r="B50" s="138" t="s">
        <v>507</v>
      </c>
      <c r="C50" s="138" t="s">
        <v>1859</v>
      </c>
      <c r="H50" s="138" t="s">
        <v>1860</v>
      </c>
      <c r="L50" s="138" t="s">
        <v>1861</v>
      </c>
      <c r="M50" s="138" t="s">
        <v>1862</v>
      </c>
      <c r="O50" s="138" t="s">
        <v>1863</v>
      </c>
      <c r="P50" s="138" t="s">
        <v>1864</v>
      </c>
      <c r="Q50" s="138" t="s">
        <v>1865</v>
      </c>
    </row>
    <row r="51" spans="1:19" s="138" customFormat="1">
      <c r="A51" s="138" t="s">
        <v>1866</v>
      </c>
      <c r="B51" s="138" t="s">
        <v>1867</v>
      </c>
      <c r="C51" s="138" t="s">
        <v>1868</v>
      </c>
    </row>
    <row r="52" spans="1:19">
      <c r="A52" t="s">
        <v>1869</v>
      </c>
      <c r="B52" t="s">
        <v>171</v>
      </c>
      <c r="C52" t="s">
        <v>1870</v>
      </c>
      <c r="D52" t="s">
        <v>1871</v>
      </c>
      <c r="E52" t="s">
        <v>1872</v>
      </c>
      <c r="F52" t="s">
        <v>1873</v>
      </c>
      <c r="H52" t="s">
        <v>1874</v>
      </c>
      <c r="I52" t="s">
        <v>1875</v>
      </c>
      <c r="K52" t="s">
        <v>1876</v>
      </c>
      <c r="L52" t="s">
        <v>1877</v>
      </c>
      <c r="M52" t="s">
        <v>1878</v>
      </c>
      <c r="O52" t="s">
        <v>1879</v>
      </c>
      <c r="P52" t="s">
        <v>1880</v>
      </c>
      <c r="Q52" t="s">
        <v>1881</v>
      </c>
      <c r="R52" t="s">
        <v>1882</v>
      </c>
    </row>
    <row r="53" spans="1:19">
      <c r="A53" t="s">
        <v>851</v>
      </c>
      <c r="B53" t="s">
        <v>136</v>
      </c>
      <c r="C53" t="s">
        <v>1883</v>
      </c>
      <c r="D53" t="s">
        <v>1884</v>
      </c>
      <c r="E53" t="s">
        <v>1885</v>
      </c>
      <c r="F53" t="s">
        <v>1886</v>
      </c>
      <c r="G53" t="s">
        <v>1887</v>
      </c>
      <c r="H53" t="s">
        <v>1888</v>
      </c>
      <c r="I53" t="s">
        <v>1889</v>
      </c>
      <c r="J53" t="s">
        <v>427</v>
      </c>
      <c r="K53" t="s">
        <v>1890</v>
      </c>
      <c r="L53" t="s">
        <v>1891</v>
      </c>
      <c r="M53" t="s">
        <v>1892</v>
      </c>
      <c r="O53" t="s">
        <v>1893</v>
      </c>
      <c r="P53" t="s">
        <v>1894</v>
      </c>
      <c r="Q53" t="s">
        <v>1895</v>
      </c>
      <c r="R53" t="s">
        <v>1896</v>
      </c>
      <c r="S53" t="s">
        <v>1897</v>
      </c>
    </row>
    <row r="54" spans="1:19">
      <c r="A54" t="s">
        <v>819</v>
      </c>
      <c r="B54" t="s">
        <v>425</v>
      </c>
      <c r="C54" t="s">
        <v>1898</v>
      </c>
      <c r="P54" t="s">
        <v>1899</v>
      </c>
    </row>
    <row r="55" spans="1:19">
      <c r="A55" t="s">
        <v>1900</v>
      </c>
      <c r="B55" t="s">
        <v>178</v>
      </c>
      <c r="C55" t="s">
        <v>1901</v>
      </c>
      <c r="D55" t="s">
        <v>1902</v>
      </c>
      <c r="E55" t="s">
        <v>1903</v>
      </c>
      <c r="F55" t="s">
        <v>1904</v>
      </c>
      <c r="H55" t="s">
        <v>1905</v>
      </c>
      <c r="I55" t="s">
        <v>1906</v>
      </c>
      <c r="K55" t="s">
        <v>1907</v>
      </c>
      <c r="L55" t="s">
        <v>1908</v>
      </c>
      <c r="M55" t="s">
        <v>1909</v>
      </c>
      <c r="O55" t="s">
        <v>1910</v>
      </c>
      <c r="P55" t="s">
        <v>1911</v>
      </c>
    </row>
    <row r="56" spans="1:19">
      <c r="A56" t="s">
        <v>821</v>
      </c>
      <c r="B56" t="s">
        <v>822</v>
      </c>
      <c r="C56" t="s">
        <v>1912</v>
      </c>
      <c r="G56" t="s">
        <v>1913</v>
      </c>
      <c r="H56" t="s">
        <v>1914</v>
      </c>
      <c r="K56" t="s">
        <v>1915</v>
      </c>
      <c r="P56" t="s">
        <v>1916</v>
      </c>
    </row>
    <row r="57" spans="1:19">
      <c r="A57" t="s">
        <v>791</v>
      </c>
      <c r="B57" t="s">
        <v>501</v>
      </c>
      <c r="C57" t="s">
        <v>1917</v>
      </c>
    </row>
    <row r="58" spans="1:19">
      <c r="A58" t="s">
        <v>476</v>
      </c>
      <c r="B58" t="s">
        <v>479</v>
      </c>
      <c r="H58" t="s">
        <v>1918</v>
      </c>
      <c r="O58" t="s">
        <v>1919</v>
      </c>
    </row>
    <row r="59" spans="1:19">
      <c r="A59" t="s">
        <v>81</v>
      </c>
      <c r="B59" t="s">
        <v>84</v>
      </c>
      <c r="C59" t="s">
        <v>1920</v>
      </c>
      <c r="D59" t="s">
        <v>1921</v>
      </c>
      <c r="E59" t="s">
        <v>1922</v>
      </c>
      <c r="F59" t="s">
        <v>1923</v>
      </c>
      <c r="H59" t="s">
        <v>1924</v>
      </c>
      <c r="I59" t="s">
        <v>1925</v>
      </c>
      <c r="K59" t="s">
        <v>1926</v>
      </c>
      <c r="L59" t="s">
        <v>1927</v>
      </c>
      <c r="M59" t="s">
        <v>1928</v>
      </c>
      <c r="O59" t="s">
        <v>1929</v>
      </c>
      <c r="P59" t="s">
        <v>1930</v>
      </c>
      <c r="Q59" t="s">
        <v>1931</v>
      </c>
      <c r="R59" t="s">
        <v>1932</v>
      </c>
    </row>
    <row r="60" spans="1:19">
      <c r="A60" t="s">
        <v>483</v>
      </c>
      <c r="B60" t="s">
        <v>485</v>
      </c>
      <c r="C60" t="s">
        <v>1933</v>
      </c>
      <c r="K60" t="s">
        <v>1934</v>
      </c>
      <c r="P60" t="s">
        <v>1935</v>
      </c>
    </row>
    <row r="61" spans="1:19">
      <c r="A61" t="s">
        <v>88</v>
      </c>
      <c r="B61" t="s">
        <v>90</v>
      </c>
      <c r="C61" t="s">
        <v>1936</v>
      </c>
      <c r="D61" t="s">
        <v>1937</v>
      </c>
      <c r="E61" t="s">
        <v>1938</v>
      </c>
      <c r="F61" t="s">
        <v>1939</v>
      </c>
      <c r="H61" t="s">
        <v>1940</v>
      </c>
      <c r="I61" t="s">
        <v>1941</v>
      </c>
      <c r="K61" t="s">
        <v>1942</v>
      </c>
      <c r="L61" t="s">
        <v>1943</v>
      </c>
      <c r="M61" t="s">
        <v>1944</v>
      </c>
      <c r="O61" t="s">
        <v>1945</v>
      </c>
      <c r="P61" t="s">
        <v>1946</v>
      </c>
      <c r="Q61" t="s">
        <v>1947</v>
      </c>
      <c r="R61" t="s">
        <v>1948</v>
      </c>
    </row>
    <row r="62" spans="1:19" s="138" customFormat="1">
      <c r="A62" s="138" t="s">
        <v>308</v>
      </c>
      <c r="B62" s="138" t="s">
        <v>308</v>
      </c>
      <c r="C62" s="138" t="s">
        <v>1949</v>
      </c>
      <c r="D62" s="138" t="s">
        <v>1950</v>
      </c>
      <c r="E62" s="138" t="s">
        <v>1951</v>
      </c>
      <c r="F62" s="138" t="s">
        <v>1952</v>
      </c>
      <c r="H62" s="138" t="s">
        <v>1953</v>
      </c>
      <c r="I62" s="138" t="s">
        <v>1954</v>
      </c>
      <c r="K62" s="138" t="s">
        <v>1955</v>
      </c>
      <c r="L62" s="138" t="s">
        <v>1956</v>
      </c>
      <c r="M62" s="138" t="s">
        <v>1957</v>
      </c>
      <c r="N62" s="138" t="s">
        <v>1958</v>
      </c>
      <c r="O62" s="138" t="s">
        <v>1959</v>
      </c>
      <c r="P62" s="138" t="s">
        <v>1960</v>
      </c>
      <c r="Q62" s="138" t="s">
        <v>1961</v>
      </c>
      <c r="R62" s="138" t="s">
        <v>1962</v>
      </c>
    </row>
    <row r="63" spans="1:19" s="138" customFormat="1">
      <c r="A63" s="138" t="s">
        <v>854</v>
      </c>
      <c r="B63" s="138" t="s">
        <v>313</v>
      </c>
      <c r="D63" s="138" t="s">
        <v>1963</v>
      </c>
      <c r="E63" s="138" t="s">
        <v>1964</v>
      </c>
      <c r="F63" s="138" t="s">
        <v>1965</v>
      </c>
      <c r="H63" s="138" t="s">
        <v>1966</v>
      </c>
      <c r="I63" s="138" t="s">
        <v>1967</v>
      </c>
      <c r="K63" s="138" t="s">
        <v>1968</v>
      </c>
      <c r="L63" s="138" t="s">
        <v>1969</v>
      </c>
      <c r="M63" s="138" t="s">
        <v>1970</v>
      </c>
      <c r="O63" s="138" t="s">
        <v>1971</v>
      </c>
      <c r="Q63" s="138" t="s">
        <v>1972</v>
      </c>
    </row>
    <row r="64" spans="1:19" s="138" customFormat="1">
      <c r="A64" s="138" t="s">
        <v>14</v>
      </c>
      <c r="B64" s="138" t="s">
        <v>14</v>
      </c>
      <c r="C64" s="138" t="s">
        <v>1973</v>
      </c>
      <c r="D64" s="138" t="s">
        <v>1974</v>
      </c>
      <c r="E64" s="138" t="s">
        <v>1975</v>
      </c>
      <c r="F64" s="138" t="s">
        <v>1976</v>
      </c>
      <c r="H64" s="138" t="s">
        <v>1977</v>
      </c>
      <c r="I64" s="138" t="s">
        <v>1978</v>
      </c>
      <c r="K64" s="138" t="s">
        <v>1979</v>
      </c>
      <c r="L64" s="138" t="s">
        <v>1980</v>
      </c>
      <c r="M64" s="138" t="s">
        <v>1981</v>
      </c>
      <c r="N64" s="138" t="s">
        <v>1982</v>
      </c>
      <c r="O64" s="138" t="s">
        <v>1983</v>
      </c>
      <c r="P64" s="138" t="s">
        <v>1984</v>
      </c>
      <c r="Q64" s="138" t="s">
        <v>1985</v>
      </c>
      <c r="R64" s="138" t="s">
        <v>1986</v>
      </c>
    </row>
    <row r="65" spans="1:19" s="138" customFormat="1">
      <c r="A65" s="138" t="s">
        <v>1987</v>
      </c>
      <c r="B65" s="138" t="s">
        <v>22</v>
      </c>
      <c r="C65" s="138" t="s">
        <v>1988</v>
      </c>
      <c r="D65" s="138" t="s">
        <v>1989</v>
      </c>
      <c r="E65" s="138" t="s">
        <v>1990</v>
      </c>
      <c r="F65" s="138" t="s">
        <v>1991</v>
      </c>
      <c r="H65" s="138" t="s">
        <v>1992</v>
      </c>
      <c r="I65" s="138" t="s">
        <v>1993</v>
      </c>
      <c r="K65" s="138" t="s">
        <v>1994</v>
      </c>
      <c r="L65" s="138" t="s">
        <v>1995</v>
      </c>
      <c r="M65" s="138" t="s">
        <v>1996</v>
      </c>
      <c r="O65" s="138" t="s">
        <v>1997</v>
      </c>
      <c r="P65" s="138" t="s">
        <v>1998</v>
      </c>
      <c r="Q65" s="138" t="s">
        <v>1999</v>
      </c>
    </row>
    <row r="66" spans="1:19" s="138" customFormat="1">
      <c r="A66" s="138" t="s">
        <v>223</v>
      </c>
      <c r="B66" s="138" t="s">
        <v>223</v>
      </c>
      <c r="C66" s="138" t="s">
        <v>2000</v>
      </c>
      <c r="D66" s="138" t="s">
        <v>2001</v>
      </c>
      <c r="E66" s="138" t="s">
        <v>2002</v>
      </c>
      <c r="F66" s="138" t="s">
        <v>2003</v>
      </c>
      <c r="G66" s="138" t="s">
        <v>2004</v>
      </c>
      <c r="H66" s="138" t="s">
        <v>2005</v>
      </c>
      <c r="I66" s="138" t="s">
        <v>2006</v>
      </c>
      <c r="J66" s="138" t="s">
        <v>401</v>
      </c>
      <c r="K66" s="138" t="s">
        <v>2007</v>
      </c>
      <c r="L66" s="138" t="s">
        <v>2008</v>
      </c>
      <c r="M66" s="138" t="s">
        <v>2009</v>
      </c>
      <c r="N66" s="138" t="s">
        <v>2010</v>
      </c>
      <c r="O66" s="138" t="s">
        <v>2011</v>
      </c>
      <c r="P66" s="138" t="s">
        <v>2012</v>
      </c>
      <c r="Q66" s="138" t="s">
        <v>2013</v>
      </c>
      <c r="R66" s="138" t="s">
        <v>2014</v>
      </c>
    </row>
    <row r="67" spans="1:19" s="138" customFormat="1">
      <c r="A67" s="138" t="s">
        <v>2015</v>
      </c>
      <c r="B67" s="138" t="s">
        <v>399</v>
      </c>
      <c r="C67" s="138" t="s">
        <v>2016</v>
      </c>
      <c r="D67" s="138" t="s">
        <v>2017</v>
      </c>
      <c r="E67" s="138" t="s">
        <v>2018</v>
      </c>
      <c r="H67" s="138" t="s">
        <v>2019</v>
      </c>
      <c r="I67" s="138" t="s">
        <v>2020</v>
      </c>
      <c r="L67" s="138" t="s">
        <v>2021</v>
      </c>
      <c r="M67" s="138" t="s">
        <v>2022</v>
      </c>
      <c r="O67" s="138" t="s">
        <v>2023</v>
      </c>
      <c r="P67" s="138" t="s">
        <v>2024</v>
      </c>
      <c r="Q67" s="138" t="s">
        <v>2025</v>
      </c>
    </row>
    <row r="68" spans="1:19" s="138" customFormat="1">
      <c r="A68" s="138" t="s">
        <v>823</v>
      </c>
      <c r="B68" s="138" t="s">
        <v>230</v>
      </c>
      <c r="C68" s="138" t="s">
        <v>2026</v>
      </c>
      <c r="D68" s="138" t="s">
        <v>2027</v>
      </c>
      <c r="E68" s="138" t="s">
        <v>2028</v>
      </c>
      <c r="F68" s="138" t="s">
        <v>2029</v>
      </c>
      <c r="H68" s="138" t="s">
        <v>2030</v>
      </c>
      <c r="I68" s="138" t="s">
        <v>2031</v>
      </c>
      <c r="K68" s="138" t="s">
        <v>2032</v>
      </c>
      <c r="L68" s="138" t="s">
        <v>2033</v>
      </c>
      <c r="M68" s="138" t="s">
        <v>2034</v>
      </c>
      <c r="N68" s="138" t="s">
        <v>2035</v>
      </c>
      <c r="O68" s="138" t="s">
        <v>2036</v>
      </c>
      <c r="P68" s="138" t="s">
        <v>2037</v>
      </c>
      <c r="Q68" s="138" t="s">
        <v>2038</v>
      </c>
    </row>
    <row r="69" spans="1:19" s="138" customFormat="1">
      <c r="A69" s="138" t="s">
        <v>120</v>
      </c>
      <c r="B69" s="138" t="s">
        <v>120</v>
      </c>
      <c r="C69" s="138" t="s">
        <v>2039</v>
      </c>
      <c r="D69" s="138" t="s">
        <v>2040</v>
      </c>
      <c r="E69" s="138" t="s">
        <v>2041</v>
      </c>
      <c r="F69" s="138" t="s">
        <v>2042</v>
      </c>
      <c r="H69" s="138" t="s">
        <v>2043</v>
      </c>
      <c r="I69" s="138" t="s">
        <v>2044</v>
      </c>
      <c r="K69" s="138" t="s">
        <v>2045</v>
      </c>
      <c r="L69" s="138" t="s">
        <v>2046</v>
      </c>
      <c r="M69" s="138" t="s">
        <v>2047</v>
      </c>
      <c r="O69" s="138" t="s">
        <v>2048</v>
      </c>
      <c r="P69" s="138" t="s">
        <v>2049</v>
      </c>
      <c r="Q69" s="138" t="s">
        <v>2050</v>
      </c>
      <c r="R69" s="138" t="s">
        <v>2051</v>
      </c>
    </row>
    <row r="70" spans="1:19" s="138" customFormat="1">
      <c r="A70" s="138" t="s">
        <v>435</v>
      </c>
      <c r="B70" s="138" t="s">
        <v>437</v>
      </c>
      <c r="C70" s="138" t="s">
        <v>2052</v>
      </c>
      <c r="M70" s="138" t="s">
        <v>2053</v>
      </c>
    </row>
    <row r="71" spans="1:19" s="138" customFormat="1">
      <c r="A71" s="138" t="s">
        <v>127</v>
      </c>
      <c r="B71" s="138" t="s">
        <v>129</v>
      </c>
      <c r="C71" s="138" t="s">
        <v>2054</v>
      </c>
      <c r="D71" s="138" t="s">
        <v>2055</v>
      </c>
      <c r="E71" s="138" t="s">
        <v>2056</v>
      </c>
      <c r="F71" s="138" t="s">
        <v>2057</v>
      </c>
      <c r="H71" s="138" t="s">
        <v>2058</v>
      </c>
      <c r="I71" s="138" t="s">
        <v>2059</v>
      </c>
      <c r="K71" s="138" t="s">
        <v>2060</v>
      </c>
      <c r="L71" s="138" t="s">
        <v>2061</v>
      </c>
      <c r="O71" s="138" t="s">
        <v>2062</v>
      </c>
      <c r="P71" s="138" t="s">
        <v>2063</v>
      </c>
      <c r="Q71" s="138" t="s">
        <v>2064</v>
      </c>
      <c r="R71" s="138" t="s">
        <v>2065</v>
      </c>
    </row>
    <row r="72" spans="1:19" s="138" customFormat="1">
      <c r="A72" s="138" t="s">
        <v>94</v>
      </c>
      <c r="B72" s="138" t="s">
        <v>94</v>
      </c>
      <c r="C72" s="138" t="s">
        <v>2066</v>
      </c>
      <c r="O72" s="138" t="s">
        <v>2067</v>
      </c>
      <c r="P72" s="138" t="s">
        <v>2068</v>
      </c>
      <c r="Q72" s="138" t="s">
        <v>2069</v>
      </c>
    </row>
    <row r="73" spans="1:19" s="138" customFormat="1">
      <c r="A73" s="138" t="s">
        <v>2070</v>
      </c>
      <c r="B73" s="138" t="s">
        <v>449</v>
      </c>
      <c r="C73" s="138" t="s">
        <v>2071</v>
      </c>
      <c r="L73" s="138" t="s">
        <v>2072</v>
      </c>
      <c r="O73" s="138" t="s">
        <v>2073</v>
      </c>
      <c r="P73" s="138" t="s">
        <v>2074</v>
      </c>
    </row>
    <row r="74" spans="1:19" s="138" customFormat="1">
      <c r="A74" s="138" t="s">
        <v>1118</v>
      </c>
      <c r="B74" s="138" t="s">
        <v>101</v>
      </c>
      <c r="F74" s="138" t="s">
        <v>2075</v>
      </c>
      <c r="K74" s="138" t="s">
        <v>2076</v>
      </c>
      <c r="M74" s="138" t="s">
        <v>2077</v>
      </c>
      <c r="P74" s="138" t="s">
        <v>2078</v>
      </c>
    </row>
    <row r="75" spans="1:19" s="138" customFormat="1">
      <c r="A75" s="138" t="s">
        <v>2079</v>
      </c>
      <c r="B75" s="138" t="s">
        <v>455</v>
      </c>
      <c r="P75" s="138" t="s">
        <v>2080</v>
      </c>
    </row>
    <row r="76" spans="1:19" s="138" customFormat="1">
      <c r="A76" s="138" t="s">
        <v>285</v>
      </c>
      <c r="B76" s="138" t="s">
        <v>285</v>
      </c>
      <c r="C76" s="138" t="s">
        <v>2081</v>
      </c>
      <c r="D76" s="138" t="s">
        <v>2082</v>
      </c>
      <c r="E76" s="138" t="s">
        <v>2083</v>
      </c>
      <c r="F76" s="138" t="s">
        <v>2084</v>
      </c>
      <c r="G76" s="138" t="s">
        <v>2085</v>
      </c>
      <c r="H76" s="138" t="s">
        <v>2086</v>
      </c>
      <c r="I76" s="138" t="s">
        <v>2087</v>
      </c>
      <c r="K76" s="138" t="s">
        <v>2088</v>
      </c>
      <c r="L76" s="138" t="s">
        <v>2089</v>
      </c>
      <c r="M76" s="138" t="s">
        <v>2090</v>
      </c>
      <c r="N76" s="138" t="s">
        <v>2091</v>
      </c>
      <c r="O76" s="138" t="s">
        <v>2092</v>
      </c>
      <c r="P76" s="138" t="s">
        <v>2093</v>
      </c>
      <c r="Q76" s="138" t="s">
        <v>2094</v>
      </c>
      <c r="R76" s="138" t="s">
        <v>2095</v>
      </c>
    </row>
    <row r="77" spans="1:19">
      <c r="A77" t="s">
        <v>828</v>
      </c>
      <c r="B77" t="s">
        <v>290</v>
      </c>
      <c r="C77" t="s">
        <v>2096</v>
      </c>
      <c r="D77" t="s">
        <v>2097</v>
      </c>
      <c r="E77" t="s">
        <v>2098</v>
      </c>
      <c r="F77" t="s">
        <v>2099</v>
      </c>
      <c r="I77" t="s">
        <v>2100</v>
      </c>
      <c r="K77" t="s">
        <v>2101</v>
      </c>
      <c r="L77" t="s">
        <v>2102</v>
      </c>
      <c r="M77" t="s">
        <v>2103</v>
      </c>
      <c r="O77" t="s">
        <v>2104</v>
      </c>
      <c r="P77" t="s">
        <v>2105</v>
      </c>
      <c r="Q77" t="s">
        <v>2106</v>
      </c>
      <c r="R77" t="s">
        <v>2107</v>
      </c>
      <c r="S77" t="s">
        <v>2108</v>
      </c>
    </row>
    <row r="78" spans="1:19">
      <c r="A78" t="s">
        <v>50</v>
      </c>
      <c r="B78" t="s">
        <v>50</v>
      </c>
      <c r="C78" t="s">
        <v>2109</v>
      </c>
      <c r="D78" t="s">
        <v>2110</v>
      </c>
      <c r="E78" t="s">
        <v>2111</v>
      </c>
      <c r="F78" t="s">
        <v>2112</v>
      </c>
      <c r="G78" t="s">
        <v>2113</v>
      </c>
      <c r="H78" t="s">
        <v>2114</v>
      </c>
      <c r="I78" t="s">
        <v>2115</v>
      </c>
      <c r="K78" t="s">
        <v>2116</v>
      </c>
      <c r="L78" t="s">
        <v>2117</v>
      </c>
      <c r="M78" t="s">
        <v>2118</v>
      </c>
      <c r="O78" t="s">
        <v>2119</v>
      </c>
      <c r="P78" t="s">
        <v>2120</v>
      </c>
      <c r="Q78" t="s">
        <v>2121</v>
      </c>
      <c r="R78" t="s">
        <v>2122</v>
      </c>
    </row>
    <row r="79" spans="1:19">
      <c r="A79" t="s">
        <v>2123</v>
      </c>
      <c r="B79" t="s">
        <v>351</v>
      </c>
      <c r="C79" t="s">
        <v>2124</v>
      </c>
      <c r="D79" t="s">
        <v>2125</v>
      </c>
      <c r="L79" t="s">
        <v>2126</v>
      </c>
      <c r="M79" t="s">
        <v>2127</v>
      </c>
      <c r="O79" t="s">
        <v>2128</v>
      </c>
      <c r="P79" t="s">
        <v>2129</v>
      </c>
    </row>
    <row r="80" spans="1:19">
      <c r="A80" t="s">
        <v>2130</v>
      </c>
      <c r="B80" t="s">
        <v>2131</v>
      </c>
      <c r="C80" t="s">
        <v>2132</v>
      </c>
      <c r="P80" t="s">
        <v>2133</v>
      </c>
    </row>
    <row r="81" spans="1:17" s="138" customFormat="1">
      <c r="A81" s="138" t="s">
        <v>430</v>
      </c>
      <c r="B81" s="138" t="s">
        <v>432</v>
      </c>
      <c r="C81" s="138" t="s">
        <v>2134</v>
      </c>
    </row>
    <row r="82" spans="1:17" s="138" customFormat="1">
      <c r="A82" s="138" t="s">
        <v>846</v>
      </c>
      <c r="B82" s="138" t="s">
        <v>847</v>
      </c>
      <c r="C82" s="138" t="s">
        <v>2135</v>
      </c>
    </row>
    <row r="83" spans="1:17">
      <c r="A83" t="s">
        <v>404</v>
      </c>
      <c r="B83" t="s">
        <v>407</v>
      </c>
      <c r="C83" t="s">
        <v>2136</v>
      </c>
      <c r="D83" t="s">
        <v>2137</v>
      </c>
      <c r="G83" t="s">
        <v>2138</v>
      </c>
      <c r="H83" t="s">
        <v>2139</v>
      </c>
      <c r="I83" t="s">
        <v>2140</v>
      </c>
      <c r="J83" t="s">
        <v>2141</v>
      </c>
      <c r="L83" t="s">
        <v>2142</v>
      </c>
      <c r="M83" t="s">
        <v>2143</v>
      </c>
      <c r="O83" t="s">
        <v>2144</v>
      </c>
      <c r="P83" t="s">
        <v>2145</v>
      </c>
      <c r="Q83" t="s">
        <v>2146</v>
      </c>
    </row>
    <row r="84" spans="1:17">
      <c r="A84" t="s">
        <v>816</v>
      </c>
      <c r="B84" t="s">
        <v>817</v>
      </c>
      <c r="C84" t="s">
        <v>2147</v>
      </c>
      <c r="E84" t="s">
        <v>2148</v>
      </c>
      <c r="G84" t="s">
        <v>2149</v>
      </c>
      <c r="M84" t="s">
        <v>2150</v>
      </c>
      <c r="O84" t="s">
        <v>2151</v>
      </c>
      <c r="Q84" t="s">
        <v>2152</v>
      </c>
    </row>
  </sheetData>
  <phoneticPr fontId="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F28E1-A754-4A6D-95B6-3FC2652EE629}">
  <dimension ref="A1:T104"/>
  <sheetViews>
    <sheetView showGridLines="0" workbookViewId="0">
      <pane ySplit="3" topLeftCell="A4" activePane="bottomLeft" state="frozen"/>
      <selection pane="bottomLeft" activeCell="W102" sqref="W102"/>
    </sheetView>
  </sheetViews>
  <sheetFormatPr defaultRowHeight="25.5" outlineLevelCol="1"/>
  <cols>
    <col min="1" max="1" width="5.58203125" style="51" customWidth="1"/>
    <col min="2" max="9" width="10.25" style="51" customWidth="1"/>
    <col min="10" max="10" width="6.75" style="51" customWidth="1"/>
    <col min="11" max="11" width="3.5" style="51" customWidth="1"/>
    <col min="12" max="13" width="10.08203125" style="51" customWidth="1"/>
    <col min="14" max="14" width="1.9140625" style="51" customWidth="1"/>
    <col min="15" max="15" width="8.6640625" style="121"/>
    <col min="16" max="16" width="6" style="124" customWidth="1" outlineLevel="1"/>
    <col min="17" max="17" width="6.1640625" style="124" customWidth="1" outlineLevel="1"/>
    <col min="18" max="18" width="11.1640625" style="121" customWidth="1"/>
    <col min="19" max="19" width="3" style="51" customWidth="1"/>
    <col min="20" max="20" width="34.5" style="122" customWidth="1"/>
    <col min="21" max="16384" width="8.6640625" style="51"/>
  </cols>
  <sheetData>
    <row r="1" spans="1:20" ht="46.5" customHeight="1">
      <c r="A1" s="50"/>
      <c r="B1" s="50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ɑe","ɑh","ai","ɑk","ɑm","ɑn","ao","ɑp","ɑt","eh","eu","iɑ","ie","ih","ik","im","in","io","ip","it","iu","mh","ng","oh","ok","oo","op","uɑ","ue","uh","ui","un","ut")</v>
      </c>
      <c r="D1" s="50"/>
      <c r="H1" s="50"/>
      <c r="I1" s="50"/>
      <c r="J1" s="50"/>
      <c r="P1" s="123"/>
    </row>
    <row r="2" spans="1:20" ht="26.25" thickBot="1">
      <c r="A2" s="50"/>
      <c r="B2" s="50"/>
      <c r="D2" s="50"/>
      <c r="H2" s="50"/>
      <c r="I2" s="50"/>
      <c r="J2" s="50"/>
      <c r="P2" s="124" t="s">
        <v>1300</v>
      </c>
      <c r="T2" s="125"/>
    </row>
    <row r="3" spans="1:20" ht="54.75" thickBot="1">
      <c r="A3" s="58" t="s">
        <v>895</v>
      </c>
      <c r="B3" s="58" t="s">
        <v>875</v>
      </c>
      <c r="C3" s="58" t="s">
        <v>756</v>
      </c>
      <c r="D3" s="58" t="s">
        <v>662</v>
      </c>
      <c r="E3" s="58" t="s">
        <v>873</v>
      </c>
      <c r="F3" s="58" t="s">
        <v>758</v>
      </c>
      <c r="G3" s="58" t="s">
        <v>870</v>
      </c>
      <c r="H3" s="58" t="s">
        <v>874</v>
      </c>
      <c r="I3" s="58" t="s">
        <v>757</v>
      </c>
      <c r="J3" s="58" t="s">
        <v>896</v>
      </c>
      <c r="K3" s="53"/>
      <c r="L3" s="52" t="s">
        <v>662</v>
      </c>
      <c r="M3" s="58" t="s">
        <v>758</v>
      </c>
      <c r="O3" s="52" t="s">
        <v>662</v>
      </c>
      <c r="P3" s="52" t="s">
        <v>1301</v>
      </c>
      <c r="Q3" s="127" t="s">
        <v>1299</v>
      </c>
      <c r="R3" s="52"/>
      <c r="T3" s="52"/>
    </row>
    <row r="4" spans="1:20" ht="27.75" thickBot="1">
      <c r="A4" s="57">
        <f t="shared" ref="A4:A67" si="0" xml:space="preserve"> ROW() -2</f>
        <v>2</v>
      </c>
      <c r="B4" s="74" t="str" cm="1">
        <f t="array" ref="B4" xml:space="preserve"> IFERROR( INDEX(韻母對照表[國際音標], MATCH(TRUE, EXACT('台語音標韻母清單【依字長反排序】 (2)'!$C4, 韻母對照表[台羅拼音]), 0)), "")</f>
        <v>iãuʔ</v>
      </c>
      <c r="C4" s="57" t="s">
        <v>472</v>
      </c>
      <c r="D4" s="57" t="s">
        <v>472</v>
      </c>
      <c r="E4" s="57" t="str" cm="1">
        <f t="array" ref="E4" xml:space="preserve"> IFERROR( INDEX(韻母對照表[注音二式], MATCH(TRUE, EXACT('台語音標韻母清單【依字長反排序】 (2)'!$C4, 韻母對照表[台羅拼音]), 0)), "")</f>
        <v>iaunnh</v>
      </c>
      <c r="F4" s="57" t="s">
        <v>777</v>
      </c>
      <c r="G4" s="61" t="str" cm="1">
        <f t="array" ref="G4" xml:space="preserve"> IFERROR( INDEX(韻母對照表[白話字], MATCH(TRUE, EXACT('台語音標韻母清單【依字長反排序】 (2)'!$C4, 韻母對照表[台羅拼音]), 0)), "")</f>
        <v>iauhⁿ</v>
      </c>
      <c r="H4" s="54" t="str" cm="1">
        <f t="array" ref="H4" xml:space="preserve"> IFERROR( INDEX(韻母對照表[十五音識別碼], MATCH(TRUE, EXACT('台語音標韻母清單【依字長反排序】 (2)'!$C4, 韻母對照表[台羅拼音]), 0)), "")</f>
        <v>嘄促</v>
      </c>
      <c r="I4" s="57" t="str" cm="1">
        <f t="array" ref="I4" xml:space="preserve"> IFERROR( INDEX(韻母對照表[方音符號], MATCH(TRUE, EXACT('台語音標韻母清單【依字長反排序】 (2)'!$C4, 韻母對照表[台羅拼音]), 0)), "")</f>
        <v>ㄧㆯㆷ</v>
      </c>
      <c r="J4" s="73">
        <f t="shared" ref="J4:J67" si="1" xml:space="preserve"> LEN(D4)</f>
        <v>6</v>
      </c>
      <c r="K4" s="73"/>
      <c r="L4" s="57" t="str">
        <f t="shared" ref="L4:L67" si="2">D4</f>
        <v>iaunnh</v>
      </c>
      <c r="M4" s="57" t="str">
        <f>F4</f>
        <v>niɑoh</v>
      </c>
      <c r="O4" s="121" t="str">
        <f xml:space="preserve"> _xlfn.CONCAT(L4, "(\d)")</f>
        <v>iaunnh(\d)</v>
      </c>
      <c r="P4" s="124" t="s">
        <v>1225</v>
      </c>
      <c r="Q4" s="124">
        <f xml:space="preserve"> IFERROR( IF(P4="", "", SEARCH(P4, $L4)), "")</f>
        <v>2</v>
      </c>
      <c r="R4" s="121" t="str">
        <f xml:space="preserve"> IFERROR( _xlfn.CONCAT(LEFT(L4,Q4-1), "》", MID(L4,Q4,1), "${1}", RIGHT(L4, LEN(L4)-Q4)), "" )</f>
        <v>i》a${1}unnh</v>
      </c>
      <c r="S4" s="55"/>
      <c r="T4" s="56" t="str">
        <f xml:space="preserve"> IF(AND(M4&lt;&gt;"", L4&lt;&gt;""), "    - xform/》" &amp; O4 &amp;  "/"  &amp; R4 &amp;  "/", "")</f>
        <v xml:space="preserve">    - xform/》iaunnh(\d)/i》a${1}unnh/</v>
      </c>
    </row>
    <row r="5" spans="1:20" ht="27.75" thickBot="1">
      <c r="A5" s="57">
        <f t="shared" si="0"/>
        <v>3</v>
      </c>
      <c r="B5" s="74" t="str" cm="1">
        <f t="array" ref="B5" xml:space="preserve"> IFERROR( INDEX(韻母對照表[國際音標], MATCH(TRUE, EXACT('台語音標韻母清單【依字長反排序】 (2)'!$C5, 韻母對照表[台羅拼音]), 0)), "")</f>
        <v>uãiʔ</v>
      </c>
      <c r="C5" s="57" t="s">
        <v>455</v>
      </c>
      <c r="D5" s="57" t="s">
        <v>455</v>
      </c>
      <c r="E5" s="57" t="str" cm="1">
        <f t="array" ref="E5" xml:space="preserve"> IFERROR( INDEX(韻母對照表[注音二式], MATCH(TRUE, EXACT('台語音標韻母清單【依字長反排序】 (2)'!$C5, 韻母對照表[台羅拼音]), 0)), "")</f>
        <v>uainnh</v>
      </c>
      <c r="F5" s="57" t="s">
        <v>778</v>
      </c>
      <c r="G5" s="61" t="str" cm="1">
        <f t="array" ref="G5" xml:space="preserve"> IFERROR( INDEX(韻母對照表[白話字], MATCH(TRUE, EXACT('台語音標韻母清單【依字長反排序】 (2)'!$C5, 韻母對照表[台羅拼音]), 0)), "")</f>
        <v>oaihⁿ</v>
      </c>
      <c r="H5" s="54" t="str" cm="1">
        <f t="array" ref="H5" xml:space="preserve"> IFERROR( INDEX(韻母對照表[十五音識別碼], MATCH(TRUE, EXACT('台語音標韻母清單【依字長反排序】 (2)'!$C5, 韻母對照表[台羅拼音]), 0)), "")</f>
        <v>閂促</v>
      </c>
      <c r="I5" s="57" t="str" cm="1">
        <f t="array" ref="I5" xml:space="preserve"> IFERROR( INDEX(韻母對照表[方音符號], MATCH(TRUE, EXACT('台語音標韻母清單【依字長反排序】 (2)'!$C5, 韻母對照表[台羅拼音]), 0)), "")</f>
        <v>ㄨㆮㆷ</v>
      </c>
      <c r="J5" s="73">
        <f t="shared" si="1"/>
        <v>6</v>
      </c>
      <c r="K5" s="73"/>
      <c r="L5" s="57" t="str">
        <f t="shared" si="2"/>
        <v>uainnh</v>
      </c>
      <c r="M5" s="57" t="str">
        <f t="shared" ref="M5:M68" si="3">F5</f>
        <v>nuɑih</v>
      </c>
      <c r="O5" s="121" t="str">
        <f t="shared" ref="O5:O68" si="4" xml:space="preserve"> _xlfn.CONCAT(L5, "(\d)")</f>
        <v>uainnh(\d)</v>
      </c>
      <c r="P5" s="126" t="s">
        <v>1225</v>
      </c>
      <c r="Q5" s="124">
        <f t="shared" ref="Q5:Q68" si="5" xml:space="preserve"> IFERROR( IF(P5="", "", SEARCH(P5, $L5)), "")</f>
        <v>2</v>
      </c>
      <c r="R5" s="121" t="str">
        <f xml:space="preserve"> IFERROR( _xlfn.CONCAT(LEFT(L5,Q5-1), "》", MID(L5,Q5,1), "${1}", RIGHT(L5, LEN(L5)-Q5)), "" )</f>
        <v>u》a${1}innh</v>
      </c>
      <c r="S5" s="55"/>
      <c r="T5" s="56" t="str">
        <f t="shared" ref="T5:T68" si="6" xml:space="preserve"> IF(AND(M5&lt;&gt;"", L5&lt;&gt;""), "    - xform/》" &amp; O5 &amp;  "/"  &amp; R5 &amp;  "/", "")</f>
        <v xml:space="preserve">    - xform/》uainnh(\d)/u》a${1}innh/</v>
      </c>
    </row>
    <row r="6" spans="1:20" ht="27.75" thickBot="1">
      <c r="A6" s="57">
        <f t="shared" si="0"/>
        <v>4</v>
      </c>
      <c r="B6" s="74" t="s">
        <v>785</v>
      </c>
      <c r="C6" s="57" t="s">
        <v>786</v>
      </c>
      <c r="D6" s="57" t="s">
        <v>786</v>
      </c>
      <c r="E6" s="75" t="str" cm="1">
        <f t="array" ref="E6" xml:space="preserve"> IFERROR( INDEX(韻母對照表[注音二式], MATCH(TRUE, EXACT('台語音標韻母清單【依字長反排序】 (2)'!$C10, 韻母對照表[台羅拼音]), 0)), "")</f>
        <v>iang</v>
      </c>
      <c r="F6" s="57" t="s">
        <v>787</v>
      </c>
      <c r="G6" s="61" t="str" cm="1">
        <f t="array" ref="G6" xml:space="preserve"> IFERROR( INDEX(韻母對照表[白話字], MATCH(TRUE, EXACT('台語音標韻母清單【依字長反排序】 (2)'!$C10, 韻母對照表[台羅拼音]), 0)), "")</f>
        <v>iang</v>
      </c>
      <c r="H6" s="54" t="str" cm="1">
        <f t="array" ref="H6" xml:space="preserve"> IFERROR( INDEX(韻母對照表[十五音識別碼], MATCH(TRUE, EXACT('台語音標韻母清單【依字長反排序】 (2)'!$C10, 韻母對照表[台羅拼音]), 0)), "")</f>
        <v>姜舒</v>
      </c>
      <c r="I6" s="57" t="str" cm="1">
        <f t="array" ref="I6" xml:space="preserve"> IFERROR( INDEX(韻母對照表[方音符號], MATCH(TRUE, EXACT('台語音標韻母清單【依字長反排序】 (2)'!$C10, 韻母對照表[台羅拼音]), 0)), "")</f>
        <v>ㄧㄤ</v>
      </c>
      <c r="J6" s="73">
        <f t="shared" si="1"/>
        <v>5</v>
      </c>
      <c r="K6" s="73"/>
      <c r="L6" s="57" t="str">
        <f t="shared" si="2"/>
        <v>aunnh</v>
      </c>
      <c r="M6" s="57" t="str">
        <f t="shared" si="3"/>
        <v>nɑoh</v>
      </c>
      <c r="O6" s="121" t="str">
        <f t="shared" si="4"/>
        <v>aunnh(\d)</v>
      </c>
      <c r="P6" s="124" t="s">
        <v>1225</v>
      </c>
      <c r="Q6" s="124">
        <f t="shared" si="5"/>
        <v>1</v>
      </c>
      <c r="R6" s="121" t="str">
        <f t="shared" ref="R6:R69" si="7" xml:space="preserve"> IFERROR( _xlfn.CONCAT(LEFT(L6,Q6-1), "》", MID(L6,Q6,1), "${1}", RIGHT(L6, LEN(L6)-Q6)), "" )</f>
        <v>》a${1}unnh</v>
      </c>
      <c r="S6" s="55"/>
      <c r="T6" s="56" t="str">
        <f t="shared" si="6"/>
        <v xml:space="preserve">    - xform/》aunnh(\d)/》a${1}unnh/</v>
      </c>
    </row>
    <row r="7" spans="1:20" ht="27.75" thickBot="1">
      <c r="A7" s="57">
        <f t="shared" si="0"/>
        <v>5</v>
      </c>
      <c r="B7" s="74" t="s">
        <v>788</v>
      </c>
      <c r="C7" s="57" t="s">
        <v>392</v>
      </c>
      <c r="D7" s="57" t="s">
        <v>392</v>
      </c>
      <c r="E7" s="75" t="str" cm="1">
        <f t="array" ref="E7" xml:space="preserve"> IFERROR( INDEX(韻母對照表[注音二式], MATCH(TRUE, EXACT('台語音標韻母清單【依字長反排序】 (2)'!$C11, 韻母對照表[台羅拼音]), 0)), "")</f>
        <v>iauh</v>
      </c>
      <c r="F7" s="57" t="s">
        <v>789</v>
      </c>
      <c r="G7" s="72" t="str" cm="1">
        <f t="array" ref="G7" xml:space="preserve"> IFERROR( INDEX(韻母對照表[白話字], MATCH(TRUE, EXACT('台語音標韻母清單【依字長反排序】 (2)'!$C11, 韻母對照表[台羅拼音]), 0)), "")</f>
        <v>iauh</v>
      </c>
      <c r="H7" s="54" t="str" cm="1">
        <f t="array" ref="H7" xml:space="preserve"> IFERROR( INDEX(韻母對照表[十五音識別碼], MATCH(TRUE, EXACT('台語音標韻母清單【依字長反排序】 (2)'!$C11, 韻母對照表[台羅拼音]), 0)), "")</f>
        <v>嬌促</v>
      </c>
      <c r="I7" s="57" t="str" cm="1">
        <f t="array" ref="I7" xml:space="preserve"> IFERROR( INDEX(韻母對照表[方音符號], MATCH(TRUE, EXACT('台語音標韻母清單【依字長反排序】 (2)'!$C11, 韻母對照表[台羅拼音]), 0)), "")</f>
        <v>ㄧㄠㆷ</v>
      </c>
      <c r="J7" s="73">
        <f t="shared" si="1"/>
        <v>5</v>
      </c>
      <c r="K7" s="73"/>
      <c r="L7" s="57" t="str">
        <f t="shared" si="2"/>
        <v>iannh</v>
      </c>
      <c r="M7" s="57" t="str">
        <f t="shared" si="3"/>
        <v>niɑh</v>
      </c>
      <c r="O7" s="121" t="str">
        <f t="shared" si="4"/>
        <v>iannh(\d)</v>
      </c>
      <c r="P7" s="124" t="s">
        <v>1225</v>
      </c>
      <c r="Q7" s="124">
        <f t="shared" si="5"/>
        <v>2</v>
      </c>
      <c r="R7" s="121" t="str">
        <f t="shared" si="7"/>
        <v>i》a${1}nnh</v>
      </c>
      <c r="S7" s="55"/>
      <c r="T7" s="56" t="str">
        <f t="shared" si="6"/>
        <v xml:space="preserve">    - xform/》iannh(\d)/i》a${1}nnh/</v>
      </c>
    </row>
    <row r="8" spans="1:20" ht="27.75" thickBot="1">
      <c r="A8" s="57">
        <f t="shared" si="0"/>
        <v>6</v>
      </c>
      <c r="B8" s="57" t="s">
        <v>141</v>
      </c>
      <c r="C8" s="57" t="s">
        <v>467</v>
      </c>
      <c r="D8" s="57" t="s">
        <v>467</v>
      </c>
      <c r="E8" s="57" t="str" cm="1">
        <f t="array" ref="E8" xml:space="preserve"> IFERROR( INDEX(韻母對照表[注音二式], MATCH(TRUE, EXACT('台語音標韻母清單【依字長反排序】 (2)'!$C12, 韻母對照表[台羅拼音]), 0)), "")</f>
        <v>iong</v>
      </c>
      <c r="F8" s="57" t="s">
        <v>790</v>
      </c>
      <c r="G8" s="59" t="str" cm="1">
        <f t="array" ref="G8" xml:space="preserve"> IFERROR( INDEX(韻母對照表[白話字], MATCH(TRUE, EXACT('台語音標韻母清單【依字長反排序】 (2)'!$C12, 韻母對照表[台羅拼音]), 0)), "")</f>
        <v>iong</v>
      </c>
      <c r="H8" s="54" t="str" cm="1">
        <f t="array" ref="H8" xml:space="preserve"> IFERROR( INDEX(韻母對照表[十五音識別碼], MATCH(TRUE, EXACT('台語音標韻母清單【依字長反排序】 (2)'!$C12, 韻母對照表[台羅拼音]), 0)), "")</f>
        <v>恭舒</v>
      </c>
      <c r="I8" s="57" t="str" cm="1">
        <f t="array" ref="I8" xml:space="preserve"> IFERROR( INDEX(韻母對照表[方音符號], MATCH(TRUE, EXACT('台語音標韻母清單【依字長反排序】 (2)'!$C12, 韻母對照表[台羅拼音]), 0)), "")</f>
        <v>ㄧㆲ</v>
      </c>
      <c r="J8" s="73">
        <f t="shared" si="1"/>
        <v>5</v>
      </c>
      <c r="K8" s="73"/>
      <c r="L8" s="57" t="str">
        <f t="shared" si="2"/>
        <v>iaunn</v>
      </c>
      <c r="M8" s="57" t="str">
        <f t="shared" si="3"/>
        <v>niɑo</v>
      </c>
      <c r="O8" s="121" t="str">
        <f t="shared" si="4"/>
        <v>iaunn(\d)</v>
      </c>
      <c r="P8" s="124" t="s">
        <v>1225</v>
      </c>
      <c r="Q8" s="124">
        <f t="shared" si="5"/>
        <v>2</v>
      </c>
      <c r="R8" s="121" t="str">
        <f t="shared" si="7"/>
        <v>i》a${1}unn</v>
      </c>
      <c r="S8" s="55"/>
      <c r="T8" s="56" t="str">
        <f t="shared" si="6"/>
        <v xml:space="preserve">    - xform/》iaunn(\d)/i》a${1}unn/</v>
      </c>
    </row>
    <row r="9" spans="1:20" ht="27.75" thickBot="1">
      <c r="A9" s="57">
        <f t="shared" si="0"/>
        <v>7</v>
      </c>
      <c r="B9" s="57" t="str" cm="1">
        <f t="array" ref="B9" xml:space="preserve"> IFERROR( INDEX(韻母對照表[國際音標], MATCH(TRUE, EXACT('台語音標韻母清單【依字長反排序】 (2)'!$C43, 韻母對照表[台羅拼音]), 0)), "")</f>
        <v>ɔŋ</v>
      </c>
      <c r="C9" s="57" t="s">
        <v>449</v>
      </c>
      <c r="D9" s="57" t="s">
        <v>449</v>
      </c>
      <c r="E9" s="57" t="str" cm="1">
        <f t="array" ref="E9" xml:space="preserve"> IFERROR( INDEX(韻母對照表[注音二式], MATCH(TRUE, EXACT('台語音標韻母清單【依字長反排序】 (2)'!$C43, 韻母對照表[台羅拼音]), 0)), "")</f>
        <v>ong</v>
      </c>
      <c r="F9" s="57" t="s">
        <v>825</v>
      </c>
      <c r="G9" s="59" t="str" cm="1">
        <f t="array" ref="G9" xml:space="preserve"> IFERROR( INDEX(韻母對照表[白話字], MATCH(TRUE, EXACT('台語音標韻母清單【依字長反排序】 (2)'!$C43, 韻母對照表[台羅拼音]), 0)), "")</f>
        <v>ong</v>
      </c>
      <c r="H9" s="54" t="str" cm="1">
        <f t="array" ref="H9" xml:space="preserve"> IFERROR( INDEX(韻母對照表[十五音識別碼], MATCH(TRUE, EXACT('台語音標韻母清單【依字長反排序】 (2)'!$C43, 韻母對照表[台羅拼音]), 0)), "")</f>
        <v>公舒</v>
      </c>
      <c r="I9" s="57" t="str" cm="1">
        <f t="array" ref="I9" xml:space="preserve"> IFERROR( INDEX(韻母對照表[方音符號], MATCH(TRUE, EXACT('台語音標韻母清單【依字長反排序】 (2)'!$C43, 韻母對照表[台羅拼音]), 0)), "")</f>
        <v>ㆲ</v>
      </c>
      <c r="J9" s="73">
        <f t="shared" si="1"/>
        <v>5</v>
      </c>
      <c r="K9" s="73"/>
      <c r="L9" s="57" t="str">
        <f t="shared" si="2"/>
        <v>uainn</v>
      </c>
      <c r="M9" s="57" t="str">
        <f t="shared" si="3"/>
        <v>uɑi</v>
      </c>
      <c r="O9" s="121" t="str">
        <f t="shared" si="4"/>
        <v>uainn(\d)</v>
      </c>
      <c r="P9" s="124" t="s">
        <v>1225</v>
      </c>
      <c r="Q9" s="124">
        <f t="shared" si="5"/>
        <v>2</v>
      </c>
      <c r="R9" s="121" t="str">
        <f t="shared" si="7"/>
        <v>u》a${1}inn</v>
      </c>
      <c r="S9" s="55"/>
      <c r="T9" s="56" t="str">
        <f t="shared" si="6"/>
        <v xml:space="preserve">    - xform/》uainn(\d)/u》a${1}inn/</v>
      </c>
    </row>
    <row r="10" spans="1:20" ht="27.75" thickBot="1">
      <c r="A10" s="57">
        <f t="shared" si="0"/>
        <v>8</v>
      </c>
      <c r="B10" s="57" t="s">
        <v>779</v>
      </c>
      <c r="C10" s="57" t="s">
        <v>203</v>
      </c>
      <c r="D10" s="57" t="s">
        <v>203</v>
      </c>
      <c r="E10" s="57" t="str" cm="1">
        <f t="array" ref="E10" xml:space="preserve"> IFERROR( INDEX(韻母對照表[注音二式], MATCH(TRUE, EXACT('台語音標韻母清單【依字長反排序】 (2)'!$C6, 韻母對照表[台羅拼音]), 0)), "")</f>
        <v/>
      </c>
      <c r="F10" s="57" t="s">
        <v>780</v>
      </c>
      <c r="G10" s="60" t="str" cm="1">
        <f t="array" ref="G10" xml:space="preserve"> IFERROR( INDEX(韻母對照表[白話字], MATCH(TRUE, EXACT('台語音標韻母清單【依字長反排序】 (2)'!$C6, 韻母對照表[台羅拼音]), 0)), "")</f>
        <v/>
      </c>
      <c r="H10" s="54" t="str" cm="1">
        <f t="array" ref="H10" xml:space="preserve"> IFERROR( INDEX(韻母對照表[十五音識別碼], MATCH(TRUE, EXACT('台語音標韻母清單【依字長反排序】 (2)'!$C6, 韻母對照表[台羅拼音]), 0)), "")</f>
        <v/>
      </c>
      <c r="I10" s="57" t="str" cm="1">
        <f t="array" ref="I10" xml:space="preserve"> IFERROR( INDEX(韻母對照表[方音符號], MATCH(TRUE, EXACT('台語音標韻母清單【依字長反排序】 (2)'!$C6, 韻母對照表[台羅拼音]), 0)), "")</f>
        <v/>
      </c>
      <c r="J10" s="73">
        <f t="shared" si="1"/>
        <v>4</v>
      </c>
      <c r="K10" s="73"/>
      <c r="L10" s="57" t="str">
        <f t="shared" si="2"/>
        <v>iang</v>
      </c>
      <c r="M10" s="57" t="str">
        <f t="shared" si="3"/>
        <v>iɑnɡ</v>
      </c>
      <c r="O10" s="121" t="str">
        <f t="shared" si="4"/>
        <v>iang(\d)</v>
      </c>
      <c r="P10" s="124" t="s">
        <v>1225</v>
      </c>
      <c r="Q10" s="124">
        <f t="shared" si="5"/>
        <v>2</v>
      </c>
      <c r="R10" s="121" t="str">
        <f t="shared" si="7"/>
        <v>i》a${1}ng</v>
      </c>
      <c r="S10" s="55"/>
      <c r="T10" s="56" t="str">
        <f t="shared" si="6"/>
        <v xml:space="preserve">    - xform/》iang(\d)/i》a${1}ng/</v>
      </c>
    </row>
    <row r="11" spans="1:20" ht="27.75" thickBot="1">
      <c r="A11" s="57">
        <f t="shared" si="0"/>
        <v>9</v>
      </c>
      <c r="B11" s="57" t="s">
        <v>781</v>
      </c>
      <c r="C11" s="57" t="s">
        <v>148</v>
      </c>
      <c r="D11" s="57" t="s">
        <v>148</v>
      </c>
      <c r="E11" s="57" t="str" cm="1">
        <f t="array" ref="E11" xml:space="preserve"> IFERROR( INDEX(韻母對照表[注音二式], MATCH(TRUE, EXACT('台語音標韻母清單【依字長反排序】 (2)'!$C7, 韻母對照表[台羅拼音]), 0)), "")</f>
        <v/>
      </c>
      <c r="F11" s="57" t="s">
        <v>149</v>
      </c>
      <c r="G11" s="59" t="str" cm="1">
        <f t="array" ref="G11" xml:space="preserve"> IFERROR( INDEX(韻母對照表[白話字], MATCH(TRUE, EXACT('台語音標韻母清單【依字長反排序】 (2)'!$C7, 韻母對照表[台羅拼音]), 0)), "")</f>
        <v/>
      </c>
      <c r="H11" s="54" t="str" cm="1">
        <f t="array" ref="H11" xml:space="preserve"> IFERROR( INDEX(韻母對照表[十五音識別碼], MATCH(TRUE, EXACT('台語音標韻母清單【依字長反排序】 (2)'!$C7, 韻母對照表[台羅拼音]), 0)), "")</f>
        <v/>
      </c>
      <c r="I11" s="57" t="str" cm="1">
        <f t="array" ref="I11" xml:space="preserve"> IFERROR( INDEX(韻母對照表[方音符號], MATCH(TRUE, EXACT('台語音標韻母清單【依字長反排序】 (2)'!$C7, 韻母對照表[台羅拼音]), 0)), "")</f>
        <v/>
      </c>
      <c r="J11" s="73">
        <f t="shared" si="1"/>
        <v>4</v>
      </c>
      <c r="K11" s="73"/>
      <c r="L11" s="57" t="str">
        <f t="shared" si="2"/>
        <v>iauh</v>
      </c>
      <c r="M11" s="57" t="str">
        <f t="shared" si="3"/>
        <v>iaoh</v>
      </c>
      <c r="O11" s="121" t="str">
        <f t="shared" si="4"/>
        <v>iauh(\d)</v>
      </c>
      <c r="P11" s="124" t="s">
        <v>1225</v>
      </c>
      <c r="Q11" s="124">
        <f t="shared" si="5"/>
        <v>2</v>
      </c>
      <c r="R11" s="121" t="str">
        <f t="shared" si="7"/>
        <v>i》a${1}uh</v>
      </c>
      <c r="S11" s="55"/>
      <c r="T11" s="56" t="str">
        <f t="shared" si="6"/>
        <v xml:space="preserve">    - xform/》iauh(\d)/i》a${1}uh/</v>
      </c>
    </row>
    <row r="12" spans="1:20" ht="27.75" thickBot="1">
      <c r="A12" s="57">
        <f t="shared" si="0"/>
        <v>10</v>
      </c>
      <c r="B12" s="57" t="s">
        <v>159</v>
      </c>
      <c r="C12" s="57" t="s">
        <v>162</v>
      </c>
      <c r="D12" s="57" t="s">
        <v>162</v>
      </c>
      <c r="E12" s="57" t="str" cm="1">
        <f t="array" ref="E12" xml:space="preserve"> IFERROR( INDEX(韻母對照表[注音二式], MATCH(TRUE, EXACT('台語音標韻母清單【依字長反排序】 (2)'!$C8, 韻母對照表[台羅拼音]), 0)), "")</f>
        <v>iaunn</v>
      </c>
      <c r="F12" s="57" t="s">
        <v>782</v>
      </c>
      <c r="G12" s="60" t="str" cm="1">
        <f t="array" ref="G12" xml:space="preserve"> IFERROR( INDEX(韻母對照表[白話字], MATCH(TRUE, EXACT('台語音標韻母清單【依字長反排序】 (2)'!$C8, 韻母對照表[台羅拼音]), 0)), "")</f>
        <v>iauⁿ</v>
      </c>
      <c r="H12" s="54" t="str" cm="1">
        <f t="array" ref="H12" xml:space="preserve"> IFERROR( INDEX(韻母對照表[十五音識別碼], MATCH(TRUE, EXACT('台語音標韻母清單【依字長反排序】 (2)'!$C8, 韻母對照表[台羅拼音]), 0)), "")</f>
        <v>嘄舒</v>
      </c>
      <c r="I12" s="57" t="str" cm="1">
        <f t="array" ref="I12" xml:space="preserve"> IFERROR( INDEX(韻母對照表[方音符號], MATCH(TRUE, EXACT('台語音標韻母清單【依字長反排序】 (2)'!$C8, 韻母對照表[台羅拼音]), 0)), "")</f>
        <v>ㄧㆯ</v>
      </c>
      <c r="J12" s="73">
        <f t="shared" si="1"/>
        <v>4</v>
      </c>
      <c r="K12" s="73"/>
      <c r="L12" s="57" t="str">
        <f t="shared" si="2"/>
        <v>iong</v>
      </c>
      <c r="M12" s="57" t="str">
        <f t="shared" si="3"/>
        <v>ionɡ</v>
      </c>
      <c r="O12" s="121" t="str">
        <f t="shared" si="4"/>
        <v>iong(\d)</v>
      </c>
      <c r="P12" s="124" t="s">
        <v>1213</v>
      </c>
      <c r="Q12" s="124">
        <f t="shared" si="5"/>
        <v>2</v>
      </c>
      <c r="R12" s="121" t="str">
        <f t="shared" si="7"/>
        <v>i》o${1}ng</v>
      </c>
      <c r="S12" s="55"/>
      <c r="T12" s="56" t="str">
        <f t="shared" si="6"/>
        <v xml:space="preserve">    - xform/》iong(\d)/i》o${1}ng/</v>
      </c>
    </row>
    <row r="13" spans="1:20" ht="27.75" thickBot="1">
      <c r="A13" s="57">
        <f t="shared" si="0"/>
        <v>11</v>
      </c>
      <c r="B13" s="74" t="s">
        <v>783</v>
      </c>
      <c r="C13" s="57" t="s">
        <v>346</v>
      </c>
      <c r="D13" s="57" t="s">
        <v>346</v>
      </c>
      <c r="E13" s="57" t="str" cm="1">
        <f t="array" ref="E13" xml:space="preserve"> IFERROR( INDEX(韻母對照表[注音二式], MATCH(TRUE, EXACT('台語音標韻母清單【依字長反排序】 (2)'!$C9, 韻母對照表[台羅拼音]), 0)), "")</f>
        <v>uainn</v>
      </c>
      <c r="F13" s="57" t="s">
        <v>784</v>
      </c>
      <c r="G13" s="72" t="str" cm="1">
        <f t="array" ref="G13" xml:space="preserve"> IFERROR( INDEX(韻母對照表[白話字], MATCH(TRUE, EXACT('台語音標韻母清單【依字長反排序】 (2)'!$C9, 韻母對照表[台羅拼音]), 0)), "")</f>
        <v>oaiⁿ</v>
      </c>
      <c r="H13" s="54" t="str" cm="1">
        <f t="array" ref="H13" xml:space="preserve"> IFERROR( INDEX(韻母對照表[十五音識別碼], MATCH(TRUE, EXACT('台語音標韻母清單【依字長反排序】 (2)'!$C9, 韻母對照表[台羅拼音]), 0)), "")</f>
        <v>閂舒</v>
      </c>
      <c r="I13" s="57" t="str" cm="1">
        <f t="array" ref="I13" xml:space="preserve"> IFERROR( INDEX(韻母對照表[方音符號], MATCH(TRUE, EXACT('台語音標韻母清單【依字長反排序】 (2)'!$C9, 韻母對照表[台羅拼音]), 0)), "")</f>
        <v>ㄨㆮ</v>
      </c>
      <c r="J13" s="73">
        <f t="shared" si="1"/>
        <v>4</v>
      </c>
      <c r="K13" s="73"/>
      <c r="L13" s="57" t="str">
        <f t="shared" si="2"/>
        <v>ennh</v>
      </c>
      <c r="M13" s="57" t="str">
        <f t="shared" si="3"/>
        <v>nɑeh</v>
      </c>
      <c r="O13" s="121" t="str">
        <f t="shared" si="4"/>
        <v>ennh(\d)</v>
      </c>
      <c r="P13" s="124" t="s">
        <v>1178</v>
      </c>
      <c r="Q13" s="124">
        <f t="shared" si="5"/>
        <v>1</v>
      </c>
      <c r="R13" s="121" t="str">
        <f t="shared" si="7"/>
        <v>》e${1}nnh</v>
      </c>
      <c r="S13" s="55"/>
      <c r="T13" s="56" t="str">
        <f t="shared" si="6"/>
        <v xml:space="preserve">    - xform/》ennh(\d)/》e${1}nnh/</v>
      </c>
    </row>
    <row r="14" spans="1:20" ht="27.75" thickBot="1">
      <c r="A14" s="57">
        <f t="shared" si="0"/>
        <v>12</v>
      </c>
      <c r="B14" s="74" t="str" cm="1">
        <f t="array" ref="B14" xml:space="preserve"> IFERROR( INDEX(韻母對照表[國際音標], MATCH(TRUE, EXACT('台語音標韻母清單【依字長反排序】 (2)'!$C13, 韻母對照表[台羅拼音]), 0)), "")</f>
        <v/>
      </c>
      <c r="C14" s="57" t="s">
        <v>501</v>
      </c>
      <c r="D14" s="57" t="s">
        <v>501</v>
      </c>
      <c r="E14" s="75" t="str" cm="1">
        <f t="array" ref="E14" xml:space="preserve"> IFERROR( INDEX(韻母對照表[注音二式], MATCH(TRUE, EXACT('台語音標韻母清單【依字長反排序】 (2)'!$C13, 韻母對照表[台羅拼音]), 0)), "")</f>
        <v/>
      </c>
      <c r="F14" s="57" t="s">
        <v>502</v>
      </c>
      <c r="G14" s="72" t="str" cm="1">
        <f t="array" ref="G14" xml:space="preserve"> IFERROR( INDEX(韻母對照表[白話字], MATCH(TRUE, EXACT('台語音標韻母清單【依字長反排序】 (2)'!$C13, 韻母對照表[台羅拼音]), 0)), "")</f>
        <v/>
      </c>
      <c r="H14" s="54" t="str" cm="1">
        <f t="array" ref="H14" xml:space="preserve"> IFERROR( INDEX(韻母對照表[十五音識別碼], MATCH(TRUE, EXACT('台語音標韻母清單【依字長反排序】 (2)'!$C13, 韻母對照表[台羅拼音]), 0)), "")</f>
        <v/>
      </c>
      <c r="I14" s="57" t="str" cm="1">
        <f t="array" ref="I14" xml:space="preserve"> IFERROR( INDEX(韻母對照表[方音符號], MATCH(TRUE, EXACT('台語音標韻母清單【依字長反排序】 (2)'!$C13, 韻母對照表[台羅拼音]), 0)), "")</f>
        <v/>
      </c>
      <c r="J14" s="73">
        <f t="shared" si="1"/>
        <v>4</v>
      </c>
      <c r="K14" s="73"/>
      <c r="L14" s="57" t="str">
        <f t="shared" si="2"/>
        <v>onnh</v>
      </c>
      <c r="M14" s="57" t="str">
        <f t="shared" si="3"/>
        <v>nooh</v>
      </c>
      <c r="O14" s="121" t="str">
        <f t="shared" si="4"/>
        <v>onnh(\d)</v>
      </c>
      <c r="P14" s="124" t="s">
        <v>1213</v>
      </c>
      <c r="Q14" s="124">
        <f t="shared" si="5"/>
        <v>1</v>
      </c>
      <c r="R14" s="121" t="str">
        <f t="shared" si="7"/>
        <v>》o${1}nnh</v>
      </c>
      <c r="S14" s="55"/>
      <c r="T14" s="56" t="str">
        <f t="shared" si="6"/>
        <v xml:space="preserve">    - xform/》onnh(\d)/》o${1}nnh/</v>
      </c>
    </row>
    <row r="15" spans="1:20" ht="27.75" thickBot="1">
      <c r="A15" s="57">
        <f t="shared" si="0"/>
        <v>13</v>
      </c>
      <c r="B15" s="74" t="s">
        <v>810</v>
      </c>
      <c r="C15" s="57" t="s">
        <v>304</v>
      </c>
      <c r="D15" s="57" t="s">
        <v>304</v>
      </c>
      <c r="E15" s="75" t="str" cm="1">
        <f t="array" ref="E15" xml:space="preserve"> IFERROR( INDEX(韻母對照表[注音二式], MATCH(TRUE, EXACT('台語音標韻母清單【依字長反排序】 (2)'!$C29, 韻母對照表[台羅拼音]), 0)), "")</f>
        <v>iah</v>
      </c>
      <c r="F15" s="57" t="s">
        <v>811</v>
      </c>
      <c r="G15" s="72" t="str" cm="1">
        <f t="array" ref="G15" xml:space="preserve"> IFERROR( INDEX(韻母對照表[白話字], MATCH(TRUE, EXACT('台語音標韻母清單【依字長反排序】 (2)'!$C29, 韻母對照表[台羅拼音]), 0)), "")</f>
        <v>iah</v>
      </c>
      <c r="H15" s="54" t="str" cm="1">
        <f t="array" ref="H15" xml:space="preserve"> IFERROR( INDEX(韻母對照表[十五音識別碼], MATCH(TRUE, EXACT('台語音標韻母清單【依字長反排序】 (2)'!$C29, 韻母對照表[台羅拼音]), 0)), "")</f>
        <v>迦促</v>
      </c>
      <c r="I15" s="57" t="str" cm="1">
        <f t="array" ref="I15" xml:space="preserve"> IFERROR( INDEX(韻母對照表[方音符號], MATCH(TRUE, EXACT('台語音標韻母清單【依字長反排序】 (2)'!$C29, 韻母對照表[台羅拼音]), 0)), "")</f>
        <v>ㄧㄚㆷ</v>
      </c>
      <c r="J15" s="73">
        <f t="shared" si="1"/>
        <v>4</v>
      </c>
      <c r="K15" s="73"/>
      <c r="L15" s="57" t="str">
        <f t="shared" si="2"/>
        <v>annh</v>
      </c>
      <c r="M15" s="57" t="str">
        <f t="shared" si="3"/>
        <v>nɑh</v>
      </c>
      <c r="O15" s="121" t="str">
        <f t="shared" si="4"/>
        <v>annh(\d)</v>
      </c>
      <c r="P15" s="124" t="s">
        <v>1225</v>
      </c>
      <c r="Q15" s="124">
        <f t="shared" si="5"/>
        <v>1</v>
      </c>
      <c r="R15" s="121" t="str">
        <f t="shared" si="7"/>
        <v>》a${1}nnh</v>
      </c>
      <c r="S15" s="55"/>
      <c r="T15" s="56" t="str">
        <f t="shared" si="6"/>
        <v xml:space="preserve">    - xform/》annh(\d)/》a${1}nnh/</v>
      </c>
    </row>
    <row r="16" spans="1:20" ht="27.75" thickBot="1">
      <c r="A16" s="57">
        <f t="shared" si="0"/>
        <v>14</v>
      </c>
      <c r="B16" s="57" t="s">
        <v>812</v>
      </c>
      <c r="C16" s="57" t="s">
        <v>417</v>
      </c>
      <c r="D16" s="57" t="s">
        <v>417</v>
      </c>
      <c r="E16" s="75" t="str" cm="1">
        <f t="array" ref="E16" xml:space="preserve"> IFERROR( INDEX(韻母對照表[注音二式], MATCH(TRUE, EXACT('台語音標韻母清單【依字長反排序】 (2)'!$C30, 韻母對照表[台羅拼音]), 0)), "")</f>
        <v>iak</v>
      </c>
      <c r="F16" s="57" t="s">
        <v>813</v>
      </c>
      <c r="G16" s="60" t="str" cm="1">
        <f t="array" ref="G16" xml:space="preserve"> IFERROR( INDEX(韻母對照表[白話字], MATCH(TRUE, EXACT('台語音標韻母清單【依字長反排序】 (2)'!$C30, 韻母對照表[台羅拼音]), 0)), "")</f>
        <v>iak</v>
      </c>
      <c r="H16" s="54" t="str" cm="1">
        <f t="array" ref="H16" xml:space="preserve"> IFERROR( INDEX(韻母對照表[十五音識別碼], MATCH(TRUE, EXACT('台語音標韻母清單【依字長反排序】 (2)'!$C30, 韻母對照表[台羅拼音]), 0)), "")</f>
        <v>姜促</v>
      </c>
      <c r="I16" s="57" t="str" cm="1">
        <f t="array" ref="I16" xml:space="preserve"> IFERROR( INDEX(韻母對照表[方音符號], MATCH(TRUE, EXACT('台語音標韻母清單【依字長反排序】 (2)'!$C30, 韻母對照表[台羅拼音]), 0)), "")</f>
        <v>ㄧㄚㆻ</v>
      </c>
      <c r="J16" s="73">
        <f t="shared" si="1"/>
        <v>4</v>
      </c>
      <c r="K16" s="73"/>
      <c r="L16" s="57" t="str">
        <f t="shared" si="2"/>
        <v>ainn</v>
      </c>
      <c r="M16" s="57" t="str">
        <f t="shared" si="3"/>
        <v>nɑi</v>
      </c>
      <c r="O16" s="121" t="str">
        <f t="shared" si="4"/>
        <v>ainn(\d)</v>
      </c>
      <c r="P16" s="124" t="s">
        <v>1225</v>
      </c>
      <c r="Q16" s="124">
        <f t="shared" si="5"/>
        <v>1</v>
      </c>
      <c r="R16" s="121" t="str">
        <f t="shared" si="7"/>
        <v>》a${1}inn</v>
      </c>
      <c r="S16" s="55"/>
      <c r="T16" s="56" t="str">
        <f t="shared" si="6"/>
        <v xml:space="preserve">    - xform/》ainn(\d)/》a${1}inn/</v>
      </c>
    </row>
    <row r="17" spans="1:20" ht="27.75" thickBot="1">
      <c r="A17" s="57">
        <f t="shared" si="0"/>
        <v>15</v>
      </c>
      <c r="B17" s="57" t="s">
        <v>814</v>
      </c>
      <c r="C17" s="57" t="s">
        <v>491</v>
      </c>
      <c r="D17" s="57" t="s">
        <v>491</v>
      </c>
      <c r="E17" s="75" t="str" cm="1">
        <f t="array" ref="E17" xml:space="preserve"> IFERROR( INDEX(韻母對照表[注音二式], MATCH(TRUE, EXACT('台語音標韻母清單【依字長反排序】 (2)'!$C31, 韻母對照表[台羅拼音]), 0)), "")</f>
        <v>iam</v>
      </c>
      <c r="F17" s="57" t="s">
        <v>815</v>
      </c>
      <c r="G17" s="59" t="str" cm="1">
        <f t="array" ref="G17" xml:space="preserve"> IFERROR( INDEX(韻母對照表[白話字], MATCH(TRUE, EXACT('台語音標韻母清單【依字長反排序】 (2)'!$C31, 韻母對照表[台羅拼音]), 0)), "")</f>
        <v>iam</v>
      </c>
      <c r="H17" s="54" t="str" cm="1">
        <f t="array" ref="H17" xml:space="preserve"> IFERROR( INDEX(韻母對照表[十五音識別碼], MATCH(TRUE, EXACT('台語音標韻母清單【依字長反排序】 (2)'!$C31, 韻母對照表[台羅拼音]), 0)), "")</f>
        <v>兼舒</v>
      </c>
      <c r="I17" s="57" t="str" cm="1">
        <f t="array" ref="I17" xml:space="preserve"> IFERROR( INDEX(韻母對照表[方音符號], MATCH(TRUE, EXACT('台語音標韻母清單【依字長反排序】 (2)'!$C31, 韻母對照表[台羅拼音]), 0)), "")</f>
        <v>ㄧㆰ</v>
      </c>
      <c r="J17" s="73">
        <f t="shared" si="1"/>
        <v>4</v>
      </c>
      <c r="K17" s="73"/>
      <c r="L17" s="57" t="str">
        <f t="shared" si="2"/>
        <v>aunn</v>
      </c>
      <c r="M17" s="57" t="str">
        <f t="shared" si="3"/>
        <v>nɑo</v>
      </c>
      <c r="O17" s="121" t="str">
        <f t="shared" si="4"/>
        <v>aunn(\d)</v>
      </c>
      <c r="P17" s="124" t="s">
        <v>1225</v>
      </c>
      <c r="Q17" s="124">
        <f t="shared" si="5"/>
        <v>1</v>
      </c>
      <c r="R17" s="121" t="str">
        <f t="shared" si="7"/>
        <v>》a${1}unn</v>
      </c>
      <c r="S17" s="55"/>
      <c r="T17" s="56" t="str">
        <f t="shared" si="6"/>
        <v xml:space="preserve">    - xform/》aunn(\d)/》a${1}unn/</v>
      </c>
    </row>
    <row r="18" spans="1:20" ht="27.75" thickBot="1">
      <c r="A18" s="57">
        <f t="shared" si="0"/>
        <v>16</v>
      </c>
      <c r="B18" s="57" t="s">
        <v>818</v>
      </c>
      <c r="C18" s="57" t="s">
        <v>391</v>
      </c>
      <c r="D18" s="57" t="s">
        <v>391</v>
      </c>
      <c r="E18" s="75" t="str" cm="1">
        <f t="array" ref="E18" xml:space="preserve"> IFERROR( INDEX(韻母對照表[注音二式], MATCH(TRUE, EXACT('台語音標韻母清單【依字長反排序】 (2)'!$C33, 韻母對照表[台羅拼音]), 0)), "")</f>
        <v>iau</v>
      </c>
      <c r="F18" s="57" t="s">
        <v>394</v>
      </c>
      <c r="G18" s="60" t="str" cm="1">
        <f t="array" ref="G18" xml:space="preserve"> IFERROR( INDEX(韻母對照表[白話字], MATCH(TRUE, EXACT('台語音標韻母清單【依字長反排序】 (2)'!$C33, 韻母對照表[台羅拼音]), 0)), "")</f>
        <v>iau</v>
      </c>
      <c r="H18" s="54" t="str" cm="1">
        <f t="array" ref="H18" xml:space="preserve"> IFERROR( INDEX(韻母對照表[十五音識別碼], MATCH(TRUE, EXACT('台語音標韻母清單【依字長反排序】 (2)'!$C33, 韻母對照表[台羅拼音]), 0)), "")</f>
        <v>嬌舒</v>
      </c>
      <c r="I18" s="57" t="str" cm="1">
        <f t="array" ref="I18" xml:space="preserve"> IFERROR( INDEX(韻母對照表[方音符號], MATCH(TRUE, EXACT('台語音標韻母清單【依字長反排序】 (2)'!$C33, 韻母對照表[台羅拼音]), 0)), "")</f>
        <v>ㄧㄠ</v>
      </c>
      <c r="J18" s="73">
        <f t="shared" si="1"/>
        <v>4</v>
      </c>
      <c r="K18" s="73"/>
      <c r="L18" s="57" t="str">
        <f t="shared" si="2"/>
        <v>iann</v>
      </c>
      <c r="M18" s="57" t="str">
        <f t="shared" si="3"/>
        <v>nia</v>
      </c>
      <c r="O18" s="121" t="str">
        <f t="shared" si="4"/>
        <v>iann(\d)</v>
      </c>
      <c r="P18" s="124" t="s">
        <v>1225</v>
      </c>
      <c r="Q18" s="124">
        <f t="shared" si="5"/>
        <v>2</v>
      </c>
      <c r="R18" s="121" t="str">
        <f t="shared" si="7"/>
        <v>i》a${1}nn</v>
      </c>
      <c r="S18" s="55"/>
      <c r="T18" s="56" t="str">
        <f t="shared" si="6"/>
        <v xml:space="preserve">    - xform/》iann(\d)/i》a${1}nn/</v>
      </c>
    </row>
    <row r="19" spans="1:20" ht="27.75" thickBot="1">
      <c r="A19" s="57">
        <f t="shared" si="0"/>
        <v>17</v>
      </c>
      <c r="B19" s="74" t="str" cm="1">
        <f t="array" ref="B19" xml:space="preserve"> IFERROR( INDEX(韻母對照表[國際音標], MATCH(TRUE, EXACT('台語音標韻母清單【依字長反排序】 (2)'!$C34, 韻母對照表[台羅拼音]), 0)), "")</f>
        <v>ɪap̚</v>
      </c>
      <c r="C19" s="57" t="s">
        <v>376</v>
      </c>
      <c r="D19" s="57" t="s">
        <v>376</v>
      </c>
      <c r="E19" s="75" t="str" cm="1">
        <f t="array" ref="E19" xml:space="preserve"> IFERROR( INDEX(韻母對照表[注音二式], MATCH(TRUE, EXACT('台語音標韻母清單【依字長反排序】 (2)'!$C34, 韻母對照表[台羅拼音]), 0)), "")</f>
        <v>iap</v>
      </c>
      <c r="F19" s="57" t="s">
        <v>377</v>
      </c>
      <c r="G19" s="72" t="str" cm="1">
        <f t="array" ref="G19" xml:space="preserve"> IFERROR( INDEX(韻母對照表[白話字], MATCH(TRUE, EXACT('台語音標韻母清單【依字長反排序】 (2)'!$C34, 韻母對照表[台羅拼音]), 0)), "")</f>
        <v>iap</v>
      </c>
      <c r="H19" s="54" t="str" cm="1">
        <f t="array" ref="H19" xml:space="preserve"> IFERROR( INDEX(韻母對照表[十五音識別碼], MATCH(TRUE, EXACT('台語音標韻母清單【依字長反排序】 (2)'!$C34, 韻母對照表[台羅拼音]), 0)), "")</f>
        <v>兼促</v>
      </c>
      <c r="I19" s="57" t="str" cm="1">
        <f t="array" ref="I19" xml:space="preserve"> IFERROR( INDEX(韻母對照表[方音符號], MATCH(TRUE, EXACT('台語音標韻母清單【依字長反排序】 (2)'!$C34, 韻母對照表[台羅拼音]), 0)), "")</f>
        <v>ㄧㄚㆴ</v>
      </c>
      <c r="J19" s="73">
        <f t="shared" si="1"/>
        <v>4</v>
      </c>
      <c r="K19" s="73"/>
      <c r="L19" s="57" t="str">
        <f t="shared" si="2"/>
        <v>innh</v>
      </c>
      <c r="M19" s="57" t="str">
        <f t="shared" si="3"/>
        <v>nih</v>
      </c>
      <c r="O19" s="121" t="str">
        <f t="shared" si="4"/>
        <v>innh(\d)</v>
      </c>
      <c r="P19" s="124" t="s">
        <v>1226</v>
      </c>
      <c r="Q19" s="124">
        <f t="shared" si="5"/>
        <v>1</v>
      </c>
      <c r="R19" s="121" t="str">
        <f t="shared" si="7"/>
        <v>》i${1}nnh</v>
      </c>
      <c r="S19" s="55"/>
      <c r="T19" s="56" t="str">
        <f t="shared" si="6"/>
        <v xml:space="preserve">    - xform/》innh(\d)/》i${1}nnh/</v>
      </c>
    </row>
    <row r="20" spans="1:20" ht="27.75" thickBot="1">
      <c r="A20" s="57">
        <f t="shared" si="0"/>
        <v>18</v>
      </c>
      <c r="B20" s="57" t="str" cm="1">
        <f t="array" ref="B20" xml:space="preserve"> IFERROR( INDEX(韻母對照表[國際音標], MATCH(TRUE, EXACT('台語音標韻母清單【依字長反排序】 (2)'!$C35, 韻母對照表[台羅拼音]), 0)), "")</f>
        <v>ɪat̚</v>
      </c>
      <c r="C20" s="57" t="s">
        <v>507</v>
      </c>
      <c r="D20" s="57" t="s">
        <v>507</v>
      </c>
      <c r="E20" s="75" t="str" cm="1">
        <f t="array" ref="E20" xml:space="preserve"> IFERROR( INDEX(韻母對照表[注音二式], MATCH(TRUE, EXACT('台語音標韻母清單【依字長反排序】 (2)'!$C35, 韻母對照表[台羅拼音]), 0)), "")</f>
        <v>iat</v>
      </c>
      <c r="F20" s="57" t="s">
        <v>509</v>
      </c>
      <c r="G20" s="60" t="str" cm="1">
        <f t="array" ref="G20" xml:space="preserve"> IFERROR( INDEX(韻母對照表[白話字], MATCH(TRUE, EXACT('台語音標韻母清單【依字長反排序】 (2)'!$C35, 韻母對照表[台羅拼音]), 0)), "")</f>
        <v>iat</v>
      </c>
      <c r="H20" s="54" t="str" cm="1">
        <f t="array" ref="H20" xml:space="preserve"> IFERROR( INDEX(韻母對照表[十五音識別碼], MATCH(TRUE, EXACT('台語音標韻母清單【依字長反排序】 (2)'!$C35, 韻母對照表[台羅拼音]), 0)), "")</f>
        <v>堅促</v>
      </c>
      <c r="I20" s="57" t="str" cm="1">
        <f t="array" ref="I20" xml:space="preserve"> IFERROR( INDEX(韻母對照表[方音符號], MATCH(TRUE, EXACT('台語音標韻母清單【依字長反排序】 (2)'!$C35, 韻母對照表[台羅拼音]), 0)), "")</f>
        <v>ㄧㄚㆵ</v>
      </c>
      <c r="J20" s="73">
        <f t="shared" si="1"/>
        <v>4</v>
      </c>
      <c r="K20" s="73"/>
      <c r="L20" s="57" t="str">
        <f t="shared" si="2"/>
        <v>iunn</v>
      </c>
      <c r="M20" s="57" t="str">
        <f t="shared" si="3"/>
        <v>niu</v>
      </c>
      <c r="O20" s="121" t="str">
        <f t="shared" si="4"/>
        <v>iunn(\d)</v>
      </c>
      <c r="P20" s="124" t="s">
        <v>1226</v>
      </c>
      <c r="Q20" s="124">
        <f t="shared" si="5"/>
        <v>1</v>
      </c>
      <c r="R20" s="121" t="str">
        <f t="shared" si="7"/>
        <v>》i${1}unn</v>
      </c>
      <c r="S20" s="55"/>
      <c r="T20" s="56" t="str">
        <f t="shared" si="6"/>
        <v xml:space="preserve">    - xform/》iunn(\d)/》i${1}unn/</v>
      </c>
    </row>
    <row r="21" spans="1:20" ht="27.75" thickBot="1">
      <c r="A21" s="57">
        <f t="shared" si="0"/>
        <v>19</v>
      </c>
      <c r="B21" s="57" t="str" cm="1">
        <f t="array" ref="B21" xml:space="preserve"> IFERROR( INDEX(韻母對照表[國際音標], MATCH(TRUE, EXACT('台語音標韻母清單【依字長反排序】 (2)'!$C37, 韻母對照表[台羅拼音]), 0)), "")</f>
        <v>ɪəʔ</v>
      </c>
      <c r="C21" s="57" t="s">
        <v>399</v>
      </c>
      <c r="D21" s="57" t="s">
        <v>399</v>
      </c>
      <c r="E21" s="57" t="str" cm="1">
        <f t="array" ref="E21" xml:space="preserve"> IFERROR( INDEX(韻母對照表[注音二式], MATCH(TRUE, EXACT('台語音標韻母清單【依字長反排序】 (2)'!$C37, 韻母對照表[台羅拼音]), 0)), "")</f>
        <v>iorh</v>
      </c>
      <c r="F21" s="57" t="s">
        <v>401</v>
      </c>
      <c r="G21" s="60" t="str" cm="1">
        <f t="array" ref="G21" xml:space="preserve"> IFERROR( INDEX(韻母對照表[白話字], MATCH(TRUE, EXACT('台語音標韻母清單【依字長反排序】 (2)'!$C37, 韻母對照表[台羅拼音]), 0)), "")</f>
        <v>ioh</v>
      </c>
      <c r="H21" s="54" t="str" cm="1">
        <f t="array" ref="H21" xml:space="preserve"> IFERROR( INDEX(韻母對照表[十五音識別碼], MATCH(TRUE, EXACT('台語音標韻母清單【依字長反排序】 (2)'!$C37, 韻母對照表[台羅拼音]), 0)), "")</f>
        <v>茄促</v>
      </c>
      <c r="I21" s="57" t="str" cm="1">
        <f t="array" ref="I21" xml:space="preserve"> IFERROR( INDEX(韻母對照表[方音符號], MATCH(TRUE, EXACT('台語音標韻母清單【依字長反排序】 (2)'!$C37, 韻母對照表[台羅拼音]), 0)), "")</f>
        <v>ㄧㄜㆷ</v>
      </c>
      <c r="J21" s="73">
        <f t="shared" si="1"/>
        <v>4</v>
      </c>
      <c r="K21" s="73"/>
      <c r="L21" s="57" t="str">
        <f t="shared" si="2"/>
        <v>uann</v>
      </c>
      <c r="M21" s="57" t="str">
        <f t="shared" si="3"/>
        <v>nua</v>
      </c>
      <c r="O21" s="121" t="str">
        <f t="shared" si="4"/>
        <v>uann(\d)</v>
      </c>
      <c r="P21" s="124" t="s">
        <v>1225</v>
      </c>
      <c r="Q21" s="124">
        <f t="shared" si="5"/>
        <v>2</v>
      </c>
      <c r="R21" s="121" t="str">
        <f t="shared" si="7"/>
        <v>u》a${1}nn</v>
      </c>
      <c r="S21" s="55"/>
      <c r="T21" s="56" t="str">
        <f t="shared" si="6"/>
        <v xml:space="preserve">    - xform/》uann(\d)/u》a${1}nn/</v>
      </c>
    </row>
    <row r="22" spans="1:20" ht="27.75" thickBot="1">
      <c r="A22" s="57">
        <f t="shared" si="0"/>
        <v>20</v>
      </c>
      <c r="B22" s="57" t="str" cm="1">
        <f t="array" ref="B22" xml:space="preserve"> IFERROR( INDEX(韻母對照表[國際音標], MATCH(TRUE, EXACT('台語音標韻母清單【依字長反排序】 (2)'!$C38, 韻母對照表[台羅拼音]), 0)), "")</f>
        <v>ɪɔk̚</v>
      </c>
      <c r="C22" s="57" t="s">
        <v>351</v>
      </c>
      <c r="D22" s="57" t="s">
        <v>351</v>
      </c>
      <c r="E22" s="75" t="str" cm="1">
        <f t="array" ref="E22" xml:space="preserve"> IFERROR( INDEX(韻母對照表[注音二式], MATCH(TRUE, EXACT('台語音標韻母清單【依字長反排序】 (2)'!$C38, 韻母對照表[台羅拼音]), 0)), "")</f>
        <v>iook</v>
      </c>
      <c r="F22" s="57" t="s">
        <v>353</v>
      </c>
      <c r="G22" s="60" t="str" cm="1">
        <f t="array" ref="G22" xml:space="preserve"> IFERROR( INDEX(韻母對照表[白話字], MATCH(TRUE, EXACT('台語音標韻母清單【依字長反排序】 (2)'!$C38, 韻母對照表[台羅拼音]), 0)), "")</f>
        <v>iok</v>
      </c>
      <c r="H22" s="54" t="str" cm="1">
        <f t="array" ref="H22" xml:space="preserve"> IFERROR( INDEX(韻母對照表[十五音識別碼], MATCH(TRUE, EXACT('台語音標韻母清單【依字長反排序】 (2)'!$C38, 韻母對照表[台羅拼音]), 0)), "")</f>
        <v>恭促</v>
      </c>
      <c r="I22" s="57" t="str" cm="1">
        <f t="array" ref="I22" xml:space="preserve"> IFERROR( INDEX(韻母對照表[方音符號], MATCH(TRUE, EXACT('台語音標韻母清單【依字長反排序】 (2)'!$C38, 韻母對照表[台羅拼音]), 0)), "")</f>
        <v>ㄧㆦㆻ</v>
      </c>
      <c r="J22" s="73">
        <f t="shared" si="1"/>
        <v>4</v>
      </c>
      <c r="K22" s="73"/>
      <c r="L22" s="57" t="str">
        <f t="shared" si="2"/>
        <v>uinn</v>
      </c>
      <c r="M22" s="57" t="str">
        <f t="shared" si="3"/>
        <v>nui</v>
      </c>
      <c r="O22" s="121" t="str">
        <f t="shared" si="4"/>
        <v>uinn(\d)</v>
      </c>
      <c r="P22" s="124" t="s">
        <v>1226</v>
      </c>
      <c r="Q22" s="124">
        <f t="shared" si="5"/>
        <v>2</v>
      </c>
      <c r="R22" s="121" t="str">
        <f t="shared" si="7"/>
        <v>u》i${1}nn</v>
      </c>
      <c r="S22" s="55"/>
      <c r="T22" s="56" t="str">
        <f t="shared" si="6"/>
        <v xml:space="preserve">    - xform/》uinn(\d)/u》i${1}nn/</v>
      </c>
    </row>
    <row r="23" spans="1:20" ht="27.75" thickBot="1">
      <c r="A23" s="57">
        <f t="shared" si="0"/>
        <v>21</v>
      </c>
      <c r="B23" s="57" t="s">
        <v>380</v>
      </c>
      <c r="C23" s="57" t="s">
        <v>383</v>
      </c>
      <c r="D23" s="57" t="s">
        <v>383</v>
      </c>
      <c r="E23" s="57" t="str" cm="1">
        <f t="array" ref="E23" xml:space="preserve"> IFERROR( INDEX(韻母對照表[注音二式], MATCH(TRUE, EXACT('台語音標韻母清單【依字長反排序】 (2)'!$C89, 韻母對照表[台羅拼音]), 0)), "")</f>
        <v/>
      </c>
      <c r="F23" s="57" t="s">
        <v>638</v>
      </c>
      <c r="G23" s="59" t="str" cm="1">
        <f t="array" ref="G23" xml:space="preserve"> IFERROR( INDEX(韻母對照表[白話字], MATCH(TRUE, EXACT('台語音標韻母清單【依字長反排序】 (2)'!$C89, 韻母對照表[台羅拼音]), 0)), "")</f>
        <v/>
      </c>
      <c r="H23" s="54" t="str" cm="1">
        <f t="array" ref="H23" xml:space="preserve"> IFERROR( INDEX(韻母對照表[十五音識別碼], MATCH(TRUE, EXACT('台語音標韻母清單【依字長反排序】 (2)'!$C89, 韻母對照表[台羅拼音]), 0)), "")</f>
        <v/>
      </c>
      <c r="I23" s="57" t="str" cm="1">
        <f t="array" ref="I23" xml:space="preserve"> IFERROR( INDEX(韻母對照表[方音符號], MATCH(TRUE, EXACT('台語音標韻母清單【依字長反排序】 (2)'!$C89, 韻母對照表[台羅拼音]), 0)), "")</f>
        <v/>
      </c>
      <c r="J23" s="73">
        <f t="shared" si="1"/>
        <v>4</v>
      </c>
      <c r="K23" s="73"/>
      <c r="L23" s="57" t="str">
        <f t="shared" si="2"/>
        <v>ionn</v>
      </c>
      <c r="M23" s="57" t="str">
        <f t="shared" si="3"/>
        <v>-</v>
      </c>
      <c r="O23" s="121" t="str">
        <f t="shared" si="4"/>
        <v>ionn(\d)</v>
      </c>
      <c r="P23" s="124" t="s">
        <v>1213</v>
      </c>
      <c r="Q23" s="124">
        <f t="shared" si="5"/>
        <v>2</v>
      </c>
      <c r="R23" s="121" t="str">
        <f t="shared" si="7"/>
        <v>i》o${1}nn</v>
      </c>
      <c r="S23" s="55"/>
      <c r="T23" s="56" t="str">
        <f t="shared" si="6"/>
        <v xml:space="preserve">    - xform/》ionn(\d)/i》o${1}nn/</v>
      </c>
    </row>
    <row r="24" spans="1:20" ht="27.75" thickBot="1">
      <c r="A24" s="57">
        <f t="shared" si="0"/>
        <v>22</v>
      </c>
      <c r="B24" s="74" t="s">
        <v>856</v>
      </c>
      <c r="C24" s="57" t="s">
        <v>857</v>
      </c>
      <c r="D24" s="57" t="s">
        <v>857</v>
      </c>
      <c r="E24" s="75" t="str" cm="1">
        <f t="array" ref="E24" xml:space="preserve"> IFERROR( INDEX(韻母對照表[注音二式], MATCH(TRUE, EXACT('台語音標韻母清單【依字長反排序】 (2)'!$C90, 韻母對照表[台羅拼音]), 0)), "")</f>
        <v/>
      </c>
      <c r="F24" s="57" t="str" cm="1">
        <f t="array" ref="F24" xml:space="preserve"> IFERROR( INDEX(韻母對照表[閩拼方案], MATCH(TRUE, EXACT('台語音標韻母清單【依字長反排序】 (2)'!$B90, 韻母對照表[國際音標]), 0)), "")</f>
        <v/>
      </c>
      <c r="G24" s="59" t="str" cm="1">
        <f t="array" ref="G24" xml:space="preserve"> IFERROR( INDEX(韻母對照表[白話字], MATCH(TRUE, EXACT('台語音標韻母清單【依字長反排序】 (2)'!$C90, 韻母對照表[台羅拼音]), 0)), "")</f>
        <v/>
      </c>
      <c r="H24" s="54" t="str" cm="1">
        <f t="array" ref="H24" xml:space="preserve"> IFERROR( INDEX(韻母對照表[十五音識別碼], MATCH(TRUE, EXACT('台語音標韻母清單【依字長反排序】 (2)'!$C90, 韻母對照表[台羅拼音]), 0)), "")</f>
        <v/>
      </c>
      <c r="I24" s="57" t="str" cm="1">
        <f t="array" ref="I24" xml:space="preserve"> IFERROR( INDEX(韻母對照表[方音符號], MATCH(TRUE, EXACT('台語音標韻母清單【依字長反排序】 (2)'!$C90, 韻母對照表[台羅拼音]), 0)), "")</f>
        <v/>
      </c>
      <c r="J24" s="73">
        <f t="shared" si="1"/>
        <v>4</v>
      </c>
      <c r="K24" s="73"/>
      <c r="L24" s="57" t="str">
        <f t="shared" si="2"/>
        <v>iooh</v>
      </c>
      <c r="M24" s="57" t="str">
        <f t="shared" si="3"/>
        <v/>
      </c>
      <c r="O24" s="121" t="str">
        <f t="shared" si="4"/>
        <v>iooh(\d)</v>
      </c>
      <c r="P24" s="124" t="s">
        <v>1213</v>
      </c>
      <c r="Q24" s="124">
        <f t="shared" si="5"/>
        <v>2</v>
      </c>
      <c r="R24" s="121" t="str">
        <f t="shared" si="7"/>
        <v>i》o${1}oh</v>
      </c>
      <c r="S24" s="55"/>
      <c r="T24" s="56" t="str">
        <f t="shared" si="6"/>
        <v/>
      </c>
    </row>
    <row r="25" spans="1:20" ht="27.75" thickBot="1">
      <c r="A25" s="57">
        <f t="shared" si="0"/>
        <v>23</v>
      </c>
      <c r="B25" s="74" t="s">
        <v>863</v>
      </c>
      <c r="C25" s="57" t="s">
        <v>864</v>
      </c>
      <c r="D25" s="57" t="s">
        <v>864</v>
      </c>
      <c r="E25" s="75" t="str" cm="1">
        <f t="array" ref="E25" xml:space="preserve"> IFERROR( INDEX(韻母對照表[注音二式], MATCH(TRUE, EXACT('台語音標韻母清單【依字長反排序】 (2)'!$C95, 韻母對照表[台羅拼音]), 0)), "")</f>
        <v>e</v>
      </c>
      <c r="F25" s="57" t="str" cm="1">
        <f t="array" ref="F25" xml:space="preserve"> IFERROR( INDEX(韻母對照表[閩拼方案], MATCH(TRUE, EXACT('台語音標韻母清單【依字長反排序】 (2)'!$B95, 韻母對照表[國際音標]), 0)), "")</f>
        <v>e</v>
      </c>
      <c r="G25" s="61" cm="1">
        <f t="array" ref="G25" xml:space="preserve"> IFERROR( INDEX(韻母對照表[白話字], MATCH(TRUE, EXACT('台語音標韻母清單【依字長反排序】 (2)'!$C95, 韻母對照表[台羅拼音]), 0)), "")</f>
        <v>0</v>
      </c>
      <c r="H25" s="54" t="str" cm="1">
        <f t="array" ref="H25" xml:space="preserve"> IFERROR( INDEX(韻母對照表[十五音識別碼], MATCH(TRUE, EXACT('台語音標韻母清單【依字長反排序】 (2)'!$C95, 韻母對照表[台羅拼音]), 0)), "")</f>
        <v>稽舒</v>
      </c>
      <c r="I25" s="57" t="str" cm="1">
        <f t="array" ref="I25" xml:space="preserve"> IFERROR( INDEX(韻母對照表[方音符號], MATCH(TRUE, EXACT('台語音標韻母清單【依字長反排序】 (2)'!$C95, 韻母對照表[台羅拼音]), 0)), "")</f>
        <v>ㆤ</v>
      </c>
      <c r="J25" s="73">
        <f t="shared" si="1"/>
        <v>4</v>
      </c>
      <c r="K25" s="73"/>
      <c r="L25" s="57" t="str">
        <f t="shared" si="2"/>
        <v>aenn</v>
      </c>
      <c r="M25" s="57" t="str">
        <f t="shared" si="3"/>
        <v>e</v>
      </c>
      <c r="O25" s="121" t="str">
        <f t="shared" si="4"/>
        <v>aenn(\d)</v>
      </c>
      <c r="P25" s="124" t="s">
        <v>1225</v>
      </c>
      <c r="Q25" s="124">
        <f t="shared" si="5"/>
        <v>1</v>
      </c>
      <c r="R25" s="121" t="str">
        <f t="shared" si="7"/>
        <v>》a${1}enn</v>
      </c>
      <c r="S25" s="55"/>
      <c r="T25" s="56" t="str">
        <f t="shared" si="6"/>
        <v xml:space="preserve">    - xform/》aenn(\d)/》a${1}enn/</v>
      </c>
    </row>
    <row r="26" spans="1:20" ht="27.75" thickBot="1">
      <c r="A26" s="57">
        <f t="shared" si="0"/>
        <v>24</v>
      </c>
      <c r="B26" s="57" t="s">
        <v>891</v>
      </c>
      <c r="C26" s="57" t="s">
        <v>64</v>
      </c>
      <c r="D26" s="57" t="s">
        <v>64</v>
      </c>
      <c r="E26" s="57" t="str" cm="1">
        <f t="array" ref="E26" xml:space="preserve"> IFERROR( INDEX(韻母對照表[注音二式], MATCH(TRUE, EXACT('台語音標韻母清單【依字長反排序】 (2)'!$C14, 韻母對照表[台羅拼音]), 0)), "")</f>
        <v>onnh</v>
      </c>
      <c r="F26" s="57" t="s">
        <v>792</v>
      </c>
      <c r="G26" s="61"/>
      <c r="H26" s="54" t="str" cm="1">
        <f t="array" ref="H26" xml:space="preserve"> IFERROR( INDEX(韻母對照表[十五音識別碼], MATCH(TRUE, EXACT('台語音標韻母清單【依字長反排序】 (2)'!$C14, 韻母對照表[台羅拼音]), 0)), "")</f>
        <v>扛促</v>
      </c>
      <c r="I26" s="57" t="str" cm="1">
        <f t="array" ref="I26" xml:space="preserve"> IFERROR( INDEX(韻母對照表[方音符號], MATCH(TRUE, EXACT('台語音標韻母清單【依字長反排序】 (2)'!$C14, 韻母對照表[台羅拼音]), 0)), "")</f>
        <v>ㆧㆷ</v>
      </c>
      <c r="J26" s="73">
        <f t="shared" si="1"/>
        <v>3</v>
      </c>
      <c r="K26" s="73"/>
      <c r="L26" s="57" t="str">
        <f t="shared" si="2"/>
        <v>eeh</v>
      </c>
      <c r="M26" s="57" t="str">
        <f t="shared" si="3"/>
        <v>ɑeh</v>
      </c>
      <c r="O26" s="121" t="str">
        <f t="shared" si="4"/>
        <v>eeh(\d)</v>
      </c>
      <c r="P26" s="124" t="s">
        <v>1178</v>
      </c>
      <c r="Q26" s="124">
        <f t="shared" si="5"/>
        <v>1</v>
      </c>
      <c r="R26" s="121" t="str">
        <f t="shared" si="7"/>
        <v>》e${1}eh</v>
      </c>
      <c r="S26" s="55"/>
      <c r="T26" s="56" t="str">
        <f t="shared" si="6"/>
        <v xml:space="preserve">    - xform/》eeh(\d)/》e${1}eh/</v>
      </c>
    </row>
    <row r="27" spans="1:20" ht="27.75" thickBot="1">
      <c r="A27" s="57">
        <f t="shared" si="0"/>
        <v>25</v>
      </c>
      <c r="B27" s="57" t="s">
        <v>793</v>
      </c>
      <c r="C27" s="57" t="s">
        <v>237</v>
      </c>
      <c r="D27" s="57" t="s">
        <v>237</v>
      </c>
      <c r="E27" s="57" t="str" cm="1">
        <f t="array" ref="E27" xml:space="preserve"> IFERROR( INDEX(韻母對照表[注音二式], MATCH(TRUE, EXACT('台語音標韻母清單【依字長反排序】 (2)'!$C15, 韻母對照表[台羅拼音]), 0)), "")</f>
        <v>annh</v>
      </c>
      <c r="F27" s="57" t="s">
        <v>794</v>
      </c>
      <c r="G27" s="60" t="str" cm="1">
        <f t="array" ref="G27" xml:space="preserve"> IFERROR( INDEX(韻母對照表[白話字], MATCH(TRUE, EXACT('台語音標韻母清單【依字長反排序】 (2)'!$C15, 韻母對照表[台羅拼音]), 0)), "")</f>
        <v>ahⁿ</v>
      </c>
      <c r="H27" s="54" t="str" cm="1">
        <f t="array" ref="H27" xml:space="preserve"> IFERROR( INDEX(韻母對照表[十五音識別碼], MATCH(TRUE, EXACT('台語音標韻母清單【依字長反排序】 (2)'!$C15, 韻母對照表[台羅拼音]), 0)), "")</f>
        <v>監促</v>
      </c>
      <c r="I27" s="57" t="str" cm="1">
        <f t="array" ref="I27" xml:space="preserve"> IFERROR( INDEX(韻母對照表[方音符號], MATCH(TRUE, EXACT('台語音標韻母清單【依字長反排序】 (2)'!$C15, 韻母對照表[台羅拼音]), 0)), "")</f>
        <v>ㆩㆷ</v>
      </c>
      <c r="J27" s="73">
        <f t="shared" si="1"/>
        <v>3</v>
      </c>
      <c r="K27" s="73"/>
      <c r="L27" s="57" t="str">
        <f t="shared" si="2"/>
        <v>ang</v>
      </c>
      <c r="M27" s="57" t="str">
        <f t="shared" si="3"/>
        <v>anɡ</v>
      </c>
      <c r="O27" s="121" t="str">
        <f t="shared" si="4"/>
        <v>ang(\d)</v>
      </c>
      <c r="P27" s="124" t="s">
        <v>1225</v>
      </c>
      <c r="Q27" s="124">
        <f t="shared" si="5"/>
        <v>1</v>
      </c>
      <c r="R27" s="121" t="str">
        <f t="shared" si="7"/>
        <v>》a${1}ng</v>
      </c>
      <c r="S27" s="55"/>
      <c r="T27" s="56" t="str">
        <f t="shared" si="6"/>
        <v xml:space="preserve">    - xform/》ang(\d)/》a${1}ng/</v>
      </c>
    </row>
    <row r="28" spans="1:20" ht="27.75" thickBot="1">
      <c r="A28" s="57">
        <f t="shared" si="0"/>
        <v>26</v>
      </c>
      <c r="B28" s="57" t="s">
        <v>795</v>
      </c>
      <c r="C28" s="57" t="s">
        <v>267</v>
      </c>
      <c r="D28" s="57" t="s">
        <v>267</v>
      </c>
      <c r="E28" s="57" t="str" cm="1">
        <f t="array" ref="E28" xml:space="preserve"> IFERROR( INDEX(韻母對照表[注音二式], MATCH(TRUE, EXACT('台語音標韻母清單【依字長反排序】 (2)'!$C16, 韻母對照表[台羅拼音]), 0)), "")</f>
        <v>ainn</v>
      </c>
      <c r="F28" s="57" t="s">
        <v>796</v>
      </c>
      <c r="G28" s="60" t="str" cm="1">
        <f t="array" ref="G28" xml:space="preserve"> IFERROR( INDEX(韻母對照表[白話字], MATCH(TRUE, EXACT('台語音標韻母清單【依字長反排序】 (2)'!$C16, 韻母對照表[台羅拼音]), 0)), "")</f>
        <v>aiⁿ</v>
      </c>
      <c r="H28" s="54" t="str" cm="1">
        <f t="array" ref="H28" xml:space="preserve"> IFERROR( INDEX(韻母對照表[十五音識別碼], MATCH(TRUE, EXACT('台語音標韻母清單【依字長反排序】 (2)'!$C16, 韻母對照表[台羅拼音]), 0)), "")</f>
        <v>閒舒</v>
      </c>
      <c r="I28" s="57" t="str" cm="1">
        <f t="array" ref="I28" xml:space="preserve"> IFERROR( INDEX(韻母對照表[方音符號], MATCH(TRUE, EXACT('台語音標韻母清單【依字長反排序】 (2)'!$C16, 韻母對照表[台羅拼音]), 0)), "")</f>
        <v>ㆮ</v>
      </c>
      <c r="J28" s="73">
        <f t="shared" si="1"/>
        <v>3</v>
      </c>
      <c r="K28" s="73"/>
      <c r="L28" s="57" t="str">
        <f t="shared" si="2"/>
        <v>auh</v>
      </c>
      <c r="M28" s="57" t="str">
        <f t="shared" si="3"/>
        <v>ɑoh</v>
      </c>
      <c r="O28" s="121" t="str">
        <f t="shared" si="4"/>
        <v>auh(\d)</v>
      </c>
      <c r="P28" s="124" t="s">
        <v>1225</v>
      </c>
      <c r="Q28" s="124">
        <f t="shared" si="5"/>
        <v>1</v>
      </c>
      <c r="R28" s="121" t="str">
        <f t="shared" si="7"/>
        <v>》a${1}uh</v>
      </c>
      <c r="S28" s="55"/>
      <c r="T28" s="56" t="str">
        <f t="shared" si="6"/>
        <v xml:space="preserve">    - xform/》auh(\d)/》a${1}uh/</v>
      </c>
    </row>
    <row r="29" spans="1:20" ht="27.75" thickBot="1">
      <c r="A29" s="57">
        <f t="shared" si="0"/>
        <v>27</v>
      </c>
      <c r="B29" s="57" t="s">
        <v>797</v>
      </c>
      <c r="C29" s="57" t="s">
        <v>278</v>
      </c>
      <c r="D29" s="57" t="s">
        <v>278</v>
      </c>
      <c r="E29" s="57" t="str" cm="1">
        <f t="array" ref="E29" xml:space="preserve"> IFERROR( INDEX(韻母對照表[注音二式], MATCH(TRUE, EXACT('台語音標韻母清單【依字長反排序】 (2)'!$C17, 韻母對照表[台羅拼音]), 0)), "")</f>
        <v>aunn</v>
      </c>
      <c r="F29" s="57" t="s">
        <v>798</v>
      </c>
      <c r="G29" s="60" t="str" cm="1">
        <f t="array" ref="G29" xml:space="preserve"> IFERROR( INDEX(韻母對照表[白話字], MATCH(TRUE, EXACT('台語音標韻母清單【依字長反排序】 (2)'!$C17, 韻母對照表[台羅拼音]), 0)), "")</f>
        <v>auⁿ</v>
      </c>
      <c r="H29" s="54" t="str" cm="1">
        <f t="array" ref="H29" xml:space="preserve"> IFERROR( INDEX(韻母對照表[十五音識別碼], MATCH(TRUE, EXACT('台語音標韻母清單【依字長反排序】 (2)'!$C17, 韻母對照表[台羅拼音]), 0)), "")</f>
        <v>爻舒</v>
      </c>
      <c r="I29" s="57" t="str" cm="1">
        <f t="array" ref="I29" xml:space="preserve"> IFERROR( INDEX(韻母對照表[方音符號], MATCH(TRUE, EXACT('台語音標韻母清單【依字長反排序】 (2)'!$C17, 韻母對照表[台羅拼音]), 0)), "")</f>
        <v>ㆯ</v>
      </c>
      <c r="J29" s="73">
        <f t="shared" si="1"/>
        <v>3</v>
      </c>
      <c r="K29" s="73"/>
      <c r="L29" s="57" t="str">
        <f t="shared" si="2"/>
        <v>iah</v>
      </c>
      <c r="M29" s="57" t="str">
        <f t="shared" si="3"/>
        <v>iɑh</v>
      </c>
      <c r="O29" s="121" t="str">
        <f t="shared" si="4"/>
        <v>iah(\d)</v>
      </c>
      <c r="P29" s="124" t="s">
        <v>1225</v>
      </c>
      <c r="Q29" s="124">
        <f t="shared" si="5"/>
        <v>2</v>
      </c>
      <c r="R29" s="121" t="str">
        <f t="shared" si="7"/>
        <v>i》a${1}h</v>
      </c>
      <c r="S29" s="55"/>
      <c r="T29" s="56" t="str">
        <f t="shared" si="6"/>
        <v xml:space="preserve">    - xform/》iah(\d)/i》a${1}h/</v>
      </c>
    </row>
    <row r="30" spans="1:20" ht="27.75" thickBot="1">
      <c r="A30" s="57">
        <f t="shared" si="0"/>
        <v>28</v>
      </c>
      <c r="B30" s="57" t="s">
        <v>885</v>
      </c>
      <c r="C30" s="57" t="s">
        <v>207</v>
      </c>
      <c r="D30" s="57" t="s">
        <v>207</v>
      </c>
      <c r="E30" s="57" t="str" cm="1">
        <f t="array" ref="E30" xml:space="preserve"> IFERROR( INDEX(韻母對照表[注音二式], MATCH(TRUE, EXACT('台語音標韻母清單【依字長反排序】 (2)'!$C18, 韻母對照表[台羅拼音]), 0)), "")</f>
        <v>iann</v>
      </c>
      <c r="F30" s="57" t="s">
        <v>799</v>
      </c>
      <c r="G30" s="60" t="str" cm="1">
        <f t="array" ref="G30" xml:space="preserve"> IFERROR( INDEX(韻母對照表[白話字], MATCH(TRUE, EXACT('台語音標韻母清單【依字長反排序】 (2)'!$C18, 韻母對照表[台羅拼音]), 0)), "")</f>
        <v>iaⁿ</v>
      </c>
      <c r="H30" s="54" t="str" cm="1">
        <f t="array" ref="H30" xml:space="preserve"> IFERROR( INDEX(韻母對照表[十五音識別碼], MATCH(TRUE, EXACT('台語音標韻母清單【依字長反排序】 (2)'!$C18, 韻母對照表[台羅拼音]), 0)), "")</f>
        <v>驚舒</v>
      </c>
      <c r="I30" s="57" t="str" cm="1">
        <f t="array" ref="I30" xml:space="preserve"> IFERROR( INDEX(韻母對照表[方音符號], MATCH(TRUE, EXACT('台語音標韻母清單【依字長反排序】 (2)'!$C18, 韻母對照表[台羅拼音]), 0)), "")</f>
        <v>ㄧㆩ</v>
      </c>
      <c r="J30" s="73">
        <f t="shared" si="1"/>
        <v>3</v>
      </c>
      <c r="K30" s="73"/>
      <c r="L30" s="57" t="str">
        <f t="shared" si="2"/>
        <v>iak</v>
      </c>
      <c r="M30" s="57" t="str">
        <f t="shared" si="3"/>
        <v>iɑk</v>
      </c>
      <c r="O30" s="121" t="str">
        <f t="shared" si="4"/>
        <v>iak(\d)</v>
      </c>
      <c r="P30" s="124" t="s">
        <v>1225</v>
      </c>
      <c r="Q30" s="124">
        <f t="shared" si="5"/>
        <v>2</v>
      </c>
      <c r="R30" s="121" t="str">
        <f t="shared" si="7"/>
        <v>i》a${1}k</v>
      </c>
      <c r="S30" s="55"/>
      <c r="T30" s="56" t="str">
        <f t="shared" si="6"/>
        <v xml:space="preserve">    - xform/》iak(\d)/i》a${1}k/</v>
      </c>
    </row>
    <row r="31" spans="1:20" ht="27.75" thickBot="1">
      <c r="A31" s="57">
        <f t="shared" si="0"/>
        <v>29</v>
      </c>
      <c r="B31" s="57" t="s">
        <v>247</v>
      </c>
      <c r="C31" s="57" t="s">
        <v>247</v>
      </c>
      <c r="D31" s="57" t="s">
        <v>247</v>
      </c>
      <c r="E31" s="57" t="str" cm="1">
        <f t="array" ref="E31" xml:space="preserve"> IFERROR( INDEX(韻母對照表[注音二式], MATCH(TRUE, EXACT('台語音標韻母清單【依字長反排序】 (2)'!$C19, 韻母對照表[台羅拼音]), 0)), "")</f>
        <v>innh</v>
      </c>
      <c r="F31" s="57" t="s">
        <v>800</v>
      </c>
      <c r="G31" s="60" t="str" cm="1">
        <f t="array" ref="G31" xml:space="preserve"> IFERROR( INDEX(韻母對照表[白話字], MATCH(TRUE, EXACT('台語音標韻母清單【依字長反排序】 (2)'!$C19, 韻母對照表[台羅拼音]), 0)), "")</f>
        <v>ihⁿ</v>
      </c>
      <c r="H31" s="54" t="str" cm="1">
        <f t="array" ref="H31" xml:space="preserve"> IFERROR( INDEX(韻母對照表[十五音識別碼], MATCH(TRUE, EXACT('台語音標韻母清單【依字長反排序】 (2)'!$C19, 韻母對照表[台羅拼音]), 0)), "")</f>
        <v>梔促</v>
      </c>
      <c r="I31" s="57" t="str" cm="1">
        <f t="array" ref="I31" xml:space="preserve"> IFERROR( INDEX(韻母對照表[方音符號], MATCH(TRUE, EXACT('台語音標韻母清單【依字長反排序】 (2)'!$C19, 韻母對照表[台羅拼音]), 0)), "")</f>
        <v>ㆪㆷ</v>
      </c>
      <c r="J31" s="73">
        <f t="shared" si="1"/>
        <v>3</v>
      </c>
      <c r="K31" s="73"/>
      <c r="L31" s="57" t="str">
        <f t="shared" si="2"/>
        <v>iam</v>
      </c>
      <c r="M31" s="57" t="str">
        <f t="shared" si="3"/>
        <v>iɑm</v>
      </c>
      <c r="O31" s="121" t="str">
        <f t="shared" si="4"/>
        <v>iam(\d)</v>
      </c>
      <c r="P31" s="124" t="s">
        <v>1225</v>
      </c>
      <c r="Q31" s="124">
        <f t="shared" si="5"/>
        <v>2</v>
      </c>
      <c r="R31" s="121" t="str">
        <f t="shared" si="7"/>
        <v>i》a${1}m</v>
      </c>
      <c r="S31" s="55"/>
      <c r="T31" s="56" t="str">
        <f t="shared" si="6"/>
        <v xml:space="preserve">    - xform/》iam(\d)/i》a${1}m/</v>
      </c>
    </row>
    <row r="32" spans="1:20" ht="27.75" thickBot="1">
      <c r="A32" s="57">
        <f t="shared" si="0"/>
        <v>30</v>
      </c>
      <c r="B32" s="57" t="s">
        <v>27</v>
      </c>
      <c r="C32" s="57" t="s">
        <v>27</v>
      </c>
      <c r="D32" s="57" t="s">
        <v>27</v>
      </c>
      <c r="E32" s="57" t="str" cm="1">
        <f t="array" ref="E32" xml:space="preserve"> IFERROR( INDEX(韻母對照表[注音二式], MATCH(TRUE, EXACT('台語音標韻母清單【依字長反排序】 (2)'!$C20, 韻母對照表[台羅拼音]), 0)), "")</f>
        <v>iunn</v>
      </c>
      <c r="F32" s="57" t="s">
        <v>801</v>
      </c>
      <c r="G32" s="60" t="str" cm="1">
        <f t="array" ref="G32" xml:space="preserve"> IFERROR( INDEX(韻母對照表[白話字], MATCH(TRUE, EXACT('台語音標韻母清單【依字長反排序】 (2)'!$C20, 韻母對照表[台羅拼音]), 0)), "")</f>
        <v>iuⁿ</v>
      </c>
      <c r="H32" s="54" t="str" cm="1">
        <f t="array" ref="H32" xml:space="preserve"> IFERROR( INDEX(韻母對照表[十五音識別碼], MATCH(TRUE, EXACT('台語音標韻母清單【依字長反排序】 (2)'!$C20, 韻母對照表[台羅拼音]), 0)), "")</f>
        <v>牛舒</v>
      </c>
      <c r="I32" s="57" t="str" cm="1">
        <f t="array" ref="I32" xml:space="preserve"> IFERROR( INDEX(韻母對照表[方音符號], MATCH(TRUE, EXACT('台語音標韻母清單【依字長反排序】 (2)'!$C20, 韻母對照表[台羅拼音]), 0)), "")</f>
        <v>ㄧㆫ</v>
      </c>
      <c r="J32" s="73">
        <f t="shared" si="1"/>
        <v>3</v>
      </c>
      <c r="K32" s="73"/>
      <c r="L32" s="57" t="str">
        <f t="shared" si="2"/>
        <v>ian</v>
      </c>
      <c r="M32" s="57" t="str">
        <f t="shared" si="3"/>
        <v>iɑn</v>
      </c>
      <c r="O32" s="121" t="str">
        <f t="shared" si="4"/>
        <v>ian(\d)</v>
      </c>
      <c r="P32" s="124" t="s">
        <v>1225</v>
      </c>
      <c r="Q32" s="124">
        <f t="shared" si="5"/>
        <v>2</v>
      </c>
      <c r="R32" s="121" t="str">
        <f t="shared" si="7"/>
        <v>i》a${1}n</v>
      </c>
      <c r="S32" s="55"/>
      <c r="T32" s="56" t="str">
        <f t="shared" si="6"/>
        <v xml:space="preserve">    - xform/》ian(\d)/i》a${1}n/</v>
      </c>
    </row>
    <row r="33" spans="1:20" ht="27.75" thickBot="1">
      <c r="A33" s="57">
        <f t="shared" si="0"/>
        <v>31</v>
      </c>
      <c r="B33" s="57" t="s">
        <v>141</v>
      </c>
      <c r="C33" s="57" t="s">
        <v>141</v>
      </c>
      <c r="D33" s="57" t="s">
        <v>141</v>
      </c>
      <c r="E33" s="57" t="str" cm="1">
        <f t="array" ref="E33" xml:space="preserve"> IFERROR( INDEX(韻母對照表[注音二式], MATCH(TRUE, EXACT('台語音標韻母清單【依字長反排序】 (2)'!$C21, 韻母對照表[台羅拼音]), 0)), "")</f>
        <v>uann</v>
      </c>
      <c r="F33" s="57" t="s">
        <v>802</v>
      </c>
      <c r="G33" s="59" t="str" cm="1">
        <f t="array" ref="G33" xml:space="preserve"> IFERROR( INDEX(韻母對照表[白話字], MATCH(TRUE, EXACT('台語音標韻母清單【依字長反排序】 (2)'!$C21, 韻母對照表[台羅拼音]), 0)), "")</f>
        <v>oaⁿ</v>
      </c>
      <c r="H33" s="54" t="str" cm="1">
        <f t="array" ref="H33" xml:space="preserve"> IFERROR( INDEX(韻母對照表[十五音識別碼], MATCH(TRUE, EXACT('台語音標韻母清單【依字長反排序】 (2)'!$C21, 韻母對照表[台羅拼音]), 0)), "")</f>
        <v>官舒</v>
      </c>
      <c r="I33" s="57" t="str" cm="1">
        <f t="array" ref="I33" xml:space="preserve"> IFERROR( INDEX(韻母對照表[方音符號], MATCH(TRUE, EXACT('台語音標韻母清單【依字長反排序】 (2)'!$C21, 韻母對照表[台羅拼音]), 0)), "")</f>
        <v>ㄨㆩ</v>
      </c>
      <c r="J33" s="73">
        <f t="shared" si="1"/>
        <v>3</v>
      </c>
      <c r="K33" s="73"/>
      <c r="L33" s="57" t="str">
        <f t="shared" si="2"/>
        <v>iau</v>
      </c>
      <c r="M33" s="57" t="str">
        <f t="shared" si="3"/>
        <v>iɑo</v>
      </c>
      <c r="O33" s="121" t="str">
        <f t="shared" si="4"/>
        <v>iau(\d)</v>
      </c>
      <c r="P33" s="124" t="s">
        <v>1225</v>
      </c>
      <c r="Q33" s="124">
        <f t="shared" si="5"/>
        <v>2</v>
      </c>
      <c r="R33" s="121" t="str">
        <f t="shared" si="7"/>
        <v>i》a${1}u</v>
      </c>
      <c r="S33" s="55"/>
      <c r="T33" s="56" t="str">
        <f t="shared" si="6"/>
        <v xml:space="preserve">    - xform/》iau(\d)/i》a${1}u/</v>
      </c>
    </row>
    <row r="34" spans="1:20" ht="27.75" thickBot="1">
      <c r="A34" s="57">
        <f t="shared" si="0"/>
        <v>32</v>
      </c>
      <c r="B34" s="57" t="s">
        <v>881</v>
      </c>
      <c r="C34" s="57" t="s">
        <v>256</v>
      </c>
      <c r="D34" s="57" t="s">
        <v>256</v>
      </c>
      <c r="E34" s="57" t="str" cm="1">
        <f t="array" ref="E34" xml:space="preserve"> IFERROR( INDEX(韻母對照表[注音二式], MATCH(TRUE, EXACT('台語音標韻母清單【依字長反排序】 (2)'!$C22, 韻母對照表[台羅拼音]), 0)), "")</f>
        <v>uinn</v>
      </c>
      <c r="F34" s="57" t="s">
        <v>803</v>
      </c>
      <c r="G34" s="60" t="str" cm="1">
        <f t="array" ref="G34" xml:space="preserve"> IFERROR( INDEX(韻母對照表[白話字], MATCH(TRUE, EXACT('台語音標韻母清單【依字長反排序】 (2)'!$C22, 韻母對照表[台羅拼音]), 0)), "")</f>
        <v>uiⁿ</v>
      </c>
      <c r="H34" s="54" t="str" cm="1">
        <f t="array" ref="H34" xml:space="preserve"> IFERROR( INDEX(韻母對照表[十五音識別碼], MATCH(TRUE, EXACT('台語音標韻母清單【依字長反排序】 (2)'!$C22, 韻母對照表[台羅拼音]), 0)), "")</f>
        <v>褌舒</v>
      </c>
      <c r="I34" s="57" t="str" cm="1">
        <f t="array" ref="I34" xml:space="preserve"> IFERROR( INDEX(韻母對照表[方音符號], MATCH(TRUE, EXACT('台語音標韻母清單【依字長反排序】 (2)'!$C22, 韻母對照表[台羅拼音]), 0)), "")</f>
        <v>ㄨㆪ</v>
      </c>
      <c r="J34" s="73">
        <f t="shared" si="1"/>
        <v>3</v>
      </c>
      <c r="K34" s="73"/>
      <c r="L34" s="57" t="str">
        <f t="shared" si="2"/>
        <v>iap</v>
      </c>
      <c r="M34" s="57" t="str">
        <f t="shared" si="3"/>
        <v>iɑp</v>
      </c>
      <c r="O34" s="121" t="str">
        <f t="shared" si="4"/>
        <v>iap(\d)</v>
      </c>
      <c r="P34" s="124" t="s">
        <v>1225</v>
      </c>
      <c r="Q34" s="124">
        <f t="shared" si="5"/>
        <v>2</v>
      </c>
      <c r="R34" s="121" t="str">
        <f t="shared" si="7"/>
        <v>i》a${1}p</v>
      </c>
      <c r="S34" s="55"/>
      <c r="T34" s="56" t="str">
        <f t="shared" si="6"/>
        <v xml:space="preserve">    - xform/》iap(\d)/i》a${1}p/</v>
      </c>
    </row>
    <row r="35" spans="1:20" ht="27.75" thickBot="1">
      <c r="A35" s="57">
        <f t="shared" si="0"/>
        <v>33</v>
      </c>
      <c r="B35" s="57" t="s">
        <v>876</v>
      </c>
      <c r="C35" s="57" t="s">
        <v>34</v>
      </c>
      <c r="D35" s="57" t="s">
        <v>34</v>
      </c>
      <c r="E35" s="57" t="str" cm="1">
        <f t="array" ref="E35" xml:space="preserve"> IFERROR( INDEX(韻母對照表[注音二式], MATCH(TRUE, EXACT('台語音標韻母清單【依字長反排序】 (2)'!$C23, 韻母對照表[台羅拼音]), 0)), "")</f>
        <v>ioonn</v>
      </c>
      <c r="F35" s="57" t="s">
        <v>804</v>
      </c>
      <c r="G35" s="60" t="str" cm="1">
        <f t="array" ref="G35" xml:space="preserve"> IFERROR( INDEX(韻母對照表[白話字], MATCH(TRUE, EXACT('台語音標韻母清單【依字長反排序】 (2)'!$C23, 韻母對照表[台羅拼音]), 0)), "")</f>
        <v>ioⁿ</v>
      </c>
      <c r="H35" s="54" t="str" cm="1">
        <f t="array" ref="H35" xml:space="preserve"> IFERROR( INDEX(韻母對照表[十五音識別碼], MATCH(TRUE, EXACT('台語音標韻母清單【依字長反排序】 (2)'!$C23, 韻母對照表[台羅拼音]), 0)), "")</f>
        <v>薑舒</v>
      </c>
      <c r="I35" s="57" t="str" cm="1">
        <f t="array" ref="I35" xml:space="preserve"> IFERROR( INDEX(韻母對照表[方音符號], MATCH(TRUE, EXACT('台語音標韻母清單【依字長反排序】 (2)'!$C23, 韻母對照表[台羅拼音]), 0)), "")</f>
        <v>ㄧㆧ</v>
      </c>
      <c r="J35" s="73">
        <f t="shared" si="1"/>
        <v>3</v>
      </c>
      <c r="K35" s="73"/>
      <c r="L35" s="57" t="str">
        <f t="shared" si="2"/>
        <v>iat</v>
      </c>
      <c r="M35" s="57" t="str">
        <f t="shared" si="3"/>
        <v>iɑt</v>
      </c>
      <c r="O35" s="121" t="str">
        <f t="shared" si="4"/>
        <v>iat(\d)</v>
      </c>
      <c r="P35" s="124" t="s">
        <v>1225</v>
      </c>
      <c r="Q35" s="124">
        <f t="shared" si="5"/>
        <v>2</v>
      </c>
      <c r="R35" s="121" t="str">
        <f t="shared" si="7"/>
        <v>i》a${1}t</v>
      </c>
      <c r="S35" s="55"/>
      <c r="T35" s="56" t="str">
        <f t="shared" si="6"/>
        <v xml:space="preserve">    - xform/》iat(\d)/i》a${1}t/</v>
      </c>
    </row>
    <row r="36" spans="1:20" ht="27.75" thickBot="1">
      <c r="A36" s="57">
        <f t="shared" si="0"/>
        <v>34</v>
      </c>
      <c r="B36" s="57" t="s">
        <v>106</v>
      </c>
      <c r="C36" s="57" t="s">
        <v>109</v>
      </c>
      <c r="D36" s="57" t="s">
        <v>109</v>
      </c>
      <c r="E36" s="57" t="str" cm="1">
        <f t="array" ref="E36" xml:space="preserve"> IFERROR( INDEX(韻母對照表[注音二式], MATCH(TRUE, EXACT('台語音標韻母清單【依字長反排序】 (2)'!$C24, 韻母對照表[台羅拼音]), 0)), "")</f>
        <v/>
      </c>
      <c r="F36" s="57" t="s">
        <v>805</v>
      </c>
      <c r="G36" s="59" t="str" cm="1">
        <f t="array" ref="G36" xml:space="preserve"> IFERROR( INDEX(韻母對照表[白話字], MATCH(TRUE, EXACT('台語音標韻母清單【依字長反排序】 (2)'!$C24, 韻母對照表[台羅拼音]), 0)), "")</f>
        <v/>
      </c>
      <c r="H36" s="54" t="str" cm="1">
        <f t="array" ref="H36" xml:space="preserve"> IFERROR( INDEX(韻母對照表[十五音識別碼], MATCH(TRUE, EXACT('台語音標韻母清單【依字長反排序】 (2)'!$C24, 韻母對照表[台羅拼音]), 0)), "")</f>
        <v/>
      </c>
      <c r="I36" s="57" t="str" cm="1">
        <f t="array" ref="I36" xml:space="preserve"> IFERROR( INDEX(韻母對照表[方音符號], MATCH(TRUE, EXACT('台語音標韻母清單【依字長反排序】 (2)'!$C24, 韻母對照表[台羅拼音]), 0)), "")</f>
        <v/>
      </c>
      <c r="J36" s="73">
        <f t="shared" si="1"/>
        <v>3</v>
      </c>
      <c r="K36" s="73"/>
      <c r="L36" s="57" t="str">
        <f t="shared" si="2"/>
        <v>ing</v>
      </c>
      <c r="M36" s="57" t="str">
        <f t="shared" si="3"/>
        <v>inɡ</v>
      </c>
      <c r="O36" s="121" t="str">
        <f t="shared" si="4"/>
        <v>ing(\d)</v>
      </c>
      <c r="P36" s="124" t="s">
        <v>1226</v>
      </c>
      <c r="Q36" s="124">
        <f t="shared" si="5"/>
        <v>1</v>
      </c>
      <c r="R36" s="121" t="str">
        <f t="shared" si="7"/>
        <v>》i${1}ng</v>
      </c>
      <c r="S36" s="55"/>
      <c r="T36" s="56" t="str">
        <f t="shared" si="6"/>
        <v xml:space="preserve">    - xform/》ing(\d)/》i${1}ng/</v>
      </c>
    </row>
    <row r="37" spans="1:20" ht="27.75" thickBot="1">
      <c r="A37" s="57">
        <f t="shared" si="0"/>
        <v>35</v>
      </c>
      <c r="B37" s="57" t="s">
        <v>806</v>
      </c>
      <c r="C37" s="57" t="s">
        <v>363</v>
      </c>
      <c r="D37" s="57" t="s">
        <v>363</v>
      </c>
      <c r="E37" s="57" t="str" cm="1">
        <f t="array" ref="E37" xml:space="preserve"> IFERROR( INDEX(韻母對照表[注音二式], MATCH(TRUE, EXACT('台語音標韻母清單【依字長反排序】 (2)'!$C25, 韻母對照表[台羅拼音]), 0)), "")</f>
        <v/>
      </c>
      <c r="F37" s="57" t="s">
        <v>363</v>
      </c>
      <c r="G37" s="60" t="str" cm="1">
        <f t="array" ref="G37" xml:space="preserve"> IFERROR( INDEX(韻母對照表[白話字], MATCH(TRUE, EXACT('台語音標韻母清單【依字長反排序】 (2)'!$C25, 韻母對照表[台羅拼音]), 0)), "")</f>
        <v/>
      </c>
      <c r="H37" s="54" t="str" cm="1">
        <f t="array" ref="H37" xml:space="preserve"> IFERROR( INDEX(韻母對照表[十五音識別碼], MATCH(TRUE, EXACT('台語音標韻母清單【依字長反排序】 (2)'!$C25, 韻母對照表[台羅拼音]), 0)), "")</f>
        <v/>
      </c>
      <c r="I37" s="57" t="str" cm="1">
        <f t="array" ref="I37" xml:space="preserve"> IFERROR( INDEX(韻母對照表[方音符號], MATCH(TRUE, EXACT('台語音標韻母清單【依字長反排序】 (2)'!$C25, 韻母對照表[台羅拼音]), 0)), "")</f>
        <v/>
      </c>
      <c r="J37" s="73">
        <f t="shared" si="1"/>
        <v>3</v>
      </c>
      <c r="K37" s="73"/>
      <c r="L37" s="57" t="str">
        <f t="shared" si="2"/>
        <v>ioh</v>
      </c>
      <c r="M37" s="57" t="str">
        <f t="shared" si="3"/>
        <v>ioh</v>
      </c>
      <c r="O37" s="121" t="str">
        <f t="shared" si="4"/>
        <v>ioh(\d)</v>
      </c>
      <c r="P37" s="124" t="s">
        <v>1226</v>
      </c>
      <c r="Q37" s="124">
        <f t="shared" si="5"/>
        <v>1</v>
      </c>
      <c r="R37" s="121" t="str">
        <f t="shared" si="7"/>
        <v>》i${1}oh</v>
      </c>
      <c r="S37" s="55"/>
      <c r="T37" s="56" t="str">
        <f t="shared" si="6"/>
        <v xml:space="preserve">    - xform/》ioh(\d)/》i${1}oh/</v>
      </c>
    </row>
    <row r="38" spans="1:20" ht="27.75" thickBot="1">
      <c r="A38" s="57">
        <f t="shared" si="0"/>
        <v>36</v>
      </c>
      <c r="B38" s="57" t="s">
        <v>894</v>
      </c>
      <c r="C38" s="57" t="s">
        <v>167</v>
      </c>
      <c r="D38" s="57" t="s">
        <v>167</v>
      </c>
      <c r="E38" s="57" t="str" cm="1">
        <f t="array" ref="E38" xml:space="preserve"> IFERROR( INDEX(韻母對照表[注音二式], MATCH(TRUE, EXACT('台語音標韻母清單【依字長反排序】 (2)'!$C26, 韻母對照表[台羅拼音]), 0)), "")</f>
        <v>eh</v>
      </c>
      <c r="F38" s="57" t="s">
        <v>167</v>
      </c>
      <c r="G38" s="60" cm="1">
        <f t="array" ref="G38" xml:space="preserve"> IFERROR( INDEX(韻母對照表[白話字], MATCH(TRUE, EXACT('台語音標韻母清單【依字長反排序】 (2)'!$C26, 韻母對照表[台羅拼音]), 0)), "")</f>
        <v>0</v>
      </c>
      <c r="H38" s="54" t="str" cm="1">
        <f t="array" ref="H38" xml:space="preserve"> IFERROR( INDEX(韻母對照表[十五音識別碼], MATCH(TRUE, EXACT('台語音標韻母清單【依字長反排序】 (2)'!$C26, 韻母對照表[台羅拼音]), 0)), "")</f>
        <v>嘉促</v>
      </c>
      <c r="I38" s="57" t="str" cm="1">
        <f t="array" ref="I38" xml:space="preserve"> IFERROR( INDEX(韻母對照表[方音符號], MATCH(TRUE, EXACT('台語音標韻母清單【依字長反排序】 (2)'!$C26, 韻母對照表[台羅拼音]), 0)), "")</f>
        <v>ㄝㆷ</v>
      </c>
      <c r="J38" s="73">
        <f t="shared" si="1"/>
        <v>3</v>
      </c>
      <c r="K38" s="73"/>
      <c r="L38" s="57" t="str">
        <f t="shared" si="2"/>
        <v>iok</v>
      </c>
      <c r="M38" s="57" t="str">
        <f t="shared" si="3"/>
        <v>iok</v>
      </c>
      <c r="O38" s="121" t="str">
        <f t="shared" si="4"/>
        <v>iok(\d)</v>
      </c>
      <c r="P38" s="124" t="s">
        <v>1226</v>
      </c>
      <c r="Q38" s="124">
        <f t="shared" si="5"/>
        <v>1</v>
      </c>
      <c r="R38" s="121" t="str">
        <f t="shared" si="7"/>
        <v>》i${1}ok</v>
      </c>
      <c r="S38" s="55"/>
      <c r="T38" s="56" t="str">
        <f t="shared" si="6"/>
        <v xml:space="preserve">    - xform/》iok(\d)/》i${1}ok/</v>
      </c>
    </row>
    <row r="39" spans="1:20" ht="27.75" thickBot="1">
      <c r="A39" s="57">
        <f t="shared" si="0"/>
        <v>37</v>
      </c>
      <c r="B39" s="74" t="s">
        <v>807</v>
      </c>
      <c r="C39" s="57" t="s">
        <v>808</v>
      </c>
      <c r="D39" s="57" t="s">
        <v>808</v>
      </c>
      <c r="E39" s="75" t="str" cm="1">
        <f t="array" ref="E39" xml:space="preserve"> IFERROR( INDEX(韻母對照表[注音二式], MATCH(TRUE, EXACT('台語音標韻母清單【依字長反排序】 (2)'!$C27, 韻母對照表[台羅拼音]), 0)), "")</f>
        <v>ang</v>
      </c>
      <c r="F39" s="57" t="s">
        <v>808</v>
      </c>
      <c r="G39" s="60" t="str" cm="1">
        <f t="array" ref="G39" xml:space="preserve"> IFERROR( INDEX(韻母對照表[白話字], MATCH(TRUE, EXACT('台語音標韻母清單【依字長反排序】 (2)'!$C27, 韻母對照表[台羅拼音]), 0)), "")</f>
        <v>ang</v>
      </c>
      <c r="H39" s="54" t="str" cm="1">
        <f t="array" ref="H39" xml:space="preserve"> IFERROR( INDEX(韻母對照表[十五音識別碼], MATCH(TRUE, EXACT('台語音標韻母清單【依字長反排序】 (2)'!$C27, 韻母對照表[台羅拼音]), 0)), "")</f>
        <v>江舒</v>
      </c>
      <c r="I39" s="57" t="str" cm="1">
        <f t="array" ref="I39" xml:space="preserve"> IFERROR( INDEX(韻母對照表[方音符號], MATCH(TRUE, EXACT('台語音標韻母清單【依字長反排序】 (2)'!$C27, 韻母對照表[台羅拼音]), 0)), "")</f>
        <v>ㄤ</v>
      </c>
      <c r="J39" s="73">
        <f t="shared" si="1"/>
        <v>3</v>
      </c>
      <c r="K39" s="73"/>
      <c r="L39" s="57" t="str">
        <f t="shared" si="2"/>
        <v>iuh</v>
      </c>
      <c r="M39" s="57" t="str">
        <f t="shared" si="3"/>
        <v>iuh</v>
      </c>
      <c r="O39" s="121" t="str">
        <f t="shared" si="4"/>
        <v>iuh(\d)</v>
      </c>
      <c r="P39" s="124" t="s">
        <v>1226</v>
      </c>
      <c r="Q39" s="124">
        <f t="shared" si="5"/>
        <v>1</v>
      </c>
      <c r="R39" s="121" t="str">
        <f t="shared" si="7"/>
        <v>》i${1}uh</v>
      </c>
      <c r="S39" s="55"/>
      <c r="T39" s="56" t="str">
        <f t="shared" si="6"/>
        <v xml:space="preserve">    - xform/》iuh(\d)/》i${1}uh/</v>
      </c>
    </row>
    <row r="40" spans="1:20" ht="27.75" thickBot="1">
      <c r="A40" s="57">
        <f t="shared" si="0"/>
        <v>38</v>
      </c>
      <c r="B40" s="57" t="s">
        <v>337</v>
      </c>
      <c r="C40" s="57" t="s">
        <v>340</v>
      </c>
      <c r="D40" s="57" t="s">
        <v>340</v>
      </c>
      <c r="E40" s="57" t="str" cm="1">
        <f t="array" ref="E40" xml:space="preserve"> IFERROR( INDEX(韻母對照表[注音二式], MATCH(TRUE, EXACT('台語音標韻母清單【依字長反排序】 (2)'!$C28, 韻母對照表[台羅拼音]), 0)), "")</f>
        <v>auh</v>
      </c>
      <c r="F40" s="57" t="s">
        <v>809</v>
      </c>
      <c r="G40" s="60" t="str" cm="1">
        <f t="array" ref="G40" xml:space="preserve"> IFERROR( INDEX(韻母對照表[白話字], MATCH(TRUE, EXACT('台語音標韻母清單【依字長反排序】 (2)'!$C28, 韻母對照表[台羅拼音]), 0)), "")</f>
        <v>auh</v>
      </c>
      <c r="H40" s="54" t="str" cm="1">
        <f t="array" ref="H40" xml:space="preserve"> IFERROR( INDEX(韻母對照表[十五音識別碼], MATCH(TRUE, EXACT('台語音標韻母清單【依字長反排序】 (2)'!$C28, 韻母對照表[台羅拼音]), 0)), "")</f>
        <v>交促</v>
      </c>
      <c r="I40" s="57" t="str" cm="1">
        <f t="array" ref="I40" xml:space="preserve"> IFERROR( INDEX(韻母對照表[方音符號], MATCH(TRUE, EXACT('台語音標韻母清單【依字長反排序】 (2)'!$C28, 韻母對照表[台羅拼音]), 0)), "")</f>
        <v>ㄠㆷ</v>
      </c>
      <c r="J40" s="73">
        <f t="shared" si="1"/>
        <v>3</v>
      </c>
      <c r="K40" s="73"/>
      <c r="L40" s="57" t="str">
        <f t="shared" si="2"/>
        <v>enn</v>
      </c>
      <c r="M40" s="57" t="str">
        <f t="shared" si="3"/>
        <v>nɑe</v>
      </c>
      <c r="O40" s="121" t="str">
        <f t="shared" si="4"/>
        <v>enn(\d)</v>
      </c>
      <c r="P40" s="124" t="s">
        <v>1178</v>
      </c>
      <c r="Q40" s="124">
        <f t="shared" si="5"/>
        <v>1</v>
      </c>
      <c r="R40" s="121" t="str">
        <f t="shared" si="7"/>
        <v>》e${1}nn</v>
      </c>
      <c r="S40" s="55"/>
      <c r="T40" s="56" t="str">
        <f t="shared" si="6"/>
        <v xml:space="preserve">    - xform/》enn(\d)/》e${1}nn/</v>
      </c>
    </row>
    <row r="41" spans="1:20" ht="27.75" thickBot="1">
      <c r="A41" s="57">
        <f t="shared" si="0"/>
        <v>39</v>
      </c>
      <c r="B41" s="74" t="s">
        <v>816</v>
      </c>
      <c r="C41" s="57" t="s">
        <v>817</v>
      </c>
      <c r="D41" s="57" t="s">
        <v>817</v>
      </c>
      <c r="E41" s="75" t="str" cm="1">
        <f t="array" ref="E41" xml:space="preserve"> IFERROR( INDEX(韻母對照表[注音二式], MATCH(TRUE, EXACT('台語音標韻母清單【依字長反排序】 (2)'!$C32, 韻母對照表[台羅拼音]), 0)), "")</f>
        <v>ian</v>
      </c>
      <c r="F41" s="57" t="s">
        <v>817</v>
      </c>
      <c r="G41" s="60" t="str" cm="1">
        <f t="array" ref="G41" xml:space="preserve"> IFERROR( INDEX(韻母對照表[白話字], MATCH(TRUE, EXACT('台語音標韻母清單【依字長反排序】 (2)'!$C32, 韻母對照表[台羅拼音]), 0)), "")</f>
        <v>ian</v>
      </c>
      <c r="H41" s="54" t="str" cm="1">
        <f t="array" ref="H41" xml:space="preserve"> IFERROR( INDEX(韻母對照表[十五音識別碼], MATCH(TRUE, EXACT('台語音標韻母清單【依字長反排序】 (2)'!$C32, 韻母對照表[台羅拼音]), 0)), "")</f>
        <v>堅舒</v>
      </c>
      <c r="I41" s="57" t="str" cm="1">
        <f t="array" ref="I41" xml:space="preserve"> IFERROR( INDEX(韻母對照表[方音符號], MATCH(TRUE, EXACT('台語音標韻母清單【依字長反排序】 (2)'!$C32, 韻母對照表[台羅拼音]), 0)), "")</f>
        <v>ㄧㄢ</v>
      </c>
      <c r="J41" s="73">
        <f t="shared" si="1"/>
        <v>3</v>
      </c>
      <c r="K41" s="73"/>
      <c r="L41" s="57" t="str">
        <f t="shared" si="2"/>
        <v>ngh</v>
      </c>
      <c r="M41" s="57" t="str">
        <f t="shared" si="3"/>
        <v>ngh</v>
      </c>
      <c r="O41" s="121" t="str">
        <f t="shared" si="4"/>
        <v>ngh(\d)</v>
      </c>
      <c r="P41" s="124" t="s">
        <v>1302</v>
      </c>
      <c r="Q41" s="124">
        <f t="shared" si="5"/>
        <v>1</v>
      </c>
      <c r="R41" s="121" t="str">
        <f t="shared" si="7"/>
        <v>》n${1}gh</v>
      </c>
      <c r="S41" s="55"/>
      <c r="T41" s="56" t="str">
        <f t="shared" si="6"/>
        <v xml:space="preserve">    - xform/》ngh(\d)/》n${1}gh/</v>
      </c>
    </row>
    <row r="42" spans="1:20" ht="27.75" thickBot="1">
      <c r="A42" s="57">
        <f t="shared" si="0"/>
        <v>40</v>
      </c>
      <c r="B42" s="57" t="s">
        <v>907</v>
      </c>
      <c r="C42" s="57" t="s">
        <v>425</v>
      </c>
      <c r="D42" s="57" t="s">
        <v>425</v>
      </c>
      <c r="E42" s="75" t="str" cm="1">
        <f t="array" ref="E42" xml:space="preserve"> IFERROR( INDEX(韻母對照表[注音二式], MATCH(TRUE, EXACT('台語音標韻母清單【依字長反排序】 (2)'!$C36, 韻母對照表[台羅拼音]), 0)), "")</f>
        <v>ing</v>
      </c>
      <c r="F42" s="57" t="s">
        <v>427</v>
      </c>
      <c r="G42" s="59" t="str" cm="1">
        <f t="array" ref="G42" xml:space="preserve"> IFERROR( INDEX(韻母對照表[白話字], MATCH(TRUE, EXACT('台語音標韻母清單【依字長反排序】 (2)'!$C36, 韻母對照表[台羅拼音]), 0)), "")</f>
        <v>eng</v>
      </c>
      <c r="H42" s="54" t="str" cm="1">
        <f t="array" ref="H42" xml:space="preserve"> IFERROR( INDEX(韻母對照表[十五音識別碼], MATCH(TRUE, EXACT('台語音標韻母清單【依字長反排序】 (2)'!$C36, 韻母對照表[台羅拼音]), 0)), "")</f>
        <v>經舒</v>
      </c>
      <c r="I42" s="57" t="str" cm="1">
        <f t="array" ref="I42" xml:space="preserve"> IFERROR( INDEX(韻母對照表[方音符號], MATCH(TRUE, EXACT('台語音標韻母清單【依字長反排序】 (2)'!$C36, 韻母對照表[台羅拼音]), 0)), "")</f>
        <v>ㄧㄥ</v>
      </c>
      <c r="J42" s="73">
        <f t="shared" si="1"/>
        <v>3</v>
      </c>
      <c r="K42" s="73"/>
      <c r="L42" s="57" t="str">
        <f t="shared" si="2"/>
        <v>onn</v>
      </c>
      <c r="M42" s="57" t="str">
        <f t="shared" si="3"/>
        <v>noo</v>
      </c>
      <c r="O42" s="121" t="str">
        <f t="shared" si="4"/>
        <v>onn(\d)</v>
      </c>
      <c r="P42" s="124" t="s">
        <v>1213</v>
      </c>
      <c r="Q42" s="124">
        <f t="shared" si="5"/>
        <v>1</v>
      </c>
      <c r="R42" s="121" t="str">
        <f t="shared" si="7"/>
        <v>》o${1}nn</v>
      </c>
      <c r="S42" s="55"/>
      <c r="T42" s="56" t="str">
        <f t="shared" si="6"/>
        <v xml:space="preserve">    - xform/》onn(\d)/》o${1}nn/</v>
      </c>
    </row>
    <row r="43" spans="1:20" ht="27.75" thickBot="1">
      <c r="A43" s="57">
        <f t="shared" si="0"/>
        <v>41</v>
      </c>
      <c r="B43" s="57" t="s">
        <v>81</v>
      </c>
      <c r="C43" s="57" t="s">
        <v>84</v>
      </c>
      <c r="D43" s="57" t="s">
        <v>84</v>
      </c>
      <c r="E43" s="57" t="str" cm="1">
        <f t="array" ref="E43" xml:space="preserve"> IFERROR( INDEX(韻母對照表[注音二式], MATCH(TRUE, EXACT('台語音標韻母清單【依字長反排序】 (2)'!$C39, 韻母對照表[台羅拼音]), 0)), "")</f>
        <v/>
      </c>
      <c r="F43" s="57" t="s">
        <v>820</v>
      </c>
      <c r="G43" s="60" t="str" cm="1">
        <f t="array" ref="G43" xml:space="preserve"> IFERROR( INDEX(韻母對照表[白話字], MATCH(TRUE, EXACT('台語音標韻母清單【依字長反排序】 (2)'!$C39, 韻母對照表[台羅拼音]), 0)), "")</f>
        <v/>
      </c>
      <c r="H43" s="54" t="str" cm="1">
        <f t="array" ref="H43" xml:space="preserve"> IFERROR( INDEX(韻母對照表[十五音識別碼], MATCH(TRUE, EXACT('台語音標韻母清單【依字長反排序】 (2)'!$C39, 韻母對照表[台羅拼音]), 0)), "")</f>
        <v/>
      </c>
      <c r="I43" s="57" t="str" cm="1">
        <f t="array" ref="I43" xml:space="preserve"> IFERROR( INDEX(韻母對照表[方音符號], MATCH(TRUE, EXACT('台語音標韻母清單【依字長反排序】 (2)'!$C39, 韻母對照表[台羅拼音]), 0)), "")</f>
        <v/>
      </c>
      <c r="J43" s="73">
        <f t="shared" si="1"/>
        <v>3</v>
      </c>
      <c r="K43" s="73"/>
      <c r="L43" s="57" t="str">
        <f t="shared" si="2"/>
        <v>ong</v>
      </c>
      <c r="M43" s="57" t="str">
        <f t="shared" si="3"/>
        <v>onɡ</v>
      </c>
      <c r="O43" s="121" t="str">
        <f t="shared" si="4"/>
        <v>ong(\d)</v>
      </c>
      <c r="P43" s="124" t="s">
        <v>1213</v>
      </c>
      <c r="Q43" s="124">
        <f t="shared" si="5"/>
        <v>1</v>
      </c>
      <c r="R43" s="121" t="str">
        <f t="shared" si="7"/>
        <v>》o${1}ng</v>
      </c>
      <c r="S43" s="55"/>
      <c r="T43" s="56" t="str">
        <f t="shared" si="6"/>
        <v xml:space="preserve">    - xform/》ong(\d)/》o${1}ng/</v>
      </c>
    </row>
    <row r="44" spans="1:20" ht="27.75" thickBot="1">
      <c r="A44" s="57">
        <f t="shared" si="0"/>
        <v>42</v>
      </c>
      <c r="B44" s="74" t="s">
        <v>821</v>
      </c>
      <c r="C44" s="57" t="s">
        <v>822</v>
      </c>
      <c r="D44" s="57" t="s">
        <v>822</v>
      </c>
      <c r="E44" s="75" t="str" cm="1">
        <f t="array" ref="E44" xml:space="preserve"> IFERROR( INDEX(韻母對照表[注音二式], MATCH(TRUE, EXACT('台語音標韻母清單【依字長反排序】 (2)'!$C40, 韻母對照表[台羅拼音]), 0)), "")</f>
        <v>enn</v>
      </c>
      <c r="F44" s="57" t="s">
        <v>822</v>
      </c>
      <c r="G44" s="59" t="str" cm="1">
        <f t="array" ref="G44" xml:space="preserve"> IFERROR( INDEX(韻母對照表[白話字], MATCH(TRUE, EXACT('台語音標韻母清單【依字長反排序】 (2)'!$C40, 韻母對照表[台羅拼音]), 0)), "")</f>
        <v>eⁿ</v>
      </c>
      <c r="H44" s="54" t="str" cm="1">
        <f t="array" ref="H44" xml:space="preserve"> IFERROR( INDEX(韻母對照表[十五音識別碼], MATCH(TRUE, EXACT('台語音標韻母清單【依字長反排序】 (2)'!$C40, 韻母對照表[台羅拼音]), 0)), "")</f>
        <v>更舒</v>
      </c>
      <c r="I44" s="57" t="str" cm="1">
        <f t="array" ref="I44" xml:space="preserve"> IFERROR( INDEX(韻母對照表[方音符號], MATCH(TRUE, EXACT('台語音標韻母清單【依字長反排序】 (2)'!$C40, 韻母對照表[台羅拼音]), 0)), "")</f>
        <v>ㆥ</v>
      </c>
      <c r="J44" s="73">
        <f t="shared" si="1"/>
        <v>3</v>
      </c>
      <c r="K44" s="73"/>
      <c r="L44" s="57" t="str">
        <f t="shared" si="2"/>
        <v>ooh</v>
      </c>
      <c r="M44" s="57" t="str">
        <f t="shared" si="3"/>
        <v>ooh</v>
      </c>
      <c r="O44" s="121" t="str">
        <f t="shared" si="4"/>
        <v>ooh(\d)</v>
      </c>
      <c r="P44" s="124" t="s">
        <v>1213</v>
      </c>
      <c r="Q44" s="124">
        <f t="shared" si="5"/>
        <v>1</v>
      </c>
      <c r="R44" s="121" t="str">
        <f t="shared" si="7"/>
        <v>》o${1}oh</v>
      </c>
      <c r="S44" s="55"/>
      <c r="T44" s="56" t="str">
        <f t="shared" si="6"/>
        <v xml:space="preserve">    - xform/》ooh(\d)/》o${1}oh/</v>
      </c>
    </row>
    <row r="45" spans="1:20" ht="27.75" thickBot="1">
      <c r="A45" s="57">
        <f t="shared" si="0"/>
        <v>43</v>
      </c>
      <c r="B45" s="57" t="s">
        <v>823</v>
      </c>
      <c r="C45" s="57" t="s">
        <v>230</v>
      </c>
      <c r="D45" s="57" t="s">
        <v>230</v>
      </c>
      <c r="E45" s="57" t="str" cm="1">
        <f t="array" ref="E45" xml:space="preserve"> IFERROR( INDEX(韻母對照表[注音二式], MATCH(TRUE, EXACT('台語音標韻母清單【依字長反排序】 (2)'!$C41, 韻母對照表[台羅拼音]), 0)), "")</f>
        <v/>
      </c>
      <c r="F45" s="57" t="s">
        <v>824</v>
      </c>
      <c r="G45" s="59" t="str" cm="1">
        <f t="array" ref="G45" xml:space="preserve"> IFERROR( INDEX(韻母對照表[白話字], MATCH(TRUE, EXACT('台語音標韻母清單【依字長反排序】 (2)'!$C41, 韻母對照表[台羅拼音]), 0)), "")</f>
        <v/>
      </c>
      <c r="H45" s="54" t="str" cm="1">
        <f t="array" ref="H45" xml:space="preserve"> IFERROR( INDEX(韻母對照表[十五音識別碼], MATCH(TRUE, EXACT('台語音標韻母清單【依字長反排序】 (2)'!$C41, 韻母對照表[台羅拼音]), 0)), "")</f>
        <v/>
      </c>
      <c r="I45" s="57" t="str" cm="1">
        <f t="array" ref="I45" xml:space="preserve"> IFERROR( INDEX(韻母對照表[方音符號], MATCH(TRUE, EXACT('台語音標韻母清單【依字長反排序】 (2)'!$C41, 韻母對照表[台羅拼音]), 0)), "")</f>
        <v/>
      </c>
      <c r="J45" s="73">
        <f t="shared" si="1"/>
        <v>3</v>
      </c>
      <c r="K45" s="73"/>
      <c r="L45" s="57" t="str">
        <f t="shared" si="2"/>
        <v>uah</v>
      </c>
      <c r="M45" s="57" t="str">
        <f t="shared" si="3"/>
        <v>uɑh</v>
      </c>
      <c r="O45" s="121" t="str">
        <f t="shared" si="4"/>
        <v>uah(\d)</v>
      </c>
      <c r="P45" s="124" t="s">
        <v>1225</v>
      </c>
      <c r="Q45" s="124">
        <f t="shared" si="5"/>
        <v>2</v>
      </c>
      <c r="R45" s="121" t="str">
        <f t="shared" si="7"/>
        <v>u》a${1}h</v>
      </c>
      <c r="S45" s="55"/>
      <c r="T45" s="56" t="str">
        <f t="shared" si="6"/>
        <v xml:space="preserve">    - xform/》uah(\d)/u》a${1}h/</v>
      </c>
    </row>
    <row r="46" spans="1:20" ht="27.75" thickBot="1">
      <c r="A46" s="57">
        <f t="shared" si="0"/>
        <v>44</v>
      </c>
      <c r="B46" s="57" t="s">
        <v>94</v>
      </c>
      <c r="C46" s="57" t="s">
        <v>94</v>
      </c>
      <c r="D46" s="57" t="s">
        <v>94</v>
      </c>
      <c r="E46" s="57" t="str" cm="1">
        <f t="array" ref="E46" xml:space="preserve"> IFERROR( INDEX(韻母對照表[注音二式], MATCH(TRUE, EXACT('台語音標韻母清單【依字長反排序】 (2)'!$C42, 韻母對照表[台羅拼音]), 0)), "")</f>
        <v>oonn</v>
      </c>
      <c r="F46" s="57" t="s">
        <v>94</v>
      </c>
      <c r="G46" s="59" t="str" cm="1">
        <f t="array" ref="G46" xml:space="preserve"> IFERROR( INDEX(韻母對照表[白話字], MATCH(TRUE, EXACT('台語音標韻母清單【依字長反排序】 (2)'!$C42, 韻母對照表[台羅拼音]), 0)), "")</f>
        <v>oⁿ</v>
      </c>
      <c r="H46" s="54" t="str" cm="1">
        <f t="array" ref="H46" xml:space="preserve"> IFERROR( INDEX(韻母對照表[十五音識別碼], MATCH(TRUE, EXACT('台語音標韻母清單【依字長反排序】 (2)'!$C42, 韻母對照表[台羅拼音]), 0)), "")</f>
        <v>姑舒</v>
      </c>
      <c r="I46" s="57" t="str" cm="1">
        <f t="array" ref="I46" xml:space="preserve"> IFERROR( INDEX(韻母對照表[方音符號], MATCH(TRUE, EXACT('台語音標韻母清單【依字長反排序】 (2)'!$C42, 韻母對照表[台羅拼音]), 0)), "")</f>
        <v>ㆧ</v>
      </c>
      <c r="J46" s="73">
        <f t="shared" si="1"/>
        <v>3</v>
      </c>
      <c r="K46" s="73"/>
      <c r="L46" s="57" t="str">
        <f t="shared" si="2"/>
        <v>uai</v>
      </c>
      <c r="M46" s="57" t="str">
        <f t="shared" si="3"/>
        <v>uai</v>
      </c>
      <c r="O46" s="121" t="str">
        <f t="shared" si="4"/>
        <v>uai(\d)</v>
      </c>
      <c r="P46" s="124" t="s">
        <v>1225</v>
      </c>
      <c r="Q46" s="124">
        <f t="shared" si="5"/>
        <v>2</v>
      </c>
      <c r="R46" s="121" t="str">
        <f t="shared" si="7"/>
        <v>u》a${1}i</v>
      </c>
      <c r="S46" s="55"/>
      <c r="T46" s="56" t="str">
        <f t="shared" si="6"/>
        <v xml:space="preserve">    - xform/》uai(\d)/u》a${1}i/</v>
      </c>
    </row>
    <row r="47" spans="1:20" ht="27.75" thickBot="1">
      <c r="A47" s="57">
        <f t="shared" si="0"/>
        <v>45</v>
      </c>
      <c r="B47" s="57" t="s">
        <v>120</v>
      </c>
      <c r="C47" s="57" t="s">
        <v>120</v>
      </c>
      <c r="D47" s="57" t="s">
        <v>120</v>
      </c>
      <c r="E47" s="57" t="str" cm="1">
        <f t="array" ref="E47" xml:space="preserve"> IFERROR( INDEX(韻母對照表[注音二式], MATCH(TRUE, EXACT('台語音標韻母清單【依字長反排序】 (2)'!$C44, 韻母對照表[台羅拼音]), 0)), "")</f>
        <v/>
      </c>
      <c r="F47" s="57" t="s">
        <v>826</v>
      </c>
      <c r="G47" s="59" t="str" cm="1">
        <f t="array" ref="G47" xml:space="preserve"> IFERROR( INDEX(韻母對照表[白話字], MATCH(TRUE, EXACT('台語音標韻母清單【依字長反排序】 (2)'!$C44, 韻母對照表[台羅拼音]), 0)), "")</f>
        <v/>
      </c>
      <c r="H47" s="54" t="str" cm="1">
        <f t="array" ref="H47" xml:space="preserve"> IFERROR( INDEX(韻母對照表[十五音識別碼], MATCH(TRUE, EXACT('台語音標韻母清單【依字長反排序】 (2)'!$C44, 韻母對照表[台羅拼音]), 0)), "")</f>
        <v/>
      </c>
      <c r="I47" s="57" t="str" cm="1">
        <f t="array" ref="I47" xml:space="preserve"> IFERROR( INDEX(韻母對照表[方音符號], MATCH(TRUE, EXACT('台語音標韻母清單【依字長反排序】 (2)'!$C44, 韻母對照表[台羅拼音]), 0)), "")</f>
        <v/>
      </c>
      <c r="J47" s="73">
        <f t="shared" si="1"/>
        <v>3</v>
      </c>
      <c r="K47" s="73"/>
      <c r="L47" s="57" t="str">
        <f t="shared" si="2"/>
        <v>uan</v>
      </c>
      <c r="M47" s="57" t="str">
        <f t="shared" si="3"/>
        <v>uɑn</v>
      </c>
      <c r="O47" s="121" t="str">
        <f t="shared" si="4"/>
        <v>uan(\d)</v>
      </c>
      <c r="P47" s="124" t="s">
        <v>1225</v>
      </c>
      <c r="Q47" s="124">
        <f t="shared" si="5"/>
        <v>2</v>
      </c>
      <c r="R47" s="121" t="str">
        <f t="shared" si="7"/>
        <v>u》a${1}n</v>
      </c>
      <c r="S47" s="55"/>
      <c r="T47" s="56" t="str">
        <f t="shared" si="6"/>
        <v xml:space="preserve">    - xform/》uan(\d)/u》a${1}n/</v>
      </c>
    </row>
    <row r="48" spans="1:20" ht="27.75" thickBot="1">
      <c r="A48" s="57">
        <f t="shared" si="0"/>
        <v>46</v>
      </c>
      <c r="B48" s="57" t="s">
        <v>877</v>
      </c>
      <c r="C48" s="57" t="s">
        <v>129</v>
      </c>
      <c r="D48" s="57" t="s">
        <v>129</v>
      </c>
      <c r="E48" s="57" t="str" cm="1">
        <f t="array" ref="E48" xml:space="preserve"> IFERROR( INDEX(韻母對照表[注音二式], MATCH(TRUE, EXACT('台語音標韻母清單【依字長反排序】 (2)'!$C45, 韻母對照表[台羅拼音]), 0)), "")</f>
        <v>uah</v>
      </c>
      <c r="F48" s="57" t="s">
        <v>827</v>
      </c>
      <c r="G48" s="59" t="str" cm="1">
        <f t="array" ref="G48" xml:space="preserve"> IFERROR( INDEX(韻母對照表[白話字], MATCH(TRUE, EXACT('台語音標韻母清單【依字長反排序】 (2)'!$C45, 韻母對照表[台羅拼音]), 0)), "")</f>
        <v>oah</v>
      </c>
      <c r="H48" s="54" t="str" cm="1">
        <f t="array" ref="H48" xml:space="preserve"> IFERROR( INDEX(韻母對照表[十五音識別碼], MATCH(TRUE, EXACT('台語音標韻母清單【依字長反排序】 (2)'!$C45, 韻母對照表[台羅拼音]), 0)), "")</f>
        <v>瓜促</v>
      </c>
      <c r="I48" s="57" t="str" cm="1">
        <f t="array" ref="I48" xml:space="preserve"> IFERROR( INDEX(韻母對照表[方音符號], MATCH(TRUE, EXACT('台語音標韻母清單【依字長反排序】 (2)'!$C45, 韻母對照表[台羅拼音]), 0)), "")</f>
        <v>ㄨㄚㆷ</v>
      </c>
      <c r="J48" s="73">
        <f t="shared" si="1"/>
        <v>3</v>
      </c>
      <c r="K48" s="73"/>
      <c r="L48" s="57" t="str">
        <f t="shared" si="2"/>
        <v>uat</v>
      </c>
      <c r="M48" s="57" t="str">
        <f t="shared" si="3"/>
        <v>uɑt</v>
      </c>
      <c r="O48" s="121" t="str">
        <f t="shared" si="4"/>
        <v>uat(\d)</v>
      </c>
      <c r="P48" s="124" t="s">
        <v>1225</v>
      </c>
      <c r="Q48" s="124">
        <f t="shared" si="5"/>
        <v>2</v>
      </c>
      <c r="R48" s="121" t="str">
        <f t="shared" si="7"/>
        <v>u》a${1}t</v>
      </c>
      <c r="S48" s="55"/>
      <c r="T48" s="56" t="str">
        <f t="shared" si="6"/>
        <v xml:space="preserve">    - xform/》uat(\d)/u》a${1}t/</v>
      </c>
    </row>
    <row r="49" spans="1:20" ht="27.75" thickBot="1">
      <c r="A49" s="57">
        <f t="shared" si="0"/>
        <v>47</v>
      </c>
      <c r="B49" s="57" t="s">
        <v>828</v>
      </c>
      <c r="C49" s="57" t="s">
        <v>290</v>
      </c>
      <c r="D49" s="57" t="s">
        <v>290</v>
      </c>
      <c r="E49" s="75" t="str" cm="1">
        <f t="array" ref="E49" xml:space="preserve"> IFERROR( INDEX(韻母對照表[注音二式], MATCH(TRUE, EXACT('台語音標韻母清單【依字長反排序】 (2)'!$C46, 韻母對照表[台羅拼音]), 0)), "")</f>
        <v>uai</v>
      </c>
      <c r="F49" s="57" t="s">
        <v>290</v>
      </c>
      <c r="G49" s="59" t="str" cm="1">
        <f t="array" ref="G49" xml:space="preserve"> IFERROR( INDEX(韻母對照表[白話字], MATCH(TRUE, EXACT('台語音標韻母清單【依字長反排序】 (2)'!$C46, 韻母對照表[台羅拼音]), 0)), "")</f>
        <v>oai</v>
      </c>
      <c r="H49" s="54" t="str" cm="1">
        <f t="array" ref="H49" xml:space="preserve"> IFERROR( INDEX(韻母對照表[十五音識別碼], MATCH(TRUE, EXACT('台語音標韻母清單【依字長反排序】 (2)'!$C46, 韻母對照表[台羅拼音]), 0)), "")</f>
        <v>乖舒</v>
      </c>
      <c r="I49" s="57" t="str" cm="1">
        <f t="array" ref="I49" xml:space="preserve"> IFERROR( INDEX(韻母對照表[方音符號], MATCH(TRUE, EXACT('台語音標韻母清單【依字長反排序】 (2)'!$C46, 韻母對照表[台羅拼音]), 0)), "")</f>
        <v>ㄨㄞ</v>
      </c>
      <c r="J49" s="73">
        <f t="shared" si="1"/>
        <v>3</v>
      </c>
      <c r="K49" s="73"/>
      <c r="L49" s="57" t="str">
        <f t="shared" si="2"/>
        <v>ueh</v>
      </c>
      <c r="M49" s="57" t="str">
        <f t="shared" si="3"/>
        <v>ueh</v>
      </c>
      <c r="O49" s="121" t="str">
        <f t="shared" si="4"/>
        <v>ueh(\d)</v>
      </c>
      <c r="P49" s="124" t="s">
        <v>1178</v>
      </c>
      <c r="Q49" s="124">
        <f t="shared" si="5"/>
        <v>2</v>
      </c>
      <c r="R49" s="121" t="str">
        <f t="shared" si="7"/>
        <v>u》e${1}h</v>
      </c>
      <c r="S49" s="55"/>
      <c r="T49" s="56" t="str">
        <f t="shared" si="6"/>
        <v xml:space="preserve">    - xform/》ueh(\d)/u》e${1}h/</v>
      </c>
    </row>
    <row r="50" spans="1:20" ht="27.75" thickBot="1">
      <c r="A50" s="57">
        <f t="shared" si="0"/>
        <v>48</v>
      </c>
      <c r="B50" s="57" t="s">
        <v>294</v>
      </c>
      <c r="C50" s="57" t="s">
        <v>297</v>
      </c>
      <c r="D50" s="57" t="s">
        <v>297</v>
      </c>
      <c r="E50" s="57" t="str" cm="1">
        <f t="array" ref="E50" xml:space="preserve"> IFERROR( INDEX(韻母對照表[注音二式], MATCH(TRUE, EXACT('台語音標韻母清單【依字長反排序】 (2)'!$C69, 韻母對照表[台羅拼音]), 0)), "")</f>
        <v>ik</v>
      </c>
      <c r="F50" s="57" t="s">
        <v>299</v>
      </c>
      <c r="G50" s="60" t="str" cm="1">
        <f t="array" ref="G50" xml:space="preserve"> IFERROR( INDEX(韻母對照表[白話字], MATCH(TRUE, EXACT('台語音標韻母清單【依字長反排序】 (2)'!$C69, 韻母對照表[台羅拼音]), 0)), "")</f>
        <v>ek</v>
      </c>
      <c r="H50" s="54" t="str" cm="1">
        <f t="array" ref="H50" xml:space="preserve"> IFERROR( INDEX(韻母對照表[十五音識別碼], MATCH(TRUE, EXACT('台語音標韻母清單【依字長反排序】 (2)'!$C69, 韻母對照表[台羅拼音]), 0)), "")</f>
        <v>經促</v>
      </c>
      <c r="I50" s="57" t="str" cm="1">
        <f t="array" ref="I50" xml:space="preserve"> IFERROR( INDEX(韻母對照表[方音符號], MATCH(TRUE, EXACT('台語音標韻母清單【依字長反排序】 (2)'!$C69, 韻母對照表[台羅拼音]), 0)), "")</f>
        <v>ㄧㆻ</v>
      </c>
      <c r="J50" s="73">
        <f t="shared" si="1"/>
        <v>3</v>
      </c>
      <c r="K50" s="73"/>
      <c r="L50" s="57" t="str">
        <f t="shared" si="2"/>
        <v>ann</v>
      </c>
      <c r="M50" s="57" t="str">
        <f t="shared" si="3"/>
        <v>na</v>
      </c>
      <c r="O50" s="121" t="str">
        <f t="shared" si="4"/>
        <v>ann(\d)</v>
      </c>
      <c r="P50" s="124" t="s">
        <v>1225</v>
      </c>
      <c r="Q50" s="124">
        <f t="shared" si="5"/>
        <v>1</v>
      </c>
      <c r="R50" s="121" t="str">
        <f t="shared" si="7"/>
        <v>》a${1}nn</v>
      </c>
      <c r="S50" s="55"/>
      <c r="T50" s="56" t="str">
        <f t="shared" si="6"/>
        <v xml:space="preserve">    - xform/》ann(\d)/》a${1}nn/</v>
      </c>
    </row>
    <row r="51" spans="1:20" ht="27.75" thickBot="1">
      <c r="A51" s="57">
        <f t="shared" si="0"/>
        <v>49</v>
      </c>
      <c r="B51" s="57" t="s">
        <v>848</v>
      </c>
      <c r="C51" s="57" t="s">
        <v>370</v>
      </c>
      <c r="D51" s="57" t="s">
        <v>370</v>
      </c>
      <c r="E51" s="75" t="str" cm="1">
        <f t="array" ref="E51" xml:space="preserve"> IFERROR( INDEX(韻母對照表[注音二式], MATCH(TRUE, EXACT('台語音標韻母清單【依字長反排序】 (2)'!$C71, 韻母對照表[台羅拼音]), 0)), "")</f>
        <v>in</v>
      </c>
      <c r="F51" s="57" t="s">
        <v>372</v>
      </c>
      <c r="G51" s="60" t="str" cm="1">
        <f t="array" ref="G51" xml:space="preserve"> IFERROR( INDEX(韻母對照表[白話字], MATCH(TRUE, EXACT('台語音標韻母清單【依字長反排序】 (2)'!$C71, 韻母對照表[台羅拼音]), 0)), "")</f>
        <v>in</v>
      </c>
      <c r="H51" s="54" t="str" cm="1">
        <f t="array" ref="H51" xml:space="preserve"> IFERROR( INDEX(韻母對照表[十五音識別碼], MATCH(TRUE, EXACT('台語音標韻母清單【依字長反排序】 (2)'!$C71, 韻母對照表[台羅拼音]), 0)), "")</f>
        <v>巾舒</v>
      </c>
      <c r="I51" s="57" t="str" cm="1">
        <f t="array" ref="I51" xml:space="preserve"> IFERROR( INDEX(韻母對照表[方音符號], MATCH(TRUE, EXACT('台語音標韻母清單【依字長反排序】 (2)'!$C71, 韻母對照表[台羅拼音]), 0)), "")</f>
        <v>ㄧㄣ</v>
      </c>
      <c r="J51" s="73">
        <f t="shared" si="1"/>
        <v>3</v>
      </c>
      <c r="K51" s="73"/>
      <c r="L51" s="57" t="str">
        <f t="shared" si="2"/>
        <v>inn</v>
      </c>
      <c r="M51" s="57" t="str">
        <f t="shared" si="3"/>
        <v>ni</v>
      </c>
      <c r="O51" s="121" t="str">
        <f t="shared" si="4"/>
        <v>inn(\d)</v>
      </c>
      <c r="P51" s="124" t="s">
        <v>1226</v>
      </c>
      <c r="Q51" s="124">
        <f t="shared" si="5"/>
        <v>1</v>
      </c>
      <c r="R51" s="121" t="str">
        <f t="shared" si="7"/>
        <v>》i${1}nn</v>
      </c>
      <c r="S51" s="55"/>
      <c r="T51" s="56" t="str">
        <f t="shared" si="6"/>
        <v xml:space="preserve">    - xform/》inn(\d)/》i${1}nn/</v>
      </c>
    </row>
    <row r="52" spans="1:20" ht="27.75" thickBot="1">
      <c r="A52" s="57">
        <f t="shared" si="0"/>
        <v>50</v>
      </c>
      <c r="B52" s="74" t="s">
        <v>861</v>
      </c>
      <c r="C52" s="57" t="s">
        <v>862</v>
      </c>
      <c r="D52" s="57" t="s">
        <v>862</v>
      </c>
      <c r="E52" s="75" t="str" cm="1">
        <f t="array" ref="E52" xml:space="preserve"> IFERROR( INDEX(韻母對照表[注音二式], MATCH(TRUE, EXACT('台語音標韻母清單【依字長反排序】 (2)'!$C94, 韻母對照表[台羅拼音]), 0)), "")</f>
        <v>a</v>
      </c>
      <c r="F52" s="57" t="str" cm="1">
        <f t="array" ref="F52" xml:space="preserve"> IFERROR( INDEX(韻母對照表[閩拼方案], MATCH(TRUE, EXACT('台語音標韻母清單【依字長反排序】 (2)'!$B94, 韻母對照表[國際音標]), 0)), "")</f>
        <v>a</v>
      </c>
      <c r="G52" s="61" t="str" cm="1">
        <f t="array" ref="G52" xml:space="preserve"> IFERROR( INDEX(韻母對照表[白話字], MATCH(TRUE, EXACT('台語音標韻母清單【依字長反排序】 (2)'!$C94, 韻母對照表[台羅拼音]), 0)), "")</f>
        <v>a</v>
      </c>
      <c r="H52" s="54" t="str" cm="1">
        <f t="array" ref="H52" xml:space="preserve"> IFERROR( INDEX(韻母對照表[十五音識別碼], MATCH(TRUE, EXACT('台語音標韻母清單【依字長反排序】 (2)'!$C94, 韻母對照表[台羅拼音]), 0)), "")</f>
        <v>膠舒</v>
      </c>
      <c r="I52" s="57" t="str" cm="1">
        <f t="array" ref="I52" xml:space="preserve"> IFERROR( INDEX(韻母對照表[方音符號], MATCH(TRUE, EXACT('台語音標韻母清單【依字長反排序】 (2)'!$C94, 韻母對照表[台羅拼音]), 0)), "")</f>
        <v>ㄚ</v>
      </c>
      <c r="J52" s="73">
        <f t="shared" si="1"/>
        <v>3</v>
      </c>
      <c r="K52" s="73"/>
      <c r="L52" s="57" t="str">
        <f t="shared" si="2"/>
        <v>uae</v>
      </c>
      <c r="M52" s="57" t="str">
        <f t="shared" si="3"/>
        <v>a</v>
      </c>
      <c r="O52" s="121" t="str">
        <f t="shared" si="4"/>
        <v>uae(\d)</v>
      </c>
      <c r="P52" s="124" t="s">
        <v>1225</v>
      </c>
      <c r="Q52" s="124">
        <f t="shared" si="5"/>
        <v>2</v>
      </c>
      <c r="R52" s="121" t="str">
        <f t="shared" si="7"/>
        <v>u》a${1}e</v>
      </c>
      <c r="S52" s="55"/>
      <c r="T52" s="56" t="str">
        <f t="shared" si="6"/>
        <v xml:space="preserve">    - xform/》uae(\d)/u》a${1}e/</v>
      </c>
    </row>
    <row r="53" spans="1:20" ht="27.75" thickBot="1">
      <c r="A53" s="57">
        <f t="shared" si="0"/>
        <v>51</v>
      </c>
      <c r="B53" s="74" t="s">
        <v>866</v>
      </c>
      <c r="C53" s="57" t="s">
        <v>867</v>
      </c>
      <c r="D53" s="57" t="s">
        <v>867</v>
      </c>
      <c r="E53" s="61" t="str" cm="1">
        <f t="array" ref="E53" xml:space="preserve"> IFERROR( INDEX(韻母對照表[注音二式], MATCH(TRUE, EXACT('台語音標韻母清單【依字長反排序】 (2)'!$C97, 韻母對照表[台羅拼音]), 0)), "")</f>
        <v>m</v>
      </c>
      <c r="F53" s="57" t="str" cm="1">
        <f t="array" ref="F53" xml:space="preserve"> IFERROR( INDEX(韻母對照表[閩拼方案], MATCH(TRUE, EXACT('台語音標韻母清單【依字長反排序】 (2)'!$B97, 韻母對照表[國際音標]), 0)), "")</f>
        <v>m</v>
      </c>
      <c r="G53" s="61" t="str" cm="1">
        <f t="array" ref="G53" xml:space="preserve"> IFERROR( INDEX(韻母對照表[白話字], MATCH(TRUE, EXACT('台語音標韻母清單【依字長反排序】 (2)'!$C97, 韻母對照表[台羅拼音]), 0)), "")</f>
        <v>m</v>
      </c>
      <c r="H53" s="54" t="str" cm="1">
        <f t="array" ref="H53" xml:space="preserve"> IFERROR( INDEX(韻母對照表[十五音識別碼], MATCH(TRUE, EXACT('台語音標韻母清單【依字長反排序】 (2)'!$C97, 韻母對照表[台羅拼音]), 0)), "")</f>
        <v>姆舒</v>
      </c>
      <c r="I53" s="57" t="str" cm="1">
        <f t="array" ref="I53" xml:space="preserve"> IFERROR( INDEX(韻母對照表[方音符號], MATCH(TRUE, EXACT('台語音標韻母清單【依字長反排序】 (2)'!$C97, 韻母對照表[台羅拼音]), 0)), "")</f>
        <v>ㆬ</v>
      </c>
      <c r="J53" s="73">
        <f t="shared" si="1"/>
        <v>3</v>
      </c>
      <c r="K53" s="73"/>
      <c r="L53" s="57" t="str">
        <f t="shared" si="2"/>
        <v>ioo</v>
      </c>
      <c r="M53" s="57" t="str">
        <f t="shared" si="3"/>
        <v>m</v>
      </c>
      <c r="O53" s="121" t="str">
        <f t="shared" si="4"/>
        <v>ioo(\d)</v>
      </c>
      <c r="P53" s="124" t="s">
        <v>1226</v>
      </c>
      <c r="Q53" s="124">
        <f t="shared" si="5"/>
        <v>1</v>
      </c>
      <c r="R53" s="121" t="str">
        <f t="shared" si="7"/>
        <v>》i${1}oo</v>
      </c>
      <c r="S53" s="55"/>
      <c r="T53" s="56" t="str">
        <f t="shared" si="6"/>
        <v xml:space="preserve">    - xform/》ioo(\d)/》i${1}oo/</v>
      </c>
    </row>
    <row r="54" spans="1:20" ht="27.75" thickBot="1">
      <c r="A54" s="57">
        <f t="shared" si="0"/>
        <v>52</v>
      </c>
      <c r="B54" s="74" t="s">
        <v>868</v>
      </c>
      <c r="C54" s="57" t="s">
        <v>110</v>
      </c>
      <c r="D54" s="57" t="s">
        <v>110</v>
      </c>
      <c r="E54" s="75" t="str" cm="1">
        <f t="array" ref="E54" xml:space="preserve"> IFERROR( INDEX(韻母對照表[注音二式], MATCH(TRUE, EXACT('台語音標韻母清單【依字長反排序】 (2)'!$C98, 韻母對照表[台羅拼音]), 0)), "")</f>
        <v>or</v>
      </c>
      <c r="F54" s="57" t="str" cm="1">
        <f t="array" ref="F54" xml:space="preserve"> IFERROR( INDEX(韻母對照表[閩拼方案], MATCH(TRUE, EXACT('台語音標韻母清單【依字長反排序】 (2)'!$B98, 韻母對照表[國際音標]), 0)), "")</f>
        <v/>
      </c>
      <c r="G54" s="59" t="str" cm="1">
        <f t="array" ref="G54" xml:space="preserve"> IFERROR( INDEX(韻母對照表[白話字], MATCH(TRUE, EXACT('台語音標韻母清單【依字長反排序】 (2)'!$C98, 韻母對照表[台羅拼音]), 0)), "")</f>
        <v>o</v>
      </c>
      <c r="H54" s="54" t="str" cm="1">
        <f t="array" ref="H54" xml:space="preserve"> IFERROR( INDEX(韻母對照表[十五音識別碼], MATCH(TRUE, EXACT('台語音標韻母清單【依字長反排序】 (2)'!$C98, 韻母對照表[台羅拼音]), 0)), "")</f>
        <v>高舒</v>
      </c>
      <c r="I54" s="57" t="str" cm="1">
        <f t="array" ref="I54" xml:space="preserve"> IFERROR( INDEX(韻母對照表[方音符號], MATCH(TRUE, EXACT('台語音標韻母清單【依字長反排序】 (2)'!$C98, 韻母對照表[台羅拼音]), 0)), "")</f>
        <v>ㄜ</v>
      </c>
      <c r="J54" s="73">
        <f t="shared" si="1"/>
        <v>3</v>
      </c>
      <c r="K54" s="73"/>
      <c r="L54" s="57" t="str">
        <f t="shared" si="2"/>
        <v>eng</v>
      </c>
      <c r="M54" s="57" t="str">
        <f t="shared" si="3"/>
        <v/>
      </c>
      <c r="O54" s="121" t="str">
        <f t="shared" si="4"/>
        <v>eng(\d)</v>
      </c>
      <c r="P54" s="124" t="s">
        <v>1178</v>
      </c>
      <c r="Q54" s="124">
        <f t="shared" si="5"/>
        <v>1</v>
      </c>
      <c r="R54" s="121" t="str">
        <f t="shared" si="7"/>
        <v>》e${1}ng</v>
      </c>
      <c r="S54" s="55"/>
      <c r="T54" s="56" t="str">
        <f t="shared" si="6"/>
        <v/>
      </c>
    </row>
    <row r="55" spans="1:20" ht="27.75" thickBot="1">
      <c r="A55" s="57">
        <f t="shared" si="0"/>
        <v>53</v>
      </c>
      <c r="B55" s="57" t="s">
        <v>56</v>
      </c>
      <c r="C55" s="57" t="s">
        <v>59</v>
      </c>
      <c r="D55" s="57" t="s">
        <v>59</v>
      </c>
      <c r="E55" s="57" t="str" cm="1">
        <f t="array" ref="E55" xml:space="preserve"> IFERROR( INDEX(韻母對照表[注音二式], MATCH(TRUE, EXACT('台語音標韻母清單【依字長反排序】 (2)'!$C47, 韻母對照表[台羅拼音]), 0)), "")</f>
        <v>uan</v>
      </c>
      <c r="F55" s="57" t="s">
        <v>829</v>
      </c>
      <c r="G55" s="61"/>
      <c r="H55" s="54" t="str" cm="1">
        <f t="array" ref="H55" xml:space="preserve"> IFERROR( INDEX(韻母對照表[十五音識別碼], MATCH(TRUE, EXACT('台語音標韻母清單【依字長反排序】 (2)'!$C47, 韻母對照表[台羅拼音]), 0)), "")</f>
        <v>觀舒</v>
      </c>
      <c r="I55" s="57" t="str" cm="1">
        <f t="array" ref="I55" xml:space="preserve"> IFERROR( INDEX(韻母對照表[方音符號], MATCH(TRUE, EXACT('台語音標韻母清單【依字長反排序】 (2)'!$C47, 韻母對照表[台羅拼音]), 0)), "")</f>
        <v>ㄨㄢ</v>
      </c>
      <c r="J55" s="73">
        <f t="shared" si="1"/>
        <v>2</v>
      </c>
      <c r="K55" s="73"/>
      <c r="L55" s="57" t="str">
        <f t="shared" si="2"/>
        <v>ee</v>
      </c>
      <c r="M55" s="57" t="str">
        <f t="shared" si="3"/>
        <v>ɑe</v>
      </c>
      <c r="O55" s="121" t="str">
        <f t="shared" si="4"/>
        <v>ee(\d)</v>
      </c>
      <c r="P55" s="124" t="s">
        <v>1178</v>
      </c>
      <c r="Q55" s="124">
        <f t="shared" si="5"/>
        <v>1</v>
      </c>
      <c r="R55" s="121" t="str">
        <f t="shared" si="7"/>
        <v>》e${1}e</v>
      </c>
      <c r="S55" s="55"/>
      <c r="T55" s="56" t="str">
        <f t="shared" si="6"/>
        <v xml:space="preserve">    - xform/》ee(\d)/》e${1}e/</v>
      </c>
    </row>
    <row r="56" spans="1:20" ht="27.75" thickBot="1">
      <c r="A56" s="57">
        <f t="shared" si="0"/>
        <v>54</v>
      </c>
      <c r="B56" s="57" t="s">
        <v>830</v>
      </c>
      <c r="C56" s="57" t="s">
        <v>321</v>
      </c>
      <c r="D56" s="57" t="s">
        <v>321</v>
      </c>
      <c r="E56" s="57" t="str" cm="1">
        <f t="array" ref="E56" xml:space="preserve"> IFERROR( INDEX(韻母對照表[注音二式], MATCH(TRUE, EXACT('台語音標韻母清單【依字長反排序】 (2)'!$C48, 韻母對照表[台羅拼音]), 0)), "")</f>
        <v>uat</v>
      </c>
      <c r="F56" s="57" t="s">
        <v>831</v>
      </c>
      <c r="G56" s="60" t="str" cm="1">
        <f t="array" ref="G56" xml:space="preserve"> IFERROR( INDEX(韻母對照表[白話字], MATCH(TRUE, EXACT('台語音標韻母清單【依字長反排序】 (2)'!$C48, 韻母對照表[台羅拼音]), 0)), "")</f>
        <v>oat</v>
      </c>
      <c r="H56" s="54" t="str" cm="1">
        <f t="array" ref="H56" xml:space="preserve"> IFERROR( INDEX(韻母對照表[十五音識別碼], MATCH(TRUE, EXACT('台語音標韻母清單【依字長反排序】 (2)'!$C48, 韻母對照表[台羅拼音]), 0)), "")</f>
        <v>觀促</v>
      </c>
      <c r="I56" s="57" t="str" cm="1">
        <f t="array" ref="I56" xml:space="preserve"> IFERROR( INDEX(韻母對照表[方音符號], MATCH(TRUE, EXACT('台語音標韻母清單【依字長反排序】 (2)'!$C48, 韻母對照表[台羅拼音]), 0)), "")</f>
        <v>ㄨㄚㆵ</v>
      </c>
      <c r="J56" s="73">
        <f t="shared" si="1"/>
        <v>2</v>
      </c>
      <c r="K56" s="73"/>
      <c r="L56" s="57" t="str">
        <f t="shared" si="2"/>
        <v>ah</v>
      </c>
      <c r="M56" s="57" t="str">
        <f t="shared" si="3"/>
        <v>ɑh</v>
      </c>
      <c r="O56" s="121" t="str">
        <f t="shared" si="4"/>
        <v>ah(\d)</v>
      </c>
      <c r="P56" s="124" t="s">
        <v>1225</v>
      </c>
      <c r="Q56" s="124">
        <f t="shared" si="5"/>
        <v>1</v>
      </c>
      <c r="R56" s="121" t="str">
        <f t="shared" si="7"/>
        <v>》a${1}h</v>
      </c>
      <c r="S56" s="55"/>
      <c r="T56" s="56" t="str">
        <f t="shared" si="6"/>
        <v xml:space="preserve">    - xform/》ah(\d)/》a${1}h/</v>
      </c>
    </row>
    <row r="57" spans="1:20" ht="27.75" thickBot="1">
      <c r="A57" s="57">
        <f t="shared" si="0"/>
        <v>55</v>
      </c>
      <c r="B57" s="57" t="s">
        <v>183</v>
      </c>
      <c r="C57" s="57" t="s">
        <v>183</v>
      </c>
      <c r="D57" s="57" t="s">
        <v>183</v>
      </c>
      <c r="E57" s="57" t="str" cm="1">
        <f t="array" ref="E57" xml:space="preserve"> IFERROR( INDEX(韻母對照表[注音二式], MATCH(TRUE, EXACT('台語音標韻母清單【依字長反排序】 (2)'!$C49, 韻母對照表[台羅拼音]), 0)), "")</f>
        <v>ueh</v>
      </c>
      <c r="F57" s="57" t="s">
        <v>183</v>
      </c>
      <c r="G57" s="60" t="str" cm="1">
        <f t="array" ref="G57" xml:space="preserve"> IFERROR( INDEX(韻母對照表[白話字], MATCH(TRUE, EXACT('台語音標韻母清單【依字長反排序】 (2)'!$C49, 韻母對照表[台羅拼音]), 0)), "")</f>
        <v>oeh</v>
      </c>
      <c r="H57" s="54" t="str" cm="1">
        <f t="array" ref="H57" xml:space="preserve"> IFERROR( INDEX(韻母對照表[十五音識別碼], MATCH(TRUE, EXACT('台語音標韻母清單【依字長反排序】 (2)'!$C49, 韻母對照表[台羅拼音]), 0)), "")</f>
        <v>檜促</v>
      </c>
      <c r="I57" s="57" t="str" cm="1">
        <f t="array" ref="I57" xml:space="preserve"> IFERROR( INDEX(韻母對照表[方音符號], MATCH(TRUE, EXACT('台語音標韻母清單【依字長反排序】 (2)'!$C49, 韻母對照表[台羅拼音]), 0)), "")</f>
        <v>ㄨㆤㆷ</v>
      </c>
      <c r="J57" s="73">
        <f t="shared" si="1"/>
        <v>2</v>
      </c>
      <c r="K57" s="73"/>
      <c r="L57" s="57" t="str">
        <f t="shared" si="2"/>
        <v>ai</v>
      </c>
      <c r="M57" s="57" t="str">
        <f t="shared" si="3"/>
        <v>ai</v>
      </c>
      <c r="O57" s="121" t="str">
        <f t="shared" si="4"/>
        <v>ai(\d)</v>
      </c>
      <c r="P57" s="124" t="s">
        <v>1225</v>
      </c>
      <c r="Q57" s="124">
        <f t="shared" si="5"/>
        <v>1</v>
      </c>
      <c r="R57" s="121" t="str">
        <f t="shared" si="7"/>
        <v>》a${1}i</v>
      </c>
      <c r="S57" s="55"/>
      <c r="T57" s="56" t="str">
        <f t="shared" si="6"/>
        <v xml:space="preserve">    - xform/》ai(\d)/》a${1}i/</v>
      </c>
    </row>
    <row r="58" spans="1:20" ht="27.75" thickBot="1">
      <c r="A58" s="57">
        <f t="shared" si="0"/>
        <v>56</v>
      </c>
      <c r="B58" s="57" t="s">
        <v>886</v>
      </c>
      <c r="C58" s="57" t="s">
        <v>243</v>
      </c>
      <c r="D58" s="57" t="s">
        <v>243</v>
      </c>
      <c r="E58" s="75" t="str" cm="1">
        <f t="array" ref="E58" xml:space="preserve"> IFERROR( INDEX(韻母對照表[注音二式], MATCH(TRUE, EXACT('台語音標韻母清單【依字長反排序】 (2)'!$C50, 韻母對照表[台羅拼音]), 0)), "")</f>
        <v>ann</v>
      </c>
      <c r="F58" s="57" t="s">
        <v>832</v>
      </c>
      <c r="G58" s="60" t="str" cm="1">
        <f t="array" ref="G58" xml:space="preserve"> IFERROR( INDEX(韻母對照表[白話字], MATCH(TRUE, EXACT('台語音標韻母清單【依字長反排序】 (2)'!$C50, 韻母對照表[台羅拼音]), 0)), "")</f>
        <v>aⁿ</v>
      </c>
      <c r="H58" s="54" t="str" cm="1">
        <f t="array" ref="H58" xml:space="preserve"> IFERROR( INDEX(韻母對照表[十五音識別碼], MATCH(TRUE, EXACT('台語音標韻母清單【依字長反排序】 (2)'!$C50, 韻母對照表[台羅拼音]), 0)), "")</f>
        <v>監舒</v>
      </c>
      <c r="I58" s="57" t="str" cm="1">
        <f t="array" ref="I58" xml:space="preserve"> IFERROR( INDEX(韻母對照表[方音符號], MATCH(TRUE, EXACT('台語音標韻母清單【依字長反排序】 (2)'!$C50, 韻母對照表[台羅拼音]), 0)), "")</f>
        <v>ㆩ</v>
      </c>
      <c r="J58" s="73">
        <f t="shared" si="1"/>
        <v>2</v>
      </c>
      <c r="K58" s="73"/>
      <c r="L58" s="57" t="str">
        <f t="shared" si="2"/>
        <v>ak</v>
      </c>
      <c r="M58" s="57" t="str">
        <f t="shared" si="3"/>
        <v>ɑk</v>
      </c>
      <c r="O58" s="121" t="str">
        <f t="shared" si="4"/>
        <v>ak(\d)</v>
      </c>
      <c r="P58" s="124" t="s">
        <v>1225</v>
      </c>
      <c r="Q58" s="124">
        <f t="shared" si="5"/>
        <v>1</v>
      </c>
      <c r="R58" s="121" t="str">
        <f t="shared" si="7"/>
        <v>》a${1}k</v>
      </c>
      <c r="S58" s="55"/>
      <c r="T58" s="56" t="str">
        <f t="shared" si="6"/>
        <v xml:space="preserve">    - xform/》ak(\d)/》a${1}k/</v>
      </c>
    </row>
    <row r="59" spans="1:20" ht="27.75" thickBot="1">
      <c r="A59" s="57">
        <f t="shared" si="0"/>
        <v>57</v>
      </c>
      <c r="B59" s="57" t="s">
        <v>211</v>
      </c>
      <c r="C59" s="57" t="s">
        <v>211</v>
      </c>
      <c r="D59" s="57" t="s">
        <v>211</v>
      </c>
      <c r="E59" s="57" t="str" cm="1">
        <f t="array" ref="E59" xml:space="preserve"> IFERROR( INDEX(韻母對照表[注音二式], MATCH(TRUE, EXACT('台語音標韻母清單【依字長反排序】 (2)'!$C51, 韻母對照表[台羅拼音]), 0)), "")</f>
        <v>inn</v>
      </c>
      <c r="F59" s="57" t="s">
        <v>833</v>
      </c>
      <c r="G59" s="60" t="str" cm="1">
        <f t="array" ref="G59" xml:space="preserve"> IFERROR( INDEX(韻母對照表[白話字], MATCH(TRUE, EXACT('台語音標韻母清單【依字長反排序】 (2)'!$C51, 韻母對照表[台羅拼音]), 0)), "")</f>
        <v>iⁿ</v>
      </c>
      <c r="H59" s="54" t="str" cm="1">
        <f t="array" ref="H59" xml:space="preserve"> IFERROR( INDEX(韻母對照表[十五音識別碼], MATCH(TRUE, EXACT('台語音標韻母清單【依字長反排序】 (2)'!$C51, 韻母對照表[台羅拼音]), 0)), "")</f>
        <v>梔舒</v>
      </c>
      <c r="I59" s="57" t="str" cm="1">
        <f t="array" ref="I59" xml:space="preserve"> IFERROR( INDEX(韻母對照表[方音符號], MATCH(TRUE, EXACT('台語音標韻母清單【依字長反排序】 (2)'!$C51, 韻母對照表[台羅拼音]), 0)), "")</f>
        <v>ㆪ</v>
      </c>
      <c r="J59" s="73">
        <f t="shared" si="1"/>
        <v>2</v>
      </c>
      <c r="K59" s="73"/>
      <c r="L59" s="57" t="str">
        <f t="shared" si="2"/>
        <v>am</v>
      </c>
      <c r="M59" s="57" t="str">
        <f t="shared" si="3"/>
        <v>ɑm</v>
      </c>
      <c r="O59" s="121" t="str">
        <f t="shared" si="4"/>
        <v>am(\d)</v>
      </c>
      <c r="P59" s="124" t="s">
        <v>1225</v>
      </c>
      <c r="Q59" s="124">
        <f t="shared" si="5"/>
        <v>1</v>
      </c>
      <c r="R59" s="121" t="str">
        <f t="shared" si="7"/>
        <v>》a${1}m</v>
      </c>
      <c r="S59" s="55"/>
      <c r="T59" s="56" t="str">
        <f t="shared" si="6"/>
        <v xml:space="preserve">    - xform/》am(\d)/》a${1}m/</v>
      </c>
    </row>
    <row r="60" spans="1:20" ht="27.75" thickBot="1">
      <c r="A60" s="57">
        <f t="shared" si="0"/>
        <v>58</v>
      </c>
      <c r="B60" s="57" t="s">
        <v>69</v>
      </c>
      <c r="C60" s="57" t="s">
        <v>69</v>
      </c>
      <c r="D60" s="57" t="s">
        <v>69</v>
      </c>
      <c r="E60" s="57" t="str" cm="1">
        <f t="array" ref="E60" xml:space="preserve"> IFERROR( INDEX(韻母對照表[注音二式], MATCH(TRUE, EXACT('台語音標韻母清單【依字長反排序】 (2)'!$C52, 韻母對照表[台羅拼音]), 0)), "")</f>
        <v/>
      </c>
      <c r="F60" s="57" t="s">
        <v>834</v>
      </c>
      <c r="G60" s="60" t="str" cm="1">
        <f t="array" ref="G60" xml:space="preserve"> IFERROR( INDEX(韻母對照表[白話字], MATCH(TRUE, EXACT('台語音標韻母清單【依字長反排序】 (2)'!$C52, 韻母對照表[台羅拼音]), 0)), "")</f>
        <v/>
      </c>
      <c r="H60" s="54" t="str" cm="1">
        <f t="array" ref="H60" xml:space="preserve"> IFERROR( INDEX(韻母對照表[十五音識別碼], MATCH(TRUE, EXACT('台語音標韻母清單【依字長反排序】 (2)'!$C52, 韻母對照表[台羅拼音]), 0)), "")</f>
        <v/>
      </c>
      <c r="I60" s="57" t="str" cm="1">
        <f t="array" ref="I60" xml:space="preserve"> IFERROR( INDEX(韻母對照表[方音符號], MATCH(TRUE, EXACT('台語音標韻母清單【依字長反排序】 (2)'!$C52, 韻母對照表[台羅拼音]), 0)), "")</f>
        <v/>
      </c>
      <c r="J60" s="73">
        <f t="shared" si="1"/>
        <v>2</v>
      </c>
      <c r="K60" s="73"/>
      <c r="L60" s="57" t="str">
        <f t="shared" si="2"/>
        <v>an</v>
      </c>
      <c r="M60" s="57" t="str">
        <f t="shared" si="3"/>
        <v>ɑn</v>
      </c>
      <c r="O60" s="121" t="str">
        <f t="shared" si="4"/>
        <v>an(\d)</v>
      </c>
      <c r="P60" s="124" t="s">
        <v>1225</v>
      </c>
      <c r="Q60" s="124">
        <f t="shared" si="5"/>
        <v>1</v>
      </c>
      <c r="R60" s="121" t="str">
        <f t="shared" si="7"/>
        <v>》a${1}n</v>
      </c>
      <c r="S60" s="55"/>
      <c r="T60" s="56" t="str">
        <f t="shared" si="6"/>
        <v xml:space="preserve">    - xform/》an(\d)/》a${1}n/</v>
      </c>
    </row>
    <row r="61" spans="1:20" ht="27.75" thickBot="1">
      <c r="A61" s="57">
        <f t="shared" si="0"/>
        <v>59</v>
      </c>
      <c r="B61" s="57" t="s">
        <v>260</v>
      </c>
      <c r="C61" s="57" t="s">
        <v>260</v>
      </c>
      <c r="D61" s="57" t="s">
        <v>260</v>
      </c>
      <c r="E61" s="57" t="str" cm="1">
        <f t="array" ref="E61" xml:space="preserve"> IFERROR( INDEX(韻母對照表[注音二式], MATCH(TRUE, EXACT('台語音標韻母清單【依字長反排序】 (2)'!$C53, 韻母對照表[台羅拼音]), 0)), "")</f>
        <v/>
      </c>
      <c r="F61" s="57" t="s">
        <v>263</v>
      </c>
      <c r="G61" s="59" t="str" cm="1">
        <f t="array" ref="G61" xml:space="preserve"> IFERROR( INDEX(韻母對照表[白話字], MATCH(TRUE, EXACT('台語音標韻母清單【依字長反排序】 (2)'!$C53, 韻母對照表[台羅拼音]), 0)), "")</f>
        <v/>
      </c>
      <c r="H61" s="54" t="str" cm="1">
        <f t="array" ref="H61" xml:space="preserve"> IFERROR( INDEX(韻母對照表[十五音識別碼], MATCH(TRUE, EXACT('台語音標韻母清單【依字長反排序】 (2)'!$C53, 韻母對照表[台羅拼音]), 0)), "")</f>
        <v/>
      </c>
      <c r="I61" s="57" t="str" cm="1">
        <f t="array" ref="I61" xml:space="preserve"> IFERROR( INDEX(韻母對照表[方音符號], MATCH(TRUE, EXACT('台語音標韻母清單【依字長反排序】 (2)'!$C53, 韻母對照表[台羅拼音]), 0)), "")</f>
        <v/>
      </c>
      <c r="J61" s="73">
        <f t="shared" si="1"/>
        <v>2</v>
      </c>
      <c r="K61" s="73"/>
      <c r="L61" s="57" t="str">
        <f t="shared" si="2"/>
        <v>au</v>
      </c>
      <c r="M61" s="57" t="str">
        <f t="shared" si="3"/>
        <v>ao</v>
      </c>
      <c r="O61" s="121" t="str">
        <f t="shared" si="4"/>
        <v>au(\d)</v>
      </c>
      <c r="P61" s="124" t="s">
        <v>1225</v>
      </c>
      <c r="Q61" s="124">
        <f t="shared" si="5"/>
        <v>1</v>
      </c>
      <c r="R61" s="121" t="str">
        <f t="shared" si="7"/>
        <v>》a${1}u</v>
      </c>
      <c r="S61" s="55"/>
      <c r="T61" s="56" t="str">
        <f t="shared" si="6"/>
        <v xml:space="preserve">    - xform/》au(\d)/》a${1}u/</v>
      </c>
    </row>
    <row r="62" spans="1:20" ht="27.75" thickBot="1">
      <c r="A62" s="57">
        <f t="shared" si="0"/>
        <v>60</v>
      </c>
      <c r="B62" s="57" t="s">
        <v>882</v>
      </c>
      <c r="C62" s="57" t="s">
        <v>219</v>
      </c>
      <c r="D62" s="57" t="s">
        <v>219</v>
      </c>
      <c r="E62" s="57" t="str" cm="1">
        <f t="array" ref="E62" xml:space="preserve"> IFERROR( INDEX(韻母對照表[注音二式], MATCH(TRUE, EXACT('台語音標韻母清單【依字長反排序】 (2)'!$C54, 韻母對照表[台羅拼音]), 0)), "")</f>
        <v/>
      </c>
      <c r="F62" s="57" t="s">
        <v>835</v>
      </c>
      <c r="G62" s="60" t="str" cm="1">
        <f t="array" ref="G62" xml:space="preserve"> IFERROR( INDEX(韻母對照表[白話字], MATCH(TRUE, EXACT('台語音標韻母清單【依字長反排序】 (2)'!$C54, 韻母對照表[台羅拼音]), 0)), "")</f>
        <v/>
      </c>
      <c r="H62" s="54" t="str" cm="1">
        <f t="array" ref="H62" xml:space="preserve"> IFERROR( INDEX(韻母對照表[十五音識別碼], MATCH(TRUE, EXACT('台語音標韻母清單【依字長反排序】 (2)'!$C54, 韻母對照表[台羅拼音]), 0)), "")</f>
        <v/>
      </c>
      <c r="I62" s="57" t="str" cm="1">
        <f t="array" ref="I62" xml:space="preserve"> IFERROR( INDEX(韻母對照表[方音符號], MATCH(TRUE, EXACT('台語音標韻母清單【依字長反排序】 (2)'!$C54, 韻母對照表[台羅拼音]), 0)), "")</f>
        <v/>
      </c>
      <c r="J62" s="73">
        <f t="shared" si="1"/>
        <v>2</v>
      </c>
      <c r="K62" s="73"/>
      <c r="L62" s="57" t="str">
        <f t="shared" si="2"/>
        <v>ap</v>
      </c>
      <c r="M62" s="57" t="str">
        <f t="shared" si="3"/>
        <v>ɑp</v>
      </c>
      <c r="O62" s="121" t="str">
        <f t="shared" si="4"/>
        <v>ap(\d)</v>
      </c>
      <c r="P62" s="124" t="s">
        <v>1225</v>
      </c>
      <c r="Q62" s="124">
        <f t="shared" si="5"/>
        <v>1</v>
      </c>
      <c r="R62" s="121" t="str">
        <f t="shared" si="7"/>
        <v>》a${1}p</v>
      </c>
      <c r="S62" s="55"/>
      <c r="T62" s="56" t="str">
        <f t="shared" si="6"/>
        <v xml:space="preserve">    - xform/》ap(\d)/》a${1}p/</v>
      </c>
    </row>
    <row r="63" spans="1:20" ht="27.75" thickBot="1">
      <c r="A63" s="57">
        <f t="shared" si="0"/>
        <v>61</v>
      </c>
      <c r="B63" s="57" t="s">
        <v>878</v>
      </c>
      <c r="C63" s="57" t="s">
        <v>77</v>
      </c>
      <c r="D63" s="57" t="s">
        <v>77</v>
      </c>
      <c r="E63" s="57" t="str" cm="1">
        <f t="array" ref="E63" xml:space="preserve"> IFERROR( INDEX(韻母對照表[注音二式], MATCH(TRUE, EXACT('台語音標韻母清單【依字長反排序】 (2)'!$C55, 韻母對照表[台羅拼音]), 0)), "")</f>
        <v>e</v>
      </c>
      <c r="F63" s="57" t="s">
        <v>836</v>
      </c>
      <c r="G63" s="60" cm="1">
        <f t="array" ref="G63" xml:space="preserve"> IFERROR( INDEX(韻母對照表[白話字], MATCH(TRUE, EXACT('台語音標韻母清單【依字長反排序】 (2)'!$C55, 韻母對照表[台羅拼音]), 0)), "")</f>
        <v>0</v>
      </c>
      <c r="H63" s="54" t="str" cm="1">
        <f t="array" ref="H63" xml:space="preserve"> IFERROR( INDEX(韻母對照表[十五音識別碼], MATCH(TRUE, EXACT('台語音標韻母清單【依字長反排序】 (2)'!$C55, 韻母對照表[台羅拼音]), 0)), "")</f>
        <v>嘉舒</v>
      </c>
      <c r="I63" s="57" t="str" cm="1">
        <f t="array" ref="I63" xml:space="preserve"> IFERROR( INDEX(韻母對照表[方音符號], MATCH(TRUE, EXACT('台語音標韻母清單【依字長反排序】 (2)'!$C55, 韻母對照表[台羅拼音]), 0)), "")</f>
        <v>ㄝ</v>
      </c>
      <c r="J63" s="73">
        <f t="shared" si="1"/>
        <v>2</v>
      </c>
      <c r="K63" s="73"/>
      <c r="L63" s="57" t="str">
        <f t="shared" si="2"/>
        <v>at</v>
      </c>
      <c r="M63" s="57" t="str">
        <f t="shared" si="3"/>
        <v>ɑt</v>
      </c>
      <c r="O63" s="121" t="str">
        <f t="shared" si="4"/>
        <v>at(\d)</v>
      </c>
      <c r="P63" s="124" t="s">
        <v>1225</v>
      </c>
      <c r="Q63" s="124">
        <f t="shared" si="5"/>
        <v>1</v>
      </c>
      <c r="R63" s="121" t="str">
        <f t="shared" si="7"/>
        <v>》a${1}t</v>
      </c>
      <c r="S63" s="55"/>
      <c r="T63" s="56" t="str">
        <f t="shared" si="6"/>
        <v xml:space="preserve">    - xform/》at(\d)/》a${1}t/</v>
      </c>
    </row>
    <row r="64" spans="1:20" ht="27.75" thickBot="1">
      <c r="A64" s="57">
        <f t="shared" si="0"/>
        <v>62</v>
      </c>
      <c r="B64" s="57" t="s">
        <v>837</v>
      </c>
      <c r="C64" s="57" t="s">
        <v>65</v>
      </c>
      <c r="D64" s="57" t="s">
        <v>65</v>
      </c>
      <c r="E64" s="57" t="str" cm="1">
        <f t="array" ref="E64" xml:space="preserve"> IFERROR( INDEX(韻母對照表[注音二式], MATCH(TRUE, EXACT('台語音標韻母清單【依字長反排序】 (2)'!$C56, 韻母對照表[台羅拼音]), 0)), "")</f>
        <v>ah</v>
      </c>
      <c r="F64" s="57" t="s">
        <v>65</v>
      </c>
      <c r="G64" s="60" t="str" cm="1">
        <f t="array" ref="G64" xml:space="preserve"> IFERROR( INDEX(韻母對照表[白話字], MATCH(TRUE, EXACT('台語音標韻母清單【依字長反排序】 (2)'!$C56, 韻母對照表[台羅拼音]), 0)), "")</f>
        <v>ah</v>
      </c>
      <c r="H64" s="54" t="str" cm="1">
        <f t="array" ref="H64" xml:space="preserve"> IFERROR( INDEX(韻母對照表[十五音識別碼], MATCH(TRUE, EXACT('台語音標韻母清單【依字長反排序】 (2)'!$C56, 韻母對照表[台羅拼音]), 0)), "")</f>
        <v>膠促</v>
      </c>
      <c r="I64" s="57" t="str" cm="1">
        <f t="array" ref="I64" xml:space="preserve"> IFERROR( INDEX(韻母對照表[方音符號], MATCH(TRUE, EXACT('台語音標韻母清單【依字長反排序】 (2)'!$C56, 韻母對照表[台羅拼音]), 0)), "")</f>
        <v>ㄚㆷ</v>
      </c>
      <c r="J64" s="73">
        <f t="shared" si="1"/>
        <v>2</v>
      </c>
      <c r="K64" s="73"/>
      <c r="L64" s="57" t="str">
        <f t="shared" si="2"/>
        <v>eh</v>
      </c>
      <c r="M64" s="57" t="str">
        <f t="shared" si="3"/>
        <v>eh</v>
      </c>
      <c r="O64" s="121" t="str">
        <f t="shared" si="4"/>
        <v>eh(\d)</v>
      </c>
      <c r="P64" s="124" t="s">
        <v>1178</v>
      </c>
      <c r="Q64" s="124">
        <f t="shared" si="5"/>
        <v>1</v>
      </c>
      <c r="R64" s="121" t="str">
        <f t="shared" si="7"/>
        <v>》e${1}h</v>
      </c>
      <c r="S64" s="55"/>
      <c r="T64" s="56" t="str">
        <f t="shared" si="6"/>
        <v xml:space="preserve">    - xform/》eh(\d)/》e${1}h/</v>
      </c>
    </row>
    <row r="65" spans="1:20" ht="27.75" thickBot="1">
      <c r="A65" s="57">
        <f t="shared" si="0"/>
        <v>63</v>
      </c>
      <c r="B65" s="74" t="s">
        <v>838</v>
      </c>
      <c r="C65" s="57" t="s">
        <v>839</v>
      </c>
      <c r="D65" s="57" t="s">
        <v>839</v>
      </c>
      <c r="E65" s="61" t="str" cm="1">
        <f t="array" ref="E65" xml:space="preserve"> IFERROR( INDEX(韻母對照表[注音二式], MATCH(TRUE, EXACT('台語音標韻母清單【依字長反排序】 (2)'!$C57, 韻母對照表[台羅拼音]), 0)), "")</f>
        <v>ai</v>
      </c>
      <c r="F65" s="57" t="s">
        <v>840</v>
      </c>
      <c r="G65" s="61" t="str" cm="1">
        <f t="array" ref="G65" xml:space="preserve"> IFERROR( INDEX(韻母對照表[白話字], MATCH(TRUE, EXACT('台語音標韻母清單【依字長反排序】 (2)'!$C57, 韻母對照表[台羅拼音]), 0)), "")</f>
        <v>ai</v>
      </c>
      <c r="H65" s="54" t="str" cm="1">
        <f t="array" ref="H65" xml:space="preserve"> IFERROR( INDEX(韻母對照表[十五音識別碼], MATCH(TRUE, EXACT('台語音標韻母清單【依字長反排序】 (2)'!$C57, 韻母對照表[台羅拼音]), 0)), "")</f>
        <v>皆舒</v>
      </c>
      <c r="I65" s="57" t="str" cm="1">
        <f t="array" ref="I65" xml:space="preserve"> IFERROR( INDEX(韻母對照表[方音符號], MATCH(TRUE, EXACT('台語音標韻母清單【依字長反排序】 (2)'!$C57, 韻母對照表[台羅拼音]), 0)), "")</f>
        <v>ㄞ</v>
      </c>
      <c r="J65" s="73">
        <f t="shared" si="1"/>
        <v>2</v>
      </c>
      <c r="K65" s="73"/>
      <c r="L65" s="57" t="str">
        <f t="shared" si="2"/>
        <v>ir</v>
      </c>
      <c r="M65" s="57" t="str">
        <f t="shared" si="3"/>
        <v>eu</v>
      </c>
      <c r="O65" s="121" t="str">
        <f t="shared" si="4"/>
        <v>ir(\d)</v>
      </c>
      <c r="P65" s="124" t="s">
        <v>1226</v>
      </c>
      <c r="Q65" s="124">
        <f t="shared" si="5"/>
        <v>1</v>
      </c>
      <c r="R65" s="121" t="str">
        <f t="shared" si="7"/>
        <v>》i${1}r</v>
      </c>
      <c r="S65" s="55"/>
      <c r="T65" s="56" t="str">
        <f t="shared" si="6"/>
        <v xml:space="preserve">    - xform/》ir(\d)/》i${1}r/</v>
      </c>
    </row>
    <row r="66" spans="1:20" ht="27.75" thickBot="1">
      <c r="A66" s="57">
        <f t="shared" si="0"/>
        <v>64</v>
      </c>
      <c r="B66" s="57" t="s">
        <v>272</v>
      </c>
      <c r="C66" s="57" t="s">
        <v>272</v>
      </c>
      <c r="D66" s="57" t="s">
        <v>272</v>
      </c>
      <c r="E66" s="57" t="str" cm="1">
        <f t="array" ref="E66" xml:space="preserve"> IFERROR( INDEX(韻母對照表[注音二式], MATCH(TRUE, EXACT('台語音標韻母清單【依字長反排序】 (2)'!$C58, 韻母對照表[台羅拼音]), 0)), "")</f>
        <v>ak</v>
      </c>
      <c r="F66" s="57" t="s">
        <v>841</v>
      </c>
      <c r="G66" s="60" t="str" cm="1">
        <f t="array" ref="G66" xml:space="preserve"> IFERROR( INDEX(韻母對照表[白話字], MATCH(TRUE, EXACT('台語音標韻母清單【依字長反排序】 (2)'!$C58, 韻母對照表[台羅拼音]), 0)), "")</f>
        <v>ak</v>
      </c>
      <c r="H66" s="54" t="str" cm="1">
        <f t="array" ref="H66" xml:space="preserve"> IFERROR( INDEX(韻母對照表[十五音識別碼], MATCH(TRUE, EXACT('台語音標韻母清單【依字長反排序】 (2)'!$C58, 韻母對照表[台羅拼音]), 0)), "")</f>
        <v>江促</v>
      </c>
      <c r="I66" s="57" t="str" cm="1">
        <f t="array" ref="I66" xml:space="preserve"> IFERROR( INDEX(韻母對照表[方音符號], MATCH(TRUE, EXACT('台語音標韻母清單【依字長反排序】 (2)'!$C58, 韻母對照表[台羅拼音]), 0)), "")</f>
        <v>ㄚㆻ</v>
      </c>
      <c r="J66" s="73">
        <f t="shared" si="1"/>
        <v>2</v>
      </c>
      <c r="K66" s="73"/>
      <c r="L66" s="57" t="str">
        <f t="shared" si="2"/>
        <v>ia</v>
      </c>
      <c r="M66" s="57" t="str">
        <f t="shared" si="3"/>
        <v>iɑ</v>
      </c>
      <c r="O66" s="121" t="str">
        <f t="shared" si="4"/>
        <v>ia(\d)</v>
      </c>
      <c r="P66" s="124" t="s">
        <v>1225</v>
      </c>
      <c r="Q66" s="124">
        <f t="shared" si="5"/>
        <v>2</v>
      </c>
      <c r="R66" s="121" t="str">
        <f t="shared" si="7"/>
        <v>i》a${1}</v>
      </c>
      <c r="S66" s="55"/>
      <c r="T66" s="56" t="str">
        <f t="shared" si="6"/>
        <v xml:space="preserve">    - xform/》ia(\d)/i》a${1}/</v>
      </c>
    </row>
    <row r="67" spans="1:20" ht="27.75" thickBot="1">
      <c r="A67" s="57">
        <f t="shared" si="0"/>
        <v>65</v>
      </c>
      <c r="B67" s="74" t="s">
        <v>842</v>
      </c>
      <c r="C67" s="57" t="s">
        <v>843</v>
      </c>
      <c r="D67" s="57" t="s">
        <v>843</v>
      </c>
      <c r="E67" s="61" t="str" cm="1">
        <f t="array" ref="E67" xml:space="preserve"> IFERROR( INDEX(韻母對照表[注音二式], MATCH(TRUE, EXACT('台語音標韻母清單【依字長反排序】 (2)'!$C59, 韻母對照表[台羅拼音]), 0)), "")</f>
        <v>am</v>
      </c>
      <c r="F67" s="57" t="s">
        <v>844</v>
      </c>
      <c r="G67" s="61" t="str" cm="1">
        <f t="array" ref="G67" xml:space="preserve"> IFERROR( INDEX(韻母對照表[白話字], MATCH(TRUE, EXACT('台語音標韻母清單【依字長反排序】 (2)'!$C59, 韻母對照表[台羅拼音]), 0)), "")</f>
        <v>am</v>
      </c>
      <c r="H67" s="54" t="str" cm="1">
        <f t="array" ref="H67" xml:space="preserve"> IFERROR( INDEX(韻母對照表[十五音識別碼], MATCH(TRUE, EXACT('台語音標韻母清單【依字長反排序】 (2)'!$C59, 韻母對照表[台羅拼音]), 0)), "")</f>
        <v>甘舒</v>
      </c>
      <c r="I67" s="57" t="str" cm="1">
        <f t="array" ref="I67" xml:space="preserve"> IFERROR( INDEX(韻母對照表[方音符號], MATCH(TRUE, EXACT('台語音標韻母清單【依字長反排序】 (2)'!$C59, 韻母對照表[台羅拼音]), 0)), "")</f>
        <v>ㆰ</v>
      </c>
      <c r="J67" s="73">
        <f t="shared" si="1"/>
        <v>2</v>
      </c>
      <c r="K67" s="73"/>
      <c r="L67" s="57" t="str">
        <f t="shared" si="2"/>
        <v>er</v>
      </c>
      <c r="M67" s="57" t="str">
        <f t="shared" si="3"/>
        <v>ie</v>
      </c>
      <c r="O67" s="121" t="str">
        <f t="shared" si="4"/>
        <v>er(\d)</v>
      </c>
      <c r="P67" s="124" t="s">
        <v>1178</v>
      </c>
      <c r="Q67" s="124">
        <f t="shared" si="5"/>
        <v>1</v>
      </c>
      <c r="R67" s="121" t="str">
        <f t="shared" si="7"/>
        <v>》e${1}r</v>
      </c>
      <c r="S67" s="55"/>
      <c r="T67" s="56" t="str">
        <f t="shared" si="6"/>
        <v xml:space="preserve">    - xform/》er(\d)/》e${1}r/</v>
      </c>
    </row>
    <row r="68" spans="1:20" ht="27.75" thickBot="1">
      <c r="A68" s="57">
        <f t="shared" ref="A68:A99" si="8" xml:space="preserve"> ROW() -2</f>
        <v>66</v>
      </c>
      <c r="B68" s="57" t="s">
        <v>845</v>
      </c>
      <c r="C68" s="57" t="s">
        <v>329</v>
      </c>
      <c r="D68" s="57" t="s">
        <v>329</v>
      </c>
      <c r="E68" s="57" t="str" cm="1">
        <f t="array" ref="E68" xml:space="preserve"> IFERROR( INDEX(韻母對照表[注音二式], MATCH(TRUE, EXACT('台語音標韻母清單【依字長反排序】 (2)'!$C60, 韻母對照表[台羅拼音]), 0)), "")</f>
        <v>an</v>
      </c>
      <c r="F68" s="57" t="s">
        <v>329</v>
      </c>
      <c r="G68" s="60" t="str" cm="1">
        <f t="array" ref="G68" xml:space="preserve"> IFERROR( INDEX(韻母對照表[白話字], MATCH(TRUE, EXACT('台語音標韻母清單【依字長反排序】 (2)'!$C60, 韻母對照表[台羅拼音]), 0)), "")</f>
        <v>an</v>
      </c>
      <c r="H68" s="54" t="str" cm="1">
        <f t="array" ref="H68" xml:space="preserve"> IFERROR( INDEX(韻母對照表[十五音識別碼], MATCH(TRUE, EXACT('台語音標韻母清單【依字長反排序】 (2)'!$C60, 韻母對照表[台羅拼音]), 0)), "")</f>
        <v>干舒</v>
      </c>
      <c r="I68" s="57" t="str" cm="1">
        <f t="array" ref="I68" xml:space="preserve"> IFERROR( INDEX(韻母對照表[方音符號], MATCH(TRUE, EXACT('台語音標韻母清單【依字長反排序】 (2)'!$C60, 韻母對照表[台羅拼音]), 0)), "")</f>
        <v>ㄢ</v>
      </c>
      <c r="J68" s="73">
        <f t="shared" ref="J68:J99" si="9" xml:space="preserve"> LEN(D68)</f>
        <v>2</v>
      </c>
      <c r="K68" s="73"/>
      <c r="L68" s="57" t="str">
        <f t="shared" ref="L68:L99" si="10">D68</f>
        <v>ih</v>
      </c>
      <c r="M68" s="57" t="str">
        <f t="shared" si="3"/>
        <v>ih</v>
      </c>
      <c r="O68" s="121" t="str">
        <f t="shared" si="4"/>
        <v>ih(\d)</v>
      </c>
      <c r="P68" s="124" t="s">
        <v>1226</v>
      </c>
      <c r="Q68" s="124">
        <f t="shared" si="5"/>
        <v>1</v>
      </c>
      <c r="R68" s="121" t="str">
        <f t="shared" si="7"/>
        <v>》i${1}h</v>
      </c>
      <c r="S68" s="55"/>
      <c r="T68" s="56" t="str">
        <f t="shared" si="6"/>
        <v xml:space="preserve">    - xform/》ih(\d)/》i${1}h/</v>
      </c>
    </row>
    <row r="69" spans="1:20" ht="27.75" thickBot="1">
      <c r="A69" s="57">
        <f t="shared" si="8"/>
        <v>67</v>
      </c>
      <c r="B69" s="57" t="s">
        <v>887</v>
      </c>
      <c r="C69" s="57" t="s">
        <v>115</v>
      </c>
      <c r="D69" s="57" t="s">
        <v>115</v>
      </c>
      <c r="E69" s="57" t="str" cm="1">
        <f t="array" ref="E69" xml:space="preserve"> IFERROR( INDEX(韻母對照表[注音二式], MATCH(TRUE, EXACT('台語音標韻母清單【依字長反排序】 (2)'!$C61, 韻母對照表[台羅拼音]), 0)), "")</f>
        <v>au</v>
      </c>
      <c r="F69" s="57" t="s">
        <v>115</v>
      </c>
      <c r="G69" s="59" t="str" cm="1">
        <f t="array" ref="G69" xml:space="preserve"> IFERROR( INDEX(韻母對照表[白話字], MATCH(TRUE, EXACT('台語音標韻母清單【依字長反排序】 (2)'!$C61, 韻母對照表[台羅拼音]), 0)), "")</f>
        <v>au</v>
      </c>
      <c r="H69" s="54" t="str" cm="1">
        <f t="array" ref="H69" xml:space="preserve"> IFERROR( INDEX(韻母對照表[十五音識別碼], MATCH(TRUE, EXACT('台語音標韻母清單【依字長反排序】 (2)'!$C61, 韻母對照表[台羅拼音]), 0)), "")</f>
        <v>交舒</v>
      </c>
      <c r="I69" s="57" t="str" cm="1">
        <f t="array" ref="I69" xml:space="preserve"> IFERROR( INDEX(韻母對照表[方音符號], MATCH(TRUE, EXACT('台語音標韻母清單【依字長反排序】 (2)'!$C61, 韻母對照表[台羅拼音]), 0)), "")</f>
        <v>ㄠ</v>
      </c>
      <c r="J69" s="73">
        <f t="shared" si="9"/>
        <v>2</v>
      </c>
      <c r="K69" s="73"/>
      <c r="L69" s="57" t="str">
        <f t="shared" si="10"/>
        <v>ik</v>
      </c>
      <c r="M69" s="57" t="str">
        <f t="shared" ref="M69:M99" si="11">F69</f>
        <v>ik</v>
      </c>
      <c r="O69" s="121" t="str">
        <f t="shared" ref="O69:O99" si="12" xml:space="preserve"> _xlfn.CONCAT(L69, "(\d)")</f>
        <v>ik(\d)</v>
      </c>
      <c r="P69" s="124" t="s">
        <v>1226</v>
      </c>
      <c r="Q69" s="124">
        <f t="shared" ref="Q69:Q99" si="13" xml:space="preserve"> IFERROR( IF(P69="", "", SEARCH(P69, $L69)), "")</f>
        <v>1</v>
      </c>
      <c r="R69" s="121" t="str">
        <f t="shared" si="7"/>
        <v>》i${1}k</v>
      </c>
      <c r="S69" s="55"/>
      <c r="T69" s="56" t="str">
        <f t="shared" ref="T69:T99" si="14" xml:space="preserve"> IF(AND(M69&lt;&gt;"", L69&lt;&gt;""), "    - xform/》" &amp; O69 &amp;  "/"  &amp; R69 &amp;  "/", "")</f>
        <v xml:space="preserve">    - xform/》ik(\d)/》i${1}k/</v>
      </c>
    </row>
    <row r="70" spans="1:20" ht="27.75" thickBot="1">
      <c r="A70" s="57">
        <f t="shared" si="8"/>
        <v>68</v>
      </c>
      <c r="B70" s="57" t="s">
        <v>38</v>
      </c>
      <c r="C70" s="57" t="s">
        <v>38</v>
      </c>
      <c r="D70" s="57" t="s">
        <v>38</v>
      </c>
      <c r="E70" s="57" t="str" cm="1">
        <f t="array" ref="E70" xml:space="preserve"> IFERROR( INDEX(韻母對照表[注音二式], MATCH(TRUE, EXACT('台語音標韻母清單【依字長反排序】 (2)'!$C62, 韻母對照表[台羅拼音]), 0)), "")</f>
        <v>ap</v>
      </c>
      <c r="F70" s="57" t="s">
        <v>38</v>
      </c>
      <c r="G70" s="60" t="str" cm="1">
        <f t="array" ref="G70" xml:space="preserve"> IFERROR( INDEX(韻母對照表[白話字], MATCH(TRUE, EXACT('台語音標韻母清單【依字長反排序】 (2)'!$C62, 韻母對照表[台羅拼音]), 0)), "")</f>
        <v>ap</v>
      </c>
      <c r="H70" s="54" t="str" cm="1">
        <f t="array" ref="H70" xml:space="preserve"> IFERROR( INDEX(韻母對照表[十五音識別碼], MATCH(TRUE, EXACT('台語音標韻母清單【依字長反排序】 (2)'!$C62, 韻母對照表[台羅拼音]), 0)), "")</f>
        <v>甘促</v>
      </c>
      <c r="I70" s="57" t="str" cm="1">
        <f t="array" ref="I70" xml:space="preserve"> IFERROR( INDEX(韻母對照表[方音符號], MATCH(TRUE, EXACT('台語音標韻母清單【依字長反排序】 (2)'!$C62, 韻母對照表[台羅拼音]), 0)), "")</f>
        <v>ㄚㆴ</v>
      </c>
      <c r="J70" s="73">
        <f t="shared" si="9"/>
        <v>2</v>
      </c>
      <c r="K70" s="73"/>
      <c r="L70" s="57" t="str">
        <f t="shared" si="10"/>
        <v>im</v>
      </c>
      <c r="M70" s="57" t="str">
        <f t="shared" si="11"/>
        <v>im</v>
      </c>
      <c r="O70" s="121" t="str">
        <f t="shared" si="12"/>
        <v>im(\d)</v>
      </c>
      <c r="P70" s="124" t="s">
        <v>1226</v>
      </c>
      <c r="Q70" s="124">
        <f t="shared" si="13"/>
        <v>1</v>
      </c>
      <c r="R70" s="121" t="str">
        <f t="shared" ref="R70:R88" si="15" xml:space="preserve"> IFERROR( _xlfn.CONCAT(LEFT(L70,Q70-1), "》", MID(L70,Q70,1), "${1}", RIGHT(L70, LEN(L70)-Q70)), "" )</f>
        <v>》i${1}m</v>
      </c>
      <c r="S70" s="55"/>
      <c r="T70" s="56" t="str">
        <f t="shared" si="14"/>
        <v xml:space="preserve">    - xform/》im(\d)/》i${1}m/</v>
      </c>
    </row>
    <row r="71" spans="1:20" ht="27.75" thickBot="1">
      <c r="A71" s="57">
        <f t="shared" si="8"/>
        <v>69</v>
      </c>
      <c r="B71" s="57" t="s">
        <v>189</v>
      </c>
      <c r="C71" s="57" t="s">
        <v>189</v>
      </c>
      <c r="D71" s="57" t="s">
        <v>189</v>
      </c>
      <c r="E71" s="57" t="str" cm="1">
        <f t="array" ref="E71" xml:space="preserve"> IFERROR( INDEX(韻母對照表[注音二式], MATCH(TRUE, EXACT('台語音標韻母清單【依字長反排序】 (2)'!$C63, 韻母對照表[台羅拼音]), 0)), "")</f>
        <v>at</v>
      </c>
      <c r="F71" s="57" t="s">
        <v>189</v>
      </c>
      <c r="G71" s="60" t="str" cm="1">
        <f t="array" ref="G71" xml:space="preserve"> IFERROR( INDEX(韻母對照表[白話字], MATCH(TRUE, EXACT('台語音標韻母清單【依字長反排序】 (2)'!$C63, 韻母對照表[台羅拼音]), 0)), "")</f>
        <v>at</v>
      </c>
      <c r="H71" s="54" t="str" cm="1">
        <f t="array" ref="H71" xml:space="preserve"> IFERROR( INDEX(韻母對照表[十五音識別碼], MATCH(TRUE, EXACT('台語音標韻母清單【依字長反排序】 (2)'!$C63, 韻母對照表[台羅拼音]), 0)), "")</f>
        <v>干促</v>
      </c>
      <c r="I71" s="57" t="str" cm="1">
        <f t="array" ref="I71" xml:space="preserve"> IFERROR( INDEX(韻母對照表[方音符號], MATCH(TRUE, EXACT('台語音標韻母清單【依字長反排序】 (2)'!$C63, 韻母對照表[台羅拼音]), 0)), "")</f>
        <v>ㄚㆵ</v>
      </c>
      <c r="J71" s="73">
        <f t="shared" si="9"/>
        <v>2</v>
      </c>
      <c r="K71" s="73"/>
      <c r="L71" s="57" t="str">
        <f t="shared" si="10"/>
        <v>in</v>
      </c>
      <c r="M71" s="57" t="str">
        <f t="shared" si="11"/>
        <v>in</v>
      </c>
      <c r="O71" s="121" t="str">
        <f t="shared" si="12"/>
        <v>in(\d)</v>
      </c>
      <c r="P71" s="124" t="s">
        <v>1226</v>
      </c>
      <c r="Q71" s="124">
        <f t="shared" si="13"/>
        <v>1</v>
      </c>
      <c r="R71" s="121" t="str">
        <f t="shared" si="15"/>
        <v>》i${1}n</v>
      </c>
      <c r="S71" s="55"/>
      <c r="T71" s="56" t="str">
        <f t="shared" si="14"/>
        <v xml:space="preserve">    - xform/》in(\d)/》i${1}n/</v>
      </c>
    </row>
    <row r="72" spans="1:20" ht="27.75" thickBot="1">
      <c r="A72" s="57">
        <f t="shared" si="8"/>
        <v>70</v>
      </c>
      <c r="B72" s="57" t="s">
        <v>357</v>
      </c>
      <c r="C72" s="57" t="s">
        <v>357</v>
      </c>
      <c r="D72" s="57" t="s">
        <v>357</v>
      </c>
      <c r="E72" s="57" t="str" cm="1">
        <f t="array" ref="E72" xml:space="preserve"> IFERROR( INDEX(韻母對照表[注音二式], MATCH(TRUE, EXACT('台語音標韻母清單【依字長反排序】 (2)'!$C64, 韻母對照表[台羅拼音]), 0)), "")</f>
        <v>eh</v>
      </c>
      <c r="F72" s="57" t="s">
        <v>357</v>
      </c>
      <c r="G72" s="60" t="str" cm="1">
        <f t="array" ref="G72" xml:space="preserve"> IFERROR( INDEX(韻母對照表[白話字], MATCH(TRUE, EXACT('台語音標韻母清單【依字長反排序】 (2)'!$C64, 韻母對照表[台羅拼音]), 0)), "")</f>
        <v>eh</v>
      </c>
      <c r="H72" s="54" t="str" cm="1">
        <f t="array" ref="H72" xml:space="preserve"> IFERROR( INDEX(韻母對照表[十五音識別碼], MATCH(TRUE, EXACT('台語音標韻母清單【依字長反排序】 (2)'!$C64, 韻母對照表[台羅拼音]), 0)), "")</f>
        <v>伽促</v>
      </c>
      <c r="I72" s="57" t="str" cm="1">
        <f t="array" ref="I72" xml:space="preserve"> IFERROR( INDEX(韻母對照表[方音符號], MATCH(TRUE, EXACT('台語音標韻母清單【依字長反排序】 (2)'!$C64, 韻母對照表[台羅拼音]), 0)), "")</f>
        <v>ㆤㆷ</v>
      </c>
      <c r="J72" s="73">
        <f t="shared" si="9"/>
        <v>2</v>
      </c>
      <c r="K72" s="73"/>
      <c r="L72" s="57" t="str">
        <f t="shared" si="10"/>
        <v>io</v>
      </c>
      <c r="M72" s="57" t="str">
        <f t="shared" si="11"/>
        <v>io</v>
      </c>
      <c r="O72" s="121" t="str">
        <f t="shared" si="12"/>
        <v>io(\d)</v>
      </c>
      <c r="P72" s="124" t="s">
        <v>1226</v>
      </c>
      <c r="Q72" s="124">
        <f t="shared" si="13"/>
        <v>1</v>
      </c>
      <c r="R72" s="121" t="str">
        <f t="shared" si="15"/>
        <v>》i${1}o</v>
      </c>
      <c r="S72" s="55"/>
      <c r="T72" s="56" t="str">
        <f t="shared" si="14"/>
        <v xml:space="preserve">    - xform/》io(\d)/》i${1}o/</v>
      </c>
    </row>
    <row r="73" spans="1:20" ht="27.75" thickBot="1">
      <c r="A73" s="57">
        <f t="shared" si="8"/>
        <v>71</v>
      </c>
      <c r="B73" s="57" t="s">
        <v>883</v>
      </c>
      <c r="C73" s="57" t="s">
        <v>46</v>
      </c>
      <c r="D73" s="57" t="s">
        <v>46</v>
      </c>
      <c r="E73" s="57" t="str" cm="1">
        <f t="array" ref="E73" xml:space="preserve"> IFERROR( INDEX(韻母對照表[注音二式], MATCH(TRUE, EXACT('台語音標韻母清單【依字長反排序】 (2)'!$C65, 韻母對照表[台羅拼音]), 0)), "")</f>
        <v/>
      </c>
      <c r="F73" s="57" t="s">
        <v>46</v>
      </c>
      <c r="G73" s="60" t="str" cm="1">
        <f t="array" ref="G73" xml:space="preserve"> IFERROR( INDEX(韻母對照表[白話字], MATCH(TRUE, EXACT('台語音標韻母清單【依字長反排序】 (2)'!$C65, 韻母對照表[台羅拼音]), 0)), "")</f>
        <v/>
      </c>
      <c r="H73" s="54" t="str" cm="1">
        <f t="array" ref="H73" xml:space="preserve"> IFERROR( INDEX(韻母對照表[十五音識別碼], MATCH(TRUE, EXACT('台語音標韻母清單【依字長反排序】 (2)'!$C65, 韻母對照表[台羅拼音]), 0)), "")</f>
        <v/>
      </c>
      <c r="I73" s="57" t="str" cm="1">
        <f t="array" ref="I73" xml:space="preserve"> IFERROR( INDEX(韻母對照表[方音符號], MATCH(TRUE, EXACT('台語音標韻母清單【依字長反排序】 (2)'!$C65, 韻母對照表[台羅拼音]), 0)), "")</f>
        <v/>
      </c>
      <c r="J73" s="73">
        <f t="shared" si="9"/>
        <v>2</v>
      </c>
      <c r="K73" s="73"/>
      <c r="L73" s="57" t="str">
        <f t="shared" si="10"/>
        <v>ip</v>
      </c>
      <c r="M73" s="57" t="str">
        <f t="shared" si="11"/>
        <v>ip</v>
      </c>
      <c r="O73" s="121" t="str">
        <f t="shared" si="12"/>
        <v>ip(\d)</v>
      </c>
      <c r="P73" s="124" t="s">
        <v>1226</v>
      </c>
      <c r="Q73" s="124">
        <f t="shared" si="13"/>
        <v>1</v>
      </c>
      <c r="R73" s="121" t="str">
        <f t="shared" si="15"/>
        <v>》i${1}p</v>
      </c>
      <c r="S73" s="55"/>
      <c r="T73" s="56" t="str">
        <f t="shared" si="14"/>
        <v xml:space="preserve">    - xform/》ip(\d)/》i${1}p/</v>
      </c>
    </row>
    <row r="74" spans="1:20" ht="27.75" thickBot="1">
      <c r="A74" s="57">
        <f t="shared" si="8"/>
        <v>72</v>
      </c>
      <c r="B74" s="57" t="s">
        <v>879</v>
      </c>
      <c r="C74" s="57" t="s">
        <v>197</v>
      </c>
      <c r="D74" s="57" t="s">
        <v>197</v>
      </c>
      <c r="E74" s="57" t="str" cm="1">
        <f t="array" ref="E74" xml:space="preserve"> IFERROR( INDEX(韻母對照表[注音二式], MATCH(TRUE, EXACT('台語音標韻母清單【依字長反排序】 (2)'!$C66, 韻母對照表[台羅拼音]), 0)), "")</f>
        <v>ia</v>
      </c>
      <c r="F74" s="57" t="s">
        <v>197</v>
      </c>
      <c r="G74" s="60" t="str" cm="1">
        <f t="array" ref="G74" xml:space="preserve"> IFERROR( INDEX(韻母對照表[白話字], MATCH(TRUE, EXACT('台語音標韻母清單【依字長反排序】 (2)'!$C66, 韻母對照表[台羅拼音]), 0)), "")</f>
        <v>ia</v>
      </c>
      <c r="H74" s="54" t="str" cm="1">
        <f t="array" ref="H74" xml:space="preserve"> IFERROR( INDEX(韻母對照表[十五音識別碼], MATCH(TRUE, EXACT('台語音標韻母清單【依字長反排序】 (2)'!$C66, 韻母對照表[台羅拼音]), 0)), "")</f>
        <v>迦舒</v>
      </c>
      <c r="I74" s="57" t="str" cm="1">
        <f t="array" ref="I74" xml:space="preserve"> IFERROR( INDEX(韻母對照表[方音符號], MATCH(TRUE, EXACT('台語音標韻母清單【依字長反排序】 (2)'!$C66, 韻母對照表[台羅拼音]), 0)), "")</f>
        <v>ㄧㄚ</v>
      </c>
      <c r="J74" s="73">
        <f t="shared" si="9"/>
        <v>2</v>
      </c>
      <c r="K74" s="73"/>
      <c r="L74" s="57" t="str">
        <f t="shared" si="10"/>
        <v>it</v>
      </c>
      <c r="M74" s="57" t="str">
        <f t="shared" si="11"/>
        <v>it</v>
      </c>
      <c r="O74" s="121" t="str">
        <f t="shared" si="12"/>
        <v>it(\d)</v>
      </c>
      <c r="P74" s="124" t="s">
        <v>1226</v>
      </c>
      <c r="Q74" s="124">
        <f t="shared" si="13"/>
        <v>1</v>
      </c>
      <c r="R74" s="121" t="str">
        <f t="shared" si="15"/>
        <v>》i${1}t</v>
      </c>
      <c r="S74" s="55"/>
      <c r="T74" s="56" t="str">
        <f t="shared" si="14"/>
        <v xml:space="preserve">    - xform/》it(\d)/》i${1}t/</v>
      </c>
    </row>
    <row r="75" spans="1:20" ht="27.75" thickBot="1">
      <c r="A75" s="57">
        <f t="shared" si="8"/>
        <v>73</v>
      </c>
      <c r="B75" s="57" t="s">
        <v>332</v>
      </c>
      <c r="C75" s="57" t="s">
        <v>332</v>
      </c>
      <c r="D75" s="57" t="s">
        <v>332</v>
      </c>
      <c r="E75" s="57" t="str" cm="1">
        <f t="array" ref="E75" xml:space="preserve"> IFERROR( INDEX(韻母對照表[注音二式], MATCH(TRUE, EXACT('台語音標韻母清單【依字長反排序】 (2)'!$C67, 韻母對照表[台羅拼音]), 0)), "")</f>
        <v/>
      </c>
      <c r="F75" s="57" t="s">
        <v>332</v>
      </c>
      <c r="G75" s="60" t="str" cm="1">
        <f t="array" ref="G75" xml:space="preserve"> IFERROR( INDEX(韻母對照表[白話字], MATCH(TRUE, EXACT('台語音標韻母清單【依字長反排序】 (2)'!$C67, 韻母對照表[台羅拼音]), 0)), "")</f>
        <v/>
      </c>
      <c r="H75" s="54" t="str" cm="1">
        <f t="array" ref="H75" xml:space="preserve"> IFERROR( INDEX(韻母對照表[十五音識別碼], MATCH(TRUE, EXACT('台語音標韻母清單【依字長反排序】 (2)'!$C67, 韻母對照表[台羅拼音]), 0)), "")</f>
        <v/>
      </c>
      <c r="I75" s="57" t="str" cm="1">
        <f t="array" ref="I75" xml:space="preserve"> IFERROR( INDEX(韻母對照表[方音符號], MATCH(TRUE, EXACT('台語音標韻母清單【依字長反排序】 (2)'!$C67, 韻母對照表[台羅拼音]), 0)), "")</f>
        <v/>
      </c>
      <c r="J75" s="73">
        <f t="shared" si="9"/>
        <v>2</v>
      </c>
      <c r="K75" s="73"/>
      <c r="L75" s="57" t="str">
        <f t="shared" si="10"/>
        <v>iu</v>
      </c>
      <c r="M75" s="57" t="str">
        <f t="shared" si="11"/>
        <v>iu</v>
      </c>
      <c r="O75" s="121" t="str">
        <f t="shared" si="12"/>
        <v>iu(\d)</v>
      </c>
      <c r="P75" s="124" t="s">
        <v>1226</v>
      </c>
      <c r="Q75" s="124">
        <f t="shared" si="13"/>
        <v>1</v>
      </c>
      <c r="R75" s="121" t="str">
        <f t="shared" si="15"/>
        <v>》i${1}u</v>
      </c>
      <c r="S75" s="55"/>
      <c r="T75" s="56" t="str">
        <f t="shared" si="14"/>
        <v xml:space="preserve">    - xform/》iu(\d)/》i${1}u/</v>
      </c>
    </row>
    <row r="76" spans="1:20" ht="27.75" thickBot="1">
      <c r="A76" s="57">
        <f t="shared" si="8"/>
        <v>74</v>
      </c>
      <c r="B76" s="74" t="s">
        <v>846</v>
      </c>
      <c r="C76" s="57" t="s">
        <v>847</v>
      </c>
      <c r="D76" s="57" t="s">
        <v>847</v>
      </c>
      <c r="E76" s="75" t="str" cm="1">
        <f t="array" ref="E76" xml:space="preserve"> IFERROR( INDEX(韻母對照表[注音二式], MATCH(TRUE, EXACT('台語音標韻母清單【依字長反排序】 (2)'!$C68, 韻母對照表[台羅拼音]), 0)), "")</f>
        <v>ih</v>
      </c>
      <c r="F76" s="57" t="s">
        <v>847</v>
      </c>
      <c r="G76" s="60" t="str" cm="1">
        <f t="array" ref="G76" xml:space="preserve"> IFERROR( INDEX(韻母對照表[白話字], MATCH(TRUE, EXACT('台語音標韻母清單【依字長反排序】 (2)'!$C68, 韻母對照表[台羅拼音]), 0)), "")</f>
        <v>ih</v>
      </c>
      <c r="H76" s="54" t="str" cm="1">
        <f t="array" ref="H76" xml:space="preserve"> IFERROR( INDEX(韻母對照表[十五音識別碼], MATCH(TRUE, EXACT('台語音標韻母清單【依字長反排序】 (2)'!$C68, 韻母對照表[台羅拼音]), 0)), "")</f>
        <v>居促</v>
      </c>
      <c r="I76" s="57" t="str" cm="1">
        <f t="array" ref="I76" xml:space="preserve"> IFERROR( INDEX(韻母對照表[方音符號], MATCH(TRUE, EXACT('台語音標韻母清單【依字長反排序】 (2)'!$C68, 韻母對照表[台羅拼音]), 0)), "")</f>
        <v>ㄧㆷ</v>
      </c>
      <c r="J76" s="73">
        <f t="shared" si="9"/>
        <v>2</v>
      </c>
      <c r="K76" s="73"/>
      <c r="L76" s="57" t="str">
        <f t="shared" si="10"/>
        <v>mh</v>
      </c>
      <c r="M76" s="57" t="str">
        <f t="shared" si="11"/>
        <v>mh</v>
      </c>
      <c r="O76" s="121" t="str">
        <f t="shared" si="12"/>
        <v>mh(\d)</v>
      </c>
      <c r="P76" s="124" t="s">
        <v>1303</v>
      </c>
      <c r="Q76" s="124">
        <f t="shared" si="13"/>
        <v>1</v>
      </c>
      <c r="R76" s="121" t="str">
        <f t="shared" si="15"/>
        <v>》m${1}h</v>
      </c>
      <c r="S76" s="55"/>
      <c r="T76" s="56" t="str">
        <f t="shared" si="14"/>
        <v xml:space="preserve">    - xform/》mh(\d)/》m${1}h/</v>
      </c>
    </row>
    <row r="77" spans="1:20" ht="27.75" thickBot="1">
      <c r="A77" s="57">
        <f t="shared" si="8"/>
        <v>75</v>
      </c>
      <c r="B77" s="57" t="s">
        <v>404</v>
      </c>
      <c r="C77" s="57" t="s">
        <v>407</v>
      </c>
      <c r="D77" s="57" t="s">
        <v>407</v>
      </c>
      <c r="E77" s="57" t="str" cm="1">
        <f t="array" ref="E77" xml:space="preserve"> IFERROR( INDEX(韻母對照表[注音二式], MATCH(TRUE, EXACT('台語音標韻母清單【依字長反排序】 (2)'!$C70, 韻母對照表[台羅拼音]), 0)), "")</f>
        <v>im</v>
      </c>
      <c r="F77" s="57" t="s">
        <v>407</v>
      </c>
      <c r="G77" s="60" t="str" cm="1">
        <f t="array" ref="G77" xml:space="preserve"> IFERROR( INDEX(韻母對照表[白話字], MATCH(TRUE, EXACT('台語音標韻母清單【依字長反排序】 (2)'!$C70, 韻母對照表[台羅拼音]), 0)), "")</f>
        <v>im</v>
      </c>
      <c r="H77" s="54" t="str" cm="1">
        <f t="array" ref="H77" xml:space="preserve"> IFERROR( INDEX(韻母對照表[十五音識別碼], MATCH(TRUE, EXACT('台語音標韻母清單【依字長反排序】 (2)'!$C70, 韻母對照表[台羅拼音]), 0)), "")</f>
        <v>金舒</v>
      </c>
      <c r="I77" s="57" t="str" cm="1">
        <f t="array" ref="I77" xml:space="preserve"> IFERROR( INDEX(韻母對照表[方音符號], MATCH(TRUE, EXACT('台語音標韻母清單【依字長反排序】 (2)'!$C70, 韻母對照表[台羅拼音]), 0)), "")</f>
        <v>ㄧㆬ</v>
      </c>
      <c r="J77" s="73">
        <f t="shared" si="9"/>
        <v>2</v>
      </c>
      <c r="K77" s="73"/>
      <c r="L77" s="57" t="str">
        <f t="shared" si="10"/>
        <v>ng</v>
      </c>
      <c r="M77" s="57" t="str">
        <f t="shared" si="11"/>
        <v>ng</v>
      </c>
      <c r="O77" s="121" t="str">
        <f t="shared" si="12"/>
        <v>ng(\d)</v>
      </c>
      <c r="P77" s="124" t="s">
        <v>1302</v>
      </c>
      <c r="Q77" s="124">
        <f t="shared" si="13"/>
        <v>1</v>
      </c>
      <c r="R77" s="121" t="str">
        <f t="shared" si="15"/>
        <v>》n${1}g</v>
      </c>
      <c r="S77" s="55"/>
      <c r="T77" s="56" t="str">
        <f t="shared" si="14"/>
        <v xml:space="preserve">    - xform/》ng(\d)/》n${1}g/</v>
      </c>
    </row>
    <row r="78" spans="1:20" ht="27.75" thickBot="1">
      <c r="A78" s="57">
        <f t="shared" si="8"/>
        <v>76</v>
      </c>
      <c r="B78" s="57" t="s">
        <v>849</v>
      </c>
      <c r="C78" s="57" t="s">
        <v>178</v>
      </c>
      <c r="D78" s="57" t="s">
        <v>178</v>
      </c>
      <c r="E78" s="57" t="str" cm="1">
        <f t="array" ref="E78" xml:space="preserve"> IFERROR( INDEX(韻母對照表[注音二式], MATCH(TRUE, EXACT('台語音標韻母清單【依字長反排序】 (2)'!$C72, 韻母對照表[台羅拼音]), 0)), "")</f>
        <v>ior</v>
      </c>
      <c r="F78" s="57" t="s">
        <v>178</v>
      </c>
      <c r="G78" s="60" t="str" cm="1">
        <f t="array" ref="G78" xml:space="preserve"> IFERROR( INDEX(韻母對照表[白話字], MATCH(TRUE, EXACT('台語音標韻母清單【依字長反排序】 (2)'!$C72, 韻母對照表[台羅拼音]), 0)), "")</f>
        <v>io</v>
      </c>
      <c r="H78" s="54" t="str" cm="1">
        <f t="array" ref="H78" xml:space="preserve"> IFERROR( INDEX(韻母對照表[十五音識別碼], MATCH(TRUE, EXACT('台語音標韻母清單【依字長反排序】 (2)'!$C72, 韻母對照表[台羅拼音]), 0)), "")</f>
        <v>茄舒</v>
      </c>
      <c r="I78" s="57" t="str" cm="1">
        <f t="array" ref="I78" xml:space="preserve"> IFERROR( INDEX(韻母對照表[方音符號], MATCH(TRUE, EXACT('台語音標韻母清單【依字長反排序】 (2)'!$C72, 韻母對照表[台羅拼音]), 0)), "")</f>
        <v>ㄧㄜ</v>
      </c>
      <c r="J78" s="73">
        <f t="shared" si="9"/>
        <v>2</v>
      </c>
      <c r="K78" s="73"/>
      <c r="L78" s="57" t="str">
        <f t="shared" si="10"/>
        <v>oh</v>
      </c>
      <c r="M78" s="57" t="str">
        <f t="shared" si="11"/>
        <v>oh</v>
      </c>
      <c r="O78" s="121" t="str">
        <f t="shared" si="12"/>
        <v>oh(\d)</v>
      </c>
      <c r="P78" s="124" t="s">
        <v>1213</v>
      </c>
      <c r="Q78" s="124">
        <f t="shared" si="13"/>
        <v>1</v>
      </c>
      <c r="R78" s="121" t="str">
        <f t="shared" si="15"/>
        <v>》o${1}h</v>
      </c>
      <c r="S78" s="55"/>
      <c r="T78" s="56" t="str">
        <f t="shared" si="14"/>
        <v xml:space="preserve">    - xform/》oh(\d)/》o${1}h/</v>
      </c>
    </row>
    <row r="79" spans="1:20" ht="27.75" thickBot="1">
      <c r="A79" s="57">
        <f t="shared" si="8"/>
        <v>77</v>
      </c>
      <c r="B79" s="57" t="s">
        <v>888</v>
      </c>
      <c r="C79" s="57" t="s">
        <v>90</v>
      </c>
      <c r="D79" s="57" t="s">
        <v>90</v>
      </c>
      <c r="E79" s="57" t="str" cm="1">
        <f t="array" ref="E79" xml:space="preserve"> IFERROR( INDEX(韻母對照表[注音二式], MATCH(TRUE, EXACT('台語音標韻母清單【依字長反排序】 (2)'!$C73, 韻母對照表[台羅拼音]), 0)), "")</f>
        <v>ip</v>
      </c>
      <c r="F79" s="57" t="s">
        <v>90</v>
      </c>
      <c r="G79" s="60" t="str" cm="1">
        <f t="array" ref="G79" xml:space="preserve"> IFERROR( INDEX(韻母對照表[白話字], MATCH(TRUE, EXACT('台語音標韻母清單【依字長反排序】 (2)'!$C73, 韻母對照表[台羅拼音]), 0)), "")</f>
        <v>ip</v>
      </c>
      <c r="H79" s="54" t="str" cm="1">
        <f t="array" ref="H79" xml:space="preserve"> IFERROR( INDEX(韻母對照表[十五音識別碼], MATCH(TRUE, EXACT('台語音標韻母清單【依字長反排序】 (2)'!$C73, 韻母對照表[台羅拼音]), 0)), "")</f>
        <v>金促</v>
      </c>
      <c r="I79" s="57" t="str" cm="1">
        <f t="array" ref="I79" xml:space="preserve"> IFERROR( INDEX(韻母對照表[方音符號], MATCH(TRUE, EXACT('台語音標韻母清單【依字長反排序】 (2)'!$C73, 韻母對照表[台羅拼音]), 0)), "")</f>
        <v>一ㆴ</v>
      </c>
      <c r="J79" s="73">
        <f t="shared" si="9"/>
        <v>2</v>
      </c>
      <c r="K79" s="73"/>
      <c r="L79" s="57" t="str">
        <f t="shared" si="10"/>
        <v>ok</v>
      </c>
      <c r="M79" s="57" t="str">
        <f t="shared" si="11"/>
        <v>ok</v>
      </c>
      <c r="O79" s="121" t="str">
        <f t="shared" si="12"/>
        <v>ok(\d)</v>
      </c>
      <c r="P79" s="124" t="s">
        <v>1213</v>
      </c>
      <c r="Q79" s="124">
        <f t="shared" si="13"/>
        <v>1</v>
      </c>
      <c r="R79" s="121" t="str">
        <f t="shared" si="15"/>
        <v>》o${1}k</v>
      </c>
      <c r="S79" s="55"/>
      <c r="T79" s="56" t="str">
        <f t="shared" si="14"/>
        <v xml:space="preserve">    - xform/》ok(\d)/》o${1}k/</v>
      </c>
    </row>
    <row r="80" spans="1:20" ht="27.75" thickBot="1">
      <c r="A80" s="57">
        <f t="shared" si="8"/>
        <v>78</v>
      </c>
      <c r="B80" s="57" t="s">
        <v>851</v>
      </c>
      <c r="C80" s="57" t="s">
        <v>136</v>
      </c>
      <c r="D80" s="57" t="s">
        <v>136</v>
      </c>
      <c r="E80" s="75" t="str" cm="1">
        <f t="array" ref="E80" xml:space="preserve"> IFERROR( INDEX(韻母對照表[注音二式], MATCH(TRUE, EXACT('台語音標韻母清單【依字長反排序】 (2)'!$C74, 韻母對照表[台羅拼音]), 0)), "")</f>
        <v>it</v>
      </c>
      <c r="F80" s="57" t="s">
        <v>136</v>
      </c>
      <c r="G80" s="59" t="str" cm="1">
        <f t="array" ref="G80" xml:space="preserve"> IFERROR( INDEX(韻母對照表[白話字], MATCH(TRUE, EXACT('台語音標韻母清單【依字長反排序】 (2)'!$C74, 韻母對照表[台羅拼音]), 0)), "")</f>
        <v>it</v>
      </c>
      <c r="H80" s="54" t="str" cm="1">
        <f t="array" ref="H80" xml:space="preserve"> IFERROR( INDEX(韻母對照表[十五音識別碼], MATCH(TRUE, EXACT('台語音標韻母清單【依字長反排序】 (2)'!$C74, 韻母對照表[台羅拼音]), 0)), "")</f>
        <v>巾促</v>
      </c>
      <c r="I80" s="57" t="str" cm="1">
        <f t="array" ref="I80" xml:space="preserve"> IFERROR( INDEX(韻母對照表[方音符號], MATCH(TRUE, EXACT('台語音標韻母清單【依字長反排序】 (2)'!$C74, 韻母對照表[台羅拼音]), 0)), "")</f>
        <v>ㄧㆵ</v>
      </c>
      <c r="J80" s="73">
        <f t="shared" si="9"/>
        <v>2</v>
      </c>
      <c r="K80" s="73"/>
      <c r="L80" s="57" t="str">
        <f t="shared" si="10"/>
        <v>oo</v>
      </c>
      <c r="M80" s="57" t="str">
        <f t="shared" si="11"/>
        <v>oo</v>
      </c>
      <c r="O80" s="121" t="str">
        <f t="shared" si="12"/>
        <v>oo(\d)</v>
      </c>
      <c r="P80" s="124" t="s">
        <v>1213</v>
      </c>
      <c r="Q80" s="124">
        <f t="shared" si="13"/>
        <v>1</v>
      </c>
      <c r="R80" s="121" t="str">
        <f t="shared" si="15"/>
        <v>》o${1}o</v>
      </c>
      <c r="S80" s="55"/>
      <c r="T80" s="56" t="str">
        <f t="shared" si="14"/>
        <v xml:space="preserve">    - xform/》oo(\d)/》o${1}o/</v>
      </c>
    </row>
    <row r="81" spans="1:20" ht="27.75" thickBot="1">
      <c r="A81" s="57">
        <f t="shared" si="8"/>
        <v>79</v>
      </c>
      <c r="B81" s="57" t="s">
        <v>884</v>
      </c>
      <c r="C81" s="57" t="s">
        <v>485</v>
      </c>
      <c r="D81" s="57" t="s">
        <v>485</v>
      </c>
      <c r="E81" s="57" t="str" cm="1">
        <f t="array" ref="E81" xml:space="preserve"> IFERROR( INDEX(韻母對照表[注音二式], MATCH(TRUE, EXACT('台語音標韻母清單【依字長反排序】 (2)'!$C75, 韻母對照表[台羅拼音]), 0)), "")</f>
        <v>iu</v>
      </c>
      <c r="F81" s="57" t="s">
        <v>485</v>
      </c>
      <c r="G81" s="60" t="str" cm="1">
        <f t="array" ref="G81" xml:space="preserve"> IFERROR( INDEX(韻母對照表[白話字], MATCH(TRUE, EXACT('台語音標韻母清單【依字長反排序】 (2)'!$C75, 韻母對照表[台羅拼音]), 0)), "")</f>
        <v>iu</v>
      </c>
      <c r="H81" s="54" t="str" cm="1">
        <f t="array" ref="H81" xml:space="preserve"> IFERROR( INDEX(韻母對照表[十五音識別碼], MATCH(TRUE, EXACT('台語音標韻母清單【依字長反排序】 (2)'!$C75, 韻母對照表[台羅拼音]), 0)), "")</f>
        <v>丩舒</v>
      </c>
      <c r="I81" s="57" t="str" cm="1">
        <f t="array" ref="I81" xml:space="preserve"> IFERROR( INDEX(韻母對照表[方音符號], MATCH(TRUE, EXACT('台語音標韻母清單【依字長反排序】 (2)'!$C75, 韻母對照表[台羅拼音]), 0)), "")</f>
        <v>ㄧㄨ</v>
      </c>
      <c r="J81" s="73">
        <f t="shared" si="9"/>
        <v>2</v>
      </c>
      <c r="K81" s="73"/>
      <c r="L81" s="57" t="str">
        <f t="shared" si="10"/>
        <v>op</v>
      </c>
      <c r="M81" s="57" t="str">
        <f t="shared" si="11"/>
        <v>op</v>
      </c>
      <c r="O81" s="121" t="str">
        <f t="shared" si="12"/>
        <v>op(\d)</v>
      </c>
      <c r="P81" s="124" t="s">
        <v>1213</v>
      </c>
      <c r="Q81" s="124">
        <f t="shared" si="13"/>
        <v>1</v>
      </c>
      <c r="R81" s="121" t="str">
        <f t="shared" si="15"/>
        <v>》o${1}p</v>
      </c>
      <c r="S81" s="55"/>
      <c r="T81" s="56" t="str">
        <f t="shared" si="14"/>
        <v xml:space="preserve">    - xform/》op(\d)/》o${1}p/</v>
      </c>
    </row>
    <row r="82" spans="1:20" ht="27.75" thickBot="1">
      <c r="A82" s="57">
        <f t="shared" si="8"/>
        <v>80</v>
      </c>
      <c r="B82" s="57" t="s">
        <v>223</v>
      </c>
      <c r="C82" s="57" t="s">
        <v>223</v>
      </c>
      <c r="D82" s="57" t="s">
        <v>223</v>
      </c>
      <c r="E82" s="57" t="str" cm="1">
        <f t="array" ref="E82" xml:space="preserve"> IFERROR( INDEX(韻母對照表[注音二式], MATCH(TRUE, EXACT('台語音標韻母清單【依字長反排序】 (2)'!$C76, 韻母對照表[台羅拼音]), 0)), "")</f>
        <v/>
      </c>
      <c r="F82" s="57" t="s">
        <v>853</v>
      </c>
      <c r="G82" s="59" t="str" cm="1">
        <f t="array" ref="G82" xml:space="preserve"> IFERROR( INDEX(韻母對照表[白話字], MATCH(TRUE, EXACT('台語音標韻母清單【依字長反排序】 (2)'!$C76, 韻母對照表[台羅拼音]), 0)), "")</f>
        <v/>
      </c>
      <c r="H82" s="54" t="str" cm="1">
        <f t="array" ref="H82" xml:space="preserve"> IFERROR( INDEX(韻母對照表[十五音識別碼], MATCH(TRUE, EXACT('台語音標韻母清單【依字長反排序】 (2)'!$C76, 韻母對照表[台羅拼音]), 0)), "")</f>
        <v/>
      </c>
      <c r="I82" s="57" t="str" cm="1">
        <f t="array" ref="I82" xml:space="preserve"> IFERROR( INDEX(韻母對照表[方音符號], MATCH(TRUE, EXACT('台語音標韻母清單【依字長反排序】 (2)'!$C76, 韻母對照表[台羅拼音]), 0)), "")</f>
        <v/>
      </c>
      <c r="J82" s="73">
        <f t="shared" si="9"/>
        <v>2</v>
      </c>
      <c r="K82" s="73"/>
      <c r="L82" s="57" t="str">
        <f t="shared" si="10"/>
        <v>ua</v>
      </c>
      <c r="M82" s="57" t="str">
        <f t="shared" si="11"/>
        <v>uɑ</v>
      </c>
      <c r="O82" s="121" t="str">
        <f t="shared" si="12"/>
        <v>ua(\d)</v>
      </c>
      <c r="P82" s="124" t="s">
        <v>1224</v>
      </c>
      <c r="Q82" s="124">
        <f t="shared" si="13"/>
        <v>1</v>
      </c>
      <c r="R82" s="121" t="str">
        <f t="shared" si="15"/>
        <v>》u${1}a</v>
      </c>
      <c r="S82" s="55"/>
      <c r="T82" s="56" t="str">
        <f t="shared" si="14"/>
        <v xml:space="preserve">    - xform/》ua(\d)/》u${1}a/</v>
      </c>
    </row>
    <row r="83" spans="1:20" ht="27.75" thickBot="1">
      <c r="A83" s="57">
        <f t="shared" si="8"/>
        <v>81</v>
      </c>
      <c r="B83" s="57" t="s">
        <v>285</v>
      </c>
      <c r="C83" s="57" t="s">
        <v>285</v>
      </c>
      <c r="D83" s="57" t="s">
        <v>285</v>
      </c>
      <c r="E83" s="75" t="str" cm="1">
        <f t="array" ref="E83" xml:space="preserve"> IFERROR( INDEX(韻母對照表[注音二式], MATCH(TRUE, EXACT('台語音標韻母清單【依字長反排序】 (2)'!$C77, 韻母對照表[台羅拼音]), 0)), "")</f>
        <v>ng</v>
      </c>
      <c r="F83" s="57" t="s">
        <v>285</v>
      </c>
      <c r="G83" s="59" t="str" cm="1">
        <f t="array" ref="G83" xml:space="preserve"> IFERROR( INDEX(韻母對照表[白話字], MATCH(TRUE, EXACT('台語音標韻母清單【依字長反排序】 (2)'!$C77, 韻母對照表[台羅拼音]), 0)), "")</f>
        <v>ng</v>
      </c>
      <c r="H83" s="54" t="str" cm="1">
        <f t="array" ref="H83" xml:space="preserve"> IFERROR( INDEX(韻母對照表[十五音識別碼], MATCH(TRUE, EXACT('台語音標韻母清單【依字長反排序】 (2)'!$C77, 韻母對照表[台羅拼音]), 0)), "")</f>
        <v>鋼舒</v>
      </c>
      <c r="I83" s="57" t="str" cm="1">
        <f t="array" ref="I83" xml:space="preserve"> IFERROR( INDEX(韻母對照表[方音符號], MATCH(TRUE, EXACT('台語音標韻母清單【依字長反排序】 (2)'!$C77, 韻母對照表[台羅拼音]), 0)), "")</f>
        <v>ㆭ</v>
      </c>
      <c r="J83" s="73">
        <f t="shared" si="9"/>
        <v>2</v>
      </c>
      <c r="K83" s="73"/>
      <c r="L83" s="57" t="str">
        <f t="shared" si="10"/>
        <v>ue</v>
      </c>
      <c r="M83" s="57" t="str">
        <f t="shared" si="11"/>
        <v>ue</v>
      </c>
      <c r="O83" s="121" t="str">
        <f t="shared" si="12"/>
        <v>ue(\d)</v>
      </c>
      <c r="P83" s="124" t="s">
        <v>1224</v>
      </c>
      <c r="Q83" s="124">
        <f t="shared" si="13"/>
        <v>1</v>
      </c>
      <c r="R83" s="121" t="str">
        <f t="shared" si="15"/>
        <v>》u${1}e</v>
      </c>
      <c r="S83" s="55"/>
      <c r="T83" s="56" t="str">
        <f t="shared" si="14"/>
        <v xml:space="preserve">    - xform/》ue(\d)/》u${1}e/</v>
      </c>
    </row>
    <row r="84" spans="1:20" ht="27.75" thickBot="1">
      <c r="A84" s="57">
        <f t="shared" si="8"/>
        <v>82</v>
      </c>
      <c r="B84" s="57" t="s">
        <v>854</v>
      </c>
      <c r="C84" s="57" t="s">
        <v>313</v>
      </c>
      <c r="D84" s="57" t="s">
        <v>313</v>
      </c>
      <c r="E84" s="57" t="str" cm="1">
        <f t="array" ref="E84" xml:space="preserve"> IFERROR( INDEX(韻母對照表[注音二式], MATCH(TRUE, EXACT('台語音標韻母清單【依字長反排序】 (2)'!$C78, 韻母對照表[台羅拼音]), 0)), "")</f>
        <v>orh</v>
      </c>
      <c r="F84" s="57" t="s">
        <v>313</v>
      </c>
      <c r="G84" s="60" t="str" cm="1">
        <f t="array" ref="G84" xml:space="preserve"> IFERROR( INDEX(韻母對照表[白話字], MATCH(TRUE, EXACT('台語音標韻母清單【依字長反排序】 (2)'!$C78, 韻母對照表[台羅拼音]), 0)), "")</f>
        <v>oh</v>
      </c>
      <c r="H84" s="54" t="str" cm="1">
        <f t="array" ref="H84" xml:space="preserve"> IFERROR( INDEX(韻母對照表[十五音識別碼], MATCH(TRUE, EXACT('台語音標韻母清單【依字長反排序】 (2)'!$C78, 韻母對照表[台羅拼音]), 0)), "")</f>
        <v>高促</v>
      </c>
      <c r="I84" s="57" t="str" cm="1">
        <f t="array" ref="I84" xml:space="preserve"> IFERROR( INDEX(韻母對照表[方音符號], MATCH(TRUE, EXACT('台語音標韻母清單【依字長反排序】 (2)'!$C78, 韻母對照表[台羅拼音]), 0)), "")</f>
        <v>ㄜㆷ</v>
      </c>
      <c r="J84" s="73">
        <f t="shared" si="9"/>
        <v>2</v>
      </c>
      <c r="K84" s="73"/>
      <c r="L84" s="57" t="str">
        <f t="shared" si="10"/>
        <v>uh</v>
      </c>
      <c r="M84" s="57" t="str">
        <f t="shared" si="11"/>
        <v>uh</v>
      </c>
      <c r="O84" s="121" t="str">
        <f t="shared" si="12"/>
        <v>uh(\d)</v>
      </c>
      <c r="P84" s="124" t="s">
        <v>1224</v>
      </c>
      <c r="Q84" s="124">
        <f t="shared" si="13"/>
        <v>1</v>
      </c>
      <c r="R84" s="121" t="str">
        <f t="shared" si="15"/>
        <v>》u${1}h</v>
      </c>
      <c r="S84" s="55"/>
      <c r="T84" s="56" t="str">
        <f t="shared" si="14"/>
        <v xml:space="preserve">    - xform/》uh(\d)/》u${1}h/</v>
      </c>
    </row>
    <row r="85" spans="1:20" ht="27.75" thickBot="1">
      <c r="A85" s="57">
        <f t="shared" si="8"/>
        <v>83</v>
      </c>
      <c r="B85" s="57" t="s">
        <v>50</v>
      </c>
      <c r="C85" s="57" t="s">
        <v>50</v>
      </c>
      <c r="D85" s="57" t="s">
        <v>50</v>
      </c>
      <c r="E85" s="57" t="str" cm="1">
        <f t="array" ref="E85" xml:space="preserve"> IFERROR( INDEX(韻母對照表[注音二式], MATCH(TRUE, EXACT('台語音標韻母清單【依字長反排序】 (2)'!$C79, 韻母對照表[台羅拼音]), 0)), "")</f>
        <v>ok</v>
      </c>
      <c r="F85" s="57" t="s">
        <v>50</v>
      </c>
      <c r="G85" s="60" t="str" cm="1">
        <f t="array" ref="G85" xml:space="preserve"> IFERROR( INDEX(韻母對照表[白話字], MATCH(TRUE, EXACT('台語音標韻母清單【依字長反排序】 (2)'!$C79, 韻母對照表[台羅拼音]), 0)), "")</f>
        <v>ok</v>
      </c>
      <c r="H85" s="54" t="str" cm="1">
        <f t="array" ref="H85" xml:space="preserve"> IFERROR( INDEX(韻母對照表[十五音識別碼], MATCH(TRUE, EXACT('台語音標韻母清單【依字長反排序】 (2)'!$C79, 韻母對照表[台羅拼音]), 0)), "")</f>
        <v>公促</v>
      </c>
      <c r="I85" s="57" t="str" cm="1">
        <f t="array" ref="I85" xml:space="preserve"> IFERROR( INDEX(韻母對照表[方音符號], MATCH(TRUE, EXACT('台語音標韻母清單【依字長反排序】 (2)'!$C79, 韻母對照表[台羅拼音]), 0)), "")</f>
        <v>ㆦㆻ</v>
      </c>
      <c r="J85" s="73">
        <f t="shared" si="9"/>
        <v>2</v>
      </c>
      <c r="K85" s="73"/>
      <c r="L85" s="57" t="str">
        <f t="shared" si="10"/>
        <v>ui</v>
      </c>
      <c r="M85" s="57" t="str">
        <f t="shared" si="11"/>
        <v>ui</v>
      </c>
      <c r="O85" s="121" t="str">
        <f t="shared" si="12"/>
        <v>ui(\d)</v>
      </c>
      <c r="P85" s="124" t="s">
        <v>1224</v>
      </c>
      <c r="Q85" s="124">
        <f t="shared" si="13"/>
        <v>1</v>
      </c>
      <c r="R85" s="121" t="str">
        <f t="shared" si="15"/>
        <v>》u${1}i</v>
      </c>
      <c r="S85" s="55"/>
      <c r="T85" s="56" t="str">
        <f t="shared" si="14"/>
        <v xml:space="preserve">    - xform/》ui(\d)/》u${1}i/</v>
      </c>
    </row>
    <row r="86" spans="1:20" ht="27.75" thickBot="1">
      <c r="A86" s="57">
        <f t="shared" si="8"/>
        <v>84</v>
      </c>
      <c r="B86" s="57" t="s">
        <v>14</v>
      </c>
      <c r="C86" s="57" t="s">
        <v>14</v>
      </c>
      <c r="D86" s="57" t="s">
        <v>14</v>
      </c>
      <c r="E86" s="57" t="str" cm="1">
        <f t="array" ref="E86" xml:space="preserve"> IFERROR( INDEX(韻母對照表[注音二式], MATCH(TRUE, EXACT('台語音標韻母清單【依字長反排序】 (2)'!$C80, 韻母對照表[台羅拼音]), 0)), "")</f>
        <v>oo</v>
      </c>
      <c r="F86" s="57" t="s">
        <v>14</v>
      </c>
      <c r="G86" s="60" t="str" cm="1">
        <f t="array" ref="G86" xml:space="preserve"> IFERROR( INDEX(韻母對照表[白話字], MATCH(TRUE, EXACT('台語音標韻母清單【依字長反排序】 (2)'!$C80, 韻母對照表[台羅拼音]), 0)), "")</f>
        <v>o͘</v>
      </c>
      <c r="H86" s="54" t="str" cm="1">
        <f t="array" ref="H86" xml:space="preserve"> IFERROR( INDEX(韻母對照表[十五音識別碼], MATCH(TRUE, EXACT('台語音標韻母清單【依字長反排序】 (2)'!$C80, 韻母對照表[台羅拼音]), 0)), "")</f>
        <v>沽舒</v>
      </c>
      <c r="I86" s="57" t="str" cm="1">
        <f t="array" ref="I86" xml:space="preserve"> IFERROR( INDEX(韻母對照表[方音符號], MATCH(TRUE, EXACT('台語音標韻母清單【依字長反排序】 (2)'!$C80, 韻母對照表[台羅拼音]), 0)), "")</f>
        <v>ㆦ</v>
      </c>
      <c r="J86" s="73">
        <f t="shared" si="9"/>
        <v>2</v>
      </c>
      <c r="K86" s="73"/>
      <c r="L86" s="57" t="str">
        <f t="shared" si="10"/>
        <v>un</v>
      </c>
      <c r="M86" s="57" t="str">
        <f t="shared" si="11"/>
        <v>un</v>
      </c>
      <c r="O86" s="121" t="str">
        <f t="shared" si="12"/>
        <v>un(\d)</v>
      </c>
      <c r="P86" s="124" t="s">
        <v>1224</v>
      </c>
      <c r="Q86" s="124">
        <f t="shared" si="13"/>
        <v>1</v>
      </c>
      <c r="R86" s="121" t="str">
        <f t="shared" si="15"/>
        <v>》u${1}n</v>
      </c>
      <c r="S86" s="55"/>
      <c r="T86" s="56" t="str">
        <f t="shared" si="14"/>
        <v xml:space="preserve">    - xform/》un(\d)/》u${1}n/</v>
      </c>
    </row>
    <row r="87" spans="1:20" ht="27.75" thickBot="1">
      <c r="A87" s="57">
        <f t="shared" si="8"/>
        <v>85</v>
      </c>
      <c r="B87" s="57" t="s">
        <v>880</v>
      </c>
      <c r="C87" s="57" t="s">
        <v>22</v>
      </c>
      <c r="D87" s="57" t="s">
        <v>22</v>
      </c>
      <c r="E87" s="57" t="str" cm="1">
        <f t="array" ref="E87" xml:space="preserve"> IFERROR( INDEX(韻母對照表[注音二式], MATCH(TRUE, EXACT('台語音標韻母清單【依字長反排序】 (2)'!$C81, 韻母對照表[台羅拼音]), 0)), "")</f>
        <v>oop</v>
      </c>
      <c r="F87" s="57" t="s">
        <v>22</v>
      </c>
      <c r="G87" s="60" t="str" cm="1">
        <f t="array" ref="G87" xml:space="preserve"> IFERROR( INDEX(韻母對照表[白話字], MATCH(TRUE, EXACT('台語音標韻母清單【依字長反排序】 (2)'!$C81, 韻母對照表[台羅拼音]), 0)), "")</f>
        <v>op</v>
      </c>
      <c r="H87" s="54" t="str" cm="1">
        <f t="array" ref="H87" xml:space="preserve"> IFERROR( INDEX(韻母對照表[十五音識別碼], MATCH(TRUE, EXACT('台語音標韻母清單【依字長反排序】 (2)'!$C81, 韻母對照表[台羅拼音]), 0)), "")</f>
        <v>箴促</v>
      </c>
      <c r="I87" s="57" t="str" cm="1">
        <f t="array" ref="I87" xml:space="preserve"> IFERROR( INDEX(韻母對照表[方音符號], MATCH(TRUE, EXACT('台語音標韻母清單【依字長反排序】 (2)'!$C81, 韻母對照表[台羅拼音]), 0)), "")</f>
        <v>ㆦㆴ</v>
      </c>
      <c r="J87" s="73">
        <f t="shared" si="9"/>
        <v>2</v>
      </c>
      <c r="K87" s="73"/>
      <c r="L87" s="57" t="str">
        <f t="shared" si="10"/>
        <v>ut</v>
      </c>
      <c r="M87" s="57" t="str">
        <f t="shared" si="11"/>
        <v>ut</v>
      </c>
      <c r="O87" s="121" t="str">
        <f t="shared" si="12"/>
        <v>ut(\d)</v>
      </c>
      <c r="P87" s="124" t="s">
        <v>1224</v>
      </c>
      <c r="Q87" s="124">
        <f t="shared" si="13"/>
        <v>1</v>
      </c>
      <c r="R87" s="121" t="str">
        <f t="shared" si="15"/>
        <v>》u${1}t</v>
      </c>
      <c r="S87" s="55"/>
      <c r="T87" s="56" t="str">
        <f t="shared" si="14"/>
        <v xml:space="preserve">    - xform/》ut(\d)/》u${1}t/</v>
      </c>
    </row>
    <row r="88" spans="1:20" ht="27.75" thickBot="1">
      <c r="A88" s="57">
        <f t="shared" si="8"/>
        <v>86</v>
      </c>
      <c r="B88" s="57" t="s">
        <v>476</v>
      </c>
      <c r="C88" s="57" t="s">
        <v>479</v>
      </c>
      <c r="D88" s="57" t="s">
        <v>479</v>
      </c>
      <c r="E88" s="57" t="str" cm="1">
        <f t="array" ref="E88" xml:space="preserve"> IFERROR( INDEX(韻母對照表[注音二式], MATCH(TRUE, EXACT('台語音標韻母清單【依字長反排序】 (2)'!$C88, 韻母對照表[台羅拼音]), 0)), "")</f>
        <v>oom</v>
      </c>
      <c r="F88" s="57" t="s">
        <v>638</v>
      </c>
      <c r="G88" s="60" t="str" cm="1">
        <f t="array" ref="G88" xml:space="preserve"> IFERROR( INDEX(韻母對照表[白話字], MATCH(TRUE, EXACT('台語音標韻母清單【依字長反排序】 (2)'!$C88, 韻母對照表[台羅拼音]), 0)), "")</f>
        <v>om</v>
      </c>
      <c r="H88" s="54" t="str" cm="1">
        <f t="array" ref="H88" xml:space="preserve"> IFERROR( INDEX(韻母對照表[十五音識別碼], MATCH(TRUE, EXACT('台語音標韻母清單【依字長反排序】 (2)'!$C88, 韻母對照表[台羅拼音]), 0)), "")</f>
        <v>箴舒</v>
      </c>
      <c r="I88" s="57" t="str" cm="1">
        <f t="array" ref="I88" xml:space="preserve"> IFERROR( INDEX(韻母對照表[方音符號], MATCH(TRUE, EXACT('台語音標韻母清單【依字長反排序】 (2)'!$C88, 韻母對照表[台羅拼音]), 0)), "")</f>
        <v>ㆱ</v>
      </c>
      <c r="J88" s="73">
        <f t="shared" si="9"/>
        <v>2</v>
      </c>
      <c r="K88" s="73"/>
      <c r="L88" s="57" t="str">
        <f t="shared" si="10"/>
        <v>om</v>
      </c>
      <c r="M88" s="57" t="str">
        <f t="shared" si="11"/>
        <v>-</v>
      </c>
      <c r="O88" s="121" t="str">
        <f t="shared" si="12"/>
        <v>om(\d)</v>
      </c>
      <c r="P88" s="124" t="s">
        <v>1213</v>
      </c>
      <c r="Q88" s="124">
        <f t="shared" si="13"/>
        <v>1</v>
      </c>
      <c r="R88" s="121" t="str">
        <f t="shared" si="15"/>
        <v>》o${1}m</v>
      </c>
      <c r="S88" s="55"/>
      <c r="T88" s="56" t="str">
        <f t="shared" si="14"/>
        <v xml:space="preserve">    - xform/》om(\d)/》o${1}m/</v>
      </c>
    </row>
    <row r="89" spans="1:20" ht="27.75" thickBot="1">
      <c r="A89" s="57">
        <f t="shared" si="8"/>
        <v>87</v>
      </c>
      <c r="B89" s="57" t="s">
        <v>153</v>
      </c>
      <c r="C89" s="57" t="s">
        <v>153</v>
      </c>
      <c r="D89" s="57" t="s">
        <v>153</v>
      </c>
      <c r="E89" s="57" t="str" cm="1">
        <f t="array" ref="E89" xml:space="preserve"> IFERROR( INDEX(韻母對照表[注音二式], MATCH(TRUE, EXACT('台語音標韻母清單【依字長反排序】 (2)'!$C91, 韻母對照表[台羅拼音]), 0)), "")</f>
        <v/>
      </c>
      <c r="F89" s="57" t="str" cm="1">
        <f t="array" ref="F89" xml:space="preserve"> IFERROR( INDEX(韻母對照表[閩拼方案], MATCH(TRUE, EXACT('台語音標韻母清單【依字長反排序】 (2)'!$B91, 韻母對照表[國際音標]), 0)), "")</f>
        <v/>
      </c>
      <c r="G89" s="61" t="str" cm="1">
        <f t="array" ref="G89" xml:space="preserve"> IFERROR( INDEX(韻母對照表[白話字], MATCH(TRUE, EXACT('台語音標韻母清單【依字長反排序】 (2)'!$C91, 韻母對照表[台羅拼音]), 0)), "")</f>
        <v/>
      </c>
      <c r="H89" s="54" t="str" cm="1">
        <f t="array" ref="H89" xml:space="preserve"> IFERROR( INDEX(韻母對照表[十五音識別碼], MATCH(TRUE, EXACT('台語音標韻母清單【依字長反排序】 (2)'!$C91, 韻母對照表[台羅拼音]), 0)), "")</f>
        <v/>
      </c>
      <c r="I89" s="57" t="str" cm="1">
        <f t="array" ref="I89" xml:space="preserve"> IFERROR( INDEX(韻母對照表[方音符號], MATCH(TRUE, EXACT('台語音標韻母清單【依字長反排序】 (2)'!$C91, 韻母對照表[台羅拼音]), 0)), "")</f>
        <v/>
      </c>
      <c r="J89" s="73">
        <f t="shared" si="9"/>
        <v>2</v>
      </c>
      <c r="K89" s="73"/>
      <c r="L89" s="57" t="str">
        <f t="shared" si="10"/>
        <v>ei</v>
      </c>
      <c r="M89" s="57" t="str">
        <f t="shared" si="11"/>
        <v/>
      </c>
      <c r="O89" s="121" t="str">
        <f t="shared" si="12"/>
        <v>ei(\d)</v>
      </c>
      <c r="P89" s="124" t="s">
        <v>1178</v>
      </c>
      <c r="Q89" s="124">
        <f t="shared" si="13"/>
        <v>1</v>
      </c>
      <c r="R89" s="121" t="s">
        <v>1304</v>
      </c>
      <c r="S89" s="55"/>
      <c r="T89" s="56" t="str">
        <f t="shared" si="14"/>
        <v/>
      </c>
    </row>
    <row r="90" spans="1:20" ht="27.75" thickBot="1">
      <c r="A90" s="57">
        <f t="shared" si="8"/>
        <v>88</v>
      </c>
      <c r="B90" s="74" t="s">
        <v>904</v>
      </c>
      <c r="C90" s="57" t="s">
        <v>134</v>
      </c>
      <c r="D90" s="57" t="s">
        <v>134</v>
      </c>
      <c r="E90" s="75" t="str" cm="1">
        <f t="array" ref="E90" xml:space="preserve"> IFERROR( INDEX(韻母對照表[注音二式], MATCH(TRUE, EXACT('台語音標韻母清單【依字長反排序】 (2)'!$C92, 韻母對照表[台羅拼音]), 0)), "")</f>
        <v/>
      </c>
      <c r="F90" s="57" t="str" cm="1">
        <f t="array" ref="F90" xml:space="preserve"> IFERROR( INDEX(韻母對照表[閩拼方案], MATCH(TRUE, EXACT('台語音標韻母清單【依字長反排序】 (2)'!$B92, 韻母對照表[國際音標]), 0)), "")</f>
        <v/>
      </c>
      <c r="G90" s="61" t="str" cm="1">
        <f t="array" ref="G90" xml:space="preserve"> IFERROR( INDEX(韻母對照表[白話字], MATCH(TRUE, EXACT('台語音標韻母清單【依字長反排序】 (2)'!$C92, 韻母對照表[台羅拼音]), 0)), "")</f>
        <v/>
      </c>
      <c r="H90" s="54" t="str" cm="1">
        <f t="array" ref="H90" xml:space="preserve"> IFERROR( INDEX(韻母對照表[十五音識別碼], MATCH(TRUE, EXACT('台語音標韻母清單【依字長反排序】 (2)'!$C92, 韻母對照表[台羅拼音]), 0)), "")</f>
        <v/>
      </c>
      <c r="I90" s="57" t="str" cm="1">
        <f t="array" ref="I90" xml:space="preserve"> IFERROR( INDEX(韻母對照表[方音符號], MATCH(TRUE, EXACT('台語音標韻母清單【依字長反排序】 (2)'!$C92, 韻母對照表[台羅拼音]), 0)), "")</f>
        <v/>
      </c>
      <c r="J90" s="73">
        <f t="shared" si="9"/>
        <v>2</v>
      </c>
      <c r="K90" s="73"/>
      <c r="L90" s="57" t="str">
        <f t="shared" si="10"/>
        <v>ou</v>
      </c>
      <c r="M90" s="57" t="str">
        <f t="shared" si="11"/>
        <v/>
      </c>
      <c r="O90" s="121" t="str">
        <f t="shared" si="12"/>
        <v>ou(\d)</v>
      </c>
      <c r="P90" s="124" t="s">
        <v>1213</v>
      </c>
      <c r="Q90" s="124">
        <f t="shared" si="13"/>
        <v>1</v>
      </c>
      <c r="R90" s="121" t="s">
        <v>1305</v>
      </c>
      <c r="S90" s="55"/>
      <c r="T90" s="56" t="str">
        <f t="shared" si="14"/>
        <v/>
      </c>
    </row>
    <row r="91" spans="1:20" ht="27.75" thickBot="1">
      <c r="A91" s="57">
        <f t="shared" si="8"/>
        <v>89</v>
      </c>
      <c r="B91" s="74" t="s">
        <v>859</v>
      </c>
      <c r="C91" s="57" t="s">
        <v>860</v>
      </c>
      <c r="D91" s="57" t="s">
        <v>860</v>
      </c>
      <c r="E91" s="75" t="str" cm="1">
        <f t="array" ref="E91" xml:space="preserve"> IFERROR( INDEX(韻母對照表[注音二式], MATCH(TRUE, EXACT('台語音標韻母清單【依字長反排序】 (2)'!$C93, 韻母對照表[台羅拼音]), 0)), "")</f>
        <v/>
      </c>
      <c r="F91" s="57" t="str" cm="1">
        <f t="array" ref="F91" xml:space="preserve"> IFERROR( INDEX(韻母對照表[閩拼方案], MATCH(TRUE, EXACT('台語音標韻母清單【依字長反排序】 (2)'!$B93, 韻母對照表[國際音標]), 0)), "")</f>
        <v/>
      </c>
      <c r="G91" s="61" t="str" cm="1">
        <f t="array" ref="G91" xml:space="preserve"> IFERROR( INDEX(韻母對照表[白話字], MATCH(TRUE, EXACT('台語音標韻母清單【依字長反排序】 (2)'!$C93, 韻母對照表[台羅拼音]), 0)), "")</f>
        <v/>
      </c>
      <c r="H91" s="54" t="str" cm="1">
        <f t="array" ref="H91" xml:space="preserve"> IFERROR( INDEX(韻母對照表[十五音識別碼], MATCH(TRUE, EXACT('台語音標韻母清單【依字長反排序】 (2)'!$C93, 韻母對照表[台羅拼音]), 0)), "")</f>
        <v/>
      </c>
      <c r="I91" s="57" t="str" cm="1">
        <f t="array" ref="I91" xml:space="preserve"> IFERROR( INDEX(韻母對照表[方音符號], MATCH(TRUE, EXACT('台語音標韻母清單【依字長反排序】 (2)'!$C93, 韻母對照表[台羅拼音]), 0)), "")</f>
        <v/>
      </c>
      <c r="J91" s="73">
        <f t="shared" si="9"/>
        <v>2</v>
      </c>
      <c r="K91" s="73"/>
      <c r="L91" s="57" t="str">
        <f t="shared" si="10"/>
        <v>ae</v>
      </c>
      <c r="M91" s="57" t="str">
        <f t="shared" si="11"/>
        <v/>
      </c>
      <c r="O91" s="121" t="str">
        <f t="shared" si="12"/>
        <v>ae(\d)</v>
      </c>
      <c r="P91" s="124" t="s">
        <v>1225</v>
      </c>
      <c r="Q91" s="124">
        <f t="shared" si="13"/>
        <v>1</v>
      </c>
      <c r="R91" s="121" t="str">
        <f t="shared" ref="R91:R99" si="16" xml:space="preserve"> IFERROR( _xlfn.CONCAT(LEFT(L91,Q91-1), "》", MID(L91,Q91,1), "${1}", RIGHT(L91, LEN(L91)-Q91)), "" )</f>
        <v>》a${1}e</v>
      </c>
      <c r="S91" s="55"/>
      <c r="T91" s="56" t="str">
        <f t="shared" si="14"/>
        <v/>
      </c>
    </row>
    <row r="92" spans="1:20" ht="27.75" thickBot="1">
      <c r="A92" s="57">
        <f t="shared" si="8"/>
        <v>90</v>
      </c>
      <c r="B92" s="74" t="s">
        <v>865</v>
      </c>
      <c r="C92" s="57" t="s">
        <v>840</v>
      </c>
      <c r="D92" s="57" t="s">
        <v>840</v>
      </c>
      <c r="E92" s="75" t="str" cm="1">
        <f t="array" ref="E92" xml:space="preserve"> IFERROR( INDEX(韻母對照表[注音二式], MATCH(TRUE, EXACT('台語音標韻母清單【依字長反排序】 (2)'!$C96, 韻母對照表[台羅拼音]), 0)), "")</f>
        <v>i</v>
      </c>
      <c r="F92" s="57" t="str" cm="1">
        <f t="array" ref="F92" xml:space="preserve"> IFERROR( INDEX(韻母對照表[閩拼方案], MATCH(TRUE, EXACT('台語音標韻母清單【依字長反排序】 (2)'!$B96, 韻母對照表[國際音標]), 0)), "")</f>
        <v>i</v>
      </c>
      <c r="G92" s="61" t="str" cm="1">
        <f t="array" ref="G92" xml:space="preserve"> IFERROR( INDEX(韻母對照表[白話字], MATCH(TRUE, EXACT('台語音標韻母清單【依字長反排序】 (2)'!$C96, 韻母對照表[台羅拼音]), 0)), "")</f>
        <v>i</v>
      </c>
      <c r="H92" s="54" t="str" cm="1">
        <f t="array" ref="H92" xml:space="preserve"> IFERROR( INDEX(韻母對照表[十五音識別碼], MATCH(TRUE, EXACT('台語音標韻母清單【依字長反排序】 (2)'!$C96, 韻母對照表[台羅拼音]), 0)), "")</f>
        <v>居舒</v>
      </c>
      <c r="I92" s="57" t="str" cm="1">
        <f t="array" ref="I92" xml:space="preserve"> IFERROR( INDEX(韻母對照表[方音符號], MATCH(TRUE, EXACT('台語音標韻母清單【依字長反排序】 (2)'!$C96, 韻母對照表[台羅拼音]), 0)), "")</f>
        <v>ㄧ</v>
      </c>
      <c r="J92" s="73">
        <f t="shared" si="9"/>
        <v>2</v>
      </c>
      <c r="K92" s="73"/>
      <c r="L92" s="57" t="str">
        <f t="shared" si="10"/>
        <v>eu</v>
      </c>
      <c r="M92" s="57" t="str">
        <f t="shared" si="11"/>
        <v>i</v>
      </c>
      <c r="O92" s="121" t="str">
        <f t="shared" si="12"/>
        <v>eu(\d)</v>
      </c>
      <c r="P92" s="124" t="s">
        <v>1178</v>
      </c>
      <c r="Q92" s="124">
        <f t="shared" si="13"/>
        <v>1</v>
      </c>
      <c r="R92" s="121" t="str">
        <f t="shared" si="16"/>
        <v>》e${1}u</v>
      </c>
      <c r="S92" s="55"/>
      <c r="T92" s="56" t="str">
        <f t="shared" si="14"/>
        <v xml:space="preserve">    - xform/》eu(\d)/》e${1}u/</v>
      </c>
    </row>
    <row r="93" spans="1:20" ht="27.75" thickBot="1">
      <c r="A93" s="57">
        <f t="shared" si="8"/>
        <v>91</v>
      </c>
      <c r="B93" s="74" t="s">
        <v>889</v>
      </c>
      <c r="C93" s="57" t="s">
        <v>116</v>
      </c>
      <c r="D93" s="57" t="s">
        <v>116</v>
      </c>
      <c r="E93" s="75" t="str" cm="1">
        <f t="array" ref="E93" xml:space="preserve"> IFERROR( INDEX(韻母對照表[注音二式], MATCH(TRUE, EXACT('台語音標韻母清單【依字長反排序】 (2)'!$C99, 韻母對照表[台羅拼音]), 0)), "")</f>
        <v>u</v>
      </c>
      <c r="F93" s="57" t="str" cm="1">
        <f t="array" ref="F93" xml:space="preserve"> IFERROR( INDEX(韻母對照表[閩拼方案], MATCH(TRUE, EXACT('台語音標韻母清單【依字長反排序】 (2)'!$B99, 韻母對照表[國際音標]), 0)), "")</f>
        <v>u</v>
      </c>
      <c r="G93" s="59" t="str" cm="1">
        <f t="array" ref="G93" xml:space="preserve"> IFERROR( INDEX(韻母對照表[白話字], MATCH(TRUE, EXACT('台語音標韻母清單【依字長反排序】 (2)'!$C99, 韻母對照表[台羅拼音]), 0)), "")</f>
        <v>u</v>
      </c>
      <c r="H93" s="54" t="str" cm="1">
        <f t="array" ref="H93" xml:space="preserve"> IFERROR( INDEX(韻母對照表[十五音識別碼], MATCH(TRUE, EXACT('台語音標韻母清單【依字長反排序】 (2)'!$C99, 韻母對照表[台羅拼音]), 0)), "")</f>
        <v>艍舒</v>
      </c>
      <c r="I93" s="57" t="str" cm="1">
        <f t="array" ref="I93" xml:space="preserve"> IFERROR( INDEX(韻母對照表[方音符號], MATCH(TRUE, EXACT('台語音標韻母清單【依字長反排序】 (2)'!$C99, 韻母對照表[台羅拼音]), 0)), "")</f>
        <v>ㄨ</v>
      </c>
      <c r="J93" s="73">
        <f t="shared" si="9"/>
        <v>2</v>
      </c>
      <c r="K93" s="73"/>
      <c r="L93" s="57" t="str">
        <f t="shared" si="10"/>
        <v>ek</v>
      </c>
      <c r="M93" s="57" t="str">
        <f t="shared" si="11"/>
        <v>u</v>
      </c>
      <c r="O93" s="121" t="str">
        <f t="shared" si="12"/>
        <v>ek(\d)</v>
      </c>
      <c r="P93" s="124" t="s">
        <v>1178</v>
      </c>
      <c r="Q93" s="124">
        <f t="shared" si="13"/>
        <v>1</v>
      </c>
      <c r="R93" s="121" t="str">
        <f t="shared" si="16"/>
        <v>》e${1}k</v>
      </c>
      <c r="S93" s="55"/>
      <c r="T93" s="56" t="str">
        <f t="shared" si="14"/>
        <v xml:space="preserve">    - xform/》ek(\d)/》e${1}k/</v>
      </c>
    </row>
    <row r="94" spans="1:20" ht="27.75" thickBot="1">
      <c r="A94" s="57">
        <f t="shared" si="8"/>
        <v>92</v>
      </c>
      <c r="B94" s="57" t="s">
        <v>316</v>
      </c>
      <c r="C94" s="57" t="s">
        <v>316</v>
      </c>
      <c r="D94" s="57" t="s">
        <v>316</v>
      </c>
      <c r="E94" s="57" t="str" cm="1">
        <f t="array" ref="E94" xml:space="preserve"> IFERROR( INDEX(韻母對照表[注音二式], MATCH(TRUE, EXACT('台語音標韻母清單【依字長反排序】 (2)'!$C82, 韻母對照表[台羅拼音]), 0)), "")</f>
        <v>ua</v>
      </c>
      <c r="F94" s="57" t="s">
        <v>855</v>
      </c>
      <c r="G94" s="60" t="str" cm="1">
        <f t="array" ref="G94" xml:space="preserve"> IFERROR( INDEX(韻母對照表[白話字], MATCH(TRUE, EXACT('台語音標韻母清單【依字長反排序】 (2)'!$C82, 韻母對照表[台羅拼音]), 0)), "")</f>
        <v>oa</v>
      </c>
      <c r="H94" s="54" t="str" cm="1">
        <f t="array" ref="H94" xml:space="preserve"> IFERROR( INDEX(韻母對照表[十五音識別碼], MATCH(TRUE, EXACT('台語音標韻母清單【依字長反排序】 (2)'!$C82, 韻母對照表[台羅拼音]), 0)), "")</f>
        <v>瓜舒</v>
      </c>
      <c r="I94" s="57" t="str" cm="1">
        <f t="array" ref="I94" xml:space="preserve"> IFERROR( INDEX(韻母對照表[方音符號], MATCH(TRUE, EXACT('台語音標韻母清單【依字長反排序】 (2)'!$C82, 韻母對照表[台羅拼音]), 0)), "")</f>
        <v>ㄨㄚ</v>
      </c>
      <c r="J94" s="73">
        <f t="shared" si="9"/>
        <v>1</v>
      </c>
      <c r="K94" s="73"/>
      <c r="L94" s="57" t="str">
        <f t="shared" si="10"/>
        <v>a</v>
      </c>
      <c r="M94" s="57" t="str">
        <f t="shared" si="11"/>
        <v>ɑ</v>
      </c>
      <c r="O94" s="121" t="str">
        <f t="shared" si="12"/>
        <v>a(\d)</v>
      </c>
      <c r="P94" s="124" t="s">
        <v>1225</v>
      </c>
      <c r="Q94" s="124">
        <f t="shared" si="13"/>
        <v>1</v>
      </c>
      <c r="R94" s="121" t="str">
        <f t="shared" si="16"/>
        <v>》a${1}</v>
      </c>
      <c r="S94" s="55"/>
      <c r="T94" s="56" t="str">
        <f t="shared" si="14"/>
        <v xml:space="preserve">    - xform/》a(\d)/》a${1}/</v>
      </c>
    </row>
    <row r="95" spans="1:20" ht="27.75" thickBot="1">
      <c r="A95" s="57">
        <f t="shared" si="8"/>
        <v>93</v>
      </c>
      <c r="B95" s="57" t="s">
        <v>60</v>
      </c>
      <c r="C95" s="57" t="s">
        <v>60</v>
      </c>
      <c r="D95" s="57" t="s">
        <v>60</v>
      </c>
      <c r="E95" s="57" t="str" cm="1">
        <f t="array" ref="E95" xml:space="preserve"> IFERROR( INDEX(韻母對照表[注音二式], MATCH(TRUE, EXACT('台語音標韻母清單【依字長反排序】 (2)'!$C83, 韻母對照表[台羅拼音]), 0)), "")</f>
        <v>ue</v>
      </c>
      <c r="F95" s="57" t="s">
        <v>60</v>
      </c>
      <c r="G95" s="60" t="str" cm="1">
        <f t="array" ref="G95" xml:space="preserve"> IFERROR( INDEX(韻母對照表[白話字], MATCH(TRUE, EXACT('台語音標韻母清單【依字長反排序】 (2)'!$C83, 韻母對照表[台羅拼音]), 0)), "")</f>
        <v>oe</v>
      </c>
      <c r="H95" s="54" t="str" cm="1">
        <f t="array" ref="H95" xml:space="preserve"> IFERROR( INDEX(韻母對照表[十五音識別碼], MATCH(TRUE, EXACT('台語音標韻母清單【依字長反排序】 (2)'!$C83, 韻母對照表[台羅拼音]), 0)), "")</f>
        <v>檜舒</v>
      </c>
      <c r="I95" s="57" t="str" cm="1">
        <f t="array" ref="I95" xml:space="preserve"> IFERROR( INDEX(韻母對照表[方音符號], MATCH(TRUE, EXACT('台語音標韻母清單【依字長反排序】 (2)'!$C83, 韻母對照表[台羅拼音]), 0)), "")</f>
        <v>ㄨㆤ</v>
      </c>
      <c r="J95" s="73">
        <f t="shared" si="9"/>
        <v>1</v>
      </c>
      <c r="K95" s="73"/>
      <c r="L95" s="57" t="str">
        <f t="shared" si="10"/>
        <v>e</v>
      </c>
      <c r="M95" s="57" t="str">
        <f t="shared" si="11"/>
        <v>e</v>
      </c>
      <c r="O95" s="121" t="str">
        <f t="shared" si="12"/>
        <v>e(\d)</v>
      </c>
      <c r="P95" s="124" t="s">
        <v>1178</v>
      </c>
      <c r="Q95" s="124">
        <f t="shared" si="13"/>
        <v>1</v>
      </c>
      <c r="R95" s="121" t="str">
        <f t="shared" si="16"/>
        <v>》e${1}</v>
      </c>
      <c r="S95" s="55"/>
      <c r="T95" s="56" t="str">
        <f t="shared" si="14"/>
        <v xml:space="preserve">    - xform/》e(\d)/》e${1}/</v>
      </c>
    </row>
    <row r="96" spans="1:20" ht="27.75" thickBot="1">
      <c r="A96" s="57">
        <f t="shared" si="8"/>
        <v>94</v>
      </c>
      <c r="B96" s="57" t="s">
        <v>324</v>
      </c>
      <c r="C96" s="57" t="s">
        <v>324</v>
      </c>
      <c r="D96" s="57" t="s">
        <v>324</v>
      </c>
      <c r="E96" s="57" t="str" cm="1">
        <f t="array" ref="E96" xml:space="preserve"> IFERROR( INDEX(韻母對照表[注音二式], MATCH(TRUE, EXACT('台語音標韻母清單【依字長反排序】 (2)'!$C84, 韻母對照表[台羅拼音]), 0)), "")</f>
        <v>uh</v>
      </c>
      <c r="F96" s="57" t="s">
        <v>324</v>
      </c>
      <c r="G96" s="60" t="str" cm="1">
        <f t="array" ref="G96" xml:space="preserve"> IFERROR( INDEX(韻母對照表[白話字], MATCH(TRUE, EXACT('台語音標韻母清單【依字長反排序】 (2)'!$C84, 韻母對照表[台羅拼音]), 0)), "")</f>
        <v>uh</v>
      </c>
      <c r="H96" s="54" t="str" cm="1">
        <f t="array" ref="H96" xml:space="preserve"> IFERROR( INDEX(韻母對照表[十五音識別碼], MATCH(TRUE, EXACT('台語音標韻母清單【依字長反排序】 (2)'!$C84, 韻母對照表[台羅拼音]), 0)), "")</f>
        <v>艍促</v>
      </c>
      <c r="I96" s="57" t="str" cm="1">
        <f t="array" ref="I96" xml:space="preserve"> IFERROR( INDEX(韻母對照表[方音符號], MATCH(TRUE, EXACT('台語音標韻母清單【依字長反排序】 (2)'!$C84, 韻母對照表[台羅拼音]), 0)), "")</f>
        <v>ㄨㆷ</v>
      </c>
      <c r="J96" s="73">
        <f t="shared" si="9"/>
        <v>1</v>
      </c>
      <c r="K96" s="73"/>
      <c r="L96" s="57" t="str">
        <f t="shared" si="10"/>
        <v>i</v>
      </c>
      <c r="M96" s="57" t="str">
        <f t="shared" si="11"/>
        <v>i</v>
      </c>
      <c r="O96" s="121" t="str">
        <f t="shared" si="12"/>
        <v>i(\d)</v>
      </c>
      <c r="P96" s="124" t="s">
        <v>1226</v>
      </c>
      <c r="Q96" s="124">
        <f t="shared" si="13"/>
        <v>1</v>
      </c>
      <c r="R96" s="121" t="str">
        <f t="shared" si="16"/>
        <v>》i${1}</v>
      </c>
      <c r="S96" s="55"/>
      <c r="T96" s="56" t="str">
        <f t="shared" si="14"/>
        <v xml:space="preserve">    - xform/》i(\d)/》i${1}/</v>
      </c>
    </row>
    <row r="97" spans="1:20" ht="27.75" thickBot="1">
      <c r="A97" s="57">
        <f t="shared" si="8"/>
        <v>95</v>
      </c>
      <c r="B97" s="57" t="s">
        <v>430</v>
      </c>
      <c r="C97" s="57" t="s">
        <v>432</v>
      </c>
      <c r="D97" s="57" t="s">
        <v>432</v>
      </c>
      <c r="E97" s="57" t="str" cm="1">
        <f t="array" ref="E97" xml:space="preserve"> IFERROR( INDEX(韻母對照表[注音二式], MATCH(TRUE, EXACT('台語音標韻母清單【依字長反排序】 (2)'!$C85, 韻母對照表[台羅拼音]), 0)), "")</f>
        <v>ui</v>
      </c>
      <c r="F97" s="57" t="s">
        <v>432</v>
      </c>
      <c r="G97" s="60" t="str" cm="1">
        <f t="array" ref="G97" xml:space="preserve"> IFERROR( INDEX(韻母對照表[白話字], MATCH(TRUE, EXACT('台語音標韻母清單【依字長反排序】 (2)'!$C85, 韻母對照表[台羅拼音]), 0)), "")</f>
        <v>ui</v>
      </c>
      <c r="H97" s="54" t="str" cm="1">
        <f t="array" ref="H97" xml:space="preserve"> IFERROR( INDEX(韻母對照表[十五音識別碼], MATCH(TRUE, EXACT('台語音標韻母清單【依字長反排序】 (2)'!$C85, 韻母對照表[台羅拼音]), 0)), "")</f>
        <v>規舒</v>
      </c>
      <c r="I97" s="57" t="str" cm="1">
        <f t="array" ref="I97" xml:space="preserve"> IFERROR( INDEX(韻母對照表[方音符號], MATCH(TRUE, EXACT('台語音標韻母清單【依字長反排序】 (2)'!$C85, 韻母對照表[台羅拼音]), 0)), "")</f>
        <v>ㄨㄧ</v>
      </c>
      <c r="J97" s="73">
        <f t="shared" si="9"/>
        <v>1</v>
      </c>
      <c r="K97" s="73"/>
      <c r="L97" s="57" t="str">
        <f t="shared" si="10"/>
        <v>m</v>
      </c>
      <c r="M97" s="57" t="str">
        <f t="shared" si="11"/>
        <v>m</v>
      </c>
      <c r="O97" s="121" t="str">
        <f t="shared" si="12"/>
        <v>m(\d)</v>
      </c>
      <c r="P97" s="124" t="s">
        <v>1303</v>
      </c>
      <c r="Q97" s="124">
        <f t="shared" si="13"/>
        <v>1</v>
      </c>
      <c r="R97" s="121" t="str">
        <f t="shared" si="16"/>
        <v>》m${1}</v>
      </c>
      <c r="S97" s="55"/>
      <c r="T97" s="56" t="str">
        <f t="shared" si="14"/>
        <v xml:space="preserve">    - xform/》m(\d)/》m${1}/</v>
      </c>
    </row>
    <row r="98" spans="1:20" ht="27.75" thickBot="1">
      <c r="A98" s="57">
        <f t="shared" si="8"/>
        <v>96</v>
      </c>
      <c r="B98" s="57" t="s">
        <v>171</v>
      </c>
      <c r="C98" s="57" t="s">
        <v>171</v>
      </c>
      <c r="D98" s="57" t="s">
        <v>171</v>
      </c>
      <c r="E98" s="57" t="str" cm="1">
        <f t="array" ref="E98" xml:space="preserve"> IFERROR( INDEX(韻母對照表[注音二式], MATCH(TRUE, EXACT('台語音標韻母清單【依字長反排序】 (2)'!$C86, 韻母對照表[台羅拼音]), 0)), "")</f>
        <v>un</v>
      </c>
      <c r="F98" s="57" t="s">
        <v>171</v>
      </c>
      <c r="G98" s="60" t="str" cm="1">
        <f t="array" ref="G98" xml:space="preserve"> IFERROR( INDEX(韻母對照表[白話字], MATCH(TRUE, EXACT('台語音標韻母清單【依字長反排序】 (2)'!$C86, 韻母對照表[台羅拼音]), 0)), "")</f>
        <v>un</v>
      </c>
      <c r="H98" s="54" t="str" cm="1">
        <f t="array" ref="H98" xml:space="preserve"> IFERROR( INDEX(韻母對照表[十五音識別碼], MATCH(TRUE, EXACT('台語音標韻母清單【依字長反排序】 (2)'!$C86, 韻母對照表[台羅拼音]), 0)), "")</f>
        <v>君舒</v>
      </c>
      <c r="I98" s="57" t="str" cm="1">
        <f t="array" ref="I98" xml:space="preserve"> IFERROR( INDEX(韻母對照表[方音符號], MATCH(TRUE, EXACT('台語音標韻母清單【依字長反排序】 (2)'!$C86, 韻母對照表[台羅拼音]), 0)), "")</f>
        <v>ㄨㄣ</v>
      </c>
      <c r="J98" s="73">
        <f t="shared" si="9"/>
        <v>1</v>
      </c>
      <c r="K98" s="73"/>
      <c r="L98" s="57" t="str">
        <f t="shared" si="10"/>
        <v>o</v>
      </c>
      <c r="M98" s="57" t="str">
        <f t="shared" si="11"/>
        <v>o</v>
      </c>
      <c r="O98" s="121" t="str">
        <f t="shared" si="12"/>
        <v>o(\d)</v>
      </c>
      <c r="P98" s="124" t="s">
        <v>1213</v>
      </c>
      <c r="Q98" s="124">
        <f t="shared" si="13"/>
        <v>1</v>
      </c>
      <c r="R98" s="121" t="str">
        <f t="shared" si="16"/>
        <v>》o${1}</v>
      </c>
      <c r="S98" s="55"/>
      <c r="T98" s="56" t="str">
        <f t="shared" si="14"/>
        <v xml:space="preserve">    - xform/》o(\d)/》o${1}/</v>
      </c>
    </row>
    <row r="99" spans="1:20" ht="27.75" thickBot="1">
      <c r="A99" s="57">
        <f t="shared" si="8"/>
        <v>97</v>
      </c>
      <c r="B99" s="57" t="s">
        <v>308</v>
      </c>
      <c r="C99" s="57" t="s">
        <v>308</v>
      </c>
      <c r="D99" s="57" t="s">
        <v>308</v>
      </c>
      <c r="E99" s="57" t="str" cm="1">
        <f t="array" ref="E99" xml:space="preserve"> IFERROR( INDEX(韻母對照表[注音二式], MATCH(TRUE, EXACT('台語音標韻母清單【依字長反排序】 (2)'!$C87, 韻母對照表[台羅拼音]), 0)), "")</f>
        <v>ut</v>
      </c>
      <c r="F99" s="57" t="s">
        <v>308</v>
      </c>
      <c r="G99" s="60" t="str" cm="1">
        <f t="array" ref="G99" xml:space="preserve"> IFERROR( INDEX(韻母對照表[白話字], MATCH(TRUE, EXACT('台語音標韻母清單【依字長反排序】 (2)'!$C87, 韻母對照表[台羅拼音]), 0)), "")</f>
        <v>ut</v>
      </c>
      <c r="H99" s="54" t="str" cm="1">
        <f t="array" ref="H99" xml:space="preserve"> IFERROR( INDEX(韻母對照表[十五音識別碼], MATCH(TRUE, EXACT('台語音標韻母清單【依字長反排序】 (2)'!$C87, 韻母對照表[台羅拼音]), 0)), "")</f>
        <v>君促</v>
      </c>
      <c r="I99" s="57" t="str" cm="1">
        <f t="array" ref="I99" xml:space="preserve"> IFERROR( INDEX(韻母對照表[方音符號], MATCH(TRUE, EXACT('台語音標韻母清單【依字長反排序】 (2)'!$C87, 韻母對照表[台羅拼音]), 0)), "")</f>
        <v>ㄨㆵ</v>
      </c>
      <c r="J99" s="73">
        <f t="shared" si="9"/>
        <v>1</v>
      </c>
      <c r="K99" s="73"/>
      <c r="L99" s="57" t="str">
        <f t="shared" si="10"/>
        <v>u</v>
      </c>
      <c r="M99" s="57" t="str">
        <f t="shared" si="11"/>
        <v>u</v>
      </c>
      <c r="O99" s="121" t="str">
        <f t="shared" si="12"/>
        <v>u(\d)</v>
      </c>
      <c r="P99" s="124" t="s">
        <v>1224</v>
      </c>
      <c r="Q99" s="124">
        <f t="shared" si="13"/>
        <v>1</v>
      </c>
      <c r="R99" s="121" t="str">
        <f t="shared" si="16"/>
        <v>》u${1}</v>
      </c>
      <c r="S99" s="55"/>
      <c r="T99" s="56" t="str">
        <f t="shared" si="14"/>
        <v xml:space="preserve">    - xform/》u(\d)/》u${1}/</v>
      </c>
    </row>
    <row r="103" spans="1:20">
      <c r="F103" s="51">
        <f xml:space="preserve"> _xlfn.UNICODE( RIGHT(G103,1) )</f>
        <v>856</v>
      </c>
      <c r="G103" s="51" t="s">
        <v>137</v>
      </c>
    </row>
    <row r="104" spans="1:20">
      <c r="F104" s="51" t="str">
        <f xml:space="preserve"> _xlfn.CONCAT("o", _xlfn.UNICHAR(F103))</f>
        <v>o͘</v>
      </c>
    </row>
  </sheetData>
  <autoFilter ref="B3:K99" xr:uid="{1D918839-8279-4205-A1C9-3667D2078600}"/>
  <phoneticPr fontId="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8839-8279-4205-A1C9-3667D2078600}">
  <dimension ref="A1:N103"/>
  <sheetViews>
    <sheetView showGridLines="0" workbookViewId="0">
      <pane ySplit="2" topLeftCell="A3" activePane="bottomLeft" state="frozen"/>
      <selection pane="bottomLeft" activeCell="H104" sqref="H104"/>
    </sheetView>
  </sheetViews>
  <sheetFormatPr defaultRowHeight="16.5"/>
  <cols>
    <col min="1" max="1" width="5.58203125" style="51" customWidth="1"/>
    <col min="2" max="10" width="10.25" style="51" customWidth="1"/>
    <col min="11" max="12" width="10.08203125" style="51" customWidth="1"/>
    <col min="13" max="13" width="10.25" style="51" customWidth="1"/>
    <col min="14" max="14" width="20.6640625" style="51" bestFit="1" customWidth="1"/>
    <col min="15" max="16384" width="8.6640625" style="51"/>
  </cols>
  <sheetData>
    <row r="1" spans="1:14" ht="46.5" customHeight="1" thickBot="1">
      <c r="A1" s="50"/>
      <c r="B1" s="50" t="str">
        <f xml:space="preserve"> "(""" &amp; _xlfn.TEXTJOIN(""",""",TRUE,F3:F86) &amp; """)"</f>
        <v>("niɑoh","nuɑih","iɑnɡ","iaoh","ionɡ","nɑeh","nɑoh","niɑh","niɑo","nooh","ɑeh","anɡ","ɑoh","iɑh","iɑk","iɑm","iɑn","iɑo","iɑp","iɑt","inɡ","ioh","iok","iuh","nɑe","nɑh","nɑi","nɑo","ngh","nia","nih","niu","noo","nua","nui","onɡ","ooh","uɑh","uai","uɑi","uɑn","uɑt","ueh","ɑe","ɑh","ai","ɑk","ɑm","ɑn","ao","ɑp","ɑt","eh","eu","iɑ","ie","ih","ik","im","in","io","ip","it","iu","mh","na","ng","ni","oh","ok","oo","op","uɑ","ue","uh","ui","un","ut","ɑ","e","i","m","o","u")</v>
      </c>
      <c r="D1" s="50"/>
      <c r="H1" s="50"/>
      <c r="I1" s="50"/>
    </row>
    <row r="2" spans="1:14" ht="48.75" thickBot="1">
      <c r="A2" s="58" t="s">
        <v>895</v>
      </c>
      <c r="B2" s="58" t="s">
        <v>875</v>
      </c>
      <c r="C2" s="58" t="s">
        <v>756</v>
      </c>
      <c r="D2" s="58" t="s">
        <v>662</v>
      </c>
      <c r="E2" s="58" t="s">
        <v>873</v>
      </c>
      <c r="F2" s="58" t="s">
        <v>758</v>
      </c>
      <c r="G2" s="58" t="s">
        <v>870</v>
      </c>
      <c r="H2" s="58" t="s">
        <v>874</v>
      </c>
      <c r="I2" s="58" t="s">
        <v>757</v>
      </c>
      <c r="J2" s="53"/>
      <c r="K2" s="58" t="s">
        <v>873</v>
      </c>
      <c r="L2" s="52" t="s">
        <v>662</v>
      </c>
      <c r="M2" s="53"/>
    </row>
    <row r="3" spans="1:14" ht="27.75" thickBot="1">
      <c r="A3" s="57">
        <f xml:space="preserve"> ROW() -2</f>
        <v>1</v>
      </c>
      <c r="B3" s="74" t="str" cm="1">
        <f t="array" ref="B3" xml:space="preserve"> IFERROR( INDEX(韻母對照表[國際音標], MATCH(TRUE, EXACT(韻母轉換規則!$C3, 韻母對照表[台羅拼音]), 0)), "")</f>
        <v>iãuʔ</v>
      </c>
      <c r="C3" s="57" t="s">
        <v>472</v>
      </c>
      <c r="D3" s="57" t="s">
        <v>472</v>
      </c>
      <c r="E3" s="57" t="str" cm="1">
        <f t="array" ref="E3" xml:space="preserve"> IFERROR( INDEX(韻母對照表[注音二式], MATCH(TRUE, EXACT(韻母轉換規則!$C3, 韻母對照表[台羅拼音]), 0)), "")</f>
        <v>iaunnh</v>
      </c>
      <c r="F3" s="57" t="s">
        <v>777</v>
      </c>
      <c r="G3" s="61" t="str" cm="1">
        <f t="array" ref="G3" xml:space="preserve"> IFERROR( INDEX(韻母對照表[白話字], MATCH(TRUE, EXACT(韻母轉換規則!$C3, 韻母對照表[台羅拼音]), 0)), "")</f>
        <v>iauhⁿ</v>
      </c>
      <c r="H3" s="54" t="str" cm="1">
        <f t="array" ref="H3" xml:space="preserve"> IFERROR( INDEX(韻母對照表[十五音識別碼], MATCH(TRUE, EXACT(韻母轉換規則!$C3, 韻母對照表[台羅拼音]), 0)), "")</f>
        <v>嘄促</v>
      </c>
      <c r="I3" s="57" t="str" cm="1">
        <f t="array" ref="I3" xml:space="preserve"> IFERROR( INDEX(韻母對照表[方音符號], MATCH(TRUE, EXACT(韻母轉換規則!$C3, 韻母對照表[台羅拼音]), 0)), "")</f>
        <v>ㄧㆯㆷ</v>
      </c>
      <c r="J3" s="73"/>
      <c r="K3" s="57" t="str">
        <f t="shared" ref="K3:K34" si="0">E3</f>
        <v>iaunnh</v>
      </c>
      <c r="L3" s="57" t="str">
        <f>D3</f>
        <v>iaunnh</v>
      </c>
      <c r="M3" s="55"/>
      <c r="N3" s="56" t="str">
        <f t="shared" ref="N3:N34" si="1" xml:space="preserve"> IF(AND(K3&lt;&gt;"", L3&lt;&gt;""), "xform/" &amp; $E3 &amp;  "/"  &amp; $D3 &amp;  "/", "")</f>
        <v>xform/iaunnh/iaunnh/</v>
      </c>
    </row>
    <row r="4" spans="1:14" ht="27.75" thickBot="1">
      <c r="A4" s="57">
        <f t="shared" ref="A4:A67" si="2" xml:space="preserve"> ROW() -2</f>
        <v>2</v>
      </c>
      <c r="B4" s="74" t="str" cm="1">
        <f t="array" ref="B4" xml:space="preserve"> IFERROR( INDEX(韻母對照表[國際音標], MATCH(TRUE, EXACT(韻母轉換規則!$C4, 韻母對照表[台羅拼音]), 0)), "")</f>
        <v>uãiʔ</v>
      </c>
      <c r="C4" s="57" t="s">
        <v>455</v>
      </c>
      <c r="D4" s="57" t="s">
        <v>455</v>
      </c>
      <c r="E4" s="57" t="str" cm="1">
        <f t="array" ref="E4" xml:space="preserve"> IFERROR( INDEX(韻母對照表[注音二式], MATCH(TRUE, EXACT(韻母轉換規則!$C4, 韻母對照表[台羅拼音]), 0)), "")</f>
        <v>uainnh</v>
      </c>
      <c r="F4" s="57" t="s">
        <v>778</v>
      </c>
      <c r="G4" s="61" t="str" cm="1">
        <f t="array" ref="G4" xml:space="preserve"> IFERROR( INDEX(韻母對照表[白話字], MATCH(TRUE, EXACT(韻母轉換規則!$C4, 韻母對照表[台羅拼音]), 0)), "")</f>
        <v>oaihⁿ</v>
      </c>
      <c r="H4" s="54" t="str" cm="1">
        <f t="array" ref="H4" xml:space="preserve"> IFERROR( INDEX(韻母對照表[十五音識別碼], MATCH(TRUE, EXACT(韻母轉換規則!$C4, 韻母對照表[台羅拼音]), 0)), "")</f>
        <v>閂促</v>
      </c>
      <c r="I4" s="57" t="str" cm="1">
        <f t="array" ref="I4" xml:space="preserve"> IFERROR( INDEX(韻母對照表[方音符號], MATCH(TRUE, EXACT(韻母轉換規則!$C4, 韻母對照表[台羅拼音]), 0)), "")</f>
        <v>ㄨㆮㆷ</v>
      </c>
      <c r="J4" s="73"/>
      <c r="K4" s="57" t="str">
        <f t="shared" si="0"/>
        <v>uainnh</v>
      </c>
      <c r="L4" s="57" t="str">
        <f t="shared" ref="L4:L33" si="3">D4</f>
        <v>uainnh</v>
      </c>
      <c r="M4" s="55"/>
      <c r="N4" s="56" t="str">
        <f t="shared" si="1"/>
        <v>xform/uainnh/uainnh/</v>
      </c>
    </row>
    <row r="5" spans="1:14" ht="27.75" thickBot="1">
      <c r="A5" s="57">
        <f t="shared" si="2"/>
        <v>3</v>
      </c>
      <c r="B5" s="57" t="s">
        <v>779</v>
      </c>
      <c r="C5" s="57" t="s">
        <v>203</v>
      </c>
      <c r="D5" s="57" t="s">
        <v>203</v>
      </c>
      <c r="E5" s="57" t="str" cm="1">
        <f t="array" ref="E5" xml:space="preserve"> IFERROR( INDEX(韻母對照表[注音二式], MATCH(TRUE, EXACT(韻母轉換規則!$C5, 韻母對照表[台羅拼音]), 0)), "")</f>
        <v>iang</v>
      </c>
      <c r="F5" s="57" t="s">
        <v>780</v>
      </c>
      <c r="G5" s="60" t="str" cm="1">
        <f t="array" ref="G5" xml:space="preserve"> IFERROR( INDEX(韻母對照表[白話字], MATCH(TRUE, EXACT(韻母轉換規則!$C5, 韻母對照表[台羅拼音]), 0)), "")</f>
        <v>iang</v>
      </c>
      <c r="H5" s="54" t="str" cm="1">
        <f t="array" ref="H5" xml:space="preserve"> IFERROR( INDEX(韻母對照表[十五音識別碼], MATCH(TRUE, EXACT(韻母轉換規則!$C5, 韻母對照表[台羅拼音]), 0)), "")</f>
        <v>姜舒</v>
      </c>
      <c r="I5" s="57" t="str" cm="1">
        <f t="array" ref="I5" xml:space="preserve"> IFERROR( INDEX(韻母對照表[方音符號], MATCH(TRUE, EXACT(韻母轉換規則!$C5, 韻母對照表[台羅拼音]), 0)), "")</f>
        <v>ㄧㄤ</v>
      </c>
      <c r="J5" s="73"/>
      <c r="K5" s="57" t="str">
        <f t="shared" si="0"/>
        <v>iang</v>
      </c>
      <c r="L5" s="57" t="str">
        <f t="shared" si="3"/>
        <v>iang</v>
      </c>
      <c r="M5" s="55"/>
      <c r="N5" s="56" t="str">
        <f t="shared" si="1"/>
        <v>xform/iang/iang/</v>
      </c>
    </row>
    <row r="6" spans="1:14" ht="27.75" thickBot="1">
      <c r="A6" s="57">
        <f t="shared" si="2"/>
        <v>4</v>
      </c>
      <c r="B6" s="57" t="s">
        <v>781</v>
      </c>
      <c r="C6" s="57" t="s">
        <v>148</v>
      </c>
      <c r="D6" s="57" t="s">
        <v>148</v>
      </c>
      <c r="E6" s="57" t="str" cm="1">
        <f t="array" ref="E6" xml:space="preserve"> IFERROR( INDEX(韻母對照表[注音二式], MATCH(TRUE, EXACT(韻母轉換規則!$C6, 韻母對照表[台羅拼音]), 0)), "")</f>
        <v>iauh</v>
      </c>
      <c r="F6" s="57" t="s">
        <v>149</v>
      </c>
      <c r="G6" s="59" t="str" cm="1">
        <f t="array" ref="G6" xml:space="preserve"> IFERROR( INDEX(韻母對照表[白話字], MATCH(TRUE, EXACT(韻母轉換規則!$C6, 韻母對照表[台羅拼音]), 0)), "")</f>
        <v>iauh</v>
      </c>
      <c r="H6" s="54" t="str" cm="1">
        <f t="array" ref="H6" xml:space="preserve"> IFERROR( INDEX(韻母對照表[十五音識別碼], MATCH(TRUE, EXACT(韻母轉換規則!$C6, 韻母對照表[台羅拼音]), 0)), "")</f>
        <v>嬌促</v>
      </c>
      <c r="I6" s="57" t="str" cm="1">
        <f t="array" ref="I6" xml:space="preserve"> IFERROR( INDEX(韻母對照表[方音符號], MATCH(TRUE, EXACT(韻母轉換規則!$C6, 韻母對照表[台羅拼音]), 0)), "")</f>
        <v>ㄧㄠㆷ</v>
      </c>
      <c r="J6" s="73"/>
      <c r="K6" s="57" t="str">
        <f t="shared" si="0"/>
        <v>iauh</v>
      </c>
      <c r="L6" s="57" t="str">
        <f t="shared" si="3"/>
        <v>iauh</v>
      </c>
      <c r="M6" s="55"/>
      <c r="N6" s="56" t="str">
        <f t="shared" si="1"/>
        <v>xform/iauh/iauh/</v>
      </c>
    </row>
    <row r="7" spans="1:14" ht="27.75" thickBot="1">
      <c r="A7" s="57">
        <f t="shared" si="2"/>
        <v>5</v>
      </c>
      <c r="B7" s="57" t="s">
        <v>159</v>
      </c>
      <c r="C7" s="57" t="s">
        <v>162</v>
      </c>
      <c r="D7" s="57" t="s">
        <v>162</v>
      </c>
      <c r="E7" s="57" t="str" cm="1">
        <f t="array" ref="E7" xml:space="preserve"> IFERROR( INDEX(韻母對照表[注音二式], MATCH(TRUE, EXACT(韻母轉換規則!$C7, 韻母對照表[台羅拼音]), 0)), "")</f>
        <v>iong</v>
      </c>
      <c r="F7" s="57" t="s">
        <v>782</v>
      </c>
      <c r="G7" s="60" t="str" cm="1">
        <f t="array" ref="G7" xml:space="preserve"> IFERROR( INDEX(韻母對照表[白話字], MATCH(TRUE, EXACT(韻母轉換規則!$C7, 韻母對照表[台羅拼音]), 0)), "")</f>
        <v>iong</v>
      </c>
      <c r="H7" s="54" t="str" cm="1">
        <f t="array" ref="H7" xml:space="preserve"> IFERROR( INDEX(韻母對照表[十五音識別碼], MATCH(TRUE, EXACT(韻母轉換規則!$C7, 韻母對照表[台羅拼音]), 0)), "")</f>
        <v>恭舒</v>
      </c>
      <c r="I7" s="57" t="str" cm="1">
        <f t="array" ref="I7" xml:space="preserve"> IFERROR( INDEX(韻母對照表[方音符號], MATCH(TRUE, EXACT(韻母轉換規則!$C7, 韻母對照表[台羅拼音]), 0)), "")</f>
        <v>ㄧㆲ</v>
      </c>
      <c r="J7" s="73"/>
      <c r="K7" s="57" t="str">
        <f t="shared" si="0"/>
        <v>iong</v>
      </c>
      <c r="L7" s="57" t="str">
        <f t="shared" si="3"/>
        <v>iong</v>
      </c>
      <c r="M7" s="55"/>
      <c r="N7" s="56" t="str">
        <f t="shared" si="1"/>
        <v>xform/iong/iong/</v>
      </c>
    </row>
    <row r="8" spans="1:14" ht="27.75" thickBot="1">
      <c r="A8" s="57">
        <f t="shared" si="2"/>
        <v>6</v>
      </c>
      <c r="B8" s="74" t="s">
        <v>783</v>
      </c>
      <c r="C8" s="57" t="s">
        <v>346</v>
      </c>
      <c r="D8" s="57" t="s">
        <v>346</v>
      </c>
      <c r="E8" s="57" t="str" cm="1">
        <f t="array" ref="E8" xml:space="preserve"> IFERROR( INDEX(韻母對照表[注音二式], MATCH(TRUE, EXACT(韻母轉換規則!$C8, 韻母對照表[台羅拼音]), 0)), "")</f>
        <v/>
      </c>
      <c r="F8" s="57" t="s">
        <v>784</v>
      </c>
      <c r="G8" s="72" t="str" cm="1">
        <f t="array" ref="G8" xml:space="preserve"> IFERROR( INDEX(韻母對照表[白話字], MATCH(TRUE, EXACT(韻母轉換規則!$C8, 韻母對照表[台羅拼音]), 0)), "")</f>
        <v/>
      </c>
      <c r="H8" s="54" t="str" cm="1">
        <f t="array" ref="H8" xml:space="preserve"> IFERROR( INDEX(韻母對照表[十五音識別碼], MATCH(TRUE, EXACT(韻母轉換規則!$C8, 韻母對照表[台羅拼音]), 0)), "")</f>
        <v/>
      </c>
      <c r="I8" s="57" t="str" cm="1">
        <f t="array" ref="I8" xml:space="preserve"> IFERROR( INDEX(韻母對照表[方音符號], MATCH(TRUE, EXACT(韻母轉換規則!$C8, 韻母對照表[台羅拼音]), 0)), "")</f>
        <v/>
      </c>
      <c r="J8" s="73"/>
      <c r="K8" s="57" t="str">
        <f t="shared" si="0"/>
        <v/>
      </c>
      <c r="L8" s="57" t="str">
        <f t="shared" si="3"/>
        <v>ennh</v>
      </c>
      <c r="M8" s="55"/>
      <c r="N8" s="56" t="str">
        <f t="shared" si="1"/>
        <v/>
      </c>
    </row>
    <row r="9" spans="1:14" ht="27.75" thickBot="1">
      <c r="A9" s="57">
        <f t="shared" si="2"/>
        <v>7</v>
      </c>
      <c r="B9" s="74" t="s">
        <v>785</v>
      </c>
      <c r="C9" s="57" t="s">
        <v>786</v>
      </c>
      <c r="D9" s="57" t="s">
        <v>786</v>
      </c>
      <c r="E9" s="75" t="str" cm="1">
        <f t="array" ref="E9" xml:space="preserve"> IFERROR( INDEX(韻母對照表[注音二式], MATCH(TRUE, EXACT(韻母轉換規則!$C9, 韻母對照表[台羅拼音]), 0)), "")</f>
        <v/>
      </c>
      <c r="F9" s="57" t="s">
        <v>787</v>
      </c>
      <c r="G9" s="61" t="str" cm="1">
        <f t="array" ref="G9" xml:space="preserve"> IFERROR( INDEX(韻母對照表[白話字], MATCH(TRUE, EXACT(韻母轉換規則!$C9, 韻母對照表[台羅拼音]), 0)), "")</f>
        <v/>
      </c>
      <c r="H9" s="54" t="str" cm="1">
        <f t="array" ref="H9" xml:space="preserve"> IFERROR( INDEX(韻母對照表[十五音識別碼], MATCH(TRUE, EXACT(韻母轉換規則!$C9, 韻母對照表[台羅拼音]), 0)), "")</f>
        <v/>
      </c>
      <c r="I9" s="57" t="str" cm="1">
        <f t="array" ref="I9" xml:space="preserve"> IFERROR( INDEX(韻母對照表[方音符號], MATCH(TRUE, EXACT(韻母轉換規則!$C9, 韻母對照表[台羅拼音]), 0)), "")</f>
        <v/>
      </c>
      <c r="J9" s="73"/>
      <c r="K9" s="57" t="str">
        <f t="shared" si="0"/>
        <v/>
      </c>
      <c r="L9" s="57" t="str">
        <f t="shared" si="3"/>
        <v>aunnh</v>
      </c>
      <c r="M9" s="55"/>
      <c r="N9" s="56" t="str">
        <f t="shared" si="1"/>
        <v/>
      </c>
    </row>
    <row r="10" spans="1:14" ht="27.75" thickBot="1">
      <c r="A10" s="57">
        <f t="shared" si="2"/>
        <v>8</v>
      </c>
      <c r="B10" s="74" t="s">
        <v>788</v>
      </c>
      <c r="C10" s="57" t="s">
        <v>392</v>
      </c>
      <c r="D10" s="57" t="s">
        <v>392</v>
      </c>
      <c r="E10" s="75" t="str" cm="1">
        <f t="array" ref="E10" xml:space="preserve"> IFERROR( INDEX(韻母對照表[注音二式], MATCH(TRUE, EXACT(韻母轉換規則!$C10, 韻母對照表[台羅拼音]), 0)), "")</f>
        <v/>
      </c>
      <c r="F10" s="57" t="s">
        <v>789</v>
      </c>
      <c r="G10" s="72" t="str" cm="1">
        <f t="array" ref="G10" xml:space="preserve"> IFERROR( INDEX(韻母對照表[白話字], MATCH(TRUE, EXACT(韻母轉換規則!$C10, 韻母對照表[台羅拼音]), 0)), "")</f>
        <v/>
      </c>
      <c r="H10" s="54" t="str" cm="1">
        <f t="array" ref="H10" xml:space="preserve"> IFERROR( INDEX(韻母對照表[十五音識別碼], MATCH(TRUE, EXACT(韻母轉換規則!$C10, 韻母對照表[台羅拼音]), 0)), "")</f>
        <v/>
      </c>
      <c r="I10" s="57" t="str" cm="1">
        <f t="array" ref="I10" xml:space="preserve"> IFERROR( INDEX(韻母對照表[方音符號], MATCH(TRUE, EXACT(韻母轉換規則!$C10, 韻母對照表[台羅拼音]), 0)), "")</f>
        <v/>
      </c>
      <c r="J10" s="73"/>
      <c r="K10" s="57" t="str">
        <f t="shared" si="0"/>
        <v/>
      </c>
      <c r="L10" s="57" t="str">
        <f t="shared" si="3"/>
        <v>iannh</v>
      </c>
      <c r="M10" s="55"/>
      <c r="N10" s="56" t="str">
        <f t="shared" si="1"/>
        <v/>
      </c>
    </row>
    <row r="11" spans="1:14" ht="27.75" thickBot="1">
      <c r="A11" s="57">
        <f t="shared" si="2"/>
        <v>9</v>
      </c>
      <c r="B11" s="57" t="s">
        <v>141</v>
      </c>
      <c r="C11" s="57" t="s">
        <v>467</v>
      </c>
      <c r="D11" s="57" t="s">
        <v>467</v>
      </c>
      <c r="E11" s="57" t="str" cm="1">
        <f t="array" ref="E11" xml:space="preserve"> IFERROR( INDEX(韻母對照表[注音二式], MATCH(TRUE, EXACT(韻母轉換規則!$C11, 韻母對照表[台羅拼音]), 0)), "")</f>
        <v>iaunn</v>
      </c>
      <c r="F11" s="57" t="s">
        <v>790</v>
      </c>
      <c r="G11" s="59" t="str" cm="1">
        <f t="array" ref="G11" xml:space="preserve"> IFERROR( INDEX(韻母對照表[白話字], MATCH(TRUE, EXACT(韻母轉換規則!$C11, 韻母對照表[台羅拼音]), 0)), "")</f>
        <v>iauⁿ</v>
      </c>
      <c r="H11" s="54" t="str" cm="1">
        <f t="array" ref="H11" xml:space="preserve"> IFERROR( INDEX(韻母對照表[十五音識別碼], MATCH(TRUE, EXACT(韻母轉換規則!$C11, 韻母對照表[台羅拼音]), 0)), "")</f>
        <v>嘄舒</v>
      </c>
      <c r="I11" s="57" t="str" cm="1">
        <f t="array" ref="I11" xml:space="preserve"> IFERROR( INDEX(韻母對照表[方音符號], MATCH(TRUE, EXACT(韻母轉換規則!$C11, 韻母對照表[台羅拼音]), 0)), "")</f>
        <v>ㄧㆯ</v>
      </c>
      <c r="J11" s="73"/>
      <c r="K11" s="57" t="str">
        <f t="shared" si="0"/>
        <v>iaunn</v>
      </c>
      <c r="L11" s="57" t="str">
        <f t="shared" si="3"/>
        <v>iaunn</v>
      </c>
      <c r="M11" s="55"/>
      <c r="N11" s="56" t="str">
        <f t="shared" si="1"/>
        <v>xform/iaunn/iaunn/</v>
      </c>
    </row>
    <row r="12" spans="1:14" ht="27.75" thickBot="1">
      <c r="A12" s="57">
        <f t="shared" si="2"/>
        <v>10</v>
      </c>
      <c r="B12" s="74" t="str" cm="1">
        <f t="array" ref="B12" xml:space="preserve"> IFERROR( INDEX(韻母對照表[國際音標], MATCH(TRUE, EXACT(韻母轉換規則!$C12, 韻母對照表[台羅拼音]), 0)), "")</f>
        <v>ɔ̃ʔ</v>
      </c>
      <c r="C12" s="57" t="s">
        <v>501</v>
      </c>
      <c r="D12" s="57" t="s">
        <v>501</v>
      </c>
      <c r="E12" s="75" t="str" cm="1">
        <f t="array" ref="E12" xml:space="preserve"> IFERROR( INDEX(韻母對照表[注音二式], MATCH(TRUE, EXACT(韻母轉換規則!$C12, 韻母對照表[台羅拼音]), 0)), "")</f>
        <v>onnh</v>
      </c>
      <c r="F12" s="57" t="s">
        <v>502</v>
      </c>
      <c r="G12" s="72" t="str" cm="1">
        <f t="array" ref="G12" xml:space="preserve"> IFERROR( INDEX(韻母對照表[白話字], MATCH(TRUE, EXACT(韻母轉換規則!$C12, 韻母對照表[台羅拼音]), 0)), "")</f>
        <v>ohⁿ</v>
      </c>
      <c r="H12" s="54" t="str" cm="1">
        <f t="array" ref="H12" xml:space="preserve"> IFERROR( INDEX(韻母對照表[十五音識別碼], MATCH(TRUE, EXACT(韻母轉換規則!$C12, 韻母對照表[台羅拼音]), 0)), "")</f>
        <v>扛促</v>
      </c>
      <c r="I12" s="57" t="str" cm="1">
        <f t="array" ref="I12" xml:space="preserve"> IFERROR( INDEX(韻母對照表[方音符號], MATCH(TRUE, EXACT(韻母轉換規則!$C12, 韻母對照表[台羅拼音]), 0)), "")</f>
        <v>ㆧㆷ</v>
      </c>
      <c r="J12" s="73"/>
      <c r="K12" s="57" t="str">
        <f t="shared" si="0"/>
        <v>onnh</v>
      </c>
      <c r="L12" s="57" t="str">
        <f t="shared" si="3"/>
        <v>onnh</v>
      </c>
      <c r="M12" s="55"/>
      <c r="N12" s="56" t="str">
        <f t="shared" si="1"/>
        <v>xform/onnh/onnh/</v>
      </c>
    </row>
    <row r="13" spans="1:14" ht="27.75" thickBot="1">
      <c r="A13" s="57">
        <f t="shared" si="2"/>
        <v>11</v>
      </c>
      <c r="B13" s="57" t="s">
        <v>891</v>
      </c>
      <c r="C13" s="57" t="s">
        <v>64</v>
      </c>
      <c r="D13" s="57" t="s">
        <v>64</v>
      </c>
      <c r="E13" s="57" t="str" cm="1">
        <f t="array" ref="E13" xml:space="preserve"> IFERROR( INDEX(韻母對照表[注音二式], MATCH(TRUE, EXACT(韻母轉換規則!$C13, 韻母對照表[台羅拼音]), 0)), "")</f>
        <v>eh</v>
      </c>
      <c r="F13" s="57" t="s">
        <v>792</v>
      </c>
      <c r="G13" s="61"/>
      <c r="H13" s="54" t="str" cm="1">
        <f t="array" ref="H13" xml:space="preserve"> IFERROR( INDEX(韻母對照表[十五音識別碼], MATCH(TRUE, EXACT(韻母轉換規則!$C13, 韻母對照表[台羅拼音]), 0)), "")</f>
        <v>嘉促</v>
      </c>
      <c r="I13" s="57" t="str" cm="1">
        <f t="array" ref="I13" xml:space="preserve"> IFERROR( INDEX(韻母對照表[方音符號], MATCH(TRUE, EXACT(韻母轉換規則!$C13, 韻母對照表[台羅拼音]), 0)), "")</f>
        <v>ㄝㆷ</v>
      </c>
      <c r="J13" s="73"/>
      <c r="K13" s="57" t="str">
        <f t="shared" si="0"/>
        <v>eh</v>
      </c>
      <c r="L13" s="57" t="str">
        <f t="shared" si="3"/>
        <v>eeh</v>
      </c>
      <c r="M13" s="55"/>
      <c r="N13" s="56" t="str">
        <f t="shared" si="1"/>
        <v>xform/eh/eeh/</v>
      </c>
    </row>
    <row r="14" spans="1:14" ht="27.75" thickBot="1">
      <c r="A14" s="57">
        <f t="shared" si="2"/>
        <v>12</v>
      </c>
      <c r="B14" s="57" t="s">
        <v>793</v>
      </c>
      <c r="C14" s="57" t="s">
        <v>237</v>
      </c>
      <c r="D14" s="57" t="s">
        <v>237</v>
      </c>
      <c r="E14" s="57" t="str" cm="1">
        <f t="array" ref="E14" xml:space="preserve"> IFERROR( INDEX(韻母對照表[注音二式], MATCH(TRUE, EXACT(韻母轉換規則!$C14, 韻母對照表[台羅拼音]), 0)), "")</f>
        <v>ang</v>
      </c>
      <c r="F14" s="57" t="s">
        <v>794</v>
      </c>
      <c r="G14" s="60" t="str" cm="1">
        <f t="array" ref="G14" xml:space="preserve"> IFERROR( INDEX(韻母對照表[白話字], MATCH(TRUE, EXACT(韻母轉換規則!$C14, 韻母對照表[台羅拼音]), 0)), "")</f>
        <v>ang</v>
      </c>
      <c r="H14" s="54" t="str" cm="1">
        <f t="array" ref="H14" xml:space="preserve"> IFERROR( INDEX(韻母對照表[十五音識別碼], MATCH(TRUE, EXACT(韻母轉換規則!$C14, 韻母對照表[台羅拼音]), 0)), "")</f>
        <v>江舒</v>
      </c>
      <c r="I14" s="57" t="str" cm="1">
        <f t="array" ref="I14" xml:space="preserve"> IFERROR( INDEX(韻母對照表[方音符號], MATCH(TRUE, EXACT(韻母轉換規則!$C14, 韻母對照表[台羅拼音]), 0)), "")</f>
        <v>ㄤ</v>
      </c>
      <c r="J14" s="73"/>
      <c r="K14" s="57" t="str">
        <f t="shared" si="0"/>
        <v>ang</v>
      </c>
      <c r="L14" s="57" t="str">
        <f t="shared" si="3"/>
        <v>ang</v>
      </c>
      <c r="M14" s="55"/>
      <c r="N14" s="56" t="str">
        <f t="shared" si="1"/>
        <v>xform/ang/ang/</v>
      </c>
    </row>
    <row r="15" spans="1:14" ht="27.75" thickBot="1">
      <c r="A15" s="57">
        <f t="shared" si="2"/>
        <v>13</v>
      </c>
      <c r="B15" s="57" t="s">
        <v>795</v>
      </c>
      <c r="C15" s="57" t="s">
        <v>267</v>
      </c>
      <c r="D15" s="57" t="s">
        <v>267</v>
      </c>
      <c r="E15" s="57" t="str" cm="1">
        <f t="array" ref="E15" xml:space="preserve"> IFERROR( INDEX(韻母對照表[注音二式], MATCH(TRUE, EXACT(韻母轉換規則!$C15, 韻母對照表[台羅拼音]), 0)), "")</f>
        <v>auh</v>
      </c>
      <c r="F15" s="57" t="s">
        <v>796</v>
      </c>
      <c r="G15" s="60" t="str" cm="1">
        <f t="array" ref="G15" xml:space="preserve"> IFERROR( INDEX(韻母對照表[白話字], MATCH(TRUE, EXACT(韻母轉換規則!$C15, 韻母對照表[台羅拼音]), 0)), "")</f>
        <v>auh</v>
      </c>
      <c r="H15" s="54" t="str" cm="1">
        <f t="array" ref="H15" xml:space="preserve"> IFERROR( INDEX(韻母對照表[十五音識別碼], MATCH(TRUE, EXACT(韻母轉換規則!$C15, 韻母對照表[台羅拼音]), 0)), "")</f>
        <v>交促</v>
      </c>
      <c r="I15" s="57" t="str" cm="1">
        <f t="array" ref="I15" xml:space="preserve"> IFERROR( INDEX(韻母對照表[方音符號], MATCH(TRUE, EXACT(韻母轉換規則!$C15, 韻母對照表[台羅拼音]), 0)), "")</f>
        <v>ㄠㆷ</v>
      </c>
      <c r="J15" s="73"/>
      <c r="K15" s="57" t="str">
        <f t="shared" si="0"/>
        <v>auh</v>
      </c>
      <c r="L15" s="57" t="str">
        <f t="shared" si="3"/>
        <v>auh</v>
      </c>
      <c r="M15" s="55"/>
      <c r="N15" s="56" t="str">
        <f t="shared" si="1"/>
        <v>xform/auh/auh/</v>
      </c>
    </row>
    <row r="16" spans="1:14" ht="27.75" thickBot="1">
      <c r="A16" s="57">
        <f t="shared" si="2"/>
        <v>14</v>
      </c>
      <c r="B16" s="57" t="s">
        <v>797</v>
      </c>
      <c r="C16" s="57" t="s">
        <v>278</v>
      </c>
      <c r="D16" s="57" t="s">
        <v>278</v>
      </c>
      <c r="E16" s="57" t="str" cm="1">
        <f t="array" ref="E16" xml:space="preserve"> IFERROR( INDEX(韻母對照表[注音二式], MATCH(TRUE, EXACT(韻母轉換規則!$C16, 韻母對照表[台羅拼音]), 0)), "")</f>
        <v>iah</v>
      </c>
      <c r="F16" s="57" t="s">
        <v>798</v>
      </c>
      <c r="G16" s="60" t="str" cm="1">
        <f t="array" ref="G16" xml:space="preserve"> IFERROR( INDEX(韻母對照表[白話字], MATCH(TRUE, EXACT(韻母轉換規則!$C16, 韻母對照表[台羅拼音]), 0)), "")</f>
        <v>iah</v>
      </c>
      <c r="H16" s="54" t="str" cm="1">
        <f t="array" ref="H16" xml:space="preserve"> IFERROR( INDEX(韻母對照表[十五音識別碼], MATCH(TRUE, EXACT(韻母轉換規則!$C16, 韻母對照表[台羅拼音]), 0)), "")</f>
        <v>迦促</v>
      </c>
      <c r="I16" s="57" t="str" cm="1">
        <f t="array" ref="I16" xml:space="preserve"> IFERROR( INDEX(韻母對照表[方音符號], MATCH(TRUE, EXACT(韻母轉換規則!$C16, 韻母對照表[台羅拼音]), 0)), "")</f>
        <v>ㄧㄚㆷ</v>
      </c>
      <c r="J16" s="73"/>
      <c r="K16" s="57" t="str">
        <f t="shared" si="0"/>
        <v>iah</v>
      </c>
      <c r="L16" s="57" t="str">
        <f t="shared" si="3"/>
        <v>iah</v>
      </c>
      <c r="M16" s="55"/>
      <c r="N16" s="56" t="str">
        <f t="shared" si="1"/>
        <v>xform/iah/iah/</v>
      </c>
    </row>
    <row r="17" spans="1:14" ht="27.75" thickBot="1">
      <c r="A17" s="57">
        <f t="shared" si="2"/>
        <v>15</v>
      </c>
      <c r="B17" s="57" t="s">
        <v>885</v>
      </c>
      <c r="C17" s="57" t="s">
        <v>207</v>
      </c>
      <c r="D17" s="57" t="s">
        <v>207</v>
      </c>
      <c r="E17" s="57" t="str" cm="1">
        <f t="array" ref="E17" xml:space="preserve"> IFERROR( INDEX(韻母對照表[注音二式], MATCH(TRUE, EXACT(韻母轉換規則!$C17, 韻母對照表[台羅拼音]), 0)), "")</f>
        <v>iak</v>
      </c>
      <c r="F17" s="57" t="s">
        <v>799</v>
      </c>
      <c r="G17" s="60" t="str" cm="1">
        <f t="array" ref="G17" xml:space="preserve"> IFERROR( INDEX(韻母對照表[白話字], MATCH(TRUE, EXACT(韻母轉換規則!$C17, 韻母對照表[台羅拼音]), 0)), "")</f>
        <v>iak</v>
      </c>
      <c r="H17" s="54" t="str" cm="1">
        <f t="array" ref="H17" xml:space="preserve"> IFERROR( INDEX(韻母對照表[十五音識別碼], MATCH(TRUE, EXACT(韻母轉換規則!$C17, 韻母對照表[台羅拼音]), 0)), "")</f>
        <v>姜促</v>
      </c>
      <c r="I17" s="57" t="str" cm="1">
        <f t="array" ref="I17" xml:space="preserve"> IFERROR( INDEX(韻母對照表[方音符號], MATCH(TRUE, EXACT(韻母轉換規則!$C17, 韻母對照表[台羅拼音]), 0)), "")</f>
        <v>ㄧㄚㆻ</v>
      </c>
      <c r="J17" s="73"/>
      <c r="K17" s="57" t="str">
        <f t="shared" si="0"/>
        <v>iak</v>
      </c>
      <c r="L17" s="57" t="str">
        <f t="shared" si="3"/>
        <v>iak</v>
      </c>
      <c r="M17" s="55"/>
      <c r="N17" s="56" t="str">
        <f t="shared" si="1"/>
        <v>xform/iak/iak/</v>
      </c>
    </row>
    <row r="18" spans="1:14" ht="27.75" thickBot="1">
      <c r="A18" s="57">
        <f t="shared" si="2"/>
        <v>16</v>
      </c>
      <c r="B18" s="57" t="s">
        <v>247</v>
      </c>
      <c r="C18" s="57" t="s">
        <v>247</v>
      </c>
      <c r="D18" s="57" t="s">
        <v>247</v>
      </c>
      <c r="E18" s="57" t="str" cm="1">
        <f t="array" ref="E18" xml:space="preserve"> IFERROR( INDEX(韻母對照表[注音二式], MATCH(TRUE, EXACT(韻母轉換規則!$C18, 韻母對照表[台羅拼音]), 0)), "")</f>
        <v>iam</v>
      </c>
      <c r="F18" s="57" t="s">
        <v>800</v>
      </c>
      <c r="G18" s="60" t="str" cm="1">
        <f t="array" ref="G18" xml:space="preserve"> IFERROR( INDEX(韻母對照表[白話字], MATCH(TRUE, EXACT(韻母轉換規則!$C18, 韻母對照表[台羅拼音]), 0)), "")</f>
        <v>iam</v>
      </c>
      <c r="H18" s="54" t="str" cm="1">
        <f t="array" ref="H18" xml:space="preserve"> IFERROR( INDEX(韻母對照表[十五音識別碼], MATCH(TRUE, EXACT(韻母轉換規則!$C18, 韻母對照表[台羅拼音]), 0)), "")</f>
        <v>兼舒</v>
      </c>
      <c r="I18" s="57" t="str" cm="1">
        <f t="array" ref="I18" xml:space="preserve"> IFERROR( INDEX(韻母對照表[方音符號], MATCH(TRUE, EXACT(韻母轉換規則!$C18, 韻母對照表[台羅拼音]), 0)), "")</f>
        <v>ㄧㆰ</v>
      </c>
      <c r="J18" s="73"/>
      <c r="K18" s="57" t="str">
        <f t="shared" si="0"/>
        <v>iam</v>
      </c>
      <c r="L18" s="57" t="str">
        <f t="shared" si="3"/>
        <v>iam</v>
      </c>
      <c r="M18" s="55"/>
      <c r="N18" s="56" t="str">
        <f t="shared" si="1"/>
        <v>xform/iam/iam/</v>
      </c>
    </row>
    <row r="19" spans="1:14" ht="27.75" thickBot="1">
      <c r="A19" s="57">
        <f t="shared" si="2"/>
        <v>17</v>
      </c>
      <c r="B19" s="57" t="s">
        <v>27</v>
      </c>
      <c r="C19" s="57" t="s">
        <v>27</v>
      </c>
      <c r="D19" s="57" t="s">
        <v>27</v>
      </c>
      <c r="E19" s="57" t="str" cm="1">
        <f t="array" ref="E19" xml:space="preserve"> IFERROR( INDEX(韻母對照表[注音二式], MATCH(TRUE, EXACT(韻母轉換規則!$C19, 韻母對照表[台羅拼音]), 0)), "")</f>
        <v>ian</v>
      </c>
      <c r="F19" s="57" t="s">
        <v>801</v>
      </c>
      <c r="G19" s="60" t="str" cm="1">
        <f t="array" ref="G19" xml:space="preserve"> IFERROR( INDEX(韻母對照表[白話字], MATCH(TRUE, EXACT(韻母轉換規則!$C19, 韻母對照表[台羅拼音]), 0)), "")</f>
        <v>ian</v>
      </c>
      <c r="H19" s="54" t="str" cm="1">
        <f t="array" ref="H19" xml:space="preserve"> IFERROR( INDEX(韻母對照表[十五音識別碼], MATCH(TRUE, EXACT(韻母轉換規則!$C19, 韻母對照表[台羅拼音]), 0)), "")</f>
        <v>堅舒</v>
      </c>
      <c r="I19" s="57" t="str" cm="1">
        <f t="array" ref="I19" xml:space="preserve"> IFERROR( INDEX(韻母對照表[方音符號], MATCH(TRUE, EXACT(韻母轉換規則!$C19, 韻母對照表[台羅拼音]), 0)), "")</f>
        <v>ㄧㄢ</v>
      </c>
      <c r="J19" s="73"/>
      <c r="K19" s="57" t="str">
        <f t="shared" si="0"/>
        <v>ian</v>
      </c>
      <c r="L19" s="57" t="str">
        <f t="shared" si="3"/>
        <v>ian</v>
      </c>
      <c r="M19" s="55"/>
      <c r="N19" s="56" t="str">
        <f t="shared" si="1"/>
        <v>xform/ian/ian/</v>
      </c>
    </row>
    <row r="20" spans="1:14" ht="27.75" thickBot="1">
      <c r="A20" s="57">
        <f t="shared" si="2"/>
        <v>18</v>
      </c>
      <c r="B20" s="57" t="s">
        <v>141</v>
      </c>
      <c r="C20" s="57" t="s">
        <v>141</v>
      </c>
      <c r="D20" s="57" t="s">
        <v>141</v>
      </c>
      <c r="E20" s="57" t="str" cm="1">
        <f t="array" ref="E20" xml:space="preserve"> IFERROR( INDEX(韻母對照表[注音二式], MATCH(TRUE, EXACT(韻母轉換規則!$C20, 韻母對照表[台羅拼音]), 0)), "")</f>
        <v>iau</v>
      </c>
      <c r="F20" s="57" t="s">
        <v>802</v>
      </c>
      <c r="G20" s="59" t="str" cm="1">
        <f t="array" ref="G20" xml:space="preserve"> IFERROR( INDEX(韻母對照表[白話字], MATCH(TRUE, EXACT(韻母轉換規則!$C20, 韻母對照表[台羅拼音]), 0)), "")</f>
        <v>iau</v>
      </c>
      <c r="H20" s="54" t="str" cm="1">
        <f t="array" ref="H20" xml:space="preserve"> IFERROR( INDEX(韻母對照表[十五音識別碼], MATCH(TRUE, EXACT(韻母轉換規則!$C20, 韻母對照表[台羅拼音]), 0)), "")</f>
        <v>嬌舒</v>
      </c>
      <c r="I20" s="57" t="str" cm="1">
        <f t="array" ref="I20" xml:space="preserve"> IFERROR( INDEX(韻母對照表[方音符號], MATCH(TRUE, EXACT(韻母轉換規則!$C20, 韻母對照表[台羅拼音]), 0)), "")</f>
        <v>ㄧㄠ</v>
      </c>
      <c r="J20" s="73"/>
      <c r="K20" s="57" t="str">
        <f t="shared" si="0"/>
        <v>iau</v>
      </c>
      <c r="L20" s="57" t="str">
        <f t="shared" si="3"/>
        <v>iau</v>
      </c>
      <c r="M20" s="55"/>
      <c r="N20" s="56" t="str">
        <f t="shared" si="1"/>
        <v>xform/iau/iau/</v>
      </c>
    </row>
    <row r="21" spans="1:14" ht="27.75" thickBot="1">
      <c r="A21" s="57">
        <f t="shared" si="2"/>
        <v>19</v>
      </c>
      <c r="B21" s="57" t="s">
        <v>881</v>
      </c>
      <c r="C21" s="57" t="s">
        <v>256</v>
      </c>
      <c r="D21" s="57" t="s">
        <v>256</v>
      </c>
      <c r="E21" s="57" t="str" cm="1">
        <f t="array" ref="E21" xml:space="preserve"> IFERROR( INDEX(韻母對照表[注音二式], MATCH(TRUE, EXACT(韻母轉換規則!$C21, 韻母對照表[台羅拼音]), 0)), "")</f>
        <v>iap</v>
      </c>
      <c r="F21" s="57" t="s">
        <v>803</v>
      </c>
      <c r="G21" s="60" t="str" cm="1">
        <f t="array" ref="G21" xml:space="preserve"> IFERROR( INDEX(韻母對照表[白話字], MATCH(TRUE, EXACT(韻母轉換規則!$C21, 韻母對照表[台羅拼音]), 0)), "")</f>
        <v>iap</v>
      </c>
      <c r="H21" s="54" t="str" cm="1">
        <f t="array" ref="H21" xml:space="preserve"> IFERROR( INDEX(韻母對照表[十五音識別碼], MATCH(TRUE, EXACT(韻母轉換規則!$C21, 韻母對照表[台羅拼音]), 0)), "")</f>
        <v>兼促</v>
      </c>
      <c r="I21" s="57" t="str" cm="1">
        <f t="array" ref="I21" xml:space="preserve"> IFERROR( INDEX(韻母對照表[方音符號], MATCH(TRUE, EXACT(韻母轉換規則!$C21, 韻母對照表[台羅拼音]), 0)), "")</f>
        <v>ㄧㄚㆴ</v>
      </c>
      <c r="J21" s="73"/>
      <c r="K21" s="57" t="str">
        <f t="shared" si="0"/>
        <v>iap</v>
      </c>
      <c r="L21" s="57" t="str">
        <f t="shared" si="3"/>
        <v>iap</v>
      </c>
      <c r="M21" s="55"/>
      <c r="N21" s="56" t="str">
        <f t="shared" si="1"/>
        <v>xform/iap/iap/</v>
      </c>
    </row>
    <row r="22" spans="1:14" ht="27.75" thickBot="1">
      <c r="A22" s="57">
        <f t="shared" si="2"/>
        <v>20</v>
      </c>
      <c r="B22" s="57" t="s">
        <v>876</v>
      </c>
      <c r="C22" s="57" t="s">
        <v>34</v>
      </c>
      <c r="D22" s="57" t="s">
        <v>34</v>
      </c>
      <c r="E22" s="57" t="str" cm="1">
        <f t="array" ref="E22" xml:space="preserve"> IFERROR( INDEX(韻母對照表[注音二式], MATCH(TRUE, EXACT(韻母轉換規則!$C22, 韻母對照表[台羅拼音]), 0)), "")</f>
        <v>iat</v>
      </c>
      <c r="F22" s="57" t="s">
        <v>804</v>
      </c>
      <c r="G22" s="60" t="str" cm="1">
        <f t="array" ref="G22" xml:space="preserve"> IFERROR( INDEX(韻母對照表[白話字], MATCH(TRUE, EXACT(韻母轉換規則!$C22, 韻母對照表[台羅拼音]), 0)), "")</f>
        <v>iat</v>
      </c>
      <c r="H22" s="54" t="str" cm="1">
        <f t="array" ref="H22" xml:space="preserve"> IFERROR( INDEX(韻母對照表[十五音識別碼], MATCH(TRUE, EXACT(韻母轉換規則!$C22, 韻母對照表[台羅拼音]), 0)), "")</f>
        <v>堅促</v>
      </c>
      <c r="I22" s="57" t="str" cm="1">
        <f t="array" ref="I22" xml:space="preserve"> IFERROR( INDEX(韻母對照表[方音符號], MATCH(TRUE, EXACT(韻母轉換規則!$C22, 韻母對照表[台羅拼音]), 0)), "")</f>
        <v>ㄧㄚㆵ</v>
      </c>
      <c r="J22" s="73"/>
      <c r="K22" s="57" t="str">
        <f t="shared" si="0"/>
        <v>iat</v>
      </c>
      <c r="L22" s="57" t="str">
        <f t="shared" si="3"/>
        <v>iat</v>
      </c>
      <c r="M22" s="55"/>
      <c r="N22" s="56" t="str">
        <f t="shared" si="1"/>
        <v>xform/iat/iat/</v>
      </c>
    </row>
    <row r="23" spans="1:14" ht="27.75" thickBot="1">
      <c r="A23" s="57">
        <f t="shared" si="2"/>
        <v>21</v>
      </c>
      <c r="B23" s="57" t="s">
        <v>106</v>
      </c>
      <c r="C23" s="57" t="s">
        <v>109</v>
      </c>
      <c r="D23" s="57" t="s">
        <v>109</v>
      </c>
      <c r="E23" s="57" t="str" cm="1">
        <f t="array" ref="E23" xml:space="preserve"> IFERROR( INDEX(韻母對照表[注音二式], MATCH(TRUE, EXACT(韻母轉換規則!$C23, 韻母對照表[台羅拼音]), 0)), "")</f>
        <v>ing</v>
      </c>
      <c r="F23" s="57" t="s">
        <v>805</v>
      </c>
      <c r="G23" s="59" t="str" cm="1">
        <f t="array" ref="G23" xml:space="preserve"> IFERROR( INDEX(韻母對照表[白話字], MATCH(TRUE, EXACT(韻母轉換規則!$C23, 韻母對照表[台羅拼音]), 0)), "")</f>
        <v>eng</v>
      </c>
      <c r="H23" s="54" t="str" cm="1">
        <f t="array" ref="H23" xml:space="preserve"> IFERROR( INDEX(韻母對照表[十五音識別碼], MATCH(TRUE, EXACT(韻母轉換規則!$C23, 韻母對照表[台羅拼音]), 0)), "")</f>
        <v>經舒</v>
      </c>
      <c r="I23" s="57" t="str" cm="1">
        <f t="array" ref="I23" xml:space="preserve"> IFERROR( INDEX(韻母對照表[方音符號], MATCH(TRUE, EXACT(韻母轉換規則!$C23, 韻母對照表[台羅拼音]), 0)), "")</f>
        <v>ㄧㄥ</v>
      </c>
      <c r="J23" s="73"/>
      <c r="K23" s="57" t="str">
        <f t="shared" si="0"/>
        <v>ing</v>
      </c>
      <c r="L23" s="57" t="str">
        <f t="shared" si="3"/>
        <v>ing</v>
      </c>
      <c r="M23" s="55"/>
      <c r="N23" s="56" t="str">
        <f t="shared" si="1"/>
        <v>xform/ing/ing/</v>
      </c>
    </row>
    <row r="24" spans="1:14" ht="27.75" thickBot="1">
      <c r="A24" s="57">
        <f t="shared" si="2"/>
        <v>22</v>
      </c>
      <c r="B24" s="57" t="s">
        <v>806</v>
      </c>
      <c r="C24" s="57" t="s">
        <v>363</v>
      </c>
      <c r="D24" s="57" t="s">
        <v>363</v>
      </c>
      <c r="E24" s="57" t="str" cm="1">
        <f t="array" ref="E24" xml:space="preserve"> IFERROR( INDEX(韻母對照表[注音二式], MATCH(TRUE, EXACT(韻母轉換規則!$C24, 韻母對照表[台羅拼音]), 0)), "")</f>
        <v>iorh</v>
      </c>
      <c r="F24" s="57" t="s">
        <v>363</v>
      </c>
      <c r="G24" s="60" t="str" cm="1">
        <f t="array" ref="G24" xml:space="preserve"> IFERROR( INDEX(韻母對照表[白話字], MATCH(TRUE, EXACT(韻母轉換規則!$C24, 韻母對照表[台羅拼音]), 0)), "")</f>
        <v>ioh</v>
      </c>
      <c r="H24" s="54" t="str" cm="1">
        <f t="array" ref="H24" xml:space="preserve"> IFERROR( INDEX(韻母對照表[十五音識別碼], MATCH(TRUE, EXACT(韻母轉換規則!$C24, 韻母對照表[台羅拼音]), 0)), "")</f>
        <v>茄促</v>
      </c>
      <c r="I24" s="57" t="str" cm="1">
        <f t="array" ref="I24" xml:space="preserve"> IFERROR( INDEX(韻母對照表[方音符號], MATCH(TRUE, EXACT(韻母轉換規則!$C24, 韻母對照表[台羅拼音]), 0)), "")</f>
        <v>ㄧㄜㆷ</v>
      </c>
      <c r="J24" s="73"/>
      <c r="K24" s="57" t="str">
        <f t="shared" si="0"/>
        <v>iorh</v>
      </c>
      <c r="L24" s="57" t="str">
        <f t="shared" si="3"/>
        <v>ioh</v>
      </c>
      <c r="M24" s="55"/>
      <c r="N24" s="56" t="str">
        <f t="shared" si="1"/>
        <v>xform/iorh/ioh/</v>
      </c>
    </row>
    <row r="25" spans="1:14" ht="27.75" thickBot="1">
      <c r="A25" s="57">
        <f t="shared" si="2"/>
        <v>23</v>
      </c>
      <c r="B25" s="57" t="s">
        <v>894</v>
      </c>
      <c r="C25" s="57" t="s">
        <v>167</v>
      </c>
      <c r="D25" s="57" t="s">
        <v>167</v>
      </c>
      <c r="E25" s="57" t="str" cm="1">
        <f t="array" ref="E25" xml:space="preserve"> IFERROR( INDEX(韻母對照表[注音二式], MATCH(TRUE, EXACT(韻母轉換規則!$C25, 韻母對照表[台羅拼音]), 0)), "")</f>
        <v>iook</v>
      </c>
      <c r="F25" s="57" t="s">
        <v>167</v>
      </c>
      <c r="G25" s="60" t="str" cm="1">
        <f t="array" ref="G25" xml:space="preserve"> IFERROR( INDEX(韻母對照表[白話字], MATCH(TRUE, EXACT(韻母轉換規則!$C25, 韻母對照表[台羅拼音]), 0)), "")</f>
        <v>iok</v>
      </c>
      <c r="H25" s="54" t="str" cm="1">
        <f t="array" ref="H25" xml:space="preserve"> IFERROR( INDEX(韻母對照表[十五音識別碼], MATCH(TRUE, EXACT(韻母轉換規則!$C25, 韻母對照表[台羅拼音]), 0)), "")</f>
        <v>恭促</v>
      </c>
      <c r="I25" s="57" t="str" cm="1">
        <f t="array" ref="I25" xml:space="preserve"> IFERROR( INDEX(韻母對照表[方音符號], MATCH(TRUE, EXACT(韻母轉換規則!$C25, 韻母對照表[台羅拼音]), 0)), "")</f>
        <v>ㄧㆦㆻ</v>
      </c>
      <c r="J25" s="73"/>
      <c r="K25" s="57" t="str">
        <f t="shared" si="0"/>
        <v>iook</v>
      </c>
      <c r="L25" s="57" t="str">
        <f t="shared" si="3"/>
        <v>iok</v>
      </c>
      <c r="M25" s="55"/>
      <c r="N25" s="56" t="str">
        <f t="shared" si="1"/>
        <v>xform/iook/iok/</v>
      </c>
    </row>
    <row r="26" spans="1:14" ht="27.75" thickBot="1">
      <c r="A26" s="57">
        <f t="shared" si="2"/>
        <v>24</v>
      </c>
      <c r="B26" s="74" t="s">
        <v>807</v>
      </c>
      <c r="C26" s="57" t="s">
        <v>808</v>
      </c>
      <c r="D26" s="57" t="s">
        <v>808</v>
      </c>
      <c r="E26" s="75" t="str" cm="1">
        <f t="array" ref="E26" xml:space="preserve"> IFERROR( INDEX(韻母對照表[注音二式], MATCH(TRUE, EXACT(韻母轉換規則!$C26, 韻母對照表[台羅拼音]), 0)), "")</f>
        <v/>
      </c>
      <c r="F26" s="57" t="s">
        <v>808</v>
      </c>
      <c r="G26" s="60" t="str" cm="1">
        <f t="array" ref="G26" xml:space="preserve"> IFERROR( INDEX(韻母對照表[白話字], MATCH(TRUE, EXACT(韻母轉換規則!$C26, 韻母對照表[台羅拼音]), 0)), "")</f>
        <v/>
      </c>
      <c r="H26" s="54" t="str" cm="1">
        <f t="array" ref="H26" xml:space="preserve"> IFERROR( INDEX(韻母對照表[十五音識別碼], MATCH(TRUE, EXACT(韻母轉換規則!$C26, 韻母對照表[台羅拼音]), 0)), "")</f>
        <v/>
      </c>
      <c r="I26" s="57" t="str" cm="1">
        <f t="array" ref="I26" xml:space="preserve"> IFERROR( INDEX(韻母對照表[方音符號], MATCH(TRUE, EXACT(韻母轉換規則!$C26, 韻母對照表[台羅拼音]), 0)), "")</f>
        <v/>
      </c>
      <c r="J26" s="73"/>
      <c r="K26" s="57" t="str">
        <f t="shared" si="0"/>
        <v/>
      </c>
      <c r="L26" s="57" t="str">
        <f t="shared" si="3"/>
        <v>iuh</v>
      </c>
      <c r="M26" s="55"/>
      <c r="N26" s="56" t="str">
        <f t="shared" si="1"/>
        <v/>
      </c>
    </row>
    <row r="27" spans="1:14" ht="27.75" thickBot="1">
      <c r="A27" s="57">
        <f t="shared" si="2"/>
        <v>25</v>
      </c>
      <c r="B27" s="57" t="s">
        <v>337</v>
      </c>
      <c r="C27" s="57" t="s">
        <v>340</v>
      </c>
      <c r="D27" s="57" t="s">
        <v>340</v>
      </c>
      <c r="E27" s="57" t="str" cm="1">
        <f t="array" ref="E27" xml:space="preserve"> IFERROR( INDEX(韻母對照表[注音二式], MATCH(TRUE, EXACT(韻母轉換規則!$C27, 韻母對照表[台羅拼音]), 0)), "")</f>
        <v>enn</v>
      </c>
      <c r="F27" s="57" t="s">
        <v>809</v>
      </c>
      <c r="G27" s="60" t="str" cm="1">
        <f t="array" ref="G27" xml:space="preserve"> IFERROR( INDEX(韻母對照表[白話字], MATCH(TRUE, EXACT(韻母轉換規則!$C27, 韻母對照表[台羅拼音]), 0)), "")</f>
        <v>eⁿ</v>
      </c>
      <c r="H27" s="54" t="str" cm="1">
        <f t="array" ref="H27" xml:space="preserve"> IFERROR( INDEX(韻母對照表[十五音識別碼], MATCH(TRUE, EXACT(韻母轉換規則!$C27, 韻母對照表[台羅拼音]), 0)), "")</f>
        <v>更舒</v>
      </c>
      <c r="I27" s="57" t="str" cm="1">
        <f t="array" ref="I27" xml:space="preserve"> IFERROR( INDEX(韻母對照表[方音符號], MATCH(TRUE, EXACT(韻母轉換規則!$C27, 韻母對照表[台羅拼音]), 0)), "")</f>
        <v>ㆥ</v>
      </c>
      <c r="J27" s="73"/>
      <c r="K27" s="57" t="str">
        <f t="shared" si="0"/>
        <v>enn</v>
      </c>
      <c r="L27" s="57" t="str">
        <f t="shared" si="3"/>
        <v>enn</v>
      </c>
      <c r="M27" s="55"/>
      <c r="N27" s="56" t="str">
        <f t="shared" si="1"/>
        <v>xform/enn/enn/</v>
      </c>
    </row>
    <row r="28" spans="1:14" ht="27.75" thickBot="1">
      <c r="A28" s="57">
        <f t="shared" si="2"/>
        <v>26</v>
      </c>
      <c r="B28" s="74" t="s">
        <v>810</v>
      </c>
      <c r="C28" s="57" t="s">
        <v>304</v>
      </c>
      <c r="D28" s="57" t="s">
        <v>304</v>
      </c>
      <c r="E28" s="75" t="str" cm="1">
        <f t="array" ref="E28" xml:space="preserve"> IFERROR( INDEX(韻母對照表[注音二式], MATCH(TRUE, EXACT(韻母轉換規則!$C28, 韻母對照表[台羅拼音]), 0)), "")</f>
        <v>annh</v>
      </c>
      <c r="F28" s="57" t="s">
        <v>811</v>
      </c>
      <c r="G28" s="72" t="str" cm="1">
        <f t="array" ref="G28" xml:space="preserve"> IFERROR( INDEX(韻母對照表[白話字], MATCH(TRUE, EXACT(韻母轉換規則!$C28, 韻母對照表[台羅拼音]), 0)), "")</f>
        <v>ahⁿ</v>
      </c>
      <c r="H28" s="54" t="str" cm="1">
        <f t="array" ref="H28" xml:space="preserve"> IFERROR( INDEX(韻母對照表[十五音識別碼], MATCH(TRUE, EXACT(韻母轉換規則!$C28, 韻母對照表[台羅拼音]), 0)), "")</f>
        <v>監促</v>
      </c>
      <c r="I28" s="57" t="str" cm="1">
        <f t="array" ref="I28" xml:space="preserve"> IFERROR( INDEX(韻母對照表[方音符號], MATCH(TRUE, EXACT(韻母轉換規則!$C28, 韻母對照表[台羅拼音]), 0)), "")</f>
        <v>ㆩㆷ</v>
      </c>
      <c r="J28" s="73"/>
      <c r="K28" s="57" t="str">
        <f t="shared" si="0"/>
        <v>annh</v>
      </c>
      <c r="L28" s="57" t="str">
        <f t="shared" si="3"/>
        <v>annh</v>
      </c>
      <c r="M28" s="55"/>
      <c r="N28" s="56" t="str">
        <f t="shared" si="1"/>
        <v>xform/annh/annh/</v>
      </c>
    </row>
    <row r="29" spans="1:14" ht="27.75" thickBot="1">
      <c r="A29" s="57">
        <f t="shared" si="2"/>
        <v>27</v>
      </c>
      <c r="B29" s="57" t="s">
        <v>812</v>
      </c>
      <c r="C29" s="57" t="s">
        <v>417</v>
      </c>
      <c r="D29" s="57" t="s">
        <v>417</v>
      </c>
      <c r="E29" s="75" t="str" cm="1">
        <f t="array" ref="E29" xml:space="preserve"> IFERROR( INDEX(韻母對照表[注音二式], MATCH(TRUE, EXACT(韻母轉換規則!$C29, 韻母對照表[台羅拼音]), 0)), "")</f>
        <v>ainn</v>
      </c>
      <c r="F29" s="57" t="s">
        <v>813</v>
      </c>
      <c r="G29" s="60" t="str" cm="1">
        <f t="array" ref="G29" xml:space="preserve"> IFERROR( INDEX(韻母對照表[白話字], MATCH(TRUE, EXACT(韻母轉換規則!$C29, 韻母對照表[台羅拼音]), 0)), "")</f>
        <v>aiⁿ</v>
      </c>
      <c r="H29" s="54" t="str" cm="1">
        <f t="array" ref="H29" xml:space="preserve"> IFERROR( INDEX(韻母對照表[十五音識別碼], MATCH(TRUE, EXACT(韻母轉換規則!$C29, 韻母對照表[台羅拼音]), 0)), "")</f>
        <v>閒舒</v>
      </c>
      <c r="I29" s="57" t="str" cm="1">
        <f t="array" ref="I29" xml:space="preserve"> IFERROR( INDEX(韻母對照表[方音符號], MATCH(TRUE, EXACT(韻母轉換規則!$C29, 韻母對照表[台羅拼音]), 0)), "")</f>
        <v>ㆮ</v>
      </c>
      <c r="J29" s="73"/>
      <c r="K29" s="57" t="str">
        <f t="shared" si="0"/>
        <v>ainn</v>
      </c>
      <c r="L29" s="57" t="str">
        <f t="shared" si="3"/>
        <v>ainn</v>
      </c>
      <c r="M29" s="55"/>
      <c r="N29" s="56" t="str">
        <f t="shared" si="1"/>
        <v>xform/ainn/ainn/</v>
      </c>
    </row>
    <row r="30" spans="1:14" ht="27.75" thickBot="1">
      <c r="A30" s="57">
        <f t="shared" si="2"/>
        <v>28</v>
      </c>
      <c r="B30" s="57" t="s">
        <v>814</v>
      </c>
      <c r="C30" s="57" t="s">
        <v>491</v>
      </c>
      <c r="D30" s="57" t="s">
        <v>491</v>
      </c>
      <c r="E30" s="75" t="str" cm="1">
        <f t="array" ref="E30" xml:space="preserve"> IFERROR( INDEX(韻母對照表[注音二式], MATCH(TRUE, EXACT(韻母轉換規則!$C30, 韻母對照表[台羅拼音]), 0)), "")</f>
        <v>aunn</v>
      </c>
      <c r="F30" s="57" t="s">
        <v>815</v>
      </c>
      <c r="G30" s="59" t="str" cm="1">
        <f t="array" ref="G30" xml:space="preserve"> IFERROR( INDEX(韻母對照表[白話字], MATCH(TRUE, EXACT(韻母轉換規則!$C30, 韻母對照表[台羅拼音]), 0)), "")</f>
        <v>auⁿ</v>
      </c>
      <c r="H30" s="54" t="str" cm="1">
        <f t="array" ref="H30" xml:space="preserve"> IFERROR( INDEX(韻母對照表[十五音識別碼], MATCH(TRUE, EXACT(韻母轉換規則!$C30, 韻母對照表[台羅拼音]), 0)), "")</f>
        <v>爻舒</v>
      </c>
      <c r="I30" s="57" t="str" cm="1">
        <f t="array" ref="I30" xml:space="preserve"> IFERROR( INDEX(韻母對照表[方音符號], MATCH(TRUE, EXACT(韻母轉換規則!$C30, 韻母對照表[台羅拼音]), 0)), "")</f>
        <v>ㆯ</v>
      </c>
      <c r="J30" s="73"/>
      <c r="K30" s="57" t="str">
        <f t="shared" si="0"/>
        <v>aunn</v>
      </c>
      <c r="L30" s="57" t="str">
        <f t="shared" si="3"/>
        <v>aunn</v>
      </c>
      <c r="M30" s="55"/>
      <c r="N30" s="56" t="str">
        <f t="shared" si="1"/>
        <v>xform/aunn/aunn/</v>
      </c>
    </row>
    <row r="31" spans="1:14" ht="27.75" thickBot="1">
      <c r="A31" s="57">
        <f t="shared" si="2"/>
        <v>29</v>
      </c>
      <c r="B31" s="74" t="s">
        <v>816</v>
      </c>
      <c r="C31" s="57" t="s">
        <v>817</v>
      </c>
      <c r="D31" s="57" t="s">
        <v>817</v>
      </c>
      <c r="E31" s="75" t="str" cm="1">
        <f t="array" ref="E31" xml:space="preserve"> IFERROR( INDEX(韻母對照表[注音二式], MATCH(TRUE, EXACT(韻母轉換規則!$C31, 韻母對照表[台羅拼音]), 0)), "")</f>
        <v/>
      </c>
      <c r="F31" s="57" t="s">
        <v>817</v>
      </c>
      <c r="G31" s="60" t="str" cm="1">
        <f t="array" ref="G31" xml:space="preserve"> IFERROR( INDEX(韻母對照表[白話字], MATCH(TRUE, EXACT(韻母轉換規則!$C31, 韻母對照表[台羅拼音]), 0)), "")</f>
        <v/>
      </c>
      <c r="H31" s="54" t="str" cm="1">
        <f t="array" ref="H31" xml:space="preserve"> IFERROR( INDEX(韻母對照表[十五音識別碼], MATCH(TRUE, EXACT(韻母轉換規則!$C31, 韻母對照表[台羅拼音]), 0)), "")</f>
        <v/>
      </c>
      <c r="I31" s="57" t="str" cm="1">
        <f t="array" ref="I31" xml:space="preserve"> IFERROR( INDEX(韻母對照表[方音符號], MATCH(TRUE, EXACT(韻母轉換規則!$C31, 韻母對照表[台羅拼音]), 0)), "")</f>
        <v/>
      </c>
      <c r="J31" s="73"/>
      <c r="K31" s="57" t="str">
        <f t="shared" si="0"/>
        <v/>
      </c>
      <c r="L31" s="57" t="str">
        <f t="shared" si="3"/>
        <v>ngh</v>
      </c>
      <c r="M31" s="55"/>
      <c r="N31" s="56" t="str">
        <f t="shared" si="1"/>
        <v/>
      </c>
    </row>
    <row r="32" spans="1:14" ht="27.75" thickBot="1">
      <c r="A32" s="57">
        <f t="shared" si="2"/>
        <v>30</v>
      </c>
      <c r="B32" s="57" t="s">
        <v>818</v>
      </c>
      <c r="C32" s="57" t="s">
        <v>391</v>
      </c>
      <c r="D32" s="57" t="s">
        <v>391</v>
      </c>
      <c r="E32" s="75" t="str" cm="1">
        <f t="array" ref="E32" xml:space="preserve"> IFERROR( INDEX(韻母對照表[注音二式], MATCH(TRUE, EXACT(韻母轉換規則!$C32, 韻母對照表[台羅拼音]), 0)), "")</f>
        <v>iann</v>
      </c>
      <c r="F32" s="57" t="s">
        <v>394</v>
      </c>
      <c r="G32" s="60" t="str" cm="1">
        <f t="array" ref="G32" xml:space="preserve"> IFERROR( INDEX(韻母對照表[白話字], MATCH(TRUE, EXACT(韻母轉換規則!$C32, 韻母對照表[台羅拼音]), 0)), "")</f>
        <v>iaⁿ</v>
      </c>
      <c r="H32" s="54" t="str" cm="1">
        <f t="array" ref="H32" xml:space="preserve"> IFERROR( INDEX(韻母對照表[十五音識別碼], MATCH(TRUE, EXACT(韻母轉換規則!$C32, 韻母對照表[台羅拼音]), 0)), "")</f>
        <v>驚舒</v>
      </c>
      <c r="I32" s="57" t="str" cm="1">
        <f t="array" ref="I32" xml:space="preserve"> IFERROR( INDEX(韻母對照表[方音符號], MATCH(TRUE, EXACT(韻母轉換規則!$C32, 韻母對照表[台羅拼音]), 0)), "")</f>
        <v>ㄧㆩ</v>
      </c>
      <c r="J32" s="73"/>
      <c r="K32" s="57" t="str">
        <f t="shared" si="0"/>
        <v>iann</v>
      </c>
      <c r="L32" s="57" t="str">
        <f t="shared" si="3"/>
        <v>iann</v>
      </c>
      <c r="M32" s="55"/>
      <c r="N32" s="56" t="str">
        <f t="shared" si="1"/>
        <v>xform/iann/iann/</v>
      </c>
    </row>
    <row r="33" spans="1:14" ht="27.75" thickBot="1">
      <c r="A33" s="57">
        <f t="shared" si="2"/>
        <v>31</v>
      </c>
      <c r="B33" s="74" t="str" cm="1">
        <f t="array" ref="B33" xml:space="preserve"> IFERROR( INDEX(韻母對照表[國際音標], MATCH(TRUE, EXACT(韻母轉換規則!$C33, 韻母對照表[台羅拼音]), 0)), "")</f>
        <v>ĩʔ</v>
      </c>
      <c r="C33" s="57" t="s">
        <v>376</v>
      </c>
      <c r="D33" s="57" t="s">
        <v>376</v>
      </c>
      <c r="E33" s="75" t="str" cm="1">
        <f t="array" ref="E33" xml:space="preserve"> IFERROR( INDEX(韻母對照表[注音二式], MATCH(TRUE, EXACT(韻母轉換規則!$C33, 韻母對照表[台羅拼音]), 0)), "")</f>
        <v>innh</v>
      </c>
      <c r="F33" s="57" t="s">
        <v>377</v>
      </c>
      <c r="G33" s="72" t="str" cm="1">
        <f t="array" ref="G33" xml:space="preserve"> IFERROR( INDEX(韻母對照表[白話字], MATCH(TRUE, EXACT(韻母轉換規則!$C33, 韻母對照表[台羅拼音]), 0)), "")</f>
        <v>ihⁿ</v>
      </c>
      <c r="H33" s="54" t="str" cm="1">
        <f t="array" ref="H33" xml:space="preserve"> IFERROR( INDEX(韻母對照表[十五音識別碼], MATCH(TRUE, EXACT(韻母轉換規則!$C33, 韻母對照表[台羅拼音]), 0)), "")</f>
        <v>梔促</v>
      </c>
      <c r="I33" s="57" t="str" cm="1">
        <f t="array" ref="I33" xml:space="preserve"> IFERROR( INDEX(韻母對照表[方音符號], MATCH(TRUE, EXACT(韻母轉換規則!$C33, 韻母對照表[台羅拼音]), 0)), "")</f>
        <v>ㆪㆷ</v>
      </c>
      <c r="J33" s="73"/>
      <c r="K33" s="57" t="str">
        <f t="shared" si="0"/>
        <v>innh</v>
      </c>
      <c r="L33" s="57" t="str">
        <f t="shared" si="3"/>
        <v>innh</v>
      </c>
      <c r="M33" s="55"/>
      <c r="N33" s="56" t="str">
        <f t="shared" si="1"/>
        <v>xform/innh/innh/</v>
      </c>
    </row>
    <row r="34" spans="1:14" ht="27.75" thickBot="1">
      <c r="A34" s="57">
        <f t="shared" si="2"/>
        <v>32</v>
      </c>
      <c r="B34" s="57" t="str" cm="1">
        <f t="array" ref="B34" xml:space="preserve"> IFERROR( INDEX(韻母對照表[國際音標], MATCH(TRUE, EXACT(韻母轉換規則!$C34, 韻母對照表[台羅拼音]), 0)), "")</f>
        <v>iũ</v>
      </c>
      <c r="C34" s="57" t="s">
        <v>507</v>
      </c>
      <c r="D34" s="57" t="s">
        <v>507</v>
      </c>
      <c r="E34" s="75" t="str" cm="1">
        <f t="array" ref="E34" xml:space="preserve"> IFERROR( INDEX(韻母對照表[注音二式], MATCH(TRUE, EXACT(韻母轉換規則!$C34, 韻母對照表[台羅拼音]), 0)), "")</f>
        <v>iunn</v>
      </c>
      <c r="F34" s="57" t="s">
        <v>509</v>
      </c>
      <c r="G34" s="60" t="str" cm="1">
        <f t="array" ref="G34" xml:space="preserve"> IFERROR( INDEX(韻母對照表[白話字], MATCH(TRUE, EXACT(韻母轉換規則!$C34, 韻母對照表[台羅拼音]), 0)), "")</f>
        <v>iuⁿ</v>
      </c>
      <c r="H34" s="54" t="str" cm="1">
        <f t="array" ref="H34" xml:space="preserve"> IFERROR( INDEX(韻母對照表[十五音識別碼], MATCH(TRUE, EXACT(韻母轉換規則!$C34, 韻母對照表[台羅拼音]), 0)), "")</f>
        <v>牛舒</v>
      </c>
      <c r="I34" s="57" t="str" cm="1">
        <f t="array" ref="I34" xml:space="preserve"> IFERROR( INDEX(韻母對照表[方音符號], MATCH(TRUE, EXACT(韻母轉換規則!$C34, 韻母對照表[台羅拼音]), 0)), "")</f>
        <v>ㄧㆫ</v>
      </c>
      <c r="J34" s="73"/>
      <c r="K34" s="57" t="str">
        <f t="shared" si="0"/>
        <v>iunn</v>
      </c>
      <c r="L34" s="57" t="str">
        <f t="shared" ref="L34:L97" si="4">D34</f>
        <v>iunn</v>
      </c>
      <c r="M34" s="55"/>
      <c r="N34" s="56" t="str">
        <f t="shared" si="1"/>
        <v>xform/iunn/iunn/</v>
      </c>
    </row>
    <row r="35" spans="1:14" ht="27.75" thickBot="1">
      <c r="A35" s="57">
        <f t="shared" si="2"/>
        <v>33</v>
      </c>
      <c r="B35" s="57" t="s">
        <v>907</v>
      </c>
      <c r="C35" s="57" t="s">
        <v>425</v>
      </c>
      <c r="D35" s="57" t="s">
        <v>425</v>
      </c>
      <c r="E35" s="75" t="str" cm="1">
        <f t="array" ref="E35" xml:space="preserve"> IFERROR( INDEX(韻母對照表[注音二式], MATCH(TRUE, EXACT(韻母轉換規則!$C35, 韻母對照表[台羅拼音]), 0)), "")</f>
        <v>oonn</v>
      </c>
      <c r="F35" s="57" t="s">
        <v>427</v>
      </c>
      <c r="G35" s="59" t="str" cm="1">
        <f t="array" ref="G35" xml:space="preserve"> IFERROR( INDEX(韻母對照表[白話字], MATCH(TRUE, EXACT(韻母轉換規則!$C35, 韻母對照表[台羅拼音]), 0)), "")</f>
        <v>oⁿ</v>
      </c>
      <c r="H35" s="54" t="str" cm="1">
        <f t="array" ref="H35" xml:space="preserve"> IFERROR( INDEX(韻母對照表[十五音識別碼], MATCH(TRUE, EXACT(韻母轉換規則!$C35, 韻母對照表[台羅拼音]), 0)), "")</f>
        <v>姑舒</v>
      </c>
      <c r="I35" s="57" t="str" cm="1">
        <f t="array" ref="I35" xml:space="preserve"> IFERROR( INDEX(韻母對照表[方音符號], MATCH(TRUE, EXACT(韻母轉換規則!$C35, 韻母對照表[台羅拼音]), 0)), "")</f>
        <v>ㆧ</v>
      </c>
      <c r="J35" s="73"/>
      <c r="K35" s="57" t="str">
        <f t="shared" ref="K35:K66" si="5">E35</f>
        <v>oonn</v>
      </c>
      <c r="L35" s="57" t="str">
        <f t="shared" si="4"/>
        <v>onn</v>
      </c>
      <c r="M35" s="55"/>
      <c r="N35" s="56" t="str">
        <f t="shared" ref="N35:N66" si="6" xml:space="preserve"> IF(AND(K35&lt;&gt;"", L35&lt;&gt;""), "xform/" &amp; $E35 &amp;  "/"  &amp; $D35 &amp;  "/", "")</f>
        <v>xform/oonn/onn/</v>
      </c>
    </row>
    <row r="36" spans="1:14" ht="27.75" thickBot="1">
      <c r="A36" s="57">
        <f t="shared" si="2"/>
        <v>34</v>
      </c>
      <c r="B36" s="57" t="str" cm="1">
        <f t="array" ref="B36" xml:space="preserve"> IFERROR( INDEX(韻母對照表[國際音標], MATCH(TRUE, EXACT(韻母轉換規則!$C36, 韻母對照表[台羅拼音]), 0)), "")</f>
        <v>uã</v>
      </c>
      <c r="C36" s="57" t="s">
        <v>399</v>
      </c>
      <c r="D36" s="57" t="s">
        <v>399</v>
      </c>
      <c r="E36" s="57" t="str" cm="1">
        <f t="array" ref="E36" xml:space="preserve"> IFERROR( INDEX(韻母對照表[注音二式], MATCH(TRUE, EXACT(韻母轉換規則!$C36, 韻母對照表[台羅拼音]), 0)), "")</f>
        <v>uann</v>
      </c>
      <c r="F36" s="57" t="s">
        <v>401</v>
      </c>
      <c r="G36" s="60" t="str" cm="1">
        <f t="array" ref="G36" xml:space="preserve"> IFERROR( INDEX(韻母對照表[白話字], MATCH(TRUE, EXACT(韻母轉換規則!$C36, 韻母對照表[台羅拼音]), 0)), "")</f>
        <v>oaⁿ</v>
      </c>
      <c r="H36" s="54" t="str" cm="1">
        <f t="array" ref="H36" xml:space="preserve"> IFERROR( INDEX(韻母對照表[十五音識別碼], MATCH(TRUE, EXACT(韻母轉換規則!$C36, 韻母對照表[台羅拼音]), 0)), "")</f>
        <v>官舒</v>
      </c>
      <c r="I36" s="57" t="str" cm="1">
        <f t="array" ref="I36" xml:space="preserve"> IFERROR( INDEX(韻母對照表[方音符號], MATCH(TRUE, EXACT(韻母轉換規則!$C36, 韻母對照表[台羅拼音]), 0)), "")</f>
        <v>ㄨㆩ</v>
      </c>
      <c r="J36" s="73"/>
      <c r="K36" s="57" t="str">
        <f t="shared" si="5"/>
        <v>uann</v>
      </c>
      <c r="L36" s="57" t="str">
        <f t="shared" si="4"/>
        <v>uann</v>
      </c>
      <c r="M36" s="55"/>
      <c r="N36" s="56" t="str">
        <f t="shared" si="6"/>
        <v>xform/uann/uann/</v>
      </c>
    </row>
    <row r="37" spans="1:14" ht="27.75" thickBot="1">
      <c r="A37" s="57">
        <f t="shared" si="2"/>
        <v>35</v>
      </c>
      <c r="B37" s="57" t="str" cm="1">
        <f t="array" ref="B37" xml:space="preserve"> IFERROR( INDEX(韻母對照表[國際音標], MATCH(TRUE, EXACT(韻母轉換規則!$C37, 韻母對照表[台羅拼音]), 0)), "")</f>
        <v>uĩ</v>
      </c>
      <c r="C37" s="57" t="s">
        <v>351</v>
      </c>
      <c r="D37" s="57" t="s">
        <v>351</v>
      </c>
      <c r="E37" s="75" t="str" cm="1">
        <f t="array" ref="E37" xml:space="preserve"> IFERROR( INDEX(韻母對照表[注音二式], MATCH(TRUE, EXACT(韻母轉換規則!$C37, 韻母對照表[台羅拼音]), 0)), "")</f>
        <v>uinn</v>
      </c>
      <c r="F37" s="57" t="s">
        <v>353</v>
      </c>
      <c r="G37" s="60" t="str" cm="1">
        <f t="array" ref="G37" xml:space="preserve"> IFERROR( INDEX(韻母對照表[白話字], MATCH(TRUE, EXACT(韻母轉換規則!$C37, 韻母對照表[台羅拼音]), 0)), "")</f>
        <v>uiⁿ</v>
      </c>
      <c r="H37" s="54" t="str" cm="1">
        <f t="array" ref="H37" xml:space="preserve"> IFERROR( INDEX(韻母對照表[十五音識別碼], MATCH(TRUE, EXACT(韻母轉換規則!$C37, 韻母對照表[台羅拼音]), 0)), "")</f>
        <v>褌舒</v>
      </c>
      <c r="I37" s="57" t="str" cm="1">
        <f t="array" ref="I37" xml:space="preserve"> IFERROR( INDEX(韻母對照表[方音符號], MATCH(TRUE, EXACT(韻母轉換規則!$C37, 韻母對照表[台羅拼音]), 0)), "")</f>
        <v>ㄨㆪ</v>
      </c>
      <c r="J37" s="73"/>
      <c r="K37" s="57" t="str">
        <f t="shared" si="5"/>
        <v>uinn</v>
      </c>
      <c r="L37" s="57" t="str">
        <f t="shared" si="4"/>
        <v>uinn</v>
      </c>
      <c r="M37" s="55"/>
      <c r="N37" s="56" t="str">
        <f t="shared" si="6"/>
        <v>xform/uinn/uinn/</v>
      </c>
    </row>
    <row r="38" spans="1:14" ht="27.75" thickBot="1">
      <c r="A38" s="57">
        <f t="shared" si="2"/>
        <v>36</v>
      </c>
      <c r="B38" s="57" t="s">
        <v>81</v>
      </c>
      <c r="C38" s="57" t="s">
        <v>84</v>
      </c>
      <c r="D38" s="57" t="s">
        <v>84</v>
      </c>
      <c r="E38" s="57" t="str" cm="1">
        <f t="array" ref="E38" xml:space="preserve"> IFERROR( INDEX(韻母對照表[注音二式], MATCH(TRUE, EXACT(韻母轉換規則!$C38, 韻母對照表[台羅拼音]), 0)), "")</f>
        <v>ong</v>
      </c>
      <c r="F38" s="57" t="s">
        <v>820</v>
      </c>
      <c r="G38" s="60" t="str" cm="1">
        <f t="array" ref="G38" xml:space="preserve"> IFERROR( INDEX(韻母對照表[白話字], MATCH(TRUE, EXACT(韻母轉換規則!$C38, 韻母對照表[台羅拼音]), 0)), "")</f>
        <v>ong</v>
      </c>
      <c r="H38" s="54" t="str" cm="1">
        <f t="array" ref="H38" xml:space="preserve"> IFERROR( INDEX(韻母對照表[十五音識別碼], MATCH(TRUE, EXACT(韻母轉換規則!$C38, 韻母對照表[台羅拼音]), 0)), "")</f>
        <v>公舒</v>
      </c>
      <c r="I38" s="57" t="str" cm="1">
        <f t="array" ref="I38" xml:space="preserve"> IFERROR( INDEX(韻母對照表[方音符號], MATCH(TRUE, EXACT(韻母轉換規則!$C38, 韻母對照表[台羅拼音]), 0)), "")</f>
        <v>ㆲ</v>
      </c>
      <c r="J38" s="73"/>
      <c r="K38" s="57" t="str">
        <f t="shared" si="5"/>
        <v>ong</v>
      </c>
      <c r="L38" s="57" t="str">
        <f t="shared" si="4"/>
        <v>ong</v>
      </c>
      <c r="M38" s="55"/>
      <c r="N38" s="56" t="str">
        <f t="shared" si="6"/>
        <v>xform/ong/ong/</v>
      </c>
    </row>
    <row r="39" spans="1:14" ht="27.75" thickBot="1">
      <c r="A39" s="57">
        <f t="shared" si="2"/>
        <v>37</v>
      </c>
      <c r="B39" s="74" t="s">
        <v>821</v>
      </c>
      <c r="C39" s="57" t="s">
        <v>822</v>
      </c>
      <c r="D39" s="57" t="s">
        <v>822</v>
      </c>
      <c r="E39" s="75" t="str" cm="1">
        <f t="array" ref="E39" xml:space="preserve"> IFERROR( INDEX(韻母對照表[注音二式], MATCH(TRUE, EXACT(韻母轉換規則!$C39, 韻母對照表[台羅拼音]), 0)), "")</f>
        <v/>
      </c>
      <c r="F39" s="57" t="s">
        <v>822</v>
      </c>
      <c r="G39" s="59" t="str" cm="1">
        <f t="array" ref="G39" xml:space="preserve"> IFERROR( INDEX(韻母對照表[白話字], MATCH(TRUE, EXACT(韻母轉換規則!$C39, 韻母對照表[台羅拼音]), 0)), "")</f>
        <v/>
      </c>
      <c r="H39" s="54" t="str" cm="1">
        <f t="array" ref="H39" xml:space="preserve"> IFERROR( INDEX(韻母對照表[十五音識別碼], MATCH(TRUE, EXACT(韻母轉換規則!$C39, 韻母對照表[台羅拼音]), 0)), "")</f>
        <v/>
      </c>
      <c r="I39" s="57" t="str" cm="1">
        <f t="array" ref="I39" xml:space="preserve"> IFERROR( INDEX(韻母對照表[方音符號], MATCH(TRUE, EXACT(韻母轉換規則!$C39, 韻母對照表[台羅拼音]), 0)), "")</f>
        <v/>
      </c>
      <c r="J39" s="73"/>
      <c r="K39" s="57" t="str">
        <f t="shared" si="5"/>
        <v/>
      </c>
      <c r="L39" s="57" t="str">
        <f t="shared" si="4"/>
        <v>ooh</v>
      </c>
      <c r="M39" s="55"/>
      <c r="N39" s="56" t="str">
        <f t="shared" si="6"/>
        <v/>
      </c>
    </row>
    <row r="40" spans="1:14" ht="27.75" thickBot="1">
      <c r="A40" s="57">
        <f t="shared" si="2"/>
        <v>38</v>
      </c>
      <c r="B40" s="57" t="s">
        <v>823</v>
      </c>
      <c r="C40" s="57" t="s">
        <v>230</v>
      </c>
      <c r="D40" s="57" t="s">
        <v>230</v>
      </c>
      <c r="E40" s="57" t="str" cm="1">
        <f t="array" ref="E40" xml:space="preserve"> IFERROR( INDEX(韻母對照表[注音二式], MATCH(TRUE, EXACT(韻母轉換規則!$C40, 韻母對照表[台羅拼音]), 0)), "")</f>
        <v>uah</v>
      </c>
      <c r="F40" s="57" t="s">
        <v>824</v>
      </c>
      <c r="G40" s="59" t="str" cm="1">
        <f t="array" ref="G40" xml:space="preserve"> IFERROR( INDEX(韻母對照表[白話字], MATCH(TRUE, EXACT(韻母轉換規則!$C40, 韻母對照表[台羅拼音]), 0)), "")</f>
        <v>oah</v>
      </c>
      <c r="H40" s="54" t="str" cm="1">
        <f t="array" ref="H40" xml:space="preserve"> IFERROR( INDEX(韻母對照表[十五音識別碼], MATCH(TRUE, EXACT(韻母轉換規則!$C40, 韻母對照表[台羅拼音]), 0)), "")</f>
        <v>瓜促</v>
      </c>
      <c r="I40" s="57" t="str" cm="1">
        <f t="array" ref="I40" xml:space="preserve"> IFERROR( INDEX(韻母對照表[方音符號], MATCH(TRUE, EXACT(韻母轉換規則!$C40, 韻母對照表[台羅拼音]), 0)), "")</f>
        <v>ㄨㄚㆷ</v>
      </c>
      <c r="J40" s="73"/>
      <c r="K40" s="57" t="str">
        <f t="shared" si="5"/>
        <v>uah</v>
      </c>
      <c r="L40" s="57" t="str">
        <f t="shared" si="4"/>
        <v>uah</v>
      </c>
      <c r="M40" s="55"/>
      <c r="N40" s="56" t="str">
        <f t="shared" si="6"/>
        <v>xform/uah/uah/</v>
      </c>
    </row>
    <row r="41" spans="1:14" ht="27.75" thickBot="1">
      <c r="A41" s="57">
        <f t="shared" si="2"/>
        <v>39</v>
      </c>
      <c r="B41" s="57" t="s">
        <v>94</v>
      </c>
      <c r="C41" s="57" t="s">
        <v>94</v>
      </c>
      <c r="D41" s="57" t="s">
        <v>94</v>
      </c>
      <c r="E41" s="57" t="str" cm="1">
        <f t="array" ref="E41" xml:space="preserve"> IFERROR( INDEX(韻母對照表[注音二式], MATCH(TRUE, EXACT(韻母轉換規則!$C41, 韻母對照表[台羅拼音]), 0)), "")</f>
        <v>uai</v>
      </c>
      <c r="F41" s="57" t="s">
        <v>94</v>
      </c>
      <c r="G41" s="59" t="str" cm="1">
        <f t="array" ref="G41" xml:space="preserve"> IFERROR( INDEX(韻母對照表[白話字], MATCH(TRUE, EXACT(韻母轉換規則!$C41, 韻母對照表[台羅拼音]), 0)), "")</f>
        <v>oai</v>
      </c>
      <c r="H41" s="54" t="str" cm="1">
        <f t="array" ref="H41" xml:space="preserve"> IFERROR( INDEX(韻母對照表[十五音識別碼], MATCH(TRUE, EXACT(韻母轉換規則!$C41, 韻母對照表[台羅拼音]), 0)), "")</f>
        <v>乖舒</v>
      </c>
      <c r="I41" s="57" t="str" cm="1">
        <f t="array" ref="I41" xml:space="preserve"> IFERROR( INDEX(韻母對照表[方音符號], MATCH(TRUE, EXACT(韻母轉換規則!$C41, 韻母對照表[台羅拼音]), 0)), "")</f>
        <v>ㄨㄞ</v>
      </c>
      <c r="J41" s="73"/>
      <c r="K41" s="57" t="str">
        <f t="shared" si="5"/>
        <v>uai</v>
      </c>
      <c r="L41" s="57" t="str">
        <f t="shared" si="4"/>
        <v>uai</v>
      </c>
      <c r="M41" s="55"/>
      <c r="N41" s="56" t="str">
        <f t="shared" si="6"/>
        <v>xform/uai/uai/</v>
      </c>
    </row>
    <row r="42" spans="1:14" ht="27.75" thickBot="1">
      <c r="A42" s="57">
        <f t="shared" si="2"/>
        <v>40</v>
      </c>
      <c r="B42" s="57" t="str" cm="1">
        <f t="array" ref="B42" xml:space="preserve"> IFERROR( INDEX(韻母對照表[國際音標], MATCH(TRUE, EXACT(韻母轉換規則!$C42, 韻母對照表[台羅拼音]), 0)), "")</f>
        <v>uãi</v>
      </c>
      <c r="C42" s="57" t="s">
        <v>449</v>
      </c>
      <c r="D42" s="57" t="s">
        <v>449</v>
      </c>
      <c r="E42" s="57" t="str" cm="1">
        <f t="array" ref="E42" xml:space="preserve"> IFERROR( INDEX(韻母對照表[注音二式], MATCH(TRUE, EXACT(韻母轉換規則!$C42, 韻母對照表[台羅拼音]), 0)), "")</f>
        <v>uainn</v>
      </c>
      <c r="F42" s="57" t="s">
        <v>825</v>
      </c>
      <c r="G42" s="59" t="str" cm="1">
        <f t="array" ref="G42" xml:space="preserve"> IFERROR( INDEX(韻母對照表[白話字], MATCH(TRUE, EXACT(韻母轉換規則!$C42, 韻母對照表[台羅拼音]), 0)), "")</f>
        <v>oaiⁿ</v>
      </c>
      <c r="H42" s="54" t="str" cm="1">
        <f t="array" ref="H42" xml:space="preserve"> IFERROR( INDEX(韻母對照表[十五音識別碼], MATCH(TRUE, EXACT(韻母轉換規則!$C42, 韻母對照表[台羅拼音]), 0)), "")</f>
        <v>閂舒</v>
      </c>
      <c r="I42" s="57" t="str" cm="1">
        <f t="array" ref="I42" xml:space="preserve"> IFERROR( INDEX(韻母對照表[方音符號], MATCH(TRUE, EXACT(韻母轉換規則!$C42, 韻母對照表[台羅拼音]), 0)), "")</f>
        <v>ㄨㆮ</v>
      </c>
      <c r="J42" s="73"/>
      <c r="K42" s="57" t="str">
        <f t="shared" si="5"/>
        <v>uainn</v>
      </c>
      <c r="L42" s="57" t="str">
        <f t="shared" si="4"/>
        <v>uainn</v>
      </c>
      <c r="M42" s="55"/>
      <c r="N42" s="56" t="str">
        <f t="shared" si="6"/>
        <v>xform/uainn/uainn/</v>
      </c>
    </row>
    <row r="43" spans="1:14" ht="27.75" thickBot="1">
      <c r="A43" s="57">
        <f t="shared" si="2"/>
        <v>41</v>
      </c>
      <c r="B43" s="57" t="s">
        <v>120</v>
      </c>
      <c r="C43" s="57" t="s">
        <v>120</v>
      </c>
      <c r="D43" s="57" t="s">
        <v>120</v>
      </c>
      <c r="E43" s="57" t="str" cm="1">
        <f t="array" ref="E43" xml:space="preserve"> IFERROR( INDEX(韻母對照表[注音二式], MATCH(TRUE, EXACT(韻母轉換規則!$C43, 韻母對照表[台羅拼音]), 0)), "")</f>
        <v>uan</v>
      </c>
      <c r="F43" s="57" t="s">
        <v>826</v>
      </c>
      <c r="G43" s="59" t="str" cm="1">
        <f t="array" ref="G43" xml:space="preserve"> IFERROR( INDEX(韻母對照表[白話字], MATCH(TRUE, EXACT(韻母轉換規則!$C43, 韻母對照表[台羅拼音]), 0)), "")</f>
        <v>oan</v>
      </c>
      <c r="H43" s="54" t="str" cm="1">
        <f t="array" ref="H43" xml:space="preserve"> IFERROR( INDEX(韻母對照表[十五音識別碼], MATCH(TRUE, EXACT(韻母轉換規則!$C43, 韻母對照表[台羅拼音]), 0)), "")</f>
        <v>觀舒</v>
      </c>
      <c r="I43" s="57" t="str" cm="1">
        <f t="array" ref="I43" xml:space="preserve"> IFERROR( INDEX(韻母對照表[方音符號], MATCH(TRUE, EXACT(韻母轉換規則!$C43, 韻母對照表[台羅拼音]), 0)), "")</f>
        <v>ㄨㄢ</v>
      </c>
      <c r="J43" s="73"/>
      <c r="K43" s="57" t="str">
        <f t="shared" si="5"/>
        <v>uan</v>
      </c>
      <c r="L43" s="57" t="str">
        <f t="shared" si="4"/>
        <v>uan</v>
      </c>
      <c r="M43" s="55"/>
      <c r="N43" s="56" t="str">
        <f t="shared" si="6"/>
        <v>xform/uan/uan/</v>
      </c>
    </row>
    <row r="44" spans="1:14" ht="27.75" thickBot="1">
      <c r="A44" s="57">
        <f t="shared" si="2"/>
        <v>42</v>
      </c>
      <c r="B44" s="57" t="s">
        <v>877</v>
      </c>
      <c r="C44" s="57" t="s">
        <v>129</v>
      </c>
      <c r="D44" s="57" t="s">
        <v>129</v>
      </c>
      <c r="E44" s="57" t="str" cm="1">
        <f t="array" ref="E44" xml:space="preserve"> IFERROR( INDEX(韻母對照表[注音二式], MATCH(TRUE, EXACT(韻母轉換規則!$C44, 韻母對照表[台羅拼音]), 0)), "")</f>
        <v>uat</v>
      </c>
      <c r="F44" s="57" t="s">
        <v>827</v>
      </c>
      <c r="G44" s="59" t="str" cm="1">
        <f t="array" ref="G44" xml:space="preserve"> IFERROR( INDEX(韻母對照表[白話字], MATCH(TRUE, EXACT(韻母轉換規則!$C44, 韻母對照表[台羅拼音]), 0)), "")</f>
        <v>oat</v>
      </c>
      <c r="H44" s="54" t="str" cm="1">
        <f t="array" ref="H44" xml:space="preserve"> IFERROR( INDEX(韻母對照表[十五音識別碼], MATCH(TRUE, EXACT(韻母轉換規則!$C44, 韻母對照表[台羅拼音]), 0)), "")</f>
        <v>觀促</v>
      </c>
      <c r="I44" s="57" t="str" cm="1">
        <f t="array" ref="I44" xml:space="preserve"> IFERROR( INDEX(韻母對照表[方音符號], MATCH(TRUE, EXACT(韻母轉換規則!$C44, 韻母對照表[台羅拼音]), 0)), "")</f>
        <v>ㄨㄚㆵ</v>
      </c>
      <c r="J44" s="73"/>
      <c r="K44" s="57" t="str">
        <f t="shared" si="5"/>
        <v>uat</v>
      </c>
      <c r="L44" s="57" t="str">
        <f t="shared" si="4"/>
        <v>uat</v>
      </c>
      <c r="M44" s="55"/>
      <c r="N44" s="56" t="str">
        <f t="shared" si="6"/>
        <v>xform/uat/uat/</v>
      </c>
    </row>
    <row r="45" spans="1:14" ht="27.75" thickBot="1">
      <c r="A45" s="57">
        <f t="shared" si="2"/>
        <v>43</v>
      </c>
      <c r="B45" s="57" t="s">
        <v>828</v>
      </c>
      <c r="C45" s="57" t="s">
        <v>290</v>
      </c>
      <c r="D45" s="57" t="s">
        <v>290</v>
      </c>
      <c r="E45" s="75" t="str" cm="1">
        <f t="array" ref="E45" xml:space="preserve"> IFERROR( INDEX(韻母對照表[注音二式], MATCH(TRUE, EXACT(韻母轉換規則!$C45, 韻母對照表[台羅拼音]), 0)), "")</f>
        <v>ueh</v>
      </c>
      <c r="F45" s="57" t="s">
        <v>290</v>
      </c>
      <c r="G45" s="59" t="str" cm="1">
        <f t="array" ref="G45" xml:space="preserve"> IFERROR( INDEX(韻母對照表[白話字], MATCH(TRUE, EXACT(韻母轉換規則!$C45, 韻母對照表[台羅拼音]), 0)), "")</f>
        <v>oeh</v>
      </c>
      <c r="H45" s="54" t="str" cm="1">
        <f t="array" ref="H45" xml:space="preserve"> IFERROR( INDEX(韻母對照表[十五音識別碼], MATCH(TRUE, EXACT(韻母轉換規則!$C45, 韻母對照表[台羅拼音]), 0)), "")</f>
        <v>檜促</v>
      </c>
      <c r="I45" s="57" t="str" cm="1">
        <f t="array" ref="I45" xml:space="preserve"> IFERROR( INDEX(韻母對照表[方音符號], MATCH(TRUE, EXACT(韻母轉換規則!$C45, 韻母對照表[台羅拼音]), 0)), "")</f>
        <v>ㄨㆤㆷ</v>
      </c>
      <c r="J45" s="73"/>
      <c r="K45" s="57" t="str">
        <f t="shared" si="5"/>
        <v>ueh</v>
      </c>
      <c r="L45" s="57" t="str">
        <f t="shared" si="4"/>
        <v>ueh</v>
      </c>
      <c r="M45" s="55"/>
      <c r="N45" s="56" t="str">
        <f t="shared" si="6"/>
        <v>xform/ueh/ueh/</v>
      </c>
    </row>
    <row r="46" spans="1:14" ht="27.75" thickBot="1">
      <c r="A46" s="57">
        <f t="shared" si="2"/>
        <v>44</v>
      </c>
      <c r="B46" s="57" t="s">
        <v>56</v>
      </c>
      <c r="C46" s="57" t="s">
        <v>59</v>
      </c>
      <c r="D46" s="57" t="s">
        <v>59</v>
      </c>
      <c r="E46" s="57" t="str" cm="1">
        <f t="array" ref="E46" xml:space="preserve"> IFERROR( INDEX(韻母對照表[注音二式], MATCH(TRUE, EXACT(韻母轉換規則!$C46, 韻母對照表[台羅拼音]), 0)), "")</f>
        <v>e</v>
      </c>
      <c r="F46" s="57" t="s">
        <v>829</v>
      </c>
      <c r="G46" s="61"/>
      <c r="H46" s="54" t="str" cm="1">
        <f t="array" ref="H46" xml:space="preserve"> IFERROR( INDEX(韻母對照表[十五音識別碼], MATCH(TRUE, EXACT(韻母轉換規則!$C46, 韻母對照表[台羅拼音]), 0)), "")</f>
        <v>嘉舒</v>
      </c>
      <c r="I46" s="57" t="str" cm="1">
        <f t="array" ref="I46" xml:space="preserve"> IFERROR( INDEX(韻母對照表[方音符號], MATCH(TRUE, EXACT(韻母轉換規則!$C46, 韻母對照表[台羅拼音]), 0)), "")</f>
        <v>ㄝ</v>
      </c>
      <c r="J46" s="73"/>
      <c r="K46" s="57" t="str">
        <f t="shared" si="5"/>
        <v>e</v>
      </c>
      <c r="L46" s="57" t="str">
        <f t="shared" si="4"/>
        <v>ee</v>
      </c>
      <c r="M46" s="55"/>
      <c r="N46" s="56" t="str">
        <f t="shared" si="6"/>
        <v>xform/e/ee/</v>
      </c>
    </row>
    <row r="47" spans="1:14" ht="27.75" thickBot="1">
      <c r="A47" s="57">
        <f t="shared" si="2"/>
        <v>45</v>
      </c>
      <c r="B47" s="57" t="s">
        <v>830</v>
      </c>
      <c r="C47" s="57" t="s">
        <v>321</v>
      </c>
      <c r="D47" s="57" t="s">
        <v>321</v>
      </c>
      <c r="E47" s="57" t="str" cm="1">
        <f t="array" ref="E47" xml:space="preserve"> IFERROR( INDEX(韻母對照表[注音二式], MATCH(TRUE, EXACT(韻母轉換規則!$C47, 韻母對照表[台羅拼音]), 0)), "")</f>
        <v>ah</v>
      </c>
      <c r="F47" s="57" t="s">
        <v>831</v>
      </c>
      <c r="G47" s="60" t="str" cm="1">
        <f t="array" ref="G47" xml:space="preserve"> IFERROR( INDEX(韻母對照表[白話字], MATCH(TRUE, EXACT(韻母轉換規則!$C47, 韻母對照表[台羅拼音]), 0)), "")</f>
        <v>ah</v>
      </c>
      <c r="H47" s="54" t="str" cm="1">
        <f t="array" ref="H47" xml:space="preserve"> IFERROR( INDEX(韻母對照表[十五音識別碼], MATCH(TRUE, EXACT(韻母轉換規則!$C47, 韻母對照表[台羅拼音]), 0)), "")</f>
        <v>膠促</v>
      </c>
      <c r="I47" s="57" t="str" cm="1">
        <f t="array" ref="I47" xml:space="preserve"> IFERROR( INDEX(韻母對照表[方音符號], MATCH(TRUE, EXACT(韻母轉換規則!$C47, 韻母對照表[台羅拼音]), 0)), "")</f>
        <v>ㄚㆷ</v>
      </c>
      <c r="J47" s="73"/>
      <c r="K47" s="57" t="str">
        <f t="shared" si="5"/>
        <v>ah</v>
      </c>
      <c r="L47" s="57" t="str">
        <f t="shared" si="4"/>
        <v>ah</v>
      </c>
      <c r="M47" s="55"/>
      <c r="N47" s="56" t="str">
        <f t="shared" si="6"/>
        <v>xform/ah/ah/</v>
      </c>
    </row>
    <row r="48" spans="1:14" ht="27.75" thickBot="1">
      <c r="A48" s="57">
        <f t="shared" si="2"/>
        <v>46</v>
      </c>
      <c r="B48" s="57" t="s">
        <v>183</v>
      </c>
      <c r="C48" s="57" t="s">
        <v>183</v>
      </c>
      <c r="D48" s="57" t="s">
        <v>183</v>
      </c>
      <c r="E48" s="57" t="str" cm="1">
        <f t="array" ref="E48" xml:space="preserve"> IFERROR( INDEX(韻母對照表[注音二式], MATCH(TRUE, EXACT(韻母轉換規則!$C48, 韻母對照表[台羅拼音]), 0)), "")</f>
        <v>ai</v>
      </c>
      <c r="F48" s="57" t="s">
        <v>183</v>
      </c>
      <c r="G48" s="60" t="str" cm="1">
        <f t="array" ref="G48" xml:space="preserve"> IFERROR( INDEX(韻母對照表[白話字], MATCH(TRUE, EXACT(韻母轉換規則!$C48, 韻母對照表[台羅拼音]), 0)), "")</f>
        <v>ai</v>
      </c>
      <c r="H48" s="54" t="str" cm="1">
        <f t="array" ref="H48" xml:space="preserve"> IFERROR( INDEX(韻母對照表[十五音識別碼], MATCH(TRUE, EXACT(韻母轉換規則!$C48, 韻母對照表[台羅拼音]), 0)), "")</f>
        <v>皆舒</v>
      </c>
      <c r="I48" s="57" t="str" cm="1">
        <f t="array" ref="I48" xml:space="preserve"> IFERROR( INDEX(韻母對照表[方音符號], MATCH(TRUE, EXACT(韻母轉換規則!$C48, 韻母對照表[台羅拼音]), 0)), "")</f>
        <v>ㄞ</v>
      </c>
      <c r="J48" s="73"/>
      <c r="K48" s="57" t="str">
        <f t="shared" si="5"/>
        <v>ai</v>
      </c>
      <c r="L48" s="57" t="str">
        <f t="shared" si="4"/>
        <v>ai</v>
      </c>
      <c r="M48" s="55"/>
      <c r="N48" s="56" t="str">
        <f t="shared" si="6"/>
        <v>xform/ai/ai/</v>
      </c>
    </row>
    <row r="49" spans="1:14" ht="27.75" thickBot="1">
      <c r="A49" s="57">
        <f t="shared" si="2"/>
        <v>47</v>
      </c>
      <c r="B49" s="57" t="s">
        <v>886</v>
      </c>
      <c r="C49" s="57" t="s">
        <v>243</v>
      </c>
      <c r="D49" s="57" t="s">
        <v>243</v>
      </c>
      <c r="E49" s="75" t="str" cm="1">
        <f t="array" ref="E49" xml:space="preserve"> IFERROR( INDEX(韻母對照表[注音二式], MATCH(TRUE, EXACT(韻母轉換規則!$C49, 韻母對照表[台羅拼音]), 0)), "")</f>
        <v>ak</v>
      </c>
      <c r="F49" s="57" t="s">
        <v>832</v>
      </c>
      <c r="G49" s="60" t="str" cm="1">
        <f t="array" ref="G49" xml:space="preserve"> IFERROR( INDEX(韻母對照表[白話字], MATCH(TRUE, EXACT(韻母轉換規則!$C49, 韻母對照表[台羅拼音]), 0)), "")</f>
        <v>ak</v>
      </c>
      <c r="H49" s="54" t="str" cm="1">
        <f t="array" ref="H49" xml:space="preserve"> IFERROR( INDEX(韻母對照表[十五音識別碼], MATCH(TRUE, EXACT(韻母轉換規則!$C49, 韻母對照表[台羅拼音]), 0)), "")</f>
        <v>江促</v>
      </c>
      <c r="I49" s="57" t="str" cm="1">
        <f t="array" ref="I49" xml:space="preserve"> IFERROR( INDEX(韻母對照表[方音符號], MATCH(TRUE, EXACT(韻母轉換規則!$C49, 韻母對照表[台羅拼音]), 0)), "")</f>
        <v>ㄚㆻ</v>
      </c>
      <c r="J49" s="73"/>
      <c r="K49" s="57" t="str">
        <f t="shared" si="5"/>
        <v>ak</v>
      </c>
      <c r="L49" s="57" t="str">
        <f t="shared" si="4"/>
        <v>ak</v>
      </c>
      <c r="M49" s="55"/>
      <c r="N49" s="56" t="str">
        <f t="shared" si="6"/>
        <v>xform/ak/ak/</v>
      </c>
    </row>
    <row r="50" spans="1:14" ht="27.75" thickBot="1">
      <c r="A50" s="57">
        <f t="shared" si="2"/>
        <v>48</v>
      </c>
      <c r="B50" s="57" t="s">
        <v>211</v>
      </c>
      <c r="C50" s="57" t="s">
        <v>211</v>
      </c>
      <c r="D50" s="57" t="s">
        <v>211</v>
      </c>
      <c r="E50" s="57" t="str" cm="1">
        <f t="array" ref="E50" xml:space="preserve"> IFERROR( INDEX(韻母對照表[注音二式], MATCH(TRUE, EXACT(韻母轉換規則!$C50, 韻母對照表[台羅拼音]), 0)), "")</f>
        <v>am</v>
      </c>
      <c r="F50" s="57" t="s">
        <v>833</v>
      </c>
      <c r="G50" s="60" t="str" cm="1">
        <f t="array" ref="G50" xml:space="preserve"> IFERROR( INDEX(韻母對照表[白話字], MATCH(TRUE, EXACT(韻母轉換規則!$C50, 韻母對照表[台羅拼音]), 0)), "")</f>
        <v>am</v>
      </c>
      <c r="H50" s="54" t="str" cm="1">
        <f t="array" ref="H50" xml:space="preserve"> IFERROR( INDEX(韻母對照表[十五音識別碼], MATCH(TRUE, EXACT(韻母轉換規則!$C50, 韻母對照表[台羅拼音]), 0)), "")</f>
        <v>甘舒</v>
      </c>
      <c r="I50" s="57" t="str" cm="1">
        <f t="array" ref="I50" xml:space="preserve"> IFERROR( INDEX(韻母對照表[方音符號], MATCH(TRUE, EXACT(韻母轉換規則!$C50, 韻母對照表[台羅拼音]), 0)), "")</f>
        <v>ㆰ</v>
      </c>
      <c r="J50" s="73"/>
      <c r="K50" s="57" t="str">
        <f t="shared" si="5"/>
        <v>am</v>
      </c>
      <c r="L50" s="57" t="str">
        <f t="shared" si="4"/>
        <v>am</v>
      </c>
      <c r="M50" s="55"/>
      <c r="N50" s="56" t="str">
        <f t="shared" si="6"/>
        <v>xform/am/am/</v>
      </c>
    </row>
    <row r="51" spans="1:14" ht="27.75" thickBot="1">
      <c r="A51" s="57">
        <f t="shared" si="2"/>
        <v>49</v>
      </c>
      <c r="B51" s="57" t="s">
        <v>69</v>
      </c>
      <c r="C51" s="57" t="s">
        <v>69</v>
      </c>
      <c r="D51" s="57" t="s">
        <v>69</v>
      </c>
      <c r="E51" s="57" t="str" cm="1">
        <f t="array" ref="E51" xml:space="preserve"> IFERROR( INDEX(韻母對照表[注音二式], MATCH(TRUE, EXACT(韻母轉換規則!$C51, 韻母對照表[台羅拼音]), 0)), "")</f>
        <v>an</v>
      </c>
      <c r="F51" s="57" t="s">
        <v>834</v>
      </c>
      <c r="G51" s="60" t="str" cm="1">
        <f t="array" ref="G51" xml:space="preserve"> IFERROR( INDEX(韻母對照表[白話字], MATCH(TRUE, EXACT(韻母轉換規則!$C51, 韻母對照表[台羅拼音]), 0)), "")</f>
        <v>an</v>
      </c>
      <c r="H51" s="54" t="str" cm="1">
        <f t="array" ref="H51" xml:space="preserve"> IFERROR( INDEX(韻母對照表[十五音識別碼], MATCH(TRUE, EXACT(韻母轉換規則!$C51, 韻母對照表[台羅拼音]), 0)), "")</f>
        <v>干舒</v>
      </c>
      <c r="I51" s="57" t="str" cm="1">
        <f t="array" ref="I51" xml:space="preserve"> IFERROR( INDEX(韻母對照表[方音符號], MATCH(TRUE, EXACT(韻母轉換規則!$C51, 韻母對照表[台羅拼音]), 0)), "")</f>
        <v>ㄢ</v>
      </c>
      <c r="J51" s="73"/>
      <c r="K51" s="57" t="str">
        <f t="shared" si="5"/>
        <v>an</v>
      </c>
      <c r="L51" s="57" t="str">
        <f t="shared" si="4"/>
        <v>an</v>
      </c>
      <c r="M51" s="55"/>
      <c r="N51" s="56" t="str">
        <f t="shared" si="6"/>
        <v>xform/an/an/</v>
      </c>
    </row>
    <row r="52" spans="1:14" ht="27.75" thickBot="1">
      <c r="A52" s="57">
        <f t="shared" si="2"/>
        <v>50</v>
      </c>
      <c r="B52" s="57" t="s">
        <v>260</v>
      </c>
      <c r="C52" s="57" t="s">
        <v>260</v>
      </c>
      <c r="D52" s="57" t="s">
        <v>260</v>
      </c>
      <c r="E52" s="57" t="str" cm="1">
        <f t="array" ref="E52" xml:space="preserve"> IFERROR( INDEX(韻母對照表[注音二式], MATCH(TRUE, EXACT(韻母轉換規則!$C52, 韻母對照表[台羅拼音]), 0)), "")</f>
        <v>au</v>
      </c>
      <c r="F52" s="57" t="s">
        <v>263</v>
      </c>
      <c r="G52" s="59" t="str" cm="1">
        <f t="array" ref="G52" xml:space="preserve"> IFERROR( INDEX(韻母對照表[白話字], MATCH(TRUE, EXACT(韻母轉換規則!$C52, 韻母對照表[台羅拼音]), 0)), "")</f>
        <v>au</v>
      </c>
      <c r="H52" s="54" t="str" cm="1">
        <f t="array" ref="H52" xml:space="preserve"> IFERROR( INDEX(韻母對照表[十五音識別碼], MATCH(TRUE, EXACT(韻母轉換規則!$C52, 韻母對照表[台羅拼音]), 0)), "")</f>
        <v>交舒</v>
      </c>
      <c r="I52" s="57" t="str" cm="1">
        <f t="array" ref="I52" xml:space="preserve"> IFERROR( INDEX(韻母對照表[方音符號], MATCH(TRUE, EXACT(韻母轉換規則!$C52, 韻母對照表[台羅拼音]), 0)), "")</f>
        <v>ㄠ</v>
      </c>
      <c r="J52" s="73"/>
      <c r="K52" s="57" t="str">
        <f t="shared" si="5"/>
        <v>au</v>
      </c>
      <c r="L52" s="57" t="str">
        <f t="shared" si="4"/>
        <v>au</v>
      </c>
      <c r="M52" s="55"/>
      <c r="N52" s="56" t="str">
        <f t="shared" si="6"/>
        <v>xform/au/au/</v>
      </c>
    </row>
    <row r="53" spans="1:14" ht="27.75" thickBot="1">
      <c r="A53" s="57">
        <f t="shared" si="2"/>
        <v>51</v>
      </c>
      <c r="B53" s="57" t="s">
        <v>882</v>
      </c>
      <c r="C53" s="57" t="s">
        <v>219</v>
      </c>
      <c r="D53" s="57" t="s">
        <v>219</v>
      </c>
      <c r="E53" s="57" t="str" cm="1">
        <f t="array" ref="E53" xml:space="preserve"> IFERROR( INDEX(韻母對照表[注音二式], MATCH(TRUE, EXACT(韻母轉換規則!$C53, 韻母對照表[台羅拼音]), 0)), "")</f>
        <v>ap</v>
      </c>
      <c r="F53" s="57" t="s">
        <v>835</v>
      </c>
      <c r="G53" s="60" t="str" cm="1">
        <f t="array" ref="G53" xml:space="preserve"> IFERROR( INDEX(韻母對照表[白話字], MATCH(TRUE, EXACT(韻母轉換規則!$C53, 韻母對照表[台羅拼音]), 0)), "")</f>
        <v>ap</v>
      </c>
      <c r="H53" s="54" t="str" cm="1">
        <f t="array" ref="H53" xml:space="preserve"> IFERROR( INDEX(韻母對照表[十五音識別碼], MATCH(TRUE, EXACT(韻母轉換規則!$C53, 韻母對照表[台羅拼音]), 0)), "")</f>
        <v>甘促</v>
      </c>
      <c r="I53" s="57" t="str" cm="1">
        <f t="array" ref="I53" xml:space="preserve"> IFERROR( INDEX(韻母對照表[方音符號], MATCH(TRUE, EXACT(韻母轉換規則!$C53, 韻母對照表[台羅拼音]), 0)), "")</f>
        <v>ㄚㆴ</v>
      </c>
      <c r="J53" s="73"/>
      <c r="K53" s="57" t="str">
        <f t="shared" si="5"/>
        <v>ap</v>
      </c>
      <c r="L53" s="57" t="str">
        <f t="shared" si="4"/>
        <v>ap</v>
      </c>
      <c r="M53" s="55"/>
      <c r="N53" s="56" t="str">
        <f t="shared" si="6"/>
        <v>xform/ap/ap/</v>
      </c>
    </row>
    <row r="54" spans="1:14" ht="27.75" thickBot="1">
      <c r="A54" s="57">
        <f t="shared" si="2"/>
        <v>52</v>
      </c>
      <c r="B54" s="57" t="s">
        <v>878</v>
      </c>
      <c r="C54" s="57" t="s">
        <v>77</v>
      </c>
      <c r="D54" s="57" t="s">
        <v>77</v>
      </c>
      <c r="E54" s="57" t="str" cm="1">
        <f t="array" ref="E54" xml:space="preserve"> IFERROR( INDEX(韻母對照表[注音二式], MATCH(TRUE, EXACT(韻母轉換規則!$C54, 韻母對照表[台羅拼音]), 0)), "")</f>
        <v>at</v>
      </c>
      <c r="F54" s="57" t="s">
        <v>836</v>
      </c>
      <c r="G54" s="60" t="str" cm="1">
        <f t="array" ref="G54" xml:space="preserve"> IFERROR( INDEX(韻母對照表[白話字], MATCH(TRUE, EXACT(韻母轉換規則!$C54, 韻母對照表[台羅拼音]), 0)), "")</f>
        <v>at</v>
      </c>
      <c r="H54" s="54" t="str" cm="1">
        <f t="array" ref="H54" xml:space="preserve"> IFERROR( INDEX(韻母對照表[十五音識別碼], MATCH(TRUE, EXACT(韻母轉換規則!$C54, 韻母對照表[台羅拼音]), 0)), "")</f>
        <v>干促</v>
      </c>
      <c r="I54" s="57" t="str" cm="1">
        <f t="array" ref="I54" xml:space="preserve"> IFERROR( INDEX(韻母對照表[方音符號], MATCH(TRUE, EXACT(韻母轉換規則!$C54, 韻母對照表[台羅拼音]), 0)), "")</f>
        <v>ㄚㆵ</v>
      </c>
      <c r="J54" s="73"/>
      <c r="K54" s="57" t="str">
        <f t="shared" si="5"/>
        <v>at</v>
      </c>
      <c r="L54" s="57" t="str">
        <f t="shared" si="4"/>
        <v>at</v>
      </c>
      <c r="M54" s="55"/>
      <c r="N54" s="56" t="str">
        <f t="shared" si="6"/>
        <v>xform/at/at/</v>
      </c>
    </row>
    <row r="55" spans="1:14" ht="27.75" thickBot="1">
      <c r="A55" s="57">
        <f t="shared" si="2"/>
        <v>53</v>
      </c>
      <c r="B55" s="57" t="s">
        <v>837</v>
      </c>
      <c r="C55" s="57" t="s">
        <v>65</v>
      </c>
      <c r="D55" s="57" t="s">
        <v>65</v>
      </c>
      <c r="E55" s="57" t="str" cm="1">
        <f t="array" ref="E55" xml:space="preserve"> IFERROR( INDEX(韻母對照表[注音二式], MATCH(TRUE, EXACT(韻母轉換規則!$C55, 韻母對照表[台羅拼音]), 0)), "")</f>
        <v>eh</v>
      </c>
      <c r="F55" s="57" t="s">
        <v>65</v>
      </c>
      <c r="G55" s="60" t="str" cm="1">
        <f t="array" ref="G55" xml:space="preserve"> IFERROR( INDEX(韻母對照表[白話字], MATCH(TRUE, EXACT(韻母轉換規則!$C55, 韻母對照表[台羅拼音]), 0)), "")</f>
        <v>eh</v>
      </c>
      <c r="H55" s="54" t="str" cm="1">
        <f t="array" ref="H55" xml:space="preserve"> IFERROR( INDEX(韻母對照表[十五音識別碼], MATCH(TRUE, EXACT(韻母轉換規則!$C55, 韻母對照表[台羅拼音]), 0)), "")</f>
        <v>伽促</v>
      </c>
      <c r="I55" s="57" t="str" cm="1">
        <f t="array" ref="I55" xml:space="preserve"> IFERROR( INDEX(韻母對照表[方音符號], MATCH(TRUE, EXACT(韻母轉換規則!$C55, 韻母對照表[台羅拼音]), 0)), "")</f>
        <v>ㆤㆷ</v>
      </c>
      <c r="J55" s="73"/>
      <c r="K55" s="57" t="str">
        <f t="shared" si="5"/>
        <v>eh</v>
      </c>
      <c r="L55" s="57" t="str">
        <f t="shared" si="4"/>
        <v>eh</v>
      </c>
      <c r="M55" s="55"/>
      <c r="N55" s="56" t="str">
        <f t="shared" si="6"/>
        <v>xform/eh/eh/</v>
      </c>
    </row>
    <row r="56" spans="1:14" ht="27.75" thickBot="1">
      <c r="A56" s="57">
        <f t="shared" si="2"/>
        <v>54</v>
      </c>
      <c r="B56" s="74" t="s">
        <v>838</v>
      </c>
      <c r="C56" s="57" t="s">
        <v>839</v>
      </c>
      <c r="D56" s="57" t="s">
        <v>839</v>
      </c>
      <c r="E56" s="61" t="str" cm="1">
        <f t="array" ref="E56" xml:space="preserve"> IFERROR( INDEX(韻母對照表[注音二式], MATCH(TRUE, EXACT(韻母轉換規則!$C56, 韻母對照表[台羅拼音]), 0)), "")</f>
        <v/>
      </c>
      <c r="F56" s="57" t="s">
        <v>840</v>
      </c>
      <c r="G56" s="61" t="str" cm="1">
        <f t="array" ref="G56" xml:space="preserve"> IFERROR( INDEX(韻母對照表[白話字], MATCH(TRUE, EXACT(韻母轉換規則!$C56, 韻母對照表[台羅拼音]), 0)), "")</f>
        <v/>
      </c>
      <c r="H56" s="54" t="str" cm="1">
        <f t="array" ref="H56" xml:space="preserve"> IFERROR( INDEX(韻母對照表[十五音識別碼], MATCH(TRUE, EXACT(韻母轉換規則!$C56, 韻母對照表[台羅拼音]), 0)), "")</f>
        <v/>
      </c>
      <c r="I56" s="57" t="str" cm="1">
        <f t="array" ref="I56" xml:space="preserve"> IFERROR( INDEX(韻母對照表[方音符號], MATCH(TRUE, EXACT(韻母轉換規則!$C56, 韻母對照表[台羅拼音]), 0)), "")</f>
        <v/>
      </c>
      <c r="J56" s="73"/>
      <c r="K56" s="57" t="str">
        <f t="shared" si="5"/>
        <v/>
      </c>
      <c r="L56" s="57" t="str">
        <f t="shared" si="4"/>
        <v>ir</v>
      </c>
      <c r="M56" s="55"/>
      <c r="N56" s="56" t="str">
        <f t="shared" si="6"/>
        <v/>
      </c>
    </row>
    <row r="57" spans="1:14" ht="27.75" thickBot="1">
      <c r="A57" s="57">
        <f t="shared" si="2"/>
        <v>55</v>
      </c>
      <c r="B57" s="57" t="s">
        <v>272</v>
      </c>
      <c r="C57" s="57" t="s">
        <v>272</v>
      </c>
      <c r="D57" s="57" t="s">
        <v>272</v>
      </c>
      <c r="E57" s="57" t="str" cm="1">
        <f t="array" ref="E57" xml:space="preserve"> IFERROR( INDEX(韻母對照表[注音二式], MATCH(TRUE, EXACT(韻母轉換規則!$C57, 韻母對照表[台羅拼音]), 0)), "")</f>
        <v>ia</v>
      </c>
      <c r="F57" s="57" t="s">
        <v>841</v>
      </c>
      <c r="G57" s="60" t="str" cm="1">
        <f t="array" ref="G57" xml:space="preserve"> IFERROR( INDEX(韻母對照表[白話字], MATCH(TRUE, EXACT(韻母轉換規則!$C57, 韻母對照表[台羅拼音]), 0)), "")</f>
        <v>ia</v>
      </c>
      <c r="H57" s="54" t="str" cm="1">
        <f t="array" ref="H57" xml:space="preserve"> IFERROR( INDEX(韻母對照表[十五音識別碼], MATCH(TRUE, EXACT(韻母轉換規則!$C57, 韻母對照表[台羅拼音]), 0)), "")</f>
        <v>迦舒</v>
      </c>
      <c r="I57" s="57" t="str" cm="1">
        <f t="array" ref="I57" xml:space="preserve"> IFERROR( INDEX(韻母對照表[方音符號], MATCH(TRUE, EXACT(韻母轉換規則!$C57, 韻母對照表[台羅拼音]), 0)), "")</f>
        <v>ㄧㄚ</v>
      </c>
      <c r="J57" s="73"/>
      <c r="K57" s="57" t="str">
        <f t="shared" si="5"/>
        <v>ia</v>
      </c>
      <c r="L57" s="57" t="str">
        <f t="shared" si="4"/>
        <v>ia</v>
      </c>
      <c r="M57" s="55"/>
      <c r="N57" s="56" t="str">
        <f t="shared" si="6"/>
        <v>xform/ia/ia/</v>
      </c>
    </row>
    <row r="58" spans="1:14" ht="27.75" thickBot="1">
      <c r="A58" s="57">
        <f t="shared" si="2"/>
        <v>56</v>
      </c>
      <c r="B58" s="74" t="s">
        <v>842</v>
      </c>
      <c r="C58" s="57" t="s">
        <v>843</v>
      </c>
      <c r="D58" s="57" t="s">
        <v>843</v>
      </c>
      <c r="E58" s="61" t="str" cm="1">
        <f t="array" ref="E58" xml:space="preserve"> IFERROR( INDEX(韻母對照表[注音二式], MATCH(TRUE, EXACT(韻母轉換規則!$C58, 韻母對照表[台羅拼音]), 0)), "")</f>
        <v/>
      </c>
      <c r="F58" s="57" t="s">
        <v>844</v>
      </c>
      <c r="G58" s="61" t="str" cm="1">
        <f t="array" ref="G58" xml:space="preserve"> IFERROR( INDEX(韻母對照表[白話字], MATCH(TRUE, EXACT(韻母轉換規則!$C58, 韻母對照表[台羅拼音]), 0)), "")</f>
        <v/>
      </c>
      <c r="H58" s="54" t="str" cm="1">
        <f t="array" ref="H58" xml:space="preserve"> IFERROR( INDEX(韻母對照表[十五音識別碼], MATCH(TRUE, EXACT(韻母轉換規則!$C58, 韻母對照表[台羅拼音]), 0)), "")</f>
        <v/>
      </c>
      <c r="I58" s="57" t="str" cm="1">
        <f t="array" ref="I58" xml:space="preserve"> IFERROR( INDEX(韻母對照表[方音符號], MATCH(TRUE, EXACT(韻母轉換規則!$C58, 韻母對照表[台羅拼音]), 0)), "")</f>
        <v/>
      </c>
      <c r="J58" s="73"/>
      <c r="K58" s="57" t="str">
        <f t="shared" si="5"/>
        <v/>
      </c>
      <c r="L58" s="57" t="str">
        <f t="shared" si="4"/>
        <v>er</v>
      </c>
      <c r="M58" s="55"/>
      <c r="N58" s="56" t="str">
        <f t="shared" si="6"/>
        <v/>
      </c>
    </row>
    <row r="59" spans="1:14" ht="27.75" thickBot="1">
      <c r="A59" s="57">
        <f t="shared" si="2"/>
        <v>57</v>
      </c>
      <c r="B59" s="57" t="s">
        <v>845</v>
      </c>
      <c r="C59" s="57" t="s">
        <v>329</v>
      </c>
      <c r="D59" s="57" t="s">
        <v>329</v>
      </c>
      <c r="E59" s="57" t="str" cm="1">
        <f t="array" ref="E59" xml:space="preserve"> IFERROR( INDEX(韻母對照表[注音二式], MATCH(TRUE, EXACT(韻母轉換規則!$C59, 韻母對照表[台羅拼音]), 0)), "")</f>
        <v>ih</v>
      </c>
      <c r="F59" s="57" t="s">
        <v>329</v>
      </c>
      <c r="G59" s="60" t="str" cm="1">
        <f t="array" ref="G59" xml:space="preserve"> IFERROR( INDEX(韻母對照表[白話字], MATCH(TRUE, EXACT(韻母轉換規則!$C59, 韻母對照表[台羅拼音]), 0)), "")</f>
        <v>ih</v>
      </c>
      <c r="H59" s="54" t="str" cm="1">
        <f t="array" ref="H59" xml:space="preserve"> IFERROR( INDEX(韻母對照表[十五音識別碼], MATCH(TRUE, EXACT(韻母轉換規則!$C59, 韻母對照表[台羅拼音]), 0)), "")</f>
        <v>居促</v>
      </c>
      <c r="I59" s="57" t="str" cm="1">
        <f t="array" ref="I59" xml:space="preserve"> IFERROR( INDEX(韻母對照表[方音符號], MATCH(TRUE, EXACT(韻母轉換規則!$C59, 韻母對照表[台羅拼音]), 0)), "")</f>
        <v>ㄧㆷ</v>
      </c>
      <c r="J59" s="73"/>
      <c r="K59" s="57" t="str">
        <f t="shared" si="5"/>
        <v>ih</v>
      </c>
      <c r="L59" s="57" t="str">
        <f t="shared" si="4"/>
        <v>ih</v>
      </c>
      <c r="M59" s="55"/>
      <c r="N59" s="56" t="str">
        <f t="shared" si="6"/>
        <v>xform/ih/ih/</v>
      </c>
    </row>
    <row r="60" spans="1:14" ht="27.75" thickBot="1">
      <c r="A60" s="57">
        <f t="shared" si="2"/>
        <v>58</v>
      </c>
      <c r="B60" s="57" t="s">
        <v>887</v>
      </c>
      <c r="C60" s="57" t="s">
        <v>115</v>
      </c>
      <c r="D60" s="57" t="s">
        <v>115</v>
      </c>
      <c r="E60" s="57" t="str" cm="1">
        <f t="array" ref="E60" xml:space="preserve"> IFERROR( INDEX(韻母對照表[注音二式], MATCH(TRUE, EXACT(韻母轉換規則!$C60, 韻母對照表[台羅拼音]), 0)), "")</f>
        <v>ik</v>
      </c>
      <c r="F60" s="57" t="s">
        <v>115</v>
      </c>
      <c r="G60" s="59" t="str" cm="1">
        <f t="array" ref="G60" xml:space="preserve"> IFERROR( INDEX(韻母對照表[白話字], MATCH(TRUE, EXACT(韻母轉換規則!$C60, 韻母對照表[台羅拼音]), 0)), "")</f>
        <v>ek</v>
      </c>
      <c r="H60" s="54" t="str" cm="1">
        <f t="array" ref="H60" xml:space="preserve"> IFERROR( INDEX(韻母對照表[十五音識別碼], MATCH(TRUE, EXACT(韻母轉換規則!$C60, 韻母對照表[台羅拼音]), 0)), "")</f>
        <v>經促</v>
      </c>
      <c r="I60" s="57" t="str" cm="1">
        <f t="array" ref="I60" xml:space="preserve"> IFERROR( INDEX(韻母對照表[方音符號], MATCH(TRUE, EXACT(韻母轉換規則!$C60, 韻母對照表[台羅拼音]), 0)), "")</f>
        <v>ㄧㆻ</v>
      </c>
      <c r="J60" s="73"/>
      <c r="K60" s="57" t="str">
        <f t="shared" si="5"/>
        <v>ik</v>
      </c>
      <c r="L60" s="57" t="str">
        <f t="shared" si="4"/>
        <v>ik</v>
      </c>
      <c r="M60" s="55"/>
      <c r="N60" s="56" t="str">
        <f t="shared" si="6"/>
        <v>xform/ik/ik/</v>
      </c>
    </row>
    <row r="61" spans="1:14" ht="27.75" thickBot="1">
      <c r="A61" s="57">
        <f t="shared" si="2"/>
        <v>59</v>
      </c>
      <c r="B61" s="57" t="s">
        <v>38</v>
      </c>
      <c r="C61" s="57" t="s">
        <v>38</v>
      </c>
      <c r="D61" s="57" t="s">
        <v>38</v>
      </c>
      <c r="E61" s="57" t="str" cm="1">
        <f t="array" ref="E61" xml:space="preserve"> IFERROR( INDEX(韻母對照表[注音二式], MATCH(TRUE, EXACT(韻母轉換規則!$C61, 韻母對照表[台羅拼音]), 0)), "")</f>
        <v>im</v>
      </c>
      <c r="F61" s="57" t="s">
        <v>38</v>
      </c>
      <c r="G61" s="60" t="str" cm="1">
        <f t="array" ref="G61" xml:space="preserve"> IFERROR( INDEX(韻母對照表[白話字], MATCH(TRUE, EXACT(韻母轉換規則!$C61, 韻母對照表[台羅拼音]), 0)), "")</f>
        <v>im</v>
      </c>
      <c r="H61" s="54" t="str" cm="1">
        <f t="array" ref="H61" xml:space="preserve"> IFERROR( INDEX(韻母對照表[十五音識別碼], MATCH(TRUE, EXACT(韻母轉換規則!$C61, 韻母對照表[台羅拼音]), 0)), "")</f>
        <v>金舒</v>
      </c>
      <c r="I61" s="57" t="str" cm="1">
        <f t="array" ref="I61" xml:space="preserve"> IFERROR( INDEX(韻母對照表[方音符號], MATCH(TRUE, EXACT(韻母轉換規則!$C61, 韻母對照表[台羅拼音]), 0)), "")</f>
        <v>ㄧㆬ</v>
      </c>
      <c r="J61" s="73"/>
      <c r="K61" s="57" t="str">
        <f t="shared" si="5"/>
        <v>im</v>
      </c>
      <c r="L61" s="57" t="str">
        <f t="shared" si="4"/>
        <v>im</v>
      </c>
      <c r="M61" s="55"/>
      <c r="N61" s="56" t="str">
        <f t="shared" si="6"/>
        <v>xform/im/im/</v>
      </c>
    </row>
    <row r="62" spans="1:14" ht="27.75" thickBot="1">
      <c r="A62" s="57">
        <f t="shared" si="2"/>
        <v>60</v>
      </c>
      <c r="B62" s="57" t="s">
        <v>189</v>
      </c>
      <c r="C62" s="57" t="s">
        <v>189</v>
      </c>
      <c r="D62" s="57" t="s">
        <v>189</v>
      </c>
      <c r="E62" s="57" t="str" cm="1">
        <f t="array" ref="E62" xml:space="preserve"> IFERROR( INDEX(韻母對照表[注音二式], MATCH(TRUE, EXACT(韻母轉換規則!$C62, 韻母對照表[台羅拼音]), 0)), "")</f>
        <v>in</v>
      </c>
      <c r="F62" s="57" t="s">
        <v>189</v>
      </c>
      <c r="G62" s="60" t="str" cm="1">
        <f t="array" ref="G62" xml:space="preserve"> IFERROR( INDEX(韻母對照表[白話字], MATCH(TRUE, EXACT(韻母轉換規則!$C62, 韻母對照表[台羅拼音]), 0)), "")</f>
        <v>in</v>
      </c>
      <c r="H62" s="54" t="str" cm="1">
        <f t="array" ref="H62" xml:space="preserve"> IFERROR( INDEX(韻母對照表[十五音識別碼], MATCH(TRUE, EXACT(韻母轉換規則!$C62, 韻母對照表[台羅拼音]), 0)), "")</f>
        <v>巾舒</v>
      </c>
      <c r="I62" s="57" t="str" cm="1">
        <f t="array" ref="I62" xml:space="preserve"> IFERROR( INDEX(韻母對照表[方音符號], MATCH(TRUE, EXACT(韻母轉換規則!$C62, 韻母對照表[台羅拼音]), 0)), "")</f>
        <v>ㄧㄣ</v>
      </c>
      <c r="J62" s="73"/>
      <c r="K62" s="57" t="str">
        <f t="shared" si="5"/>
        <v>in</v>
      </c>
      <c r="L62" s="57" t="str">
        <f t="shared" si="4"/>
        <v>in</v>
      </c>
      <c r="M62" s="55"/>
      <c r="N62" s="56" t="str">
        <f t="shared" si="6"/>
        <v>xform/in/in/</v>
      </c>
    </row>
    <row r="63" spans="1:14" ht="27.75" thickBot="1">
      <c r="A63" s="57">
        <f t="shared" si="2"/>
        <v>61</v>
      </c>
      <c r="B63" s="57" t="s">
        <v>357</v>
      </c>
      <c r="C63" s="57" t="s">
        <v>357</v>
      </c>
      <c r="D63" s="57" t="s">
        <v>357</v>
      </c>
      <c r="E63" s="57" t="str" cm="1">
        <f t="array" ref="E63" xml:space="preserve"> IFERROR( INDEX(韻母對照表[注音二式], MATCH(TRUE, EXACT(韻母轉換規則!$C63, 韻母對照表[台羅拼音]), 0)), "")</f>
        <v>ior</v>
      </c>
      <c r="F63" s="57" t="s">
        <v>357</v>
      </c>
      <c r="G63" s="60" t="str" cm="1">
        <f t="array" ref="G63" xml:space="preserve"> IFERROR( INDEX(韻母對照表[白話字], MATCH(TRUE, EXACT(韻母轉換規則!$C63, 韻母對照表[台羅拼音]), 0)), "")</f>
        <v>io</v>
      </c>
      <c r="H63" s="54" t="str" cm="1">
        <f t="array" ref="H63" xml:space="preserve"> IFERROR( INDEX(韻母對照表[十五音識別碼], MATCH(TRUE, EXACT(韻母轉換規則!$C63, 韻母對照表[台羅拼音]), 0)), "")</f>
        <v>茄舒</v>
      </c>
      <c r="I63" s="57" t="str" cm="1">
        <f t="array" ref="I63" xml:space="preserve"> IFERROR( INDEX(韻母對照表[方音符號], MATCH(TRUE, EXACT(韻母轉換規則!$C63, 韻母對照表[台羅拼音]), 0)), "")</f>
        <v>ㄧㄜ</v>
      </c>
      <c r="J63" s="73"/>
      <c r="K63" s="57" t="str">
        <f t="shared" si="5"/>
        <v>ior</v>
      </c>
      <c r="L63" s="57" t="str">
        <f t="shared" si="4"/>
        <v>io</v>
      </c>
      <c r="M63" s="55"/>
      <c r="N63" s="56" t="str">
        <f t="shared" si="6"/>
        <v>xform/ior/io/</v>
      </c>
    </row>
    <row r="64" spans="1:14" ht="27.75" thickBot="1">
      <c r="A64" s="57">
        <f t="shared" si="2"/>
        <v>62</v>
      </c>
      <c r="B64" s="57" t="s">
        <v>883</v>
      </c>
      <c r="C64" s="57" t="s">
        <v>46</v>
      </c>
      <c r="D64" s="57" t="s">
        <v>46</v>
      </c>
      <c r="E64" s="57" t="str" cm="1">
        <f t="array" ref="E64" xml:space="preserve"> IFERROR( INDEX(韻母對照表[注音二式], MATCH(TRUE, EXACT(韻母轉換規則!$C64, 韻母對照表[台羅拼音]), 0)), "")</f>
        <v>ip</v>
      </c>
      <c r="F64" s="57" t="s">
        <v>46</v>
      </c>
      <c r="G64" s="60" t="str" cm="1">
        <f t="array" ref="G64" xml:space="preserve"> IFERROR( INDEX(韻母對照表[白話字], MATCH(TRUE, EXACT(韻母轉換規則!$C64, 韻母對照表[台羅拼音]), 0)), "")</f>
        <v>ip</v>
      </c>
      <c r="H64" s="54" t="str" cm="1">
        <f t="array" ref="H64" xml:space="preserve"> IFERROR( INDEX(韻母對照表[十五音識別碼], MATCH(TRUE, EXACT(韻母轉換規則!$C64, 韻母對照表[台羅拼音]), 0)), "")</f>
        <v>金促</v>
      </c>
      <c r="I64" s="57" t="str" cm="1">
        <f t="array" ref="I64" xml:space="preserve"> IFERROR( INDEX(韻母對照表[方音符號], MATCH(TRUE, EXACT(韻母轉換規則!$C64, 韻母對照表[台羅拼音]), 0)), "")</f>
        <v>一ㆴ</v>
      </c>
      <c r="J64" s="73"/>
      <c r="K64" s="57" t="str">
        <f t="shared" si="5"/>
        <v>ip</v>
      </c>
      <c r="L64" s="57" t="str">
        <f t="shared" si="4"/>
        <v>ip</v>
      </c>
      <c r="M64" s="55"/>
      <c r="N64" s="56" t="str">
        <f t="shared" si="6"/>
        <v>xform/ip/ip/</v>
      </c>
    </row>
    <row r="65" spans="1:14" ht="27.75" thickBot="1">
      <c r="A65" s="57">
        <f t="shared" si="2"/>
        <v>63</v>
      </c>
      <c r="B65" s="57" t="s">
        <v>879</v>
      </c>
      <c r="C65" s="57" t="s">
        <v>197</v>
      </c>
      <c r="D65" s="57" t="s">
        <v>197</v>
      </c>
      <c r="E65" s="57" t="str" cm="1">
        <f t="array" ref="E65" xml:space="preserve"> IFERROR( INDEX(韻母對照表[注音二式], MATCH(TRUE, EXACT(韻母轉換規則!$C65, 韻母對照表[台羅拼音]), 0)), "")</f>
        <v>it</v>
      </c>
      <c r="F65" s="57" t="s">
        <v>197</v>
      </c>
      <c r="G65" s="60" t="str" cm="1">
        <f t="array" ref="G65" xml:space="preserve"> IFERROR( INDEX(韻母對照表[白話字], MATCH(TRUE, EXACT(韻母轉換規則!$C65, 韻母對照表[台羅拼音]), 0)), "")</f>
        <v>it</v>
      </c>
      <c r="H65" s="54" t="str" cm="1">
        <f t="array" ref="H65" xml:space="preserve"> IFERROR( INDEX(韻母對照表[十五音識別碼], MATCH(TRUE, EXACT(韻母轉換規則!$C65, 韻母對照表[台羅拼音]), 0)), "")</f>
        <v>巾促</v>
      </c>
      <c r="I65" s="57" t="str" cm="1">
        <f t="array" ref="I65" xml:space="preserve"> IFERROR( INDEX(韻母對照表[方音符號], MATCH(TRUE, EXACT(韻母轉換規則!$C65, 韻母對照表[台羅拼音]), 0)), "")</f>
        <v>ㄧㆵ</v>
      </c>
      <c r="J65" s="73"/>
      <c r="K65" s="57" t="str">
        <f t="shared" si="5"/>
        <v>it</v>
      </c>
      <c r="L65" s="57" t="str">
        <f t="shared" si="4"/>
        <v>it</v>
      </c>
      <c r="M65" s="55"/>
      <c r="N65" s="56" t="str">
        <f t="shared" si="6"/>
        <v>xform/it/it/</v>
      </c>
    </row>
    <row r="66" spans="1:14" ht="27.75" thickBot="1">
      <c r="A66" s="57">
        <f t="shared" si="2"/>
        <v>64</v>
      </c>
      <c r="B66" s="57" t="s">
        <v>332</v>
      </c>
      <c r="C66" s="57" t="s">
        <v>332</v>
      </c>
      <c r="D66" s="57" t="s">
        <v>332</v>
      </c>
      <c r="E66" s="57" t="str" cm="1">
        <f t="array" ref="E66" xml:space="preserve"> IFERROR( INDEX(韻母對照表[注音二式], MATCH(TRUE, EXACT(韻母轉換規則!$C66, 韻母對照表[台羅拼音]), 0)), "")</f>
        <v>iu</v>
      </c>
      <c r="F66" s="57" t="s">
        <v>332</v>
      </c>
      <c r="G66" s="60" t="str" cm="1">
        <f t="array" ref="G66" xml:space="preserve"> IFERROR( INDEX(韻母對照表[白話字], MATCH(TRUE, EXACT(韻母轉換規則!$C66, 韻母對照表[台羅拼音]), 0)), "")</f>
        <v>iu</v>
      </c>
      <c r="H66" s="54" t="str" cm="1">
        <f t="array" ref="H66" xml:space="preserve"> IFERROR( INDEX(韻母對照表[十五音識別碼], MATCH(TRUE, EXACT(韻母轉換規則!$C66, 韻母對照表[台羅拼音]), 0)), "")</f>
        <v>丩舒</v>
      </c>
      <c r="I66" s="57" t="str" cm="1">
        <f t="array" ref="I66" xml:space="preserve"> IFERROR( INDEX(韻母對照表[方音符號], MATCH(TRUE, EXACT(韻母轉換規則!$C66, 韻母對照表[台羅拼音]), 0)), "")</f>
        <v>ㄧㄨ</v>
      </c>
      <c r="J66" s="73"/>
      <c r="K66" s="57" t="str">
        <f t="shared" si="5"/>
        <v>iu</v>
      </c>
      <c r="L66" s="57" t="str">
        <f t="shared" si="4"/>
        <v>iu</v>
      </c>
      <c r="M66" s="55"/>
      <c r="N66" s="56" t="str">
        <f t="shared" si="6"/>
        <v>xform/iu/iu/</v>
      </c>
    </row>
    <row r="67" spans="1:14" ht="27.75" thickBot="1">
      <c r="A67" s="57">
        <f t="shared" si="2"/>
        <v>65</v>
      </c>
      <c r="B67" s="74" t="s">
        <v>846</v>
      </c>
      <c r="C67" s="57" t="s">
        <v>847</v>
      </c>
      <c r="D67" s="57" t="s">
        <v>847</v>
      </c>
      <c r="E67" s="75" t="str" cm="1">
        <f t="array" ref="E67" xml:space="preserve"> IFERROR( INDEX(韻母對照表[注音二式], MATCH(TRUE, EXACT(韻母轉換規則!$C67, 韻母對照表[台羅拼音]), 0)), "")</f>
        <v/>
      </c>
      <c r="F67" s="57" t="s">
        <v>847</v>
      </c>
      <c r="G67" s="60" t="str" cm="1">
        <f t="array" ref="G67" xml:space="preserve"> IFERROR( INDEX(韻母對照表[白話字], MATCH(TRUE, EXACT(韻母轉換規則!$C67, 韻母對照表[台羅拼音]), 0)), "")</f>
        <v/>
      </c>
      <c r="H67" s="54" t="str" cm="1">
        <f t="array" ref="H67" xml:space="preserve"> IFERROR( INDEX(韻母對照表[十五音識別碼], MATCH(TRUE, EXACT(韻母轉換規則!$C67, 韻母對照表[台羅拼音]), 0)), "")</f>
        <v/>
      </c>
      <c r="I67" s="57" t="str" cm="1">
        <f t="array" ref="I67" xml:space="preserve"> IFERROR( INDEX(韻母對照表[方音符號], MATCH(TRUE, EXACT(韻母轉換規則!$C67, 韻母對照表[台羅拼音]), 0)), "")</f>
        <v/>
      </c>
      <c r="J67" s="73"/>
      <c r="K67" s="57" t="str">
        <f t="shared" ref="K67:K98" si="7">E67</f>
        <v/>
      </c>
      <c r="L67" s="57" t="str">
        <f t="shared" si="4"/>
        <v>mh</v>
      </c>
      <c r="M67" s="55"/>
      <c r="N67" s="56" t="str">
        <f t="shared" ref="N67:N98" si="8" xml:space="preserve"> IF(AND(K67&lt;&gt;"", L67&lt;&gt;""), "xform/" &amp; $E67 &amp;  "/"  &amp; $D67 &amp;  "/", "")</f>
        <v/>
      </c>
    </row>
    <row r="68" spans="1:14" ht="27.75" thickBot="1">
      <c r="A68" s="57">
        <f t="shared" ref="A68:A98" si="9" xml:space="preserve"> ROW() -2</f>
        <v>66</v>
      </c>
      <c r="B68" s="57" t="s">
        <v>294</v>
      </c>
      <c r="C68" s="57" t="s">
        <v>297</v>
      </c>
      <c r="D68" s="57" t="s">
        <v>297</v>
      </c>
      <c r="E68" s="57" t="str" cm="1">
        <f t="array" ref="E68" xml:space="preserve"> IFERROR( INDEX(韻母對照表[注音二式], MATCH(TRUE, EXACT(韻母轉換規則!$C68, 韻母對照表[台羅拼音]), 0)), "")</f>
        <v>ann</v>
      </c>
      <c r="F68" s="57" t="s">
        <v>299</v>
      </c>
      <c r="G68" s="60" t="str" cm="1">
        <f t="array" ref="G68" xml:space="preserve"> IFERROR( INDEX(韻母對照表[白話字], MATCH(TRUE, EXACT(韻母轉換規則!$C68, 韻母對照表[台羅拼音]), 0)), "")</f>
        <v>aⁿ</v>
      </c>
      <c r="H68" s="54" t="str" cm="1">
        <f t="array" ref="H68" xml:space="preserve"> IFERROR( INDEX(韻母對照表[十五音識別碼], MATCH(TRUE, EXACT(韻母轉換規則!$C68, 韻母對照表[台羅拼音]), 0)), "")</f>
        <v>監舒</v>
      </c>
      <c r="I68" s="57" t="str" cm="1">
        <f t="array" ref="I68" xml:space="preserve"> IFERROR( INDEX(韻母對照表[方音符號], MATCH(TRUE, EXACT(韻母轉換規則!$C68, 韻母對照表[台羅拼音]), 0)), "")</f>
        <v>ㆩ</v>
      </c>
      <c r="J68" s="73"/>
      <c r="K68" s="57" t="str">
        <f t="shared" si="7"/>
        <v>ann</v>
      </c>
      <c r="L68" s="57" t="str">
        <f t="shared" si="4"/>
        <v>ann</v>
      </c>
      <c r="M68" s="55"/>
      <c r="N68" s="56" t="str">
        <f t="shared" si="8"/>
        <v>xform/ann/ann/</v>
      </c>
    </row>
    <row r="69" spans="1:14" ht="27.75" thickBot="1">
      <c r="A69" s="57">
        <f t="shared" si="9"/>
        <v>67</v>
      </c>
      <c r="B69" s="57" t="s">
        <v>404</v>
      </c>
      <c r="C69" s="57" t="s">
        <v>407</v>
      </c>
      <c r="D69" s="57" t="s">
        <v>407</v>
      </c>
      <c r="E69" s="57" t="str" cm="1">
        <f t="array" ref="E69" xml:space="preserve"> IFERROR( INDEX(韻母對照表[注音二式], MATCH(TRUE, EXACT(韻母轉換規則!$C69, 韻母對照表[台羅拼音]), 0)), "")</f>
        <v>ng</v>
      </c>
      <c r="F69" s="57" t="s">
        <v>407</v>
      </c>
      <c r="G69" s="60" t="str" cm="1">
        <f t="array" ref="G69" xml:space="preserve"> IFERROR( INDEX(韻母對照表[白話字], MATCH(TRUE, EXACT(韻母轉換規則!$C69, 韻母對照表[台羅拼音]), 0)), "")</f>
        <v>ng</v>
      </c>
      <c r="H69" s="54" t="str" cm="1">
        <f t="array" ref="H69" xml:space="preserve"> IFERROR( INDEX(韻母對照表[十五音識別碼], MATCH(TRUE, EXACT(韻母轉換規則!$C69, 韻母對照表[台羅拼音]), 0)), "")</f>
        <v>鋼舒</v>
      </c>
      <c r="I69" s="57" t="str" cm="1">
        <f t="array" ref="I69" xml:space="preserve"> IFERROR( INDEX(韻母對照表[方音符號], MATCH(TRUE, EXACT(韻母轉換規則!$C69, 韻母對照表[台羅拼音]), 0)), "")</f>
        <v>ㆭ</v>
      </c>
      <c r="J69" s="73"/>
      <c r="K69" s="57" t="str">
        <f t="shared" si="7"/>
        <v>ng</v>
      </c>
      <c r="L69" s="57" t="str">
        <f t="shared" si="4"/>
        <v>ng</v>
      </c>
      <c r="M69" s="55"/>
      <c r="N69" s="56" t="str">
        <f t="shared" si="8"/>
        <v>xform/ng/ng/</v>
      </c>
    </row>
    <row r="70" spans="1:14" ht="27.75" thickBot="1">
      <c r="A70" s="57">
        <f t="shared" si="9"/>
        <v>68</v>
      </c>
      <c r="B70" s="57" t="s">
        <v>848</v>
      </c>
      <c r="C70" s="57" t="s">
        <v>370</v>
      </c>
      <c r="D70" s="57" t="s">
        <v>370</v>
      </c>
      <c r="E70" s="75" t="str" cm="1">
        <f t="array" ref="E70" xml:space="preserve"> IFERROR( INDEX(韻母對照表[注音二式], MATCH(TRUE, EXACT(韻母轉換規則!$C70, 韻母對照表[台羅拼音]), 0)), "")</f>
        <v>inn</v>
      </c>
      <c r="F70" s="57" t="s">
        <v>372</v>
      </c>
      <c r="G70" s="60" t="str" cm="1">
        <f t="array" ref="G70" xml:space="preserve"> IFERROR( INDEX(韻母對照表[白話字], MATCH(TRUE, EXACT(韻母轉換規則!$C70, 韻母對照表[台羅拼音]), 0)), "")</f>
        <v>iⁿ</v>
      </c>
      <c r="H70" s="54" t="str" cm="1">
        <f t="array" ref="H70" xml:space="preserve"> IFERROR( INDEX(韻母對照表[十五音識別碼], MATCH(TRUE, EXACT(韻母轉換規則!$C70, 韻母對照表[台羅拼音]), 0)), "")</f>
        <v>梔舒</v>
      </c>
      <c r="I70" s="57" t="str" cm="1">
        <f t="array" ref="I70" xml:space="preserve"> IFERROR( INDEX(韻母對照表[方音符號], MATCH(TRUE, EXACT(韻母轉換規則!$C70, 韻母對照表[台羅拼音]), 0)), "")</f>
        <v>ㆪ</v>
      </c>
      <c r="J70" s="73"/>
      <c r="K70" s="57" t="str">
        <f t="shared" si="7"/>
        <v>inn</v>
      </c>
      <c r="L70" s="57" t="str">
        <f t="shared" si="4"/>
        <v>inn</v>
      </c>
      <c r="M70" s="55"/>
      <c r="N70" s="56" t="str">
        <f t="shared" si="8"/>
        <v>xform/inn/inn/</v>
      </c>
    </row>
    <row r="71" spans="1:14" ht="27.75" thickBot="1">
      <c r="A71" s="57">
        <f t="shared" si="9"/>
        <v>69</v>
      </c>
      <c r="B71" s="57" t="s">
        <v>849</v>
      </c>
      <c r="C71" s="57" t="s">
        <v>178</v>
      </c>
      <c r="D71" s="57" t="s">
        <v>178</v>
      </c>
      <c r="E71" s="57" t="str" cm="1">
        <f t="array" ref="E71" xml:space="preserve"> IFERROR( INDEX(韻母對照表[注音二式], MATCH(TRUE, EXACT(韻母轉換規則!$C71, 韻母對照表[台羅拼音]), 0)), "")</f>
        <v>orh</v>
      </c>
      <c r="F71" s="57" t="s">
        <v>178</v>
      </c>
      <c r="G71" s="60" t="str" cm="1">
        <f t="array" ref="G71" xml:space="preserve"> IFERROR( INDEX(韻母對照表[白話字], MATCH(TRUE, EXACT(韻母轉換規則!$C71, 韻母對照表[台羅拼音]), 0)), "")</f>
        <v>oh</v>
      </c>
      <c r="H71" s="54" t="str" cm="1">
        <f t="array" ref="H71" xml:space="preserve"> IFERROR( INDEX(韻母對照表[十五音識別碼], MATCH(TRUE, EXACT(韻母轉換規則!$C71, 韻母對照表[台羅拼音]), 0)), "")</f>
        <v>高促</v>
      </c>
      <c r="I71" s="57" t="str" cm="1">
        <f t="array" ref="I71" xml:space="preserve"> IFERROR( INDEX(韻母對照表[方音符號], MATCH(TRUE, EXACT(韻母轉換規則!$C71, 韻母對照表[台羅拼音]), 0)), "")</f>
        <v>ㄜㆷ</v>
      </c>
      <c r="J71" s="73"/>
      <c r="K71" s="57" t="str">
        <f t="shared" si="7"/>
        <v>orh</v>
      </c>
      <c r="L71" s="57" t="str">
        <f t="shared" si="4"/>
        <v>oh</v>
      </c>
      <c r="M71" s="55"/>
      <c r="N71" s="56" t="str">
        <f t="shared" si="8"/>
        <v>xform/orh/oh/</v>
      </c>
    </row>
    <row r="72" spans="1:14" ht="27.75" thickBot="1">
      <c r="A72" s="57">
        <f t="shared" si="9"/>
        <v>70</v>
      </c>
      <c r="B72" s="57" t="s">
        <v>888</v>
      </c>
      <c r="C72" s="57" t="s">
        <v>90</v>
      </c>
      <c r="D72" s="57" t="s">
        <v>90</v>
      </c>
      <c r="E72" s="57" t="str" cm="1">
        <f t="array" ref="E72" xml:space="preserve"> IFERROR( INDEX(韻母對照表[注音二式], MATCH(TRUE, EXACT(韻母轉換規則!$C72, 韻母對照表[台羅拼音]), 0)), "")</f>
        <v>ok</v>
      </c>
      <c r="F72" s="57" t="s">
        <v>90</v>
      </c>
      <c r="G72" s="60" t="str" cm="1">
        <f t="array" ref="G72" xml:space="preserve"> IFERROR( INDEX(韻母對照表[白話字], MATCH(TRUE, EXACT(韻母轉換規則!$C72, 韻母對照表[台羅拼音]), 0)), "")</f>
        <v>ok</v>
      </c>
      <c r="H72" s="54" t="str" cm="1">
        <f t="array" ref="H72" xml:space="preserve"> IFERROR( INDEX(韻母對照表[十五音識別碼], MATCH(TRUE, EXACT(韻母轉換規則!$C72, 韻母對照表[台羅拼音]), 0)), "")</f>
        <v>公促</v>
      </c>
      <c r="I72" s="57" t="str" cm="1">
        <f t="array" ref="I72" xml:space="preserve"> IFERROR( INDEX(韻母對照表[方音符號], MATCH(TRUE, EXACT(韻母轉換規則!$C72, 韻母對照表[台羅拼音]), 0)), "")</f>
        <v>ㆦㆻ</v>
      </c>
      <c r="J72" s="73"/>
      <c r="K72" s="57" t="str">
        <f t="shared" si="7"/>
        <v>ok</v>
      </c>
      <c r="L72" s="57" t="str">
        <f t="shared" si="4"/>
        <v>ok</v>
      </c>
      <c r="M72" s="55"/>
      <c r="N72" s="56" t="str">
        <f t="shared" si="8"/>
        <v>xform/ok/ok/</v>
      </c>
    </row>
    <row r="73" spans="1:14" ht="27.75" thickBot="1">
      <c r="A73" s="57">
        <f t="shared" si="9"/>
        <v>71</v>
      </c>
      <c r="B73" s="57" t="s">
        <v>851</v>
      </c>
      <c r="C73" s="57" t="s">
        <v>136</v>
      </c>
      <c r="D73" s="57" t="s">
        <v>136</v>
      </c>
      <c r="E73" s="75" t="str" cm="1">
        <f t="array" ref="E73" xml:space="preserve"> IFERROR( INDEX(韻母對照表[注音二式], MATCH(TRUE, EXACT(韻母轉換規則!$C73, 韻母對照表[台羅拼音]), 0)), "")</f>
        <v>oo</v>
      </c>
      <c r="F73" s="57" t="s">
        <v>136</v>
      </c>
      <c r="G73" s="59" t="str" cm="1">
        <f t="array" ref="G73" xml:space="preserve"> IFERROR( INDEX(韻母對照表[白話字], MATCH(TRUE, EXACT(韻母轉換規則!$C73, 韻母對照表[台羅拼音]), 0)), "")</f>
        <v>o͘</v>
      </c>
      <c r="H73" s="54" t="str" cm="1">
        <f t="array" ref="H73" xml:space="preserve"> IFERROR( INDEX(韻母對照表[十五音識別碼], MATCH(TRUE, EXACT(韻母轉換規則!$C73, 韻母對照表[台羅拼音]), 0)), "")</f>
        <v>沽舒</v>
      </c>
      <c r="I73" s="57" t="str" cm="1">
        <f t="array" ref="I73" xml:space="preserve"> IFERROR( INDEX(韻母對照表[方音符號], MATCH(TRUE, EXACT(韻母轉換規則!$C73, 韻母對照表[台羅拼音]), 0)), "")</f>
        <v>ㆦ</v>
      </c>
      <c r="J73" s="73"/>
      <c r="K73" s="57" t="str">
        <f t="shared" si="7"/>
        <v>oo</v>
      </c>
      <c r="L73" s="57" t="str">
        <f t="shared" si="4"/>
        <v>oo</v>
      </c>
      <c r="M73" s="55"/>
      <c r="N73" s="56" t="str">
        <f t="shared" si="8"/>
        <v>xform/oo/oo/</v>
      </c>
    </row>
    <row r="74" spans="1:14" ht="27.75" thickBot="1">
      <c r="A74" s="57">
        <f t="shared" si="9"/>
        <v>72</v>
      </c>
      <c r="B74" s="57" t="s">
        <v>884</v>
      </c>
      <c r="C74" s="57" t="s">
        <v>485</v>
      </c>
      <c r="D74" s="57" t="s">
        <v>485</v>
      </c>
      <c r="E74" s="57" t="str" cm="1">
        <f t="array" ref="E74" xml:space="preserve"> IFERROR( INDEX(韻母對照表[注音二式], MATCH(TRUE, EXACT(韻母轉換規則!$C74, 韻母對照表[台羅拼音]), 0)), "")</f>
        <v>oop</v>
      </c>
      <c r="F74" s="57" t="s">
        <v>485</v>
      </c>
      <c r="G74" s="60" t="str" cm="1">
        <f t="array" ref="G74" xml:space="preserve"> IFERROR( INDEX(韻母對照表[白話字], MATCH(TRUE, EXACT(韻母轉換規則!$C74, 韻母對照表[台羅拼音]), 0)), "")</f>
        <v>op</v>
      </c>
      <c r="H74" s="54" t="str" cm="1">
        <f t="array" ref="H74" xml:space="preserve"> IFERROR( INDEX(韻母對照表[十五音識別碼], MATCH(TRUE, EXACT(韻母轉換規則!$C74, 韻母對照表[台羅拼音]), 0)), "")</f>
        <v>箴促</v>
      </c>
      <c r="I74" s="57" t="str" cm="1">
        <f t="array" ref="I74" xml:space="preserve"> IFERROR( INDEX(韻母對照表[方音符號], MATCH(TRUE, EXACT(韻母轉換規則!$C74, 韻母對照表[台羅拼音]), 0)), "")</f>
        <v>ㆦㆴ</v>
      </c>
      <c r="J74" s="73"/>
      <c r="K74" s="57" t="str">
        <f t="shared" si="7"/>
        <v>oop</v>
      </c>
      <c r="L74" s="57" t="str">
        <f t="shared" si="4"/>
        <v>op</v>
      </c>
      <c r="M74" s="55"/>
      <c r="N74" s="56" t="str">
        <f t="shared" si="8"/>
        <v>xform/oop/op/</v>
      </c>
    </row>
    <row r="75" spans="1:14" ht="27.75" thickBot="1">
      <c r="A75" s="57">
        <f t="shared" si="9"/>
        <v>73</v>
      </c>
      <c r="B75" s="57" t="s">
        <v>223</v>
      </c>
      <c r="C75" s="57" t="s">
        <v>223</v>
      </c>
      <c r="D75" s="57" t="s">
        <v>223</v>
      </c>
      <c r="E75" s="57" t="str" cm="1">
        <f t="array" ref="E75" xml:space="preserve"> IFERROR( INDEX(韻母對照表[注音二式], MATCH(TRUE, EXACT(韻母轉換規則!$C75, 韻母對照表[台羅拼音]), 0)), "")</f>
        <v>ua</v>
      </c>
      <c r="F75" s="57" t="s">
        <v>853</v>
      </c>
      <c r="G75" s="59" t="str" cm="1">
        <f t="array" ref="G75" xml:space="preserve"> IFERROR( INDEX(韻母對照表[白話字], MATCH(TRUE, EXACT(韻母轉換規則!$C75, 韻母對照表[台羅拼音]), 0)), "")</f>
        <v>oa</v>
      </c>
      <c r="H75" s="54" t="str" cm="1">
        <f t="array" ref="H75" xml:space="preserve"> IFERROR( INDEX(韻母對照表[十五音識別碼], MATCH(TRUE, EXACT(韻母轉換規則!$C75, 韻母對照表[台羅拼音]), 0)), "")</f>
        <v>瓜舒</v>
      </c>
      <c r="I75" s="57" t="str" cm="1">
        <f t="array" ref="I75" xml:space="preserve"> IFERROR( INDEX(韻母對照表[方音符號], MATCH(TRUE, EXACT(韻母轉換規則!$C75, 韻母對照表[台羅拼音]), 0)), "")</f>
        <v>ㄨㄚ</v>
      </c>
      <c r="J75" s="73"/>
      <c r="K75" s="57" t="str">
        <f t="shared" si="7"/>
        <v>ua</v>
      </c>
      <c r="L75" s="57" t="str">
        <f t="shared" si="4"/>
        <v>ua</v>
      </c>
      <c r="M75" s="55"/>
      <c r="N75" s="56" t="str">
        <f t="shared" si="8"/>
        <v>xform/ua/ua/</v>
      </c>
    </row>
    <row r="76" spans="1:14" ht="27.75" thickBot="1">
      <c r="A76" s="57">
        <f t="shared" si="9"/>
        <v>74</v>
      </c>
      <c r="B76" s="57" t="s">
        <v>285</v>
      </c>
      <c r="C76" s="57" t="s">
        <v>285</v>
      </c>
      <c r="D76" s="57" t="s">
        <v>285</v>
      </c>
      <c r="E76" s="75" t="str" cm="1">
        <f t="array" ref="E76" xml:space="preserve"> IFERROR( INDEX(韻母對照表[注音二式], MATCH(TRUE, EXACT(韻母轉換規則!$C76, 韻母對照表[台羅拼音]), 0)), "")</f>
        <v>ue</v>
      </c>
      <c r="F76" s="57" t="s">
        <v>285</v>
      </c>
      <c r="G76" s="59" t="str" cm="1">
        <f t="array" ref="G76" xml:space="preserve"> IFERROR( INDEX(韻母對照表[白話字], MATCH(TRUE, EXACT(韻母轉換規則!$C76, 韻母對照表[台羅拼音]), 0)), "")</f>
        <v>oe</v>
      </c>
      <c r="H76" s="54" t="str" cm="1">
        <f t="array" ref="H76" xml:space="preserve"> IFERROR( INDEX(韻母對照表[十五音識別碼], MATCH(TRUE, EXACT(韻母轉換規則!$C76, 韻母對照表[台羅拼音]), 0)), "")</f>
        <v>檜舒</v>
      </c>
      <c r="I76" s="57" t="str" cm="1">
        <f t="array" ref="I76" xml:space="preserve"> IFERROR( INDEX(韻母對照表[方音符號], MATCH(TRUE, EXACT(韻母轉換規則!$C76, 韻母對照表[台羅拼音]), 0)), "")</f>
        <v>ㄨㆤ</v>
      </c>
      <c r="J76" s="73"/>
      <c r="K76" s="57" t="str">
        <f t="shared" si="7"/>
        <v>ue</v>
      </c>
      <c r="L76" s="57" t="str">
        <f t="shared" si="4"/>
        <v>ue</v>
      </c>
      <c r="M76" s="55"/>
      <c r="N76" s="56" t="str">
        <f t="shared" si="8"/>
        <v>xform/ue/ue/</v>
      </c>
    </row>
    <row r="77" spans="1:14" ht="27.75" thickBot="1">
      <c r="A77" s="57">
        <f t="shared" si="9"/>
        <v>75</v>
      </c>
      <c r="B77" s="57" t="s">
        <v>854</v>
      </c>
      <c r="C77" s="57" t="s">
        <v>313</v>
      </c>
      <c r="D77" s="57" t="s">
        <v>313</v>
      </c>
      <c r="E77" s="57" t="str" cm="1">
        <f t="array" ref="E77" xml:space="preserve"> IFERROR( INDEX(韻母對照表[注音二式], MATCH(TRUE, EXACT(韻母轉換規則!$C77, 韻母對照表[台羅拼音]), 0)), "")</f>
        <v>uh</v>
      </c>
      <c r="F77" s="57" t="s">
        <v>313</v>
      </c>
      <c r="G77" s="60" t="str" cm="1">
        <f t="array" ref="G77" xml:space="preserve"> IFERROR( INDEX(韻母對照表[白話字], MATCH(TRUE, EXACT(韻母轉換規則!$C77, 韻母對照表[台羅拼音]), 0)), "")</f>
        <v>uh</v>
      </c>
      <c r="H77" s="54" t="str" cm="1">
        <f t="array" ref="H77" xml:space="preserve"> IFERROR( INDEX(韻母對照表[十五音識別碼], MATCH(TRUE, EXACT(韻母轉換規則!$C77, 韻母對照表[台羅拼音]), 0)), "")</f>
        <v>艍促</v>
      </c>
      <c r="I77" s="57" t="str" cm="1">
        <f t="array" ref="I77" xml:space="preserve"> IFERROR( INDEX(韻母對照表[方音符號], MATCH(TRUE, EXACT(韻母轉換規則!$C77, 韻母對照表[台羅拼音]), 0)), "")</f>
        <v>ㄨㆷ</v>
      </c>
      <c r="J77" s="73"/>
      <c r="K77" s="57" t="str">
        <f t="shared" si="7"/>
        <v>uh</v>
      </c>
      <c r="L77" s="57" t="str">
        <f t="shared" si="4"/>
        <v>uh</v>
      </c>
      <c r="M77" s="55"/>
      <c r="N77" s="56" t="str">
        <f t="shared" si="8"/>
        <v>xform/uh/uh/</v>
      </c>
    </row>
    <row r="78" spans="1:14" ht="27.75" thickBot="1">
      <c r="A78" s="57">
        <f t="shared" si="9"/>
        <v>76</v>
      </c>
      <c r="B78" s="57" t="s">
        <v>50</v>
      </c>
      <c r="C78" s="57" t="s">
        <v>50</v>
      </c>
      <c r="D78" s="57" t="s">
        <v>50</v>
      </c>
      <c r="E78" s="57" t="str" cm="1">
        <f t="array" ref="E78" xml:space="preserve"> IFERROR( INDEX(韻母對照表[注音二式], MATCH(TRUE, EXACT(韻母轉換規則!$C78, 韻母對照表[台羅拼音]), 0)), "")</f>
        <v>ui</v>
      </c>
      <c r="F78" s="57" t="s">
        <v>50</v>
      </c>
      <c r="G78" s="60" t="str" cm="1">
        <f t="array" ref="G78" xml:space="preserve"> IFERROR( INDEX(韻母對照表[白話字], MATCH(TRUE, EXACT(韻母轉換規則!$C78, 韻母對照表[台羅拼音]), 0)), "")</f>
        <v>ui</v>
      </c>
      <c r="H78" s="54" t="str" cm="1">
        <f t="array" ref="H78" xml:space="preserve"> IFERROR( INDEX(韻母對照表[十五音識別碼], MATCH(TRUE, EXACT(韻母轉換規則!$C78, 韻母對照表[台羅拼音]), 0)), "")</f>
        <v>規舒</v>
      </c>
      <c r="I78" s="57" t="str" cm="1">
        <f t="array" ref="I78" xml:space="preserve"> IFERROR( INDEX(韻母對照表[方音符號], MATCH(TRUE, EXACT(韻母轉換規則!$C78, 韻母對照表[台羅拼音]), 0)), "")</f>
        <v>ㄨㄧ</v>
      </c>
      <c r="J78" s="73"/>
      <c r="K78" s="57" t="str">
        <f t="shared" si="7"/>
        <v>ui</v>
      </c>
      <c r="L78" s="57" t="str">
        <f t="shared" si="4"/>
        <v>ui</v>
      </c>
      <c r="M78" s="55"/>
      <c r="N78" s="56" t="str">
        <f t="shared" si="8"/>
        <v>xform/ui/ui/</v>
      </c>
    </row>
    <row r="79" spans="1:14" ht="27.75" thickBot="1">
      <c r="A79" s="57">
        <f t="shared" si="9"/>
        <v>77</v>
      </c>
      <c r="B79" s="57" t="s">
        <v>14</v>
      </c>
      <c r="C79" s="57" t="s">
        <v>14</v>
      </c>
      <c r="D79" s="57" t="s">
        <v>14</v>
      </c>
      <c r="E79" s="57" t="str" cm="1">
        <f t="array" ref="E79" xml:space="preserve"> IFERROR( INDEX(韻母對照表[注音二式], MATCH(TRUE, EXACT(韻母轉換規則!$C79, 韻母對照表[台羅拼音]), 0)), "")</f>
        <v>un</v>
      </c>
      <c r="F79" s="57" t="s">
        <v>14</v>
      </c>
      <c r="G79" s="60" t="str" cm="1">
        <f t="array" ref="G79" xml:space="preserve"> IFERROR( INDEX(韻母對照表[白話字], MATCH(TRUE, EXACT(韻母轉換規則!$C79, 韻母對照表[台羅拼音]), 0)), "")</f>
        <v>un</v>
      </c>
      <c r="H79" s="54" t="str" cm="1">
        <f t="array" ref="H79" xml:space="preserve"> IFERROR( INDEX(韻母對照表[十五音識別碼], MATCH(TRUE, EXACT(韻母轉換規則!$C79, 韻母對照表[台羅拼音]), 0)), "")</f>
        <v>君舒</v>
      </c>
      <c r="I79" s="57" t="str" cm="1">
        <f t="array" ref="I79" xml:space="preserve"> IFERROR( INDEX(韻母對照表[方音符號], MATCH(TRUE, EXACT(韻母轉換規則!$C79, 韻母對照表[台羅拼音]), 0)), "")</f>
        <v>ㄨㄣ</v>
      </c>
      <c r="J79" s="73"/>
      <c r="K79" s="57" t="str">
        <f t="shared" si="7"/>
        <v>un</v>
      </c>
      <c r="L79" s="57" t="str">
        <f t="shared" si="4"/>
        <v>un</v>
      </c>
      <c r="M79" s="55"/>
      <c r="N79" s="56" t="str">
        <f t="shared" si="8"/>
        <v>xform/un/un/</v>
      </c>
    </row>
    <row r="80" spans="1:14" ht="27.75" thickBot="1">
      <c r="A80" s="57">
        <f t="shared" si="9"/>
        <v>78</v>
      </c>
      <c r="B80" s="57" t="s">
        <v>880</v>
      </c>
      <c r="C80" s="57" t="s">
        <v>22</v>
      </c>
      <c r="D80" s="57" t="s">
        <v>22</v>
      </c>
      <c r="E80" s="57" t="str" cm="1">
        <f t="array" ref="E80" xml:space="preserve"> IFERROR( INDEX(韻母對照表[注音二式], MATCH(TRUE, EXACT(韻母轉換規則!$C80, 韻母對照表[台羅拼音]), 0)), "")</f>
        <v>ut</v>
      </c>
      <c r="F80" s="57" t="s">
        <v>22</v>
      </c>
      <c r="G80" s="60" t="str" cm="1">
        <f t="array" ref="G80" xml:space="preserve"> IFERROR( INDEX(韻母對照表[白話字], MATCH(TRUE, EXACT(韻母轉換規則!$C80, 韻母對照表[台羅拼音]), 0)), "")</f>
        <v>ut</v>
      </c>
      <c r="H80" s="54" t="str" cm="1">
        <f t="array" ref="H80" xml:space="preserve"> IFERROR( INDEX(韻母對照表[十五音識別碼], MATCH(TRUE, EXACT(韻母轉換規則!$C80, 韻母對照表[台羅拼音]), 0)), "")</f>
        <v>君促</v>
      </c>
      <c r="I80" s="57" t="str" cm="1">
        <f t="array" ref="I80" xml:space="preserve"> IFERROR( INDEX(韻母對照表[方音符號], MATCH(TRUE, EXACT(韻母轉換規則!$C80, 韻母對照表[台羅拼音]), 0)), "")</f>
        <v>ㄨㆵ</v>
      </c>
      <c r="J80" s="73"/>
      <c r="K80" s="57" t="str">
        <f t="shared" si="7"/>
        <v>ut</v>
      </c>
      <c r="L80" s="57" t="str">
        <f t="shared" si="4"/>
        <v>ut</v>
      </c>
      <c r="M80" s="55"/>
      <c r="N80" s="56" t="str">
        <f t="shared" si="8"/>
        <v>xform/ut/ut/</v>
      </c>
    </row>
    <row r="81" spans="1:14" ht="27.75" thickBot="1">
      <c r="A81" s="57">
        <f t="shared" si="9"/>
        <v>79</v>
      </c>
      <c r="B81" s="57" t="s">
        <v>316</v>
      </c>
      <c r="C81" s="57" t="s">
        <v>316</v>
      </c>
      <c r="D81" s="57" t="s">
        <v>316</v>
      </c>
      <c r="E81" s="57" t="str" cm="1">
        <f t="array" ref="E81" xml:space="preserve"> IFERROR( INDEX(韻母對照表[注音二式], MATCH(TRUE, EXACT(韻母轉換規則!$C81, 韻母對照表[台羅拼音]), 0)), "")</f>
        <v>a</v>
      </c>
      <c r="F81" s="57" t="s">
        <v>855</v>
      </c>
      <c r="G81" s="60" t="str" cm="1">
        <f t="array" ref="G81" xml:space="preserve"> IFERROR( INDEX(韻母對照表[白話字], MATCH(TRUE, EXACT(韻母轉換規則!$C81, 韻母對照表[台羅拼音]), 0)), "")</f>
        <v>a</v>
      </c>
      <c r="H81" s="54" t="str" cm="1">
        <f t="array" ref="H81" xml:space="preserve"> IFERROR( INDEX(韻母對照表[十五音識別碼], MATCH(TRUE, EXACT(韻母轉換規則!$C81, 韻母對照表[台羅拼音]), 0)), "")</f>
        <v>膠舒</v>
      </c>
      <c r="I81" s="57" t="str" cm="1">
        <f t="array" ref="I81" xml:space="preserve"> IFERROR( INDEX(韻母對照表[方音符號], MATCH(TRUE, EXACT(韻母轉換規則!$C81, 韻母對照表[台羅拼音]), 0)), "")</f>
        <v>ㄚ</v>
      </c>
      <c r="J81" s="73"/>
      <c r="K81" s="57" t="str">
        <f t="shared" si="7"/>
        <v>a</v>
      </c>
      <c r="L81" s="57" t="str">
        <f t="shared" si="4"/>
        <v>a</v>
      </c>
      <c r="M81" s="55"/>
      <c r="N81" s="56" t="str">
        <f t="shared" si="8"/>
        <v>xform/a/a/</v>
      </c>
    </row>
    <row r="82" spans="1:14" ht="27.75" thickBot="1">
      <c r="A82" s="57">
        <f t="shared" si="9"/>
        <v>80</v>
      </c>
      <c r="B82" s="57" t="s">
        <v>60</v>
      </c>
      <c r="C82" s="57" t="s">
        <v>60</v>
      </c>
      <c r="D82" s="57" t="s">
        <v>60</v>
      </c>
      <c r="E82" s="57" t="str" cm="1">
        <f t="array" ref="E82" xml:space="preserve"> IFERROR( INDEX(韻母對照表[注音二式], MATCH(TRUE, EXACT(韻母轉換規則!$C82, 韻母對照表[台羅拼音]), 0)), "")</f>
        <v>e</v>
      </c>
      <c r="F82" s="57" t="s">
        <v>60</v>
      </c>
      <c r="G82" s="60" cm="1">
        <f t="array" ref="G82" xml:space="preserve"> IFERROR( INDEX(韻母對照表[白話字], MATCH(TRUE, EXACT(韻母轉換規則!$C82, 韻母對照表[台羅拼音]), 0)), "")</f>
        <v>0</v>
      </c>
      <c r="H82" s="54" t="str" cm="1">
        <f t="array" ref="H82" xml:space="preserve"> IFERROR( INDEX(韻母對照表[十五音識別碼], MATCH(TRUE, EXACT(韻母轉換規則!$C82, 韻母對照表[台羅拼音]), 0)), "")</f>
        <v>稽舒</v>
      </c>
      <c r="I82" s="57" t="str" cm="1">
        <f t="array" ref="I82" xml:space="preserve"> IFERROR( INDEX(韻母對照表[方音符號], MATCH(TRUE, EXACT(韻母轉換規則!$C82, 韻母對照表[台羅拼音]), 0)), "")</f>
        <v>ㆤ</v>
      </c>
      <c r="J82" s="73"/>
      <c r="K82" s="57" t="str">
        <f t="shared" si="7"/>
        <v>e</v>
      </c>
      <c r="L82" s="57" t="str">
        <f t="shared" si="4"/>
        <v>e</v>
      </c>
      <c r="M82" s="55"/>
      <c r="N82" s="56" t="str">
        <f t="shared" si="8"/>
        <v>xform/e/e/</v>
      </c>
    </row>
    <row r="83" spans="1:14" ht="27.75" thickBot="1">
      <c r="A83" s="57">
        <f t="shared" si="9"/>
        <v>81</v>
      </c>
      <c r="B83" s="57" t="s">
        <v>324</v>
      </c>
      <c r="C83" s="57" t="s">
        <v>324</v>
      </c>
      <c r="D83" s="57" t="s">
        <v>324</v>
      </c>
      <c r="E83" s="57" t="str" cm="1">
        <f t="array" ref="E83" xml:space="preserve"> IFERROR( INDEX(韻母對照表[注音二式], MATCH(TRUE, EXACT(韻母轉換規則!$C83, 韻母對照表[台羅拼音]), 0)), "")</f>
        <v>i</v>
      </c>
      <c r="F83" s="57" t="s">
        <v>324</v>
      </c>
      <c r="G83" s="60" t="str" cm="1">
        <f t="array" ref="G83" xml:space="preserve"> IFERROR( INDEX(韻母對照表[白話字], MATCH(TRUE, EXACT(韻母轉換規則!$C83, 韻母對照表[台羅拼音]), 0)), "")</f>
        <v>i</v>
      </c>
      <c r="H83" s="54" t="str" cm="1">
        <f t="array" ref="H83" xml:space="preserve"> IFERROR( INDEX(韻母對照表[十五音識別碼], MATCH(TRUE, EXACT(韻母轉換規則!$C83, 韻母對照表[台羅拼音]), 0)), "")</f>
        <v>居舒</v>
      </c>
      <c r="I83" s="57" t="str" cm="1">
        <f t="array" ref="I83" xml:space="preserve"> IFERROR( INDEX(韻母對照表[方音符號], MATCH(TRUE, EXACT(韻母轉換規則!$C83, 韻母對照表[台羅拼音]), 0)), "")</f>
        <v>ㄧ</v>
      </c>
      <c r="J83" s="73"/>
      <c r="K83" s="57" t="str">
        <f t="shared" si="7"/>
        <v>i</v>
      </c>
      <c r="L83" s="57" t="str">
        <f t="shared" si="4"/>
        <v>i</v>
      </c>
      <c r="M83" s="55"/>
      <c r="N83" s="56" t="str">
        <f t="shared" si="8"/>
        <v>xform/i/i/</v>
      </c>
    </row>
    <row r="84" spans="1:14" ht="27.75" thickBot="1">
      <c r="A84" s="57">
        <f t="shared" si="9"/>
        <v>82</v>
      </c>
      <c r="B84" s="57" t="s">
        <v>430</v>
      </c>
      <c r="C84" s="57" t="s">
        <v>432</v>
      </c>
      <c r="D84" s="57" t="s">
        <v>432</v>
      </c>
      <c r="E84" s="57" t="str" cm="1">
        <f t="array" ref="E84" xml:space="preserve"> IFERROR( INDEX(韻母對照表[注音二式], MATCH(TRUE, EXACT(韻母轉換規則!$C84, 韻母對照表[台羅拼音]), 0)), "")</f>
        <v>m</v>
      </c>
      <c r="F84" s="57" t="s">
        <v>432</v>
      </c>
      <c r="G84" s="60" t="str" cm="1">
        <f t="array" ref="G84" xml:space="preserve"> IFERROR( INDEX(韻母對照表[白話字], MATCH(TRUE, EXACT(韻母轉換規則!$C84, 韻母對照表[台羅拼音]), 0)), "")</f>
        <v>m</v>
      </c>
      <c r="H84" s="54" t="str" cm="1">
        <f t="array" ref="H84" xml:space="preserve"> IFERROR( INDEX(韻母對照表[十五音識別碼], MATCH(TRUE, EXACT(韻母轉換規則!$C84, 韻母對照表[台羅拼音]), 0)), "")</f>
        <v>姆舒</v>
      </c>
      <c r="I84" s="57" t="str" cm="1">
        <f t="array" ref="I84" xml:space="preserve"> IFERROR( INDEX(韻母對照表[方音符號], MATCH(TRUE, EXACT(韻母轉換規則!$C84, 韻母對照表[台羅拼音]), 0)), "")</f>
        <v>ㆬ</v>
      </c>
      <c r="J84" s="73"/>
      <c r="K84" s="57" t="str">
        <f t="shared" si="7"/>
        <v>m</v>
      </c>
      <c r="L84" s="57" t="str">
        <f t="shared" si="4"/>
        <v>m</v>
      </c>
      <c r="M84" s="55"/>
      <c r="N84" s="56" t="str">
        <f t="shared" si="8"/>
        <v>xform/m/m/</v>
      </c>
    </row>
    <row r="85" spans="1:14" ht="27.75" thickBot="1">
      <c r="A85" s="57">
        <f t="shared" si="9"/>
        <v>83</v>
      </c>
      <c r="B85" s="57" t="s">
        <v>171</v>
      </c>
      <c r="C85" s="57" t="s">
        <v>171</v>
      </c>
      <c r="D85" s="57" t="s">
        <v>171</v>
      </c>
      <c r="E85" s="57" t="str" cm="1">
        <f t="array" ref="E85" xml:space="preserve"> IFERROR( INDEX(韻母對照表[注音二式], MATCH(TRUE, EXACT(韻母轉換規則!$C85, 韻母對照表[台羅拼音]), 0)), "")</f>
        <v>or</v>
      </c>
      <c r="F85" s="57" t="s">
        <v>171</v>
      </c>
      <c r="G85" s="60" t="str" cm="1">
        <f t="array" ref="G85" xml:space="preserve"> IFERROR( INDEX(韻母對照表[白話字], MATCH(TRUE, EXACT(韻母轉換規則!$C85, 韻母對照表[台羅拼音]), 0)), "")</f>
        <v>o</v>
      </c>
      <c r="H85" s="54" t="str" cm="1">
        <f t="array" ref="H85" xml:space="preserve"> IFERROR( INDEX(韻母對照表[十五音識別碼], MATCH(TRUE, EXACT(韻母轉換規則!$C85, 韻母對照表[台羅拼音]), 0)), "")</f>
        <v>高舒</v>
      </c>
      <c r="I85" s="57" t="str" cm="1">
        <f t="array" ref="I85" xml:space="preserve"> IFERROR( INDEX(韻母對照表[方音符號], MATCH(TRUE, EXACT(韻母轉換規則!$C85, 韻母對照表[台羅拼音]), 0)), "")</f>
        <v>ㄜ</v>
      </c>
      <c r="J85" s="73"/>
      <c r="K85" s="57" t="str">
        <f t="shared" si="7"/>
        <v>or</v>
      </c>
      <c r="L85" s="57" t="str">
        <f t="shared" si="4"/>
        <v>o</v>
      </c>
      <c r="M85" s="55"/>
      <c r="N85" s="56" t="str">
        <f t="shared" si="8"/>
        <v>xform/or/o/</v>
      </c>
    </row>
    <row r="86" spans="1:14" ht="27.75" thickBot="1">
      <c r="A86" s="57">
        <f t="shared" si="9"/>
        <v>84</v>
      </c>
      <c r="B86" s="57" t="s">
        <v>308</v>
      </c>
      <c r="C86" s="57" t="s">
        <v>308</v>
      </c>
      <c r="D86" s="57" t="s">
        <v>308</v>
      </c>
      <c r="E86" s="57" t="str" cm="1">
        <f t="array" ref="E86" xml:space="preserve"> IFERROR( INDEX(韻母對照表[注音二式], MATCH(TRUE, EXACT(韻母轉換規則!$C86, 韻母對照表[台羅拼音]), 0)), "")</f>
        <v>u</v>
      </c>
      <c r="F86" s="57" t="s">
        <v>308</v>
      </c>
      <c r="G86" s="60" t="str" cm="1">
        <f t="array" ref="G86" xml:space="preserve"> IFERROR( INDEX(韻母對照表[白話字], MATCH(TRUE, EXACT(韻母轉換規則!$C86, 韻母對照表[台羅拼音]), 0)), "")</f>
        <v>u</v>
      </c>
      <c r="H86" s="54" t="str" cm="1">
        <f t="array" ref="H86" xml:space="preserve"> IFERROR( INDEX(韻母對照表[十五音識別碼], MATCH(TRUE, EXACT(韻母轉換規則!$C86, 韻母對照表[台羅拼音]), 0)), "")</f>
        <v>艍舒</v>
      </c>
      <c r="I86" s="57" t="str" cm="1">
        <f t="array" ref="I86" xml:space="preserve"> IFERROR( INDEX(韻母對照表[方音符號], MATCH(TRUE, EXACT(韻母轉換規則!$C86, 韻母對照表[台羅拼音]), 0)), "")</f>
        <v>ㄨ</v>
      </c>
      <c r="J86" s="73"/>
      <c r="K86" s="57" t="str">
        <f t="shared" si="7"/>
        <v>u</v>
      </c>
      <c r="L86" s="57" t="str">
        <f t="shared" si="4"/>
        <v>u</v>
      </c>
      <c r="M86" s="55"/>
      <c r="N86" s="56" t="str">
        <f t="shared" si="8"/>
        <v>xform/u/u/</v>
      </c>
    </row>
    <row r="87" spans="1:14" ht="27.75" thickBot="1">
      <c r="A87" s="57">
        <f t="shared" si="9"/>
        <v>85</v>
      </c>
      <c r="B87" s="57" t="s">
        <v>476</v>
      </c>
      <c r="C87" s="57" t="s">
        <v>479</v>
      </c>
      <c r="D87" s="57" t="s">
        <v>479</v>
      </c>
      <c r="E87" s="57" t="str" cm="1">
        <f t="array" ref="E87" xml:space="preserve"> IFERROR( INDEX(韻母對照表[注音二式], MATCH(TRUE, EXACT(韻母轉換規則!$C87, 韻母對照表[台羅拼音]), 0)), "")</f>
        <v>oom</v>
      </c>
      <c r="F87" s="57" t="s">
        <v>638</v>
      </c>
      <c r="G87" s="60" t="str" cm="1">
        <f t="array" ref="G87" xml:space="preserve"> IFERROR( INDEX(韻母對照表[白話字], MATCH(TRUE, EXACT(韻母轉換規則!$C87, 韻母對照表[台羅拼音]), 0)), "")</f>
        <v>om</v>
      </c>
      <c r="H87" s="54" t="str" cm="1">
        <f t="array" ref="H87" xml:space="preserve"> IFERROR( INDEX(韻母對照表[十五音識別碼], MATCH(TRUE, EXACT(韻母轉換規則!$C87, 韻母對照表[台羅拼音]), 0)), "")</f>
        <v>箴舒</v>
      </c>
      <c r="I87" s="57" t="str" cm="1">
        <f t="array" ref="I87" xml:space="preserve"> IFERROR( INDEX(韻母對照表[方音符號], MATCH(TRUE, EXACT(韻母轉換規則!$C87, 韻母對照表[台羅拼音]), 0)), "")</f>
        <v>ㆱ</v>
      </c>
      <c r="J87" s="73"/>
      <c r="K87" s="57" t="str">
        <f t="shared" si="7"/>
        <v>oom</v>
      </c>
      <c r="L87" s="57" t="str">
        <f t="shared" si="4"/>
        <v>om</v>
      </c>
      <c r="M87" s="55"/>
      <c r="N87" s="56" t="str">
        <f t="shared" si="8"/>
        <v>xform/oom/om/</v>
      </c>
    </row>
    <row r="88" spans="1:14" ht="27.75" thickBot="1">
      <c r="A88" s="57">
        <f t="shared" si="9"/>
        <v>86</v>
      </c>
      <c r="B88" s="57" t="s">
        <v>380</v>
      </c>
      <c r="C88" s="57" t="s">
        <v>383</v>
      </c>
      <c r="D88" s="57" t="s">
        <v>383</v>
      </c>
      <c r="E88" s="57" t="str" cm="1">
        <f t="array" ref="E88" xml:space="preserve"> IFERROR( INDEX(韻母對照表[注音二式], MATCH(TRUE, EXACT(韻母轉換規則!$C88, 韻母對照表[台羅拼音]), 0)), "")</f>
        <v>ioonn</v>
      </c>
      <c r="F88" s="57" t="s">
        <v>638</v>
      </c>
      <c r="G88" s="59" t="str" cm="1">
        <f t="array" ref="G88" xml:space="preserve"> IFERROR( INDEX(韻母對照表[白話字], MATCH(TRUE, EXACT(韻母轉換規則!$C88, 韻母對照表[台羅拼音]), 0)), "")</f>
        <v>ioⁿ</v>
      </c>
      <c r="H88" s="54" t="str" cm="1">
        <f t="array" ref="H88" xml:space="preserve"> IFERROR( INDEX(韻母對照表[十五音識別碼], MATCH(TRUE, EXACT(韻母轉換規則!$C88, 韻母對照表[台羅拼音]), 0)), "")</f>
        <v>薑舒</v>
      </c>
      <c r="I88" s="57" t="str" cm="1">
        <f t="array" ref="I88" xml:space="preserve"> IFERROR( INDEX(韻母對照表[方音符號], MATCH(TRUE, EXACT(韻母轉換規則!$C88, 韻母對照表[台羅拼音]), 0)), "")</f>
        <v>ㄧㆧ</v>
      </c>
      <c r="J88" s="73"/>
      <c r="K88" s="57" t="str">
        <f t="shared" si="7"/>
        <v>ioonn</v>
      </c>
      <c r="L88" s="57" t="str">
        <f t="shared" si="4"/>
        <v>ionn</v>
      </c>
      <c r="M88" s="55"/>
      <c r="N88" s="56" t="str">
        <f t="shared" si="8"/>
        <v>xform/ioonn/ionn/</v>
      </c>
    </row>
    <row r="89" spans="1:14" ht="27.75" thickBot="1">
      <c r="A89" s="57">
        <f t="shared" si="9"/>
        <v>87</v>
      </c>
      <c r="B89" s="74" t="s">
        <v>856</v>
      </c>
      <c r="C89" s="57" t="s">
        <v>857</v>
      </c>
      <c r="D89" s="57" t="s">
        <v>857</v>
      </c>
      <c r="E89" s="75" t="str" cm="1">
        <f t="array" ref="E89" xml:space="preserve"> IFERROR( INDEX(韻母對照表[注音二式], MATCH(TRUE, EXACT(韻母轉換規則!$C89, 韻母對照表[台羅拼音]), 0)), "")</f>
        <v/>
      </c>
      <c r="F89" s="57" t="str" cm="1">
        <f t="array" ref="F89" xml:space="preserve"> IFERROR( INDEX(韻母對照表[閩拼方案], MATCH(TRUE, EXACT(韻母轉換規則!$B89, 韻母對照表[國際音標]), 0)), "")</f>
        <v/>
      </c>
      <c r="G89" s="59" t="str" cm="1">
        <f t="array" ref="G89" xml:space="preserve"> IFERROR( INDEX(韻母對照表[白話字], MATCH(TRUE, EXACT(韻母轉換規則!$C89, 韻母對照表[台羅拼音]), 0)), "")</f>
        <v/>
      </c>
      <c r="H89" s="54" t="str" cm="1">
        <f t="array" ref="H89" xml:space="preserve"> IFERROR( INDEX(韻母對照表[十五音識別碼], MATCH(TRUE, EXACT(韻母轉換規則!$C89, 韻母對照表[台羅拼音]), 0)), "")</f>
        <v/>
      </c>
      <c r="I89" s="57" t="str" cm="1">
        <f t="array" ref="I89" xml:space="preserve"> IFERROR( INDEX(韻母對照表[方音符號], MATCH(TRUE, EXACT(韻母轉換規則!$C89, 韻母對照表[台羅拼音]), 0)), "")</f>
        <v/>
      </c>
      <c r="J89" s="73"/>
      <c r="K89" s="57" t="str">
        <f t="shared" si="7"/>
        <v/>
      </c>
      <c r="L89" s="57" t="str">
        <f t="shared" si="4"/>
        <v>iooh</v>
      </c>
      <c r="M89" s="55"/>
      <c r="N89" s="56" t="str">
        <f t="shared" si="8"/>
        <v/>
      </c>
    </row>
    <row r="90" spans="1:14" ht="27.75" thickBot="1">
      <c r="A90" s="57">
        <f t="shared" si="9"/>
        <v>88</v>
      </c>
      <c r="B90" s="57" t="s">
        <v>153</v>
      </c>
      <c r="C90" s="57" t="s">
        <v>153</v>
      </c>
      <c r="D90" s="57" t="s">
        <v>153</v>
      </c>
      <c r="E90" s="57" t="str" cm="1">
        <f t="array" ref="E90" xml:space="preserve"> IFERROR( INDEX(韻母對照表[注音二式], MATCH(TRUE, EXACT(韻母轉換規則!$C90, 韻母對照表[台羅拼音]), 0)), "")</f>
        <v/>
      </c>
      <c r="F90" s="57" t="str" cm="1">
        <f t="array" ref="F90" xml:space="preserve"> IFERROR( INDEX(韻母對照表[閩拼方案], MATCH(TRUE, EXACT(韻母轉換規則!$B90, 韻母對照表[國際音標]), 0)), "")</f>
        <v/>
      </c>
      <c r="G90" s="61" t="str" cm="1">
        <f t="array" ref="G90" xml:space="preserve"> IFERROR( INDEX(韻母對照表[白話字], MATCH(TRUE, EXACT(韻母轉換規則!$C90, 韻母對照表[台羅拼音]), 0)), "")</f>
        <v/>
      </c>
      <c r="H90" s="54" t="str" cm="1">
        <f t="array" ref="H90" xml:space="preserve"> IFERROR( INDEX(韻母對照表[十五音識別碼], MATCH(TRUE, EXACT(韻母轉換規則!$C90, 韻母對照表[台羅拼音]), 0)), "")</f>
        <v/>
      </c>
      <c r="I90" s="57" t="str" cm="1">
        <f t="array" ref="I90" xml:space="preserve"> IFERROR( INDEX(韻母對照表[方音符號], MATCH(TRUE, EXACT(韻母轉換規則!$C90, 韻母對照表[台羅拼音]), 0)), "")</f>
        <v/>
      </c>
      <c r="J90" s="73"/>
      <c r="K90" s="57" t="str">
        <f t="shared" si="7"/>
        <v/>
      </c>
      <c r="L90" s="57" t="str">
        <f t="shared" si="4"/>
        <v>ei</v>
      </c>
      <c r="M90" s="55"/>
      <c r="N90" s="56" t="str">
        <f t="shared" si="8"/>
        <v/>
      </c>
    </row>
    <row r="91" spans="1:14" ht="27.75" thickBot="1">
      <c r="A91" s="57">
        <f t="shared" si="9"/>
        <v>89</v>
      </c>
      <c r="B91" s="74" t="s">
        <v>904</v>
      </c>
      <c r="C91" s="57" t="s">
        <v>134</v>
      </c>
      <c r="D91" s="57" t="s">
        <v>134</v>
      </c>
      <c r="E91" s="75" t="str" cm="1">
        <f t="array" ref="E91" xml:space="preserve"> IFERROR( INDEX(韻母對照表[注音二式], MATCH(TRUE, EXACT(韻母轉換規則!$C91, 韻母對照表[台羅拼音]), 0)), "")</f>
        <v/>
      </c>
      <c r="F91" s="57" t="str" cm="1">
        <f t="array" ref="F91" xml:space="preserve"> IFERROR( INDEX(韻母對照表[閩拼方案], MATCH(TRUE, EXACT(韻母轉換規則!$B91, 韻母對照表[國際音標]), 0)), "")</f>
        <v/>
      </c>
      <c r="G91" s="61" t="str" cm="1">
        <f t="array" ref="G91" xml:space="preserve"> IFERROR( INDEX(韻母對照表[白話字], MATCH(TRUE, EXACT(韻母轉換規則!$C91, 韻母對照表[台羅拼音]), 0)), "")</f>
        <v/>
      </c>
      <c r="H91" s="54" t="str" cm="1">
        <f t="array" ref="H91" xml:space="preserve"> IFERROR( INDEX(韻母對照表[十五音識別碼], MATCH(TRUE, EXACT(韻母轉換規則!$C91, 韻母對照表[台羅拼音]), 0)), "")</f>
        <v/>
      </c>
      <c r="I91" s="57" t="str" cm="1">
        <f t="array" ref="I91" xml:space="preserve"> IFERROR( INDEX(韻母對照表[方音符號], MATCH(TRUE, EXACT(韻母轉換規則!$C91, 韻母對照表[台羅拼音]), 0)), "")</f>
        <v/>
      </c>
      <c r="J91" s="73"/>
      <c r="K91" s="57" t="str">
        <f t="shared" si="7"/>
        <v/>
      </c>
      <c r="L91" s="57" t="str">
        <f t="shared" si="4"/>
        <v>ou</v>
      </c>
      <c r="M91" s="55"/>
      <c r="N91" s="56" t="str">
        <f t="shared" si="8"/>
        <v/>
      </c>
    </row>
    <row r="92" spans="1:14" ht="27.75" thickBot="1">
      <c r="A92" s="57">
        <f t="shared" si="9"/>
        <v>90</v>
      </c>
      <c r="B92" s="74" t="s">
        <v>859</v>
      </c>
      <c r="C92" s="57" t="s">
        <v>860</v>
      </c>
      <c r="D92" s="57" t="s">
        <v>860</v>
      </c>
      <c r="E92" s="75" t="str" cm="1">
        <f t="array" ref="E92" xml:space="preserve"> IFERROR( INDEX(韻母對照表[注音二式], MATCH(TRUE, EXACT(韻母轉換規則!$C92, 韻母對照表[台羅拼音]), 0)), "")</f>
        <v/>
      </c>
      <c r="F92" s="57" t="str" cm="1">
        <f t="array" ref="F92" xml:space="preserve"> IFERROR( INDEX(韻母對照表[閩拼方案], MATCH(TRUE, EXACT(韻母轉換規則!$B92, 韻母對照表[國際音標]), 0)), "")</f>
        <v/>
      </c>
      <c r="G92" s="61" t="str" cm="1">
        <f t="array" ref="G92" xml:space="preserve"> IFERROR( INDEX(韻母對照表[白話字], MATCH(TRUE, EXACT(韻母轉換規則!$C92, 韻母對照表[台羅拼音]), 0)), "")</f>
        <v/>
      </c>
      <c r="H92" s="54" t="str" cm="1">
        <f t="array" ref="H92" xml:space="preserve"> IFERROR( INDEX(韻母對照表[十五音識別碼], MATCH(TRUE, EXACT(韻母轉換規則!$C92, 韻母對照表[台羅拼音]), 0)), "")</f>
        <v/>
      </c>
      <c r="I92" s="57" t="str" cm="1">
        <f t="array" ref="I92" xml:space="preserve"> IFERROR( INDEX(韻母對照表[方音符號], MATCH(TRUE, EXACT(韻母轉換規則!$C92, 韻母對照表[台羅拼音]), 0)), "")</f>
        <v/>
      </c>
      <c r="J92" s="73"/>
      <c r="K92" s="57" t="str">
        <f t="shared" si="7"/>
        <v/>
      </c>
      <c r="L92" s="57" t="str">
        <f t="shared" si="4"/>
        <v>ae</v>
      </c>
      <c r="M92" s="55"/>
      <c r="N92" s="56" t="str">
        <f t="shared" si="8"/>
        <v/>
      </c>
    </row>
    <row r="93" spans="1:14" ht="27.75" thickBot="1">
      <c r="A93" s="57">
        <f t="shared" si="9"/>
        <v>91</v>
      </c>
      <c r="B93" s="74" t="s">
        <v>861</v>
      </c>
      <c r="C93" s="57" t="s">
        <v>862</v>
      </c>
      <c r="D93" s="57" t="s">
        <v>862</v>
      </c>
      <c r="E93" s="75" t="str" cm="1">
        <f t="array" ref="E93" xml:space="preserve"> IFERROR( INDEX(韻母對照表[注音二式], MATCH(TRUE, EXACT(韻母轉換規則!$C93, 韻母對照表[台羅拼音]), 0)), "")</f>
        <v/>
      </c>
      <c r="F93" s="57" t="str" cm="1">
        <f t="array" ref="F93" xml:space="preserve"> IFERROR( INDEX(韻母對照表[閩拼方案], MATCH(TRUE, EXACT(韻母轉換規則!$B93, 韻母對照表[國際音標]), 0)), "")</f>
        <v/>
      </c>
      <c r="G93" s="61" t="str" cm="1">
        <f t="array" ref="G93" xml:space="preserve"> IFERROR( INDEX(韻母對照表[白話字], MATCH(TRUE, EXACT(韻母轉換規則!$C93, 韻母對照表[台羅拼音]), 0)), "")</f>
        <v/>
      </c>
      <c r="H93" s="54" t="str" cm="1">
        <f t="array" ref="H93" xml:space="preserve"> IFERROR( INDEX(韻母對照表[十五音識別碼], MATCH(TRUE, EXACT(韻母轉換規則!$C93, 韻母對照表[台羅拼音]), 0)), "")</f>
        <v/>
      </c>
      <c r="I93" s="57" t="str" cm="1">
        <f t="array" ref="I93" xml:space="preserve"> IFERROR( INDEX(韻母對照表[方音符號], MATCH(TRUE, EXACT(韻母轉換規則!$C93, 韻母對照表[台羅拼音]), 0)), "")</f>
        <v/>
      </c>
      <c r="J93" s="73"/>
      <c r="K93" s="57" t="str">
        <f t="shared" si="7"/>
        <v/>
      </c>
      <c r="L93" s="57" t="str">
        <f t="shared" si="4"/>
        <v>uae</v>
      </c>
      <c r="M93" s="55"/>
      <c r="N93" s="56" t="str">
        <f t="shared" si="8"/>
        <v/>
      </c>
    </row>
    <row r="94" spans="1:14" ht="27.75" thickBot="1">
      <c r="A94" s="57">
        <f t="shared" si="9"/>
        <v>92</v>
      </c>
      <c r="B94" s="74" t="s">
        <v>863</v>
      </c>
      <c r="C94" s="57" t="s">
        <v>864</v>
      </c>
      <c r="D94" s="57" t="s">
        <v>864</v>
      </c>
      <c r="E94" s="75" t="str" cm="1">
        <f t="array" ref="E94" xml:space="preserve"> IFERROR( INDEX(韻母對照表[注音二式], MATCH(TRUE, EXACT(韻母轉換規則!$C94, 韻母對照表[台羅拼音]), 0)), "")</f>
        <v/>
      </c>
      <c r="F94" s="57" t="str" cm="1">
        <f t="array" ref="F94" xml:space="preserve"> IFERROR( INDEX(韻母對照表[閩拼方案], MATCH(TRUE, EXACT(韻母轉換規則!$B94, 韻母對照表[國際音標]), 0)), "")</f>
        <v/>
      </c>
      <c r="G94" s="61" t="str" cm="1">
        <f t="array" ref="G94" xml:space="preserve"> IFERROR( INDEX(韻母對照表[白話字], MATCH(TRUE, EXACT(韻母轉換規則!$C94, 韻母對照表[台羅拼音]), 0)), "")</f>
        <v/>
      </c>
      <c r="H94" s="54" t="str" cm="1">
        <f t="array" ref="H94" xml:space="preserve"> IFERROR( INDEX(韻母對照表[十五音識別碼], MATCH(TRUE, EXACT(韻母轉換規則!$C94, 韻母對照表[台羅拼音]), 0)), "")</f>
        <v/>
      </c>
      <c r="I94" s="57" t="str" cm="1">
        <f t="array" ref="I94" xml:space="preserve"> IFERROR( INDEX(韻母對照表[方音符號], MATCH(TRUE, EXACT(韻母轉換規則!$C94, 韻母對照表[台羅拼音]), 0)), "")</f>
        <v/>
      </c>
      <c r="J94" s="73"/>
      <c r="K94" s="57" t="str">
        <f t="shared" si="7"/>
        <v/>
      </c>
      <c r="L94" s="57" t="str">
        <f t="shared" si="4"/>
        <v>aenn</v>
      </c>
      <c r="M94" s="55"/>
      <c r="N94" s="56" t="str">
        <f t="shared" si="8"/>
        <v/>
      </c>
    </row>
    <row r="95" spans="1:14" ht="27.75" thickBot="1">
      <c r="A95" s="57">
        <f t="shared" si="9"/>
        <v>93</v>
      </c>
      <c r="B95" s="74" t="s">
        <v>865</v>
      </c>
      <c r="C95" s="57" t="s">
        <v>840</v>
      </c>
      <c r="D95" s="57" t="s">
        <v>840</v>
      </c>
      <c r="E95" s="75" t="str" cm="1">
        <f t="array" ref="E95" xml:space="preserve"> IFERROR( INDEX(韻母對照表[注音二式], MATCH(TRUE, EXACT(韻母轉換規則!$C95, 韻母對照表[台羅拼音]), 0)), "")</f>
        <v/>
      </c>
      <c r="F95" s="57" t="str" cm="1">
        <f t="array" ref="F95" xml:space="preserve"> IFERROR( INDEX(韻母對照表[閩拼方案], MATCH(TRUE, EXACT(韻母轉換規則!$B95, 韻母對照表[國際音標]), 0)), "")</f>
        <v/>
      </c>
      <c r="G95" s="61" t="str" cm="1">
        <f t="array" ref="G95" xml:space="preserve"> IFERROR( INDEX(韻母對照表[白話字], MATCH(TRUE, EXACT(韻母轉換規則!$C95, 韻母對照表[台羅拼音]), 0)), "")</f>
        <v/>
      </c>
      <c r="H95" s="54" t="str" cm="1">
        <f t="array" ref="H95" xml:space="preserve"> IFERROR( INDEX(韻母對照表[十五音識別碼], MATCH(TRUE, EXACT(韻母轉換規則!$C95, 韻母對照表[台羅拼音]), 0)), "")</f>
        <v/>
      </c>
      <c r="I95" s="57" t="str" cm="1">
        <f t="array" ref="I95" xml:space="preserve"> IFERROR( INDEX(韻母對照表[方音符號], MATCH(TRUE, EXACT(韻母轉換規則!$C95, 韻母對照表[台羅拼音]), 0)), "")</f>
        <v/>
      </c>
      <c r="J95" s="73"/>
      <c r="K95" s="57" t="str">
        <f t="shared" si="7"/>
        <v/>
      </c>
      <c r="L95" s="57" t="str">
        <f t="shared" si="4"/>
        <v>eu</v>
      </c>
      <c r="M95" s="55"/>
      <c r="N95" s="56" t="str">
        <f t="shared" si="8"/>
        <v/>
      </c>
    </row>
    <row r="96" spans="1:14" ht="27.75" thickBot="1">
      <c r="A96" s="57">
        <f t="shared" si="9"/>
        <v>94</v>
      </c>
      <c r="B96" s="74" t="s">
        <v>866</v>
      </c>
      <c r="C96" s="57" t="s">
        <v>867</v>
      </c>
      <c r="D96" s="57" t="s">
        <v>867</v>
      </c>
      <c r="E96" s="61" t="str" cm="1">
        <f t="array" ref="E96" xml:space="preserve"> IFERROR( INDEX(韻母對照表[注音二式], MATCH(TRUE, EXACT(韻母轉換規則!$C96, 韻母對照表[台羅拼音]), 0)), "")</f>
        <v/>
      </c>
      <c r="F96" s="57" t="str" cm="1">
        <f t="array" ref="F96" xml:space="preserve"> IFERROR( INDEX(韻母對照表[閩拼方案], MATCH(TRUE, EXACT(韻母轉換規則!$B96, 韻母對照表[國際音標]), 0)), "")</f>
        <v/>
      </c>
      <c r="G96" s="61" t="str" cm="1">
        <f t="array" ref="G96" xml:space="preserve"> IFERROR( INDEX(韻母對照表[白話字], MATCH(TRUE, EXACT(韻母轉換規則!$C96, 韻母對照表[台羅拼音]), 0)), "")</f>
        <v/>
      </c>
      <c r="H96" s="54" t="str" cm="1">
        <f t="array" ref="H96" xml:space="preserve"> IFERROR( INDEX(韻母對照表[十五音識別碼], MATCH(TRUE, EXACT(韻母轉換規則!$C96, 韻母對照表[台羅拼音]), 0)), "")</f>
        <v/>
      </c>
      <c r="I96" s="57" t="str" cm="1">
        <f t="array" ref="I96" xml:space="preserve"> IFERROR( INDEX(韻母對照表[方音符號], MATCH(TRUE, EXACT(韻母轉換規則!$C96, 韻母對照表[台羅拼音]), 0)), "")</f>
        <v/>
      </c>
      <c r="J96" s="73"/>
      <c r="K96" s="57" t="str">
        <f t="shared" si="7"/>
        <v/>
      </c>
      <c r="L96" s="57" t="str">
        <f t="shared" si="4"/>
        <v>ioo</v>
      </c>
      <c r="M96" s="55"/>
      <c r="N96" s="56" t="str">
        <f t="shared" si="8"/>
        <v/>
      </c>
    </row>
    <row r="97" spans="1:14" ht="27.75" thickBot="1">
      <c r="A97" s="57">
        <f t="shared" si="9"/>
        <v>95</v>
      </c>
      <c r="B97" s="74" t="s">
        <v>868</v>
      </c>
      <c r="C97" s="57" t="s">
        <v>110</v>
      </c>
      <c r="D97" s="57" t="s">
        <v>110</v>
      </c>
      <c r="E97" s="75" t="str" cm="1">
        <f t="array" ref="E97" xml:space="preserve"> IFERROR( INDEX(韻母對照表[注音二式], MATCH(TRUE, EXACT(韻母轉換規則!$C97, 韻母對照表[台羅拼音]), 0)), "")</f>
        <v/>
      </c>
      <c r="F97" s="57" t="str" cm="1">
        <f t="array" ref="F97" xml:space="preserve"> IFERROR( INDEX(韻母對照表[閩拼方案], MATCH(TRUE, EXACT(韻母轉換規則!$B97, 韻母對照表[國際音標]), 0)), "")</f>
        <v/>
      </c>
      <c r="G97" s="59" t="str" cm="1">
        <f t="array" ref="G97" xml:space="preserve"> IFERROR( INDEX(韻母對照表[白話字], MATCH(TRUE, EXACT(韻母轉換規則!$C97, 韻母對照表[台羅拼音]), 0)), "")</f>
        <v/>
      </c>
      <c r="H97" s="54" t="str" cm="1">
        <f t="array" ref="H97" xml:space="preserve"> IFERROR( INDEX(韻母對照表[十五音識別碼], MATCH(TRUE, EXACT(韻母轉換規則!$C97, 韻母對照表[台羅拼音]), 0)), "")</f>
        <v/>
      </c>
      <c r="I97" s="57" t="str" cm="1">
        <f t="array" ref="I97" xml:space="preserve"> IFERROR( INDEX(韻母對照表[方音符號], MATCH(TRUE, EXACT(韻母轉換規則!$C97, 韻母對照表[台羅拼音]), 0)), "")</f>
        <v/>
      </c>
      <c r="J97" s="73"/>
      <c r="K97" s="57" t="str">
        <f t="shared" si="7"/>
        <v/>
      </c>
      <c r="L97" s="57" t="str">
        <f t="shared" si="4"/>
        <v>eng</v>
      </c>
      <c r="M97" s="55"/>
      <c r="N97" s="56" t="str">
        <f t="shared" si="8"/>
        <v/>
      </c>
    </row>
    <row r="98" spans="1:14" ht="27.75" thickBot="1">
      <c r="A98" s="57">
        <f t="shared" si="9"/>
        <v>96</v>
      </c>
      <c r="B98" s="74" t="s">
        <v>889</v>
      </c>
      <c r="C98" s="57" t="s">
        <v>116</v>
      </c>
      <c r="D98" s="57" t="s">
        <v>116</v>
      </c>
      <c r="E98" s="75" t="str" cm="1">
        <f t="array" ref="E98" xml:space="preserve"> IFERROR( INDEX(韻母對照表[注音二式], MATCH(TRUE, EXACT(韻母轉換規則!$C98, 韻母對照表[台羅拼音]), 0)), "")</f>
        <v/>
      </c>
      <c r="F98" s="57" t="str" cm="1">
        <f t="array" ref="F98" xml:space="preserve"> IFERROR( INDEX(韻母對照表[閩拼方案], MATCH(TRUE, EXACT(韻母轉換規則!$B98, 韻母對照表[國際音標]), 0)), "")</f>
        <v/>
      </c>
      <c r="G98" s="59" t="str" cm="1">
        <f t="array" ref="G98" xml:space="preserve"> IFERROR( INDEX(韻母對照表[白話字], MATCH(TRUE, EXACT(韻母轉換規則!$C98, 韻母對照表[台羅拼音]), 0)), "")</f>
        <v/>
      </c>
      <c r="H98" s="54" t="str" cm="1">
        <f t="array" ref="H98" xml:space="preserve"> IFERROR( INDEX(韻母對照表[十五音識別碼], MATCH(TRUE, EXACT(韻母轉換規則!$C98, 韻母對照表[台羅拼音]), 0)), "")</f>
        <v/>
      </c>
      <c r="I98" s="57" t="str" cm="1">
        <f t="array" ref="I98" xml:space="preserve"> IFERROR( INDEX(韻母對照表[方音符號], MATCH(TRUE, EXACT(韻母轉換規則!$C98, 韻母對照表[台羅拼音]), 0)), "")</f>
        <v/>
      </c>
      <c r="J98" s="73"/>
      <c r="K98" s="57" t="str">
        <f t="shared" si="7"/>
        <v/>
      </c>
      <c r="L98" s="57" t="str">
        <f t="shared" ref="L98" si="10">D98</f>
        <v>ek</v>
      </c>
      <c r="M98" s="55"/>
      <c r="N98" s="56" t="str">
        <f t="shared" si="8"/>
        <v/>
      </c>
    </row>
    <row r="102" spans="1:14">
      <c r="F102" s="51">
        <f xml:space="preserve"> _xlfn.UNICODE( RIGHT(G102,1) )</f>
        <v>856</v>
      </c>
      <c r="G102" s="51" t="s">
        <v>137</v>
      </c>
    </row>
    <row r="103" spans="1:14">
      <c r="F103" s="51" t="str">
        <f xml:space="preserve"> _xlfn.CONCAT("o", _xlfn.UNICHAR(F102))</f>
        <v>o͘</v>
      </c>
    </row>
  </sheetData>
  <autoFilter ref="B2:J98" xr:uid="{1D918839-8279-4205-A1C9-3667D2078600}"/>
  <phoneticPr fontId="4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6857-D699-4356-B8D2-76BD25C09201}">
  <dimension ref="A1:F97"/>
  <sheetViews>
    <sheetView workbookViewId="0">
      <selection activeCell="I7" sqref="I7"/>
    </sheetView>
  </sheetViews>
  <sheetFormatPr defaultRowHeight="25.5"/>
  <cols>
    <col min="1" max="1" width="5.33203125" bestFit="1" customWidth="1"/>
    <col min="2" max="2" width="5.33203125" customWidth="1"/>
    <col min="3" max="4" width="10.08203125" style="51" customWidth="1"/>
    <col min="5" max="5" width="29.83203125" style="51" customWidth="1"/>
    <col min="6" max="6" width="7.83203125" style="51" customWidth="1"/>
  </cols>
  <sheetData>
    <row r="1" spans="1:6" ht="48.75" thickBot="1">
      <c r="A1" s="58" t="s">
        <v>895</v>
      </c>
      <c r="B1" s="58" t="s">
        <v>896</v>
      </c>
      <c r="C1" s="58" t="s">
        <v>872</v>
      </c>
      <c r="D1" s="52" t="s">
        <v>5</v>
      </c>
      <c r="E1" s="52" t="s">
        <v>897</v>
      </c>
    </row>
    <row r="2" spans="1:6" ht="27.75" thickBot="1">
      <c r="A2" s="57">
        <v>1</v>
      </c>
      <c r="B2" s="54">
        <f t="shared" ref="B2:B33" si="0" xml:space="preserve"> LEN(C2)</f>
        <v>6</v>
      </c>
      <c r="C2" s="57" t="s">
        <v>472</v>
      </c>
      <c r="D2" s="57" t="s">
        <v>472</v>
      </c>
      <c r="E2" s="57" t="str">
        <f t="shared" ref="E2:E33" si="1" xml:space="preserve"> "xform/" &amp; $C2 &amp;  "/"  &amp; $D2 &amp;  "/"</f>
        <v>xform/iaunnh/iaunnh/</v>
      </c>
    </row>
    <row r="3" spans="1:6" ht="27.75" thickBot="1">
      <c r="A3" s="57">
        <v>2</v>
      </c>
      <c r="B3" s="54">
        <f t="shared" si="0"/>
        <v>6</v>
      </c>
      <c r="C3" s="57" t="s">
        <v>455</v>
      </c>
      <c r="D3" s="57" t="s">
        <v>455</v>
      </c>
      <c r="E3" s="57" t="str">
        <f t="shared" si="1"/>
        <v>xform/uainnh/uainnh/</v>
      </c>
      <c r="F3" s="56"/>
    </row>
    <row r="4" spans="1:6" ht="27.75" thickBot="1">
      <c r="A4" s="57">
        <v>7</v>
      </c>
      <c r="B4" s="54">
        <f t="shared" si="0"/>
        <v>5</v>
      </c>
      <c r="C4" s="57" t="s">
        <v>786</v>
      </c>
      <c r="D4" s="57" t="s">
        <v>786</v>
      </c>
      <c r="E4" s="57" t="str">
        <f t="shared" si="1"/>
        <v>xform/aunnh/aunnh/</v>
      </c>
      <c r="F4" s="56"/>
    </row>
    <row r="5" spans="1:6" ht="27.75" thickBot="1">
      <c r="A5" s="57">
        <v>8</v>
      </c>
      <c r="B5" s="54">
        <f t="shared" si="0"/>
        <v>5</v>
      </c>
      <c r="C5" s="57" t="s">
        <v>392</v>
      </c>
      <c r="D5" s="57" t="s">
        <v>392</v>
      </c>
      <c r="E5" s="57" t="str">
        <f t="shared" si="1"/>
        <v>xform/iannh/iannh/</v>
      </c>
      <c r="F5" s="56"/>
    </row>
    <row r="6" spans="1:6" ht="27.75" thickBot="1">
      <c r="A6" s="57">
        <v>40</v>
      </c>
      <c r="B6" s="54">
        <f t="shared" si="0"/>
        <v>5</v>
      </c>
      <c r="C6" s="57" t="s">
        <v>449</v>
      </c>
      <c r="D6" s="57" t="s">
        <v>449</v>
      </c>
      <c r="E6" s="57" t="str">
        <f t="shared" si="1"/>
        <v>xform/uainn/uainn/</v>
      </c>
      <c r="F6" s="56"/>
    </row>
    <row r="7" spans="1:6" ht="27.75" thickBot="1">
      <c r="A7" s="57">
        <v>86</v>
      </c>
      <c r="B7" s="54">
        <f t="shared" si="0"/>
        <v>5</v>
      </c>
      <c r="C7" s="57" t="s">
        <v>386</v>
      </c>
      <c r="D7" s="57" t="s">
        <v>383</v>
      </c>
      <c r="E7" s="57" t="str">
        <f t="shared" si="1"/>
        <v>xform/ioonn/ionn/</v>
      </c>
      <c r="F7" s="56"/>
    </row>
    <row r="8" spans="1:6" ht="27.75" thickBot="1">
      <c r="A8" s="57">
        <v>3</v>
      </c>
      <c r="B8" s="54">
        <f t="shared" si="0"/>
        <v>4</v>
      </c>
      <c r="C8" s="57" t="s">
        <v>203</v>
      </c>
      <c r="D8" s="57" t="s">
        <v>203</v>
      </c>
      <c r="E8" s="57" t="str">
        <f t="shared" si="1"/>
        <v>xform/iang/iang/</v>
      </c>
      <c r="F8" s="56"/>
    </row>
    <row r="9" spans="1:6" ht="27.75" thickBot="1">
      <c r="A9" s="57">
        <v>4</v>
      </c>
      <c r="B9" s="54">
        <f t="shared" si="0"/>
        <v>4</v>
      </c>
      <c r="C9" s="57" t="s">
        <v>148</v>
      </c>
      <c r="D9" s="57" t="s">
        <v>148</v>
      </c>
      <c r="E9" s="57" t="str">
        <f t="shared" si="1"/>
        <v>xform/iauh/iauh/</v>
      </c>
      <c r="F9" s="56"/>
    </row>
    <row r="10" spans="1:6" ht="27.75" thickBot="1">
      <c r="A10" s="57">
        <v>5</v>
      </c>
      <c r="B10" s="54">
        <f t="shared" si="0"/>
        <v>4</v>
      </c>
      <c r="C10" s="57" t="s">
        <v>162</v>
      </c>
      <c r="D10" s="57" t="s">
        <v>162</v>
      </c>
      <c r="E10" s="57" t="str">
        <f t="shared" si="1"/>
        <v>xform/iong/iong/</v>
      </c>
      <c r="F10" s="56"/>
    </row>
    <row r="11" spans="1:6" ht="27.75" thickBot="1">
      <c r="A11" s="57">
        <v>6</v>
      </c>
      <c r="B11" s="54">
        <f t="shared" si="0"/>
        <v>4</v>
      </c>
      <c r="C11" s="57" t="s">
        <v>346</v>
      </c>
      <c r="D11" s="57" t="s">
        <v>346</v>
      </c>
      <c r="E11" s="57" t="str">
        <f t="shared" si="1"/>
        <v>xform/ennh/ennh/</v>
      </c>
      <c r="F11" s="56"/>
    </row>
    <row r="12" spans="1:6" ht="27.75" thickBot="1">
      <c r="A12" s="57">
        <v>10</v>
      </c>
      <c r="B12" s="54">
        <f t="shared" si="0"/>
        <v>4</v>
      </c>
      <c r="C12" s="57" t="s">
        <v>501</v>
      </c>
      <c r="D12" s="57" t="s">
        <v>501</v>
      </c>
      <c r="E12" s="57" t="str">
        <f t="shared" si="1"/>
        <v>xform/onnh/onnh/</v>
      </c>
      <c r="F12" s="56"/>
    </row>
    <row r="13" spans="1:6" ht="27.75" thickBot="1">
      <c r="A13" s="57">
        <v>22</v>
      </c>
      <c r="B13" s="54">
        <f t="shared" si="0"/>
        <v>4</v>
      </c>
      <c r="C13" s="57" t="s">
        <v>364</v>
      </c>
      <c r="D13" s="57" t="s">
        <v>363</v>
      </c>
      <c r="E13" s="57" t="str">
        <f t="shared" si="1"/>
        <v>xform/iorh/ioh/</v>
      </c>
      <c r="F13" s="56"/>
    </row>
    <row r="14" spans="1:6" ht="27.75" thickBot="1">
      <c r="A14" s="57">
        <v>23</v>
      </c>
      <c r="B14" s="54">
        <f t="shared" si="0"/>
        <v>4</v>
      </c>
      <c r="C14" s="57" t="s">
        <v>892</v>
      </c>
      <c r="D14" s="57" t="s">
        <v>167</v>
      </c>
      <c r="E14" s="57" t="str">
        <f t="shared" si="1"/>
        <v>xform/iook/iok/</v>
      </c>
      <c r="F14" s="56"/>
    </row>
    <row r="15" spans="1:6" ht="27.75" thickBot="1">
      <c r="A15" s="57">
        <v>26</v>
      </c>
      <c r="B15" s="54">
        <f t="shared" si="0"/>
        <v>4</v>
      </c>
      <c r="C15" s="57" t="s">
        <v>304</v>
      </c>
      <c r="D15" s="57" t="s">
        <v>304</v>
      </c>
      <c r="E15" s="57" t="str">
        <f t="shared" si="1"/>
        <v>xform/annh/annh/</v>
      </c>
      <c r="F15" s="56"/>
    </row>
    <row r="16" spans="1:6" ht="27.75" thickBot="1">
      <c r="A16" s="57">
        <v>27</v>
      </c>
      <c r="B16" s="54">
        <f t="shared" si="0"/>
        <v>4</v>
      </c>
      <c r="C16" s="57" t="s">
        <v>417</v>
      </c>
      <c r="D16" s="57" t="s">
        <v>417</v>
      </c>
      <c r="E16" s="57" t="str">
        <f t="shared" si="1"/>
        <v>xform/ainn/ainn/</v>
      </c>
      <c r="F16" s="56"/>
    </row>
    <row r="17" spans="1:6" ht="27.75" thickBot="1">
      <c r="A17" s="57">
        <v>28</v>
      </c>
      <c r="B17" s="54">
        <f t="shared" si="0"/>
        <v>4</v>
      </c>
      <c r="C17" s="57" t="s">
        <v>491</v>
      </c>
      <c r="D17" s="57" t="s">
        <v>491</v>
      </c>
      <c r="E17" s="57" t="str">
        <f t="shared" si="1"/>
        <v>xform/aunn/aunn/</v>
      </c>
      <c r="F17" s="56"/>
    </row>
    <row r="18" spans="1:6" ht="27.75" thickBot="1">
      <c r="A18" s="57">
        <v>30</v>
      </c>
      <c r="B18" s="54">
        <f t="shared" si="0"/>
        <v>4</v>
      </c>
      <c r="C18" s="57" t="s">
        <v>391</v>
      </c>
      <c r="D18" s="57" t="s">
        <v>391</v>
      </c>
      <c r="E18" s="57" t="str">
        <f t="shared" si="1"/>
        <v>xform/iann/iann/</v>
      </c>
      <c r="F18" s="56"/>
    </row>
    <row r="19" spans="1:6" ht="27.75" thickBot="1">
      <c r="A19" s="57">
        <v>31</v>
      </c>
      <c r="B19" s="54">
        <f t="shared" si="0"/>
        <v>4</v>
      </c>
      <c r="C19" s="57" t="s">
        <v>376</v>
      </c>
      <c r="D19" s="57" t="s">
        <v>376</v>
      </c>
      <c r="E19" s="57" t="str">
        <f t="shared" si="1"/>
        <v>xform/innh/innh/</v>
      </c>
      <c r="F19" s="56"/>
    </row>
    <row r="20" spans="1:6" ht="27.75" thickBot="1">
      <c r="A20" s="57">
        <v>32</v>
      </c>
      <c r="B20" s="54">
        <f t="shared" si="0"/>
        <v>4</v>
      </c>
      <c r="C20" s="57" t="s">
        <v>507</v>
      </c>
      <c r="D20" s="57" t="s">
        <v>507</v>
      </c>
      <c r="E20" s="57" t="str">
        <f t="shared" si="1"/>
        <v>xform/iunn/iunn/</v>
      </c>
      <c r="F20" s="56"/>
    </row>
    <row r="21" spans="1:6" ht="27.75" thickBot="1">
      <c r="A21" s="57">
        <v>33</v>
      </c>
      <c r="B21" s="54">
        <f t="shared" si="0"/>
        <v>4</v>
      </c>
      <c r="C21" s="57" t="s">
        <v>424</v>
      </c>
      <c r="D21" s="57" t="s">
        <v>425</v>
      </c>
      <c r="E21" s="57" t="str">
        <f t="shared" si="1"/>
        <v>xform/oonn/onn/</v>
      </c>
      <c r="F21" s="56"/>
    </row>
    <row r="22" spans="1:6" ht="27.75" thickBot="1">
      <c r="A22" s="57">
        <v>34</v>
      </c>
      <c r="B22" s="54">
        <f t="shared" si="0"/>
        <v>4</v>
      </c>
      <c r="C22" s="57" t="s">
        <v>399</v>
      </c>
      <c r="D22" s="57" t="s">
        <v>399</v>
      </c>
      <c r="E22" s="57" t="str">
        <f t="shared" si="1"/>
        <v>xform/uann/uann/</v>
      </c>
      <c r="F22" s="56"/>
    </row>
    <row r="23" spans="1:6" ht="27.75" thickBot="1">
      <c r="A23" s="57">
        <v>35</v>
      </c>
      <c r="B23" s="54">
        <f t="shared" si="0"/>
        <v>4</v>
      </c>
      <c r="C23" s="57" t="s">
        <v>351</v>
      </c>
      <c r="D23" s="57" t="s">
        <v>351</v>
      </c>
      <c r="E23" s="57" t="str">
        <f t="shared" si="1"/>
        <v>xform/uinn/uinn/</v>
      </c>
      <c r="F23" s="56"/>
    </row>
    <row r="24" spans="1:6" ht="27.75" thickBot="1">
      <c r="A24" s="57">
        <v>87</v>
      </c>
      <c r="B24" s="54">
        <f t="shared" si="0"/>
        <v>4</v>
      </c>
      <c r="C24" s="57" t="s">
        <v>857</v>
      </c>
      <c r="D24" s="57" t="s">
        <v>857</v>
      </c>
      <c r="E24" s="57" t="str">
        <f t="shared" si="1"/>
        <v>xform/iooh/iooh/</v>
      </c>
      <c r="F24" s="56"/>
    </row>
    <row r="25" spans="1:6" ht="27.75" thickBot="1">
      <c r="A25" s="57">
        <v>92</v>
      </c>
      <c r="B25" s="54">
        <f t="shared" si="0"/>
        <v>4</v>
      </c>
      <c r="C25" s="57" t="s">
        <v>864</v>
      </c>
      <c r="D25" s="57" t="s">
        <v>864</v>
      </c>
      <c r="E25" s="57" t="str">
        <f t="shared" si="1"/>
        <v>xform/aenn/aenn/</v>
      </c>
      <c r="F25" s="56"/>
    </row>
    <row r="26" spans="1:6" ht="27.75" thickBot="1">
      <c r="A26" s="57">
        <v>9</v>
      </c>
      <c r="B26" s="54">
        <f t="shared" si="0"/>
        <v>3</v>
      </c>
      <c r="C26" s="57" t="s">
        <v>141</v>
      </c>
      <c r="D26" s="57" t="s">
        <v>467</v>
      </c>
      <c r="E26" s="57" t="str">
        <f t="shared" si="1"/>
        <v>xform/iau/iaunn/</v>
      </c>
      <c r="F26" s="56"/>
    </row>
    <row r="27" spans="1:6" ht="27.75" thickBot="1">
      <c r="A27" s="57">
        <v>12</v>
      </c>
      <c r="B27" s="54">
        <f t="shared" si="0"/>
        <v>3</v>
      </c>
      <c r="C27" s="57" t="s">
        <v>237</v>
      </c>
      <c r="D27" s="57" t="s">
        <v>237</v>
      </c>
      <c r="E27" s="57" t="str">
        <f t="shared" si="1"/>
        <v>xform/ang/ang/</v>
      </c>
      <c r="F27" s="56"/>
    </row>
    <row r="28" spans="1:6" ht="27.75" thickBot="1">
      <c r="A28" s="57">
        <v>13</v>
      </c>
      <c r="B28" s="54">
        <f t="shared" si="0"/>
        <v>3</v>
      </c>
      <c r="C28" s="57" t="s">
        <v>267</v>
      </c>
      <c r="D28" s="57" t="s">
        <v>267</v>
      </c>
      <c r="E28" s="57" t="str">
        <f t="shared" si="1"/>
        <v>xform/auh/auh/</v>
      </c>
      <c r="F28" s="56"/>
    </row>
    <row r="29" spans="1:6" ht="27.75" thickBot="1">
      <c r="A29" s="57">
        <v>14</v>
      </c>
      <c r="B29" s="54">
        <f t="shared" si="0"/>
        <v>3</v>
      </c>
      <c r="C29" s="57" t="s">
        <v>278</v>
      </c>
      <c r="D29" s="57" t="s">
        <v>278</v>
      </c>
      <c r="E29" s="57" t="str">
        <f t="shared" si="1"/>
        <v>xform/iah/iah/</v>
      </c>
      <c r="F29" s="56"/>
    </row>
    <row r="30" spans="1:6" ht="27.75" thickBot="1">
      <c r="A30" s="57">
        <v>15</v>
      </c>
      <c r="B30" s="54">
        <f t="shared" si="0"/>
        <v>3</v>
      </c>
      <c r="C30" s="57" t="s">
        <v>207</v>
      </c>
      <c r="D30" s="57" t="s">
        <v>207</v>
      </c>
      <c r="E30" s="57" t="str">
        <f t="shared" si="1"/>
        <v>xform/iak/iak/</v>
      </c>
      <c r="F30" s="56"/>
    </row>
    <row r="31" spans="1:6" ht="27.75" thickBot="1">
      <c r="A31" s="57">
        <v>16</v>
      </c>
      <c r="B31" s="54">
        <f t="shared" si="0"/>
        <v>3</v>
      </c>
      <c r="C31" s="57" t="s">
        <v>247</v>
      </c>
      <c r="D31" s="57" t="s">
        <v>247</v>
      </c>
      <c r="E31" s="57" t="str">
        <f t="shared" si="1"/>
        <v>xform/iam/iam/</v>
      </c>
      <c r="F31" s="56"/>
    </row>
    <row r="32" spans="1:6" ht="27.75" thickBot="1">
      <c r="A32" s="57">
        <v>17</v>
      </c>
      <c r="B32" s="54">
        <f t="shared" si="0"/>
        <v>3</v>
      </c>
      <c r="C32" s="57" t="s">
        <v>27</v>
      </c>
      <c r="D32" s="57" t="s">
        <v>27</v>
      </c>
      <c r="E32" s="57" t="str">
        <f t="shared" si="1"/>
        <v>xform/ian/ian/</v>
      </c>
      <c r="F32" s="56"/>
    </row>
    <row r="33" spans="1:6" ht="27.75" thickBot="1">
      <c r="A33" s="57">
        <v>18</v>
      </c>
      <c r="B33" s="54">
        <f t="shared" si="0"/>
        <v>3</v>
      </c>
      <c r="C33" s="57" t="s">
        <v>141</v>
      </c>
      <c r="D33" s="57" t="s">
        <v>141</v>
      </c>
      <c r="E33" s="57" t="str">
        <f t="shared" si="1"/>
        <v>xform/iau/iau/</v>
      </c>
      <c r="F33" s="56"/>
    </row>
    <row r="34" spans="1:6" ht="27.75" thickBot="1">
      <c r="A34" s="57">
        <v>19</v>
      </c>
      <c r="B34" s="54">
        <f t="shared" ref="B34:B65" si="2" xml:space="preserve"> LEN(C34)</f>
        <v>3</v>
      </c>
      <c r="C34" s="57" t="s">
        <v>256</v>
      </c>
      <c r="D34" s="57" t="s">
        <v>256</v>
      </c>
      <c r="E34" s="57" t="str">
        <f t="shared" ref="E34:E65" si="3" xml:space="preserve"> "xform/" &amp; $C34 &amp;  "/"  &amp; $D34 &amp;  "/"</f>
        <v>xform/iap/iap/</v>
      </c>
      <c r="F34" s="56"/>
    </row>
    <row r="35" spans="1:6" ht="27.75" thickBot="1">
      <c r="A35" s="57">
        <v>20</v>
      </c>
      <c r="B35" s="54">
        <f t="shared" si="2"/>
        <v>3</v>
      </c>
      <c r="C35" s="57" t="s">
        <v>34</v>
      </c>
      <c r="D35" s="57" t="s">
        <v>34</v>
      </c>
      <c r="E35" s="57" t="str">
        <f t="shared" si="3"/>
        <v>xform/iat/iat/</v>
      </c>
      <c r="F35" s="56"/>
    </row>
    <row r="36" spans="1:6" ht="27.75" thickBot="1">
      <c r="A36" s="57">
        <v>21</v>
      </c>
      <c r="B36" s="54">
        <f t="shared" si="2"/>
        <v>3</v>
      </c>
      <c r="C36" s="57" t="s">
        <v>109</v>
      </c>
      <c r="D36" s="57" t="s">
        <v>109</v>
      </c>
      <c r="E36" s="57" t="str">
        <f t="shared" si="3"/>
        <v>xform/ing/ing/</v>
      </c>
      <c r="F36" s="56"/>
    </row>
    <row r="37" spans="1:6" ht="27.75" thickBot="1">
      <c r="A37" s="57">
        <v>24</v>
      </c>
      <c r="B37" s="54">
        <f t="shared" si="2"/>
        <v>3</v>
      </c>
      <c r="C37" s="57" t="s">
        <v>808</v>
      </c>
      <c r="D37" s="57" t="s">
        <v>808</v>
      </c>
      <c r="E37" s="57" t="str">
        <f t="shared" si="3"/>
        <v>xform/iuh/iuh/</v>
      </c>
      <c r="F37" s="56"/>
    </row>
    <row r="38" spans="1:6" ht="27.75" thickBot="1">
      <c r="A38" s="57">
        <v>25</v>
      </c>
      <c r="B38" s="54">
        <f t="shared" si="2"/>
        <v>3</v>
      </c>
      <c r="C38" s="57" t="s">
        <v>340</v>
      </c>
      <c r="D38" s="57" t="s">
        <v>340</v>
      </c>
      <c r="E38" s="57" t="str">
        <f t="shared" si="3"/>
        <v>xform/enn/enn/</v>
      </c>
      <c r="F38" s="56"/>
    </row>
    <row r="39" spans="1:6" ht="27.75" thickBot="1">
      <c r="A39" s="57">
        <v>29</v>
      </c>
      <c r="B39" s="54">
        <f t="shared" si="2"/>
        <v>3</v>
      </c>
      <c r="C39" s="57" t="s">
        <v>817</v>
      </c>
      <c r="D39" s="57" t="s">
        <v>817</v>
      </c>
      <c r="E39" s="57" t="str">
        <f t="shared" si="3"/>
        <v>xform/ngh/ngh/</v>
      </c>
      <c r="F39" s="56"/>
    </row>
    <row r="40" spans="1:6" ht="27.75" thickBot="1">
      <c r="A40" s="57">
        <v>36</v>
      </c>
      <c r="B40" s="54">
        <f t="shared" si="2"/>
        <v>3</v>
      </c>
      <c r="C40" s="57" t="s">
        <v>84</v>
      </c>
      <c r="D40" s="57" t="s">
        <v>84</v>
      </c>
      <c r="E40" s="57" t="str">
        <f t="shared" si="3"/>
        <v>xform/ong/ong/</v>
      </c>
      <c r="F40" s="56"/>
    </row>
    <row r="41" spans="1:6" ht="27.75" thickBot="1">
      <c r="A41" s="57">
        <v>37</v>
      </c>
      <c r="B41" s="54">
        <f t="shared" si="2"/>
        <v>3</v>
      </c>
      <c r="C41" s="57" t="s">
        <v>822</v>
      </c>
      <c r="D41" s="57" t="s">
        <v>822</v>
      </c>
      <c r="E41" s="57" t="str">
        <f t="shared" si="3"/>
        <v>xform/ooh/ooh/</v>
      </c>
      <c r="F41" s="56"/>
    </row>
    <row r="42" spans="1:6" ht="27.75" thickBot="1">
      <c r="A42" s="57">
        <v>38</v>
      </c>
      <c r="B42" s="54">
        <f t="shared" si="2"/>
        <v>3</v>
      </c>
      <c r="C42" s="57" t="s">
        <v>230</v>
      </c>
      <c r="D42" s="57" t="s">
        <v>230</v>
      </c>
      <c r="E42" s="57" t="str">
        <f t="shared" si="3"/>
        <v>xform/uah/uah/</v>
      </c>
      <c r="F42" s="56"/>
    </row>
    <row r="43" spans="1:6" ht="27.75" thickBot="1">
      <c r="A43" s="57">
        <v>39</v>
      </c>
      <c r="B43" s="54">
        <f t="shared" si="2"/>
        <v>3</v>
      </c>
      <c r="C43" s="57" t="s">
        <v>94</v>
      </c>
      <c r="D43" s="57" t="s">
        <v>94</v>
      </c>
      <c r="E43" s="57" t="str">
        <f t="shared" si="3"/>
        <v>xform/uai/uai/</v>
      </c>
      <c r="F43" s="56"/>
    </row>
    <row r="44" spans="1:6" ht="27.75" thickBot="1">
      <c r="A44" s="57">
        <v>41</v>
      </c>
      <c r="B44" s="54">
        <f t="shared" si="2"/>
        <v>3</v>
      </c>
      <c r="C44" s="57" t="s">
        <v>120</v>
      </c>
      <c r="D44" s="57" t="s">
        <v>120</v>
      </c>
      <c r="E44" s="57" t="str">
        <f t="shared" si="3"/>
        <v>xform/uan/uan/</v>
      </c>
      <c r="F44" s="56"/>
    </row>
    <row r="45" spans="1:6" ht="27.75" thickBot="1">
      <c r="A45" s="57">
        <v>42</v>
      </c>
      <c r="B45" s="54">
        <f t="shared" si="2"/>
        <v>3</v>
      </c>
      <c r="C45" s="57" t="s">
        <v>129</v>
      </c>
      <c r="D45" s="57" t="s">
        <v>129</v>
      </c>
      <c r="E45" s="57" t="str">
        <f t="shared" si="3"/>
        <v>xform/uat/uat/</v>
      </c>
      <c r="F45" s="56"/>
    </row>
    <row r="46" spans="1:6" ht="27.75" thickBot="1">
      <c r="A46" s="57">
        <v>43</v>
      </c>
      <c r="B46" s="54">
        <f t="shared" si="2"/>
        <v>3</v>
      </c>
      <c r="C46" s="57" t="s">
        <v>290</v>
      </c>
      <c r="D46" s="57" t="s">
        <v>290</v>
      </c>
      <c r="E46" s="57" t="str">
        <f t="shared" si="3"/>
        <v>xform/ueh/ueh/</v>
      </c>
      <c r="F46" s="56"/>
    </row>
    <row r="47" spans="1:6" ht="27.75" thickBot="1">
      <c r="A47" s="57">
        <v>61</v>
      </c>
      <c r="B47" s="54">
        <f t="shared" si="2"/>
        <v>3</v>
      </c>
      <c r="C47" s="57" t="s">
        <v>360</v>
      </c>
      <c r="D47" s="57" t="s">
        <v>357</v>
      </c>
      <c r="E47" s="57" t="str">
        <f t="shared" si="3"/>
        <v>xform/ior/io/</v>
      </c>
      <c r="F47" s="56"/>
    </row>
    <row r="48" spans="1:6" ht="27.75" thickBot="1">
      <c r="A48" s="57">
        <v>66</v>
      </c>
      <c r="B48" s="54">
        <f t="shared" si="2"/>
        <v>3</v>
      </c>
      <c r="C48" s="57" t="s">
        <v>297</v>
      </c>
      <c r="D48" s="57" t="s">
        <v>297</v>
      </c>
      <c r="E48" s="57" t="str">
        <f t="shared" si="3"/>
        <v>xform/ann/ann/</v>
      </c>
      <c r="F48" s="56"/>
    </row>
    <row r="49" spans="1:6" ht="27.75" thickBot="1">
      <c r="A49" s="57">
        <v>68</v>
      </c>
      <c r="B49" s="54">
        <f t="shared" si="2"/>
        <v>3</v>
      </c>
      <c r="C49" s="57" t="s">
        <v>370</v>
      </c>
      <c r="D49" s="57" t="s">
        <v>370</v>
      </c>
      <c r="E49" s="57" t="str">
        <f t="shared" si="3"/>
        <v>xform/inn/inn/</v>
      </c>
      <c r="F49" s="56"/>
    </row>
    <row r="50" spans="1:6" ht="27.75" thickBot="1">
      <c r="A50" s="57">
        <v>69</v>
      </c>
      <c r="B50" s="54">
        <f t="shared" si="2"/>
        <v>3</v>
      </c>
      <c r="C50" s="57" t="s">
        <v>179</v>
      </c>
      <c r="D50" s="57" t="s">
        <v>178</v>
      </c>
      <c r="E50" s="57" t="str">
        <f t="shared" si="3"/>
        <v>xform/orh/oh/</v>
      </c>
      <c r="F50" s="56"/>
    </row>
    <row r="51" spans="1:6" ht="27.75" thickBot="1">
      <c r="A51" s="57">
        <v>72</v>
      </c>
      <c r="B51" s="54">
        <f t="shared" si="2"/>
        <v>3</v>
      </c>
      <c r="C51" s="57" t="s">
        <v>486</v>
      </c>
      <c r="D51" s="57" t="s">
        <v>485</v>
      </c>
      <c r="E51" s="57" t="str">
        <f t="shared" si="3"/>
        <v>xform/oop/op/</v>
      </c>
      <c r="F51" s="56"/>
    </row>
    <row r="52" spans="1:6" ht="27.75" thickBot="1">
      <c r="A52" s="57">
        <v>85</v>
      </c>
      <c r="B52" s="54">
        <f t="shared" si="2"/>
        <v>3</v>
      </c>
      <c r="C52" s="57" t="s">
        <v>480</v>
      </c>
      <c r="D52" s="57" t="s">
        <v>479</v>
      </c>
      <c r="E52" s="57" t="str">
        <f t="shared" si="3"/>
        <v>xform/oom/om/</v>
      </c>
      <c r="F52" s="56"/>
    </row>
    <row r="53" spans="1:6" ht="27.75" thickBot="1">
      <c r="A53" s="57">
        <v>91</v>
      </c>
      <c r="B53" s="54">
        <f t="shared" si="2"/>
        <v>3</v>
      </c>
      <c r="C53" s="57" t="s">
        <v>862</v>
      </c>
      <c r="D53" s="57" t="s">
        <v>862</v>
      </c>
      <c r="E53" s="57" t="str">
        <f t="shared" si="3"/>
        <v>xform/uae/uae/</v>
      </c>
      <c r="F53" s="56"/>
    </row>
    <row r="54" spans="1:6" ht="27.75" thickBot="1">
      <c r="A54" s="57">
        <v>95</v>
      </c>
      <c r="B54" s="54">
        <f t="shared" si="2"/>
        <v>3</v>
      </c>
      <c r="C54" s="57" t="s">
        <v>110</v>
      </c>
      <c r="D54" s="57" t="s">
        <v>110</v>
      </c>
      <c r="E54" s="57" t="str">
        <f t="shared" si="3"/>
        <v>xform/eng/eng/</v>
      </c>
      <c r="F54" s="56"/>
    </row>
    <row r="55" spans="1:6" ht="27.75" thickBot="1">
      <c r="A55" s="57">
        <v>11</v>
      </c>
      <c r="B55" s="54">
        <f t="shared" si="2"/>
        <v>2</v>
      </c>
      <c r="C55" s="57" t="s">
        <v>65</v>
      </c>
      <c r="D55" s="57" t="s">
        <v>64</v>
      </c>
      <c r="E55" s="57" t="str">
        <f t="shared" si="3"/>
        <v>xform/eh/eeh/</v>
      </c>
      <c r="F55" s="56"/>
    </row>
    <row r="56" spans="1:6" ht="27.75" thickBot="1">
      <c r="A56" s="57">
        <v>45</v>
      </c>
      <c r="B56" s="54">
        <f t="shared" si="2"/>
        <v>2</v>
      </c>
      <c r="C56" s="57" t="s">
        <v>321</v>
      </c>
      <c r="D56" s="57" t="s">
        <v>321</v>
      </c>
      <c r="E56" s="57" t="str">
        <f t="shared" si="3"/>
        <v>xform/ah/ah/</v>
      </c>
      <c r="F56" s="56"/>
    </row>
    <row r="57" spans="1:6" ht="27.75" thickBot="1">
      <c r="A57" s="57">
        <v>46</v>
      </c>
      <c r="B57" s="54">
        <f t="shared" si="2"/>
        <v>2</v>
      </c>
      <c r="C57" s="57" t="s">
        <v>183</v>
      </c>
      <c r="D57" s="57" t="s">
        <v>183</v>
      </c>
      <c r="E57" s="57" t="str">
        <f t="shared" si="3"/>
        <v>xform/ai/ai/</v>
      </c>
      <c r="F57" s="56"/>
    </row>
    <row r="58" spans="1:6" ht="27.75" thickBot="1">
      <c r="A58" s="57">
        <v>47</v>
      </c>
      <c r="B58" s="54">
        <f t="shared" si="2"/>
        <v>2</v>
      </c>
      <c r="C58" s="57" t="s">
        <v>243</v>
      </c>
      <c r="D58" s="57" t="s">
        <v>243</v>
      </c>
      <c r="E58" s="57" t="str">
        <f t="shared" si="3"/>
        <v>xform/ak/ak/</v>
      </c>
      <c r="F58" s="56"/>
    </row>
    <row r="59" spans="1:6" ht="27.75" thickBot="1">
      <c r="A59" s="57">
        <v>48</v>
      </c>
      <c r="B59" s="54">
        <f t="shared" si="2"/>
        <v>2</v>
      </c>
      <c r="C59" s="57" t="s">
        <v>211</v>
      </c>
      <c r="D59" s="57" t="s">
        <v>211</v>
      </c>
      <c r="E59" s="57" t="str">
        <f t="shared" si="3"/>
        <v>xform/am/am/</v>
      </c>
      <c r="F59" s="56"/>
    </row>
    <row r="60" spans="1:6" ht="27.75" thickBot="1">
      <c r="A60" s="57">
        <v>49</v>
      </c>
      <c r="B60" s="54">
        <f t="shared" si="2"/>
        <v>2</v>
      </c>
      <c r="C60" s="57" t="s">
        <v>69</v>
      </c>
      <c r="D60" s="57" t="s">
        <v>69</v>
      </c>
      <c r="E60" s="57" t="str">
        <f t="shared" si="3"/>
        <v>xform/an/an/</v>
      </c>
      <c r="F60" s="56"/>
    </row>
    <row r="61" spans="1:6" ht="27.75" thickBot="1">
      <c r="A61" s="57">
        <v>50</v>
      </c>
      <c r="B61" s="54">
        <f t="shared" si="2"/>
        <v>2</v>
      </c>
      <c r="C61" s="57" t="s">
        <v>260</v>
      </c>
      <c r="D61" s="57" t="s">
        <v>260</v>
      </c>
      <c r="E61" s="57" t="str">
        <f t="shared" si="3"/>
        <v>xform/au/au/</v>
      </c>
      <c r="F61" s="56"/>
    </row>
    <row r="62" spans="1:6" ht="27.75" thickBot="1">
      <c r="A62" s="57">
        <v>51</v>
      </c>
      <c r="B62" s="54">
        <f t="shared" si="2"/>
        <v>2</v>
      </c>
      <c r="C62" s="57" t="s">
        <v>219</v>
      </c>
      <c r="D62" s="57" t="s">
        <v>219</v>
      </c>
      <c r="E62" s="57" t="str">
        <f t="shared" si="3"/>
        <v>xform/ap/ap/</v>
      </c>
      <c r="F62" s="56"/>
    </row>
    <row r="63" spans="1:6" ht="27.75" thickBot="1">
      <c r="A63" s="57">
        <v>52</v>
      </c>
      <c r="B63" s="54">
        <f t="shared" si="2"/>
        <v>2</v>
      </c>
      <c r="C63" s="57" t="s">
        <v>77</v>
      </c>
      <c r="D63" s="57" t="s">
        <v>77</v>
      </c>
      <c r="E63" s="57" t="str">
        <f t="shared" si="3"/>
        <v>xform/at/at/</v>
      </c>
      <c r="F63" s="56"/>
    </row>
    <row r="64" spans="1:6" ht="27.75" thickBot="1">
      <c r="A64" s="57">
        <v>53</v>
      </c>
      <c r="B64" s="54">
        <f t="shared" si="2"/>
        <v>2</v>
      </c>
      <c r="C64" s="57" t="s">
        <v>65</v>
      </c>
      <c r="D64" s="57" t="s">
        <v>65</v>
      </c>
      <c r="E64" s="57" t="str">
        <f t="shared" si="3"/>
        <v>xform/eh/eh/</v>
      </c>
      <c r="F64" s="56"/>
    </row>
    <row r="65" spans="1:6" ht="27.75" thickBot="1">
      <c r="A65" s="57">
        <v>55</v>
      </c>
      <c r="B65" s="54">
        <f t="shared" si="2"/>
        <v>2</v>
      </c>
      <c r="C65" s="57" t="s">
        <v>272</v>
      </c>
      <c r="D65" s="57" t="s">
        <v>272</v>
      </c>
      <c r="E65" s="57" t="str">
        <f t="shared" si="3"/>
        <v>xform/ia/ia/</v>
      </c>
      <c r="F65" s="56"/>
    </row>
    <row r="66" spans="1:6" ht="27.75" thickBot="1">
      <c r="A66" s="57">
        <v>57</v>
      </c>
      <c r="B66" s="54">
        <f t="shared" ref="B66:B97" si="4" xml:space="preserve"> LEN(C66)</f>
        <v>2</v>
      </c>
      <c r="C66" s="57" t="s">
        <v>329</v>
      </c>
      <c r="D66" s="57" t="s">
        <v>329</v>
      </c>
      <c r="E66" s="57" t="str">
        <f t="shared" ref="E66:E97" si="5" xml:space="preserve"> "xform/" &amp; $C66 &amp;  "/"  &amp; $D66 &amp;  "/"</f>
        <v>xform/ih/ih/</v>
      </c>
      <c r="F66" s="56"/>
    </row>
    <row r="67" spans="1:6" ht="27.75" thickBot="1">
      <c r="A67" s="57">
        <v>58</v>
      </c>
      <c r="B67" s="54">
        <f t="shared" si="4"/>
        <v>2</v>
      </c>
      <c r="C67" s="57" t="s">
        <v>115</v>
      </c>
      <c r="D67" s="57" t="s">
        <v>115</v>
      </c>
      <c r="E67" s="57" t="str">
        <f t="shared" si="5"/>
        <v>xform/ik/ik/</v>
      </c>
      <c r="F67" s="56"/>
    </row>
    <row r="68" spans="1:6" ht="27.75" thickBot="1">
      <c r="A68" s="57">
        <v>59</v>
      </c>
      <c r="B68" s="54">
        <f t="shared" si="4"/>
        <v>2</v>
      </c>
      <c r="C68" s="57" t="s">
        <v>38</v>
      </c>
      <c r="D68" s="57" t="s">
        <v>38</v>
      </c>
      <c r="E68" s="57" t="str">
        <f t="shared" si="5"/>
        <v>xform/im/im/</v>
      </c>
      <c r="F68" s="56"/>
    </row>
    <row r="69" spans="1:6" ht="27.75" thickBot="1">
      <c r="A69" s="57">
        <v>60</v>
      </c>
      <c r="B69" s="54">
        <f t="shared" si="4"/>
        <v>2</v>
      </c>
      <c r="C69" s="57" t="s">
        <v>189</v>
      </c>
      <c r="D69" s="57" t="s">
        <v>189</v>
      </c>
      <c r="E69" s="57" t="str">
        <f t="shared" si="5"/>
        <v>xform/in/in/</v>
      </c>
      <c r="F69" s="56"/>
    </row>
    <row r="70" spans="1:6" ht="27.75" thickBot="1">
      <c r="A70" s="57">
        <v>62</v>
      </c>
      <c r="B70" s="54">
        <f t="shared" si="4"/>
        <v>2</v>
      </c>
      <c r="C70" s="57" t="s">
        <v>46</v>
      </c>
      <c r="D70" s="57" t="s">
        <v>46</v>
      </c>
      <c r="E70" s="57" t="str">
        <f t="shared" si="5"/>
        <v>xform/ip/ip/</v>
      </c>
      <c r="F70" s="56"/>
    </row>
    <row r="71" spans="1:6" ht="27.75" thickBot="1">
      <c r="A71" s="57">
        <v>63</v>
      </c>
      <c r="B71" s="54">
        <f t="shared" si="4"/>
        <v>2</v>
      </c>
      <c r="C71" s="57" t="s">
        <v>197</v>
      </c>
      <c r="D71" s="57" t="s">
        <v>197</v>
      </c>
      <c r="E71" s="57" t="str">
        <f t="shared" si="5"/>
        <v>xform/it/it/</v>
      </c>
      <c r="F71" s="56"/>
    </row>
    <row r="72" spans="1:6" ht="27.75" thickBot="1">
      <c r="A72" s="57">
        <v>64</v>
      </c>
      <c r="B72" s="54">
        <f t="shared" si="4"/>
        <v>2</v>
      </c>
      <c r="C72" s="57" t="s">
        <v>332</v>
      </c>
      <c r="D72" s="57" t="s">
        <v>332</v>
      </c>
      <c r="E72" s="57" t="str">
        <f t="shared" si="5"/>
        <v>xform/iu/iu/</v>
      </c>
      <c r="F72" s="56"/>
    </row>
    <row r="73" spans="1:6" ht="27.75" thickBot="1">
      <c r="A73" s="57">
        <v>65</v>
      </c>
      <c r="B73" s="54">
        <f t="shared" si="4"/>
        <v>2</v>
      </c>
      <c r="C73" s="57" t="s">
        <v>847</v>
      </c>
      <c r="D73" s="57" t="s">
        <v>847</v>
      </c>
      <c r="E73" s="57" t="str">
        <f t="shared" si="5"/>
        <v>xform/mh/mh/</v>
      </c>
      <c r="F73" s="56"/>
    </row>
    <row r="74" spans="1:6" ht="27.75" thickBot="1">
      <c r="A74" s="57">
        <v>67</v>
      </c>
      <c r="B74" s="54">
        <f t="shared" si="4"/>
        <v>2</v>
      </c>
      <c r="C74" s="57" t="s">
        <v>407</v>
      </c>
      <c r="D74" s="57" t="s">
        <v>407</v>
      </c>
      <c r="E74" s="57" t="str">
        <f t="shared" si="5"/>
        <v>xform/ng/ng/</v>
      </c>
      <c r="F74" s="56"/>
    </row>
    <row r="75" spans="1:6" ht="27.75" thickBot="1">
      <c r="A75" s="57">
        <v>70</v>
      </c>
      <c r="B75" s="54">
        <f t="shared" si="4"/>
        <v>2</v>
      </c>
      <c r="C75" s="57" t="s">
        <v>90</v>
      </c>
      <c r="D75" s="57" t="s">
        <v>90</v>
      </c>
      <c r="E75" s="57" t="str">
        <f t="shared" si="5"/>
        <v>xform/ok/ok/</v>
      </c>
      <c r="F75" s="56"/>
    </row>
    <row r="76" spans="1:6" ht="27.75" thickBot="1">
      <c r="A76" s="57">
        <v>71</v>
      </c>
      <c r="B76" s="54">
        <f t="shared" si="4"/>
        <v>2</v>
      </c>
      <c r="C76" s="57" t="s">
        <v>136</v>
      </c>
      <c r="D76" s="57" t="s">
        <v>136</v>
      </c>
      <c r="E76" s="57" t="str">
        <f t="shared" si="5"/>
        <v>xform/oo/oo/</v>
      </c>
      <c r="F76" s="56"/>
    </row>
    <row r="77" spans="1:6" ht="27.75" thickBot="1">
      <c r="A77" s="57">
        <v>73</v>
      </c>
      <c r="B77" s="54">
        <f t="shared" si="4"/>
        <v>2</v>
      </c>
      <c r="C77" s="57" t="s">
        <v>223</v>
      </c>
      <c r="D77" s="57" t="s">
        <v>223</v>
      </c>
      <c r="E77" s="57" t="str">
        <f t="shared" si="5"/>
        <v>xform/ua/ua/</v>
      </c>
      <c r="F77" s="56"/>
    </row>
    <row r="78" spans="1:6" ht="27.75" thickBot="1">
      <c r="A78" s="57">
        <v>74</v>
      </c>
      <c r="B78" s="54">
        <f t="shared" si="4"/>
        <v>2</v>
      </c>
      <c r="C78" s="57" t="s">
        <v>285</v>
      </c>
      <c r="D78" s="57" t="s">
        <v>285</v>
      </c>
      <c r="E78" s="57" t="str">
        <f t="shared" si="5"/>
        <v>xform/ue/ue/</v>
      </c>
      <c r="F78" s="56"/>
    </row>
    <row r="79" spans="1:6" ht="27.75" thickBot="1">
      <c r="A79" s="57">
        <v>75</v>
      </c>
      <c r="B79" s="54">
        <f t="shared" si="4"/>
        <v>2</v>
      </c>
      <c r="C79" s="57" t="s">
        <v>313</v>
      </c>
      <c r="D79" s="57" t="s">
        <v>313</v>
      </c>
      <c r="E79" s="57" t="str">
        <f t="shared" si="5"/>
        <v>xform/uh/uh/</v>
      </c>
      <c r="F79" s="56"/>
    </row>
    <row r="80" spans="1:6" ht="27.75" thickBot="1">
      <c r="A80" s="57">
        <v>76</v>
      </c>
      <c r="B80" s="54">
        <f t="shared" si="4"/>
        <v>2</v>
      </c>
      <c r="C80" s="57" t="s">
        <v>50</v>
      </c>
      <c r="D80" s="57" t="s">
        <v>50</v>
      </c>
      <c r="E80" s="57" t="str">
        <f t="shared" si="5"/>
        <v>xform/ui/ui/</v>
      </c>
      <c r="F80" s="56"/>
    </row>
    <row r="81" spans="1:6" ht="27.75" thickBot="1">
      <c r="A81" s="57">
        <v>77</v>
      </c>
      <c r="B81" s="54">
        <f t="shared" si="4"/>
        <v>2</v>
      </c>
      <c r="C81" s="57" t="s">
        <v>14</v>
      </c>
      <c r="D81" s="57" t="s">
        <v>14</v>
      </c>
      <c r="E81" s="57" t="str">
        <f t="shared" si="5"/>
        <v>xform/un/un/</v>
      </c>
      <c r="F81" s="56"/>
    </row>
    <row r="82" spans="1:6" ht="27.75" thickBot="1">
      <c r="A82" s="57">
        <v>78</v>
      </c>
      <c r="B82" s="54">
        <f t="shared" si="4"/>
        <v>2</v>
      </c>
      <c r="C82" s="57" t="s">
        <v>22</v>
      </c>
      <c r="D82" s="57" t="s">
        <v>22</v>
      </c>
      <c r="E82" s="57" t="str">
        <f t="shared" si="5"/>
        <v>xform/ut/ut/</v>
      </c>
      <c r="F82" s="56"/>
    </row>
    <row r="83" spans="1:6" ht="27.75" thickBot="1">
      <c r="A83" s="57">
        <v>83</v>
      </c>
      <c r="B83" s="54">
        <f t="shared" si="4"/>
        <v>2</v>
      </c>
      <c r="C83" s="57" t="s">
        <v>174</v>
      </c>
      <c r="D83" s="57" t="s">
        <v>171</v>
      </c>
      <c r="E83" s="57" t="str">
        <f t="shared" si="5"/>
        <v>xform/or/o/</v>
      </c>
      <c r="F83" s="56"/>
    </row>
    <row r="84" spans="1:6" ht="27.75" thickBot="1">
      <c r="A84" s="57">
        <v>89</v>
      </c>
      <c r="B84" s="54">
        <f t="shared" si="4"/>
        <v>2</v>
      </c>
      <c r="C84" s="57" t="s">
        <v>134</v>
      </c>
      <c r="D84" s="57" t="s">
        <v>134</v>
      </c>
      <c r="E84" s="57" t="str">
        <f t="shared" si="5"/>
        <v>xform/ou/ou/</v>
      </c>
      <c r="F84" s="56"/>
    </row>
    <row r="85" spans="1:6" ht="27.75" thickBot="1">
      <c r="A85" s="57">
        <v>90</v>
      </c>
      <c r="B85" s="54">
        <f t="shared" si="4"/>
        <v>2</v>
      </c>
      <c r="C85" s="57" t="s">
        <v>860</v>
      </c>
      <c r="D85" s="57" t="s">
        <v>860</v>
      </c>
      <c r="E85" s="57" t="str">
        <f t="shared" si="5"/>
        <v>xform/ae/ae/</v>
      </c>
      <c r="F85" s="56"/>
    </row>
    <row r="86" spans="1:6" ht="27.75" thickBot="1">
      <c r="A86" s="57">
        <v>93</v>
      </c>
      <c r="B86" s="54">
        <f t="shared" si="4"/>
        <v>2</v>
      </c>
      <c r="C86" s="57" t="s">
        <v>840</v>
      </c>
      <c r="D86" s="57" t="s">
        <v>840</v>
      </c>
      <c r="E86" s="57" t="str">
        <f t="shared" si="5"/>
        <v>xform/eu/eu/</v>
      </c>
      <c r="F86" s="56"/>
    </row>
    <row r="87" spans="1:6" ht="27.75" thickBot="1">
      <c r="A87" s="57">
        <v>96</v>
      </c>
      <c r="B87" s="54">
        <f t="shared" si="4"/>
        <v>2</v>
      </c>
      <c r="C87" s="57" t="s">
        <v>116</v>
      </c>
      <c r="D87" s="57" t="s">
        <v>116</v>
      </c>
      <c r="E87" s="57" t="str">
        <f t="shared" si="5"/>
        <v>xform/ek/ek/</v>
      </c>
      <c r="F87" s="56"/>
    </row>
    <row r="88" spans="1:6" ht="27.75" thickBot="1">
      <c r="A88" s="57">
        <v>44</v>
      </c>
      <c r="B88" s="54">
        <f t="shared" si="4"/>
        <v>1</v>
      </c>
      <c r="C88" s="57" t="s">
        <v>60</v>
      </c>
      <c r="D88" s="57" t="s">
        <v>59</v>
      </c>
      <c r="E88" s="57" t="str">
        <f t="shared" si="5"/>
        <v>xform/e/ee/</v>
      </c>
      <c r="F88" s="56"/>
    </row>
    <row r="89" spans="1:6" ht="27.75" thickBot="1">
      <c r="A89" s="57">
        <v>54</v>
      </c>
      <c r="B89" s="54">
        <f t="shared" si="4"/>
        <v>1</v>
      </c>
      <c r="C89" s="57">
        <v>0</v>
      </c>
      <c r="D89" s="57" t="s">
        <v>839</v>
      </c>
      <c r="E89" s="57" t="str">
        <f t="shared" si="5"/>
        <v>xform/0/ir/</v>
      </c>
      <c r="F89" s="56"/>
    </row>
    <row r="90" spans="1:6" ht="27.75" thickBot="1">
      <c r="A90" s="57">
        <v>56</v>
      </c>
      <c r="B90" s="54">
        <f t="shared" si="4"/>
        <v>1</v>
      </c>
      <c r="C90" s="57">
        <v>0</v>
      </c>
      <c r="D90" s="57" t="s">
        <v>843</v>
      </c>
      <c r="E90" s="57" t="str">
        <f t="shared" si="5"/>
        <v>xform/0/er/</v>
      </c>
      <c r="F90" s="56"/>
    </row>
    <row r="91" spans="1:6" ht="27.75" thickBot="1">
      <c r="A91" s="57">
        <v>79</v>
      </c>
      <c r="B91" s="54">
        <f t="shared" si="4"/>
        <v>1</v>
      </c>
      <c r="C91" s="57" t="s">
        <v>316</v>
      </c>
      <c r="D91" s="57" t="s">
        <v>316</v>
      </c>
      <c r="E91" s="57" t="str">
        <f t="shared" si="5"/>
        <v>xform/a/a/</v>
      </c>
      <c r="F91" s="56"/>
    </row>
    <row r="92" spans="1:6" ht="27.75" thickBot="1">
      <c r="A92" s="57">
        <v>80</v>
      </c>
      <c r="B92" s="54">
        <f t="shared" si="4"/>
        <v>1</v>
      </c>
      <c r="C92" s="57" t="s">
        <v>60</v>
      </c>
      <c r="D92" s="57" t="s">
        <v>60</v>
      </c>
      <c r="E92" s="57" t="str">
        <f t="shared" si="5"/>
        <v>xform/e/e/</v>
      </c>
      <c r="F92" s="56"/>
    </row>
    <row r="93" spans="1:6" ht="27.75" thickBot="1">
      <c r="A93" s="57">
        <v>81</v>
      </c>
      <c r="B93" s="54">
        <f t="shared" si="4"/>
        <v>1</v>
      </c>
      <c r="C93" s="57" t="s">
        <v>324</v>
      </c>
      <c r="D93" s="57" t="s">
        <v>324</v>
      </c>
      <c r="E93" s="57" t="str">
        <f t="shared" si="5"/>
        <v>xform/i/i/</v>
      </c>
      <c r="F93" s="56"/>
    </row>
    <row r="94" spans="1:6" ht="27.75" thickBot="1">
      <c r="A94" s="57">
        <v>82</v>
      </c>
      <c r="B94" s="54">
        <f t="shared" si="4"/>
        <v>1</v>
      </c>
      <c r="C94" s="57" t="s">
        <v>432</v>
      </c>
      <c r="D94" s="57" t="s">
        <v>432</v>
      </c>
      <c r="E94" s="57" t="str">
        <f t="shared" si="5"/>
        <v>xform/m/m/</v>
      </c>
      <c r="F94" s="56"/>
    </row>
    <row r="95" spans="1:6" ht="27.75" thickBot="1">
      <c r="A95" s="57">
        <v>84</v>
      </c>
      <c r="B95" s="54">
        <f t="shared" si="4"/>
        <v>1</v>
      </c>
      <c r="C95" s="57" t="s">
        <v>308</v>
      </c>
      <c r="D95" s="57" t="s">
        <v>308</v>
      </c>
      <c r="E95" s="57" t="str">
        <f t="shared" si="5"/>
        <v>xform/u/u/</v>
      </c>
      <c r="F95" s="56"/>
    </row>
    <row r="96" spans="1:6" ht="27.75" thickBot="1">
      <c r="A96" s="57">
        <v>88</v>
      </c>
      <c r="B96" s="54">
        <f t="shared" si="4"/>
        <v>1</v>
      </c>
      <c r="C96" s="57" t="s">
        <v>60</v>
      </c>
      <c r="D96" s="57" t="s">
        <v>153</v>
      </c>
      <c r="E96" s="57" t="str">
        <f t="shared" si="5"/>
        <v>xform/e/ei/</v>
      </c>
      <c r="F96" s="56"/>
    </row>
    <row r="97" spans="1:6" ht="27.75" thickBot="1">
      <c r="A97" s="57">
        <v>94</v>
      </c>
      <c r="B97" s="54">
        <f t="shared" si="4"/>
        <v>1</v>
      </c>
      <c r="C97" s="57">
        <v>0</v>
      </c>
      <c r="D97" s="57" t="s">
        <v>867</v>
      </c>
      <c r="E97" s="57" t="str">
        <f t="shared" si="5"/>
        <v>xform/0/ioo/</v>
      </c>
      <c r="F97" s="56"/>
    </row>
  </sheetData>
  <sortState xmlns:xlrd2="http://schemas.microsoft.com/office/spreadsheetml/2017/richdata2" ref="A2:E97">
    <sortCondition descending="1" ref="B2:B97"/>
  </sortState>
  <phoneticPr fontId="4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FBE6-DA34-4B5F-AE92-D6D4FAA8CCAE}">
  <dimension ref="A1:L85"/>
  <sheetViews>
    <sheetView workbookViewId="0">
      <selection sqref="A1:L85"/>
    </sheetView>
  </sheetViews>
  <sheetFormatPr defaultRowHeight="25.5"/>
  <sheetData>
    <row r="1" spans="1:12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"舒促聲"</f>
        <v>舒促聲</v>
      </c>
      <c r="E1" t="str">
        <f>"韻序"</f>
        <v>韻序</v>
      </c>
      <c r="F1" t="str">
        <f>"國際音標"</f>
        <v>國際音標</v>
      </c>
      <c r="G1" t="str">
        <f>"台語音標"</f>
        <v>台語音標</v>
      </c>
      <c r="H1" t="str">
        <f>"台羅拼音"</f>
        <v>台羅拼音</v>
      </c>
      <c r="I1" t="str">
        <f>"注音二式"</f>
        <v>注音二式</v>
      </c>
      <c r="J1" t="str">
        <f>"閩拼方案"</f>
        <v>閩拼方案</v>
      </c>
      <c r="K1" t="str">
        <f>"白話字"</f>
        <v>白話字</v>
      </c>
      <c r="L1" t="str">
        <f>"漢字例"</f>
        <v>漢字例</v>
      </c>
    </row>
    <row r="2" spans="1:12">
      <c r="A2" t="str">
        <f>"1"</f>
        <v>1</v>
      </c>
      <c r="B2" t="str">
        <f>"ㄨㄣ"</f>
        <v>ㄨㄣ</v>
      </c>
      <c r="C2" t="str">
        <f>"君"</f>
        <v>君</v>
      </c>
      <c r="D2" t="str">
        <f>"舒聲"</f>
        <v>舒聲</v>
      </c>
      <c r="E2" t="str">
        <f>"1"</f>
        <v>1</v>
      </c>
      <c r="F2" t="str">
        <f t="shared" ref="F2:K2" si="0">"un"</f>
        <v>un</v>
      </c>
      <c r="G2" t="str">
        <f t="shared" si="0"/>
        <v>un</v>
      </c>
      <c r="H2" t="str">
        <f t="shared" si="0"/>
        <v>un</v>
      </c>
      <c r="I2" t="str">
        <f t="shared" si="0"/>
        <v>un</v>
      </c>
      <c r="J2" t="str">
        <f t="shared" si="0"/>
        <v>un</v>
      </c>
      <c r="K2" t="str">
        <f t="shared" si="0"/>
        <v>un</v>
      </c>
      <c r="L2" t="str">
        <f>"汾"</f>
        <v>汾</v>
      </c>
    </row>
    <row r="3" spans="1:12">
      <c r="A3" t="str">
        <f>"2"</f>
        <v>2</v>
      </c>
      <c r="B3" t="str">
        <f>"ㄨㆵ"</f>
        <v>ㄨㆵ</v>
      </c>
      <c r="C3" t="str">
        <f>"君"</f>
        <v>君</v>
      </c>
      <c r="D3" t="str">
        <f>"促聲"</f>
        <v>促聲</v>
      </c>
      <c r="E3" t="str">
        <f>"1"</f>
        <v>1</v>
      </c>
      <c r="F3" t="str">
        <f t="shared" ref="F3:K3" si="1">"ut"</f>
        <v>ut</v>
      </c>
      <c r="G3" t="str">
        <f t="shared" si="1"/>
        <v>ut</v>
      </c>
      <c r="H3" t="str">
        <f t="shared" si="1"/>
        <v>ut</v>
      </c>
      <c r="I3" t="str">
        <f t="shared" si="1"/>
        <v>ut</v>
      </c>
      <c r="J3" t="str">
        <f t="shared" si="1"/>
        <v>ut</v>
      </c>
      <c r="K3" t="str">
        <f t="shared" si="1"/>
        <v>ut</v>
      </c>
      <c r="L3" t="str">
        <f>"不"</f>
        <v>不</v>
      </c>
    </row>
    <row r="4" spans="1:12">
      <c r="A4" t="str">
        <f>"3"</f>
        <v>3</v>
      </c>
      <c r="B4" t="str">
        <f>"ㄧㄢ"</f>
        <v>ㄧㄢ</v>
      </c>
      <c r="C4" t="str">
        <f>"堅"</f>
        <v>堅</v>
      </c>
      <c r="D4" t="str">
        <f>"舒聲"</f>
        <v>舒聲</v>
      </c>
      <c r="E4" t="str">
        <f>"2"</f>
        <v>2</v>
      </c>
      <c r="F4" t="str">
        <f>"ɪan"</f>
        <v>ɪan</v>
      </c>
      <c r="G4" t="str">
        <f>"ian"</f>
        <v>ian</v>
      </c>
      <c r="H4" t="str">
        <f>"ian"</f>
        <v>ian</v>
      </c>
      <c r="I4" t="str">
        <f>"ian"</f>
        <v>ian</v>
      </c>
      <c r="J4" t="str">
        <f>"ian"</f>
        <v>ian</v>
      </c>
      <c r="K4" t="str">
        <f>"ian"</f>
        <v>ian</v>
      </c>
      <c r="L4" t="str">
        <f>"掀"</f>
        <v>掀</v>
      </c>
    </row>
    <row r="5" spans="1:12">
      <c r="A5" t="str">
        <f>"4"</f>
        <v>4</v>
      </c>
      <c r="B5" t="str">
        <f>"ㄧㄚㆵ"</f>
        <v>ㄧㄚㆵ</v>
      </c>
      <c r="C5" t="str">
        <f>"堅"</f>
        <v>堅</v>
      </c>
      <c r="D5" t="str">
        <f>"促聲"</f>
        <v>促聲</v>
      </c>
      <c r="E5" t="str">
        <f>"2"</f>
        <v>2</v>
      </c>
      <c r="F5" t="str">
        <f>"ɪat̚"</f>
        <v>ɪat̚</v>
      </c>
      <c r="G5" t="str">
        <f>"iat"</f>
        <v>iat</v>
      </c>
      <c r="H5" t="str">
        <f>"iat"</f>
        <v>iat</v>
      </c>
      <c r="I5" t="str">
        <f>"iat"</f>
        <v>iat</v>
      </c>
      <c r="J5" t="str">
        <f>"iat"</f>
        <v>iat</v>
      </c>
      <c r="K5" t="str">
        <f>"iat"</f>
        <v>iat</v>
      </c>
      <c r="L5" t="str">
        <f>"別"</f>
        <v>別</v>
      </c>
    </row>
    <row r="6" spans="1:12">
      <c r="A6" t="str">
        <f>"5"</f>
        <v>5</v>
      </c>
      <c r="B6" t="str">
        <f>"ㄧㆬ"</f>
        <v>ㄧㆬ</v>
      </c>
      <c r="C6" t="str">
        <f>"金"</f>
        <v>金</v>
      </c>
      <c r="D6" t="str">
        <f>"舒聲"</f>
        <v>舒聲</v>
      </c>
      <c r="E6" t="str">
        <f>"3"</f>
        <v>3</v>
      </c>
      <c r="F6" t="str">
        <f t="shared" ref="F6:K6" si="2">"im"</f>
        <v>im</v>
      </c>
      <c r="G6" t="str">
        <f t="shared" si="2"/>
        <v>im</v>
      </c>
      <c r="H6" t="str">
        <f t="shared" si="2"/>
        <v>im</v>
      </c>
      <c r="I6" t="str">
        <f t="shared" si="2"/>
        <v>im</v>
      </c>
      <c r="J6" t="str">
        <f t="shared" si="2"/>
        <v>im</v>
      </c>
      <c r="K6" t="str">
        <f t="shared" si="2"/>
        <v>im</v>
      </c>
      <c r="L6" t="str">
        <f>"深"</f>
        <v>深</v>
      </c>
    </row>
    <row r="7" spans="1:12">
      <c r="A7" t="str">
        <f>"6"</f>
        <v>6</v>
      </c>
      <c r="B7" t="str">
        <f>"一ㆴ"</f>
        <v>一ㆴ</v>
      </c>
      <c r="C7" t="str">
        <f>"金"</f>
        <v>金</v>
      </c>
      <c r="D7" t="str">
        <f>"促聲"</f>
        <v>促聲</v>
      </c>
      <c r="E7" t="str">
        <f>"3"</f>
        <v>3</v>
      </c>
      <c r="F7" t="str">
        <f>"ip̚"</f>
        <v>ip̚</v>
      </c>
      <c r="G7" t="str">
        <f>"ip"</f>
        <v>ip</v>
      </c>
      <c r="H7" t="str">
        <f>"ip"</f>
        <v>ip</v>
      </c>
      <c r="I7" t="str">
        <f>"ip"</f>
        <v>ip</v>
      </c>
      <c r="J7" t="str">
        <f>"ip"</f>
        <v>ip</v>
      </c>
      <c r="K7" t="str">
        <f>"ip"</f>
        <v>ip</v>
      </c>
      <c r="L7" t="str">
        <f>"蟄"</f>
        <v>蟄</v>
      </c>
    </row>
    <row r="8" spans="1:12">
      <c r="A8" t="str">
        <f>"7"</f>
        <v>7</v>
      </c>
      <c r="B8" t="str">
        <f>"ㄨㄧ"</f>
        <v>ㄨㄧ</v>
      </c>
      <c r="C8" t="str">
        <f>"規"</f>
        <v>規</v>
      </c>
      <c r="D8" t="str">
        <f>"舒聲"</f>
        <v>舒聲</v>
      </c>
      <c r="E8" t="str">
        <f>"4"</f>
        <v>4</v>
      </c>
      <c r="F8" t="str">
        <f t="shared" ref="F8:K8" si="3">"ui"</f>
        <v>ui</v>
      </c>
      <c r="G8" t="str">
        <f t="shared" si="3"/>
        <v>ui</v>
      </c>
      <c r="H8" t="str">
        <f t="shared" si="3"/>
        <v>ui</v>
      </c>
      <c r="I8" t="str">
        <f t="shared" si="3"/>
        <v>ui</v>
      </c>
      <c r="J8" t="str">
        <f t="shared" si="3"/>
        <v>ui</v>
      </c>
      <c r="K8" t="str">
        <f t="shared" si="3"/>
        <v>ui</v>
      </c>
      <c r="L8" t="str">
        <f>"歸"</f>
        <v>歸</v>
      </c>
    </row>
    <row r="9" spans="1:12">
      <c r="A9" t="str">
        <f>"9"</f>
        <v>9</v>
      </c>
      <c r="B9" t="str">
        <f>"ㄝ"</f>
        <v>ㄝ</v>
      </c>
      <c r="C9" t="str">
        <f>"嘉"</f>
        <v>嘉</v>
      </c>
      <c r="D9" t="str">
        <f>"舒聲"</f>
        <v>舒聲</v>
      </c>
      <c r="E9" t="str">
        <f>"5"</f>
        <v>5</v>
      </c>
      <c r="F9" t="str">
        <f>"ɛ"</f>
        <v>ɛ</v>
      </c>
      <c r="G9" t="str">
        <f>"ee"</f>
        <v>ee</v>
      </c>
      <c r="H9" t="str">
        <f>"ee"</f>
        <v>ee</v>
      </c>
      <c r="I9" t="str">
        <f>"e"</f>
        <v>e</v>
      </c>
      <c r="J9" t="str">
        <f>"e"</f>
        <v>e</v>
      </c>
      <c r="K9" t="str">
        <f>""</f>
        <v/>
      </c>
      <c r="L9" t="str">
        <f>"家"</f>
        <v>家</v>
      </c>
    </row>
    <row r="10" spans="1:12">
      <c r="A10" t="str">
        <f>"10"</f>
        <v>10</v>
      </c>
      <c r="B10" t="str">
        <f>"ㄝㆷ"</f>
        <v>ㄝㆷ</v>
      </c>
      <c r="C10" t="str">
        <f>"嘉"</f>
        <v>嘉</v>
      </c>
      <c r="D10" t="str">
        <f>"促聲"</f>
        <v>促聲</v>
      </c>
      <c r="E10" t="str">
        <f>"5"</f>
        <v>5</v>
      </c>
      <c r="F10" t="str">
        <f>"ɛʔ"</f>
        <v>ɛʔ</v>
      </c>
      <c r="G10" t="str">
        <f>"eeh"</f>
        <v>eeh</v>
      </c>
      <c r="H10" t="str">
        <f>"eeh"</f>
        <v>eeh</v>
      </c>
      <c r="I10" t="str">
        <f>"eh"</f>
        <v>eh</v>
      </c>
      <c r="J10" t="str">
        <f>"eh"</f>
        <v>eh</v>
      </c>
      <c r="K10" t="str">
        <f>""</f>
        <v/>
      </c>
      <c r="L10" t="str">
        <f>"八"</f>
        <v>八</v>
      </c>
    </row>
    <row r="11" spans="1:12">
      <c r="A11" t="str">
        <f>"11"</f>
        <v>11</v>
      </c>
      <c r="B11" t="str">
        <f>"ㄢ"</f>
        <v>ㄢ</v>
      </c>
      <c r="C11" t="str">
        <f>"干"</f>
        <v>干</v>
      </c>
      <c r="D11" t="str">
        <f>"舒聲"</f>
        <v>舒聲</v>
      </c>
      <c r="E11" t="str">
        <f>"6"</f>
        <v>6</v>
      </c>
      <c r="F11" t="str">
        <f t="shared" ref="F11:K11" si="4">"an"</f>
        <v>an</v>
      </c>
      <c r="G11" t="str">
        <f t="shared" si="4"/>
        <v>an</v>
      </c>
      <c r="H11" t="str">
        <f t="shared" si="4"/>
        <v>an</v>
      </c>
      <c r="I11" t="str">
        <f t="shared" si="4"/>
        <v>an</v>
      </c>
      <c r="J11" t="str">
        <f t="shared" si="4"/>
        <v>an</v>
      </c>
      <c r="K11" t="str">
        <f t="shared" si="4"/>
        <v>an</v>
      </c>
      <c r="L11" t="str">
        <f>"蘭"</f>
        <v>蘭</v>
      </c>
    </row>
    <row r="12" spans="1:12">
      <c r="A12" t="str">
        <f>"12"</f>
        <v>12</v>
      </c>
      <c r="B12" t="str">
        <f>"ㄚㆵ"</f>
        <v>ㄚㆵ</v>
      </c>
      <c r="C12" t="str">
        <f>"干"</f>
        <v>干</v>
      </c>
      <c r="D12" t="str">
        <f>"促聲"</f>
        <v>促聲</v>
      </c>
      <c r="E12" t="str">
        <f>"6"</f>
        <v>6</v>
      </c>
      <c r="F12" t="str">
        <f>"at̚"</f>
        <v>at̚</v>
      </c>
      <c r="G12" t="str">
        <f>"at"</f>
        <v>at</v>
      </c>
      <c r="H12" t="str">
        <f>"at"</f>
        <v>at</v>
      </c>
      <c r="I12" t="str">
        <f>"at"</f>
        <v>at</v>
      </c>
      <c r="J12" t="str">
        <f>"at"</f>
        <v>at</v>
      </c>
      <c r="K12" t="str">
        <f>"at"</f>
        <v>at</v>
      </c>
      <c r="L12" t="str">
        <f>"識"</f>
        <v>識</v>
      </c>
    </row>
    <row r="13" spans="1:12">
      <c r="A13" t="str">
        <f>"13"</f>
        <v>13</v>
      </c>
      <c r="B13" t="str">
        <f>"ㆲ"</f>
        <v>ㆲ</v>
      </c>
      <c r="C13" t="str">
        <f>"公"</f>
        <v>公</v>
      </c>
      <c r="D13" t="str">
        <f>"舒聲"</f>
        <v>舒聲</v>
      </c>
      <c r="E13" t="str">
        <f>"7"</f>
        <v>7</v>
      </c>
      <c r="F13" t="str">
        <f>"ɔŋ"</f>
        <v>ɔŋ</v>
      </c>
      <c r="G13" t="str">
        <f>"ong"</f>
        <v>ong</v>
      </c>
      <c r="H13" t="str">
        <f>"ong"</f>
        <v>ong</v>
      </c>
      <c r="I13" t="str">
        <f>"ong"</f>
        <v>ong</v>
      </c>
      <c r="J13" t="str">
        <f>"ong"</f>
        <v>ong</v>
      </c>
      <c r="K13" t="str">
        <f>"ong"</f>
        <v>ong</v>
      </c>
      <c r="L13" t="str">
        <f>"風"</f>
        <v>風</v>
      </c>
    </row>
    <row r="14" spans="1:12">
      <c r="A14" t="str">
        <f>"14"</f>
        <v>14</v>
      </c>
      <c r="B14" t="str">
        <f>"ㆦㆻ"</f>
        <v>ㆦㆻ</v>
      </c>
      <c r="C14" t="str">
        <f>"公"</f>
        <v>公</v>
      </c>
      <c r="D14" t="str">
        <f>"促聲"</f>
        <v>促聲</v>
      </c>
      <c r="E14" t="str">
        <f>"7"</f>
        <v>7</v>
      </c>
      <c r="F14" t="str">
        <f>"ɔk̚"</f>
        <v>ɔk̚</v>
      </c>
      <c r="G14" t="str">
        <f>"ok"</f>
        <v>ok</v>
      </c>
      <c r="H14" t="str">
        <f>"ok"</f>
        <v>ok</v>
      </c>
      <c r="I14" t="str">
        <f>"ok"</f>
        <v>ok</v>
      </c>
      <c r="J14" t="str">
        <f>"ok"</f>
        <v>ok</v>
      </c>
      <c r="K14" t="str">
        <f>"ok"</f>
        <v>ok</v>
      </c>
      <c r="L14" t="str">
        <f>"福"</f>
        <v>福</v>
      </c>
    </row>
    <row r="15" spans="1:12">
      <c r="A15" t="str">
        <f>"15"</f>
        <v>15</v>
      </c>
      <c r="B15" t="str">
        <f>"ㄨㄞ"</f>
        <v>ㄨㄞ</v>
      </c>
      <c r="C15" t="str">
        <f>"乖"</f>
        <v>乖</v>
      </c>
      <c r="D15" t="str">
        <f>"舒聲"</f>
        <v>舒聲</v>
      </c>
      <c r="E15" t="str">
        <f>"8"</f>
        <v>8</v>
      </c>
      <c r="F15" t="str">
        <f>"uai"</f>
        <v>uai</v>
      </c>
      <c r="G15" t="str">
        <f>"uai"</f>
        <v>uai</v>
      </c>
      <c r="H15" t="str">
        <f>"uai"</f>
        <v>uai</v>
      </c>
      <c r="I15" t="str">
        <f>"uai"</f>
        <v>uai</v>
      </c>
      <c r="J15" t="str">
        <f>"uai"</f>
        <v>uai</v>
      </c>
      <c r="K15" t="str">
        <f>"oai"</f>
        <v>oai</v>
      </c>
      <c r="L15" t="str">
        <f>"怪"</f>
        <v>怪</v>
      </c>
    </row>
    <row r="16" spans="1:12">
      <c r="A16" t="str">
        <f>"16"</f>
        <v>16</v>
      </c>
      <c r="B16" t="str">
        <f>"ㄨㄞㆷ"</f>
        <v>ㄨㄞㆷ</v>
      </c>
      <c r="C16" t="str">
        <f>"乖"</f>
        <v>乖</v>
      </c>
      <c r="D16" t="str">
        <f>"促聲"</f>
        <v>促聲</v>
      </c>
      <c r="E16" t="str">
        <f>"8"</f>
        <v>8</v>
      </c>
      <c r="F16" t="str">
        <f>"uaiʔ"</f>
        <v>uaiʔ</v>
      </c>
      <c r="G16" t="str">
        <f>"uaih"</f>
        <v>uaih</v>
      </c>
      <c r="H16" t="str">
        <f>"uaih"</f>
        <v>uaih</v>
      </c>
      <c r="I16" t="str">
        <f>"uaih"</f>
        <v>uaih</v>
      </c>
      <c r="J16" t="str">
        <f>"uaih"</f>
        <v>uaih</v>
      </c>
      <c r="K16" t="str">
        <f>"oaih"</f>
        <v>oaih</v>
      </c>
      <c r="L16" t="str">
        <f>"◯"</f>
        <v>◯</v>
      </c>
    </row>
    <row r="17" spans="1:12">
      <c r="A17" t="str">
        <f>"17"</f>
        <v>17</v>
      </c>
      <c r="B17" t="str">
        <f>"ㄧㄥ"</f>
        <v>ㄧㄥ</v>
      </c>
      <c r="C17" t="str">
        <f>"經"</f>
        <v>經</v>
      </c>
      <c r="D17" t="str">
        <f>"舒聲"</f>
        <v>舒聲</v>
      </c>
      <c r="E17" t="str">
        <f>"9"</f>
        <v>9</v>
      </c>
      <c r="F17" t="str">
        <f>"ɪŋ"</f>
        <v>ɪŋ</v>
      </c>
      <c r="G17" t="str">
        <f>"ing"</f>
        <v>ing</v>
      </c>
      <c r="H17" t="str">
        <f>"ing"</f>
        <v>ing</v>
      </c>
      <c r="I17" t="str">
        <f>"ing"</f>
        <v>ing</v>
      </c>
      <c r="J17" t="str">
        <f>"ing"</f>
        <v>ing</v>
      </c>
      <c r="K17" t="str">
        <f>"eng"</f>
        <v>eng</v>
      </c>
      <c r="L17" t="str">
        <f>"情"</f>
        <v>情</v>
      </c>
    </row>
    <row r="18" spans="1:12">
      <c r="A18" t="str">
        <f>"18"</f>
        <v>18</v>
      </c>
      <c r="B18" t="str">
        <f>"ㄧㆻ"</f>
        <v>ㄧㆻ</v>
      </c>
      <c r="C18" t="str">
        <f>"經"</f>
        <v>經</v>
      </c>
      <c r="D18" t="str">
        <f>"促聲"</f>
        <v>促聲</v>
      </c>
      <c r="E18" t="str">
        <f>"9"</f>
        <v>9</v>
      </c>
      <c r="F18" t="str">
        <f>"ɪk̚"</f>
        <v>ɪk̚</v>
      </c>
      <c r="G18" t="str">
        <f>"ik"</f>
        <v>ik</v>
      </c>
      <c r="H18" t="str">
        <f>"ik"</f>
        <v>ik</v>
      </c>
      <c r="I18" t="str">
        <f>"ik"</f>
        <v>ik</v>
      </c>
      <c r="J18" t="str">
        <f>"ik"</f>
        <v>ik</v>
      </c>
      <c r="K18" t="str">
        <f>"ek"</f>
        <v>ek</v>
      </c>
      <c r="L18" t="str">
        <f>"益"</f>
        <v>益</v>
      </c>
    </row>
    <row r="19" spans="1:12">
      <c r="A19" t="str">
        <f>"19"</f>
        <v>19</v>
      </c>
      <c r="B19" t="str">
        <f>"ㄨㄢ"</f>
        <v>ㄨㄢ</v>
      </c>
      <c r="C19" t="str">
        <f>"觀"</f>
        <v>觀</v>
      </c>
      <c r="D19" t="str">
        <f>"舒聲"</f>
        <v>舒聲</v>
      </c>
      <c r="E19" t="str">
        <f>"10"</f>
        <v>10</v>
      </c>
      <c r="F19" t="str">
        <f>"uan"</f>
        <v>uan</v>
      </c>
      <c r="G19" t="str">
        <f>"uan"</f>
        <v>uan</v>
      </c>
      <c r="H19" t="str">
        <f>"uan"</f>
        <v>uan</v>
      </c>
      <c r="I19" t="str">
        <f>"uan"</f>
        <v>uan</v>
      </c>
      <c r="J19" t="str">
        <f>"uan"</f>
        <v>uan</v>
      </c>
      <c r="K19" t="str">
        <f>"oan"</f>
        <v>oan</v>
      </c>
      <c r="L19" t="str">
        <f>"猿"</f>
        <v>猿</v>
      </c>
    </row>
    <row r="20" spans="1:12">
      <c r="A20" t="str">
        <f>"20"</f>
        <v>20</v>
      </c>
      <c r="B20" t="str">
        <f>"ㄨㄚㆵ"</f>
        <v>ㄨㄚㆵ</v>
      </c>
      <c r="C20" t="str">
        <f>"觀"</f>
        <v>觀</v>
      </c>
      <c r="D20" t="str">
        <f>"促聲"</f>
        <v>促聲</v>
      </c>
      <c r="E20" t="str">
        <f>"10"</f>
        <v>10</v>
      </c>
      <c r="F20" t="str">
        <f>"uat̚"</f>
        <v>uat̚</v>
      </c>
      <c r="G20" t="str">
        <f>"uat"</f>
        <v>uat</v>
      </c>
      <c r="H20" t="str">
        <f>"uat"</f>
        <v>uat</v>
      </c>
      <c r="I20" t="str">
        <f>"uat"</f>
        <v>uat</v>
      </c>
      <c r="J20" t="str">
        <f>"uat"</f>
        <v>uat</v>
      </c>
      <c r="K20" t="str">
        <f>"oat"</f>
        <v>oat</v>
      </c>
      <c r="L20" t="str">
        <f>"說"</f>
        <v>說</v>
      </c>
    </row>
    <row r="21" spans="1:12">
      <c r="A21" t="str">
        <f>"21"</f>
        <v>21</v>
      </c>
      <c r="B21" t="str">
        <f>"ㆦ"</f>
        <v>ㆦ</v>
      </c>
      <c r="C21" t="str">
        <f>"沽"</f>
        <v>沽</v>
      </c>
      <c r="D21" t="str">
        <f>"舒聲"</f>
        <v>舒聲</v>
      </c>
      <c r="E21" t="str">
        <f>"11"</f>
        <v>11</v>
      </c>
      <c r="F21" t="str">
        <f>"ɔ"</f>
        <v>ɔ</v>
      </c>
      <c r="G21" t="str">
        <f>"oo"</f>
        <v>oo</v>
      </c>
      <c r="H21" t="str">
        <f>"oo"</f>
        <v>oo</v>
      </c>
      <c r="I21" t="str">
        <f>"oo"</f>
        <v>oo</v>
      </c>
      <c r="J21" t="str">
        <f>"oo"</f>
        <v>oo</v>
      </c>
      <c r="K21" t="str">
        <f>"o͘"</f>
        <v>o͘</v>
      </c>
      <c r="L21" t="str">
        <f>"捕"</f>
        <v>捕</v>
      </c>
    </row>
    <row r="22" spans="1:12">
      <c r="A22" t="str">
        <f>"23"</f>
        <v>23</v>
      </c>
      <c r="B22" t="str">
        <f>"ㄧㄠ"</f>
        <v>ㄧㄠ</v>
      </c>
      <c r="C22" t="str">
        <f>"嬌"</f>
        <v>嬌</v>
      </c>
      <c r="D22" t="str">
        <f>"舒聲"</f>
        <v>舒聲</v>
      </c>
      <c r="E22" t="str">
        <f>"12"</f>
        <v>12</v>
      </c>
      <c r="F22" t="str">
        <f>"ɪaʊ"</f>
        <v>ɪaʊ</v>
      </c>
      <c r="G22" t="str">
        <f>"iau"</f>
        <v>iau</v>
      </c>
      <c r="H22" t="str">
        <f>"iau"</f>
        <v>iau</v>
      </c>
      <c r="I22" t="str">
        <f>"iau"</f>
        <v>iau</v>
      </c>
      <c r="J22" t="str">
        <f>"iao"</f>
        <v>iao</v>
      </c>
      <c r="K22" t="str">
        <f>"iau"</f>
        <v>iau</v>
      </c>
      <c r="L22" t="str">
        <f>"遙"</f>
        <v>遙</v>
      </c>
    </row>
    <row r="23" spans="1:12">
      <c r="A23" t="str">
        <f>"24"</f>
        <v>24</v>
      </c>
      <c r="B23" t="str">
        <f>"ㄧㄠㆷ"</f>
        <v>ㄧㄠㆷ</v>
      </c>
      <c r="C23" t="str">
        <f>"嬌"</f>
        <v>嬌</v>
      </c>
      <c r="D23" t="str">
        <f>"促聲"</f>
        <v>促聲</v>
      </c>
      <c r="E23" t="str">
        <f>"12"</f>
        <v>12</v>
      </c>
      <c r="F23" t="str">
        <f>"ɪaʊʔ"</f>
        <v>ɪaʊʔ</v>
      </c>
      <c r="G23" t="str">
        <f>"iauh"</f>
        <v>iauh</v>
      </c>
      <c r="H23" t="str">
        <f>"iauh"</f>
        <v>iauh</v>
      </c>
      <c r="I23" t="str">
        <f>"iauh"</f>
        <v>iauh</v>
      </c>
      <c r="J23" t="str">
        <f>"iaoh"</f>
        <v>iaoh</v>
      </c>
      <c r="K23" t="str">
        <f>"iauh"</f>
        <v>iauh</v>
      </c>
      <c r="L23" t="str">
        <f>"噭"</f>
        <v>噭</v>
      </c>
    </row>
    <row r="24" spans="1:12">
      <c r="A24" t="str">
        <f>"25"</f>
        <v>25</v>
      </c>
      <c r="B24" t="str">
        <f>"ㆤ"</f>
        <v>ㆤ</v>
      </c>
      <c r="C24" t="str">
        <f>"稽"</f>
        <v>稽</v>
      </c>
      <c r="D24" t="str">
        <f>"舒聲"</f>
        <v>舒聲</v>
      </c>
      <c r="E24" t="str">
        <f>"13"</f>
        <v>13</v>
      </c>
      <c r="F24" t="str">
        <f>"e"</f>
        <v>e</v>
      </c>
      <c r="G24" t="str">
        <f>"ei"</f>
        <v>ei</v>
      </c>
      <c r="H24" t="str">
        <f>"e"</f>
        <v>e</v>
      </c>
      <c r="I24" t="str">
        <f>"e"</f>
        <v>e</v>
      </c>
      <c r="J24" t="str">
        <f>"e"</f>
        <v>e</v>
      </c>
      <c r="K24" t="str">
        <f>""</f>
        <v/>
      </c>
      <c r="L24" t="str">
        <f>"遞"</f>
        <v>遞</v>
      </c>
    </row>
    <row r="25" spans="1:12">
      <c r="A25" t="str">
        <f>"27"</f>
        <v>27</v>
      </c>
      <c r="B25" t="str">
        <f>"ㄧㆲ"</f>
        <v>ㄧㆲ</v>
      </c>
      <c r="C25" t="str">
        <f>"恭"</f>
        <v>恭</v>
      </c>
      <c r="D25" t="str">
        <f>"舒聲"</f>
        <v>舒聲</v>
      </c>
      <c r="E25" t="str">
        <f>"14"</f>
        <v>14</v>
      </c>
      <c r="F25" t="str">
        <f>"ɪɔŋ"</f>
        <v>ɪɔŋ</v>
      </c>
      <c r="G25" t="str">
        <f>"iong"</f>
        <v>iong</v>
      </c>
      <c r="H25" t="str">
        <f>"iong"</f>
        <v>iong</v>
      </c>
      <c r="I25" t="str">
        <f>"iong"</f>
        <v>iong</v>
      </c>
      <c r="J25" t="str">
        <f>"iong"</f>
        <v>iong</v>
      </c>
      <c r="K25" t="str">
        <f>"iong"</f>
        <v>iong</v>
      </c>
      <c r="L25" t="str">
        <f>"中"</f>
        <v>中</v>
      </c>
    </row>
    <row r="26" spans="1:12">
      <c r="A26" t="str">
        <f>"28"</f>
        <v>28</v>
      </c>
      <c r="B26" t="str">
        <f>"ㄧㆦㆻ"</f>
        <v>ㄧㆦㆻ</v>
      </c>
      <c r="C26" t="str">
        <f>"恭"</f>
        <v>恭</v>
      </c>
      <c r="D26" t="str">
        <f>"促聲"</f>
        <v>促聲</v>
      </c>
      <c r="E26" t="str">
        <f>"14"</f>
        <v>14</v>
      </c>
      <c r="F26" t="str">
        <f>"ɪɔk̚"</f>
        <v>ɪɔk̚</v>
      </c>
      <c r="G26" t="str">
        <f>"iok"</f>
        <v>iok</v>
      </c>
      <c r="H26" t="str">
        <f>"iok"</f>
        <v>iok</v>
      </c>
      <c r="I26" t="str">
        <f>"iook"</f>
        <v>iook</v>
      </c>
      <c r="J26" t="str">
        <f>"iok"</f>
        <v>iok</v>
      </c>
      <c r="K26" t="str">
        <f>"iok"</f>
        <v>iok</v>
      </c>
      <c r="L26" t="str">
        <f>"俗"</f>
        <v>俗</v>
      </c>
    </row>
    <row r="27" spans="1:12">
      <c r="A27" t="str">
        <f>"29"</f>
        <v>29</v>
      </c>
      <c r="B27" t="str">
        <f>"ㄜ"</f>
        <v>ㄜ</v>
      </c>
      <c r="C27" t="str">
        <f>"高"</f>
        <v>高</v>
      </c>
      <c r="D27" t="str">
        <f>"舒聲"</f>
        <v>舒聲</v>
      </c>
      <c r="E27" t="str">
        <f>"15"</f>
        <v>15</v>
      </c>
      <c r="F27" t="str">
        <f>"o"</f>
        <v>o</v>
      </c>
      <c r="G27" t="str">
        <f>"o"</f>
        <v>o</v>
      </c>
      <c r="H27" t="str">
        <f>"o"</f>
        <v>o</v>
      </c>
      <c r="I27" t="str">
        <f>"or"</f>
        <v>or</v>
      </c>
      <c r="J27" t="str">
        <f>"o"</f>
        <v>o</v>
      </c>
      <c r="K27" t="str">
        <f>"o"</f>
        <v>o</v>
      </c>
      <c r="L27" t="str">
        <f>"果"</f>
        <v>果</v>
      </c>
    </row>
    <row r="28" spans="1:12">
      <c r="A28" t="str">
        <f>"30"</f>
        <v>30</v>
      </c>
      <c r="B28" t="str">
        <f>"ㄜㆷ"</f>
        <v>ㄜㆷ</v>
      </c>
      <c r="C28" t="str">
        <f>"高"</f>
        <v>高</v>
      </c>
      <c r="D28" t="str">
        <f>"促聲"</f>
        <v>促聲</v>
      </c>
      <c r="E28" t="str">
        <f>"15"</f>
        <v>15</v>
      </c>
      <c r="F28" t="str">
        <f>"oʔ"</f>
        <v>oʔ</v>
      </c>
      <c r="G28" t="str">
        <f>"oh"</f>
        <v>oh</v>
      </c>
      <c r="H28" t="str">
        <f>"oh"</f>
        <v>oh</v>
      </c>
      <c r="I28" t="str">
        <f>"orh"</f>
        <v>orh</v>
      </c>
      <c r="J28" t="str">
        <f>"oh"</f>
        <v>oh</v>
      </c>
      <c r="K28" t="str">
        <f>"oh"</f>
        <v>oh</v>
      </c>
      <c r="L28" t="str">
        <f>"卜"</f>
        <v>卜</v>
      </c>
    </row>
    <row r="29" spans="1:12">
      <c r="A29" t="str">
        <f>"31"</f>
        <v>31</v>
      </c>
      <c r="B29" t="str">
        <f>"ㄞ"</f>
        <v>ㄞ</v>
      </c>
      <c r="C29" t="str">
        <f>"皆"</f>
        <v>皆</v>
      </c>
      <c r="D29" t="str">
        <f>"舒聲"</f>
        <v>舒聲</v>
      </c>
      <c r="E29" t="str">
        <f>"16"</f>
        <v>16</v>
      </c>
      <c r="F29" t="str">
        <f>"aɪ"</f>
        <v>aɪ</v>
      </c>
      <c r="G29" t="str">
        <f>"ai"</f>
        <v>ai</v>
      </c>
      <c r="H29" t="str">
        <f>"ai"</f>
        <v>ai</v>
      </c>
      <c r="I29" t="str">
        <f>"ai"</f>
        <v>ai</v>
      </c>
      <c r="J29" t="str">
        <f>"ai"</f>
        <v>ai</v>
      </c>
      <c r="K29" t="str">
        <f>"ai"</f>
        <v>ai</v>
      </c>
      <c r="L29" t="str">
        <f>"埃"</f>
        <v>埃</v>
      </c>
    </row>
    <row r="30" spans="1:12">
      <c r="A30" t="str">
        <f>"33"</f>
        <v>33</v>
      </c>
      <c r="B30" t="str">
        <f>"ㄧㄣ"</f>
        <v>ㄧㄣ</v>
      </c>
      <c r="C30" t="str">
        <f>"巾"</f>
        <v>巾</v>
      </c>
      <c r="D30" t="str">
        <f>"舒聲"</f>
        <v>舒聲</v>
      </c>
      <c r="E30" t="str">
        <f>"17"</f>
        <v>17</v>
      </c>
      <c r="F30" t="str">
        <f t="shared" ref="F30:K30" si="5">"in"</f>
        <v>in</v>
      </c>
      <c r="G30" t="str">
        <f t="shared" si="5"/>
        <v>in</v>
      </c>
      <c r="H30" t="str">
        <f t="shared" si="5"/>
        <v>in</v>
      </c>
      <c r="I30" t="str">
        <f t="shared" si="5"/>
        <v>in</v>
      </c>
      <c r="J30" t="str">
        <f t="shared" si="5"/>
        <v>in</v>
      </c>
      <c r="K30" t="str">
        <f t="shared" si="5"/>
        <v>in</v>
      </c>
      <c r="L30" t="str">
        <f>"恩"</f>
        <v>恩</v>
      </c>
    </row>
    <row r="31" spans="1:12">
      <c r="A31" t="str">
        <f>"34"</f>
        <v>34</v>
      </c>
      <c r="B31" t="str">
        <f>"ㄧㆵ"</f>
        <v>ㄧㆵ</v>
      </c>
      <c r="C31" t="str">
        <f>"巾"</f>
        <v>巾</v>
      </c>
      <c r="D31" t="str">
        <f>"促聲"</f>
        <v>促聲</v>
      </c>
      <c r="E31" t="str">
        <f>"17"</f>
        <v>17</v>
      </c>
      <c r="F31" t="str">
        <f>"it̚"</f>
        <v>it̚</v>
      </c>
      <c r="G31" t="str">
        <f>"it"</f>
        <v>it</v>
      </c>
      <c r="H31" t="str">
        <f>"it"</f>
        <v>it</v>
      </c>
      <c r="I31" t="str">
        <f>"it"</f>
        <v>it</v>
      </c>
      <c r="J31" t="str">
        <f>"it"</f>
        <v>it</v>
      </c>
      <c r="K31" t="str">
        <f>"it"</f>
        <v>it</v>
      </c>
      <c r="L31" t="str">
        <f>"一"</f>
        <v>一</v>
      </c>
    </row>
    <row r="32" spans="1:12">
      <c r="A32" t="str">
        <f>"35"</f>
        <v>35</v>
      </c>
      <c r="B32" t="str">
        <f>"ㄧㄤ"</f>
        <v>ㄧㄤ</v>
      </c>
      <c r="C32" t="str">
        <f>"姜"</f>
        <v>姜</v>
      </c>
      <c r="D32" t="str">
        <f>"舒聲"</f>
        <v>舒聲</v>
      </c>
      <c r="E32" t="str">
        <f>"18"</f>
        <v>18</v>
      </c>
      <c r="F32" t="str">
        <f>"ɪaŋ"</f>
        <v>ɪaŋ</v>
      </c>
      <c r="G32" t="str">
        <f>"iang"</f>
        <v>iang</v>
      </c>
      <c r="H32" t="str">
        <f>"iang"</f>
        <v>iang</v>
      </c>
      <c r="I32" t="str">
        <f>"iang"</f>
        <v>iang</v>
      </c>
      <c r="J32" t="str">
        <f>"iang"</f>
        <v>iang</v>
      </c>
      <c r="K32" t="str">
        <f>"iang"</f>
        <v>iang</v>
      </c>
      <c r="L32" t="str">
        <f>"將"</f>
        <v>將</v>
      </c>
    </row>
    <row r="33" spans="1:12">
      <c r="A33" t="str">
        <f>"36"</f>
        <v>36</v>
      </c>
      <c r="B33" t="str">
        <f>"ㄧㄚㆻ"</f>
        <v>ㄧㄚㆻ</v>
      </c>
      <c r="C33" t="str">
        <f>"姜"</f>
        <v>姜</v>
      </c>
      <c r="D33" t="str">
        <f>"促聲"</f>
        <v>促聲</v>
      </c>
      <c r="E33" t="str">
        <f>"18"</f>
        <v>18</v>
      </c>
      <c r="F33" t="str">
        <f>"ɪak̚"</f>
        <v>ɪak̚</v>
      </c>
      <c r="G33" t="str">
        <f>"iak"</f>
        <v>iak</v>
      </c>
      <c r="H33" t="str">
        <f>"iak"</f>
        <v>iak</v>
      </c>
      <c r="I33" t="str">
        <f>"iak"</f>
        <v>iak</v>
      </c>
      <c r="J33" t="str">
        <f>"iak"</f>
        <v>iak</v>
      </c>
      <c r="K33" t="str">
        <f>"iak"</f>
        <v>iak</v>
      </c>
      <c r="L33" t="str">
        <f>"爆"</f>
        <v>爆</v>
      </c>
    </row>
    <row r="34" spans="1:12">
      <c r="A34" t="str">
        <f>"37"</f>
        <v>37</v>
      </c>
      <c r="B34" t="str">
        <f>"ㆰ"</f>
        <v>ㆰ</v>
      </c>
      <c r="C34" t="str">
        <f>"甘"</f>
        <v>甘</v>
      </c>
      <c r="D34" t="str">
        <f>"舒聲"</f>
        <v>舒聲</v>
      </c>
      <c r="E34" t="str">
        <f>"19"</f>
        <v>19</v>
      </c>
      <c r="F34" t="str">
        <f t="shared" ref="F34:K34" si="6">"am"</f>
        <v>am</v>
      </c>
      <c r="G34" t="str">
        <f t="shared" si="6"/>
        <v>am</v>
      </c>
      <c r="H34" t="str">
        <f t="shared" si="6"/>
        <v>am</v>
      </c>
      <c r="I34" t="str">
        <f t="shared" si="6"/>
        <v>am</v>
      </c>
      <c r="J34" t="str">
        <f t="shared" si="6"/>
        <v>am</v>
      </c>
      <c r="K34" t="str">
        <f t="shared" si="6"/>
        <v>am</v>
      </c>
      <c r="L34" t="str">
        <f>"堪"</f>
        <v>堪</v>
      </c>
    </row>
    <row r="35" spans="1:12">
      <c r="A35" t="str">
        <f>"38"</f>
        <v>38</v>
      </c>
      <c r="B35" t="str">
        <f>"ㄚㆴ"</f>
        <v>ㄚㆴ</v>
      </c>
      <c r="C35" t="str">
        <f>"甘"</f>
        <v>甘</v>
      </c>
      <c r="D35" t="str">
        <f>"促聲"</f>
        <v>促聲</v>
      </c>
      <c r="E35" t="str">
        <f>"19"</f>
        <v>19</v>
      </c>
      <c r="F35" t="str">
        <f>"ap̚"</f>
        <v>ap̚</v>
      </c>
      <c r="G35" t="str">
        <f>"ap"</f>
        <v>ap</v>
      </c>
      <c r="H35" t="str">
        <f>"ap"</f>
        <v>ap</v>
      </c>
      <c r="I35" t="str">
        <f>"ap"</f>
        <v>ap</v>
      </c>
      <c r="J35" t="str">
        <f>"ap"</f>
        <v>ap</v>
      </c>
      <c r="K35" t="str">
        <f>"ap"</f>
        <v>ap</v>
      </c>
      <c r="L35" t="str">
        <f>"答"</f>
        <v>答</v>
      </c>
    </row>
    <row r="36" spans="1:12">
      <c r="A36" t="str">
        <f>"39"</f>
        <v>39</v>
      </c>
      <c r="B36" t="str">
        <f>"ㄨㄚ"</f>
        <v>ㄨㄚ</v>
      </c>
      <c r="C36" t="str">
        <f>"瓜"</f>
        <v>瓜</v>
      </c>
      <c r="D36" t="str">
        <f>"舒聲"</f>
        <v>舒聲</v>
      </c>
      <c r="E36" t="str">
        <f>"20"</f>
        <v>20</v>
      </c>
      <c r="F36" t="str">
        <f>"ua"</f>
        <v>ua</v>
      </c>
      <c r="G36" t="str">
        <f>"ua"</f>
        <v>ua</v>
      </c>
      <c r="H36" t="str">
        <f>"ua"</f>
        <v>ua</v>
      </c>
      <c r="I36" t="str">
        <f>"ua"</f>
        <v>ua</v>
      </c>
      <c r="J36" t="str">
        <f>"ua"</f>
        <v>ua</v>
      </c>
      <c r="K36" t="str">
        <f>"oa"</f>
        <v>oa</v>
      </c>
      <c r="L36" t="str">
        <f>"花"</f>
        <v>花</v>
      </c>
    </row>
    <row r="37" spans="1:12">
      <c r="A37" t="str">
        <f>"40"</f>
        <v>40</v>
      </c>
      <c r="B37" t="str">
        <f>"ㄨㄚㆷ"</f>
        <v>ㄨㄚㆷ</v>
      </c>
      <c r="C37" t="str">
        <f>"瓜"</f>
        <v>瓜</v>
      </c>
      <c r="D37" t="str">
        <f>"促聲"</f>
        <v>促聲</v>
      </c>
      <c r="E37" t="str">
        <f>"20"</f>
        <v>20</v>
      </c>
      <c r="F37" t="str">
        <f>"uaʔ"</f>
        <v>uaʔ</v>
      </c>
      <c r="G37" t="str">
        <f>"uah"</f>
        <v>uah</v>
      </c>
      <c r="H37" t="str">
        <f>"uah"</f>
        <v>uah</v>
      </c>
      <c r="I37" t="str">
        <f>"uah"</f>
        <v>uah</v>
      </c>
      <c r="J37" t="str">
        <f>"uah"</f>
        <v>uah</v>
      </c>
      <c r="K37" t="str">
        <f>"oah"</f>
        <v>oah</v>
      </c>
      <c r="L37" t="str">
        <f>"缽"</f>
        <v>缽</v>
      </c>
    </row>
    <row r="38" spans="1:12">
      <c r="A38" t="str">
        <f>"41"</f>
        <v>41</v>
      </c>
      <c r="B38" t="str">
        <f>"ㄤ"</f>
        <v>ㄤ</v>
      </c>
      <c r="C38" t="str">
        <f>"江"</f>
        <v>江</v>
      </c>
      <c r="D38" t="str">
        <f>"舒聲"</f>
        <v>舒聲</v>
      </c>
      <c r="E38" t="str">
        <f>"21"</f>
        <v>21</v>
      </c>
      <c r="F38" t="str">
        <f>"aŋ"</f>
        <v>aŋ</v>
      </c>
      <c r="G38" t="str">
        <f>"ang"</f>
        <v>ang</v>
      </c>
      <c r="H38" t="str">
        <f>"ang"</f>
        <v>ang</v>
      </c>
      <c r="I38" t="str">
        <f>"ang"</f>
        <v>ang</v>
      </c>
      <c r="J38" t="str">
        <f>"ang"</f>
        <v>ang</v>
      </c>
      <c r="K38" t="str">
        <f>"ang"</f>
        <v>ang</v>
      </c>
      <c r="L38" t="str">
        <f>"邦"</f>
        <v>邦</v>
      </c>
    </row>
    <row r="39" spans="1:12">
      <c r="A39" t="str">
        <f>"42"</f>
        <v>42</v>
      </c>
      <c r="B39" t="str">
        <f>"ㄚㆻ"</f>
        <v>ㄚㆻ</v>
      </c>
      <c r="C39" t="str">
        <f>"江"</f>
        <v>江</v>
      </c>
      <c r="D39" t="str">
        <f>"促聲"</f>
        <v>促聲</v>
      </c>
      <c r="E39" t="str">
        <f>"21"</f>
        <v>21</v>
      </c>
      <c r="F39" t="str">
        <f>"ak̚"</f>
        <v>ak̚</v>
      </c>
      <c r="G39" t="str">
        <f>"ak"</f>
        <v>ak</v>
      </c>
      <c r="H39" t="str">
        <f>"ak"</f>
        <v>ak</v>
      </c>
      <c r="I39" t="str">
        <f>"ak"</f>
        <v>ak</v>
      </c>
      <c r="J39" t="str">
        <f>"ak"</f>
        <v>ak</v>
      </c>
      <c r="K39" t="str">
        <f>"ak"</f>
        <v>ak</v>
      </c>
      <c r="L39" t="str">
        <f>"角"</f>
        <v>角</v>
      </c>
    </row>
    <row r="40" spans="1:12">
      <c r="A40" t="str">
        <f>"43"</f>
        <v>43</v>
      </c>
      <c r="B40" t="str">
        <f>"ㄧㆰ"</f>
        <v>ㄧㆰ</v>
      </c>
      <c r="C40" t="str">
        <f>"兼"</f>
        <v>兼</v>
      </c>
      <c r="D40" t="str">
        <f>"舒聲"</f>
        <v>舒聲</v>
      </c>
      <c r="E40" t="str">
        <f>"22"</f>
        <v>22</v>
      </c>
      <c r="F40" t="str">
        <f t="shared" ref="F40:K40" si="7">"iam"</f>
        <v>iam</v>
      </c>
      <c r="G40" t="str">
        <f t="shared" si="7"/>
        <v>iam</v>
      </c>
      <c r="H40" t="str">
        <f t="shared" si="7"/>
        <v>iam</v>
      </c>
      <c r="I40" t="str">
        <f t="shared" si="7"/>
        <v>iam</v>
      </c>
      <c r="J40" t="str">
        <f t="shared" si="7"/>
        <v>iam</v>
      </c>
      <c r="K40" t="str">
        <f t="shared" si="7"/>
        <v>iam</v>
      </c>
      <c r="L40" t="str">
        <f>"尖"</f>
        <v>尖</v>
      </c>
    </row>
    <row r="41" spans="1:12">
      <c r="A41" t="str">
        <f>"44"</f>
        <v>44</v>
      </c>
      <c r="B41" t="str">
        <f>"ㄧㄚㆴ"</f>
        <v>ㄧㄚㆴ</v>
      </c>
      <c r="C41" t="str">
        <f>"兼"</f>
        <v>兼</v>
      </c>
      <c r="D41" t="str">
        <f>"促聲"</f>
        <v>促聲</v>
      </c>
      <c r="E41" t="str">
        <f>"22"</f>
        <v>22</v>
      </c>
      <c r="F41" t="str">
        <f>"iap̚"</f>
        <v>iap̚</v>
      </c>
      <c r="G41" t="str">
        <f>"iap"</f>
        <v>iap</v>
      </c>
      <c r="H41" t="str">
        <f>"iap"</f>
        <v>iap</v>
      </c>
      <c r="I41" t="str">
        <f>"iap"</f>
        <v>iap</v>
      </c>
      <c r="J41" t="str">
        <f>"iap"</f>
        <v>iap</v>
      </c>
      <c r="K41" t="str">
        <f>"iap"</f>
        <v>iap</v>
      </c>
      <c r="L41" t="str">
        <f>"接"</f>
        <v>接</v>
      </c>
    </row>
    <row r="42" spans="1:12">
      <c r="A42" t="str">
        <f>"45"</f>
        <v>45</v>
      </c>
      <c r="B42" t="str">
        <f>"ㄠ"</f>
        <v>ㄠ</v>
      </c>
      <c r="C42" t="str">
        <f>"交"</f>
        <v>交</v>
      </c>
      <c r="D42" t="str">
        <f>"舒聲"</f>
        <v>舒聲</v>
      </c>
      <c r="E42" t="str">
        <f>"23"</f>
        <v>23</v>
      </c>
      <c r="F42" t="str">
        <f>"aʊ"</f>
        <v>aʊ</v>
      </c>
      <c r="G42" t="str">
        <f>"au"</f>
        <v>au</v>
      </c>
      <c r="H42" t="str">
        <f>"au"</f>
        <v>au</v>
      </c>
      <c r="I42" t="str">
        <f>"au"</f>
        <v>au</v>
      </c>
      <c r="J42" t="str">
        <f>"ao"</f>
        <v>ao</v>
      </c>
      <c r="K42" t="str">
        <f>"au"</f>
        <v>au</v>
      </c>
      <c r="L42" t="str">
        <f>"鬧"</f>
        <v>鬧</v>
      </c>
    </row>
    <row r="43" spans="1:12">
      <c r="A43" t="str">
        <f>"46"</f>
        <v>46</v>
      </c>
      <c r="B43" t="str">
        <f>"ㄠㆷ"</f>
        <v>ㄠㆷ</v>
      </c>
      <c r="C43" t="str">
        <f>"交"</f>
        <v>交</v>
      </c>
      <c r="D43" t="str">
        <f>"促聲"</f>
        <v>促聲</v>
      </c>
      <c r="E43" t="str">
        <f>"23"</f>
        <v>23</v>
      </c>
      <c r="F43" t="str">
        <f>"aʊʔ"</f>
        <v>aʊʔ</v>
      </c>
      <c r="G43" t="str">
        <f>"auh"</f>
        <v>auh</v>
      </c>
      <c r="H43" t="str">
        <f>"auh"</f>
        <v>auh</v>
      </c>
      <c r="I43" t="str">
        <f>"auh"</f>
        <v>auh</v>
      </c>
      <c r="J43" t="str">
        <f>"aoh"</f>
        <v>aoh</v>
      </c>
      <c r="K43" t="str">
        <f>"auh"</f>
        <v>auh</v>
      </c>
      <c r="L43" t="str">
        <f>"暴"</f>
        <v>暴</v>
      </c>
    </row>
    <row r="44" spans="1:12">
      <c r="A44" t="str">
        <f>"47"</f>
        <v>47</v>
      </c>
      <c r="B44" t="str">
        <f>"ㄧㄚ"</f>
        <v>ㄧㄚ</v>
      </c>
      <c r="C44" t="str">
        <f>"迦"</f>
        <v>迦</v>
      </c>
      <c r="D44" t="str">
        <f>"舒聲"</f>
        <v>舒聲</v>
      </c>
      <c r="E44" t="str">
        <f>"24"</f>
        <v>24</v>
      </c>
      <c r="F44" t="str">
        <f>"ɪa"</f>
        <v>ɪa</v>
      </c>
      <c r="G44" t="str">
        <f>"ia"</f>
        <v>ia</v>
      </c>
      <c r="H44" t="str">
        <f>"ia"</f>
        <v>ia</v>
      </c>
      <c r="I44" t="str">
        <f>"ia"</f>
        <v>ia</v>
      </c>
      <c r="J44" t="str">
        <f>"ia"</f>
        <v>ia</v>
      </c>
      <c r="K44" t="str">
        <f>"ia"</f>
        <v>ia</v>
      </c>
      <c r="L44" t="str">
        <f>"名"</f>
        <v>名</v>
      </c>
    </row>
    <row r="45" spans="1:12">
      <c r="A45" t="str">
        <f>"48"</f>
        <v>48</v>
      </c>
      <c r="B45" t="str">
        <f>"ㄧㄚㆷ"</f>
        <v>ㄧㄚㆷ</v>
      </c>
      <c r="C45" t="str">
        <f>"迦"</f>
        <v>迦</v>
      </c>
      <c r="D45" t="str">
        <f>"促聲"</f>
        <v>促聲</v>
      </c>
      <c r="E45" t="str">
        <f>"24"</f>
        <v>24</v>
      </c>
      <c r="F45" t="str">
        <f>"ɪaʔ"</f>
        <v>ɪaʔ</v>
      </c>
      <c r="G45" t="str">
        <f>"iah"</f>
        <v>iah</v>
      </c>
      <c r="H45" t="str">
        <f>"iah"</f>
        <v>iah</v>
      </c>
      <c r="I45" t="str">
        <f>"iah"</f>
        <v>iah</v>
      </c>
      <c r="J45" t="str">
        <f>"iah"</f>
        <v>iah</v>
      </c>
      <c r="K45" t="str">
        <f>"iah"</f>
        <v>iah</v>
      </c>
      <c r="L45" t="str">
        <f>"壁"</f>
        <v>壁</v>
      </c>
    </row>
    <row r="46" spans="1:12">
      <c r="A46" t="str">
        <f>"49"</f>
        <v>49</v>
      </c>
      <c r="B46" t="str">
        <f>"ㄨㆤ"</f>
        <v>ㄨㆤ</v>
      </c>
      <c r="C46" t="str">
        <f>"檜"</f>
        <v>檜</v>
      </c>
      <c r="D46" t="str">
        <f>"舒聲"</f>
        <v>舒聲</v>
      </c>
      <c r="E46" t="str">
        <f>"25"</f>
        <v>25</v>
      </c>
      <c r="F46" t="str">
        <f>"ue"</f>
        <v>ue</v>
      </c>
      <c r="G46" t="str">
        <f>"ue"</f>
        <v>ue</v>
      </c>
      <c r="H46" t="str">
        <f>"ue"</f>
        <v>ue</v>
      </c>
      <c r="I46" t="str">
        <f>"ue"</f>
        <v>ue</v>
      </c>
      <c r="J46" t="str">
        <f>"ue"</f>
        <v>ue</v>
      </c>
      <c r="K46" t="str">
        <f>"oe"</f>
        <v>oe</v>
      </c>
      <c r="L46" t="str">
        <f>"話"</f>
        <v>話</v>
      </c>
    </row>
    <row r="47" spans="1:12">
      <c r="A47" t="str">
        <f>"50"</f>
        <v>50</v>
      </c>
      <c r="B47" t="str">
        <f>"ㄨㆤㆷ"</f>
        <v>ㄨㆤㆷ</v>
      </c>
      <c r="C47" t="str">
        <f>"檜"</f>
        <v>檜</v>
      </c>
      <c r="D47" t="str">
        <f>"促聲"</f>
        <v>促聲</v>
      </c>
      <c r="E47" t="str">
        <f>"25"</f>
        <v>25</v>
      </c>
      <c r="F47" t="str">
        <f>"ueʔ"</f>
        <v>ueʔ</v>
      </c>
      <c r="G47" t="str">
        <f>"ueh"</f>
        <v>ueh</v>
      </c>
      <c r="H47" t="str">
        <f>"ueh"</f>
        <v>ueh</v>
      </c>
      <c r="I47" t="str">
        <f>"ueh"</f>
        <v>ueh</v>
      </c>
      <c r="J47" t="str">
        <f>"ueh"</f>
        <v>ueh</v>
      </c>
      <c r="K47" t="str">
        <f>"oeh"</f>
        <v>oeh</v>
      </c>
      <c r="L47" t="str">
        <f>"拔"</f>
        <v>拔</v>
      </c>
    </row>
    <row r="48" spans="1:12">
      <c r="A48" t="str">
        <f>"51"</f>
        <v>51</v>
      </c>
      <c r="B48" t="str">
        <f>"ㆩ"</f>
        <v>ㆩ</v>
      </c>
      <c r="C48" t="str">
        <f>"監"</f>
        <v>監</v>
      </c>
      <c r="D48" t="str">
        <f>"舒聲"</f>
        <v>舒聲</v>
      </c>
      <c r="E48" t="str">
        <f>"26"</f>
        <v>26</v>
      </c>
      <c r="F48" t="str">
        <f>"ã"</f>
        <v>ã</v>
      </c>
      <c r="G48" t="str">
        <f>"ann"</f>
        <v>ann</v>
      </c>
      <c r="H48" t="str">
        <f>"ann"</f>
        <v>ann</v>
      </c>
      <c r="I48" t="str">
        <f>"ann"</f>
        <v>ann</v>
      </c>
      <c r="J48" t="str">
        <f>"na"</f>
        <v>na</v>
      </c>
      <c r="K48" t="str">
        <f>"aⁿ"</f>
        <v>aⁿ</v>
      </c>
      <c r="L48" t="str">
        <f>"聽"</f>
        <v>聽</v>
      </c>
    </row>
    <row r="49" spans="1:12">
      <c r="A49" t="str">
        <f>"52"</f>
        <v>52</v>
      </c>
      <c r="B49" t="str">
        <f>"ㆩㆷ"</f>
        <v>ㆩㆷ</v>
      </c>
      <c r="C49" t="str">
        <f>"監"</f>
        <v>監</v>
      </c>
      <c r="D49" t="str">
        <f>"促聲"</f>
        <v>促聲</v>
      </c>
      <c r="E49" t="str">
        <f>"26"</f>
        <v>26</v>
      </c>
      <c r="F49" t="str">
        <f>"ãʔ"</f>
        <v>ãʔ</v>
      </c>
      <c r="G49" t="str">
        <f>"ahnn"</f>
        <v>ahnn</v>
      </c>
      <c r="H49" t="str">
        <f>"annh"</f>
        <v>annh</v>
      </c>
      <c r="I49" t="str">
        <f>"annh"</f>
        <v>annh</v>
      </c>
      <c r="J49" t="str">
        <f>"nah"</f>
        <v>nah</v>
      </c>
      <c r="K49" t="str">
        <f>"ahⁿ"</f>
        <v>ahⁿ</v>
      </c>
      <c r="L49" t="str">
        <f>"含"</f>
        <v>含</v>
      </c>
    </row>
    <row r="50" spans="1:12">
      <c r="A50" t="str">
        <f>"53"</f>
        <v>53</v>
      </c>
      <c r="B50" t="str">
        <f>"ㄨ"</f>
        <v>ㄨ</v>
      </c>
      <c r="C50" t="str">
        <f>"艍"</f>
        <v>艍</v>
      </c>
      <c r="D50" t="str">
        <f>"舒聲"</f>
        <v>舒聲</v>
      </c>
      <c r="E50" t="str">
        <f>"27"</f>
        <v>27</v>
      </c>
      <c r="F50" t="str">
        <f t="shared" ref="F50:K50" si="8">"u"</f>
        <v>u</v>
      </c>
      <c r="G50" t="str">
        <f t="shared" si="8"/>
        <v>u</v>
      </c>
      <c r="H50" t="str">
        <f t="shared" si="8"/>
        <v>u</v>
      </c>
      <c r="I50" t="str">
        <f t="shared" si="8"/>
        <v>u</v>
      </c>
      <c r="J50" t="str">
        <f t="shared" si="8"/>
        <v>u</v>
      </c>
      <c r="K50" t="str">
        <f t="shared" si="8"/>
        <v>u</v>
      </c>
      <c r="L50" t="str">
        <f>"夫"</f>
        <v>夫</v>
      </c>
    </row>
    <row r="51" spans="1:12">
      <c r="A51" t="str">
        <f>"54"</f>
        <v>54</v>
      </c>
      <c r="B51" t="str">
        <f>"ㄨㆷ"</f>
        <v>ㄨㆷ</v>
      </c>
      <c r="C51" t="str">
        <f>"艍"</f>
        <v>艍</v>
      </c>
      <c r="D51" t="str">
        <f>"促聲"</f>
        <v>促聲</v>
      </c>
      <c r="E51" t="str">
        <f>"27"</f>
        <v>27</v>
      </c>
      <c r="F51" t="str">
        <f>"uʔ"</f>
        <v>uʔ</v>
      </c>
      <c r="G51" t="str">
        <f>"uh"</f>
        <v>uh</v>
      </c>
      <c r="H51" t="str">
        <f>"uh"</f>
        <v>uh</v>
      </c>
      <c r="I51" t="str">
        <f>"uh"</f>
        <v>uh</v>
      </c>
      <c r="J51" t="str">
        <f>"uh"</f>
        <v>uh</v>
      </c>
      <c r="K51" t="str">
        <f>"uh"</f>
        <v>uh</v>
      </c>
      <c r="L51" t="str">
        <f>"勃"</f>
        <v>勃</v>
      </c>
    </row>
    <row r="52" spans="1:12">
      <c r="A52" t="str">
        <f>"55"</f>
        <v>55</v>
      </c>
      <c r="B52" t="str">
        <f>"ㄚ"</f>
        <v>ㄚ</v>
      </c>
      <c r="C52" t="str">
        <f>"膠"</f>
        <v>膠</v>
      </c>
      <c r="D52" t="str">
        <f>"舒聲"</f>
        <v>舒聲</v>
      </c>
      <c r="E52" t="str">
        <f>"28"</f>
        <v>28</v>
      </c>
      <c r="F52" t="str">
        <f t="shared" ref="F52:K52" si="9">"a"</f>
        <v>a</v>
      </c>
      <c r="G52" t="str">
        <f t="shared" si="9"/>
        <v>a</v>
      </c>
      <c r="H52" t="str">
        <f t="shared" si="9"/>
        <v>a</v>
      </c>
      <c r="I52" t="str">
        <f t="shared" si="9"/>
        <v>a</v>
      </c>
      <c r="J52" t="str">
        <f t="shared" si="9"/>
        <v>a</v>
      </c>
      <c r="K52" t="str">
        <f t="shared" si="9"/>
        <v>a</v>
      </c>
      <c r="L52" t="str">
        <f>"些"</f>
        <v>些</v>
      </c>
    </row>
    <row r="53" spans="1:12">
      <c r="A53" t="str">
        <f>"56"</f>
        <v>56</v>
      </c>
      <c r="B53" t="str">
        <f>"ㄚㆷ"</f>
        <v>ㄚㆷ</v>
      </c>
      <c r="C53" t="str">
        <f>"膠"</f>
        <v>膠</v>
      </c>
      <c r="D53" t="str">
        <f>"促聲"</f>
        <v>促聲</v>
      </c>
      <c r="E53" t="str">
        <f>"28"</f>
        <v>28</v>
      </c>
      <c r="F53" t="str">
        <f>"aʔ"</f>
        <v>aʔ</v>
      </c>
      <c r="G53" t="str">
        <f>"ah"</f>
        <v>ah</v>
      </c>
      <c r="H53" t="str">
        <f>"ah"</f>
        <v>ah</v>
      </c>
      <c r="I53" t="str">
        <f>"ah"</f>
        <v>ah</v>
      </c>
      <c r="J53" t="str">
        <f>"ah"</f>
        <v>ah</v>
      </c>
      <c r="K53" t="str">
        <f>"ah"</f>
        <v>ah</v>
      </c>
      <c r="L53" t="str">
        <f>"百"</f>
        <v>百</v>
      </c>
    </row>
    <row r="54" spans="1:12">
      <c r="A54" t="str">
        <f>"57"</f>
        <v>57</v>
      </c>
      <c r="B54" t="str">
        <f>"ㄧ"</f>
        <v>ㄧ</v>
      </c>
      <c r="C54" t="str">
        <f>"居"</f>
        <v>居</v>
      </c>
      <c r="D54" t="str">
        <f>"舒聲"</f>
        <v>舒聲</v>
      </c>
      <c r="E54" t="str">
        <f>"29"</f>
        <v>29</v>
      </c>
      <c r="F54" t="str">
        <f t="shared" ref="F54:K54" si="10">"i"</f>
        <v>i</v>
      </c>
      <c r="G54" t="str">
        <f t="shared" si="10"/>
        <v>i</v>
      </c>
      <c r="H54" t="str">
        <f t="shared" si="10"/>
        <v>i</v>
      </c>
      <c r="I54" t="str">
        <f t="shared" si="10"/>
        <v>i</v>
      </c>
      <c r="J54" t="str">
        <f t="shared" si="10"/>
        <v>i</v>
      </c>
      <c r="K54" t="str">
        <f t="shared" si="10"/>
        <v>i</v>
      </c>
      <c r="L54" t="str">
        <f>"爾"</f>
        <v>爾</v>
      </c>
    </row>
    <row r="55" spans="1:12">
      <c r="A55" t="str">
        <f>"58"</f>
        <v>58</v>
      </c>
      <c r="B55" t="str">
        <f>"ㄧㆷ"</f>
        <v>ㄧㆷ</v>
      </c>
      <c r="C55" t="str">
        <f>"居"</f>
        <v>居</v>
      </c>
      <c r="D55" t="str">
        <f>"促聲"</f>
        <v>促聲</v>
      </c>
      <c r="E55" t="str">
        <f>"29"</f>
        <v>29</v>
      </c>
      <c r="F55" t="str">
        <f>"iʔ"</f>
        <v>iʔ</v>
      </c>
      <c r="G55" t="str">
        <f>"ih"</f>
        <v>ih</v>
      </c>
      <c r="H55" t="str">
        <f>"ih"</f>
        <v>ih</v>
      </c>
      <c r="I55" t="str">
        <f>"ih"</f>
        <v>ih</v>
      </c>
      <c r="J55" t="str">
        <f>"ih"</f>
        <v>ih</v>
      </c>
      <c r="K55" t="str">
        <f>"ih"</f>
        <v>ih</v>
      </c>
      <c r="L55" t="str">
        <f>"逼"</f>
        <v>逼</v>
      </c>
    </row>
    <row r="56" spans="1:12">
      <c r="A56" t="str">
        <f>"59"</f>
        <v>59</v>
      </c>
      <c r="B56" t="str">
        <f>"ㄧㄨ"</f>
        <v>ㄧㄨ</v>
      </c>
      <c r="C56" t="str">
        <f>"丩"</f>
        <v>丩</v>
      </c>
      <c r="D56" t="str">
        <f>"舒聲"</f>
        <v>舒聲</v>
      </c>
      <c r="E56" t="str">
        <f>"30"</f>
        <v>30</v>
      </c>
      <c r="F56" t="str">
        <f t="shared" ref="F56:K56" si="11">"iu"</f>
        <v>iu</v>
      </c>
      <c r="G56" t="str">
        <f t="shared" si="11"/>
        <v>iu</v>
      </c>
      <c r="H56" t="str">
        <f t="shared" si="11"/>
        <v>iu</v>
      </c>
      <c r="I56" t="str">
        <f t="shared" si="11"/>
        <v>iu</v>
      </c>
      <c r="J56" t="str">
        <f t="shared" si="11"/>
        <v>iu</v>
      </c>
      <c r="K56" t="str">
        <f t="shared" si="11"/>
        <v>iu</v>
      </c>
      <c r="L56" t="str">
        <f>"油"</f>
        <v>油</v>
      </c>
    </row>
    <row r="57" spans="1:12">
      <c r="A57" t="str">
        <f>"61"</f>
        <v>61</v>
      </c>
      <c r="B57" t="str">
        <f>"ㆥ"</f>
        <v>ㆥ</v>
      </c>
      <c r="C57" t="str">
        <f>"更"</f>
        <v>更</v>
      </c>
      <c r="D57" t="str">
        <f>"舒聲"</f>
        <v>舒聲</v>
      </c>
      <c r="E57" t="str">
        <f>"31"</f>
        <v>31</v>
      </c>
      <c r="F57" t="str">
        <f>"ẽ"</f>
        <v>ẽ</v>
      </c>
      <c r="G57" t="str">
        <f>"enn"</f>
        <v>enn</v>
      </c>
      <c r="H57" t="str">
        <f>"enn"</f>
        <v>enn</v>
      </c>
      <c r="I57" t="str">
        <f>"enn"</f>
        <v>enn</v>
      </c>
      <c r="J57" t="str">
        <f>"ne"</f>
        <v>ne</v>
      </c>
      <c r="K57" t="str">
        <f>"eⁿ"</f>
        <v>eⁿ</v>
      </c>
      <c r="L57" t="str">
        <f>"爭"</f>
        <v>爭</v>
      </c>
    </row>
    <row r="58" spans="1:12">
      <c r="A58" t="str">
        <f>"62"</f>
        <v>62</v>
      </c>
      <c r="B58" t="str">
        <f>"ㆥㆷ"</f>
        <v>ㆥㆷ</v>
      </c>
      <c r="C58" t="str">
        <f>"更"</f>
        <v>更</v>
      </c>
      <c r="D58" t="str">
        <f>"促聲"</f>
        <v>促聲</v>
      </c>
      <c r="E58" t="str">
        <f>"31"</f>
        <v>31</v>
      </c>
      <c r="F58" t="str">
        <f>""</f>
        <v/>
      </c>
      <c r="G58" t="str">
        <f>"ehnn"</f>
        <v>ehnn</v>
      </c>
      <c r="H58" t="str">
        <f>""</f>
        <v/>
      </c>
      <c r="I58" t="str">
        <f>"ennh"</f>
        <v>ennh</v>
      </c>
      <c r="J58" t="str">
        <f>""</f>
        <v/>
      </c>
      <c r="K58" t="str">
        <f>"ehⁿ"</f>
        <v>ehⁿ</v>
      </c>
      <c r="L58" t="str">
        <f>"挾"</f>
        <v>挾</v>
      </c>
    </row>
    <row r="59" spans="1:12">
      <c r="A59" t="str">
        <f>"63"</f>
        <v>63</v>
      </c>
      <c r="B59" t="str">
        <f>"ㄨㆪ"</f>
        <v>ㄨㆪ</v>
      </c>
      <c r="C59" t="str">
        <f>"褌"</f>
        <v>褌</v>
      </c>
      <c r="D59" t="str">
        <f>"舒聲"</f>
        <v>舒聲</v>
      </c>
      <c r="E59" t="str">
        <f>"32"</f>
        <v>32</v>
      </c>
      <c r="F59" t="str">
        <f>"ũĩ"</f>
        <v>ũĩ</v>
      </c>
      <c r="G59" t="str">
        <f>"uinn"</f>
        <v>uinn</v>
      </c>
      <c r="H59" t="str">
        <f>"uinn"</f>
        <v>uinn</v>
      </c>
      <c r="I59" t="str">
        <f>"uinn"</f>
        <v>uinn</v>
      </c>
      <c r="J59" t="str">
        <f>"nui"</f>
        <v>nui</v>
      </c>
      <c r="K59" t="str">
        <f>"uiⁿ"</f>
        <v>uiⁿ</v>
      </c>
      <c r="L59" t="str">
        <f>"荒"</f>
        <v>荒</v>
      </c>
    </row>
    <row r="60" spans="1:12">
      <c r="A60" t="str">
        <f>"65"</f>
        <v>65</v>
      </c>
      <c r="B60" t="str">
        <f>"ㄧㄜ"</f>
        <v>ㄧㄜ</v>
      </c>
      <c r="C60" t="str">
        <f>"茄"</f>
        <v>茄</v>
      </c>
      <c r="D60" t="str">
        <f>"舒聲"</f>
        <v>舒聲</v>
      </c>
      <c r="E60" t="str">
        <f>"33"</f>
        <v>33</v>
      </c>
      <c r="F60" t="str">
        <f>"ɪo"</f>
        <v>ɪo</v>
      </c>
      <c r="G60" t="str">
        <f>"io"</f>
        <v>io</v>
      </c>
      <c r="H60" t="str">
        <f>"io"</f>
        <v>io</v>
      </c>
      <c r="I60" t="str">
        <f>"ior"</f>
        <v>ior</v>
      </c>
      <c r="J60" t="str">
        <f>"io"</f>
        <v>io</v>
      </c>
      <c r="K60" t="str">
        <f>"io"</f>
        <v>io</v>
      </c>
      <c r="L60" t="str">
        <f>"少"</f>
        <v>少</v>
      </c>
    </row>
    <row r="61" spans="1:12">
      <c r="A61" t="str">
        <f>"66"</f>
        <v>66</v>
      </c>
      <c r="B61" t="str">
        <f>"ㄧㄜㆷ"</f>
        <v>ㄧㄜㆷ</v>
      </c>
      <c r="C61" t="str">
        <f>"茄"</f>
        <v>茄</v>
      </c>
      <c r="D61" t="str">
        <f>"促聲"</f>
        <v>促聲</v>
      </c>
      <c r="E61" t="str">
        <f>"33"</f>
        <v>33</v>
      </c>
      <c r="F61" t="str">
        <f>"ɪoʔ"</f>
        <v>ɪoʔ</v>
      </c>
      <c r="G61" t="str">
        <f>"ioh"</f>
        <v>ioh</v>
      </c>
      <c r="H61" t="str">
        <f>"ioh"</f>
        <v>ioh</v>
      </c>
      <c r="I61" t="str">
        <f>"iorh"</f>
        <v>iorh</v>
      </c>
      <c r="J61" t="str">
        <f>"ioh"</f>
        <v>ioh</v>
      </c>
      <c r="K61" t="str">
        <f>"ioh"</f>
        <v>ioh</v>
      </c>
      <c r="L61" t="str">
        <f>"著"</f>
        <v>著</v>
      </c>
    </row>
    <row r="62" spans="1:12">
      <c r="A62" t="str">
        <f>"67"</f>
        <v>67</v>
      </c>
      <c r="B62" t="str">
        <f>"ㆪ"</f>
        <v>ㆪ</v>
      </c>
      <c r="C62" t="str">
        <f>"梔"</f>
        <v>梔</v>
      </c>
      <c r="D62" t="str">
        <f>"舒聲"</f>
        <v>舒聲</v>
      </c>
      <c r="E62" t="str">
        <f>"34"</f>
        <v>34</v>
      </c>
      <c r="F62" t="str">
        <f>"ĩ"</f>
        <v>ĩ</v>
      </c>
      <c r="G62" t="str">
        <f>"inn"</f>
        <v>inn</v>
      </c>
      <c r="H62" t="str">
        <f>"inn"</f>
        <v>inn</v>
      </c>
      <c r="I62" t="str">
        <f>"inn"</f>
        <v>inn</v>
      </c>
      <c r="J62" t="str">
        <f>"ni"</f>
        <v>ni</v>
      </c>
      <c r="K62" t="str">
        <f>"iⁿ"</f>
        <v>iⁿ</v>
      </c>
      <c r="L62" t="str">
        <f>"庚"</f>
        <v>庚</v>
      </c>
    </row>
    <row r="63" spans="1:12">
      <c r="A63" t="str">
        <f>"68"</f>
        <v>68</v>
      </c>
      <c r="B63" t="str">
        <f>"ㆪㆷ"</f>
        <v>ㆪㆷ</v>
      </c>
      <c r="C63" t="str">
        <f>"梔"</f>
        <v>梔</v>
      </c>
      <c r="D63" t="str">
        <f>"促聲"</f>
        <v>促聲</v>
      </c>
      <c r="E63" t="str">
        <f>"34"</f>
        <v>34</v>
      </c>
      <c r="F63" t="str">
        <f>"ĩʔ"</f>
        <v>ĩʔ</v>
      </c>
      <c r="G63" t="str">
        <f>"ihnn"</f>
        <v>ihnn</v>
      </c>
      <c r="H63" t="str">
        <f>"innh"</f>
        <v>innh</v>
      </c>
      <c r="I63" t="str">
        <f>"innh"</f>
        <v>innh</v>
      </c>
      <c r="J63" t="str">
        <f>"nih"</f>
        <v>nih</v>
      </c>
      <c r="K63" t="str">
        <f>"ihⁿ"</f>
        <v>ihⁿ</v>
      </c>
      <c r="L63" t="str">
        <f>"欷"</f>
        <v>欷</v>
      </c>
    </row>
    <row r="64" spans="1:12">
      <c r="A64" t="str">
        <f>"69"</f>
        <v>69</v>
      </c>
      <c r="B64" t="str">
        <f>"ㄧㆧ"</f>
        <v>ㄧㆧ</v>
      </c>
      <c r="C64" t="str">
        <f>"薑"</f>
        <v>薑</v>
      </c>
      <c r="D64" t="str">
        <f>"舒聲"</f>
        <v>舒聲</v>
      </c>
      <c r="E64" t="str">
        <f>"35"</f>
        <v>35</v>
      </c>
      <c r="F64" t="str">
        <f>"ĩɔ̃"</f>
        <v>ĩɔ̃</v>
      </c>
      <c r="G64" t="str">
        <f>"ionn"</f>
        <v>ionn</v>
      </c>
      <c r="H64" t="str">
        <f>"ionn"</f>
        <v>ionn</v>
      </c>
      <c r="I64" t="str">
        <f>"ioonn"</f>
        <v>ioonn</v>
      </c>
      <c r="J64" t="str">
        <f>"nioo"</f>
        <v>nioo</v>
      </c>
      <c r="K64" t="str">
        <f>"ioⁿ"</f>
        <v>ioⁿ</v>
      </c>
      <c r="L64" t="str">
        <f>"腔"</f>
        <v>腔</v>
      </c>
    </row>
    <row r="65" spans="1:12">
      <c r="A65" t="str">
        <f>"71"</f>
        <v>71</v>
      </c>
      <c r="B65" t="str">
        <f>"ㄧㆩ"</f>
        <v>ㄧㆩ</v>
      </c>
      <c r="C65" t="str">
        <f>"驚"</f>
        <v>驚</v>
      </c>
      <c r="D65" t="str">
        <f>"舒聲"</f>
        <v>舒聲</v>
      </c>
      <c r="E65" t="str">
        <f>"36"</f>
        <v>36</v>
      </c>
      <c r="F65" t="str">
        <f>"ĩã"</f>
        <v>ĩã</v>
      </c>
      <c r="G65" t="str">
        <f>"iann"</f>
        <v>iann</v>
      </c>
      <c r="H65" t="str">
        <f>"iann"</f>
        <v>iann</v>
      </c>
      <c r="I65" t="str">
        <f>"iann"</f>
        <v>iann</v>
      </c>
      <c r="J65" t="str">
        <f>"nia"</f>
        <v>nia</v>
      </c>
      <c r="K65" t="str">
        <f>"iaⁿ"</f>
        <v>iaⁿ</v>
      </c>
      <c r="L65" t="str">
        <f>"且"</f>
        <v>且</v>
      </c>
    </row>
    <row r="66" spans="1:12">
      <c r="A66" t="str">
        <f>"73"</f>
        <v>73</v>
      </c>
      <c r="B66" t="str">
        <f>"ㄨㆩ"</f>
        <v>ㄨㆩ</v>
      </c>
      <c r="C66" t="str">
        <f>"官"</f>
        <v>官</v>
      </c>
      <c r="D66" t="str">
        <f>"舒聲"</f>
        <v>舒聲</v>
      </c>
      <c r="E66" t="str">
        <f>"37"</f>
        <v>37</v>
      </c>
      <c r="F66" t="str">
        <f>"ũã"</f>
        <v>ũã</v>
      </c>
      <c r="G66" t="str">
        <f>"uann"</f>
        <v>uann</v>
      </c>
      <c r="H66" t="str">
        <f>"uann"</f>
        <v>uann</v>
      </c>
      <c r="I66" t="str">
        <f>"uann"</f>
        <v>uann</v>
      </c>
      <c r="J66" t="str">
        <f>"nua"</f>
        <v>nua</v>
      </c>
      <c r="K66" t="str">
        <f>"oaⁿ"</f>
        <v>oaⁿ</v>
      </c>
      <c r="L66" t="str">
        <f>"肝"</f>
        <v>肝</v>
      </c>
    </row>
    <row r="67" spans="1:12">
      <c r="A67" t="str">
        <f>"75"</f>
        <v>75</v>
      </c>
      <c r="B67" t="str">
        <f>"ㆭ"</f>
        <v>ㆭ</v>
      </c>
      <c r="C67" t="str">
        <f>"鋼"</f>
        <v>鋼</v>
      </c>
      <c r="D67" t="str">
        <f>"舒聲"</f>
        <v>舒聲</v>
      </c>
      <c r="E67" t="str">
        <f>"38"</f>
        <v>38</v>
      </c>
      <c r="F67" t="str">
        <f>"ŋ̍"</f>
        <v>ŋ̍</v>
      </c>
      <c r="G67" t="str">
        <f>"ng"</f>
        <v>ng</v>
      </c>
      <c r="H67" t="str">
        <f>"ng"</f>
        <v>ng</v>
      </c>
      <c r="I67" t="str">
        <f>"ng"</f>
        <v>ng</v>
      </c>
      <c r="J67" t="str">
        <f>"ng"</f>
        <v>ng</v>
      </c>
      <c r="K67" t="str">
        <f>"ng"</f>
        <v>ng</v>
      </c>
      <c r="L67" t="str">
        <f>"床"</f>
        <v>床</v>
      </c>
    </row>
    <row r="68" spans="1:12">
      <c r="A68" t="str">
        <f>"77"</f>
        <v>77</v>
      </c>
      <c r="B68" t="str">
        <f>"ㆤ"</f>
        <v>ㆤ</v>
      </c>
      <c r="C68" t="str">
        <f>"伽"</f>
        <v>伽</v>
      </c>
      <c r="D68" t="str">
        <f>"舒聲"</f>
        <v>舒聲</v>
      </c>
      <c r="E68" t="str">
        <f>"39"</f>
        <v>39</v>
      </c>
      <c r="F68" t="str">
        <f t="shared" ref="F68:K68" si="12">"e"</f>
        <v>e</v>
      </c>
      <c r="G68" t="str">
        <f t="shared" si="12"/>
        <v>e</v>
      </c>
      <c r="H68" t="str">
        <f t="shared" si="12"/>
        <v>e</v>
      </c>
      <c r="I68" t="str">
        <f t="shared" si="12"/>
        <v>e</v>
      </c>
      <c r="J68" t="str">
        <f t="shared" si="12"/>
        <v>e</v>
      </c>
      <c r="K68" t="str">
        <f t="shared" si="12"/>
        <v>e</v>
      </c>
      <c r="L68" t="str">
        <f>"會"</f>
        <v>會</v>
      </c>
    </row>
    <row r="69" spans="1:12">
      <c r="A69" t="str">
        <f>"78"</f>
        <v>78</v>
      </c>
      <c r="B69" t="str">
        <f>"ㆤㆷ"</f>
        <v>ㆤㆷ</v>
      </c>
      <c r="C69" t="str">
        <f>"伽"</f>
        <v>伽</v>
      </c>
      <c r="D69" t="str">
        <f>"促聲"</f>
        <v>促聲</v>
      </c>
      <c r="E69" t="str">
        <f>"39"</f>
        <v>39</v>
      </c>
      <c r="F69" t="str">
        <f>"eʔ"</f>
        <v>eʔ</v>
      </c>
      <c r="G69" t="str">
        <f>"eh"</f>
        <v>eh</v>
      </c>
      <c r="H69" t="str">
        <f>"eh"</f>
        <v>eh</v>
      </c>
      <c r="I69" t="str">
        <f>"eh"</f>
        <v>eh</v>
      </c>
      <c r="J69" t="str">
        <f>"eh"</f>
        <v>eh</v>
      </c>
      <c r="K69" t="str">
        <f>"eh"</f>
        <v>eh</v>
      </c>
      <c r="L69" t="str">
        <f>"伯"</f>
        <v>伯</v>
      </c>
    </row>
    <row r="70" spans="1:12">
      <c r="A70" t="str">
        <f>"79"</f>
        <v>79</v>
      </c>
      <c r="B70" t="str">
        <f>"ㆮ"</f>
        <v>ㆮ</v>
      </c>
      <c r="C70" t="str">
        <f>"閒"</f>
        <v>閒</v>
      </c>
      <c r="D70" t="str">
        <f>"舒聲"</f>
        <v>舒聲</v>
      </c>
      <c r="E70" t="str">
        <f>"40"</f>
        <v>40</v>
      </c>
      <c r="F70" t="str">
        <f>"ãĩ"</f>
        <v>ãĩ</v>
      </c>
      <c r="G70" t="str">
        <f>"ainn"</f>
        <v>ainn</v>
      </c>
      <c r="H70" t="str">
        <f>"ainn"</f>
        <v>ainn</v>
      </c>
      <c r="I70" t="str">
        <f>"ainn"</f>
        <v>ainn</v>
      </c>
      <c r="J70" t="str">
        <f>"nai"</f>
        <v>nai</v>
      </c>
      <c r="K70" t="str">
        <f>"aiⁿ"</f>
        <v>aiⁿ</v>
      </c>
      <c r="L70" t="str">
        <f>"挨"</f>
        <v>挨</v>
      </c>
    </row>
    <row r="71" spans="1:12">
      <c r="A71" t="str">
        <f>"81"</f>
        <v>81</v>
      </c>
      <c r="B71" t="str">
        <f>"ㆧ"</f>
        <v>ㆧ</v>
      </c>
      <c r="C71" t="str">
        <f>"姑"</f>
        <v>姑</v>
      </c>
      <c r="D71" t="str">
        <f>"舒聲"</f>
        <v>舒聲</v>
      </c>
      <c r="E71" t="str">
        <f>"41"</f>
        <v>41</v>
      </c>
      <c r="F71" t="str">
        <f>"ɔ̃"</f>
        <v>ɔ̃</v>
      </c>
      <c r="G71" t="str">
        <f>"onn"</f>
        <v>onn</v>
      </c>
      <c r="H71" t="str">
        <f>"onn"</f>
        <v>onn</v>
      </c>
      <c r="I71" t="str">
        <f>"oonn"</f>
        <v>oonn</v>
      </c>
      <c r="J71" t="str">
        <f>"noo"</f>
        <v>noo</v>
      </c>
      <c r="K71" t="str">
        <f>"oⁿ"</f>
        <v>oⁿ</v>
      </c>
      <c r="L71" t="str">
        <f>"張"</f>
        <v>張</v>
      </c>
    </row>
    <row r="72" spans="1:12">
      <c r="A72" t="str">
        <f>"83"</f>
        <v>83</v>
      </c>
      <c r="B72" t="str">
        <f>"ㆬ"</f>
        <v>ㆬ</v>
      </c>
      <c r="C72" t="str">
        <f>"姆"</f>
        <v>姆</v>
      </c>
      <c r="D72" t="str">
        <f>"舒聲"</f>
        <v>舒聲</v>
      </c>
      <c r="E72" t="str">
        <f>"42"</f>
        <v>42</v>
      </c>
      <c r="F72" t="str">
        <f>"m̩"</f>
        <v>m̩</v>
      </c>
      <c r="G72" t="str">
        <f>"m"</f>
        <v>m</v>
      </c>
      <c r="H72" t="str">
        <f>"m"</f>
        <v>m</v>
      </c>
      <c r="I72" t="str">
        <f>"m"</f>
        <v>m</v>
      </c>
      <c r="J72" t="str">
        <f>"m"</f>
        <v>m</v>
      </c>
      <c r="K72" t="str">
        <f>"m"</f>
        <v>m</v>
      </c>
      <c r="L72" t="str">
        <f>"姆"</f>
        <v>姆</v>
      </c>
    </row>
    <row r="73" spans="1:12">
      <c r="A73" t="str">
        <f>"85"</f>
        <v>85</v>
      </c>
      <c r="B73" t="str">
        <f>"ㄨㄤ"</f>
        <v>ㄨㄤ</v>
      </c>
      <c r="C73" t="str">
        <f>"光"</f>
        <v>光</v>
      </c>
      <c r="D73" t="str">
        <f>"舒聲"</f>
        <v>舒聲</v>
      </c>
      <c r="E73" t="str">
        <f>"43"</f>
        <v>43</v>
      </c>
      <c r="F73" t="str">
        <f>"uaŋ"</f>
        <v>uaŋ</v>
      </c>
      <c r="G73" t="str">
        <f>"uang"</f>
        <v>uang</v>
      </c>
      <c r="H73" t="str">
        <f>"uang"</f>
        <v>uang</v>
      </c>
      <c r="I73" t="str">
        <f>"uang"</f>
        <v>uang</v>
      </c>
      <c r="J73" t="str">
        <f>"uang"</f>
        <v>uang</v>
      </c>
      <c r="K73" t="str">
        <f>"oang"</f>
        <v>oang</v>
      </c>
      <c r="L73" t="str">
        <f>"闖"</f>
        <v>闖</v>
      </c>
    </row>
    <row r="74" spans="1:12">
      <c r="A74" t="str">
        <f>"86"</f>
        <v>86</v>
      </c>
      <c r="B74" t="str">
        <f>"ㄨㄚㆻ"</f>
        <v>ㄨㄚㆻ</v>
      </c>
      <c r="C74" t="str">
        <f>"光"</f>
        <v>光</v>
      </c>
      <c r="D74" t="str">
        <f>"促聲"</f>
        <v>促聲</v>
      </c>
      <c r="E74" t="str">
        <f>"43"</f>
        <v>43</v>
      </c>
      <c r="F74" t="str">
        <f>"uak̚"</f>
        <v>uak̚</v>
      </c>
      <c r="G74" t="str">
        <f>"uak"</f>
        <v>uak</v>
      </c>
      <c r="H74" t="str">
        <f>"uak"</f>
        <v>uak</v>
      </c>
      <c r="I74" t="str">
        <f>"uak"</f>
        <v>uak</v>
      </c>
      <c r="J74" t="str">
        <f>"uak"</f>
        <v>uak</v>
      </c>
      <c r="K74" t="str">
        <f>"oak"</f>
        <v>oak</v>
      </c>
      <c r="L74" t="str">
        <f>"伏"</f>
        <v>伏</v>
      </c>
    </row>
    <row r="75" spans="1:12">
      <c r="A75" t="str">
        <f>"87"</f>
        <v>87</v>
      </c>
      <c r="B75" t="str">
        <f>"ㄨㆮ"</f>
        <v>ㄨㆮ</v>
      </c>
      <c r="C75" t="str">
        <f>"閂"</f>
        <v>閂</v>
      </c>
      <c r="D75" t="str">
        <f>"舒聲"</f>
        <v>舒聲</v>
      </c>
      <c r="E75" t="str">
        <f>"44"</f>
        <v>44</v>
      </c>
      <c r="F75" t="str">
        <f>"ũãĩ"</f>
        <v>ũãĩ</v>
      </c>
      <c r="G75" t="str">
        <f>"uainn"</f>
        <v>uainn</v>
      </c>
      <c r="H75" t="str">
        <f>"uainn"</f>
        <v>uainn</v>
      </c>
      <c r="I75" t="str">
        <f>"uainn"</f>
        <v>uainn</v>
      </c>
      <c r="J75" t="str">
        <f>"nuai"</f>
        <v>nuai</v>
      </c>
      <c r="K75" t="str">
        <f>"oaiⁿ"</f>
        <v>oaiⁿ</v>
      </c>
      <c r="L75" t="str">
        <f>"檨"</f>
        <v>檨</v>
      </c>
    </row>
    <row r="76" spans="1:12">
      <c r="A76" t="str">
        <f>"88"</f>
        <v>88</v>
      </c>
      <c r="B76" t="str">
        <f>"ㄨㆮㆷ"</f>
        <v>ㄨㆮㆷ</v>
      </c>
      <c r="C76" t="str">
        <f>"閂"</f>
        <v>閂</v>
      </c>
      <c r="D76" t="str">
        <f>"促聲"</f>
        <v>促聲</v>
      </c>
      <c r="E76" t="str">
        <f>"44"</f>
        <v>44</v>
      </c>
      <c r="F76" t="str">
        <f>"ũãĩʔ"</f>
        <v>ũãĩʔ</v>
      </c>
      <c r="G76" t="str">
        <f>"uaihnn"</f>
        <v>uaihnn</v>
      </c>
      <c r="H76" t="str">
        <f>"uainnh"</f>
        <v>uainnh</v>
      </c>
      <c r="I76" t="str">
        <f>"uainnh"</f>
        <v>uainnh</v>
      </c>
      <c r="J76" t="str">
        <f>"nuaih"</f>
        <v>nuaih</v>
      </c>
      <c r="K76" t="str">
        <f>"oaihⁿ"</f>
        <v>oaihⁿ</v>
      </c>
      <c r="L76" t="str">
        <f>"蹶"</f>
        <v>蹶</v>
      </c>
    </row>
    <row r="77" spans="1:12">
      <c r="A77" t="str">
        <f>"89"</f>
        <v>89</v>
      </c>
      <c r="B77" t="str">
        <f>"ㄨㆥ"</f>
        <v>ㄨㆥ</v>
      </c>
      <c r="C77" t="str">
        <f>"糜"</f>
        <v>糜</v>
      </c>
      <c r="D77" t="str">
        <f>"舒聲"</f>
        <v>舒聲</v>
      </c>
      <c r="E77" t="str">
        <f>"45"</f>
        <v>45</v>
      </c>
      <c r="F77" t="str">
        <f>"ũẽ"</f>
        <v>ũẽ</v>
      </c>
      <c r="G77" t="str">
        <f>"uenn"</f>
        <v>uenn</v>
      </c>
      <c r="H77" t="str">
        <f>"uenn"</f>
        <v>uenn</v>
      </c>
      <c r="I77" t="str">
        <f>"uenn"</f>
        <v>uenn</v>
      </c>
      <c r="J77" t="str">
        <f>"nue"</f>
        <v>nue</v>
      </c>
      <c r="K77" t="str">
        <f>"oeⁿ"</f>
        <v>oeⁿ</v>
      </c>
      <c r="L77" t="str">
        <f>"◯"</f>
        <v>◯</v>
      </c>
    </row>
    <row r="78" spans="1:12">
      <c r="A78" t="str">
        <f>"91"</f>
        <v>91</v>
      </c>
      <c r="B78" t="str">
        <f>"ㄧㆯ"</f>
        <v>ㄧㆯ</v>
      </c>
      <c r="C78" t="str">
        <f>"嘄"</f>
        <v>嘄</v>
      </c>
      <c r="D78" t="str">
        <f>"舒聲"</f>
        <v>舒聲</v>
      </c>
      <c r="E78" t="str">
        <f>"46"</f>
        <v>46</v>
      </c>
      <c r="F78" t="str">
        <f>"ĩãũ"</f>
        <v>ĩãũ</v>
      </c>
      <c r="G78" t="str">
        <f>"iaunn"</f>
        <v>iaunn</v>
      </c>
      <c r="H78" t="str">
        <f>"iaunn"</f>
        <v>iaunn</v>
      </c>
      <c r="I78" t="str">
        <f>"iaunn"</f>
        <v>iaunn</v>
      </c>
      <c r="J78" t="str">
        <f>"niao"</f>
        <v>niao</v>
      </c>
      <c r="K78" t="str">
        <f>"iauⁿ"</f>
        <v>iauⁿ</v>
      </c>
      <c r="L78" t="str">
        <f>"鳥"</f>
        <v>鳥</v>
      </c>
    </row>
    <row r="79" spans="1:12">
      <c r="A79" t="str">
        <f>"92"</f>
        <v>92</v>
      </c>
      <c r="B79" t="str">
        <f>"ㄧㆯㆷ"</f>
        <v>ㄧㆯㆷ</v>
      </c>
      <c r="C79" t="str">
        <f>"嘄"</f>
        <v>嘄</v>
      </c>
      <c r="D79" t="str">
        <f>"促聲"</f>
        <v>促聲</v>
      </c>
      <c r="E79" t="str">
        <f>"46"</f>
        <v>46</v>
      </c>
      <c r="F79" t="str">
        <f>"ĩãũʔ"</f>
        <v>ĩãũʔ</v>
      </c>
      <c r="G79" t="str">
        <f>"iauhnn"</f>
        <v>iauhnn</v>
      </c>
      <c r="H79" t="str">
        <f>"iaunnh"</f>
        <v>iaunnh</v>
      </c>
      <c r="I79" t="str">
        <f>"iaunnh"</f>
        <v>iaunnh</v>
      </c>
      <c r="J79" t="str">
        <f>"niaoh"</f>
        <v>niaoh</v>
      </c>
      <c r="K79" t="str">
        <f>"iauhⁿ"</f>
        <v>iauhⁿ</v>
      </c>
      <c r="L79" t="str">
        <f>"◯"</f>
        <v>◯</v>
      </c>
    </row>
    <row r="80" spans="1:12">
      <c r="A80" t="str">
        <f>"93"</f>
        <v>93</v>
      </c>
      <c r="B80" t="str">
        <f>"ㆱ"</f>
        <v>ㆱ</v>
      </c>
      <c r="C80" t="str">
        <f>"箴"</f>
        <v>箴</v>
      </c>
      <c r="D80" t="str">
        <f>"舒聲"</f>
        <v>舒聲</v>
      </c>
      <c r="E80" t="str">
        <f>"47"</f>
        <v>47</v>
      </c>
      <c r="F80" t="str">
        <f>"ɔm"</f>
        <v>ɔm</v>
      </c>
      <c r="G80" t="str">
        <f>"om"</f>
        <v>om</v>
      </c>
      <c r="H80" t="str">
        <f>"om/p"</f>
        <v>om/p</v>
      </c>
      <c r="I80" t="str">
        <f>"oom"</f>
        <v>oom</v>
      </c>
      <c r="J80" t="str">
        <f>"om/p"</f>
        <v>om/p</v>
      </c>
      <c r="K80" t="str">
        <f>"om"</f>
        <v>om</v>
      </c>
      <c r="L80" t="str">
        <f>"丼"</f>
        <v>丼</v>
      </c>
    </row>
    <row r="81" spans="1:12">
      <c r="A81" t="str">
        <f>"94"</f>
        <v>94</v>
      </c>
      <c r="B81" t="str">
        <f>"ㆦㆴ"</f>
        <v>ㆦㆴ</v>
      </c>
      <c r="C81" t="str">
        <f>"箴"</f>
        <v>箴</v>
      </c>
      <c r="D81" t="str">
        <f>"促聲"</f>
        <v>促聲</v>
      </c>
      <c r="E81" t="str">
        <f>"47"</f>
        <v>47</v>
      </c>
      <c r="F81" t="str">
        <f>"ɔp̚"</f>
        <v>ɔp̚</v>
      </c>
      <c r="G81" t="str">
        <f>"op"</f>
        <v>op</v>
      </c>
      <c r="H81" t="str">
        <f>"op"</f>
        <v>op</v>
      </c>
      <c r="I81" t="str">
        <f>"oop"</f>
        <v>oop</v>
      </c>
      <c r="J81" t="str">
        <f>"op"</f>
        <v>op</v>
      </c>
      <c r="K81" t="str">
        <f>"op"</f>
        <v>op</v>
      </c>
      <c r="L81" t="str">
        <f>"吷"</f>
        <v>吷</v>
      </c>
    </row>
    <row r="82" spans="1:12">
      <c r="A82" t="str">
        <f>"95"</f>
        <v>95</v>
      </c>
      <c r="B82" t="str">
        <f>"ㆯ"</f>
        <v>ㆯ</v>
      </c>
      <c r="C82" t="str">
        <f>"爻"</f>
        <v>爻</v>
      </c>
      <c r="D82" t="str">
        <f>"舒聲"</f>
        <v>舒聲</v>
      </c>
      <c r="E82" t="str">
        <f>"48"</f>
        <v>48</v>
      </c>
      <c r="F82" t="str">
        <f>"ãũ"</f>
        <v>ãũ</v>
      </c>
      <c r="G82" t="str">
        <f>"aunn"</f>
        <v>aunn</v>
      </c>
      <c r="H82" t="str">
        <f>"aunn"</f>
        <v>aunn</v>
      </c>
      <c r="I82" t="str">
        <f>"aunn"</f>
        <v>aunn</v>
      </c>
      <c r="J82" t="str">
        <f>"nao"</f>
        <v>nao</v>
      </c>
      <c r="K82" t="str">
        <f>"auⁿ"</f>
        <v>auⁿ</v>
      </c>
      <c r="L82" t="str">
        <f>"懸"</f>
        <v>懸</v>
      </c>
    </row>
    <row r="83" spans="1:12">
      <c r="A83" t="str">
        <f>"97"</f>
        <v>97</v>
      </c>
      <c r="B83" t="str">
        <f>"ㆧ"</f>
        <v>ㆧ</v>
      </c>
      <c r="C83" t="str">
        <f>"扛"</f>
        <v>扛</v>
      </c>
      <c r="D83" t="str">
        <f>"舒聲"</f>
        <v>舒聲</v>
      </c>
      <c r="E83" t="str">
        <f>"49"</f>
        <v>49</v>
      </c>
      <c r="F83" t="str">
        <f>"ɔ̃"</f>
        <v>ɔ̃</v>
      </c>
      <c r="G83" t="str">
        <f>"onn"</f>
        <v>onn</v>
      </c>
      <c r="H83" t="str">
        <f>"onn"</f>
        <v>onn</v>
      </c>
      <c r="I83" t="str">
        <f>"ornn"</f>
        <v>ornn</v>
      </c>
      <c r="J83" t="str">
        <f>"noo"</f>
        <v>noo</v>
      </c>
      <c r="K83" t="str">
        <f>"on"</f>
        <v>on</v>
      </c>
      <c r="L83" t="str">
        <f>"呼"</f>
        <v>呼</v>
      </c>
    </row>
    <row r="84" spans="1:12">
      <c r="A84" t="str">
        <f>"98"</f>
        <v>98</v>
      </c>
      <c r="B84" t="str">
        <f>"ㆧㆷ"</f>
        <v>ㆧㆷ</v>
      </c>
      <c r="C84" t="str">
        <f>"扛"</f>
        <v>扛</v>
      </c>
      <c r="D84" t="str">
        <f>"促聲"</f>
        <v>促聲</v>
      </c>
      <c r="E84" t="str">
        <f>"49"</f>
        <v>49</v>
      </c>
      <c r="F84" t="str">
        <f>"ɔ̃ʔ"</f>
        <v>ɔ̃ʔ</v>
      </c>
      <c r="G84" t="str">
        <f>"ohnn"</f>
        <v>ohnn</v>
      </c>
      <c r="H84" t="str">
        <f>"onnh"</f>
        <v>onnh</v>
      </c>
      <c r="I84" t="str">
        <f>"uenn"</f>
        <v>uenn</v>
      </c>
      <c r="J84" t="str">
        <f>"nooh"</f>
        <v>nooh</v>
      </c>
      <c r="K84" t="str">
        <f>"ohⁿ"</f>
        <v>ohⁿ</v>
      </c>
      <c r="L84" t="str">
        <f>"◯"</f>
        <v>◯</v>
      </c>
    </row>
    <row r="85" spans="1:12">
      <c r="A85" t="str">
        <f>"99"</f>
        <v>99</v>
      </c>
      <c r="B85" t="str">
        <f>"ㄧㆫ"</f>
        <v>ㄧㆫ</v>
      </c>
      <c r="C85" t="str">
        <f>"牛"</f>
        <v>牛</v>
      </c>
      <c r="D85" t="str">
        <f>"舒聲"</f>
        <v>舒聲</v>
      </c>
      <c r="E85" t="str">
        <f>"50"</f>
        <v>50</v>
      </c>
      <c r="F85" t="str">
        <f>"ĩũ"</f>
        <v>ĩũ</v>
      </c>
      <c r="G85" t="str">
        <f>"iunn"</f>
        <v>iunn</v>
      </c>
      <c r="H85" t="str">
        <f>"iunn"</f>
        <v>iunn</v>
      </c>
      <c r="I85" t="str">
        <f>"iunn"</f>
        <v>iunn</v>
      </c>
      <c r="J85" t="str">
        <f>"niu"</f>
        <v>niu</v>
      </c>
      <c r="K85" t="str">
        <f>"iuⁿ"</f>
        <v>iuⁿ</v>
      </c>
      <c r="L85" t="str">
        <f>"香"</f>
        <v>香</v>
      </c>
    </row>
  </sheetData>
  <phoneticPr fontId="4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C76F8-FC17-4FB5-9465-C2680BD4AA07}">
  <dimension ref="A1:K23"/>
  <sheetViews>
    <sheetView topLeftCell="G1" workbookViewId="0">
      <selection activeCell="K23" sqref="A1:K23"/>
    </sheetView>
  </sheetViews>
  <sheetFormatPr defaultRowHeight="25.5"/>
  <cols>
    <col min="11" max="11" width="22.6640625" bestFit="1" customWidth="1"/>
  </cols>
  <sheetData>
    <row r="1" spans="1:11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"國際音標"</f>
        <v>國際音標</v>
      </c>
      <c r="E1" t="str">
        <f>"台語音標"</f>
        <v>台語音標</v>
      </c>
      <c r="F1" t="str">
        <f>"台羅拼音"</f>
        <v>台羅拼音</v>
      </c>
      <c r="G1" t="str">
        <f>"注音二式"</f>
        <v>注音二式</v>
      </c>
      <c r="H1" t="str">
        <f>"閩拼方案"</f>
        <v>閩拼方案</v>
      </c>
      <c r="I1" t="str">
        <f>"白話字"</f>
        <v>白話字</v>
      </c>
      <c r="J1" t="str">
        <f>"漢字例"</f>
        <v>漢字例</v>
      </c>
      <c r="K1" t="str">
        <f>"備註"</f>
        <v>備註</v>
      </c>
    </row>
    <row r="2" spans="1:11">
      <c r="A2" t="str">
        <f>"1"</f>
        <v>1</v>
      </c>
      <c r="B2" t="str">
        <f>"ㄌ"</f>
        <v>ㄌ</v>
      </c>
      <c r="C2" t="str">
        <f>"柳"</f>
        <v>柳</v>
      </c>
      <c r="D2" t="str">
        <f t="shared" ref="D2:I2" si="0">"l"</f>
        <v>l</v>
      </c>
      <c r="E2" t="str">
        <f t="shared" si="0"/>
        <v>l</v>
      </c>
      <c r="F2" t="str">
        <f t="shared" si="0"/>
        <v>l</v>
      </c>
      <c r="G2" t="str">
        <f t="shared" si="0"/>
        <v>l</v>
      </c>
      <c r="H2" t="str">
        <f t="shared" si="0"/>
        <v>l</v>
      </c>
      <c r="I2" t="str">
        <f t="shared" si="0"/>
        <v>l</v>
      </c>
      <c r="J2" t="str">
        <f>"理"</f>
        <v>理</v>
      </c>
      <c r="K2" t="str">
        <f>""</f>
        <v/>
      </c>
    </row>
    <row r="3" spans="1:11">
      <c r="A3" t="str">
        <f>"2"</f>
        <v>2</v>
      </c>
      <c r="B3" t="str">
        <f>"ㄅ"</f>
        <v>ㄅ</v>
      </c>
      <c r="C3" t="str">
        <f>"邊"</f>
        <v>邊</v>
      </c>
      <c r="D3" t="str">
        <f>"p"</f>
        <v>p</v>
      </c>
      <c r="E3" t="str">
        <f>"p"</f>
        <v>p</v>
      </c>
      <c r="F3" t="str">
        <f>"p"</f>
        <v>p</v>
      </c>
      <c r="G3" t="str">
        <f>"b"</f>
        <v>b</v>
      </c>
      <c r="H3" t="str">
        <f>"b"</f>
        <v>b</v>
      </c>
      <c r="I3" t="str">
        <f>"p"</f>
        <v>p</v>
      </c>
      <c r="J3" t="str">
        <f>"比"</f>
        <v>比</v>
      </c>
      <c r="K3" t="str">
        <f>""</f>
        <v/>
      </c>
    </row>
    <row r="4" spans="1:11">
      <c r="A4" t="str">
        <f>"3"</f>
        <v>3</v>
      </c>
      <c r="B4" t="str">
        <f>"ㄍ"</f>
        <v>ㄍ</v>
      </c>
      <c r="C4" t="str">
        <f>"求"</f>
        <v>求</v>
      </c>
      <c r="D4" t="str">
        <f>"k"</f>
        <v>k</v>
      </c>
      <c r="E4" t="str">
        <f>"k"</f>
        <v>k</v>
      </c>
      <c r="F4" t="str">
        <f>"k"</f>
        <v>k</v>
      </c>
      <c r="G4" t="str">
        <f>"g"</f>
        <v>g</v>
      </c>
      <c r="H4" t="str">
        <f>"g"</f>
        <v>g</v>
      </c>
      <c r="I4" t="str">
        <f>"k"</f>
        <v>k</v>
      </c>
      <c r="J4" t="str">
        <f>"己"</f>
        <v>己</v>
      </c>
      <c r="K4" t="str">
        <f>""</f>
        <v/>
      </c>
    </row>
    <row r="5" spans="1:11">
      <c r="A5" t="str">
        <f>"4"</f>
        <v>4</v>
      </c>
      <c r="B5" t="str">
        <f>"ㄎ"</f>
        <v>ㄎ</v>
      </c>
      <c r="C5" t="str">
        <f>"去"</f>
        <v>去</v>
      </c>
      <c r="D5" t="str">
        <f>"kʰ"</f>
        <v>kʰ</v>
      </c>
      <c r="E5" t="str">
        <f>"kh"</f>
        <v>kh</v>
      </c>
      <c r="F5" t="str">
        <f>"kh"</f>
        <v>kh</v>
      </c>
      <c r="G5" t="str">
        <f>"k"</f>
        <v>k</v>
      </c>
      <c r="H5" t="str">
        <f>"k"</f>
        <v>k</v>
      </c>
      <c r="I5" t="str">
        <f>"kh"</f>
        <v>kh</v>
      </c>
      <c r="J5" t="str">
        <f>"起"</f>
        <v>起</v>
      </c>
      <c r="K5" t="str">
        <f>""</f>
        <v/>
      </c>
    </row>
    <row r="6" spans="1:11">
      <c r="A6" t="str">
        <f>"5"</f>
        <v>5</v>
      </c>
      <c r="B6" t="str">
        <f>"ㄉ"</f>
        <v>ㄉ</v>
      </c>
      <c r="C6" t="str">
        <f>"地"</f>
        <v>地</v>
      </c>
      <c r="D6" t="str">
        <f>"t"</f>
        <v>t</v>
      </c>
      <c r="E6" t="str">
        <f>"t"</f>
        <v>t</v>
      </c>
      <c r="F6" t="str">
        <f>"t"</f>
        <v>t</v>
      </c>
      <c r="G6" t="str">
        <f>"d"</f>
        <v>d</v>
      </c>
      <c r="H6" t="str">
        <f>"d"</f>
        <v>d</v>
      </c>
      <c r="I6" t="str">
        <f>"t"</f>
        <v>t</v>
      </c>
      <c r="J6" t="str">
        <f>"底"</f>
        <v>底</v>
      </c>
      <c r="K6" t="str">
        <f>""</f>
        <v/>
      </c>
    </row>
    <row r="7" spans="1:11">
      <c r="A7" t="str">
        <f>"6"</f>
        <v>6</v>
      </c>
      <c r="B7" t="str">
        <f>"ㄆ"</f>
        <v>ㄆ</v>
      </c>
      <c r="C7" t="str">
        <f>"頗"</f>
        <v>頗</v>
      </c>
      <c r="D7" t="str">
        <f>"pʰ"</f>
        <v>pʰ</v>
      </c>
      <c r="E7" t="str">
        <f>"ph"</f>
        <v>ph</v>
      </c>
      <c r="F7" t="str">
        <f>"ph"</f>
        <v>ph</v>
      </c>
      <c r="G7" t="str">
        <f>"p"</f>
        <v>p</v>
      </c>
      <c r="H7" t="str">
        <f>"p"</f>
        <v>p</v>
      </c>
      <c r="I7" t="str">
        <f>"ph"</f>
        <v>ph</v>
      </c>
      <c r="J7" t="str">
        <f>"鄙"</f>
        <v>鄙</v>
      </c>
      <c r="K7" t="str">
        <f>""</f>
        <v/>
      </c>
    </row>
    <row r="8" spans="1:11">
      <c r="A8" t="str">
        <f>"7"</f>
        <v>7</v>
      </c>
      <c r="B8" t="str">
        <f>"ㄊ"</f>
        <v>ㄊ</v>
      </c>
      <c r="C8" t="str">
        <f>"他"</f>
        <v>他</v>
      </c>
      <c r="D8" t="str">
        <f>"tʰ"</f>
        <v>tʰ</v>
      </c>
      <c r="E8" t="str">
        <f>"th"</f>
        <v>th</v>
      </c>
      <c r="F8" t="str">
        <f>"th"</f>
        <v>th</v>
      </c>
      <c r="G8" t="str">
        <f>"t"</f>
        <v>t</v>
      </c>
      <c r="H8" t="str">
        <f>"t"</f>
        <v>t</v>
      </c>
      <c r="I8" t="str">
        <f>"th"</f>
        <v>th</v>
      </c>
      <c r="J8" t="str">
        <f>"恥"</f>
        <v>恥</v>
      </c>
      <c r="K8" t="str">
        <f>""</f>
        <v/>
      </c>
    </row>
    <row r="9" spans="1:11">
      <c r="A9" t="str">
        <f>"8"</f>
        <v>8</v>
      </c>
      <c r="B9" t="str">
        <f>"ㄗ"</f>
        <v>ㄗ</v>
      </c>
      <c r="C9" t="str">
        <f>"曾"</f>
        <v>曾</v>
      </c>
      <c r="D9" t="str">
        <f>"ʦ"</f>
        <v>ʦ</v>
      </c>
      <c r="E9" t="str">
        <f>"z"</f>
        <v>z</v>
      </c>
      <c r="F9" t="str">
        <f>"ts"</f>
        <v>ts</v>
      </c>
      <c r="G9" t="str">
        <f>"z"</f>
        <v>z</v>
      </c>
      <c r="H9" t="str">
        <f>"z"</f>
        <v>z</v>
      </c>
      <c r="I9" t="str">
        <f>"ch"</f>
        <v>ch</v>
      </c>
      <c r="J9" t="str">
        <f>"阻"</f>
        <v>阻</v>
      </c>
      <c r="K9" t="str">
        <f>""</f>
        <v/>
      </c>
    </row>
    <row r="10" spans="1:11">
      <c r="A10" t="str">
        <f>"9"</f>
        <v>9</v>
      </c>
      <c r="B10" t="str">
        <f>"ㆡ"</f>
        <v>ㆡ</v>
      </c>
      <c r="C10" t="str">
        <f>"入"</f>
        <v>入</v>
      </c>
      <c r="D10" t="str">
        <f>"ʣ"</f>
        <v>ʣ</v>
      </c>
      <c r="E10" t="str">
        <f>"j"</f>
        <v>j</v>
      </c>
      <c r="F10" t="str">
        <f>"j"</f>
        <v>j</v>
      </c>
      <c r="G10" t="str">
        <f>"zz"</f>
        <v>zz</v>
      </c>
      <c r="H10" t="str">
        <f>"zz"</f>
        <v>zz</v>
      </c>
      <c r="I10" t="str">
        <f>"j"</f>
        <v>j</v>
      </c>
      <c r="J10" t="str">
        <f>"熱"</f>
        <v>熱</v>
      </c>
      <c r="K10" t="str">
        <f>""</f>
        <v/>
      </c>
    </row>
    <row r="11" spans="1:11">
      <c r="A11" t="str">
        <f>"10"</f>
        <v>10</v>
      </c>
      <c r="B11" t="str">
        <f>"ㄙ"</f>
        <v>ㄙ</v>
      </c>
      <c r="C11" t="str">
        <f>"時"</f>
        <v>時</v>
      </c>
      <c r="D11" t="str">
        <f t="shared" ref="D11:I11" si="1">"s"</f>
        <v>s</v>
      </c>
      <c r="E11" t="str">
        <f t="shared" si="1"/>
        <v>s</v>
      </c>
      <c r="F11" t="str">
        <f t="shared" si="1"/>
        <v>s</v>
      </c>
      <c r="G11" t="str">
        <f t="shared" si="1"/>
        <v>s</v>
      </c>
      <c r="H11" t="str">
        <f t="shared" si="1"/>
        <v>s</v>
      </c>
      <c r="I11" t="str">
        <f t="shared" si="1"/>
        <v>s</v>
      </c>
      <c r="J11" t="str">
        <f>"詞"</f>
        <v>詞</v>
      </c>
      <c r="K11" t="str">
        <f>""</f>
        <v/>
      </c>
    </row>
    <row r="12" spans="1:11">
      <c r="A12" t="str">
        <f>"11"</f>
        <v>11</v>
      </c>
      <c r="B12" t="str">
        <f>"Ø"</f>
        <v>Ø</v>
      </c>
      <c r="C12" t="str">
        <f>"英"</f>
        <v>英</v>
      </c>
      <c r="D12" t="str">
        <f>"ʔ"</f>
        <v>ʔ</v>
      </c>
      <c r="E12" t="str">
        <f>"Ø"</f>
        <v>Ø</v>
      </c>
      <c r="F12" t="str">
        <f>"Ø"</f>
        <v>Ø</v>
      </c>
      <c r="G12" t="str">
        <f>"Ø"</f>
        <v>Ø</v>
      </c>
      <c r="H12" t="str">
        <f>"Ø"</f>
        <v>Ø</v>
      </c>
      <c r="I12" t="str">
        <f>"Ø"</f>
        <v>Ø</v>
      </c>
      <c r="J12" t="str">
        <f>"以"</f>
        <v>以</v>
      </c>
      <c r="K12" t="str">
        <f>""</f>
        <v/>
      </c>
    </row>
    <row r="13" spans="1:11">
      <c r="A13" t="str">
        <f>"12"</f>
        <v>12</v>
      </c>
      <c r="B13" t="str">
        <f>"ㆠ"</f>
        <v>ㆠ</v>
      </c>
      <c r="C13" t="str">
        <f>"門"</f>
        <v>門</v>
      </c>
      <c r="D13" t="str">
        <f>"b"</f>
        <v>b</v>
      </c>
      <c r="E13" t="str">
        <f>"b"</f>
        <v>b</v>
      </c>
      <c r="F13" t="str">
        <f>"b"</f>
        <v>b</v>
      </c>
      <c r="G13" t="str">
        <f>"bb"</f>
        <v>bb</v>
      </c>
      <c r="H13" t="str">
        <f>"bb"</f>
        <v>bb</v>
      </c>
      <c r="I13" t="str">
        <f>"b"</f>
        <v>b</v>
      </c>
      <c r="J13" t="str">
        <f>"美"</f>
        <v>美</v>
      </c>
      <c r="K13" t="str">
        <f>""</f>
        <v/>
      </c>
    </row>
    <row r="14" spans="1:11">
      <c r="A14" t="str">
        <f>"13"</f>
        <v>13</v>
      </c>
      <c r="B14" t="str">
        <f>"ㆣ"</f>
        <v>ㆣ</v>
      </c>
      <c r="C14" t="str">
        <f>"語"</f>
        <v>語</v>
      </c>
      <c r="D14" t="str">
        <f>"ɡ"</f>
        <v>ɡ</v>
      </c>
      <c r="E14" t="str">
        <f>"g"</f>
        <v>g</v>
      </c>
      <c r="F14" t="str">
        <f>"g"</f>
        <v>g</v>
      </c>
      <c r="G14" t="str">
        <f>"gg"</f>
        <v>gg</v>
      </c>
      <c r="H14" t="str">
        <f>"gg"</f>
        <v>gg</v>
      </c>
      <c r="I14" t="str">
        <f>"g"</f>
        <v>g</v>
      </c>
      <c r="J14" t="str">
        <f>"禦"</f>
        <v>禦</v>
      </c>
      <c r="K14" t="str">
        <f>""</f>
        <v/>
      </c>
    </row>
    <row r="15" spans="1:11">
      <c r="A15" t="str">
        <f>"14"</f>
        <v>14</v>
      </c>
      <c r="B15" t="str">
        <f>"ㄘ"</f>
        <v>ㄘ</v>
      </c>
      <c r="C15" t="str">
        <f>"出"</f>
        <v>出</v>
      </c>
      <c r="D15" t="str">
        <f>"ʦʰ"</f>
        <v>ʦʰ</v>
      </c>
      <c r="E15" t="str">
        <f>"c"</f>
        <v>c</v>
      </c>
      <c r="F15" t="str">
        <f>"tsh"</f>
        <v>tsh</v>
      </c>
      <c r="G15" t="str">
        <f>"c"</f>
        <v>c</v>
      </c>
      <c r="H15" t="str">
        <f>"c"</f>
        <v>c</v>
      </c>
      <c r="I15" t="str">
        <f>"chh"</f>
        <v>chh</v>
      </c>
      <c r="J15" t="str">
        <f>"取"</f>
        <v>取</v>
      </c>
      <c r="K15" t="str">
        <f>""</f>
        <v/>
      </c>
    </row>
    <row r="16" spans="1:11">
      <c r="A16" t="str">
        <f>"15"</f>
        <v>15</v>
      </c>
      <c r="B16" t="str">
        <f>"ㄏ"</f>
        <v>ㄏ</v>
      </c>
      <c r="C16" t="str">
        <f>"喜"</f>
        <v>喜</v>
      </c>
      <c r="D16" t="str">
        <f t="shared" ref="D16:I16" si="2">"h"</f>
        <v>h</v>
      </c>
      <c r="E16" t="str">
        <f t="shared" si="2"/>
        <v>h</v>
      </c>
      <c r="F16" t="str">
        <f t="shared" si="2"/>
        <v>h</v>
      </c>
      <c r="G16" t="str">
        <f t="shared" si="2"/>
        <v>h</v>
      </c>
      <c r="H16" t="str">
        <f t="shared" si="2"/>
        <v>h</v>
      </c>
      <c r="I16" t="str">
        <f t="shared" si="2"/>
        <v>h</v>
      </c>
      <c r="J16" t="str">
        <f>"喜"</f>
        <v>喜</v>
      </c>
      <c r="K16" t="str">
        <f>""</f>
        <v/>
      </c>
    </row>
    <row r="17" spans="1:11">
      <c r="A17" t="str">
        <f>"16"</f>
        <v>16</v>
      </c>
      <c r="B17" t="str">
        <f>"ㄇ"</f>
        <v>ㄇ</v>
      </c>
      <c r="C17" t="str">
        <f>"毛"</f>
        <v>毛</v>
      </c>
      <c r="D17" t="str">
        <f>"m"</f>
        <v>m</v>
      </c>
      <c r="E17" t="str">
        <f>"m"</f>
        <v>m</v>
      </c>
      <c r="F17" t="str">
        <f>"m"</f>
        <v>m</v>
      </c>
      <c r="G17" t="str">
        <f>"m"</f>
        <v>m</v>
      </c>
      <c r="H17" t="str">
        <f>"bbn"</f>
        <v>bbn</v>
      </c>
      <c r="I17" t="str">
        <f>"m"</f>
        <v>m</v>
      </c>
      <c r="J17" t="str">
        <f>"毛"</f>
        <v>毛</v>
      </c>
      <c r="K17" t="str">
        <f>"b/m 本不分，此處分門/毛"</f>
        <v>b/m 本不分，此處分門/毛</v>
      </c>
    </row>
    <row r="18" spans="1:11">
      <c r="A18" t="str">
        <f>"17"</f>
        <v>17</v>
      </c>
      <c r="B18" t="str">
        <f>"ㄋ"</f>
        <v>ㄋ</v>
      </c>
      <c r="C18" t="str">
        <f>"耐"</f>
        <v>耐</v>
      </c>
      <c r="D18" t="str">
        <f>"n"</f>
        <v>n</v>
      </c>
      <c r="E18" t="str">
        <f>"n"</f>
        <v>n</v>
      </c>
      <c r="F18" t="str">
        <f>"n"</f>
        <v>n</v>
      </c>
      <c r="G18" t="str">
        <f>"n"</f>
        <v>n</v>
      </c>
      <c r="H18" t="str">
        <f>"ln"</f>
        <v>ln</v>
      </c>
      <c r="I18" t="str">
        <f>"n"</f>
        <v>n</v>
      </c>
      <c r="J18" t="str">
        <f>"耐"</f>
        <v>耐</v>
      </c>
      <c r="K18" t="str">
        <f>"l/n 本不分，此處分柳/耐"</f>
        <v>l/n 本不分，此處分柳/耐</v>
      </c>
    </row>
    <row r="19" spans="1:11">
      <c r="A19" t="str">
        <f>"18"</f>
        <v>18</v>
      </c>
      <c r="B19" t="str">
        <f>"ㄫ"</f>
        <v>ㄫ</v>
      </c>
      <c r="C19" t="str">
        <f>"雅"</f>
        <v>雅</v>
      </c>
      <c r="D19" t="str">
        <f>"ŋ"</f>
        <v>ŋ</v>
      </c>
      <c r="E19" t="str">
        <f>"ng"</f>
        <v>ng</v>
      </c>
      <c r="F19" t="str">
        <f>"ng"</f>
        <v>ng</v>
      </c>
      <c r="G19" t="str">
        <f>"ng"</f>
        <v>ng</v>
      </c>
      <c r="H19" t="str">
        <f>"ggn"</f>
        <v>ggn</v>
      </c>
      <c r="I19" t="str">
        <f>"ng"</f>
        <v>ng</v>
      </c>
      <c r="J19" t="str">
        <f>"雅"</f>
        <v>雅</v>
      </c>
      <c r="K19" t="str">
        <f>"g/ng 本不分，此處分語/雅"</f>
        <v>g/ng 本不分，此處分語/雅</v>
      </c>
    </row>
    <row r="20" spans="1:11">
      <c r="A20" t="str">
        <f>"19"</f>
        <v>19</v>
      </c>
      <c r="B20" t="str">
        <f>"ㆢ"</f>
        <v>ㆢ</v>
      </c>
      <c r="C20" t="str">
        <f>"入"</f>
        <v>入</v>
      </c>
      <c r="D20" t="str">
        <f>"ʥ"</f>
        <v>ʥ</v>
      </c>
      <c r="E20" t="str">
        <f>"ji"</f>
        <v>ji</v>
      </c>
      <c r="F20" t="str">
        <f>"ji"</f>
        <v>ji</v>
      </c>
      <c r="G20" t="str">
        <f>"jji"</f>
        <v>jji</v>
      </c>
      <c r="H20" t="str">
        <f>"zzi"</f>
        <v>zzi</v>
      </c>
      <c r="I20" t="str">
        <f>"ji"</f>
        <v>ji</v>
      </c>
      <c r="J20" t="str">
        <f>"熱"</f>
        <v>熱</v>
      </c>
      <c r="K20" t="str">
        <f>"ㆢ = ㆡㄧ"</f>
        <v>ㆢ = ㆡㄧ</v>
      </c>
    </row>
    <row r="21" spans="1:11">
      <c r="A21" t="str">
        <f>"20"</f>
        <v>20</v>
      </c>
      <c r="B21" t="str">
        <f>"ㄐ"</f>
        <v>ㄐ</v>
      </c>
      <c r="C21" t="str">
        <f>"曾"</f>
        <v>曾</v>
      </c>
      <c r="D21" t="str">
        <f>"ʨ"</f>
        <v>ʨ</v>
      </c>
      <c r="E21" t="str">
        <f>"zi"</f>
        <v>zi</v>
      </c>
      <c r="F21" t="str">
        <f>"tsi"</f>
        <v>tsi</v>
      </c>
      <c r="G21" t="str">
        <f>"ji"</f>
        <v>ji</v>
      </c>
      <c r="H21" t="str">
        <f>"zi"</f>
        <v>zi</v>
      </c>
      <c r="I21" t="str">
        <f>"chi"</f>
        <v>chi</v>
      </c>
      <c r="J21" t="str">
        <f>"止"</f>
        <v>止</v>
      </c>
      <c r="K21" t="str">
        <f>"ㄐ = ㄗㄧ"</f>
        <v>ㄐ = ㄗㄧ</v>
      </c>
    </row>
    <row r="22" spans="1:11">
      <c r="A22" t="str">
        <f>"21"</f>
        <v>21</v>
      </c>
      <c r="B22" t="str">
        <f>"ㄑ"</f>
        <v>ㄑ</v>
      </c>
      <c r="C22" t="str">
        <f>"出"</f>
        <v>出</v>
      </c>
      <c r="D22" t="str">
        <f>"ʨʰ"</f>
        <v>ʨʰ</v>
      </c>
      <c r="E22" t="str">
        <f>"ci"</f>
        <v>ci</v>
      </c>
      <c r="F22" t="str">
        <f>"tshi"</f>
        <v>tshi</v>
      </c>
      <c r="G22" t="str">
        <f>"chi"</f>
        <v>chi</v>
      </c>
      <c r="H22" t="str">
        <f>"ci"</f>
        <v>ci</v>
      </c>
      <c r="I22" t="str">
        <f>"chhi"</f>
        <v>chhi</v>
      </c>
      <c r="J22" t="str">
        <f>"測"</f>
        <v>測</v>
      </c>
      <c r="K22" t="str">
        <f>"ㄑ = ㄘㄧ"</f>
        <v>ㄑ = ㄘㄧ</v>
      </c>
    </row>
    <row r="23" spans="1:11">
      <c r="A23" t="str">
        <f>"22"</f>
        <v>22</v>
      </c>
      <c r="B23" t="str">
        <f>"ㄒ"</f>
        <v>ㄒ</v>
      </c>
      <c r="C23" t="str">
        <f>"時"</f>
        <v>時</v>
      </c>
      <c r="D23" t="str">
        <f>"ɕ"</f>
        <v>ɕ</v>
      </c>
      <c r="E23" t="str">
        <f>"si"</f>
        <v>si</v>
      </c>
      <c r="F23" t="str">
        <f>"si"</f>
        <v>si</v>
      </c>
      <c r="G23" t="str">
        <f>"shi"</f>
        <v>shi</v>
      </c>
      <c r="H23" t="str">
        <f>"si"</f>
        <v>si</v>
      </c>
      <c r="I23" t="str">
        <f>"si"</f>
        <v>si</v>
      </c>
      <c r="J23" t="str">
        <f>"惜"</f>
        <v>惜</v>
      </c>
      <c r="K23" t="str">
        <f>"ㄒ = ㄙㄧ"</f>
        <v>ㄒ = ㄙㄧ</v>
      </c>
    </row>
  </sheetData>
  <phoneticPr fontId="4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5F0A9-4D84-4813-9D11-1858F78A91DA}">
  <dimension ref="A1:Y52"/>
  <sheetViews>
    <sheetView workbookViewId="0">
      <selection activeCell="H27" sqref="H27"/>
    </sheetView>
  </sheetViews>
  <sheetFormatPr defaultRowHeight="25.5" outlineLevelCol="1"/>
  <cols>
    <col min="1" max="1" width="4.6640625" customWidth="1"/>
    <col min="3" max="3" width="0" style="85" hidden="1" customWidth="1" outlineLevel="1"/>
    <col min="4" max="4" width="8.6640625" collapsed="1"/>
    <col min="6" max="6" width="0" style="85" hidden="1" customWidth="1" outlineLevel="1"/>
    <col min="7" max="7" width="8.6640625" collapsed="1"/>
  </cols>
  <sheetData>
    <row r="1" spans="1:25" ht="26.25" thickBot="1"/>
    <row r="2" spans="1:25" ht="26.25" thickBot="1">
      <c r="B2" s="76" t="s">
        <v>934</v>
      </c>
      <c r="C2" s="86"/>
      <c r="D2" s="79" t="s">
        <v>1080</v>
      </c>
      <c r="E2" s="79"/>
      <c r="F2" s="86"/>
      <c r="G2" s="79" t="s">
        <v>875</v>
      </c>
      <c r="H2" s="79"/>
      <c r="I2" s="79" t="s">
        <v>1234</v>
      </c>
      <c r="J2" s="79"/>
      <c r="K2" s="79" t="s">
        <v>756</v>
      </c>
      <c r="L2" s="79"/>
      <c r="M2" s="80"/>
      <c r="N2" s="80"/>
      <c r="O2" s="80"/>
      <c r="P2" s="80"/>
      <c r="Q2" s="80"/>
      <c r="R2" s="80"/>
      <c r="S2" s="19" t="s">
        <v>1133</v>
      </c>
      <c r="T2" s="19" t="s">
        <v>1115</v>
      </c>
      <c r="U2" s="19" t="s">
        <v>1116</v>
      </c>
      <c r="V2" s="19"/>
      <c r="W2" s="19" t="s">
        <v>1117</v>
      </c>
      <c r="X2" t="s">
        <v>1115</v>
      </c>
      <c r="Y2" t="s">
        <v>1116</v>
      </c>
    </row>
    <row r="3" spans="1:25" ht="33.75" thickBot="1">
      <c r="A3">
        <f xml:space="preserve"> ROW() - 2</f>
        <v>1</v>
      </c>
      <c r="B3" s="89" t="s">
        <v>15</v>
      </c>
      <c r="C3" s="87" t="s">
        <v>957</v>
      </c>
      <c r="D3" s="83" t="s">
        <v>14</v>
      </c>
      <c r="E3" s="83" t="s">
        <v>22</v>
      </c>
      <c r="F3" s="87" t="s">
        <v>14</v>
      </c>
      <c r="G3" s="83" t="s">
        <v>14</v>
      </c>
      <c r="H3" s="83" t="s">
        <v>22</v>
      </c>
      <c r="I3" s="83" t="s">
        <v>14</v>
      </c>
      <c r="J3" s="83" t="s">
        <v>22</v>
      </c>
      <c r="K3" s="83" t="s">
        <v>14</v>
      </c>
      <c r="L3" s="83" t="s">
        <v>22</v>
      </c>
      <c r="M3" s="81"/>
      <c r="N3" s="82" t="str">
        <f t="shared" ref="N3:N52" si="0" xml:space="preserve"> Q3 &amp; T3 &amp; X3</f>
        <v/>
      </c>
      <c r="O3" s="82" t="str">
        <f xml:space="preserve"> U3 &amp; Y3</f>
        <v/>
      </c>
      <c r="P3" s="82"/>
      <c r="Q3" s="81"/>
      <c r="R3" s="81"/>
      <c r="S3" t="str">
        <f xml:space="preserve"> IFERROR( SEARCH($S$2, $I3), "")</f>
        <v/>
      </c>
      <c r="T3" t="str">
        <f xml:space="preserve"> IFERROR(LEFT($F3, S3-1), "")</f>
        <v/>
      </c>
      <c r="U3" t="str">
        <f>IFERROR( _xlfn.CONCAT(LEFT(T3,LEN(T3)-1), RIGHT(C3,1)), "")</f>
        <v/>
      </c>
      <c r="W3" t="str">
        <f xml:space="preserve"> IFERROR( SEARCH($W$2, $F3), "")</f>
        <v/>
      </c>
      <c r="X3" t="str">
        <f xml:space="preserve"> IF(AND(LEN(W3)&gt;0,W3&gt;0), LEFT(F3, LEN(F3)-3), "")</f>
        <v/>
      </c>
      <c r="Y3" t="str">
        <f t="shared" ref="Y3:Y6" si="1">IF(AND(LEN(W3)&gt;0,LEN(X3)&gt;0),_xlfn.CONCAT(X3,MID(C3,W3+1,1)), "")</f>
        <v/>
      </c>
    </row>
    <row r="4" spans="1:25" ht="33.75" thickBot="1">
      <c r="A4">
        <f t="shared" ref="A4:A52" si="2" xml:space="preserve"> ROW() - 2</f>
        <v>2</v>
      </c>
      <c r="B4" s="89" t="s">
        <v>28</v>
      </c>
      <c r="C4" s="87" t="s">
        <v>958</v>
      </c>
      <c r="D4" s="83" t="s">
        <v>27</v>
      </c>
      <c r="E4" s="83" t="s">
        <v>34</v>
      </c>
      <c r="F4" s="87" t="s">
        <v>1134</v>
      </c>
      <c r="G4" s="83" t="s">
        <v>1159</v>
      </c>
      <c r="H4" s="83" t="s">
        <v>1160</v>
      </c>
      <c r="I4" s="83" t="s">
        <v>1174</v>
      </c>
      <c r="J4" s="83" t="s">
        <v>1175</v>
      </c>
      <c r="K4" s="83" t="s">
        <v>1174</v>
      </c>
      <c r="L4" s="83" t="s">
        <v>1175</v>
      </c>
      <c r="M4" s="81"/>
      <c r="N4" s="82" t="str">
        <f t="shared" si="0"/>
        <v>ian</v>
      </c>
      <c r="O4" s="82" t="str">
        <f t="shared" ref="O4:O52" si="3" xml:space="preserve"> U4 &amp; Y4</f>
        <v>iat̚</v>
      </c>
      <c r="P4" s="82"/>
      <c r="Q4" s="82" t="str">
        <f xml:space="preserve"> IF( AND(S4="", W4=""), F4, "")</f>
        <v/>
      </c>
      <c r="R4" s="81"/>
      <c r="S4">
        <f t="shared" ref="S4:S52" si="4" xml:space="preserve"> IFERROR( SEARCH($S$2, $F4), "")</f>
        <v>4</v>
      </c>
      <c r="T4" t="str">
        <f xml:space="preserve"> IFERROR(LEFT($I4, S4-1), "")</f>
        <v>ian</v>
      </c>
      <c r="U4" t="str">
        <f>IFERROR( _xlfn.CONCAT(LEFT(T4,LEN(T4)-1), RIGHT(C4,1), _xlfn.UNICHAR(794)), "")</f>
        <v>iat̚</v>
      </c>
      <c r="W4" t="str">
        <f t="shared" ref="W4:W52" si="5" xml:space="preserve"> IFERROR( SEARCH($W$2, $F4), "")</f>
        <v/>
      </c>
      <c r="X4" t="str">
        <f t="shared" ref="X4:X52" si="6" xml:space="preserve"> IF(AND(LEN(W4)&gt;0,W4&gt;0), LEFT(F4, LEN(F4)-3), "")</f>
        <v/>
      </c>
      <c r="Y4" t="str">
        <f t="shared" si="1"/>
        <v/>
      </c>
    </row>
    <row r="5" spans="1:25" ht="33.75" thickBot="1">
      <c r="A5">
        <f t="shared" si="2"/>
        <v>3</v>
      </c>
      <c r="B5" s="89" t="s">
        <v>39</v>
      </c>
      <c r="C5" s="87" t="s">
        <v>959</v>
      </c>
      <c r="D5" s="83" t="s">
        <v>38</v>
      </c>
      <c r="E5" s="83" t="s">
        <v>46</v>
      </c>
      <c r="F5" s="87" t="s">
        <v>1135</v>
      </c>
      <c r="G5" s="83" t="s">
        <v>38</v>
      </c>
      <c r="H5" s="83" t="s">
        <v>44</v>
      </c>
      <c r="I5" s="83" t="s">
        <v>38</v>
      </c>
      <c r="J5" s="83" t="s">
        <v>1176</v>
      </c>
      <c r="K5" s="83" t="s">
        <v>38</v>
      </c>
      <c r="L5" s="83" t="s">
        <v>1176</v>
      </c>
      <c r="M5" s="81"/>
      <c r="N5" s="82" t="str">
        <f t="shared" si="0"/>
        <v>im</v>
      </c>
      <c r="O5" s="82" t="str">
        <f t="shared" si="3"/>
        <v>ip̚</v>
      </c>
      <c r="P5" s="82"/>
      <c r="Q5" s="82" t="str">
        <f t="shared" ref="Q5:Q52" si="7" xml:space="preserve"> IF( AND(S5="", W5=""), F5, "")</f>
        <v/>
      </c>
      <c r="R5" s="81"/>
      <c r="S5">
        <f t="shared" si="4"/>
        <v>3</v>
      </c>
      <c r="T5" t="str">
        <f t="shared" ref="T5:T52" si="8" xml:space="preserve"> IFERROR(LEFT($I5, S5-1), "")</f>
        <v>im</v>
      </c>
      <c r="U5" t="str">
        <f t="shared" ref="U5:U52" si="9">IFERROR( _xlfn.CONCAT(LEFT(T5,LEN(T5)-1), RIGHT(C5,1), _xlfn.UNICHAR(794)), "")</f>
        <v>ip̚</v>
      </c>
      <c r="W5" t="str">
        <f t="shared" si="5"/>
        <v/>
      </c>
      <c r="X5" t="str">
        <f t="shared" si="6"/>
        <v/>
      </c>
      <c r="Y5" t="str">
        <f t="shared" si="1"/>
        <v/>
      </c>
    </row>
    <row r="6" spans="1:25" ht="33.75" thickBot="1">
      <c r="A6">
        <f t="shared" si="2"/>
        <v>4</v>
      </c>
      <c r="B6" s="89" t="s">
        <v>51</v>
      </c>
      <c r="C6" s="87" t="s">
        <v>50</v>
      </c>
      <c r="D6" s="83" t="s">
        <v>50</v>
      </c>
      <c r="E6" s="88" t="s">
        <v>634</v>
      </c>
      <c r="F6" s="87" t="s">
        <v>50</v>
      </c>
      <c r="G6" s="83" t="s">
        <v>50</v>
      </c>
      <c r="H6" s="88" t="s">
        <v>634</v>
      </c>
      <c r="I6" s="83" t="s">
        <v>50</v>
      </c>
      <c r="J6" s="88" t="s">
        <v>634</v>
      </c>
      <c r="K6" s="83" t="s">
        <v>50</v>
      </c>
      <c r="L6" s="88" t="s">
        <v>634</v>
      </c>
      <c r="M6" s="81"/>
      <c r="N6" s="82" t="str">
        <f t="shared" si="0"/>
        <v>ui</v>
      </c>
      <c r="O6" s="82" t="str">
        <f t="shared" si="3"/>
        <v/>
      </c>
      <c r="P6" s="82"/>
      <c r="Q6" s="82" t="str">
        <f t="shared" si="7"/>
        <v>ui</v>
      </c>
      <c r="R6" s="82"/>
      <c r="S6" t="str">
        <f t="shared" si="4"/>
        <v/>
      </c>
      <c r="T6" t="str">
        <f t="shared" si="8"/>
        <v/>
      </c>
      <c r="U6" t="str">
        <f t="shared" si="9"/>
        <v/>
      </c>
      <c r="W6" t="str">
        <f t="shared" si="5"/>
        <v/>
      </c>
      <c r="X6" t="str">
        <f t="shared" si="6"/>
        <v/>
      </c>
      <c r="Y6" t="str">
        <f t="shared" si="1"/>
        <v/>
      </c>
    </row>
    <row r="7" spans="1:25" ht="33.75" thickBot="1">
      <c r="A7">
        <f t="shared" si="2"/>
        <v>5</v>
      </c>
      <c r="B7" s="89" t="s">
        <v>57</v>
      </c>
      <c r="C7" s="87" t="s">
        <v>1081</v>
      </c>
      <c r="D7" s="83" t="s">
        <v>56</v>
      </c>
      <c r="E7" s="83" t="s">
        <v>890</v>
      </c>
      <c r="F7" s="87" t="s">
        <v>1081</v>
      </c>
      <c r="G7" s="83" t="s">
        <v>56</v>
      </c>
      <c r="H7" s="83" t="s">
        <v>890</v>
      </c>
      <c r="I7" s="83" t="s">
        <v>1178</v>
      </c>
      <c r="J7" s="83" t="s">
        <v>1177</v>
      </c>
      <c r="K7" s="83" t="s">
        <v>1236</v>
      </c>
      <c r="L7" s="83" t="s">
        <v>1235</v>
      </c>
      <c r="M7" s="81"/>
      <c r="N7" s="82" t="str">
        <f t="shared" si="0"/>
        <v>ɛ</v>
      </c>
      <c r="O7" s="82" t="str">
        <f t="shared" si="3"/>
        <v>ɛʔ</v>
      </c>
      <c r="P7" s="82"/>
      <c r="Q7" s="82" t="str">
        <f t="shared" si="7"/>
        <v/>
      </c>
      <c r="R7" s="81"/>
      <c r="S7" t="str">
        <f t="shared" si="4"/>
        <v/>
      </c>
      <c r="T7" t="str">
        <f t="shared" si="8"/>
        <v/>
      </c>
      <c r="U7" t="str">
        <f t="shared" si="9"/>
        <v/>
      </c>
      <c r="W7">
        <f t="shared" si="5"/>
        <v>2</v>
      </c>
      <c r="X7" t="str">
        <f t="shared" si="6"/>
        <v>ɛ</v>
      </c>
      <c r="Y7" t="str">
        <f t="shared" ref="Y7:Y45" si="10">IF(AND(LEN(W7)&gt;0,LEN(X7)&gt;0),_xlfn.CONCAT(X7,MID(C7,W7+1,1)), "")</f>
        <v>ɛʔ</v>
      </c>
    </row>
    <row r="8" spans="1:25" ht="33.75" thickBot="1">
      <c r="A8">
        <f t="shared" si="2"/>
        <v>6</v>
      </c>
      <c r="B8" s="89" t="s">
        <v>1251</v>
      </c>
      <c r="C8" s="87" t="s">
        <v>961</v>
      </c>
      <c r="D8" s="83" t="s">
        <v>69</v>
      </c>
      <c r="E8" s="83" t="s">
        <v>77</v>
      </c>
      <c r="F8" s="87" t="s">
        <v>1136</v>
      </c>
      <c r="G8" s="83" t="s">
        <v>69</v>
      </c>
      <c r="H8" s="83" t="s">
        <v>75</v>
      </c>
      <c r="I8" s="83" t="s">
        <v>1179</v>
      </c>
      <c r="J8" s="83" t="s">
        <v>1180</v>
      </c>
      <c r="K8" s="83" t="s">
        <v>1179</v>
      </c>
      <c r="L8" s="83" t="s">
        <v>1180</v>
      </c>
      <c r="M8" s="81"/>
      <c r="N8" s="82" t="str">
        <f t="shared" si="0"/>
        <v>an</v>
      </c>
      <c r="O8" s="82" t="str">
        <f t="shared" si="3"/>
        <v>at̚</v>
      </c>
      <c r="P8" s="82"/>
      <c r="Q8" s="82" t="str">
        <f t="shared" si="7"/>
        <v/>
      </c>
      <c r="R8" s="81"/>
      <c r="S8">
        <f t="shared" si="4"/>
        <v>3</v>
      </c>
      <c r="T8" t="str">
        <f t="shared" si="8"/>
        <v>an</v>
      </c>
      <c r="U8" t="str">
        <f t="shared" si="9"/>
        <v>at̚</v>
      </c>
      <c r="W8" t="str">
        <f t="shared" si="5"/>
        <v/>
      </c>
      <c r="X8" t="str">
        <f t="shared" si="6"/>
        <v/>
      </c>
      <c r="Y8" t="str">
        <f t="shared" si="10"/>
        <v/>
      </c>
    </row>
    <row r="9" spans="1:25" ht="33.75" thickBot="1">
      <c r="A9">
        <f t="shared" si="2"/>
        <v>7</v>
      </c>
      <c r="B9" s="89" t="s">
        <v>82</v>
      </c>
      <c r="C9" s="87" t="s">
        <v>1082</v>
      </c>
      <c r="D9" s="83" t="s">
        <v>81</v>
      </c>
      <c r="E9" s="83" t="s">
        <v>850</v>
      </c>
      <c r="F9" s="87" t="s">
        <v>1137</v>
      </c>
      <c r="G9" s="83" t="s">
        <v>81</v>
      </c>
      <c r="H9" s="83" t="s">
        <v>88</v>
      </c>
      <c r="I9" s="83" t="s">
        <v>1183</v>
      </c>
      <c r="J9" s="83" t="s">
        <v>1182</v>
      </c>
      <c r="K9" s="83" t="s">
        <v>1183</v>
      </c>
      <c r="L9" s="83" t="s">
        <v>1182</v>
      </c>
      <c r="M9" s="81"/>
      <c r="N9" s="82" t="str">
        <f t="shared" si="0"/>
        <v>on</v>
      </c>
      <c r="O9" s="82" t="str">
        <f t="shared" si="3"/>
        <v>ok̚</v>
      </c>
      <c r="P9" s="82"/>
      <c r="Q9" s="82" t="str">
        <f t="shared" si="7"/>
        <v/>
      </c>
      <c r="R9" s="81"/>
      <c r="S9">
        <f t="shared" si="4"/>
        <v>3</v>
      </c>
      <c r="T9" t="str">
        <f t="shared" si="8"/>
        <v>on</v>
      </c>
      <c r="U9" t="str">
        <f t="shared" si="9"/>
        <v>ok̚</v>
      </c>
      <c r="W9" t="str">
        <f t="shared" si="5"/>
        <v/>
      </c>
      <c r="X9" t="str">
        <f t="shared" si="6"/>
        <v/>
      </c>
      <c r="Y9" t="str">
        <f t="shared" si="10"/>
        <v/>
      </c>
    </row>
    <row r="10" spans="1:25" ht="33.75" thickBot="1">
      <c r="A10">
        <f t="shared" si="2"/>
        <v>8</v>
      </c>
      <c r="B10" s="89" t="s">
        <v>95</v>
      </c>
      <c r="C10" s="87" t="s">
        <v>1083</v>
      </c>
      <c r="D10" s="83" t="s">
        <v>94</v>
      </c>
      <c r="E10" s="83" t="s">
        <v>1118</v>
      </c>
      <c r="F10" s="87" t="s">
        <v>1083</v>
      </c>
      <c r="G10" s="83" t="s">
        <v>94</v>
      </c>
      <c r="H10" s="83" t="s">
        <v>1118</v>
      </c>
      <c r="I10" s="83" t="s">
        <v>1208</v>
      </c>
      <c r="J10" s="83" t="s">
        <v>1184</v>
      </c>
      <c r="K10" s="83" t="s">
        <v>1208</v>
      </c>
      <c r="L10" s="83" t="s">
        <v>1184</v>
      </c>
      <c r="M10" s="81"/>
      <c r="N10" s="82" t="str">
        <f t="shared" si="0"/>
        <v>uai</v>
      </c>
      <c r="O10" s="82" t="str">
        <f t="shared" si="3"/>
        <v>uaiʔ</v>
      </c>
      <c r="P10" s="82"/>
      <c r="Q10" s="82" t="str">
        <f t="shared" si="7"/>
        <v/>
      </c>
      <c r="R10" s="81"/>
      <c r="S10" t="str">
        <f t="shared" si="4"/>
        <v/>
      </c>
      <c r="T10" t="str">
        <f t="shared" si="8"/>
        <v/>
      </c>
      <c r="U10" t="str">
        <f t="shared" si="9"/>
        <v/>
      </c>
      <c r="W10">
        <f t="shared" si="5"/>
        <v>4</v>
      </c>
      <c r="X10" t="str">
        <f t="shared" si="6"/>
        <v>uai</v>
      </c>
      <c r="Y10" t="str">
        <f t="shared" si="10"/>
        <v>uaiʔ</v>
      </c>
    </row>
    <row r="11" spans="1:25" ht="33.75" thickBot="1">
      <c r="A11">
        <f t="shared" si="2"/>
        <v>9</v>
      </c>
      <c r="B11" s="89" t="s">
        <v>107</v>
      </c>
      <c r="C11" s="87" t="s">
        <v>1084</v>
      </c>
      <c r="D11" s="83" t="s">
        <v>1119</v>
      </c>
      <c r="E11" s="83" t="s">
        <v>1120</v>
      </c>
      <c r="F11" s="87" t="s">
        <v>1138</v>
      </c>
      <c r="G11" s="83" t="s">
        <v>1161</v>
      </c>
      <c r="H11" s="83" t="s">
        <v>1162</v>
      </c>
      <c r="I11" s="83" t="s">
        <v>1209</v>
      </c>
      <c r="J11" s="83" t="s">
        <v>1185</v>
      </c>
      <c r="K11" s="83" t="s">
        <v>1209</v>
      </c>
      <c r="L11" s="83" t="s">
        <v>1185</v>
      </c>
      <c r="M11" s="81"/>
      <c r="N11" s="82" t="str">
        <f t="shared" si="0"/>
        <v>in</v>
      </c>
      <c r="O11" s="82" t="str">
        <f t="shared" si="3"/>
        <v>ik̚</v>
      </c>
      <c r="P11" s="82"/>
      <c r="Q11" s="82" t="str">
        <f t="shared" si="7"/>
        <v/>
      </c>
      <c r="R11" s="81"/>
      <c r="S11">
        <f t="shared" si="4"/>
        <v>3</v>
      </c>
      <c r="T11" t="str">
        <f t="shared" si="8"/>
        <v>in</v>
      </c>
      <c r="U11" t="str">
        <f t="shared" si="9"/>
        <v>ik̚</v>
      </c>
      <c r="W11" t="str">
        <f t="shared" si="5"/>
        <v/>
      </c>
      <c r="X11" t="str">
        <f t="shared" si="6"/>
        <v/>
      </c>
      <c r="Y11" t="str">
        <f t="shared" si="10"/>
        <v/>
      </c>
    </row>
    <row r="12" spans="1:25" ht="33.75" thickBot="1">
      <c r="A12">
        <f t="shared" si="2"/>
        <v>10</v>
      </c>
      <c r="B12" s="89" t="s">
        <v>121</v>
      </c>
      <c r="C12" s="87" t="s">
        <v>965</v>
      </c>
      <c r="D12" s="83" t="s">
        <v>120</v>
      </c>
      <c r="E12" s="83" t="s">
        <v>129</v>
      </c>
      <c r="F12" s="87" t="s">
        <v>1139</v>
      </c>
      <c r="G12" s="83" t="s">
        <v>120</v>
      </c>
      <c r="H12" s="83" t="s">
        <v>127</v>
      </c>
      <c r="I12" s="83" t="s">
        <v>1210</v>
      </c>
      <c r="J12" s="83" t="s">
        <v>1186</v>
      </c>
      <c r="K12" s="83" t="s">
        <v>1210</v>
      </c>
      <c r="L12" s="83" t="s">
        <v>1186</v>
      </c>
      <c r="M12" s="81"/>
      <c r="N12" s="82" t="str">
        <f t="shared" si="0"/>
        <v>uan</v>
      </c>
      <c r="O12" s="82" t="str">
        <f t="shared" si="3"/>
        <v>uat̚</v>
      </c>
      <c r="P12" s="82"/>
      <c r="Q12" s="82" t="str">
        <f t="shared" si="7"/>
        <v/>
      </c>
      <c r="R12" s="81"/>
      <c r="S12">
        <f t="shared" si="4"/>
        <v>4</v>
      </c>
      <c r="T12" t="str">
        <f t="shared" si="8"/>
        <v>uan</v>
      </c>
      <c r="U12" t="str">
        <f t="shared" si="9"/>
        <v>uat̚</v>
      </c>
      <c r="W12" t="str">
        <f t="shared" si="5"/>
        <v/>
      </c>
      <c r="X12" t="str">
        <f t="shared" si="6"/>
        <v/>
      </c>
      <c r="Y12" t="str">
        <f t="shared" si="10"/>
        <v/>
      </c>
    </row>
    <row r="13" spans="1:25" ht="33.75" thickBot="1">
      <c r="A13">
        <f t="shared" si="2"/>
        <v>11</v>
      </c>
      <c r="B13" s="89" t="s">
        <v>135</v>
      </c>
      <c r="C13" s="87" t="s">
        <v>858</v>
      </c>
      <c r="D13" s="83" t="s">
        <v>858</v>
      </c>
      <c r="E13" s="88" t="s">
        <v>634</v>
      </c>
      <c r="F13" s="87" t="s">
        <v>851</v>
      </c>
      <c r="G13" s="83" t="s">
        <v>851</v>
      </c>
      <c r="H13" s="88" t="s">
        <v>634</v>
      </c>
      <c r="I13" s="83" t="s">
        <v>136</v>
      </c>
      <c r="J13" s="88" t="s">
        <v>634</v>
      </c>
      <c r="K13" s="83" t="s">
        <v>136</v>
      </c>
      <c r="L13" s="88" t="s">
        <v>634</v>
      </c>
      <c r="M13" s="81"/>
      <c r="N13" s="82" t="str">
        <f t="shared" si="0"/>
        <v>ɔ</v>
      </c>
      <c r="O13" s="82" t="str">
        <f t="shared" si="3"/>
        <v/>
      </c>
      <c r="P13" s="82"/>
      <c r="Q13" s="82" t="str">
        <f t="shared" si="7"/>
        <v>ɔ</v>
      </c>
      <c r="R13" s="81"/>
      <c r="S13" t="str">
        <f t="shared" si="4"/>
        <v/>
      </c>
      <c r="T13" t="str">
        <f t="shared" si="8"/>
        <v/>
      </c>
      <c r="U13" t="str">
        <f t="shared" si="9"/>
        <v/>
      </c>
      <c r="W13" t="str">
        <f t="shared" si="5"/>
        <v/>
      </c>
      <c r="X13" t="str">
        <f t="shared" si="6"/>
        <v/>
      </c>
      <c r="Y13" t="str">
        <f t="shared" si="10"/>
        <v/>
      </c>
    </row>
    <row r="14" spans="1:25" ht="33.75" thickBot="1">
      <c r="A14">
        <f t="shared" si="2"/>
        <v>12</v>
      </c>
      <c r="B14" s="89" t="s">
        <v>142</v>
      </c>
      <c r="C14" s="87" t="s">
        <v>1085</v>
      </c>
      <c r="D14" s="83" t="s">
        <v>141</v>
      </c>
      <c r="E14" s="83" t="s">
        <v>781</v>
      </c>
      <c r="F14" s="87" t="s">
        <v>1140</v>
      </c>
      <c r="G14" s="83" t="s">
        <v>1163</v>
      </c>
      <c r="H14" s="83" t="s">
        <v>1164</v>
      </c>
      <c r="I14" s="83" t="s">
        <v>1211</v>
      </c>
      <c r="J14" s="83" t="s">
        <v>1187</v>
      </c>
      <c r="K14" s="83" t="s">
        <v>1238</v>
      </c>
      <c r="L14" s="83" t="s">
        <v>1237</v>
      </c>
      <c r="M14" s="81"/>
      <c r="N14" s="82" t="str">
        <f t="shared" si="0"/>
        <v>ɪaʊ</v>
      </c>
      <c r="O14" s="82" t="str">
        <f t="shared" si="3"/>
        <v>ɪaʊʔ</v>
      </c>
      <c r="P14" s="82"/>
      <c r="Q14" s="82" t="str">
        <f t="shared" si="7"/>
        <v/>
      </c>
      <c r="R14" s="81"/>
      <c r="S14" t="str">
        <f t="shared" si="4"/>
        <v/>
      </c>
      <c r="T14" t="str">
        <f t="shared" si="8"/>
        <v/>
      </c>
      <c r="U14" t="str">
        <f t="shared" si="9"/>
        <v/>
      </c>
      <c r="W14">
        <f t="shared" si="5"/>
        <v>4</v>
      </c>
      <c r="X14" t="str">
        <f t="shared" si="6"/>
        <v>ɪaʊ</v>
      </c>
      <c r="Y14" t="str">
        <f t="shared" si="10"/>
        <v>ɪaʊʔ</v>
      </c>
    </row>
    <row r="15" spans="1:25" ht="33.75" thickBot="1">
      <c r="A15">
        <f t="shared" si="2"/>
        <v>13</v>
      </c>
      <c r="B15" s="89" t="s">
        <v>154</v>
      </c>
      <c r="C15" s="87" t="s">
        <v>153</v>
      </c>
      <c r="D15" s="83" t="s">
        <v>153</v>
      </c>
      <c r="E15" s="88" t="s">
        <v>634</v>
      </c>
      <c r="F15" s="87" t="s">
        <v>60</v>
      </c>
      <c r="G15" s="83" t="s">
        <v>60</v>
      </c>
      <c r="H15" s="88" t="s">
        <v>634</v>
      </c>
      <c r="I15" s="83" t="s">
        <v>60</v>
      </c>
      <c r="J15" s="88"/>
      <c r="K15" s="83" t="s">
        <v>60</v>
      </c>
      <c r="L15" s="88"/>
      <c r="M15" s="81"/>
      <c r="N15" s="82" t="str">
        <f t="shared" si="0"/>
        <v>e</v>
      </c>
      <c r="O15" s="82" t="str">
        <f t="shared" si="3"/>
        <v/>
      </c>
      <c r="P15" s="82"/>
      <c r="Q15" s="82" t="str">
        <f t="shared" si="7"/>
        <v>e</v>
      </c>
      <c r="R15" s="81"/>
      <c r="S15" t="str">
        <f t="shared" si="4"/>
        <v/>
      </c>
      <c r="T15" t="str">
        <f t="shared" si="8"/>
        <v/>
      </c>
      <c r="U15" t="str">
        <f t="shared" si="9"/>
        <v/>
      </c>
      <c r="W15" t="str">
        <f t="shared" si="5"/>
        <v/>
      </c>
      <c r="X15" t="str">
        <f t="shared" si="6"/>
        <v/>
      </c>
      <c r="Y15" t="str">
        <f t="shared" si="10"/>
        <v/>
      </c>
    </row>
    <row r="16" spans="1:25" ht="33.75" thickBot="1">
      <c r="A16">
        <f t="shared" si="2"/>
        <v>14</v>
      </c>
      <c r="B16" s="89" t="s">
        <v>160</v>
      </c>
      <c r="C16" s="87" t="s">
        <v>1086</v>
      </c>
      <c r="D16" s="83" t="s">
        <v>159</v>
      </c>
      <c r="E16" s="83" t="s">
        <v>1121</v>
      </c>
      <c r="F16" s="87" t="s">
        <v>1141</v>
      </c>
      <c r="G16" s="83" t="s">
        <v>1165</v>
      </c>
      <c r="H16" s="83" t="s">
        <v>1166</v>
      </c>
      <c r="I16" s="83" t="s">
        <v>1212</v>
      </c>
      <c r="J16" s="83" t="s">
        <v>1188</v>
      </c>
      <c r="K16" s="83" t="s">
        <v>1212</v>
      </c>
      <c r="L16" s="83" t="s">
        <v>1188</v>
      </c>
      <c r="M16" s="81"/>
      <c r="N16" s="82" t="str">
        <f t="shared" si="0"/>
        <v>ion</v>
      </c>
      <c r="O16" s="82" t="str">
        <f t="shared" si="3"/>
        <v>iok̚</v>
      </c>
      <c r="P16" s="82"/>
      <c r="Q16" s="82" t="str">
        <f t="shared" si="7"/>
        <v/>
      </c>
      <c r="R16" s="81"/>
      <c r="S16">
        <f t="shared" si="4"/>
        <v>4</v>
      </c>
      <c r="T16" t="str">
        <f t="shared" si="8"/>
        <v>ion</v>
      </c>
      <c r="U16" t="str">
        <f t="shared" si="9"/>
        <v>iok̚</v>
      </c>
      <c r="W16" t="str">
        <f t="shared" si="5"/>
        <v/>
      </c>
      <c r="X16" t="str">
        <f t="shared" si="6"/>
        <v/>
      </c>
      <c r="Y16" t="str">
        <f t="shared" si="10"/>
        <v/>
      </c>
    </row>
    <row r="17" spans="1:25" ht="33.75" thickBot="1">
      <c r="A17">
        <f t="shared" si="2"/>
        <v>15</v>
      </c>
      <c r="B17" s="89" t="s">
        <v>172</v>
      </c>
      <c r="C17" s="87" t="s">
        <v>1087</v>
      </c>
      <c r="D17" s="83" t="s">
        <v>171</v>
      </c>
      <c r="E17" s="83" t="s">
        <v>849</v>
      </c>
      <c r="F17" s="87" t="s">
        <v>1087</v>
      </c>
      <c r="G17" s="83" t="s">
        <v>171</v>
      </c>
      <c r="H17" s="83" t="s">
        <v>849</v>
      </c>
      <c r="I17" s="83" t="s">
        <v>1213</v>
      </c>
      <c r="J17" s="83" t="s">
        <v>1189</v>
      </c>
      <c r="K17" s="83" t="s">
        <v>1213</v>
      </c>
      <c r="L17" s="83" t="s">
        <v>1189</v>
      </c>
      <c r="M17" s="81"/>
      <c r="N17" s="82" t="str">
        <f t="shared" si="0"/>
        <v>o</v>
      </c>
      <c r="O17" s="82" t="str">
        <f t="shared" si="3"/>
        <v>oʔ</v>
      </c>
      <c r="P17" s="82"/>
      <c r="Q17" s="82" t="str">
        <f t="shared" si="7"/>
        <v/>
      </c>
      <c r="R17" s="81"/>
      <c r="S17" t="str">
        <f t="shared" si="4"/>
        <v/>
      </c>
      <c r="T17" t="str">
        <f t="shared" si="8"/>
        <v/>
      </c>
      <c r="U17" t="str">
        <f t="shared" si="9"/>
        <v/>
      </c>
      <c r="W17">
        <f t="shared" si="5"/>
        <v>2</v>
      </c>
      <c r="X17" t="str">
        <f t="shared" si="6"/>
        <v>o</v>
      </c>
      <c r="Y17" t="str">
        <f t="shared" si="10"/>
        <v>oʔ</v>
      </c>
    </row>
    <row r="18" spans="1:25" ht="33.75" thickBot="1">
      <c r="A18">
        <f t="shared" si="2"/>
        <v>16</v>
      </c>
      <c r="B18" s="89" t="s">
        <v>184</v>
      </c>
      <c r="C18" s="87" t="s">
        <v>183</v>
      </c>
      <c r="D18" s="83" t="s">
        <v>183</v>
      </c>
      <c r="E18" s="88" t="s">
        <v>634</v>
      </c>
      <c r="F18" s="87" t="s">
        <v>1142</v>
      </c>
      <c r="G18" s="83" t="s">
        <v>1142</v>
      </c>
      <c r="H18" s="88" t="s">
        <v>634</v>
      </c>
      <c r="I18" s="83" t="s">
        <v>183</v>
      </c>
      <c r="J18" s="88" t="s">
        <v>634</v>
      </c>
      <c r="K18" s="83" t="s">
        <v>183</v>
      </c>
      <c r="L18" s="88" t="s">
        <v>634</v>
      </c>
      <c r="M18" s="81"/>
      <c r="N18" s="82" t="str">
        <f t="shared" si="0"/>
        <v>aɪ</v>
      </c>
      <c r="O18" s="82" t="str">
        <f t="shared" si="3"/>
        <v/>
      </c>
      <c r="P18" s="82"/>
      <c r="Q18" s="82" t="str">
        <f t="shared" si="7"/>
        <v>aɪ</v>
      </c>
      <c r="R18" s="81"/>
      <c r="S18" t="str">
        <f t="shared" si="4"/>
        <v/>
      </c>
      <c r="T18" t="str">
        <f t="shared" si="8"/>
        <v/>
      </c>
      <c r="U18" t="str">
        <f t="shared" si="9"/>
        <v/>
      </c>
      <c r="W18" t="str">
        <f t="shared" si="5"/>
        <v/>
      </c>
      <c r="X18" t="str">
        <f t="shared" si="6"/>
        <v/>
      </c>
      <c r="Y18" t="str">
        <f t="shared" si="10"/>
        <v/>
      </c>
    </row>
    <row r="19" spans="1:25" ht="33.75" thickBot="1">
      <c r="A19">
        <f t="shared" si="2"/>
        <v>17</v>
      </c>
      <c r="B19" s="89" t="s">
        <v>190</v>
      </c>
      <c r="C19" s="87" t="s">
        <v>991</v>
      </c>
      <c r="D19" s="83" t="s">
        <v>189</v>
      </c>
      <c r="E19" s="83" t="s">
        <v>197</v>
      </c>
      <c r="F19" s="87" t="s">
        <v>1143</v>
      </c>
      <c r="G19" s="83" t="s">
        <v>189</v>
      </c>
      <c r="H19" s="83" t="s">
        <v>195</v>
      </c>
      <c r="I19" s="83" t="s">
        <v>1214</v>
      </c>
      <c r="J19" s="83" t="s">
        <v>1190</v>
      </c>
      <c r="K19" s="83" t="s">
        <v>1214</v>
      </c>
      <c r="L19" s="83" t="s">
        <v>1190</v>
      </c>
      <c r="M19" s="81"/>
      <c r="N19" s="82" t="str">
        <f t="shared" si="0"/>
        <v>in</v>
      </c>
      <c r="O19" s="82" t="str">
        <f t="shared" si="3"/>
        <v>it̚</v>
      </c>
      <c r="P19" s="82"/>
      <c r="Q19" s="82" t="str">
        <f t="shared" si="7"/>
        <v/>
      </c>
      <c r="R19" s="81"/>
      <c r="S19">
        <f t="shared" si="4"/>
        <v>3</v>
      </c>
      <c r="T19" t="str">
        <f t="shared" si="8"/>
        <v>in</v>
      </c>
      <c r="U19" t="str">
        <f t="shared" si="9"/>
        <v>it̚</v>
      </c>
      <c r="W19" t="str">
        <f t="shared" si="5"/>
        <v/>
      </c>
      <c r="X19" t="str">
        <f t="shared" si="6"/>
        <v/>
      </c>
      <c r="Y19" t="str">
        <f t="shared" si="10"/>
        <v/>
      </c>
    </row>
    <row r="20" spans="1:25" ht="33.75" thickBot="1">
      <c r="A20">
        <f t="shared" si="2"/>
        <v>18</v>
      </c>
      <c r="B20" s="89" t="s">
        <v>202</v>
      </c>
      <c r="C20" s="87" t="s">
        <v>1088</v>
      </c>
      <c r="D20" s="83" t="s">
        <v>201</v>
      </c>
      <c r="E20" s="83" t="s">
        <v>207</v>
      </c>
      <c r="F20" s="87" t="s">
        <v>1144</v>
      </c>
      <c r="G20" s="83" t="s">
        <v>1167</v>
      </c>
      <c r="H20" s="83" t="s">
        <v>1168</v>
      </c>
      <c r="I20" s="83" t="s">
        <v>1215</v>
      </c>
      <c r="J20" s="83" t="s">
        <v>1191</v>
      </c>
      <c r="K20" s="83" t="s">
        <v>1215</v>
      </c>
      <c r="L20" s="83" t="s">
        <v>1191</v>
      </c>
      <c r="M20" s="81"/>
      <c r="N20" s="82" t="str">
        <f t="shared" si="0"/>
        <v>ian</v>
      </c>
      <c r="O20" s="82" t="str">
        <f t="shared" si="3"/>
        <v>iak̚</v>
      </c>
      <c r="P20" s="82"/>
      <c r="Q20" s="82" t="str">
        <f t="shared" si="7"/>
        <v/>
      </c>
      <c r="R20" s="81"/>
      <c r="S20">
        <f t="shared" si="4"/>
        <v>4</v>
      </c>
      <c r="T20" t="str">
        <f t="shared" si="8"/>
        <v>ian</v>
      </c>
      <c r="U20" t="str">
        <f t="shared" si="9"/>
        <v>iak̚</v>
      </c>
      <c r="W20" t="str">
        <f t="shared" si="5"/>
        <v/>
      </c>
      <c r="X20" t="str">
        <f t="shared" si="6"/>
        <v/>
      </c>
      <c r="Y20" t="str">
        <f t="shared" si="10"/>
        <v/>
      </c>
    </row>
    <row r="21" spans="1:25" ht="33.75" thickBot="1">
      <c r="A21">
        <f t="shared" si="2"/>
        <v>19</v>
      </c>
      <c r="B21" s="89" t="s">
        <v>212</v>
      </c>
      <c r="C21" s="87" t="s">
        <v>993</v>
      </c>
      <c r="D21" s="83" t="s">
        <v>211</v>
      </c>
      <c r="E21" s="83" t="s">
        <v>219</v>
      </c>
      <c r="F21" s="87" t="s">
        <v>1145</v>
      </c>
      <c r="G21" s="83" t="s">
        <v>211</v>
      </c>
      <c r="H21" s="83" t="s">
        <v>217</v>
      </c>
      <c r="I21" s="83" t="s">
        <v>1216</v>
      </c>
      <c r="J21" s="83" t="s">
        <v>1192</v>
      </c>
      <c r="K21" s="83" t="s">
        <v>1216</v>
      </c>
      <c r="L21" s="83" t="s">
        <v>1192</v>
      </c>
      <c r="M21" s="81"/>
      <c r="N21" s="82" t="str">
        <f t="shared" si="0"/>
        <v>am</v>
      </c>
      <c r="O21" s="82" t="str">
        <f t="shared" si="3"/>
        <v>ap̚</v>
      </c>
      <c r="P21" s="82"/>
      <c r="Q21" s="82" t="str">
        <f t="shared" si="7"/>
        <v/>
      </c>
      <c r="R21" s="81"/>
      <c r="S21">
        <f t="shared" si="4"/>
        <v>3</v>
      </c>
      <c r="T21" t="str">
        <f t="shared" si="8"/>
        <v>am</v>
      </c>
      <c r="U21" t="str">
        <f t="shared" si="9"/>
        <v>ap̚</v>
      </c>
      <c r="W21" t="str">
        <f t="shared" si="5"/>
        <v/>
      </c>
      <c r="X21" t="str">
        <f t="shared" si="6"/>
        <v/>
      </c>
      <c r="Y21" t="str">
        <f t="shared" si="10"/>
        <v/>
      </c>
    </row>
    <row r="22" spans="1:25" ht="33.75" thickBot="1">
      <c r="A22">
        <f t="shared" si="2"/>
        <v>20</v>
      </c>
      <c r="B22" s="89" t="s">
        <v>224</v>
      </c>
      <c r="C22" s="87" t="s">
        <v>1089</v>
      </c>
      <c r="D22" s="83" t="s">
        <v>223</v>
      </c>
      <c r="E22" s="83" t="s">
        <v>823</v>
      </c>
      <c r="F22" s="87" t="s">
        <v>1089</v>
      </c>
      <c r="G22" s="83" t="s">
        <v>223</v>
      </c>
      <c r="H22" s="83" t="s">
        <v>823</v>
      </c>
      <c r="I22" s="83" t="s">
        <v>1217</v>
      </c>
      <c r="J22" s="83" t="s">
        <v>1193</v>
      </c>
      <c r="K22" s="83" t="s">
        <v>1217</v>
      </c>
      <c r="L22" s="83" t="s">
        <v>1193</v>
      </c>
      <c r="M22" s="81"/>
      <c r="N22" s="82" t="str">
        <f t="shared" si="0"/>
        <v>ua</v>
      </c>
      <c r="O22" s="82" t="str">
        <f t="shared" si="3"/>
        <v>uaʔ</v>
      </c>
      <c r="P22" s="82"/>
      <c r="Q22" s="82" t="str">
        <f t="shared" si="7"/>
        <v/>
      </c>
      <c r="R22" s="81"/>
      <c r="S22" t="str">
        <f t="shared" si="4"/>
        <v/>
      </c>
      <c r="T22" t="str">
        <f t="shared" si="8"/>
        <v/>
      </c>
      <c r="U22" t="str">
        <f t="shared" si="9"/>
        <v/>
      </c>
      <c r="W22">
        <f t="shared" si="5"/>
        <v>3</v>
      </c>
      <c r="X22" t="str">
        <f t="shared" si="6"/>
        <v>ua</v>
      </c>
      <c r="Y22" t="str">
        <f t="shared" si="10"/>
        <v>uaʔ</v>
      </c>
    </row>
    <row r="23" spans="1:25" ht="33.75" thickBot="1">
      <c r="A23">
        <f t="shared" si="2"/>
        <v>21</v>
      </c>
      <c r="B23" s="89" t="s">
        <v>236</v>
      </c>
      <c r="C23" s="87" t="s">
        <v>1090</v>
      </c>
      <c r="D23" s="83" t="s">
        <v>235</v>
      </c>
      <c r="E23" s="83" t="s">
        <v>243</v>
      </c>
      <c r="F23" s="87" t="s">
        <v>1146</v>
      </c>
      <c r="G23" s="83" t="s">
        <v>235</v>
      </c>
      <c r="H23" s="83" t="s">
        <v>241</v>
      </c>
      <c r="I23" s="83" t="s">
        <v>1218</v>
      </c>
      <c r="J23" s="83" t="s">
        <v>1181</v>
      </c>
      <c r="K23" s="83" t="s">
        <v>1218</v>
      </c>
      <c r="L23" s="83" t="s">
        <v>1181</v>
      </c>
      <c r="M23" s="81"/>
      <c r="N23" s="82" t="str">
        <f t="shared" si="0"/>
        <v>an</v>
      </c>
      <c r="O23" s="82" t="str">
        <f t="shared" si="3"/>
        <v>ak̚</v>
      </c>
      <c r="P23" s="82"/>
      <c r="Q23" s="82" t="str">
        <f t="shared" si="7"/>
        <v/>
      </c>
      <c r="R23" s="81"/>
      <c r="S23">
        <f t="shared" si="4"/>
        <v>3</v>
      </c>
      <c r="T23" t="str">
        <f t="shared" si="8"/>
        <v>an</v>
      </c>
      <c r="U23" t="str">
        <f t="shared" si="9"/>
        <v>ak̚</v>
      </c>
      <c r="W23" t="str">
        <f t="shared" si="5"/>
        <v/>
      </c>
      <c r="X23" t="str">
        <f t="shared" si="6"/>
        <v/>
      </c>
      <c r="Y23" t="str">
        <f t="shared" si="10"/>
        <v/>
      </c>
    </row>
    <row r="24" spans="1:25" ht="33.75" thickBot="1">
      <c r="A24">
        <f t="shared" si="2"/>
        <v>22</v>
      </c>
      <c r="B24" s="89" t="s">
        <v>248</v>
      </c>
      <c r="C24" s="87" t="s">
        <v>1017</v>
      </c>
      <c r="D24" s="83" t="s">
        <v>247</v>
      </c>
      <c r="E24" s="83" t="s">
        <v>256</v>
      </c>
      <c r="F24" s="87" t="s">
        <v>1147</v>
      </c>
      <c r="G24" s="83" t="s">
        <v>247</v>
      </c>
      <c r="H24" s="83" t="s">
        <v>254</v>
      </c>
      <c r="I24" s="83" t="s">
        <v>1219</v>
      </c>
      <c r="J24" s="83" t="s">
        <v>1194</v>
      </c>
      <c r="K24" s="83" t="s">
        <v>1219</v>
      </c>
      <c r="L24" s="83" t="s">
        <v>1194</v>
      </c>
      <c r="M24" s="81"/>
      <c r="N24" s="82" t="str">
        <f t="shared" si="0"/>
        <v>iam</v>
      </c>
      <c r="O24" s="82" t="str">
        <f t="shared" si="3"/>
        <v>iap̚</v>
      </c>
      <c r="P24" s="82"/>
      <c r="Q24" s="82" t="str">
        <f t="shared" si="7"/>
        <v/>
      </c>
      <c r="R24" s="81"/>
      <c r="S24">
        <f t="shared" si="4"/>
        <v>4</v>
      </c>
      <c r="T24" t="str">
        <f t="shared" si="8"/>
        <v>iam</v>
      </c>
      <c r="U24" t="str">
        <f t="shared" si="9"/>
        <v>iap̚</v>
      </c>
      <c r="W24" t="str">
        <f t="shared" si="5"/>
        <v/>
      </c>
      <c r="X24" t="str">
        <f t="shared" si="6"/>
        <v/>
      </c>
      <c r="Y24" t="str">
        <f t="shared" si="10"/>
        <v/>
      </c>
    </row>
    <row r="25" spans="1:25" ht="33.75" thickBot="1">
      <c r="A25">
        <f t="shared" si="2"/>
        <v>23</v>
      </c>
      <c r="B25" s="89" t="s">
        <v>261</v>
      </c>
      <c r="C25" s="87" t="s">
        <v>1091</v>
      </c>
      <c r="D25" s="83" t="s">
        <v>260</v>
      </c>
      <c r="E25" s="83" t="s">
        <v>795</v>
      </c>
      <c r="F25" s="87" t="s">
        <v>1148</v>
      </c>
      <c r="G25" s="83" t="s">
        <v>1169</v>
      </c>
      <c r="H25" s="83" t="s">
        <v>1170</v>
      </c>
      <c r="I25" s="83" t="s">
        <v>1220</v>
      </c>
      <c r="J25" s="83" t="s">
        <v>1195</v>
      </c>
      <c r="K25" s="83" t="s">
        <v>1240</v>
      </c>
      <c r="L25" s="83" t="s">
        <v>1239</v>
      </c>
      <c r="M25" s="81"/>
      <c r="N25" s="82" t="str">
        <f t="shared" si="0"/>
        <v>aʊ</v>
      </c>
      <c r="O25" s="82" t="str">
        <f t="shared" si="3"/>
        <v>aʊʔ</v>
      </c>
      <c r="P25" s="82"/>
      <c r="Q25" s="82" t="str">
        <f t="shared" si="7"/>
        <v/>
      </c>
      <c r="R25" s="81"/>
      <c r="S25" t="str">
        <f t="shared" si="4"/>
        <v/>
      </c>
      <c r="T25" t="str">
        <f t="shared" si="8"/>
        <v/>
      </c>
      <c r="U25" t="str">
        <f t="shared" si="9"/>
        <v/>
      </c>
      <c r="W25">
        <f t="shared" si="5"/>
        <v>3</v>
      </c>
      <c r="X25" t="str">
        <f t="shared" si="6"/>
        <v>aʊ</v>
      </c>
      <c r="Y25" t="str">
        <f t="shared" si="10"/>
        <v>aʊʔ</v>
      </c>
    </row>
    <row r="26" spans="1:25" ht="33.75" thickBot="1">
      <c r="A26">
        <f t="shared" si="2"/>
        <v>24</v>
      </c>
      <c r="B26" s="89" t="s">
        <v>273</v>
      </c>
      <c r="C26" s="87" t="s">
        <v>1092</v>
      </c>
      <c r="D26" s="83" t="s">
        <v>272</v>
      </c>
      <c r="E26" s="83" t="s">
        <v>797</v>
      </c>
      <c r="F26" s="87" t="s">
        <v>1149</v>
      </c>
      <c r="G26" s="83" t="s">
        <v>1171</v>
      </c>
      <c r="H26" s="83" t="s">
        <v>1252</v>
      </c>
      <c r="I26" s="83" t="s">
        <v>1221</v>
      </c>
      <c r="J26" s="83" t="s">
        <v>1196</v>
      </c>
      <c r="K26" s="83" t="s">
        <v>1221</v>
      </c>
      <c r="L26" s="83" t="s">
        <v>1196</v>
      </c>
      <c r="M26" s="81"/>
      <c r="N26" s="82" t="str">
        <f t="shared" si="0"/>
        <v>ɪa</v>
      </c>
      <c r="O26" s="82" t="str">
        <f t="shared" si="3"/>
        <v>ɪaʔ</v>
      </c>
      <c r="P26" s="82"/>
      <c r="Q26" s="82" t="str">
        <f t="shared" si="7"/>
        <v/>
      </c>
      <c r="R26" s="81"/>
      <c r="S26" t="str">
        <f t="shared" si="4"/>
        <v/>
      </c>
      <c r="T26" t="str">
        <f t="shared" si="8"/>
        <v/>
      </c>
      <c r="U26" t="str">
        <f t="shared" si="9"/>
        <v/>
      </c>
      <c r="W26">
        <f t="shared" si="5"/>
        <v>3</v>
      </c>
      <c r="X26" t="str">
        <f t="shared" si="6"/>
        <v>ɪa</v>
      </c>
      <c r="Y26" t="str">
        <f t="shared" si="10"/>
        <v>ɪaʔ</v>
      </c>
    </row>
    <row r="27" spans="1:25" ht="33.75" thickBot="1">
      <c r="A27">
        <f t="shared" si="2"/>
        <v>25</v>
      </c>
      <c r="B27" s="89" t="s">
        <v>283</v>
      </c>
      <c r="C27" s="87" t="s">
        <v>1093</v>
      </c>
      <c r="D27" s="83" t="s">
        <v>282</v>
      </c>
      <c r="E27" s="83" t="s">
        <v>1122</v>
      </c>
      <c r="F27" s="87" t="s">
        <v>1150</v>
      </c>
      <c r="G27" s="83" t="s">
        <v>285</v>
      </c>
      <c r="H27" s="83" t="s">
        <v>1253</v>
      </c>
      <c r="I27" s="83" t="s">
        <v>1222</v>
      </c>
      <c r="J27" s="83" t="s">
        <v>1197</v>
      </c>
      <c r="K27" s="83" t="s">
        <v>1222</v>
      </c>
      <c r="L27" s="83" t="s">
        <v>1197</v>
      </c>
      <c r="M27" s="81"/>
      <c r="N27" s="82" t="str">
        <f t="shared" si="0"/>
        <v>ue</v>
      </c>
      <c r="O27" s="82" t="str">
        <f t="shared" si="3"/>
        <v>ue(</v>
      </c>
      <c r="P27" s="82"/>
      <c r="Q27" s="82" t="str">
        <f t="shared" si="7"/>
        <v/>
      </c>
      <c r="R27" s="81"/>
      <c r="S27" t="str">
        <f t="shared" si="4"/>
        <v/>
      </c>
      <c r="T27" t="str">
        <f t="shared" si="8"/>
        <v/>
      </c>
      <c r="U27" t="str">
        <f t="shared" si="9"/>
        <v/>
      </c>
      <c r="W27">
        <f t="shared" si="5"/>
        <v>3</v>
      </c>
      <c r="X27" t="str">
        <f t="shared" si="6"/>
        <v>ue</v>
      </c>
      <c r="Y27" t="str">
        <f t="shared" si="10"/>
        <v>ue(</v>
      </c>
    </row>
    <row r="28" spans="1:25" ht="33.75" thickBot="1">
      <c r="A28">
        <f t="shared" si="2"/>
        <v>26</v>
      </c>
      <c r="B28" s="89" t="s">
        <v>295</v>
      </c>
      <c r="C28" s="87" t="s">
        <v>1094</v>
      </c>
      <c r="D28" s="83" t="s">
        <v>1123</v>
      </c>
      <c r="E28" s="83" t="s">
        <v>810</v>
      </c>
      <c r="F28" s="87" t="s">
        <v>1094</v>
      </c>
      <c r="G28" s="83" t="s">
        <v>1123</v>
      </c>
      <c r="H28" s="83" t="s">
        <v>810</v>
      </c>
      <c r="I28" s="83" t="s">
        <v>1223</v>
      </c>
      <c r="J28" s="83" t="s">
        <v>1198</v>
      </c>
      <c r="K28" s="83" t="s">
        <v>1242</v>
      </c>
      <c r="L28" s="83" t="s">
        <v>1241</v>
      </c>
      <c r="M28" s="81"/>
      <c r="N28" s="82" t="str">
        <f t="shared" si="0"/>
        <v>ã</v>
      </c>
      <c r="O28" s="82" t="str">
        <f t="shared" si="3"/>
        <v>ãʔ</v>
      </c>
      <c r="P28" s="82"/>
      <c r="Q28" s="82" t="str">
        <f t="shared" si="7"/>
        <v/>
      </c>
      <c r="R28" s="81"/>
      <c r="S28" t="str">
        <f t="shared" si="4"/>
        <v/>
      </c>
      <c r="T28" t="str">
        <f t="shared" si="8"/>
        <v/>
      </c>
      <c r="U28" t="str">
        <f t="shared" si="9"/>
        <v/>
      </c>
      <c r="W28">
        <f t="shared" si="5"/>
        <v>2</v>
      </c>
      <c r="X28" t="str">
        <f t="shared" si="6"/>
        <v>ã</v>
      </c>
      <c r="Y28" t="str">
        <f t="shared" si="10"/>
        <v>ãʔ</v>
      </c>
    </row>
    <row r="29" spans="1:25" ht="33.75" thickBot="1">
      <c r="A29">
        <f t="shared" si="2"/>
        <v>27</v>
      </c>
      <c r="B29" s="89" t="s">
        <v>309</v>
      </c>
      <c r="C29" s="87" t="s">
        <v>1095</v>
      </c>
      <c r="D29" s="83" t="s">
        <v>308</v>
      </c>
      <c r="E29" s="83" t="s">
        <v>854</v>
      </c>
      <c r="F29" s="87" t="s">
        <v>1095</v>
      </c>
      <c r="G29" s="83" t="s">
        <v>308</v>
      </c>
      <c r="H29" s="83" t="s">
        <v>854</v>
      </c>
      <c r="I29" s="83" t="s">
        <v>1224</v>
      </c>
      <c r="J29" s="83" t="s">
        <v>1199</v>
      </c>
      <c r="K29" s="83" t="s">
        <v>1224</v>
      </c>
      <c r="L29" s="83" t="s">
        <v>1199</v>
      </c>
      <c r="M29" s="81"/>
      <c r="N29" s="82" t="str">
        <f t="shared" si="0"/>
        <v>u</v>
      </c>
      <c r="O29" s="82" t="str">
        <f t="shared" si="3"/>
        <v>uʔ</v>
      </c>
      <c r="P29" s="82"/>
      <c r="Q29" s="82" t="str">
        <f t="shared" si="7"/>
        <v/>
      </c>
      <c r="R29" s="81"/>
      <c r="S29" t="str">
        <f t="shared" si="4"/>
        <v/>
      </c>
      <c r="T29" t="str">
        <f t="shared" si="8"/>
        <v/>
      </c>
      <c r="U29" t="str">
        <f t="shared" si="9"/>
        <v/>
      </c>
      <c r="W29">
        <f t="shared" si="5"/>
        <v>2</v>
      </c>
      <c r="X29" t="str">
        <f t="shared" si="6"/>
        <v>u</v>
      </c>
      <c r="Y29" t="str">
        <f t="shared" si="10"/>
        <v>uʔ</v>
      </c>
    </row>
    <row r="30" spans="1:25" ht="33.75" thickBot="1">
      <c r="A30">
        <f t="shared" si="2"/>
        <v>28</v>
      </c>
      <c r="B30" s="89" t="s">
        <v>317</v>
      </c>
      <c r="C30" s="87" t="s">
        <v>1096</v>
      </c>
      <c r="D30" s="83" t="s">
        <v>316</v>
      </c>
      <c r="E30" s="83" t="s">
        <v>830</v>
      </c>
      <c r="F30" s="87" t="s">
        <v>1096</v>
      </c>
      <c r="G30" s="83" t="s">
        <v>316</v>
      </c>
      <c r="H30" s="83" t="s">
        <v>830</v>
      </c>
      <c r="I30" s="83" t="s">
        <v>1225</v>
      </c>
      <c r="J30" s="83" t="s">
        <v>774</v>
      </c>
      <c r="K30" s="83" t="s">
        <v>1225</v>
      </c>
      <c r="L30" s="83" t="s">
        <v>774</v>
      </c>
      <c r="M30" s="81"/>
      <c r="N30" s="82" t="str">
        <f t="shared" si="0"/>
        <v>a</v>
      </c>
      <c r="O30" s="82" t="str">
        <f t="shared" si="3"/>
        <v>aʔ</v>
      </c>
      <c r="P30" s="82"/>
      <c r="Q30" s="82" t="str">
        <f t="shared" si="7"/>
        <v/>
      </c>
      <c r="R30" s="81"/>
      <c r="S30" t="str">
        <f t="shared" si="4"/>
        <v/>
      </c>
      <c r="T30" t="str">
        <f t="shared" si="8"/>
        <v/>
      </c>
      <c r="U30" t="str">
        <f t="shared" si="9"/>
        <v/>
      </c>
      <c r="W30">
        <f t="shared" si="5"/>
        <v>2</v>
      </c>
      <c r="X30" t="str">
        <f t="shared" si="6"/>
        <v>a</v>
      </c>
      <c r="Y30" t="str">
        <f t="shared" si="10"/>
        <v>aʔ</v>
      </c>
    </row>
    <row r="31" spans="1:25" ht="33.75" thickBot="1">
      <c r="A31">
        <f t="shared" si="2"/>
        <v>29</v>
      </c>
      <c r="B31" s="89" t="s">
        <v>325</v>
      </c>
      <c r="C31" s="87" t="s">
        <v>1097</v>
      </c>
      <c r="D31" s="83" t="s">
        <v>324</v>
      </c>
      <c r="E31" s="83" t="s">
        <v>845</v>
      </c>
      <c r="F31" s="87" t="s">
        <v>1097</v>
      </c>
      <c r="G31" s="83" t="s">
        <v>324</v>
      </c>
      <c r="H31" s="83" t="s">
        <v>845</v>
      </c>
      <c r="I31" s="83" t="s">
        <v>1226</v>
      </c>
      <c r="J31" s="83" t="s">
        <v>1200</v>
      </c>
      <c r="K31" s="83" t="s">
        <v>1226</v>
      </c>
      <c r="L31" s="83" t="s">
        <v>1200</v>
      </c>
      <c r="M31" s="81"/>
      <c r="N31" s="82" t="str">
        <f t="shared" si="0"/>
        <v>i</v>
      </c>
      <c r="O31" s="82" t="str">
        <f t="shared" si="3"/>
        <v>iʔ</v>
      </c>
      <c r="P31" s="82"/>
      <c r="Q31" s="82" t="str">
        <f t="shared" si="7"/>
        <v/>
      </c>
      <c r="R31" s="81"/>
      <c r="S31" t="str">
        <f t="shared" si="4"/>
        <v/>
      </c>
      <c r="T31" t="str">
        <f t="shared" si="8"/>
        <v/>
      </c>
      <c r="U31" t="str">
        <f t="shared" si="9"/>
        <v/>
      </c>
      <c r="W31">
        <f t="shared" si="5"/>
        <v>2</v>
      </c>
      <c r="X31" t="str">
        <f t="shared" si="6"/>
        <v>i</v>
      </c>
      <c r="Y31" t="str">
        <f t="shared" si="10"/>
        <v>iʔ</v>
      </c>
    </row>
    <row r="32" spans="1:25" ht="33.75" thickBot="1">
      <c r="A32">
        <f t="shared" si="2"/>
        <v>30</v>
      </c>
      <c r="B32" s="89" t="s">
        <v>333</v>
      </c>
      <c r="C32" s="87" t="s">
        <v>332</v>
      </c>
      <c r="D32" s="83" t="s">
        <v>332</v>
      </c>
      <c r="E32" s="88" t="s">
        <v>634</v>
      </c>
      <c r="F32" s="87" t="s">
        <v>332</v>
      </c>
      <c r="G32" s="83" t="s">
        <v>332</v>
      </c>
      <c r="H32" s="88" t="s">
        <v>634</v>
      </c>
      <c r="I32" s="83" t="s">
        <v>332</v>
      </c>
      <c r="J32" s="88" t="s">
        <v>634</v>
      </c>
      <c r="K32" s="83" t="s">
        <v>332</v>
      </c>
      <c r="L32" s="88" t="s">
        <v>634</v>
      </c>
      <c r="M32" s="81"/>
      <c r="N32" s="82" t="str">
        <f t="shared" si="0"/>
        <v>iu</v>
      </c>
      <c r="O32" s="82" t="str">
        <f t="shared" si="3"/>
        <v/>
      </c>
      <c r="P32" s="82"/>
      <c r="Q32" s="82" t="str">
        <f t="shared" si="7"/>
        <v>iu</v>
      </c>
      <c r="R32" s="81"/>
      <c r="S32" t="str">
        <f t="shared" si="4"/>
        <v/>
      </c>
      <c r="T32" t="str">
        <f t="shared" si="8"/>
        <v/>
      </c>
      <c r="U32" t="str">
        <f t="shared" si="9"/>
        <v/>
      </c>
      <c r="W32" t="str">
        <f t="shared" si="5"/>
        <v/>
      </c>
      <c r="X32" t="str">
        <f t="shared" si="6"/>
        <v/>
      </c>
      <c r="Y32" t="str">
        <f t="shared" si="10"/>
        <v/>
      </c>
    </row>
    <row r="33" spans="1:25" ht="33.75" thickBot="1">
      <c r="A33">
        <f t="shared" si="2"/>
        <v>31</v>
      </c>
      <c r="B33" s="89" t="s">
        <v>338</v>
      </c>
      <c r="C33" s="87" t="s">
        <v>337</v>
      </c>
      <c r="D33" s="83" t="s">
        <v>337</v>
      </c>
      <c r="E33" s="88" t="s">
        <v>634</v>
      </c>
      <c r="F33" s="87" t="s">
        <v>1151</v>
      </c>
      <c r="G33" s="83" t="s">
        <v>1151</v>
      </c>
      <c r="H33" s="88" t="s">
        <v>634</v>
      </c>
      <c r="I33" s="83" t="s">
        <v>342</v>
      </c>
      <c r="J33" s="88" t="s">
        <v>634</v>
      </c>
      <c r="K33" s="83" t="s">
        <v>340</v>
      </c>
      <c r="L33" s="88" t="s">
        <v>634</v>
      </c>
      <c r="M33" s="81"/>
      <c r="N33" s="82" t="str">
        <f t="shared" si="0"/>
        <v>ẽ</v>
      </c>
      <c r="O33" s="82" t="str">
        <f t="shared" si="3"/>
        <v/>
      </c>
      <c r="P33" s="82"/>
      <c r="Q33" s="82" t="str">
        <f t="shared" si="7"/>
        <v>ẽ</v>
      </c>
      <c r="R33" s="81"/>
      <c r="S33" t="str">
        <f t="shared" si="4"/>
        <v/>
      </c>
      <c r="T33" t="str">
        <f t="shared" si="8"/>
        <v/>
      </c>
      <c r="U33" t="str">
        <f t="shared" si="9"/>
        <v/>
      </c>
      <c r="W33" t="str">
        <f t="shared" si="5"/>
        <v/>
      </c>
      <c r="X33" t="str">
        <f t="shared" si="6"/>
        <v/>
      </c>
      <c r="Y33" t="str">
        <f t="shared" si="10"/>
        <v/>
      </c>
    </row>
    <row r="34" spans="1:25" ht="33.75" thickBot="1">
      <c r="A34">
        <f t="shared" si="2"/>
        <v>32</v>
      </c>
      <c r="B34" s="89" t="s">
        <v>349</v>
      </c>
      <c r="C34" s="87" t="s">
        <v>1098</v>
      </c>
      <c r="D34" s="83" t="s">
        <v>1098</v>
      </c>
      <c r="E34" s="88" t="s">
        <v>634</v>
      </c>
      <c r="F34" s="87" t="s">
        <v>1098</v>
      </c>
      <c r="G34" s="83" t="s">
        <v>2123</v>
      </c>
      <c r="H34" s="88" t="s">
        <v>634</v>
      </c>
      <c r="I34" s="83" t="s">
        <v>353</v>
      </c>
      <c r="J34" s="88" t="s">
        <v>634</v>
      </c>
      <c r="K34" s="83" t="s">
        <v>351</v>
      </c>
      <c r="L34" s="88" t="s">
        <v>634</v>
      </c>
      <c r="M34" s="81"/>
      <c r="N34" s="82" t="str">
        <f t="shared" si="0"/>
        <v>ũĩ</v>
      </c>
      <c r="O34" s="82" t="str">
        <f t="shared" si="3"/>
        <v/>
      </c>
      <c r="P34" s="82"/>
      <c r="Q34" s="82" t="str">
        <f t="shared" si="7"/>
        <v>ũĩ</v>
      </c>
      <c r="R34" s="81"/>
      <c r="S34" t="str">
        <f t="shared" si="4"/>
        <v/>
      </c>
      <c r="T34" t="str">
        <f t="shared" si="8"/>
        <v/>
      </c>
      <c r="U34" t="str">
        <f t="shared" si="9"/>
        <v/>
      </c>
      <c r="W34" t="str">
        <f t="shared" si="5"/>
        <v/>
      </c>
      <c r="X34" t="str">
        <f t="shared" si="6"/>
        <v/>
      </c>
      <c r="Y34" t="str">
        <f t="shared" si="10"/>
        <v/>
      </c>
    </row>
    <row r="35" spans="1:25" ht="33.75" thickBot="1">
      <c r="A35">
        <f t="shared" si="2"/>
        <v>33</v>
      </c>
      <c r="B35" s="89" t="s">
        <v>358</v>
      </c>
      <c r="C35" s="87" t="s">
        <v>1099</v>
      </c>
      <c r="D35" s="83" t="s">
        <v>357</v>
      </c>
      <c r="E35" s="83" t="s">
        <v>806</v>
      </c>
      <c r="F35" s="87" t="s">
        <v>1152</v>
      </c>
      <c r="G35" s="83" t="s">
        <v>1172</v>
      </c>
      <c r="H35" s="83" t="s">
        <v>1173</v>
      </c>
      <c r="I35" s="83" t="s">
        <v>1227</v>
      </c>
      <c r="J35" s="83" t="s">
        <v>871</v>
      </c>
      <c r="K35" s="83" t="s">
        <v>1227</v>
      </c>
      <c r="L35" s="83" t="s">
        <v>871</v>
      </c>
      <c r="M35" s="81"/>
      <c r="N35" s="82" t="str">
        <f t="shared" si="0"/>
        <v>ɪo</v>
      </c>
      <c r="O35" s="82" t="str">
        <f t="shared" si="3"/>
        <v>ɪoʔ</v>
      </c>
      <c r="P35" s="82"/>
      <c r="Q35" s="82" t="str">
        <f t="shared" si="7"/>
        <v/>
      </c>
      <c r="R35" s="81"/>
      <c r="S35" t="str">
        <f t="shared" si="4"/>
        <v/>
      </c>
      <c r="T35" t="str">
        <f t="shared" si="8"/>
        <v/>
      </c>
      <c r="U35" t="str">
        <f t="shared" si="9"/>
        <v/>
      </c>
      <c r="W35">
        <f t="shared" si="5"/>
        <v>3</v>
      </c>
      <c r="X35" t="str">
        <f t="shared" si="6"/>
        <v>ɪo</v>
      </c>
      <c r="Y35" t="str">
        <f t="shared" si="10"/>
        <v>ɪoʔ</v>
      </c>
    </row>
    <row r="36" spans="1:25" ht="33.75" thickBot="1">
      <c r="A36">
        <f t="shared" si="2"/>
        <v>34</v>
      </c>
      <c r="B36" s="89" t="s">
        <v>368</v>
      </c>
      <c r="C36" s="87" t="s">
        <v>1100</v>
      </c>
      <c r="D36" s="83" t="s">
        <v>367</v>
      </c>
      <c r="E36" s="83" t="s">
        <v>1124</v>
      </c>
      <c r="F36" s="87" t="s">
        <v>1100</v>
      </c>
      <c r="G36" s="83" t="s">
        <v>367</v>
      </c>
      <c r="H36" s="83" t="s">
        <v>1124</v>
      </c>
      <c r="I36" s="83" t="s">
        <v>1228</v>
      </c>
      <c r="J36" s="83" t="s">
        <v>1201</v>
      </c>
      <c r="K36" s="83" t="s">
        <v>1244</v>
      </c>
      <c r="L36" s="83" t="s">
        <v>1243</v>
      </c>
      <c r="M36" s="81"/>
      <c r="N36" s="82" t="str">
        <f t="shared" si="0"/>
        <v>ĩ</v>
      </c>
      <c r="O36" s="82" t="str">
        <f t="shared" si="3"/>
        <v>ĩʔ</v>
      </c>
      <c r="P36" s="82"/>
      <c r="Q36" s="82" t="str">
        <f t="shared" si="7"/>
        <v/>
      </c>
      <c r="R36" s="81"/>
      <c r="S36" t="str">
        <f t="shared" si="4"/>
        <v/>
      </c>
      <c r="T36" t="str">
        <f t="shared" si="8"/>
        <v/>
      </c>
      <c r="U36" t="str">
        <f t="shared" si="9"/>
        <v/>
      </c>
      <c r="W36">
        <f t="shared" si="5"/>
        <v>2</v>
      </c>
      <c r="X36" t="str">
        <f t="shared" si="6"/>
        <v>ĩ</v>
      </c>
      <c r="Y36" t="str">
        <f t="shared" si="10"/>
        <v>ĩʔ</v>
      </c>
    </row>
    <row r="37" spans="1:25" ht="33.75" thickBot="1">
      <c r="A37">
        <f t="shared" si="2"/>
        <v>35</v>
      </c>
      <c r="B37" s="89" t="s">
        <v>381</v>
      </c>
      <c r="C37" s="87" t="s">
        <v>1101</v>
      </c>
      <c r="D37" s="83" t="s">
        <v>1101</v>
      </c>
      <c r="E37" s="88" t="s">
        <v>634</v>
      </c>
      <c r="F37" s="87" t="s">
        <v>1153</v>
      </c>
      <c r="G37" s="83" t="s">
        <v>380</v>
      </c>
      <c r="H37" s="88" t="s">
        <v>634</v>
      </c>
      <c r="I37" s="83" t="s">
        <v>385</v>
      </c>
      <c r="J37" s="88" t="s">
        <v>634</v>
      </c>
      <c r="K37" s="83" t="s">
        <v>383</v>
      </c>
      <c r="L37" s="88" t="s">
        <v>634</v>
      </c>
      <c r="M37" s="81"/>
      <c r="N37" s="82" t="str">
        <f t="shared" si="0"/>
        <v>ĩɔ̃</v>
      </c>
      <c r="O37" s="82" t="str">
        <f t="shared" si="3"/>
        <v/>
      </c>
      <c r="P37" s="82"/>
      <c r="Q37" s="82" t="str">
        <f t="shared" si="7"/>
        <v>ĩɔ̃</v>
      </c>
      <c r="R37" s="81"/>
      <c r="S37" t="str">
        <f t="shared" si="4"/>
        <v/>
      </c>
      <c r="T37" t="str">
        <f t="shared" si="8"/>
        <v/>
      </c>
      <c r="U37" t="str">
        <f t="shared" si="9"/>
        <v/>
      </c>
      <c r="W37" t="str">
        <f t="shared" si="5"/>
        <v/>
      </c>
      <c r="X37" t="str">
        <f t="shared" si="6"/>
        <v/>
      </c>
      <c r="Y37" t="str">
        <f t="shared" si="10"/>
        <v/>
      </c>
    </row>
    <row r="38" spans="1:25" ht="33.75" thickBot="1">
      <c r="A38">
        <f t="shared" si="2"/>
        <v>36</v>
      </c>
      <c r="B38" s="89" t="s">
        <v>389</v>
      </c>
      <c r="C38" s="87" t="s">
        <v>1102</v>
      </c>
      <c r="D38" s="83" t="s">
        <v>1102</v>
      </c>
      <c r="E38" s="88" t="s">
        <v>634</v>
      </c>
      <c r="F38" s="87" t="s">
        <v>1102</v>
      </c>
      <c r="G38" s="83" t="s">
        <v>1668</v>
      </c>
      <c r="H38" s="88" t="s">
        <v>634</v>
      </c>
      <c r="I38" s="83" t="s">
        <v>394</v>
      </c>
      <c r="J38" s="88" t="s">
        <v>634</v>
      </c>
      <c r="K38" s="83" t="s">
        <v>391</v>
      </c>
      <c r="L38" s="88" t="s">
        <v>634</v>
      </c>
      <c r="M38" s="81"/>
      <c r="N38" s="82" t="str">
        <f t="shared" si="0"/>
        <v>ĩã</v>
      </c>
      <c r="O38" s="82" t="str">
        <f t="shared" si="3"/>
        <v/>
      </c>
      <c r="P38" s="82"/>
      <c r="Q38" s="82" t="str">
        <f t="shared" si="7"/>
        <v>ĩã</v>
      </c>
      <c r="R38" s="81"/>
      <c r="S38" t="str">
        <f t="shared" si="4"/>
        <v/>
      </c>
      <c r="T38" t="str">
        <f t="shared" si="8"/>
        <v/>
      </c>
      <c r="U38" t="str">
        <f t="shared" si="9"/>
        <v/>
      </c>
      <c r="W38" t="str">
        <f t="shared" si="5"/>
        <v/>
      </c>
      <c r="X38" t="str">
        <f t="shared" si="6"/>
        <v/>
      </c>
      <c r="Y38" t="str">
        <f t="shared" si="10"/>
        <v/>
      </c>
    </row>
    <row r="39" spans="1:25" ht="33.75" thickBot="1">
      <c r="A39">
        <f t="shared" si="2"/>
        <v>37</v>
      </c>
      <c r="B39" s="89" t="s">
        <v>397</v>
      </c>
      <c r="C39" s="87" t="s">
        <v>1103</v>
      </c>
      <c r="D39" s="83" t="s">
        <v>1103</v>
      </c>
      <c r="E39" s="88" t="s">
        <v>634</v>
      </c>
      <c r="F39" s="87" t="s">
        <v>1103</v>
      </c>
      <c r="G39" s="83" t="s">
        <v>2015</v>
      </c>
      <c r="H39" s="88" t="s">
        <v>634</v>
      </c>
      <c r="I39" s="83" t="s">
        <v>401</v>
      </c>
      <c r="J39" s="88" t="s">
        <v>634</v>
      </c>
      <c r="K39" s="83" t="s">
        <v>399</v>
      </c>
      <c r="L39" s="88" t="s">
        <v>634</v>
      </c>
      <c r="M39" s="81"/>
      <c r="N39" s="82" t="str">
        <f t="shared" si="0"/>
        <v>ũã</v>
      </c>
      <c r="O39" s="82" t="str">
        <f t="shared" si="3"/>
        <v/>
      </c>
      <c r="P39" s="82"/>
      <c r="Q39" s="82" t="str">
        <f t="shared" si="7"/>
        <v>ũã</v>
      </c>
      <c r="R39" s="81"/>
      <c r="S39" t="str">
        <f t="shared" si="4"/>
        <v/>
      </c>
      <c r="T39" t="str">
        <f t="shared" si="8"/>
        <v/>
      </c>
      <c r="U39" t="str">
        <f t="shared" si="9"/>
        <v/>
      </c>
      <c r="W39" t="str">
        <f t="shared" si="5"/>
        <v/>
      </c>
      <c r="X39" t="str">
        <f t="shared" si="6"/>
        <v/>
      </c>
      <c r="Y39" t="str">
        <f t="shared" si="10"/>
        <v/>
      </c>
    </row>
    <row r="40" spans="1:25" ht="33.75" thickBot="1">
      <c r="A40">
        <f t="shared" si="2"/>
        <v>38</v>
      </c>
      <c r="B40" s="89" t="s">
        <v>405</v>
      </c>
      <c r="C40" s="87" t="s">
        <v>595</v>
      </c>
      <c r="D40" s="83" t="s">
        <v>595</v>
      </c>
      <c r="E40" s="88" t="s">
        <v>634</v>
      </c>
      <c r="F40" s="87" t="s">
        <v>404</v>
      </c>
      <c r="G40" s="83" t="s">
        <v>404</v>
      </c>
      <c r="H40" s="88" t="s">
        <v>634</v>
      </c>
      <c r="I40" s="83" t="s">
        <v>407</v>
      </c>
      <c r="J40" s="88" t="s">
        <v>634</v>
      </c>
      <c r="K40" s="83" t="s">
        <v>407</v>
      </c>
      <c r="L40" s="88" t="s">
        <v>634</v>
      </c>
      <c r="M40" s="81"/>
      <c r="N40" s="82" t="str">
        <f t="shared" si="0"/>
        <v>ŋ̍</v>
      </c>
      <c r="O40" s="82" t="str">
        <f t="shared" si="3"/>
        <v/>
      </c>
      <c r="P40" s="82"/>
      <c r="Q40" s="82" t="str">
        <f t="shared" si="7"/>
        <v>ŋ̍</v>
      </c>
      <c r="R40" s="81"/>
      <c r="S40" t="str">
        <f t="shared" si="4"/>
        <v/>
      </c>
      <c r="T40" t="str">
        <f t="shared" si="8"/>
        <v/>
      </c>
      <c r="U40" t="str">
        <f t="shared" si="9"/>
        <v/>
      </c>
      <c r="W40" t="str">
        <f t="shared" si="5"/>
        <v/>
      </c>
      <c r="X40" t="str">
        <f t="shared" si="6"/>
        <v/>
      </c>
      <c r="Y40" t="str">
        <f t="shared" si="10"/>
        <v/>
      </c>
    </row>
    <row r="41" spans="1:25" ht="33.75" thickBot="1">
      <c r="A41">
        <f t="shared" si="2"/>
        <v>39</v>
      </c>
      <c r="B41" s="89" t="s">
        <v>410</v>
      </c>
      <c r="C41" s="87" t="s">
        <v>1104</v>
      </c>
      <c r="D41" s="83" t="s">
        <v>60</v>
      </c>
      <c r="E41" s="83" t="s">
        <v>837</v>
      </c>
      <c r="F41" s="87" t="s">
        <v>1104</v>
      </c>
      <c r="G41" s="83" t="s">
        <v>60</v>
      </c>
      <c r="H41" s="83" t="s">
        <v>837</v>
      </c>
      <c r="I41" s="83" t="s">
        <v>1178</v>
      </c>
      <c r="J41" s="83" t="s">
        <v>1177</v>
      </c>
      <c r="K41" s="83" t="s">
        <v>1178</v>
      </c>
      <c r="L41" s="83" t="s">
        <v>1177</v>
      </c>
      <c r="M41" s="81"/>
      <c r="N41" s="82" t="str">
        <f t="shared" si="0"/>
        <v>e</v>
      </c>
      <c r="O41" s="82" t="str">
        <f t="shared" si="3"/>
        <v>eʔ</v>
      </c>
      <c r="P41" s="82"/>
      <c r="Q41" s="82" t="str">
        <f t="shared" si="7"/>
        <v/>
      </c>
      <c r="R41" s="81"/>
      <c r="S41" t="str">
        <f t="shared" si="4"/>
        <v/>
      </c>
      <c r="T41" t="str">
        <f t="shared" si="8"/>
        <v/>
      </c>
      <c r="U41" t="str">
        <f t="shared" si="9"/>
        <v/>
      </c>
      <c r="W41">
        <f t="shared" si="5"/>
        <v>2</v>
      </c>
      <c r="X41" t="str">
        <f t="shared" si="6"/>
        <v>e</v>
      </c>
      <c r="Y41" t="str">
        <f t="shared" si="10"/>
        <v>eʔ</v>
      </c>
    </row>
    <row r="42" spans="1:25" ht="33.75" thickBot="1">
      <c r="A42">
        <f t="shared" si="2"/>
        <v>40</v>
      </c>
      <c r="B42" s="89" t="s">
        <v>415</v>
      </c>
      <c r="C42" s="87" t="s">
        <v>1105</v>
      </c>
      <c r="D42" s="83" t="s">
        <v>1105</v>
      </c>
      <c r="E42" s="88" t="s">
        <v>634</v>
      </c>
      <c r="F42" s="87" t="s">
        <v>1105</v>
      </c>
      <c r="G42" s="83" t="s">
        <v>2421</v>
      </c>
      <c r="H42" s="88" t="s">
        <v>634</v>
      </c>
      <c r="I42" s="83" t="s">
        <v>419</v>
      </c>
      <c r="J42" s="88" t="s">
        <v>634</v>
      </c>
      <c r="K42" s="83" t="s">
        <v>417</v>
      </c>
      <c r="L42" s="88" t="s">
        <v>634</v>
      </c>
      <c r="M42" s="81"/>
      <c r="N42" s="82" t="str">
        <f t="shared" si="0"/>
        <v>ãĩ</v>
      </c>
      <c r="O42" s="82" t="str">
        <f t="shared" si="3"/>
        <v/>
      </c>
      <c r="P42" s="82"/>
      <c r="Q42" s="82" t="str">
        <f t="shared" si="7"/>
        <v>ãĩ</v>
      </c>
      <c r="R42" s="81"/>
      <c r="S42" t="str">
        <f t="shared" si="4"/>
        <v/>
      </c>
      <c r="T42" t="str">
        <f t="shared" si="8"/>
        <v/>
      </c>
      <c r="U42" t="str">
        <f t="shared" si="9"/>
        <v/>
      </c>
      <c r="W42" t="str">
        <f t="shared" si="5"/>
        <v/>
      </c>
      <c r="X42" t="str">
        <f t="shared" si="6"/>
        <v/>
      </c>
      <c r="Y42" t="str">
        <f t="shared" si="10"/>
        <v/>
      </c>
    </row>
    <row r="43" spans="1:25" ht="33.75" thickBot="1">
      <c r="A43">
        <f t="shared" si="2"/>
        <v>41</v>
      </c>
      <c r="B43" s="89" t="s">
        <v>422</v>
      </c>
      <c r="C43" s="87" t="s">
        <v>1106</v>
      </c>
      <c r="D43" s="83" t="s">
        <v>1106</v>
      </c>
      <c r="E43" s="88" t="s">
        <v>634</v>
      </c>
      <c r="F43" s="87" t="s">
        <v>819</v>
      </c>
      <c r="G43" s="83" t="s">
        <v>819</v>
      </c>
      <c r="H43" s="88" t="s">
        <v>634</v>
      </c>
      <c r="I43" s="83" t="s">
        <v>427</v>
      </c>
      <c r="J43" s="88" t="s">
        <v>634</v>
      </c>
      <c r="K43" s="83" t="s">
        <v>425</v>
      </c>
      <c r="L43" s="88" t="s">
        <v>634</v>
      </c>
      <c r="M43" s="81"/>
      <c r="N43" s="82" t="str">
        <f t="shared" si="0"/>
        <v>ɔ̃</v>
      </c>
      <c r="O43" s="82" t="str">
        <f t="shared" si="3"/>
        <v/>
      </c>
      <c r="P43" s="82"/>
      <c r="Q43" s="82" t="str">
        <f t="shared" si="7"/>
        <v>ɔ̃</v>
      </c>
      <c r="R43" s="81"/>
      <c r="S43" t="str">
        <f t="shared" si="4"/>
        <v/>
      </c>
      <c r="T43" t="str">
        <f t="shared" si="8"/>
        <v/>
      </c>
      <c r="U43" t="str">
        <f t="shared" si="9"/>
        <v/>
      </c>
      <c r="W43" t="str">
        <f t="shared" si="5"/>
        <v/>
      </c>
      <c r="X43" t="str">
        <f t="shared" si="6"/>
        <v/>
      </c>
      <c r="Y43" t="str">
        <f t="shared" si="10"/>
        <v/>
      </c>
    </row>
    <row r="44" spans="1:25" ht="33.75" thickBot="1">
      <c r="A44">
        <f t="shared" si="2"/>
        <v>42</v>
      </c>
      <c r="B44" s="89" t="s">
        <v>429</v>
      </c>
      <c r="C44" s="87" t="s">
        <v>432</v>
      </c>
      <c r="D44" s="83" t="s">
        <v>432</v>
      </c>
      <c r="E44" s="88" t="s">
        <v>634</v>
      </c>
      <c r="F44" s="87" t="s">
        <v>430</v>
      </c>
      <c r="G44" s="83" t="s">
        <v>430</v>
      </c>
      <c r="H44" s="88" t="s">
        <v>634</v>
      </c>
      <c r="I44" s="83" t="s">
        <v>432</v>
      </c>
      <c r="J44" s="88" t="s">
        <v>634</v>
      </c>
      <c r="K44" s="83" t="s">
        <v>432</v>
      </c>
      <c r="L44" s="88" t="s">
        <v>634</v>
      </c>
      <c r="M44" s="81"/>
      <c r="N44" s="82" t="str">
        <f t="shared" si="0"/>
        <v>m̩</v>
      </c>
      <c r="O44" s="82" t="str">
        <f t="shared" si="3"/>
        <v/>
      </c>
      <c r="P44" s="82"/>
      <c r="Q44" s="82" t="str">
        <f t="shared" si="7"/>
        <v>m̩</v>
      </c>
      <c r="R44" s="81"/>
      <c r="S44" t="str">
        <f t="shared" si="4"/>
        <v/>
      </c>
      <c r="T44" t="str">
        <f t="shared" si="8"/>
        <v/>
      </c>
      <c r="U44" t="str">
        <f t="shared" si="9"/>
        <v/>
      </c>
      <c r="W44" t="str">
        <f t="shared" si="5"/>
        <v/>
      </c>
      <c r="X44" t="str">
        <f t="shared" si="6"/>
        <v/>
      </c>
      <c r="Y44" t="str">
        <f t="shared" si="10"/>
        <v/>
      </c>
    </row>
    <row r="45" spans="1:25" ht="33.75" thickBot="1">
      <c r="A45">
        <f t="shared" si="2"/>
        <v>43</v>
      </c>
      <c r="B45" s="89" t="s">
        <v>436</v>
      </c>
      <c r="C45" s="87" t="s">
        <v>1107</v>
      </c>
      <c r="D45" s="83" t="s">
        <v>435</v>
      </c>
      <c r="E45" s="83" t="s">
        <v>443</v>
      </c>
      <c r="F45" s="87" t="s">
        <v>1154</v>
      </c>
      <c r="G45" s="83" t="s">
        <v>435</v>
      </c>
      <c r="H45" s="83" t="s">
        <v>441</v>
      </c>
      <c r="I45" s="83" t="s">
        <v>1229</v>
      </c>
      <c r="J45" s="83" t="s">
        <v>1207</v>
      </c>
      <c r="K45" s="83" t="s">
        <v>1229</v>
      </c>
      <c r="L45" s="83" t="s">
        <v>1207</v>
      </c>
      <c r="M45" s="81"/>
      <c r="N45" s="82" t="str">
        <f t="shared" si="0"/>
        <v>uan</v>
      </c>
      <c r="O45" s="82" t="str">
        <f t="shared" si="3"/>
        <v>uak̚</v>
      </c>
      <c r="P45" s="82"/>
      <c r="Q45" s="82" t="str">
        <f t="shared" si="7"/>
        <v/>
      </c>
      <c r="R45" s="81"/>
      <c r="S45">
        <f t="shared" si="4"/>
        <v>4</v>
      </c>
      <c r="T45" t="str">
        <f t="shared" si="8"/>
        <v>uan</v>
      </c>
      <c r="U45" t="str">
        <f t="shared" si="9"/>
        <v>uak̚</v>
      </c>
      <c r="W45" t="str">
        <f t="shared" si="5"/>
        <v/>
      </c>
      <c r="X45" t="str">
        <f t="shared" si="6"/>
        <v/>
      </c>
      <c r="Y45" t="str">
        <f t="shared" si="10"/>
        <v/>
      </c>
    </row>
    <row r="46" spans="1:25" ht="33.75" thickBot="1">
      <c r="A46">
        <f t="shared" si="2"/>
        <v>44</v>
      </c>
      <c r="B46" s="89" t="s">
        <v>447</v>
      </c>
      <c r="C46" s="87" t="s">
        <v>1108</v>
      </c>
      <c r="D46" s="83" t="s">
        <v>1125</v>
      </c>
      <c r="E46" s="83" t="s">
        <v>1126</v>
      </c>
      <c r="F46" s="87" t="s">
        <v>1108</v>
      </c>
      <c r="G46" s="83" t="s">
        <v>2070</v>
      </c>
      <c r="H46" s="83" t="s">
        <v>2079</v>
      </c>
      <c r="I46" s="83" t="s">
        <v>1230</v>
      </c>
      <c r="J46" s="83" t="s">
        <v>1206</v>
      </c>
      <c r="K46" s="83" t="s">
        <v>1248</v>
      </c>
      <c r="L46" s="83" t="s">
        <v>1245</v>
      </c>
      <c r="M46" s="81"/>
      <c r="N46" s="82" t="str">
        <f t="shared" si="0"/>
        <v>ũãĩ</v>
      </c>
      <c r="O46" s="82" t="str">
        <f t="shared" si="3"/>
        <v>ũãĩʔ</v>
      </c>
      <c r="P46" s="82"/>
      <c r="Q46" s="82" t="str">
        <f t="shared" si="7"/>
        <v/>
      </c>
      <c r="R46" s="81"/>
      <c r="S46" t="str">
        <f t="shared" si="4"/>
        <v/>
      </c>
      <c r="T46" t="str">
        <f t="shared" si="8"/>
        <v/>
      </c>
      <c r="U46" t="str">
        <f t="shared" si="9"/>
        <v/>
      </c>
      <c r="W46">
        <f t="shared" si="5"/>
        <v>4</v>
      </c>
      <c r="X46" t="str">
        <f t="shared" si="6"/>
        <v>ũãĩ</v>
      </c>
      <c r="Y46" t="s">
        <v>1126</v>
      </c>
    </row>
    <row r="47" spans="1:25" ht="33.75" thickBot="1">
      <c r="A47">
        <f t="shared" si="2"/>
        <v>45</v>
      </c>
      <c r="B47" s="89" t="s">
        <v>458</v>
      </c>
      <c r="C47" s="87" t="s">
        <v>1109</v>
      </c>
      <c r="D47" s="83" t="s">
        <v>1127</v>
      </c>
      <c r="E47" s="83" t="s">
        <v>1128</v>
      </c>
      <c r="F47" s="87" t="s">
        <v>1155</v>
      </c>
      <c r="G47" s="83" t="s">
        <v>2422</v>
      </c>
      <c r="H47" s="83" t="s">
        <v>2423</v>
      </c>
      <c r="I47" s="83" t="s">
        <v>1231</v>
      </c>
      <c r="J47" s="83" t="s">
        <v>1205</v>
      </c>
      <c r="K47" s="83" t="s">
        <v>1249</v>
      </c>
      <c r="L47" s="83" t="s">
        <v>1246</v>
      </c>
      <c r="M47" s="81"/>
      <c r="N47" s="82" t="str">
        <f t="shared" si="0"/>
        <v>ũẽ</v>
      </c>
      <c r="O47" s="82" t="str">
        <f t="shared" si="3"/>
        <v>ũẽʔ</v>
      </c>
      <c r="P47" s="82"/>
      <c r="Q47" s="82" t="str">
        <f t="shared" si="7"/>
        <v/>
      </c>
      <c r="R47" s="81"/>
      <c r="S47" t="str">
        <f t="shared" si="4"/>
        <v/>
      </c>
      <c r="T47" t="str">
        <f t="shared" si="8"/>
        <v/>
      </c>
      <c r="U47" t="str">
        <f t="shared" si="9"/>
        <v/>
      </c>
      <c r="W47">
        <f t="shared" si="5"/>
        <v>3</v>
      </c>
      <c r="X47" t="str">
        <f t="shared" si="6"/>
        <v>ũẽ</v>
      </c>
      <c r="Y47" t="s">
        <v>1158</v>
      </c>
    </row>
    <row r="48" spans="1:25" ht="33.75" thickBot="1">
      <c r="A48">
        <f t="shared" si="2"/>
        <v>46</v>
      </c>
      <c r="B48" s="89" t="s">
        <v>465</v>
      </c>
      <c r="C48" s="87" t="s">
        <v>1110</v>
      </c>
      <c r="D48" s="83" t="s">
        <v>1129</v>
      </c>
      <c r="E48" s="83" t="s">
        <v>1130</v>
      </c>
      <c r="F48" s="87" t="s">
        <v>1110</v>
      </c>
      <c r="G48" s="83" t="s">
        <v>2424</v>
      </c>
      <c r="H48" s="83" t="s">
        <v>2425</v>
      </c>
      <c r="I48" s="83" t="s">
        <v>1232</v>
      </c>
      <c r="J48" s="83" t="s">
        <v>1204</v>
      </c>
      <c r="K48" s="83" t="s">
        <v>1250</v>
      </c>
      <c r="L48" s="83" t="s">
        <v>869</v>
      </c>
      <c r="M48" s="81"/>
      <c r="N48" s="82" t="str">
        <f t="shared" si="0"/>
        <v>ĩãũ</v>
      </c>
      <c r="O48" s="82" t="str">
        <f t="shared" si="3"/>
        <v>ĩãũʔ</v>
      </c>
      <c r="P48" s="82"/>
      <c r="Q48" s="82" t="str">
        <f t="shared" si="7"/>
        <v/>
      </c>
      <c r="R48" s="81"/>
      <c r="S48" t="str">
        <f t="shared" si="4"/>
        <v/>
      </c>
      <c r="T48" t="str">
        <f t="shared" si="8"/>
        <v/>
      </c>
      <c r="U48" t="str">
        <f t="shared" si="9"/>
        <v/>
      </c>
      <c r="W48">
        <f t="shared" si="5"/>
        <v>4</v>
      </c>
      <c r="X48" t="str">
        <f t="shared" si="6"/>
        <v>ĩãũ</v>
      </c>
      <c r="Y48" t="s">
        <v>1130</v>
      </c>
    </row>
    <row r="49" spans="1:25" ht="33.75" thickBot="1">
      <c r="A49">
        <f t="shared" si="2"/>
        <v>47</v>
      </c>
      <c r="B49" s="89" t="s">
        <v>477</v>
      </c>
      <c r="C49" s="87" t="s">
        <v>1111</v>
      </c>
      <c r="D49" s="83" t="s">
        <v>476</v>
      </c>
      <c r="E49" s="83" t="s">
        <v>852</v>
      </c>
      <c r="F49" s="87" t="s">
        <v>1156</v>
      </c>
      <c r="G49" s="83" t="s">
        <v>476</v>
      </c>
      <c r="H49" s="83" t="s">
        <v>483</v>
      </c>
      <c r="I49" s="83" t="s">
        <v>1074</v>
      </c>
      <c r="J49" s="83" t="s">
        <v>1203</v>
      </c>
      <c r="K49" s="83" t="s">
        <v>1074</v>
      </c>
      <c r="L49" s="83" t="s">
        <v>1203</v>
      </c>
      <c r="M49" s="81"/>
      <c r="N49" s="82" t="str">
        <f t="shared" si="0"/>
        <v>om</v>
      </c>
      <c r="O49" s="82" t="str">
        <f t="shared" si="3"/>
        <v>op̚</v>
      </c>
      <c r="P49" s="82"/>
      <c r="Q49" s="82" t="str">
        <f t="shared" si="7"/>
        <v/>
      </c>
      <c r="R49" s="81"/>
      <c r="S49">
        <f t="shared" si="4"/>
        <v>3</v>
      </c>
      <c r="T49" t="str">
        <f t="shared" si="8"/>
        <v>om</v>
      </c>
      <c r="U49" t="str">
        <f t="shared" si="9"/>
        <v>op̚</v>
      </c>
      <c r="W49" t="str">
        <f t="shared" si="5"/>
        <v/>
      </c>
      <c r="X49" t="str">
        <f t="shared" si="6"/>
        <v/>
      </c>
      <c r="Y49" t="s">
        <v>634</v>
      </c>
    </row>
    <row r="50" spans="1:25" ht="33.75" thickBot="1">
      <c r="A50">
        <f t="shared" si="2"/>
        <v>48</v>
      </c>
      <c r="B50" s="89" t="s">
        <v>489</v>
      </c>
      <c r="C50" s="87" t="s">
        <v>1112</v>
      </c>
      <c r="D50" s="83" t="s">
        <v>1112</v>
      </c>
      <c r="E50" s="88" t="s">
        <v>634</v>
      </c>
      <c r="F50" s="87" t="s">
        <v>1112</v>
      </c>
      <c r="G50" s="83" t="s">
        <v>2426</v>
      </c>
      <c r="H50" s="88" t="s">
        <v>634</v>
      </c>
      <c r="I50" s="83" t="s">
        <v>493</v>
      </c>
      <c r="J50" s="88" t="s">
        <v>634</v>
      </c>
      <c r="K50" s="83" t="s">
        <v>491</v>
      </c>
      <c r="L50" s="88" t="s">
        <v>634</v>
      </c>
      <c r="M50" s="81"/>
      <c r="N50" s="82" t="str">
        <f t="shared" si="0"/>
        <v>ãũ</v>
      </c>
      <c r="O50" s="82" t="str">
        <f t="shared" si="3"/>
        <v/>
      </c>
      <c r="P50" s="82"/>
      <c r="Q50" s="82" t="str">
        <f t="shared" si="7"/>
        <v>ãũ</v>
      </c>
      <c r="R50" s="81"/>
      <c r="S50" t="str">
        <f t="shared" si="4"/>
        <v/>
      </c>
      <c r="T50" t="str">
        <f t="shared" si="8"/>
        <v/>
      </c>
      <c r="U50" t="str">
        <f t="shared" si="9"/>
        <v/>
      </c>
      <c r="W50" t="str">
        <f t="shared" si="5"/>
        <v/>
      </c>
      <c r="X50" t="str">
        <f t="shared" si="6"/>
        <v/>
      </c>
      <c r="Y50" t="s">
        <v>634</v>
      </c>
    </row>
    <row r="51" spans="1:25" ht="33.75" thickBot="1">
      <c r="A51">
        <f t="shared" si="2"/>
        <v>49</v>
      </c>
      <c r="B51" s="89" t="s">
        <v>496</v>
      </c>
      <c r="C51" s="87" t="s">
        <v>1113</v>
      </c>
      <c r="D51" s="83" t="s">
        <v>1131</v>
      </c>
      <c r="E51" s="83" t="s">
        <v>1132</v>
      </c>
      <c r="F51" s="87" t="s">
        <v>1157</v>
      </c>
      <c r="G51" s="83" t="s">
        <v>819</v>
      </c>
      <c r="H51" s="83" t="s">
        <v>791</v>
      </c>
      <c r="I51" s="83" t="s">
        <v>1233</v>
      </c>
      <c r="J51" s="83" t="s">
        <v>1202</v>
      </c>
      <c r="K51" s="83" t="s">
        <v>905</v>
      </c>
      <c r="L51" s="83" t="s">
        <v>1247</v>
      </c>
      <c r="M51" s="81"/>
      <c r="N51" s="82" t="str">
        <f t="shared" si="0"/>
        <v>ɔ̃</v>
      </c>
      <c r="O51" s="82" t="str">
        <f t="shared" si="3"/>
        <v>ɔ̃ʔ</v>
      </c>
      <c r="P51" s="82"/>
      <c r="Q51" s="82" t="str">
        <f t="shared" si="7"/>
        <v/>
      </c>
      <c r="R51" s="81"/>
      <c r="S51" t="str">
        <f t="shared" si="4"/>
        <v/>
      </c>
      <c r="T51" t="str">
        <f t="shared" si="8"/>
        <v/>
      </c>
      <c r="U51" t="str">
        <f t="shared" si="9"/>
        <v/>
      </c>
      <c r="W51">
        <f t="shared" si="5"/>
        <v>3</v>
      </c>
      <c r="X51" t="str">
        <f t="shared" si="6"/>
        <v>ɔ̃</v>
      </c>
      <c r="Y51" s="84" t="s">
        <v>906</v>
      </c>
    </row>
    <row r="52" spans="1:25" ht="33.75" thickBot="1">
      <c r="A52">
        <f t="shared" si="2"/>
        <v>50</v>
      </c>
      <c r="B52" s="89" t="s">
        <v>505</v>
      </c>
      <c r="C52" s="87" t="s">
        <v>1114</v>
      </c>
      <c r="D52" s="83" t="s">
        <v>1114</v>
      </c>
      <c r="E52" s="88" t="s">
        <v>634</v>
      </c>
      <c r="F52" s="87" t="s">
        <v>1114</v>
      </c>
      <c r="G52" s="83" t="s">
        <v>1858</v>
      </c>
      <c r="H52" s="88" t="s">
        <v>634</v>
      </c>
      <c r="I52" s="83" t="s">
        <v>509</v>
      </c>
      <c r="J52" s="88" t="s">
        <v>634</v>
      </c>
      <c r="K52" s="83" t="s">
        <v>507</v>
      </c>
      <c r="L52" s="88" t="s">
        <v>634</v>
      </c>
      <c r="M52" s="81"/>
      <c r="N52" s="82" t="str">
        <f t="shared" si="0"/>
        <v>ĩũ</v>
      </c>
      <c r="O52" s="82" t="str">
        <f t="shared" si="3"/>
        <v/>
      </c>
      <c r="P52" s="82"/>
      <c r="Q52" s="82" t="str">
        <f t="shared" si="7"/>
        <v>ĩũ</v>
      </c>
      <c r="R52" s="81"/>
      <c r="S52" t="str">
        <f t="shared" si="4"/>
        <v/>
      </c>
      <c r="T52" t="str">
        <f t="shared" si="8"/>
        <v/>
      </c>
      <c r="U52" t="str">
        <f t="shared" si="9"/>
        <v/>
      </c>
      <c r="W52" t="str">
        <f t="shared" si="5"/>
        <v/>
      </c>
      <c r="X52" t="str">
        <f t="shared" si="6"/>
        <v/>
      </c>
      <c r="Y52" t="str">
        <f>IF(AND(LEN(W52)&gt;0,LEN(X52)&gt;0),_xlfn.CONCAT(X52,MID(C52,W52+1,1)), "")</f>
        <v/>
      </c>
    </row>
  </sheetData>
  <phoneticPr fontId="4" type="noConversion"/>
  <hyperlinks>
    <hyperlink ref="D2" r:id="rId1" location="cite_note-ma2009-2" display="https://zh.wikipedia.org/wiki/%E5%BD%99%E9%9B%86%E9%9B%85%E4%BF%97%E9%80%9A%E5%8D%81%E4%BA%94%E9%9F%B3 - cite_note-ma2009-2" xr:uid="{5FA95AB1-DAED-4975-84FF-284280416D4B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7F42E-1BEB-4022-BC67-5F9C82B5FABF}">
  <dimension ref="B1:S11"/>
  <sheetViews>
    <sheetView workbookViewId="0">
      <selection activeCell="Q7" sqref="Q7"/>
    </sheetView>
  </sheetViews>
  <sheetFormatPr defaultRowHeight="25.5"/>
  <cols>
    <col min="1" max="1" width="2" customWidth="1"/>
    <col min="8" max="8" width="10.1640625" bestFit="1" customWidth="1"/>
    <col min="9" max="19" width="12.58203125" customWidth="1"/>
  </cols>
  <sheetData>
    <row r="1" spans="2:19" ht="9" customHeight="1"/>
    <row r="2" spans="2:19">
      <c r="B2" s="20" t="s">
        <v>671</v>
      </c>
      <c r="C2" s="20" t="s">
        <v>672</v>
      </c>
      <c r="D2" s="21" t="s">
        <v>673</v>
      </c>
      <c r="E2" s="21" t="s">
        <v>674</v>
      </c>
      <c r="F2" s="20" t="s">
        <v>675</v>
      </c>
      <c r="G2" s="20" t="s">
        <v>676</v>
      </c>
      <c r="H2" s="22" t="s">
        <v>677</v>
      </c>
      <c r="I2" s="20" t="s">
        <v>678</v>
      </c>
      <c r="J2" s="20" t="s">
        <v>679</v>
      </c>
      <c r="K2" s="20" t="s">
        <v>680</v>
      </c>
      <c r="L2" s="22" t="s">
        <v>681</v>
      </c>
      <c r="M2" s="23" t="s">
        <v>682</v>
      </c>
      <c r="N2" s="21" t="s">
        <v>683</v>
      </c>
      <c r="O2" s="20" t="s">
        <v>684</v>
      </c>
      <c r="P2" s="20" t="s">
        <v>685</v>
      </c>
      <c r="Q2" s="20" t="s">
        <v>686</v>
      </c>
      <c r="R2" s="20" t="s">
        <v>4</v>
      </c>
      <c r="S2" s="20" t="s">
        <v>687</v>
      </c>
    </row>
    <row r="3" spans="2:19" ht="57.75">
      <c r="B3" s="24">
        <v>0</v>
      </c>
      <c r="C3" s="24">
        <v>9</v>
      </c>
      <c r="D3" s="25" t="s">
        <v>688</v>
      </c>
      <c r="E3" s="25" t="s">
        <v>689</v>
      </c>
      <c r="F3" s="26">
        <v>20</v>
      </c>
      <c r="G3" s="27" t="s">
        <v>690</v>
      </c>
      <c r="H3" s="28" t="s">
        <v>691</v>
      </c>
      <c r="I3" s="29" t="s">
        <v>692</v>
      </c>
      <c r="J3" s="30" t="str">
        <f xml:space="preserve"> IFERROR( _xlfn.CONCAT("a", _xlfn.UNICHAR(HEX2DEC(RIGHT(I3,4)))), "")</f>
        <v>å</v>
      </c>
      <c r="K3" s="31">
        <v>7</v>
      </c>
      <c r="L3" s="32" t="str">
        <f xml:space="preserve"> _xlfn.CONCAT("ah", B3)</f>
        <v>ah0</v>
      </c>
      <c r="M3" s="33" t="str">
        <f xml:space="preserve"> IFERROR( _xlfn.CONCAT("a", "h", _xlfn.UNICHAR(HEX2DEC(RIGHT(I3,4)))), "")</f>
        <v>ah̊</v>
      </c>
      <c r="N3" s="32" t="str">
        <f xml:space="preserve"> _xlfn.CONCAT("ah", K3)</f>
        <v>ah7</v>
      </c>
      <c r="O3" s="34" t="s">
        <v>693</v>
      </c>
      <c r="P3" s="35" t="str">
        <f xml:space="preserve"> _xlfn.CONCAT("ㄚ", "ㆷ", _xlfn.UNICHAR(HEX2DEC(RIGHT("U+02D9",4))))</f>
        <v>ㄚㆷ˙</v>
      </c>
      <c r="Q3" s="34" t="s">
        <v>48</v>
      </c>
      <c r="R3" s="34" t="s">
        <v>694</v>
      </c>
      <c r="S3" s="34" t="s">
        <v>695</v>
      </c>
    </row>
    <row r="4" spans="2:19" ht="57.75">
      <c r="B4" s="24">
        <v>1</v>
      </c>
      <c r="C4" s="24">
        <v>1</v>
      </c>
      <c r="D4" s="25" t="s">
        <v>631</v>
      </c>
      <c r="E4" s="25" t="s">
        <v>696</v>
      </c>
      <c r="F4" s="26">
        <v>44</v>
      </c>
      <c r="G4" s="27" t="s">
        <v>697</v>
      </c>
      <c r="H4" s="28" t="s">
        <v>698</v>
      </c>
      <c r="I4" s="29" t="s">
        <v>699</v>
      </c>
      <c r="J4" s="30" t="str">
        <f xml:space="preserve"> IFERROR( _xlfn.CONCAT("a", _xlfn.UNICHAR(HEX2DEC(RIGHT(I4,4)))), "")</f>
        <v>ā</v>
      </c>
      <c r="K4" s="31" t="s">
        <v>700</v>
      </c>
      <c r="L4" s="32" t="str">
        <f xml:space="preserve"> _xlfn.CONCAT("dong", B4)</f>
        <v>dong1</v>
      </c>
      <c r="M4" s="33" t="str">
        <f t="shared" ref="M4:M9" si="0" xml:space="preserve"> IFERROR( _xlfn.CONCAT("d", "o", _xlfn.UNICHAR(HEX2DEC(RIGHT(I4,4))), "ng"), "")</f>
        <v>dōng</v>
      </c>
      <c r="N4" s="32" t="str">
        <f xml:space="preserve"> _xlfn.CONCAT("dong", K4)</f>
        <v>dong;</v>
      </c>
      <c r="O4" s="34"/>
      <c r="P4" s="35" t="str">
        <f xml:space="preserve"> _xlfn.CONCAT("ㄚ",)</f>
        <v>ㄚ</v>
      </c>
      <c r="Q4" s="34" t="s">
        <v>701</v>
      </c>
      <c r="R4" s="34" t="s">
        <v>702</v>
      </c>
      <c r="S4" s="34" t="s">
        <v>703</v>
      </c>
    </row>
    <row r="5" spans="2:19" ht="57.75">
      <c r="B5" s="36">
        <v>2</v>
      </c>
      <c r="C5" s="36">
        <v>5</v>
      </c>
      <c r="D5" s="37" t="s">
        <v>648</v>
      </c>
      <c r="E5" s="37" t="s">
        <v>704</v>
      </c>
      <c r="F5" s="38">
        <v>13</v>
      </c>
      <c r="G5" s="39" t="s">
        <v>705</v>
      </c>
      <c r="H5" s="40" t="s">
        <v>706</v>
      </c>
      <c r="I5" s="41" t="s">
        <v>707</v>
      </c>
      <c r="J5" s="42" t="str">
        <f xml:space="preserve"> IFERROR( _xlfn.CONCAT("a", _xlfn.UNICHAR(HEX2DEC(RIGHT(I5,4)))), "")</f>
        <v>á</v>
      </c>
      <c r="K5" s="43" t="s">
        <v>708</v>
      </c>
      <c r="L5" s="44" t="str">
        <f xml:space="preserve"> _xlfn.CONCAT("dong", B5)</f>
        <v>dong2</v>
      </c>
      <c r="M5" s="45" t="str">
        <f t="shared" si="0"/>
        <v>dóng</v>
      </c>
      <c r="N5" s="44" t="str">
        <f xml:space="preserve"> _xlfn.CONCAT("dong", K5)</f>
        <v>dong/</v>
      </c>
      <c r="O5" s="46" t="s">
        <v>707</v>
      </c>
      <c r="P5" s="47" t="str">
        <f xml:space="preserve"> _xlfn.CONCAT("ㄚ ",_xlfn.UNICHAR(HEX2DEC(RIGHT(O5,4))))</f>
        <v>ㄚ ́</v>
      </c>
      <c r="Q5" s="46" t="s">
        <v>709</v>
      </c>
      <c r="R5" s="46" t="s">
        <v>710</v>
      </c>
      <c r="S5" s="46" t="s">
        <v>711</v>
      </c>
    </row>
    <row r="6" spans="2:19" ht="57.75">
      <c r="B6" s="24">
        <v>3</v>
      </c>
      <c r="C6" s="24">
        <v>4</v>
      </c>
      <c r="D6" s="25" t="s">
        <v>712</v>
      </c>
      <c r="E6" s="25" t="s">
        <v>713</v>
      </c>
      <c r="F6" s="26">
        <v>53</v>
      </c>
      <c r="G6" s="27" t="s">
        <v>714</v>
      </c>
      <c r="H6" s="28" t="s">
        <v>715</v>
      </c>
      <c r="I6" s="29" t="s">
        <v>716</v>
      </c>
      <c r="J6" s="30" t="str">
        <f xml:space="preserve"> IFERROR( _xlfn.CONCAT("a", _xlfn.UNICHAR(HEX2DEC(RIGHT(I6,4)))), "")</f>
        <v>ǎ</v>
      </c>
      <c r="K6" s="31" t="s">
        <v>717</v>
      </c>
      <c r="L6" s="32" t="str">
        <f xml:space="preserve"> _xlfn.CONCAT("dong", B6)</f>
        <v>dong3</v>
      </c>
      <c r="M6" s="33" t="str">
        <f t="shared" si="0"/>
        <v>dǒng</v>
      </c>
      <c r="N6" s="32" t="str">
        <f xml:space="preserve"> _xlfn.CONCAT("dong", K6)</f>
        <v>dong\</v>
      </c>
      <c r="O6" s="34" t="s">
        <v>718</v>
      </c>
      <c r="P6" s="35" t="str">
        <f xml:space="preserve"> _xlfn.CONCAT("ㄚ ",_xlfn.UNICHAR(HEX2DEC(RIGHT(O6,4))))</f>
        <v>ㄚ ̀</v>
      </c>
      <c r="Q6" s="34" t="s">
        <v>31</v>
      </c>
      <c r="R6" s="34" t="s">
        <v>719</v>
      </c>
      <c r="S6" s="34" t="s">
        <v>720</v>
      </c>
    </row>
    <row r="7" spans="2:19" ht="57.75">
      <c r="B7" s="36">
        <v>4</v>
      </c>
      <c r="C7" s="36">
        <v>99</v>
      </c>
      <c r="D7" s="37" t="s">
        <v>721</v>
      </c>
      <c r="E7" s="37"/>
      <c r="F7" s="38"/>
      <c r="G7" s="39"/>
      <c r="H7" s="40"/>
      <c r="I7" s="41"/>
      <c r="J7" s="42"/>
      <c r="K7" s="43"/>
      <c r="L7" s="44"/>
      <c r="M7" s="45" t="str">
        <f t="shared" si="0"/>
        <v/>
      </c>
      <c r="N7" s="44"/>
      <c r="O7" s="46"/>
      <c r="P7" s="47"/>
      <c r="Q7" s="46" t="s">
        <v>634</v>
      </c>
      <c r="R7" s="46"/>
      <c r="S7" s="46"/>
    </row>
    <row r="8" spans="2:19" ht="57.75">
      <c r="B8" s="24">
        <v>5</v>
      </c>
      <c r="C8" s="24">
        <v>3</v>
      </c>
      <c r="D8" s="25" t="s">
        <v>640</v>
      </c>
      <c r="E8" s="25" t="s">
        <v>722</v>
      </c>
      <c r="F8" s="26">
        <v>21</v>
      </c>
      <c r="G8" s="27" t="s">
        <v>723</v>
      </c>
      <c r="H8" s="28" t="s">
        <v>724</v>
      </c>
      <c r="I8" s="29" t="s">
        <v>718</v>
      </c>
      <c r="J8" s="30" t="str">
        <f xml:space="preserve"> IFERROR( _xlfn.CONCAT("a", _xlfn.UNICHAR(HEX2DEC(RIGHT(I8,4)))), "")</f>
        <v>à</v>
      </c>
      <c r="K8" s="31" t="s">
        <v>725</v>
      </c>
      <c r="L8" s="32" t="str">
        <f xml:space="preserve"> _xlfn.CONCAT("dong", B8)</f>
        <v>dong5</v>
      </c>
      <c r="M8" s="33" t="str">
        <f t="shared" si="0"/>
        <v>dòng</v>
      </c>
      <c r="N8" s="32" t="str">
        <f xml:space="preserve"> _xlfn.CONCAT("dong", K8)</f>
        <v>dong_</v>
      </c>
      <c r="O8" s="34" t="s">
        <v>726</v>
      </c>
      <c r="P8" s="35" t="str">
        <f xml:space="preserve"> _xlfn.CONCAT("ㄚ",_xlfn.UNICHAR(HEX2DEC(RIGHT(O8,4))))</f>
        <v>ㄚ˪</v>
      </c>
      <c r="Q8" s="34" t="s">
        <v>25</v>
      </c>
      <c r="R8" s="34" t="s">
        <v>727</v>
      </c>
      <c r="S8" s="34" t="s">
        <v>728</v>
      </c>
    </row>
    <row r="9" spans="2:19" ht="57.75">
      <c r="B9" s="36">
        <v>6</v>
      </c>
      <c r="C9" s="36">
        <v>2</v>
      </c>
      <c r="D9" s="37" t="s">
        <v>635</v>
      </c>
      <c r="E9" s="37" t="s">
        <v>729</v>
      </c>
      <c r="F9" s="38">
        <v>22</v>
      </c>
      <c r="G9" s="39" t="s">
        <v>730</v>
      </c>
      <c r="H9" s="40" t="s">
        <v>731</v>
      </c>
      <c r="I9" s="41" t="s">
        <v>732</v>
      </c>
      <c r="J9" s="42" t="str">
        <f xml:space="preserve"> IFERROR( _xlfn.CONCAT("a", _xlfn.UNICHAR(HEX2DEC(RIGHT(I9,4)))), "")</f>
        <v>â</v>
      </c>
      <c r="K9" s="43" t="s">
        <v>733</v>
      </c>
      <c r="L9" s="44" t="str">
        <f xml:space="preserve"> _xlfn.CONCAT("dong", B9)</f>
        <v>dong6</v>
      </c>
      <c r="M9" s="45" t="str">
        <f t="shared" si="0"/>
        <v>dông</v>
      </c>
      <c r="N9" s="44" t="str">
        <f xml:space="preserve"> _xlfn.CONCAT("dong", K9)</f>
        <v>dong-</v>
      </c>
      <c r="O9" s="46" t="s">
        <v>734</v>
      </c>
      <c r="P9" s="47" t="str">
        <f xml:space="preserve"> _xlfn.CONCAT("ㄚ",_xlfn.UNICHAR(HEX2DEC(RIGHT(O9,4))))</f>
        <v>ㄚ˫</v>
      </c>
      <c r="Q9" s="46" t="s">
        <v>735</v>
      </c>
      <c r="R9" s="46" t="s">
        <v>736</v>
      </c>
      <c r="S9" s="46" t="s">
        <v>737</v>
      </c>
    </row>
    <row r="10" spans="2:19" ht="57.75">
      <c r="B10" s="24">
        <v>7</v>
      </c>
      <c r="C10" s="24">
        <v>7</v>
      </c>
      <c r="D10" s="25" t="s">
        <v>652</v>
      </c>
      <c r="E10" s="25" t="s">
        <v>738</v>
      </c>
      <c r="F10" s="26">
        <v>32</v>
      </c>
      <c r="G10" s="27" t="s">
        <v>739</v>
      </c>
      <c r="H10" s="28" t="s">
        <v>740</v>
      </c>
      <c r="I10" s="29" t="s">
        <v>699</v>
      </c>
      <c r="J10" s="30" t="str">
        <f xml:space="preserve"> IFERROR( _xlfn.CONCAT("a", _xlfn.UNICHAR(HEX2DEC(RIGHT(I10,4))), "h"), "")</f>
        <v>āh</v>
      </c>
      <c r="K10" s="31" t="s">
        <v>741</v>
      </c>
      <c r="L10" s="32" t="str">
        <f xml:space="preserve"> _xlfn.CONCAT("dok", B10)</f>
        <v>dok7</v>
      </c>
      <c r="M10" s="33" t="str">
        <f xml:space="preserve"> IFERROR( _xlfn.CONCAT("d", "o", _xlfn.UNICHAR(HEX2DEC(RIGHT(I10,4))), "k"), "")</f>
        <v>dōk</v>
      </c>
      <c r="N10" s="32" t="str">
        <f xml:space="preserve"> _xlfn.CONCAT("dok", K10)</f>
        <v>dok[</v>
      </c>
      <c r="O10" s="34"/>
      <c r="P10" s="35" t="str">
        <f xml:space="preserve"> _xlfn.CONCAT("ㄚ", "ㆷ")</f>
        <v>ㄚㆷ</v>
      </c>
      <c r="Q10" s="34" t="s">
        <v>655</v>
      </c>
      <c r="R10" s="34" t="s">
        <v>742</v>
      </c>
      <c r="S10" s="34" t="s">
        <v>743</v>
      </c>
    </row>
    <row r="11" spans="2:19" ht="57.75">
      <c r="B11" s="36">
        <v>8</v>
      </c>
      <c r="C11" s="36">
        <v>8</v>
      </c>
      <c r="D11" s="37" t="s">
        <v>656</v>
      </c>
      <c r="E11" s="37" t="s">
        <v>744</v>
      </c>
      <c r="F11" s="38">
        <v>121</v>
      </c>
      <c r="G11" s="39" t="s">
        <v>745</v>
      </c>
      <c r="H11" s="40" t="s">
        <v>746</v>
      </c>
      <c r="I11" s="41" t="s">
        <v>707</v>
      </c>
      <c r="J11" s="42" t="str">
        <f xml:space="preserve"> IFERROR( _xlfn.CONCAT("a", _xlfn.UNICHAR(HEX2DEC(RIGHT(I11,4))), "h"), "")</f>
        <v>áh</v>
      </c>
      <c r="K11" s="43" t="s">
        <v>747</v>
      </c>
      <c r="L11" s="44" t="str">
        <f xml:space="preserve"> _xlfn.CONCAT("dok", B11)</f>
        <v>dok8</v>
      </c>
      <c r="M11" s="45" t="str">
        <f xml:space="preserve"> IFERROR( _xlfn.CONCAT("d", "o", _xlfn.UNICHAR(HEX2DEC(RIGHT(I11,4))), "k"), "")</f>
        <v>dók</v>
      </c>
      <c r="N11" s="44" t="str">
        <f xml:space="preserve"> _xlfn.CONCAT("dok", K11)</f>
        <v>dok]</v>
      </c>
      <c r="O11" s="46" t="s">
        <v>748</v>
      </c>
      <c r="P11" s="47" t="str">
        <f xml:space="preserve"> _xlfn.CONCAT("ㄚ", "ㆷ", _xlfn.UNICHAR(HEX2DEC(RIGHT(O11,4))))</f>
        <v>ㄚㆷ˙</v>
      </c>
      <c r="Q11" s="46" t="s">
        <v>747</v>
      </c>
      <c r="R11" s="46" t="s">
        <v>749</v>
      </c>
      <c r="S11" s="46" t="s">
        <v>750</v>
      </c>
    </row>
  </sheetData>
  <phoneticPr fontId="4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8D437-5684-4A65-BB28-5B9291FDC5D9}">
  <dimension ref="A1:M85"/>
  <sheetViews>
    <sheetView workbookViewId="0">
      <selection activeCell="E2" sqref="E2:H85"/>
    </sheetView>
  </sheetViews>
  <sheetFormatPr defaultRowHeight="25.5"/>
  <cols>
    <col min="1" max="1" width="7.33203125" customWidth="1"/>
    <col min="4" max="4" width="9.1640625" customWidth="1"/>
    <col min="6" max="7" width="9.1640625" customWidth="1"/>
    <col min="9" max="10" width="9.1640625" customWidth="1"/>
    <col min="13" max="14" width="9.1640625" customWidth="1"/>
    <col min="15" max="15" width="7.33203125" customWidth="1"/>
    <col min="16" max="16" width="12.83203125" customWidth="1"/>
  </cols>
  <sheetData>
    <row r="1" spans="1:13">
      <c r="A1" s="69" t="s">
        <v>0</v>
      </c>
      <c r="B1" s="70" t="s">
        <v>3</v>
      </c>
      <c r="C1" s="70" t="s">
        <v>1</v>
      </c>
      <c r="D1" s="70" t="s">
        <v>4</v>
      </c>
      <c r="E1" s="70" t="s">
        <v>5</v>
      </c>
      <c r="F1" s="70" t="s">
        <v>2</v>
      </c>
      <c r="G1" s="70" t="s">
        <v>8</v>
      </c>
      <c r="H1" s="70" t="s">
        <v>6</v>
      </c>
      <c r="I1" s="70" t="s">
        <v>9</v>
      </c>
      <c r="J1" s="70" t="s">
        <v>7</v>
      </c>
      <c r="K1" s="70" t="s">
        <v>511</v>
      </c>
      <c r="L1" s="70" t="s">
        <v>10</v>
      </c>
      <c r="M1" s="71" t="s">
        <v>11</v>
      </c>
    </row>
    <row r="2" spans="1:13" ht="29.25">
      <c r="A2" s="62">
        <v>1</v>
      </c>
      <c r="B2" s="2" t="s">
        <v>15</v>
      </c>
      <c r="C2" s="2" t="s">
        <v>13</v>
      </c>
      <c r="D2" s="1" t="s">
        <v>16</v>
      </c>
      <c r="E2" s="1" t="s">
        <v>14</v>
      </c>
      <c r="F2" s="90" t="str" cm="1">
        <f t="array" ref="F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un</v>
      </c>
      <c r="G2" s="1" t="str" cm="1">
        <f t="array" ref="G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un</v>
      </c>
      <c r="H2" s="1" t="str" cm="1">
        <f t="array" ref="H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un</v>
      </c>
      <c r="I2" s="1" t="s">
        <v>14</v>
      </c>
      <c r="J2" s="1" t="s">
        <v>14</v>
      </c>
      <c r="K2" s="1" t="s">
        <v>12</v>
      </c>
      <c r="L2" s="1" t="s">
        <v>17</v>
      </c>
      <c r="M2" s="63" t="s">
        <v>18</v>
      </c>
    </row>
    <row r="3" spans="1:13" ht="29.25">
      <c r="A3" s="62">
        <v>2</v>
      </c>
      <c r="B3" s="2" t="s">
        <v>15</v>
      </c>
      <c r="C3" s="2" t="s">
        <v>20</v>
      </c>
      <c r="D3" s="1" t="s">
        <v>21</v>
      </c>
      <c r="E3" s="1" t="s">
        <v>22</v>
      </c>
      <c r="F3" s="90" t="str" cm="1">
        <f t="array" ref="F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ut</v>
      </c>
      <c r="G3" s="1" t="str" cm="1">
        <f t="array" ref="G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ut</v>
      </c>
      <c r="H3" s="1" t="str" cm="1">
        <f t="array" ref="H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ut</v>
      </c>
      <c r="I3" s="1" t="s">
        <v>22</v>
      </c>
      <c r="J3" s="1" t="s">
        <v>22</v>
      </c>
      <c r="K3" s="1" t="s">
        <v>12</v>
      </c>
      <c r="L3" s="1" t="s">
        <v>23</v>
      </c>
      <c r="M3" s="63" t="s">
        <v>24</v>
      </c>
    </row>
    <row r="4" spans="1:13" ht="29.25">
      <c r="A4" s="62">
        <v>3</v>
      </c>
      <c r="B4" s="2" t="s">
        <v>28</v>
      </c>
      <c r="C4" s="2" t="s">
        <v>26</v>
      </c>
      <c r="D4" s="1" t="s">
        <v>29</v>
      </c>
      <c r="E4" s="1" t="s">
        <v>27</v>
      </c>
      <c r="F4" s="90" t="str" cm="1">
        <f t="array" ref="F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ɪan</v>
      </c>
      <c r="G4" s="1" t="str" cm="1">
        <f t="array" ref="G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</v>
      </c>
      <c r="H4" s="1" t="str" cm="1">
        <f t="array" ref="H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</v>
      </c>
      <c r="I4" s="1" t="s">
        <v>27</v>
      </c>
      <c r="J4" s="1" t="s">
        <v>27</v>
      </c>
      <c r="K4" s="1" t="s">
        <v>19</v>
      </c>
      <c r="L4" s="1" t="s">
        <v>17</v>
      </c>
      <c r="M4" s="63" t="s">
        <v>30</v>
      </c>
    </row>
    <row r="5" spans="1:13" ht="29.25">
      <c r="A5" s="62">
        <v>4</v>
      </c>
      <c r="B5" s="2" t="s">
        <v>28</v>
      </c>
      <c r="C5" s="2" t="s">
        <v>32</v>
      </c>
      <c r="D5" s="1" t="s">
        <v>33</v>
      </c>
      <c r="E5" s="1" t="s">
        <v>34</v>
      </c>
      <c r="F5" s="90" t="str" cm="1">
        <f t="array" ref="F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ɪat̚</v>
      </c>
      <c r="G5" s="1" t="str" cm="1">
        <f t="array" ref="G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iat</v>
      </c>
      <c r="H5" s="1" t="str" cm="1">
        <f t="array" ref="H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iat</v>
      </c>
      <c r="I5" s="1" t="s">
        <v>34</v>
      </c>
      <c r="J5" s="1" t="s">
        <v>34</v>
      </c>
      <c r="K5" s="1" t="s">
        <v>19</v>
      </c>
      <c r="L5" s="1" t="s">
        <v>23</v>
      </c>
      <c r="M5" s="63" t="s">
        <v>35</v>
      </c>
    </row>
    <row r="6" spans="1:13" ht="29.25">
      <c r="A6" s="62">
        <v>5</v>
      </c>
      <c r="B6" s="2" t="s">
        <v>39</v>
      </c>
      <c r="C6" s="2" t="s">
        <v>37</v>
      </c>
      <c r="D6" s="1" t="s">
        <v>40</v>
      </c>
      <c r="E6" s="1" t="s">
        <v>38</v>
      </c>
      <c r="F6" s="90" t="str" cm="1">
        <f t="array" ref="F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im</v>
      </c>
      <c r="G6" s="1" t="str" cm="1">
        <f t="array" ref="G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im</v>
      </c>
      <c r="H6" s="1" t="str" cm="1">
        <f t="array" ref="H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im</v>
      </c>
      <c r="I6" s="1" t="s">
        <v>38</v>
      </c>
      <c r="J6" s="1" t="s">
        <v>38</v>
      </c>
      <c r="K6" s="1" t="s">
        <v>25</v>
      </c>
      <c r="L6" s="1" t="s">
        <v>17</v>
      </c>
      <c r="M6" s="63" t="s">
        <v>41</v>
      </c>
    </row>
    <row r="7" spans="1:13" ht="29.25">
      <c r="A7" s="62">
        <v>6</v>
      </c>
      <c r="B7" s="2" t="s">
        <v>39</v>
      </c>
      <c r="C7" s="2" t="s">
        <v>43</v>
      </c>
      <c r="D7" s="1" t="s">
        <v>45</v>
      </c>
      <c r="E7" s="1" t="s">
        <v>46</v>
      </c>
      <c r="F7" s="90" t="str" cm="1">
        <f t="array" ref="F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ip̚</v>
      </c>
      <c r="G7" s="1" t="str" cm="1">
        <f t="array" ref="G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ip</v>
      </c>
      <c r="H7" s="1" t="str" cm="1">
        <f t="array" ref="H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ip</v>
      </c>
      <c r="I7" s="1" t="s">
        <v>46</v>
      </c>
      <c r="J7" s="1" t="s">
        <v>46</v>
      </c>
      <c r="K7" s="1" t="s">
        <v>25</v>
      </c>
      <c r="L7" s="1" t="s">
        <v>23</v>
      </c>
      <c r="M7" s="63" t="s">
        <v>47</v>
      </c>
    </row>
    <row r="8" spans="1:13" ht="29.25">
      <c r="A8" s="62">
        <v>7</v>
      </c>
      <c r="B8" s="2" t="s">
        <v>51</v>
      </c>
      <c r="C8" s="2" t="s">
        <v>49</v>
      </c>
      <c r="D8" s="1" t="s">
        <v>52</v>
      </c>
      <c r="E8" s="1" t="s">
        <v>50</v>
      </c>
      <c r="F8" s="90" t="str" cm="1">
        <f t="array" ref="F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ui</v>
      </c>
      <c r="G8" s="1" t="str" cm="1">
        <f t="array" ref="G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ui</v>
      </c>
      <c r="H8" s="1" t="str" cm="1">
        <f t="array" ref="H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</v>
      </c>
      <c r="I8" s="1" t="s">
        <v>50</v>
      </c>
      <c r="J8" s="1" t="s">
        <v>50</v>
      </c>
      <c r="K8" s="1" t="s">
        <v>31</v>
      </c>
      <c r="L8" s="1" t="s">
        <v>17</v>
      </c>
      <c r="M8" s="63" t="s">
        <v>53</v>
      </c>
    </row>
    <row r="9" spans="1:13" ht="29.25">
      <c r="A9" s="62">
        <v>9</v>
      </c>
      <c r="B9" s="3" t="s">
        <v>57</v>
      </c>
      <c r="C9" s="3" t="s">
        <v>55</v>
      </c>
      <c r="D9" s="1" t="s">
        <v>58</v>
      </c>
      <c r="E9" s="1" t="s">
        <v>59</v>
      </c>
      <c r="F9" s="90" t="str" cm="1">
        <f t="array" ref="F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</v>
      </c>
      <c r="G9" s="1" t="str" cm="1">
        <f t="array" ref="G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9" s="1" t="str" cm="1">
        <f t="array" ref="H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</v>
      </c>
      <c r="I9" s="1" t="s">
        <v>60</v>
      </c>
      <c r="J9" s="1" t="s">
        <v>60</v>
      </c>
      <c r="K9" s="1" t="s">
        <v>36</v>
      </c>
      <c r="L9" s="1" t="s">
        <v>17</v>
      </c>
      <c r="M9" s="63" t="s">
        <v>61</v>
      </c>
    </row>
    <row r="10" spans="1:13" ht="29.25">
      <c r="A10" s="62">
        <v>10</v>
      </c>
      <c r="B10" s="3" t="s">
        <v>57</v>
      </c>
      <c r="C10" s="2" t="s">
        <v>63</v>
      </c>
      <c r="D10" s="1" t="s">
        <v>908</v>
      </c>
      <c r="E10" s="1" t="s">
        <v>64</v>
      </c>
      <c r="F10" s="90" t="str" cm="1">
        <f t="array" ref="F1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ɛʔ</v>
      </c>
      <c r="G10" s="1" t="str" cm="1">
        <f t="array" ref="G1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10" s="1" t="str" cm="1">
        <f t="array" ref="H1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eeh</v>
      </c>
      <c r="I10" s="1" t="s">
        <v>65</v>
      </c>
      <c r="J10" s="1" t="s">
        <v>64</v>
      </c>
      <c r="K10" s="1" t="s">
        <v>36</v>
      </c>
      <c r="L10" s="1" t="s">
        <v>23</v>
      </c>
      <c r="M10" s="63" t="s">
        <v>66</v>
      </c>
    </row>
    <row r="11" spans="1:13" ht="29.25">
      <c r="A11" s="62">
        <v>11</v>
      </c>
      <c r="B11" s="2" t="s">
        <v>70</v>
      </c>
      <c r="C11" s="2" t="s">
        <v>68</v>
      </c>
      <c r="D11" s="1" t="s">
        <v>71</v>
      </c>
      <c r="E11" s="1" t="s">
        <v>69</v>
      </c>
      <c r="F11" s="90" t="str" cm="1">
        <f t="array" ref="F1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an</v>
      </c>
      <c r="G11" s="1" t="str" cm="1">
        <f t="array" ref="G1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</v>
      </c>
      <c r="H11" s="1" t="str" cm="1">
        <f t="array" ref="H1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</v>
      </c>
      <c r="I11" s="1" t="s">
        <v>69</v>
      </c>
      <c r="J11" s="1" t="s">
        <v>69</v>
      </c>
      <c r="K11" s="1" t="s">
        <v>42</v>
      </c>
      <c r="L11" s="1" t="s">
        <v>17</v>
      </c>
      <c r="M11" s="63" t="s">
        <v>72</v>
      </c>
    </row>
    <row r="12" spans="1:13" ht="29.25">
      <c r="A12" s="62">
        <v>12</v>
      </c>
      <c r="B12" s="2" t="s">
        <v>70</v>
      </c>
      <c r="C12" s="2" t="s">
        <v>74</v>
      </c>
      <c r="D12" s="1" t="s">
        <v>76</v>
      </c>
      <c r="E12" s="1" t="s">
        <v>77</v>
      </c>
      <c r="F12" s="90" t="str" cm="1">
        <f t="array" ref="F1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at̚</v>
      </c>
      <c r="G12" s="1" t="str" cm="1">
        <f t="array" ref="G1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at</v>
      </c>
      <c r="H12" s="1" t="str" cm="1">
        <f t="array" ref="H1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at</v>
      </c>
      <c r="I12" s="1" t="s">
        <v>77</v>
      </c>
      <c r="J12" s="1" t="s">
        <v>77</v>
      </c>
      <c r="K12" s="1" t="s">
        <v>42</v>
      </c>
      <c r="L12" s="1" t="s">
        <v>23</v>
      </c>
      <c r="M12" s="63" t="s">
        <v>78</v>
      </c>
    </row>
    <row r="13" spans="1:13" ht="29.25">
      <c r="A13" s="62">
        <v>13</v>
      </c>
      <c r="B13" s="2" t="s">
        <v>82</v>
      </c>
      <c r="C13" s="2" t="s">
        <v>80</v>
      </c>
      <c r="D13" s="1" t="s">
        <v>83</v>
      </c>
      <c r="E13" s="1" t="s">
        <v>84</v>
      </c>
      <c r="F13" s="90" t="str" cm="1">
        <f t="array" ref="F1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ɔŋ</v>
      </c>
      <c r="G13" s="1" t="str" cm="1">
        <f t="array" ref="G1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ong</v>
      </c>
      <c r="H13" s="1" t="str" cm="1">
        <f t="array" ref="H1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ong</v>
      </c>
      <c r="I13" s="1" t="s">
        <v>84</v>
      </c>
      <c r="J13" s="1" t="s">
        <v>84</v>
      </c>
      <c r="K13" s="1" t="s">
        <v>48</v>
      </c>
      <c r="L13" s="1" t="s">
        <v>17</v>
      </c>
      <c r="M13" s="63" t="s">
        <v>85</v>
      </c>
    </row>
    <row r="14" spans="1:13" ht="29.25">
      <c r="A14" s="62">
        <v>14</v>
      </c>
      <c r="B14" s="2" t="s">
        <v>82</v>
      </c>
      <c r="C14" s="2" t="s">
        <v>87</v>
      </c>
      <c r="D14" s="1" t="s">
        <v>89</v>
      </c>
      <c r="E14" s="1" t="s">
        <v>90</v>
      </c>
      <c r="F14" s="90" t="str" cm="1">
        <f t="array" ref="F1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ɔk̚</v>
      </c>
      <c r="G14" s="1" t="str" cm="1">
        <f t="array" ref="G1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ok</v>
      </c>
      <c r="H14" s="1" t="str" cm="1">
        <f t="array" ref="H1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ok</v>
      </c>
      <c r="I14" s="1" t="s">
        <v>90</v>
      </c>
      <c r="J14" s="1" t="s">
        <v>90</v>
      </c>
      <c r="K14" s="1" t="s">
        <v>48</v>
      </c>
      <c r="L14" s="1" t="s">
        <v>23</v>
      </c>
      <c r="M14" s="63" t="s">
        <v>91</v>
      </c>
    </row>
    <row r="15" spans="1:13" ht="29.25">
      <c r="A15" s="62">
        <v>15</v>
      </c>
      <c r="B15" s="2" t="s">
        <v>95</v>
      </c>
      <c r="C15" s="2" t="s">
        <v>93</v>
      </c>
      <c r="D15" s="1" t="s">
        <v>96</v>
      </c>
      <c r="E15" s="1" t="s">
        <v>94</v>
      </c>
      <c r="F15" s="90" t="str" cm="1">
        <f t="array" ref="F1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</v>
      </c>
      <c r="G15" s="1" t="str" cm="1">
        <f t="array" ref="G1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</v>
      </c>
      <c r="H15" s="1" t="str" cm="1">
        <f t="array" ref="H1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</v>
      </c>
      <c r="I15" s="1" t="s">
        <v>94</v>
      </c>
      <c r="J15" s="1" t="s">
        <v>97</v>
      </c>
      <c r="K15" s="1" t="s">
        <v>99</v>
      </c>
      <c r="L15" s="1" t="s">
        <v>17</v>
      </c>
      <c r="M15" s="63" t="s">
        <v>98</v>
      </c>
    </row>
    <row r="16" spans="1:13" ht="39">
      <c r="A16" s="62">
        <v>16</v>
      </c>
      <c r="B16" s="2" t="s">
        <v>95</v>
      </c>
      <c r="C16" s="2" t="s">
        <v>512</v>
      </c>
      <c r="D16" s="1" t="s">
        <v>909</v>
      </c>
      <c r="E16" s="1" t="s">
        <v>101</v>
      </c>
      <c r="F16" s="90" t="str" cm="1">
        <f t="array" ref="F1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uaiʔ</v>
      </c>
      <c r="G16" s="1" t="str" cm="1">
        <f t="array" ref="G1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uaih</v>
      </c>
      <c r="H16" s="1" t="str" cm="1">
        <f t="array" ref="H1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uaih</v>
      </c>
      <c r="I16" s="1" t="s">
        <v>101</v>
      </c>
      <c r="J16" s="1" t="s">
        <v>102</v>
      </c>
      <c r="K16" s="1" t="s">
        <v>99</v>
      </c>
      <c r="L16" s="1" t="s">
        <v>23</v>
      </c>
      <c r="M16" s="63" t="s">
        <v>103</v>
      </c>
    </row>
    <row r="17" spans="1:13" ht="29.25">
      <c r="A17" s="62">
        <v>17</v>
      </c>
      <c r="B17" s="2" t="s">
        <v>107</v>
      </c>
      <c r="C17" s="2" t="s">
        <v>105</v>
      </c>
      <c r="D17" s="1" t="s">
        <v>108</v>
      </c>
      <c r="E17" s="1" t="s">
        <v>109</v>
      </c>
      <c r="F17" s="90" t="str" cm="1">
        <f t="array" ref="F1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ɪŋ</v>
      </c>
      <c r="G17" s="1" t="str" cm="1">
        <f t="array" ref="G1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ing</v>
      </c>
      <c r="H17" s="1" t="str" cm="1">
        <f t="array" ref="H1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ing</v>
      </c>
      <c r="I17" s="1" t="s">
        <v>109</v>
      </c>
      <c r="J17" s="1" t="s">
        <v>110</v>
      </c>
      <c r="K17" s="1" t="s">
        <v>54</v>
      </c>
      <c r="L17" s="1" t="s">
        <v>17</v>
      </c>
      <c r="M17" s="63" t="s">
        <v>111</v>
      </c>
    </row>
    <row r="18" spans="1:13" ht="29.25">
      <c r="A18" s="62">
        <v>18</v>
      </c>
      <c r="B18" s="2" t="s">
        <v>107</v>
      </c>
      <c r="C18" s="2" t="s">
        <v>113</v>
      </c>
      <c r="D18" s="1" t="s">
        <v>114</v>
      </c>
      <c r="E18" s="1" t="s">
        <v>115</v>
      </c>
      <c r="F18" s="90" t="str" cm="1">
        <f t="array" ref="F1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ɪk̚</v>
      </c>
      <c r="G18" s="1" t="str" cm="1">
        <f t="array" ref="G1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ik</v>
      </c>
      <c r="H18" s="1" t="str" cm="1">
        <f t="array" ref="H1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ik</v>
      </c>
      <c r="I18" s="1" t="s">
        <v>115</v>
      </c>
      <c r="J18" s="1" t="s">
        <v>116</v>
      </c>
      <c r="K18" s="1" t="s">
        <v>54</v>
      </c>
      <c r="L18" s="1" t="s">
        <v>23</v>
      </c>
      <c r="M18" s="63" t="s">
        <v>117</v>
      </c>
    </row>
    <row r="19" spans="1:13" ht="29.25">
      <c r="A19" s="62">
        <v>19</v>
      </c>
      <c r="B19" s="2" t="s">
        <v>121</v>
      </c>
      <c r="C19" s="2" t="s">
        <v>119</v>
      </c>
      <c r="D19" s="1" t="s">
        <v>122</v>
      </c>
      <c r="E19" s="1" t="s">
        <v>120</v>
      </c>
      <c r="F19" s="90" t="str" cm="1">
        <f t="array" ref="F1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uan</v>
      </c>
      <c r="G19" s="1" t="str" cm="1">
        <f t="array" ref="G1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</v>
      </c>
      <c r="H19" s="1" t="str" cm="1">
        <f t="array" ref="H1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</v>
      </c>
      <c r="I19" s="1" t="s">
        <v>120</v>
      </c>
      <c r="J19" s="1" t="s">
        <v>123</v>
      </c>
      <c r="K19" s="1" t="s">
        <v>62</v>
      </c>
      <c r="L19" s="1" t="s">
        <v>17</v>
      </c>
      <c r="M19" s="63" t="s">
        <v>124</v>
      </c>
    </row>
    <row r="20" spans="1:13" ht="29.25">
      <c r="A20" s="62">
        <v>20</v>
      </c>
      <c r="B20" s="2" t="s">
        <v>121</v>
      </c>
      <c r="C20" s="2" t="s">
        <v>126</v>
      </c>
      <c r="D20" s="1" t="s">
        <v>128</v>
      </c>
      <c r="E20" s="1" t="s">
        <v>129</v>
      </c>
      <c r="F20" s="90" t="str" cm="1">
        <f t="array" ref="F2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uat̚</v>
      </c>
      <c r="G20" s="1" t="str" cm="1">
        <f t="array" ref="G2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uat</v>
      </c>
      <c r="H20" s="1" t="str" cm="1">
        <f t="array" ref="H2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uat</v>
      </c>
      <c r="I20" s="1" t="s">
        <v>129</v>
      </c>
      <c r="J20" s="1" t="s">
        <v>130</v>
      </c>
      <c r="K20" s="1" t="s">
        <v>62</v>
      </c>
      <c r="L20" s="1" t="s">
        <v>23</v>
      </c>
      <c r="M20" s="63" t="s">
        <v>131</v>
      </c>
    </row>
    <row r="21" spans="1:13" ht="29.25">
      <c r="A21" s="62">
        <v>21</v>
      </c>
      <c r="B21" s="2" t="s">
        <v>135</v>
      </c>
      <c r="C21" s="2" t="s">
        <v>133</v>
      </c>
      <c r="D21" s="1" t="s">
        <v>910</v>
      </c>
      <c r="E21" s="1" t="s">
        <v>136</v>
      </c>
      <c r="F21" s="90" t="str" cm="1">
        <f t="array" ref="F2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</v>
      </c>
      <c r="G21" s="1" t="str" cm="1">
        <f t="array" ref="G2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oo</v>
      </c>
      <c r="H21" s="1" t="str" cm="1">
        <f t="array" ref="H2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oo</v>
      </c>
      <c r="I21" s="1" t="s">
        <v>136</v>
      </c>
      <c r="J21" s="1" t="s">
        <v>137</v>
      </c>
      <c r="K21" s="1" t="s">
        <v>67</v>
      </c>
      <c r="L21" s="1" t="s">
        <v>17</v>
      </c>
      <c r="M21" s="63" t="s">
        <v>138</v>
      </c>
    </row>
    <row r="22" spans="1:13" ht="29.25">
      <c r="A22" s="62">
        <v>23</v>
      </c>
      <c r="B22" s="2" t="s">
        <v>142</v>
      </c>
      <c r="C22" s="2" t="s">
        <v>140</v>
      </c>
      <c r="D22" s="1" t="s">
        <v>143</v>
      </c>
      <c r="E22" s="1" t="s">
        <v>141</v>
      </c>
      <c r="F22" s="90" t="str" cm="1">
        <f t="array" ref="F2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</v>
      </c>
      <c r="G22" s="1" t="str" cm="1">
        <f t="array" ref="G2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</v>
      </c>
      <c r="H22" s="1" t="str" cm="1">
        <f t="array" ref="H2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</v>
      </c>
      <c r="I22" s="1" t="s">
        <v>141</v>
      </c>
      <c r="J22" s="1" t="s">
        <v>141</v>
      </c>
      <c r="K22" s="1" t="s">
        <v>73</v>
      </c>
      <c r="L22" s="1" t="s">
        <v>17</v>
      </c>
      <c r="M22" s="63" t="s">
        <v>145</v>
      </c>
    </row>
    <row r="23" spans="1:13" ht="29.25">
      <c r="A23" s="62">
        <v>24</v>
      </c>
      <c r="B23" s="2" t="s">
        <v>142</v>
      </c>
      <c r="C23" s="4" t="s">
        <v>147</v>
      </c>
      <c r="D23" s="1" t="s">
        <v>911</v>
      </c>
      <c r="E23" s="1" t="s">
        <v>148</v>
      </c>
      <c r="F23" s="90" t="str" cm="1">
        <f t="array" ref="F2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ɪaʊʔ</v>
      </c>
      <c r="G23" s="1" t="str" cm="1">
        <f t="array" ref="G2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iaoh</v>
      </c>
      <c r="H23" s="1" t="str" cm="1">
        <f t="array" ref="H2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iauh</v>
      </c>
      <c r="I23" s="1" t="s">
        <v>148</v>
      </c>
      <c r="J23" s="1" t="s">
        <v>148</v>
      </c>
      <c r="K23" s="1" t="s">
        <v>73</v>
      </c>
      <c r="L23" s="1" t="s">
        <v>23</v>
      </c>
      <c r="M23" s="63" t="s">
        <v>150</v>
      </c>
    </row>
    <row r="24" spans="1:13" ht="29.25">
      <c r="A24" s="62">
        <v>25</v>
      </c>
      <c r="B24" s="2" t="s">
        <v>154</v>
      </c>
      <c r="C24" s="2" t="s">
        <v>152</v>
      </c>
      <c r="D24" s="1" t="s">
        <v>155</v>
      </c>
      <c r="E24" s="1" t="s">
        <v>153</v>
      </c>
      <c r="F24" s="90" t="str" cm="1">
        <f t="array" ref="F2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24" s="1" t="str" cm="1">
        <f t="array" ref="G2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24" s="1" t="str" cm="1">
        <f t="array" ref="H2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24" s="1" t="s">
        <v>60</v>
      </c>
      <c r="J24" s="1" t="s">
        <v>60</v>
      </c>
      <c r="K24" s="1" t="s">
        <v>79</v>
      </c>
      <c r="L24" s="1" t="s">
        <v>17</v>
      </c>
      <c r="M24" s="63" t="s">
        <v>156</v>
      </c>
    </row>
    <row r="25" spans="1:13" ht="29.25">
      <c r="A25" s="62">
        <v>27</v>
      </c>
      <c r="B25" s="2" t="s">
        <v>160</v>
      </c>
      <c r="C25" s="2" t="s">
        <v>158</v>
      </c>
      <c r="D25" s="1" t="s">
        <v>161</v>
      </c>
      <c r="E25" s="1" t="s">
        <v>162</v>
      </c>
      <c r="F25" s="90" t="str" cm="1">
        <f t="array" ref="F2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ɪɔŋ</v>
      </c>
      <c r="G25" s="1" t="str" cm="1">
        <f t="array" ref="G2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iong</v>
      </c>
      <c r="H25" s="1" t="str" cm="1">
        <f t="array" ref="H2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iong</v>
      </c>
      <c r="I25" s="1" t="s">
        <v>162</v>
      </c>
      <c r="J25" s="1" t="s">
        <v>162</v>
      </c>
      <c r="K25" s="1" t="s">
        <v>86</v>
      </c>
      <c r="L25" s="1" t="s">
        <v>17</v>
      </c>
      <c r="M25" s="63" t="s">
        <v>163</v>
      </c>
    </row>
    <row r="26" spans="1:13" ht="29.25">
      <c r="A26" s="62">
        <v>28</v>
      </c>
      <c r="B26" s="2" t="s">
        <v>160</v>
      </c>
      <c r="C26" s="2" t="s">
        <v>165</v>
      </c>
      <c r="D26" s="1" t="s">
        <v>166</v>
      </c>
      <c r="E26" s="1" t="s">
        <v>167</v>
      </c>
      <c r="F26" s="90" t="str" cm="1">
        <f t="array" ref="F2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ɪɔk̚</v>
      </c>
      <c r="G26" s="1" t="str" cm="1">
        <f t="array" ref="G2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iok</v>
      </c>
      <c r="H26" s="1" t="str" cm="1">
        <f t="array" ref="H2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iok</v>
      </c>
      <c r="I26" s="1" t="s">
        <v>893</v>
      </c>
      <c r="J26" s="1" t="s">
        <v>167</v>
      </c>
      <c r="K26" s="1" t="s">
        <v>86</v>
      </c>
      <c r="L26" s="1" t="s">
        <v>23</v>
      </c>
      <c r="M26" s="63" t="s">
        <v>168</v>
      </c>
    </row>
    <row r="27" spans="1:13" ht="29.25">
      <c r="A27" s="62">
        <v>29</v>
      </c>
      <c r="B27" s="2" t="s">
        <v>172</v>
      </c>
      <c r="C27" s="2" t="s">
        <v>170</v>
      </c>
      <c r="D27" s="1" t="s">
        <v>173</v>
      </c>
      <c r="E27" s="1" t="s">
        <v>171</v>
      </c>
      <c r="F27" s="90" t="str" cm="1">
        <f t="array" ref="F2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</v>
      </c>
      <c r="G27" s="1" t="str" cm="1">
        <f t="array" ref="G2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</v>
      </c>
      <c r="H27" s="1" t="str" cm="1">
        <f t="array" ref="H2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</v>
      </c>
      <c r="I27" s="1" t="s">
        <v>174</v>
      </c>
      <c r="J27" s="1" t="s">
        <v>171</v>
      </c>
      <c r="K27" s="1" t="s">
        <v>92</v>
      </c>
      <c r="L27" s="1" t="s">
        <v>17</v>
      </c>
      <c r="M27" s="63" t="s">
        <v>175</v>
      </c>
    </row>
    <row r="28" spans="1:13" ht="29.25">
      <c r="A28" s="62">
        <v>30</v>
      </c>
      <c r="B28" s="2" t="s">
        <v>172</v>
      </c>
      <c r="C28" s="3" t="s">
        <v>177</v>
      </c>
      <c r="D28" s="1" t="s">
        <v>912</v>
      </c>
      <c r="E28" s="1" t="s">
        <v>178</v>
      </c>
      <c r="F28" s="90" t="str" cm="1">
        <f t="array" ref="F2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oʔ</v>
      </c>
      <c r="G28" s="1" t="str" cm="1">
        <f t="array" ref="G2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oh</v>
      </c>
      <c r="H28" s="1" t="str" cm="1">
        <f t="array" ref="H2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oh</v>
      </c>
      <c r="I28" s="1" t="s">
        <v>179</v>
      </c>
      <c r="J28" s="1" t="s">
        <v>178</v>
      </c>
      <c r="K28" s="1" t="s">
        <v>92</v>
      </c>
      <c r="L28" s="1" t="s">
        <v>23</v>
      </c>
      <c r="M28" s="63" t="s">
        <v>180</v>
      </c>
    </row>
    <row r="29" spans="1:13" ht="29.25">
      <c r="A29" s="62">
        <v>31</v>
      </c>
      <c r="B29" s="2" t="s">
        <v>184</v>
      </c>
      <c r="C29" s="2" t="s">
        <v>182</v>
      </c>
      <c r="D29" s="1" t="s">
        <v>185</v>
      </c>
      <c r="E29" s="1" t="s">
        <v>183</v>
      </c>
      <c r="F29" s="90" t="str" cm="1">
        <f t="array" ref="F2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aɪ</v>
      </c>
      <c r="G29" s="1" t="str" cm="1">
        <f t="array" ref="G2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ai</v>
      </c>
      <c r="H29" s="1" t="str" cm="1">
        <f t="array" ref="H2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</v>
      </c>
      <c r="I29" s="1" t="s">
        <v>183</v>
      </c>
      <c r="J29" s="1" t="s">
        <v>183</v>
      </c>
      <c r="K29" s="1" t="s">
        <v>100</v>
      </c>
      <c r="L29" s="1" t="s">
        <v>17</v>
      </c>
      <c r="M29" s="63" t="s">
        <v>186</v>
      </c>
    </row>
    <row r="30" spans="1:13" ht="29.25">
      <c r="A30" s="62">
        <v>33</v>
      </c>
      <c r="B30" s="2" t="s">
        <v>190</v>
      </c>
      <c r="C30" s="2" t="s">
        <v>188</v>
      </c>
      <c r="D30" s="1" t="s">
        <v>191</v>
      </c>
      <c r="E30" s="1" t="s">
        <v>189</v>
      </c>
      <c r="F30" s="90" t="str" cm="1">
        <f t="array" ref="F3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in</v>
      </c>
      <c r="G30" s="1" t="str" cm="1">
        <f t="array" ref="G3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</v>
      </c>
      <c r="H30" s="1" t="str" cm="1">
        <f t="array" ref="H3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</v>
      </c>
      <c r="I30" s="1" t="s">
        <v>189</v>
      </c>
      <c r="J30" s="1" t="s">
        <v>189</v>
      </c>
      <c r="K30" s="1" t="s">
        <v>104</v>
      </c>
      <c r="L30" s="1" t="s">
        <v>17</v>
      </c>
      <c r="M30" s="63" t="s">
        <v>192</v>
      </c>
    </row>
    <row r="31" spans="1:13" ht="29.25">
      <c r="A31" s="62">
        <v>34</v>
      </c>
      <c r="B31" s="2" t="s">
        <v>190</v>
      </c>
      <c r="C31" s="2" t="s">
        <v>194</v>
      </c>
      <c r="D31" s="1" t="s">
        <v>196</v>
      </c>
      <c r="E31" s="1" t="s">
        <v>197</v>
      </c>
      <c r="F31" s="90" t="str" cm="1">
        <f t="array" ref="F3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it̚</v>
      </c>
      <c r="G31" s="1" t="str" cm="1">
        <f t="array" ref="G3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it</v>
      </c>
      <c r="H31" s="1" t="str" cm="1">
        <f t="array" ref="H3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it</v>
      </c>
      <c r="I31" s="1" t="s">
        <v>197</v>
      </c>
      <c r="J31" s="1" t="s">
        <v>197</v>
      </c>
      <c r="K31" s="1" t="s">
        <v>104</v>
      </c>
      <c r="L31" s="1" t="s">
        <v>23</v>
      </c>
      <c r="M31" s="63" t="s">
        <v>198</v>
      </c>
    </row>
    <row r="32" spans="1:13" ht="29.25">
      <c r="A32" s="62">
        <v>35</v>
      </c>
      <c r="B32" s="4" t="s">
        <v>202</v>
      </c>
      <c r="C32" s="4" t="s">
        <v>200</v>
      </c>
      <c r="D32" s="1" t="s">
        <v>913</v>
      </c>
      <c r="E32" s="1" t="s">
        <v>203</v>
      </c>
      <c r="F32" s="90" t="str" cm="1">
        <f t="array" ref="F3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ɪaŋ</v>
      </c>
      <c r="G32" s="1" t="str" cm="1">
        <f t="array" ref="G3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iang</v>
      </c>
      <c r="H32" s="1" t="str" cm="1">
        <f t="array" ref="H3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iang</v>
      </c>
      <c r="I32" s="1" t="s">
        <v>203</v>
      </c>
      <c r="J32" s="1" t="s">
        <v>203</v>
      </c>
      <c r="K32" s="1" t="s">
        <v>112</v>
      </c>
      <c r="L32" s="1" t="s">
        <v>17</v>
      </c>
      <c r="M32" s="63" t="s">
        <v>204</v>
      </c>
    </row>
    <row r="33" spans="1:13" ht="29.25">
      <c r="A33" s="62">
        <v>36</v>
      </c>
      <c r="B33" s="4" t="s">
        <v>202</v>
      </c>
      <c r="C33" s="3" t="s">
        <v>206</v>
      </c>
      <c r="D33" s="1" t="s">
        <v>914</v>
      </c>
      <c r="E33" s="1" t="s">
        <v>207</v>
      </c>
      <c r="F33" s="90" t="str" cm="1">
        <f t="array" ref="F3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ɪak̚</v>
      </c>
      <c r="G33" s="1" t="str" cm="1">
        <f t="array" ref="G3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iak</v>
      </c>
      <c r="H33" s="1" t="str" cm="1">
        <f t="array" ref="H3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iak</v>
      </c>
      <c r="I33" s="1" t="s">
        <v>207</v>
      </c>
      <c r="J33" s="1" t="s">
        <v>207</v>
      </c>
      <c r="K33" s="1" t="s">
        <v>112</v>
      </c>
      <c r="L33" s="1" t="s">
        <v>23</v>
      </c>
      <c r="M33" s="63" t="s">
        <v>208</v>
      </c>
    </row>
    <row r="34" spans="1:13" ht="29.25">
      <c r="A34" s="62">
        <v>37</v>
      </c>
      <c r="B34" s="2" t="s">
        <v>212</v>
      </c>
      <c r="C34" s="2" t="s">
        <v>210</v>
      </c>
      <c r="D34" s="1" t="s">
        <v>213</v>
      </c>
      <c r="E34" s="1" t="s">
        <v>211</v>
      </c>
      <c r="F34" s="90" t="str" cm="1">
        <f t="array" ref="F3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am</v>
      </c>
      <c r="G34" s="1" t="str" cm="1">
        <f t="array" ref="G3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am</v>
      </c>
      <c r="H34" s="1" t="str" cm="1">
        <f t="array" ref="H3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am</v>
      </c>
      <c r="I34" s="1" t="s">
        <v>211</v>
      </c>
      <c r="J34" s="1" t="s">
        <v>211</v>
      </c>
      <c r="K34" s="1" t="s">
        <v>118</v>
      </c>
      <c r="L34" s="1" t="s">
        <v>17</v>
      </c>
      <c r="M34" s="63" t="s">
        <v>214</v>
      </c>
    </row>
    <row r="35" spans="1:13" ht="29.25">
      <c r="A35" s="62">
        <v>38</v>
      </c>
      <c r="B35" s="2" t="s">
        <v>212</v>
      </c>
      <c r="C35" s="2" t="s">
        <v>216</v>
      </c>
      <c r="D35" s="1" t="s">
        <v>218</v>
      </c>
      <c r="E35" s="1" t="s">
        <v>219</v>
      </c>
      <c r="F35" s="90" t="str" cm="1">
        <f t="array" ref="F3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ap̚</v>
      </c>
      <c r="G35" s="1" t="str" cm="1">
        <f t="array" ref="G3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ap</v>
      </c>
      <c r="H35" s="1" t="str" cm="1">
        <f t="array" ref="H3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ap</v>
      </c>
      <c r="I35" s="1" t="s">
        <v>219</v>
      </c>
      <c r="J35" s="1" t="s">
        <v>219</v>
      </c>
      <c r="K35" s="1" t="s">
        <v>118</v>
      </c>
      <c r="L35" s="1" t="s">
        <v>23</v>
      </c>
      <c r="M35" s="63" t="s">
        <v>220</v>
      </c>
    </row>
    <row r="36" spans="1:13" ht="29.25">
      <c r="A36" s="62">
        <v>39</v>
      </c>
      <c r="B36" s="2" t="s">
        <v>224</v>
      </c>
      <c r="C36" s="2" t="s">
        <v>222</v>
      </c>
      <c r="D36" s="1" t="s">
        <v>225</v>
      </c>
      <c r="E36" s="1" t="s">
        <v>223</v>
      </c>
      <c r="F36" s="90" t="str" cm="1">
        <f t="array" ref="F3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</v>
      </c>
      <c r="G36" s="1" t="str" cm="1">
        <f t="array" ref="G3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</v>
      </c>
      <c r="H36" s="1" t="str" cm="1">
        <f t="array" ref="H3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</v>
      </c>
      <c r="I36" s="1" t="s">
        <v>223</v>
      </c>
      <c r="J36" s="1" t="s">
        <v>226</v>
      </c>
      <c r="K36" s="1" t="s">
        <v>125</v>
      </c>
      <c r="L36" s="1" t="s">
        <v>17</v>
      </c>
      <c r="M36" s="63" t="s">
        <v>227</v>
      </c>
    </row>
    <row r="37" spans="1:13" ht="29.25">
      <c r="A37" s="62">
        <v>40</v>
      </c>
      <c r="B37" s="2" t="s">
        <v>224</v>
      </c>
      <c r="C37" s="2" t="s">
        <v>229</v>
      </c>
      <c r="D37" s="1" t="s">
        <v>915</v>
      </c>
      <c r="E37" s="1" t="s">
        <v>230</v>
      </c>
      <c r="F37" s="90" t="str" cm="1">
        <f t="array" ref="F3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uaʔ</v>
      </c>
      <c r="G37" s="1" t="str" cm="1">
        <f t="array" ref="G3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uah</v>
      </c>
      <c r="H37" s="1" t="str" cm="1">
        <f t="array" ref="H3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uah</v>
      </c>
      <c r="I37" s="1" t="s">
        <v>230</v>
      </c>
      <c r="J37" s="1" t="s">
        <v>231</v>
      </c>
      <c r="K37" s="1" t="s">
        <v>125</v>
      </c>
      <c r="L37" s="1" t="s">
        <v>23</v>
      </c>
      <c r="M37" s="63" t="s">
        <v>232</v>
      </c>
    </row>
    <row r="38" spans="1:13" ht="29.25">
      <c r="A38" s="62">
        <v>41</v>
      </c>
      <c r="B38" s="2" t="s">
        <v>236</v>
      </c>
      <c r="C38" s="2" t="s">
        <v>234</v>
      </c>
      <c r="D38" s="1" t="s">
        <v>916</v>
      </c>
      <c r="E38" s="1" t="s">
        <v>237</v>
      </c>
      <c r="F38" s="90" t="str" cm="1">
        <f t="array" ref="F3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aŋ</v>
      </c>
      <c r="G38" s="1" t="str" cm="1">
        <f t="array" ref="G3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ang</v>
      </c>
      <c r="H38" s="1" t="str" cm="1">
        <f t="array" ref="H3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ang</v>
      </c>
      <c r="I38" s="1" t="s">
        <v>237</v>
      </c>
      <c r="J38" s="1" t="s">
        <v>237</v>
      </c>
      <c r="K38" s="1" t="s">
        <v>132</v>
      </c>
      <c r="L38" s="1" t="s">
        <v>17</v>
      </c>
      <c r="M38" s="63" t="s">
        <v>238</v>
      </c>
    </row>
    <row r="39" spans="1:13" ht="29.25">
      <c r="A39" s="62">
        <v>42</v>
      </c>
      <c r="B39" s="2" t="s">
        <v>236</v>
      </c>
      <c r="C39" s="2" t="s">
        <v>240</v>
      </c>
      <c r="D39" s="1" t="s">
        <v>242</v>
      </c>
      <c r="E39" s="1" t="s">
        <v>243</v>
      </c>
      <c r="F39" s="90" t="str" cm="1">
        <f t="array" ref="F3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ak̚</v>
      </c>
      <c r="G39" s="1" t="str" cm="1">
        <f t="array" ref="G3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ak</v>
      </c>
      <c r="H39" s="1" t="str" cm="1">
        <f t="array" ref="H3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ak</v>
      </c>
      <c r="I39" s="1" t="s">
        <v>243</v>
      </c>
      <c r="J39" s="1" t="s">
        <v>243</v>
      </c>
      <c r="K39" s="1" t="s">
        <v>132</v>
      </c>
      <c r="L39" s="1" t="s">
        <v>23</v>
      </c>
      <c r="M39" s="63" t="s">
        <v>244</v>
      </c>
    </row>
    <row r="40" spans="1:13" ht="29.25">
      <c r="A40" s="62">
        <v>43</v>
      </c>
      <c r="B40" s="2" t="s">
        <v>248</v>
      </c>
      <c r="C40" s="2" t="s">
        <v>246</v>
      </c>
      <c r="D40" s="1" t="s">
        <v>249</v>
      </c>
      <c r="E40" s="1" t="s">
        <v>247</v>
      </c>
      <c r="F40" s="90" t="str" cm="1">
        <f t="array" ref="F4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iam</v>
      </c>
      <c r="G40" s="1" t="str" cm="1">
        <f t="array" ref="G4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iam</v>
      </c>
      <c r="H40" s="1" t="str" cm="1">
        <f t="array" ref="H4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iam</v>
      </c>
      <c r="I40" s="1" t="s">
        <v>247</v>
      </c>
      <c r="J40" s="1" t="s">
        <v>247</v>
      </c>
      <c r="K40" s="1" t="s">
        <v>251</v>
      </c>
      <c r="L40" s="1" t="s">
        <v>17</v>
      </c>
      <c r="M40" s="63" t="s">
        <v>250</v>
      </c>
    </row>
    <row r="41" spans="1:13" ht="29.25">
      <c r="A41" s="62">
        <v>44</v>
      </c>
      <c r="B41" s="2" t="s">
        <v>248</v>
      </c>
      <c r="C41" s="2" t="s">
        <v>253</v>
      </c>
      <c r="D41" s="1" t="s">
        <v>255</v>
      </c>
      <c r="E41" s="1" t="s">
        <v>256</v>
      </c>
      <c r="F41" s="90" t="str" cm="1">
        <f t="array" ref="F4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iap̚</v>
      </c>
      <c r="G41" s="1" t="str" cm="1">
        <f t="array" ref="G4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iap</v>
      </c>
      <c r="H41" s="1" t="str" cm="1">
        <f t="array" ref="H4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iap</v>
      </c>
      <c r="I41" s="1" t="s">
        <v>256</v>
      </c>
      <c r="J41" s="1" t="s">
        <v>256</v>
      </c>
      <c r="K41" s="1" t="s">
        <v>251</v>
      </c>
      <c r="L41" s="1" t="s">
        <v>23</v>
      </c>
      <c r="M41" s="63" t="s">
        <v>257</v>
      </c>
    </row>
    <row r="42" spans="1:13" ht="29.25">
      <c r="A42" s="62">
        <v>45</v>
      </c>
      <c r="B42" s="2" t="s">
        <v>261</v>
      </c>
      <c r="C42" s="2" t="s">
        <v>259</v>
      </c>
      <c r="D42" s="1" t="s">
        <v>262</v>
      </c>
      <c r="E42" s="1" t="s">
        <v>260</v>
      </c>
      <c r="F42" s="90" t="str" cm="1">
        <f t="array" ref="F4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</v>
      </c>
      <c r="G42" s="1" t="str" cm="1">
        <f t="array" ref="G4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</v>
      </c>
      <c r="H42" s="1" t="str" cm="1">
        <f t="array" ref="H4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</v>
      </c>
      <c r="I42" s="1" t="s">
        <v>260</v>
      </c>
      <c r="J42" s="1" t="s">
        <v>260</v>
      </c>
      <c r="K42" s="1" t="s">
        <v>139</v>
      </c>
      <c r="L42" s="1" t="s">
        <v>17</v>
      </c>
      <c r="M42" s="63" t="s">
        <v>264</v>
      </c>
    </row>
    <row r="43" spans="1:13" ht="29.25">
      <c r="A43" s="62">
        <v>46</v>
      </c>
      <c r="B43" s="2" t="s">
        <v>261</v>
      </c>
      <c r="C43" s="5" t="s">
        <v>266</v>
      </c>
      <c r="D43" s="1" t="s">
        <v>917</v>
      </c>
      <c r="E43" s="1" t="s">
        <v>267</v>
      </c>
      <c r="F43" s="90" t="str" cm="1">
        <f t="array" ref="F4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aʊʔ</v>
      </c>
      <c r="G43" s="1" t="str" cm="1">
        <f t="array" ref="G4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aoh</v>
      </c>
      <c r="H43" s="1" t="str" cm="1">
        <f t="array" ref="H4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auh</v>
      </c>
      <c r="I43" s="1" t="s">
        <v>267</v>
      </c>
      <c r="J43" s="1" t="s">
        <v>267</v>
      </c>
      <c r="K43" s="1" t="s">
        <v>139</v>
      </c>
      <c r="L43" s="1" t="s">
        <v>23</v>
      </c>
      <c r="M43" s="63" t="s">
        <v>269</v>
      </c>
    </row>
    <row r="44" spans="1:13" ht="29.25">
      <c r="A44" s="62">
        <v>47</v>
      </c>
      <c r="B44" s="3" t="s">
        <v>273</v>
      </c>
      <c r="C44" s="2" t="s">
        <v>271</v>
      </c>
      <c r="D44" s="1" t="s">
        <v>274</v>
      </c>
      <c r="E44" s="1" t="s">
        <v>272</v>
      </c>
      <c r="F44" s="90" t="str" cm="1">
        <f t="array" ref="F4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</v>
      </c>
      <c r="G44" s="1" t="str" cm="1">
        <f t="array" ref="G4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</v>
      </c>
      <c r="H44" s="1" t="str" cm="1">
        <f t="array" ref="H4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</v>
      </c>
      <c r="I44" s="1" t="s">
        <v>272</v>
      </c>
      <c r="J44" s="1" t="s">
        <v>272</v>
      </c>
      <c r="K44" s="1" t="s">
        <v>146</v>
      </c>
      <c r="L44" s="1" t="s">
        <v>17</v>
      </c>
      <c r="M44" s="63" t="s">
        <v>275</v>
      </c>
    </row>
    <row r="45" spans="1:13" ht="29.25">
      <c r="A45" s="62">
        <v>48</v>
      </c>
      <c r="B45" s="3" t="s">
        <v>273</v>
      </c>
      <c r="C45" s="2" t="s">
        <v>277</v>
      </c>
      <c r="D45" s="1" t="s">
        <v>918</v>
      </c>
      <c r="E45" s="1" t="s">
        <v>278</v>
      </c>
      <c r="F45" s="90" t="str" cm="1">
        <f t="array" ref="F4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ɪaʔ</v>
      </c>
      <c r="G45" s="1" t="str" cm="1">
        <f t="array" ref="G4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iah</v>
      </c>
      <c r="H45" s="1" t="str" cm="1">
        <f t="array" ref="H4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iah</v>
      </c>
      <c r="I45" s="1" t="s">
        <v>278</v>
      </c>
      <c r="J45" s="1" t="s">
        <v>278</v>
      </c>
      <c r="K45" s="1" t="s">
        <v>146</v>
      </c>
      <c r="L45" s="1" t="s">
        <v>23</v>
      </c>
      <c r="M45" s="63" t="s">
        <v>279</v>
      </c>
    </row>
    <row r="46" spans="1:13" ht="29.25">
      <c r="A46" s="62">
        <v>49</v>
      </c>
      <c r="B46" s="2" t="s">
        <v>283</v>
      </c>
      <c r="C46" s="2" t="s">
        <v>281</v>
      </c>
      <c r="D46" s="1" t="s">
        <v>284</v>
      </c>
      <c r="E46" s="1" t="s">
        <v>285</v>
      </c>
      <c r="F46" s="90" t="str" cm="1">
        <f t="array" ref="F4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</v>
      </c>
      <c r="G46" s="1" t="str" cm="1">
        <f t="array" ref="G4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</v>
      </c>
      <c r="H46" s="1" t="str" cm="1">
        <f t="array" ref="H4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</v>
      </c>
      <c r="I46" s="1" t="s">
        <v>285</v>
      </c>
      <c r="J46" s="1" t="s">
        <v>286</v>
      </c>
      <c r="K46" s="1" t="s">
        <v>151</v>
      </c>
      <c r="L46" s="1" t="s">
        <v>17</v>
      </c>
      <c r="M46" s="63" t="s">
        <v>287</v>
      </c>
    </row>
    <row r="47" spans="1:13" ht="29.25">
      <c r="A47" s="62">
        <v>50</v>
      </c>
      <c r="B47" s="2" t="s">
        <v>283</v>
      </c>
      <c r="C47" s="3" t="s">
        <v>289</v>
      </c>
      <c r="D47" s="1" t="s">
        <v>919</v>
      </c>
      <c r="E47" s="1" t="s">
        <v>290</v>
      </c>
      <c r="F47" s="90" t="str" cm="1">
        <f t="array" ref="F4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ueʔ</v>
      </c>
      <c r="G47" s="1" t="str" cm="1">
        <f t="array" ref="G4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ueh</v>
      </c>
      <c r="H47" s="1" t="str" cm="1">
        <f t="array" ref="H4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ueh</v>
      </c>
      <c r="I47" s="1" t="s">
        <v>290</v>
      </c>
      <c r="J47" s="1" t="s">
        <v>291</v>
      </c>
      <c r="K47" s="1" t="s">
        <v>151</v>
      </c>
      <c r="L47" s="1" t="s">
        <v>23</v>
      </c>
      <c r="M47" s="63" t="s">
        <v>292</v>
      </c>
    </row>
    <row r="48" spans="1:13" ht="29.25">
      <c r="A48" s="62">
        <v>51</v>
      </c>
      <c r="B48" s="2" t="s">
        <v>295</v>
      </c>
      <c r="C48" s="2" t="s">
        <v>293</v>
      </c>
      <c r="D48" s="1" t="s">
        <v>296</v>
      </c>
      <c r="E48" s="1" t="s">
        <v>297</v>
      </c>
      <c r="F48" s="90" t="str" cm="1">
        <f t="array" ref="F4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</v>
      </c>
      <c r="G48" s="1" t="str" cm="1">
        <f t="array" ref="G4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</v>
      </c>
      <c r="H48" s="1" t="str" cm="1">
        <f t="array" ref="H4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</v>
      </c>
      <c r="I48" s="1" t="s">
        <v>297</v>
      </c>
      <c r="J48" s="1" t="s">
        <v>298</v>
      </c>
      <c r="K48" s="1" t="s">
        <v>301</v>
      </c>
      <c r="L48" s="1" t="s">
        <v>17</v>
      </c>
      <c r="M48" s="63" t="s">
        <v>300</v>
      </c>
    </row>
    <row r="49" spans="1:13" ht="29.25">
      <c r="A49" s="62">
        <v>52</v>
      </c>
      <c r="B49" s="2" t="s">
        <v>295</v>
      </c>
      <c r="C49" s="8" t="s">
        <v>302</v>
      </c>
      <c r="D49" s="1" t="s">
        <v>920</v>
      </c>
      <c r="E49" s="1" t="s">
        <v>303</v>
      </c>
      <c r="F49" s="90" t="str" cm="1">
        <f t="array" ref="F4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ãʔ</v>
      </c>
      <c r="G49" s="1" t="str" cm="1">
        <f t="array" ref="G4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nah</v>
      </c>
      <c r="H49" s="1" t="str" cm="1">
        <f t="array" ref="H4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annh</v>
      </c>
      <c r="I49" s="1" t="s">
        <v>304</v>
      </c>
      <c r="J49" s="1" t="s">
        <v>898</v>
      </c>
      <c r="K49" s="1" t="s">
        <v>301</v>
      </c>
      <c r="L49" s="1" t="s">
        <v>23</v>
      </c>
      <c r="M49" s="63" t="s">
        <v>306</v>
      </c>
    </row>
    <row r="50" spans="1:13" ht="29.25">
      <c r="A50" s="62">
        <v>53</v>
      </c>
      <c r="B50" s="2" t="s">
        <v>309</v>
      </c>
      <c r="C50" s="2" t="s">
        <v>307</v>
      </c>
      <c r="D50" s="1" t="s">
        <v>310</v>
      </c>
      <c r="E50" s="1" t="s">
        <v>308</v>
      </c>
      <c r="F50" s="90" t="str" cm="1">
        <f t="array" ref="F5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</v>
      </c>
      <c r="G50" s="1" t="str" cm="1">
        <f t="array" ref="G5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</v>
      </c>
      <c r="H50" s="1" t="str" cm="1">
        <f t="array" ref="H5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</v>
      </c>
      <c r="I50" s="1" t="s">
        <v>308</v>
      </c>
      <c r="J50" s="1" t="s">
        <v>308</v>
      </c>
      <c r="K50" s="1" t="s">
        <v>157</v>
      </c>
      <c r="L50" s="1" t="s">
        <v>17</v>
      </c>
      <c r="M50" s="63" t="s">
        <v>311</v>
      </c>
    </row>
    <row r="51" spans="1:13" ht="29.25">
      <c r="A51" s="62">
        <v>54</v>
      </c>
      <c r="B51" s="2" t="s">
        <v>309</v>
      </c>
      <c r="C51" s="3" t="s">
        <v>312</v>
      </c>
      <c r="D51" s="1" t="s">
        <v>921</v>
      </c>
      <c r="E51" s="1" t="s">
        <v>313</v>
      </c>
      <c r="F51" s="90" t="str" cm="1">
        <f t="array" ref="F5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uʔ</v>
      </c>
      <c r="G51" s="1" t="str" cm="1">
        <f t="array" ref="G5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uh</v>
      </c>
      <c r="H51" s="1" t="str" cm="1">
        <f t="array" ref="H5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uh</v>
      </c>
      <c r="I51" s="1" t="s">
        <v>313</v>
      </c>
      <c r="J51" s="1" t="s">
        <v>313</v>
      </c>
      <c r="K51" s="1" t="s">
        <v>157</v>
      </c>
      <c r="L51" s="1" t="s">
        <v>23</v>
      </c>
      <c r="M51" s="63" t="s">
        <v>314</v>
      </c>
    </row>
    <row r="52" spans="1:13" ht="29.25">
      <c r="A52" s="62">
        <v>55</v>
      </c>
      <c r="B52" s="2" t="s">
        <v>317</v>
      </c>
      <c r="C52" s="2" t="s">
        <v>315</v>
      </c>
      <c r="D52" s="1" t="s">
        <v>318</v>
      </c>
      <c r="E52" s="1" t="s">
        <v>316</v>
      </c>
      <c r="F52" s="90" t="str" cm="1">
        <f t="array" ref="F5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</v>
      </c>
      <c r="G52" s="1" t="str" cm="1">
        <f t="array" ref="G5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</v>
      </c>
      <c r="H52" s="1" t="str" cm="1">
        <f t="array" ref="H5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</v>
      </c>
      <c r="I52" s="1" t="s">
        <v>316</v>
      </c>
      <c r="J52" s="1" t="s">
        <v>316</v>
      </c>
      <c r="K52" s="1" t="s">
        <v>164</v>
      </c>
      <c r="L52" s="1" t="s">
        <v>17</v>
      </c>
      <c r="M52" s="63" t="s">
        <v>319</v>
      </c>
    </row>
    <row r="53" spans="1:13" ht="29.25">
      <c r="A53" s="62">
        <v>56</v>
      </c>
      <c r="B53" s="2" t="s">
        <v>317</v>
      </c>
      <c r="C53" s="2" t="s">
        <v>320</v>
      </c>
      <c r="D53" s="1" t="s">
        <v>922</v>
      </c>
      <c r="E53" s="1" t="s">
        <v>321</v>
      </c>
      <c r="F53" s="90" t="str" cm="1">
        <f t="array" ref="F5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aʔ</v>
      </c>
      <c r="G53" s="1" t="str" cm="1">
        <f t="array" ref="G5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ah</v>
      </c>
      <c r="H53" s="1" t="str" cm="1">
        <f t="array" ref="H5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ah</v>
      </c>
      <c r="I53" s="1" t="s">
        <v>321</v>
      </c>
      <c r="J53" s="1" t="s">
        <v>321</v>
      </c>
      <c r="K53" s="1" t="s">
        <v>164</v>
      </c>
      <c r="L53" s="1" t="s">
        <v>23</v>
      </c>
      <c r="M53" s="63" t="s">
        <v>322</v>
      </c>
    </row>
    <row r="54" spans="1:13" ht="29.25">
      <c r="A54" s="62">
        <v>57</v>
      </c>
      <c r="B54" s="2" t="s">
        <v>325</v>
      </c>
      <c r="C54" s="2" t="s">
        <v>323</v>
      </c>
      <c r="D54" s="1" t="s">
        <v>326</v>
      </c>
      <c r="E54" s="1" t="s">
        <v>324</v>
      </c>
      <c r="F54" s="90" t="str" cm="1">
        <f t="array" ref="F5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</v>
      </c>
      <c r="G54" s="1" t="str" cm="1">
        <f t="array" ref="G5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</v>
      </c>
      <c r="H54" s="1" t="str" cm="1">
        <f t="array" ref="H5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</v>
      </c>
      <c r="I54" s="1" t="s">
        <v>324</v>
      </c>
      <c r="J54" s="1" t="s">
        <v>324</v>
      </c>
      <c r="K54" s="1" t="s">
        <v>169</v>
      </c>
      <c r="L54" s="1" t="s">
        <v>17</v>
      </c>
      <c r="M54" s="63" t="s">
        <v>327</v>
      </c>
    </row>
    <row r="55" spans="1:13" ht="29.25">
      <c r="A55" s="62">
        <v>58</v>
      </c>
      <c r="B55" s="2" t="s">
        <v>325</v>
      </c>
      <c r="C55" s="4" t="s">
        <v>328</v>
      </c>
      <c r="D55" s="1" t="s">
        <v>923</v>
      </c>
      <c r="E55" s="1" t="s">
        <v>329</v>
      </c>
      <c r="F55" s="90" t="str" cm="1">
        <f t="array" ref="F5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iʔ</v>
      </c>
      <c r="G55" s="1" t="str" cm="1">
        <f t="array" ref="G5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ih</v>
      </c>
      <c r="H55" s="1" t="str" cm="1">
        <f t="array" ref="H5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ih</v>
      </c>
      <c r="I55" s="1" t="s">
        <v>329</v>
      </c>
      <c r="J55" s="1" t="s">
        <v>329</v>
      </c>
      <c r="K55" s="1" t="s">
        <v>169</v>
      </c>
      <c r="L55" s="1" t="s">
        <v>23</v>
      </c>
      <c r="M55" s="63" t="s">
        <v>330</v>
      </c>
    </row>
    <row r="56" spans="1:13" ht="29.25">
      <c r="A56" s="62">
        <v>59</v>
      </c>
      <c r="B56" s="2" t="s">
        <v>333</v>
      </c>
      <c r="C56" s="2" t="s">
        <v>331</v>
      </c>
      <c r="D56" s="1" t="s">
        <v>334</v>
      </c>
      <c r="E56" s="1" t="s">
        <v>332</v>
      </c>
      <c r="F56" s="90" t="str" cm="1">
        <f t="array" ref="F5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iu</v>
      </c>
      <c r="G56" s="1" t="str" cm="1">
        <f t="array" ref="G5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iu</v>
      </c>
      <c r="H56" s="1" t="str" cm="1">
        <f t="array" ref="H5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</v>
      </c>
      <c r="I56" s="1" t="s">
        <v>332</v>
      </c>
      <c r="J56" s="1" t="s">
        <v>332</v>
      </c>
      <c r="K56" s="1" t="s">
        <v>176</v>
      </c>
      <c r="L56" s="1" t="s">
        <v>17</v>
      </c>
      <c r="M56" s="63" t="s">
        <v>335</v>
      </c>
    </row>
    <row r="57" spans="1:13" ht="29.25">
      <c r="A57" s="62">
        <v>61</v>
      </c>
      <c r="B57" s="7" t="s">
        <v>338</v>
      </c>
      <c r="C57" s="2" t="s">
        <v>336</v>
      </c>
      <c r="D57" s="1" t="s">
        <v>339</v>
      </c>
      <c r="E57" s="1" t="s">
        <v>340</v>
      </c>
      <c r="F57" s="90" t="str" cm="1">
        <f t="array" ref="F5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ẽ</v>
      </c>
      <c r="G57" s="1" t="str" cm="1">
        <f t="array" ref="G5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ne</v>
      </c>
      <c r="H57" s="1" t="str" cm="1">
        <f t="array" ref="H5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enn</v>
      </c>
      <c r="I57" s="1" t="s">
        <v>340</v>
      </c>
      <c r="J57" s="1" t="s">
        <v>341</v>
      </c>
      <c r="K57" s="1" t="s">
        <v>181</v>
      </c>
      <c r="L57" s="1" t="s">
        <v>17</v>
      </c>
      <c r="M57" s="63" t="s">
        <v>343</v>
      </c>
    </row>
    <row r="58" spans="1:13" ht="29.25">
      <c r="A58" s="62">
        <v>62</v>
      </c>
      <c r="B58" s="7" t="s">
        <v>338</v>
      </c>
      <c r="C58" s="9" t="s">
        <v>344</v>
      </c>
      <c r="D58" s="1" t="s">
        <v>924</v>
      </c>
      <c r="E58" s="1" t="s">
        <v>345</v>
      </c>
      <c r="F58" s="90" t="str" cm="1">
        <f t="array" ref="F5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/>
      </c>
      <c r="G58" s="1" t="str" cm="1">
        <f t="array" ref="G5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/>
      </c>
      <c r="H58" s="1" t="str" cm="1">
        <f t="array" ref="H5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/>
      </c>
      <c r="I58" s="1" t="s">
        <v>346</v>
      </c>
      <c r="J58" s="1" t="s">
        <v>899</v>
      </c>
      <c r="K58" s="1" t="s">
        <v>181</v>
      </c>
      <c r="L58" s="1" t="s">
        <v>23</v>
      </c>
      <c r="M58" s="63" t="s">
        <v>347</v>
      </c>
    </row>
    <row r="59" spans="1:13" ht="29.25">
      <c r="A59" s="62">
        <v>63</v>
      </c>
      <c r="B59" s="3" t="s">
        <v>349</v>
      </c>
      <c r="C59" s="4" t="s">
        <v>348</v>
      </c>
      <c r="D59" s="1" t="s">
        <v>350</v>
      </c>
      <c r="E59" s="1" t="s">
        <v>351</v>
      </c>
      <c r="F59" s="90" t="str" cm="1">
        <f t="array" ref="F5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uĩ</v>
      </c>
      <c r="G59" s="1" t="str" cm="1">
        <f t="array" ref="G5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nui</v>
      </c>
      <c r="H59" s="1" t="str" cm="1">
        <f t="array" ref="H5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uinn</v>
      </c>
      <c r="I59" s="1" t="s">
        <v>351</v>
      </c>
      <c r="J59" s="1" t="s">
        <v>352</v>
      </c>
      <c r="K59" s="1" t="s">
        <v>355</v>
      </c>
      <c r="L59" s="1" t="s">
        <v>17</v>
      </c>
      <c r="M59" s="63" t="s">
        <v>354</v>
      </c>
    </row>
    <row r="60" spans="1:13" ht="29.25">
      <c r="A60" s="62">
        <v>65</v>
      </c>
      <c r="B60" s="4" t="s">
        <v>358</v>
      </c>
      <c r="C60" s="2" t="s">
        <v>356</v>
      </c>
      <c r="D60" s="1" t="s">
        <v>359</v>
      </c>
      <c r="E60" s="1" t="s">
        <v>357</v>
      </c>
      <c r="F60" s="90" t="str" cm="1">
        <f t="array" ref="F6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</v>
      </c>
      <c r="G60" s="1" t="str" cm="1">
        <f t="array" ref="G6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</v>
      </c>
      <c r="H60" s="1" t="str" cm="1">
        <f t="array" ref="H6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</v>
      </c>
      <c r="I60" s="1" t="s">
        <v>360</v>
      </c>
      <c r="J60" s="1" t="s">
        <v>357</v>
      </c>
      <c r="K60" s="1" t="s">
        <v>187</v>
      </c>
      <c r="L60" s="1" t="s">
        <v>17</v>
      </c>
      <c r="M60" s="63" t="s">
        <v>361</v>
      </c>
    </row>
    <row r="61" spans="1:13" ht="29.25">
      <c r="A61" s="62">
        <v>66</v>
      </c>
      <c r="B61" s="2" t="s">
        <v>358</v>
      </c>
      <c r="C61" s="3" t="s">
        <v>362</v>
      </c>
      <c r="D61" s="1" t="s">
        <v>925</v>
      </c>
      <c r="E61" s="1" t="s">
        <v>363</v>
      </c>
      <c r="F61" s="90" t="str" cm="1">
        <f t="array" ref="F6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ɪoʔ</v>
      </c>
      <c r="G61" s="1" t="str" cm="1">
        <f t="array" ref="G6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ioh</v>
      </c>
      <c r="H61" s="1" t="str" cm="1">
        <f t="array" ref="H6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ioh</v>
      </c>
      <c r="I61" s="1" t="s">
        <v>364</v>
      </c>
      <c r="J61" s="1" t="s">
        <v>363</v>
      </c>
      <c r="K61" s="1" t="s">
        <v>187</v>
      </c>
      <c r="L61" s="1" t="s">
        <v>23</v>
      </c>
      <c r="M61" s="63" t="s">
        <v>365</v>
      </c>
    </row>
    <row r="62" spans="1:13" ht="29.25">
      <c r="A62" s="62">
        <v>67</v>
      </c>
      <c r="B62" s="2" t="s">
        <v>368</v>
      </c>
      <c r="C62" s="2" t="s">
        <v>366</v>
      </c>
      <c r="D62" s="1" t="s">
        <v>369</v>
      </c>
      <c r="E62" s="1" t="s">
        <v>370</v>
      </c>
      <c r="F62" s="90" t="str" cm="1">
        <f t="array" ref="F6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</v>
      </c>
      <c r="G62" s="1" t="str" cm="1">
        <f t="array" ref="G6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</v>
      </c>
      <c r="H62" s="1" t="str" cm="1">
        <f t="array" ref="H6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</v>
      </c>
      <c r="I62" s="1" t="s">
        <v>370</v>
      </c>
      <c r="J62" s="1" t="s">
        <v>371</v>
      </c>
      <c r="K62" s="1" t="s">
        <v>193</v>
      </c>
      <c r="L62" s="1" t="s">
        <v>17</v>
      </c>
      <c r="M62" s="63" t="s">
        <v>373</v>
      </c>
    </row>
    <row r="63" spans="1:13" ht="29.25">
      <c r="A63" s="62">
        <v>68</v>
      </c>
      <c r="B63" s="2" t="s">
        <v>368</v>
      </c>
      <c r="C63" s="3" t="s">
        <v>374</v>
      </c>
      <c r="D63" s="1" t="s">
        <v>926</v>
      </c>
      <c r="E63" s="1" t="s">
        <v>375</v>
      </c>
      <c r="F63" s="90" t="str" cm="1">
        <f t="array" ref="F6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ĩʔ</v>
      </c>
      <c r="G63" s="1" t="str" cm="1">
        <f t="array" ref="G6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nih</v>
      </c>
      <c r="H63" s="1" t="str" cm="1">
        <f t="array" ref="H6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innh</v>
      </c>
      <c r="I63" s="1" t="s">
        <v>376</v>
      </c>
      <c r="J63" s="1" t="s">
        <v>900</v>
      </c>
      <c r="K63" s="1" t="s">
        <v>193</v>
      </c>
      <c r="L63" s="1" t="s">
        <v>23</v>
      </c>
      <c r="M63" s="63" t="s">
        <v>378</v>
      </c>
    </row>
    <row r="64" spans="1:13" ht="29.25">
      <c r="A64" s="62">
        <v>69</v>
      </c>
      <c r="B64" s="5" t="s">
        <v>381</v>
      </c>
      <c r="C64" s="6" t="s">
        <v>379</v>
      </c>
      <c r="D64" s="1" t="s">
        <v>382</v>
      </c>
      <c r="E64" s="1" t="s">
        <v>383</v>
      </c>
      <c r="F64" s="90" t="str" cm="1">
        <f t="array" ref="F6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iɔ̃</v>
      </c>
      <c r="G64" s="1" t="str" cm="1">
        <f t="array" ref="G6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nioo</v>
      </c>
      <c r="H64" s="1" t="str" cm="1">
        <f t="array" ref="H6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ionn</v>
      </c>
      <c r="I64" s="1" t="s">
        <v>386</v>
      </c>
      <c r="J64" s="1" t="s">
        <v>384</v>
      </c>
      <c r="K64" s="1" t="s">
        <v>199</v>
      </c>
      <c r="L64" s="1" t="s">
        <v>17</v>
      </c>
      <c r="M64" s="63" t="s">
        <v>387</v>
      </c>
    </row>
    <row r="65" spans="1:13" ht="29.25">
      <c r="A65" s="62">
        <v>71</v>
      </c>
      <c r="B65" s="2" t="s">
        <v>389</v>
      </c>
      <c r="C65" s="2" t="s">
        <v>388</v>
      </c>
      <c r="D65" s="1" t="s">
        <v>390</v>
      </c>
      <c r="E65" s="1" t="s">
        <v>391</v>
      </c>
      <c r="F65" s="90" t="str" cm="1">
        <f t="array" ref="F6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iã</v>
      </c>
      <c r="G65" s="1" t="str" cm="1">
        <f t="array" ref="G6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</v>
      </c>
      <c r="H65" s="1" t="str" cm="1">
        <f t="array" ref="H6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iann</v>
      </c>
      <c r="I65" s="1" t="s">
        <v>391</v>
      </c>
      <c r="J65" s="1" t="s">
        <v>393</v>
      </c>
      <c r="K65" s="1" t="s">
        <v>205</v>
      </c>
      <c r="L65" s="1" t="s">
        <v>17</v>
      </c>
      <c r="M65" s="63" t="s">
        <v>395</v>
      </c>
    </row>
    <row r="66" spans="1:13" ht="29.25">
      <c r="A66" s="62">
        <v>73</v>
      </c>
      <c r="B66" s="2" t="s">
        <v>397</v>
      </c>
      <c r="C66" s="2" t="s">
        <v>396</v>
      </c>
      <c r="D66" s="1" t="s">
        <v>398</v>
      </c>
      <c r="E66" s="1" t="s">
        <v>399</v>
      </c>
      <c r="F66" s="90" t="str" cm="1">
        <f t="array" ref="F6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uã</v>
      </c>
      <c r="G66" s="1" t="str" cm="1">
        <f t="array" ref="G6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</v>
      </c>
      <c r="H66" s="1" t="str" cm="1">
        <f t="array" ref="H6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uann</v>
      </c>
      <c r="I66" s="1" t="s">
        <v>399</v>
      </c>
      <c r="J66" s="1" t="s">
        <v>400</v>
      </c>
      <c r="K66" s="1" t="s">
        <v>209</v>
      </c>
      <c r="L66" s="1" t="s">
        <v>17</v>
      </c>
      <c r="M66" s="63" t="s">
        <v>402</v>
      </c>
    </row>
    <row r="67" spans="1:13" ht="29.25">
      <c r="A67" s="62">
        <v>75</v>
      </c>
      <c r="B67" s="2" t="s">
        <v>405</v>
      </c>
      <c r="C67" s="2" t="s">
        <v>403</v>
      </c>
      <c r="D67" s="1" t="s">
        <v>406</v>
      </c>
      <c r="E67" s="1" t="s">
        <v>407</v>
      </c>
      <c r="F67" s="90" t="str" cm="1">
        <f t="array" ref="F6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ŋ̍</v>
      </c>
      <c r="G67" s="1" t="str" cm="1">
        <f t="array" ref="G6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ng</v>
      </c>
      <c r="H67" s="1" t="str" cm="1">
        <f t="array" ref="H6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ng</v>
      </c>
      <c r="I67" s="1" t="s">
        <v>407</v>
      </c>
      <c r="J67" s="1" t="s">
        <v>407</v>
      </c>
      <c r="K67" s="1" t="s">
        <v>215</v>
      </c>
      <c r="L67" s="1" t="s">
        <v>17</v>
      </c>
      <c r="M67" s="63" t="s">
        <v>408</v>
      </c>
    </row>
    <row r="68" spans="1:13" ht="29.25">
      <c r="A68" s="62">
        <v>77</v>
      </c>
      <c r="B68" s="2" t="s">
        <v>410</v>
      </c>
      <c r="C68" s="2" t="s">
        <v>409</v>
      </c>
      <c r="D68" s="1" t="s">
        <v>155</v>
      </c>
      <c r="E68" s="1" t="s">
        <v>60</v>
      </c>
      <c r="F68" s="90" t="str" cm="1">
        <f t="array" ref="F6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68" s="1" t="str" cm="1">
        <f t="array" ref="G6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68" s="1" t="str" cm="1">
        <f t="array" ref="H6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68" s="1" t="s">
        <v>60</v>
      </c>
      <c r="J68" s="1" t="s">
        <v>60</v>
      </c>
      <c r="K68" s="1" t="s">
        <v>221</v>
      </c>
      <c r="L68" s="1" t="s">
        <v>17</v>
      </c>
      <c r="M68" s="63" t="s">
        <v>411</v>
      </c>
    </row>
    <row r="69" spans="1:13" ht="29.25">
      <c r="A69" s="62">
        <v>78</v>
      </c>
      <c r="B69" s="2" t="s">
        <v>410</v>
      </c>
      <c r="C69" s="2" t="s">
        <v>412</v>
      </c>
      <c r="D69" s="1" t="s">
        <v>927</v>
      </c>
      <c r="E69" s="1" t="s">
        <v>65</v>
      </c>
      <c r="F69" s="90" t="str" cm="1">
        <f t="array" ref="F6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eʔ</v>
      </c>
      <c r="G69" s="1" t="str" cm="1">
        <f t="array" ref="G6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69" s="1" t="str" cm="1">
        <f t="array" ref="H6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eh</v>
      </c>
      <c r="I69" s="1" t="s">
        <v>65</v>
      </c>
      <c r="J69" s="1" t="s">
        <v>65</v>
      </c>
      <c r="K69" s="1" t="s">
        <v>221</v>
      </c>
      <c r="L69" s="1" t="s">
        <v>23</v>
      </c>
      <c r="M69" s="63" t="s">
        <v>413</v>
      </c>
    </row>
    <row r="70" spans="1:13" ht="29.25">
      <c r="A70" s="62">
        <v>79</v>
      </c>
      <c r="B70" s="5" t="s">
        <v>415</v>
      </c>
      <c r="C70" s="5" t="s">
        <v>414</v>
      </c>
      <c r="D70" s="1" t="s">
        <v>416</v>
      </c>
      <c r="E70" s="1" t="s">
        <v>417</v>
      </c>
      <c r="F70" s="90" t="str" cm="1">
        <f t="array" ref="F7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ãi</v>
      </c>
      <c r="G70" s="1" t="str" cm="1">
        <f t="array" ref="G7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nai</v>
      </c>
      <c r="H70" s="1" t="str" cm="1">
        <f t="array" ref="H7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ainn</v>
      </c>
      <c r="I70" s="1" t="s">
        <v>417</v>
      </c>
      <c r="J70" s="1" t="s">
        <v>418</v>
      </c>
      <c r="K70" s="1" t="s">
        <v>228</v>
      </c>
      <c r="L70" s="1" t="s">
        <v>17</v>
      </c>
      <c r="M70" s="63" t="s">
        <v>420</v>
      </c>
    </row>
    <row r="71" spans="1:13" ht="29.25">
      <c r="A71" s="62">
        <v>81</v>
      </c>
      <c r="B71" s="10" t="s">
        <v>422</v>
      </c>
      <c r="C71" s="5" t="s">
        <v>421</v>
      </c>
      <c r="D71" s="1" t="s">
        <v>928</v>
      </c>
      <c r="E71" s="1" t="s">
        <v>905</v>
      </c>
      <c r="F71" s="90" t="str" cm="1">
        <f t="array" ref="F7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71" s="1" t="str" cm="1">
        <f t="array" ref="G7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71" s="1" t="str" cm="1">
        <f t="array" ref="H7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71" s="1" t="s">
        <v>424</v>
      </c>
      <c r="J71" s="1" t="s">
        <v>426</v>
      </c>
      <c r="K71" s="1" t="s">
        <v>233</v>
      </c>
      <c r="L71" s="1" t="s">
        <v>17</v>
      </c>
      <c r="M71" s="63" t="s">
        <v>428</v>
      </c>
    </row>
    <row r="72" spans="1:13" ht="29.25">
      <c r="A72" s="62">
        <v>83</v>
      </c>
      <c r="B72" s="2" t="s">
        <v>429</v>
      </c>
      <c r="C72" s="2" t="s">
        <v>429</v>
      </c>
      <c r="D72" s="1" t="s">
        <v>431</v>
      </c>
      <c r="E72" s="1" t="s">
        <v>432</v>
      </c>
      <c r="F72" s="90" t="str" cm="1">
        <f t="array" ref="F7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m̩</v>
      </c>
      <c r="G72" s="1" t="str" cm="1">
        <f t="array" ref="G7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m</v>
      </c>
      <c r="H72" s="1" t="str" cm="1">
        <f t="array" ref="H7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m</v>
      </c>
      <c r="I72" s="1" t="s">
        <v>432</v>
      </c>
      <c r="J72" s="1" t="s">
        <v>432</v>
      </c>
      <c r="K72" s="1" t="s">
        <v>239</v>
      </c>
      <c r="L72" s="1" t="s">
        <v>17</v>
      </c>
      <c r="M72" s="63" t="s">
        <v>433</v>
      </c>
    </row>
    <row r="73" spans="1:13" ht="29.25">
      <c r="A73" s="62">
        <v>85</v>
      </c>
      <c r="B73" s="4" t="s">
        <v>436</v>
      </c>
      <c r="C73" s="5" t="s">
        <v>434</v>
      </c>
      <c r="D73" s="1" t="s">
        <v>929</v>
      </c>
      <c r="E73" s="1" t="s">
        <v>437</v>
      </c>
      <c r="F73" s="90" t="str" cm="1">
        <f t="array" ref="F7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uaŋ</v>
      </c>
      <c r="G73" s="1" t="str" cm="1">
        <f t="array" ref="G7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uang</v>
      </c>
      <c r="H73" s="1" t="str" cm="1">
        <f t="array" ref="H7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uang</v>
      </c>
      <c r="I73" s="1" t="s">
        <v>437</v>
      </c>
      <c r="J73" s="1" t="s">
        <v>438</v>
      </c>
      <c r="K73" s="1" t="s">
        <v>245</v>
      </c>
      <c r="L73" s="1" t="s">
        <v>17</v>
      </c>
      <c r="M73" s="63" t="s">
        <v>439</v>
      </c>
    </row>
    <row r="74" spans="1:13" ht="29.25">
      <c r="A74" s="62">
        <v>86</v>
      </c>
      <c r="B74" s="4" t="s">
        <v>436</v>
      </c>
      <c r="C74" s="5" t="s">
        <v>440</v>
      </c>
      <c r="D74" s="1" t="s">
        <v>442</v>
      </c>
      <c r="E74" s="1" t="s">
        <v>443</v>
      </c>
      <c r="F74" s="90" t="str" cm="1">
        <f t="array" ref="F7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uak̚</v>
      </c>
      <c r="G74" s="1" t="str" cm="1">
        <f t="array" ref="G7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uak</v>
      </c>
      <c r="H74" s="1" t="str" cm="1">
        <f t="array" ref="H7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uak</v>
      </c>
      <c r="I74" s="1" t="s">
        <v>443</v>
      </c>
      <c r="J74" s="1" t="s">
        <v>444</v>
      </c>
      <c r="K74" s="1" t="s">
        <v>245</v>
      </c>
      <c r="L74" s="1" t="s">
        <v>23</v>
      </c>
      <c r="M74" s="63" t="s">
        <v>445</v>
      </c>
    </row>
    <row r="75" spans="1:13" ht="29.25">
      <c r="A75" s="62">
        <v>87</v>
      </c>
      <c r="B75" s="6" t="s">
        <v>447</v>
      </c>
      <c r="C75" s="2" t="s">
        <v>446</v>
      </c>
      <c r="D75" s="1" t="s">
        <v>448</v>
      </c>
      <c r="E75" s="1" t="s">
        <v>449</v>
      </c>
      <c r="F75" s="90" t="str" cm="1">
        <f t="array" ref="F7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uãi</v>
      </c>
      <c r="G75" s="1" t="str" cm="1">
        <f t="array" ref="G7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</v>
      </c>
      <c r="H75" s="1" t="str" cm="1">
        <f t="array" ref="H7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</v>
      </c>
      <c r="I75" s="1" t="s">
        <v>449</v>
      </c>
      <c r="J75" s="1" t="s">
        <v>450</v>
      </c>
      <c r="K75" s="1" t="s">
        <v>252</v>
      </c>
      <c r="L75" s="1" t="s">
        <v>17</v>
      </c>
      <c r="M75" s="63" t="s">
        <v>452</v>
      </c>
    </row>
    <row r="76" spans="1:13" ht="29.25">
      <c r="A76" s="62">
        <v>88</v>
      </c>
      <c r="B76" s="6" t="s">
        <v>447</v>
      </c>
      <c r="C76" s="8" t="s">
        <v>453</v>
      </c>
      <c r="D76" s="1" t="s">
        <v>930</v>
      </c>
      <c r="E76" s="1" t="s">
        <v>454</v>
      </c>
      <c r="F76" s="90" t="str" cm="1">
        <f t="array" ref="F7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uãiʔ</v>
      </c>
      <c r="G76" s="1" t="str" cm="1">
        <f t="array" ref="G7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nuaih</v>
      </c>
      <c r="H76" s="1" t="str" cm="1">
        <f t="array" ref="H7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uainnh</v>
      </c>
      <c r="I76" s="1" t="s">
        <v>455</v>
      </c>
      <c r="J76" s="1" t="s">
        <v>901</v>
      </c>
      <c r="K76" s="1" t="s">
        <v>252</v>
      </c>
      <c r="L76" s="1" t="s">
        <v>23</v>
      </c>
      <c r="M76" s="63" t="s">
        <v>457</v>
      </c>
    </row>
    <row r="77" spans="1:13" ht="39">
      <c r="A77" s="62">
        <v>89</v>
      </c>
      <c r="B77" s="11" t="s">
        <v>458</v>
      </c>
      <c r="C77" s="2" t="s">
        <v>512</v>
      </c>
      <c r="D77" s="1" t="s">
        <v>459</v>
      </c>
      <c r="E77" s="1" t="s">
        <v>460</v>
      </c>
      <c r="F77" s="90" t="str" cm="1">
        <f t="array" ref="F7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uẽ</v>
      </c>
      <c r="G77" s="1" t="str" cm="1">
        <f t="array" ref="G7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nue</v>
      </c>
      <c r="H77" s="1" t="str" cm="1">
        <f t="array" ref="H7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uenn</v>
      </c>
      <c r="I77" s="1" t="s">
        <v>460</v>
      </c>
      <c r="J77" s="1" t="s">
        <v>461</v>
      </c>
      <c r="K77" s="1" t="s">
        <v>258</v>
      </c>
      <c r="L77" s="1" t="s">
        <v>17</v>
      </c>
      <c r="M77" s="63" t="s">
        <v>463</v>
      </c>
    </row>
    <row r="78" spans="1:13" ht="29.25">
      <c r="A78" s="62">
        <v>91</v>
      </c>
      <c r="B78" s="10" t="s">
        <v>465</v>
      </c>
      <c r="C78" s="4" t="s">
        <v>464</v>
      </c>
      <c r="D78" s="1" t="s">
        <v>466</v>
      </c>
      <c r="E78" s="1" t="s">
        <v>467</v>
      </c>
      <c r="F78" s="90" t="str" cm="1">
        <f t="array" ref="F7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iãu</v>
      </c>
      <c r="G78" s="1" t="str" cm="1">
        <f t="array" ref="G7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</v>
      </c>
      <c r="H78" s="1" t="str" cm="1">
        <f t="array" ref="H7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</v>
      </c>
      <c r="I78" s="1" t="s">
        <v>467</v>
      </c>
      <c r="J78" s="1" t="s">
        <v>468</v>
      </c>
      <c r="K78" s="1" t="s">
        <v>265</v>
      </c>
      <c r="L78" s="1" t="s">
        <v>17</v>
      </c>
      <c r="M78" s="63" t="s">
        <v>470</v>
      </c>
    </row>
    <row r="79" spans="1:13" ht="39">
      <c r="A79" s="62">
        <v>92</v>
      </c>
      <c r="B79" s="2" t="s">
        <v>465</v>
      </c>
      <c r="C79" s="2" t="s">
        <v>512</v>
      </c>
      <c r="D79" s="1" t="s">
        <v>931</v>
      </c>
      <c r="E79" s="1" t="s">
        <v>471</v>
      </c>
      <c r="F79" s="90" t="str" cm="1">
        <f t="array" ref="F7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iãuʔ</v>
      </c>
      <c r="G79" s="1" t="str" cm="1">
        <f t="array" ref="G7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niaoh</v>
      </c>
      <c r="H79" s="1" t="str" cm="1">
        <f t="array" ref="H7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iaunnh</v>
      </c>
      <c r="I79" s="1" t="s">
        <v>472</v>
      </c>
      <c r="J79" s="1" t="s">
        <v>902</v>
      </c>
      <c r="K79" s="1" t="s">
        <v>265</v>
      </c>
      <c r="L79" s="1" t="s">
        <v>23</v>
      </c>
      <c r="M79" s="63" t="s">
        <v>474</v>
      </c>
    </row>
    <row r="80" spans="1:13" ht="29.25">
      <c r="A80" s="62">
        <v>93</v>
      </c>
      <c r="B80" s="12" t="s">
        <v>477</v>
      </c>
      <c r="C80" s="4" t="s">
        <v>475</v>
      </c>
      <c r="D80" s="1" t="s">
        <v>478</v>
      </c>
      <c r="E80" s="1" t="s">
        <v>479</v>
      </c>
      <c r="F80" s="90" t="str" cm="1">
        <f t="array" ref="F8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ɔm</v>
      </c>
      <c r="G80" s="1" t="str" cm="1">
        <f t="array" ref="G8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om/p</v>
      </c>
      <c r="H80" s="1" t="str" cm="1">
        <f t="array" ref="H8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om/p</v>
      </c>
      <c r="I80" s="1" t="s">
        <v>480</v>
      </c>
      <c r="J80" s="1" t="s">
        <v>479</v>
      </c>
      <c r="K80" s="1" t="s">
        <v>270</v>
      </c>
      <c r="L80" s="1" t="s">
        <v>17</v>
      </c>
      <c r="M80" s="63" t="s">
        <v>481</v>
      </c>
    </row>
    <row r="81" spans="1:13" ht="29.25">
      <c r="A81" s="62">
        <v>94</v>
      </c>
      <c r="B81" s="12" t="s">
        <v>477</v>
      </c>
      <c r="C81" s="2" t="s">
        <v>482</v>
      </c>
      <c r="D81" s="1" t="s">
        <v>484</v>
      </c>
      <c r="E81" s="1" t="s">
        <v>485</v>
      </c>
      <c r="F81" s="90" t="str" cm="1">
        <f t="array" ref="F8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ɔp̚</v>
      </c>
      <c r="G81" s="1" t="str" cm="1">
        <f t="array" ref="G8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op</v>
      </c>
      <c r="H81" s="1" t="str" cm="1">
        <f t="array" ref="H8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op</v>
      </c>
      <c r="I81" s="1" t="s">
        <v>486</v>
      </c>
      <c r="J81" s="1" t="s">
        <v>485</v>
      </c>
      <c r="K81" s="1" t="s">
        <v>270</v>
      </c>
      <c r="L81" s="1" t="s">
        <v>23</v>
      </c>
      <c r="M81" s="63" t="s">
        <v>487</v>
      </c>
    </row>
    <row r="82" spans="1:13" ht="29.25">
      <c r="A82" s="62">
        <v>95</v>
      </c>
      <c r="B82" s="12" t="s">
        <v>489</v>
      </c>
      <c r="C82" s="8" t="s">
        <v>488</v>
      </c>
      <c r="D82" s="1" t="s">
        <v>490</v>
      </c>
      <c r="E82" s="1" t="s">
        <v>491</v>
      </c>
      <c r="F82" s="90" t="str" cm="1">
        <f t="array" ref="F8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ãu</v>
      </c>
      <c r="G82" s="1" t="str" cm="1">
        <f t="array" ref="G8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nao</v>
      </c>
      <c r="H82" s="1" t="str" cm="1">
        <f t="array" ref="H8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aunn</v>
      </c>
      <c r="I82" s="1" t="s">
        <v>491</v>
      </c>
      <c r="J82" s="1" t="s">
        <v>492</v>
      </c>
      <c r="K82" s="1" t="s">
        <v>276</v>
      </c>
      <c r="L82" s="1" t="s">
        <v>17</v>
      </c>
      <c r="M82" s="63" t="s">
        <v>494</v>
      </c>
    </row>
    <row r="83" spans="1:13" ht="29.25">
      <c r="A83" s="62">
        <v>97</v>
      </c>
      <c r="B83" s="11" t="s">
        <v>496</v>
      </c>
      <c r="C83" s="2" t="s">
        <v>495</v>
      </c>
      <c r="D83" s="1" t="s">
        <v>423</v>
      </c>
      <c r="E83" s="1" t="s">
        <v>425</v>
      </c>
      <c r="F83" s="90" t="str" cm="1">
        <f t="array" ref="F8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83" s="1" t="str" cm="1">
        <f t="array" ref="G8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83" s="1" t="str" cm="1">
        <f t="array" ref="H8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83" s="1" t="s">
        <v>498</v>
      </c>
      <c r="J83" s="1" t="s">
        <v>497</v>
      </c>
      <c r="K83" s="1" t="s">
        <v>280</v>
      </c>
      <c r="L83" s="1" t="s">
        <v>17</v>
      </c>
      <c r="M83" s="63" t="s">
        <v>499</v>
      </c>
    </row>
    <row r="84" spans="1:13" ht="39">
      <c r="A84" s="62">
        <v>98</v>
      </c>
      <c r="B84" s="11" t="s">
        <v>496</v>
      </c>
      <c r="C84" s="2" t="s">
        <v>512</v>
      </c>
      <c r="D84" s="1" t="s">
        <v>932</v>
      </c>
      <c r="E84" s="1" t="s">
        <v>500</v>
      </c>
      <c r="F84" s="90" t="str" cm="1">
        <f t="array" ref="F8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ɔ̃ʔ</v>
      </c>
      <c r="G84" s="1" t="str" cm="1">
        <f t="array" ref="G8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nooh</v>
      </c>
      <c r="H84" s="1" t="str" cm="1">
        <f t="array" ref="H8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onnh</v>
      </c>
      <c r="I84" s="1" t="s">
        <v>460</v>
      </c>
      <c r="J84" s="1" t="s">
        <v>903</v>
      </c>
      <c r="K84" s="1" t="s">
        <v>280</v>
      </c>
      <c r="L84" s="1" t="s">
        <v>23</v>
      </c>
      <c r="M84" s="63" t="s">
        <v>503</v>
      </c>
    </row>
    <row r="85" spans="1:13" ht="29.25">
      <c r="A85" s="64">
        <v>99</v>
      </c>
      <c r="B85" s="65" t="s">
        <v>505</v>
      </c>
      <c r="C85" s="66" t="s">
        <v>504</v>
      </c>
      <c r="D85" s="67" t="s">
        <v>506</v>
      </c>
      <c r="E85" s="67" t="s">
        <v>507</v>
      </c>
      <c r="F85" s="90" t="str" cm="1">
        <f t="array" ref="F8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iũ</v>
      </c>
      <c r="G85" s="1" t="str" cm="1">
        <f t="array" ref="G8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niu</v>
      </c>
      <c r="H85" s="1" t="str" cm="1">
        <f t="array" ref="H8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iunn</v>
      </c>
      <c r="I85" s="67" t="s">
        <v>507</v>
      </c>
      <c r="J85" s="67" t="s">
        <v>508</v>
      </c>
      <c r="K85" s="67" t="s">
        <v>288</v>
      </c>
      <c r="L85" s="67" t="s">
        <v>17</v>
      </c>
      <c r="M85" s="68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598FF-F9C5-4438-9236-C28AB72EF5D6}">
  <dimension ref="A1:K26"/>
  <sheetViews>
    <sheetView workbookViewId="0">
      <selection activeCell="A3" sqref="A3"/>
    </sheetView>
  </sheetViews>
  <sheetFormatPr defaultRowHeight="25.5"/>
  <sheetData>
    <row r="1" spans="1:11" ht="26.25" thickBot="1">
      <c r="A1" s="219" t="s">
        <v>933</v>
      </c>
      <c r="B1" s="220"/>
      <c r="C1" s="220"/>
      <c r="D1" s="220"/>
      <c r="E1" s="220"/>
      <c r="F1" s="220"/>
      <c r="G1" s="220"/>
      <c r="H1" s="220"/>
      <c r="I1" s="220"/>
      <c r="J1" s="220"/>
      <c r="K1" s="220"/>
    </row>
    <row r="2" spans="1:11" ht="26.25" thickBot="1">
      <c r="A2" s="76" t="s">
        <v>934</v>
      </c>
      <c r="B2" s="76" t="s">
        <v>15</v>
      </c>
      <c r="C2" s="76" t="s">
        <v>28</v>
      </c>
      <c r="D2" s="76" t="s">
        <v>39</v>
      </c>
      <c r="E2" s="76" t="s">
        <v>51</v>
      </c>
      <c r="F2" s="76" t="s">
        <v>57</v>
      </c>
      <c r="G2" s="76" t="s">
        <v>935</v>
      </c>
      <c r="H2" s="76" t="s">
        <v>82</v>
      </c>
      <c r="I2" s="76" t="s">
        <v>95</v>
      </c>
      <c r="J2" s="76" t="s">
        <v>107</v>
      </c>
      <c r="K2" s="76" t="s">
        <v>121</v>
      </c>
    </row>
    <row r="3" spans="1:11" ht="26.25" thickBot="1">
      <c r="A3" s="76" t="s">
        <v>967</v>
      </c>
      <c r="B3" s="77" t="s">
        <v>936</v>
      </c>
      <c r="C3" s="77" t="s">
        <v>937</v>
      </c>
      <c r="D3" s="77" t="s">
        <v>938</v>
      </c>
      <c r="E3" s="77" t="s">
        <v>939</v>
      </c>
      <c r="F3" s="77" t="s">
        <v>940</v>
      </c>
      <c r="G3" s="77" t="s">
        <v>941</v>
      </c>
      <c r="H3" s="77" t="s">
        <v>942</v>
      </c>
      <c r="I3" s="77" t="s">
        <v>943</v>
      </c>
      <c r="J3" s="77" t="s">
        <v>944</v>
      </c>
      <c r="K3" s="77" t="s">
        <v>945</v>
      </c>
    </row>
    <row r="4" spans="1:11" ht="26.25" thickBot="1">
      <c r="A4" s="76" t="s">
        <v>2</v>
      </c>
      <c r="B4" s="78" t="s">
        <v>946</v>
      </c>
      <c r="C4" s="78" t="s">
        <v>947</v>
      </c>
      <c r="D4" s="78" t="s">
        <v>948</v>
      </c>
      <c r="E4" s="78" t="s">
        <v>949</v>
      </c>
      <c r="F4" s="78" t="s">
        <v>950</v>
      </c>
      <c r="G4" s="78" t="s">
        <v>951</v>
      </c>
      <c r="H4" s="78" t="s">
        <v>952</v>
      </c>
      <c r="I4" s="78" t="s">
        <v>953</v>
      </c>
      <c r="J4" s="78" t="s">
        <v>954</v>
      </c>
      <c r="K4" s="78" t="s">
        <v>955</v>
      </c>
    </row>
    <row r="5" spans="1:11" ht="26.25" thickBot="1">
      <c r="A5" s="76" t="s">
        <v>956</v>
      </c>
      <c r="B5" s="78" t="s">
        <v>957</v>
      </c>
      <c r="C5" s="78" t="s">
        <v>958</v>
      </c>
      <c r="D5" s="78" t="s">
        <v>959</v>
      </c>
      <c r="E5" s="78" t="s">
        <v>50</v>
      </c>
      <c r="F5" s="78" t="s">
        <v>960</v>
      </c>
      <c r="G5" s="78" t="s">
        <v>961</v>
      </c>
      <c r="H5" s="78" t="s">
        <v>962</v>
      </c>
      <c r="I5" s="78" t="s">
        <v>963</v>
      </c>
      <c r="J5" s="78" t="s">
        <v>964</v>
      </c>
      <c r="K5" s="78" t="s">
        <v>965</v>
      </c>
    </row>
    <row r="6" spans="1:11" ht="26.25" thickBot="1">
      <c r="A6" s="76" t="s">
        <v>6</v>
      </c>
      <c r="B6" s="78" t="s">
        <v>957</v>
      </c>
      <c r="C6" s="78" t="s">
        <v>958</v>
      </c>
      <c r="D6" s="78" t="s">
        <v>959</v>
      </c>
      <c r="E6" s="78" t="s">
        <v>50</v>
      </c>
      <c r="F6" s="78" t="s">
        <v>966</v>
      </c>
      <c r="G6" s="78" t="s">
        <v>961</v>
      </c>
      <c r="H6" s="78" t="s">
        <v>962</v>
      </c>
      <c r="I6" s="78" t="s">
        <v>963</v>
      </c>
      <c r="J6" s="78" t="s">
        <v>964</v>
      </c>
      <c r="K6" s="78" t="s">
        <v>965</v>
      </c>
    </row>
    <row r="7" spans="1:11" ht="26.25" thickBot="1">
      <c r="A7" s="76" t="s">
        <v>934</v>
      </c>
      <c r="B7" s="76" t="s">
        <v>135</v>
      </c>
      <c r="C7" s="76" t="s">
        <v>142</v>
      </c>
      <c r="D7" s="76" t="s">
        <v>154</v>
      </c>
      <c r="E7" s="76" t="s">
        <v>160</v>
      </c>
      <c r="F7" s="76" t="s">
        <v>172</v>
      </c>
      <c r="G7" s="76" t="s">
        <v>184</v>
      </c>
      <c r="H7" s="76" t="s">
        <v>190</v>
      </c>
      <c r="I7" s="76" t="s">
        <v>202</v>
      </c>
      <c r="J7" s="76" t="s">
        <v>212</v>
      </c>
      <c r="K7" s="76" t="s">
        <v>224</v>
      </c>
    </row>
    <row r="8" spans="1:11" ht="26.25" thickBot="1">
      <c r="A8" s="76" t="s">
        <v>967</v>
      </c>
      <c r="B8" s="77" t="s">
        <v>968</v>
      </c>
      <c r="C8" s="77" t="s">
        <v>969</v>
      </c>
      <c r="D8" s="77" t="s">
        <v>970</v>
      </c>
      <c r="E8" s="77" t="s">
        <v>971</v>
      </c>
      <c r="F8" s="77" t="s">
        <v>972</v>
      </c>
      <c r="G8" s="77" t="s">
        <v>973</v>
      </c>
      <c r="H8" s="77" t="s">
        <v>974</v>
      </c>
      <c r="I8" s="77" t="s">
        <v>975</v>
      </c>
      <c r="J8" s="77" t="s">
        <v>976</v>
      </c>
      <c r="K8" s="77" t="s">
        <v>977</v>
      </c>
    </row>
    <row r="9" spans="1:11" ht="26.25" thickBot="1">
      <c r="A9" s="76" t="s">
        <v>2</v>
      </c>
      <c r="B9" s="78" t="s">
        <v>978</v>
      </c>
      <c r="C9" s="78" t="s">
        <v>979</v>
      </c>
      <c r="D9" s="78" t="s">
        <v>980</v>
      </c>
      <c r="E9" s="78" t="s">
        <v>981</v>
      </c>
      <c r="F9" s="78" t="s">
        <v>982</v>
      </c>
      <c r="G9" s="78" t="s">
        <v>983</v>
      </c>
      <c r="H9" s="78" t="s">
        <v>984</v>
      </c>
      <c r="I9" s="78" t="s">
        <v>985</v>
      </c>
      <c r="J9" s="78" t="s">
        <v>986</v>
      </c>
      <c r="K9" s="78" t="s">
        <v>987</v>
      </c>
    </row>
    <row r="10" spans="1:11" ht="26.25" thickBot="1">
      <c r="A10" s="76" t="s">
        <v>956</v>
      </c>
      <c r="B10" s="78" t="s">
        <v>136</v>
      </c>
      <c r="C10" s="78" t="s">
        <v>988</v>
      </c>
      <c r="D10" s="78" t="s">
        <v>60</v>
      </c>
      <c r="E10" s="78" t="s">
        <v>989</v>
      </c>
      <c r="F10" s="78" t="s">
        <v>990</v>
      </c>
      <c r="G10" s="78" t="s">
        <v>183</v>
      </c>
      <c r="H10" s="78" t="s">
        <v>991</v>
      </c>
      <c r="I10" s="78" t="s">
        <v>992</v>
      </c>
      <c r="J10" s="78" t="s">
        <v>993</v>
      </c>
      <c r="K10" s="78" t="s">
        <v>994</v>
      </c>
    </row>
    <row r="11" spans="1:11" ht="26.25" thickBot="1">
      <c r="A11" s="76" t="s">
        <v>6</v>
      </c>
      <c r="B11" s="78" t="s">
        <v>136</v>
      </c>
      <c r="C11" s="78" t="s">
        <v>995</v>
      </c>
      <c r="D11" s="78" t="s">
        <v>60</v>
      </c>
      <c r="E11" s="78" t="s">
        <v>989</v>
      </c>
      <c r="F11" s="78" t="s">
        <v>990</v>
      </c>
      <c r="G11" s="78" t="s">
        <v>183</v>
      </c>
      <c r="H11" s="78" t="s">
        <v>991</v>
      </c>
      <c r="I11" s="78" t="s">
        <v>992</v>
      </c>
      <c r="J11" s="78" t="s">
        <v>993</v>
      </c>
      <c r="K11" s="78" t="s">
        <v>994</v>
      </c>
    </row>
    <row r="12" spans="1:11" ht="26.25" thickBot="1">
      <c r="A12" s="76" t="s">
        <v>934</v>
      </c>
      <c r="B12" s="76" t="s">
        <v>236</v>
      </c>
      <c r="C12" s="76" t="s">
        <v>248</v>
      </c>
      <c r="D12" s="76" t="s">
        <v>261</v>
      </c>
      <c r="E12" s="76" t="s">
        <v>273</v>
      </c>
      <c r="F12" s="76" t="s">
        <v>283</v>
      </c>
      <c r="G12" s="76" t="s">
        <v>295</v>
      </c>
      <c r="H12" s="76" t="s">
        <v>309</v>
      </c>
      <c r="I12" s="76" t="s">
        <v>317</v>
      </c>
      <c r="J12" s="76" t="s">
        <v>325</v>
      </c>
      <c r="K12" s="76" t="s">
        <v>333</v>
      </c>
    </row>
    <row r="13" spans="1:11" ht="26.25" thickBot="1">
      <c r="A13" s="76" t="s">
        <v>967</v>
      </c>
      <c r="B13" s="77" t="s">
        <v>996</v>
      </c>
      <c r="C13" s="77" t="s">
        <v>997</v>
      </c>
      <c r="D13" s="77" t="s">
        <v>998</v>
      </c>
      <c r="E13" s="77" t="s">
        <v>999</v>
      </c>
      <c r="F13" s="77" t="s">
        <v>1000</v>
      </c>
      <c r="G13" s="77" t="s">
        <v>1001</v>
      </c>
      <c r="H13" s="77" t="s">
        <v>1002</v>
      </c>
      <c r="I13" s="77" t="s">
        <v>1003</v>
      </c>
      <c r="J13" s="77" t="s">
        <v>1004</v>
      </c>
      <c r="K13" s="77" t="s">
        <v>1005</v>
      </c>
    </row>
    <row r="14" spans="1:11" ht="26.25" thickBot="1">
      <c r="A14" s="76" t="s">
        <v>2</v>
      </c>
      <c r="B14" s="78" t="s">
        <v>1006</v>
      </c>
      <c r="C14" s="78" t="s">
        <v>1007</v>
      </c>
      <c r="D14" s="78" t="s">
        <v>1008</v>
      </c>
      <c r="E14" s="78" t="s">
        <v>1009</v>
      </c>
      <c r="F14" s="78" t="s">
        <v>1010</v>
      </c>
      <c r="G14" s="78" t="s">
        <v>1011</v>
      </c>
      <c r="H14" s="78" t="s">
        <v>1012</v>
      </c>
      <c r="I14" s="78" t="s">
        <v>1013</v>
      </c>
      <c r="J14" s="78" t="s">
        <v>1014</v>
      </c>
      <c r="K14" s="78" t="s">
        <v>1015</v>
      </c>
    </row>
    <row r="15" spans="1:11" ht="26.25" thickBot="1">
      <c r="A15" s="76" t="s">
        <v>956</v>
      </c>
      <c r="B15" s="78" t="s">
        <v>1016</v>
      </c>
      <c r="C15" s="78" t="s">
        <v>1017</v>
      </c>
      <c r="D15" s="78" t="s">
        <v>1018</v>
      </c>
      <c r="E15" s="78" t="s">
        <v>1019</v>
      </c>
      <c r="F15" s="78" t="s">
        <v>1020</v>
      </c>
      <c r="G15" s="78" t="s">
        <v>1021</v>
      </c>
      <c r="H15" s="78" t="s">
        <v>1022</v>
      </c>
      <c r="I15" s="78" t="s">
        <v>1023</v>
      </c>
      <c r="J15" s="78" t="s">
        <v>1024</v>
      </c>
      <c r="K15" s="78" t="s">
        <v>332</v>
      </c>
    </row>
    <row r="16" spans="1:11" ht="26.25" thickBot="1">
      <c r="A16" s="76" t="s">
        <v>6</v>
      </c>
      <c r="B16" s="78" t="s">
        <v>1016</v>
      </c>
      <c r="C16" s="78" t="s">
        <v>1017</v>
      </c>
      <c r="D16" s="78" t="s">
        <v>1025</v>
      </c>
      <c r="E16" s="78" t="s">
        <v>1019</v>
      </c>
      <c r="F16" s="78" t="s">
        <v>1020</v>
      </c>
      <c r="G16" s="78" t="s">
        <v>1026</v>
      </c>
      <c r="H16" s="78" t="s">
        <v>1022</v>
      </c>
      <c r="I16" s="78" t="s">
        <v>1023</v>
      </c>
      <c r="J16" s="78" t="s">
        <v>1024</v>
      </c>
      <c r="K16" s="78" t="s">
        <v>332</v>
      </c>
    </row>
    <row r="17" spans="1:11" ht="26.25" thickBot="1">
      <c r="A17" s="76" t="s">
        <v>934</v>
      </c>
      <c r="B17" s="76" t="s">
        <v>338</v>
      </c>
      <c r="C17" s="76" t="s">
        <v>349</v>
      </c>
      <c r="D17" s="76" t="s">
        <v>358</v>
      </c>
      <c r="E17" s="76" t="s">
        <v>368</v>
      </c>
      <c r="F17" s="76" t="s">
        <v>381</v>
      </c>
      <c r="G17" s="76" t="s">
        <v>389</v>
      </c>
      <c r="H17" s="76" t="s">
        <v>397</v>
      </c>
      <c r="I17" s="76" t="s">
        <v>405</v>
      </c>
      <c r="J17" s="76" t="s">
        <v>410</v>
      </c>
      <c r="K17" s="76" t="s">
        <v>415</v>
      </c>
    </row>
    <row r="18" spans="1:11" ht="26.25" thickBot="1">
      <c r="A18" s="76" t="s">
        <v>967</v>
      </c>
      <c r="B18" s="77" t="s">
        <v>1027</v>
      </c>
      <c r="C18" s="77" t="s">
        <v>1028</v>
      </c>
      <c r="D18" s="77" t="s">
        <v>1029</v>
      </c>
      <c r="E18" s="77" t="s">
        <v>1030</v>
      </c>
      <c r="F18" s="77" t="s">
        <v>1031</v>
      </c>
      <c r="G18" s="77" t="s">
        <v>1032</v>
      </c>
      <c r="H18" s="77" t="s">
        <v>1033</v>
      </c>
      <c r="I18" s="77" t="s">
        <v>1034</v>
      </c>
      <c r="J18" s="77" t="s">
        <v>1035</v>
      </c>
      <c r="K18" s="77" t="s">
        <v>1036</v>
      </c>
    </row>
    <row r="19" spans="1:11" ht="26.25" thickBot="1">
      <c r="A19" s="76" t="s">
        <v>2</v>
      </c>
      <c r="B19" s="78" t="s">
        <v>1037</v>
      </c>
      <c r="C19" s="78" t="s">
        <v>1038</v>
      </c>
      <c r="D19" s="78" t="s">
        <v>1039</v>
      </c>
      <c r="E19" s="78" t="s">
        <v>1040</v>
      </c>
      <c r="F19" s="78" t="s">
        <v>1041</v>
      </c>
      <c r="G19" s="78" t="s">
        <v>1042</v>
      </c>
      <c r="H19" s="78" t="s">
        <v>1043</v>
      </c>
      <c r="I19" s="78" t="s">
        <v>1044</v>
      </c>
      <c r="J19" s="78" t="s">
        <v>1045</v>
      </c>
      <c r="K19" s="78" t="s">
        <v>1046</v>
      </c>
    </row>
    <row r="20" spans="1:11" ht="26.25" thickBot="1">
      <c r="A20" s="76" t="s">
        <v>956</v>
      </c>
      <c r="B20" s="78" t="s">
        <v>342</v>
      </c>
      <c r="C20" s="78" t="s">
        <v>353</v>
      </c>
      <c r="D20" s="78" t="s">
        <v>1047</v>
      </c>
      <c r="E20" s="78" t="s">
        <v>1048</v>
      </c>
      <c r="F20" s="78" t="s">
        <v>385</v>
      </c>
      <c r="G20" s="78" t="s">
        <v>394</v>
      </c>
      <c r="H20" s="78" t="s">
        <v>401</v>
      </c>
      <c r="I20" s="78" t="s">
        <v>407</v>
      </c>
      <c r="J20" s="78" t="s">
        <v>960</v>
      </c>
      <c r="K20" s="78" t="s">
        <v>419</v>
      </c>
    </row>
    <row r="21" spans="1:11" ht="26.25" thickBot="1">
      <c r="A21" s="76" t="s">
        <v>6</v>
      </c>
      <c r="B21" s="78" t="s">
        <v>340</v>
      </c>
      <c r="C21" s="78" t="s">
        <v>351</v>
      </c>
      <c r="D21" s="78" t="s">
        <v>1047</v>
      </c>
      <c r="E21" s="78" t="s">
        <v>1049</v>
      </c>
      <c r="F21" s="78" t="s">
        <v>383</v>
      </c>
      <c r="G21" s="78" t="s">
        <v>391</v>
      </c>
      <c r="H21" s="78" t="s">
        <v>399</v>
      </c>
      <c r="I21" s="78" t="s">
        <v>407</v>
      </c>
      <c r="J21" s="78" t="s">
        <v>960</v>
      </c>
      <c r="K21" s="78" t="s">
        <v>417</v>
      </c>
    </row>
    <row r="22" spans="1:11" ht="26.25" thickBot="1">
      <c r="A22" s="76" t="s">
        <v>934</v>
      </c>
      <c r="B22" s="76" t="s">
        <v>422</v>
      </c>
      <c r="C22" s="76" t="s">
        <v>429</v>
      </c>
      <c r="D22" s="76" t="s">
        <v>436</v>
      </c>
      <c r="E22" s="76" t="s">
        <v>447</v>
      </c>
      <c r="F22" s="76" t="s">
        <v>458</v>
      </c>
      <c r="G22" s="76" t="s">
        <v>465</v>
      </c>
      <c r="H22" s="76" t="s">
        <v>477</v>
      </c>
      <c r="I22" s="76" t="s">
        <v>489</v>
      </c>
      <c r="J22" s="76" t="s">
        <v>496</v>
      </c>
      <c r="K22" s="76" t="s">
        <v>505</v>
      </c>
    </row>
    <row r="23" spans="1:11" ht="26.25" thickBot="1">
      <c r="A23" s="76" t="s">
        <v>967</v>
      </c>
      <c r="B23" s="77" t="s">
        <v>1050</v>
      </c>
      <c r="C23" s="77" t="s">
        <v>1051</v>
      </c>
      <c r="D23" s="77" t="s">
        <v>1052</v>
      </c>
      <c r="E23" s="77" t="s">
        <v>1053</v>
      </c>
      <c r="F23" s="77" t="s">
        <v>1054</v>
      </c>
      <c r="G23" s="77" t="s">
        <v>1055</v>
      </c>
      <c r="H23" s="77" t="s">
        <v>1056</v>
      </c>
      <c r="I23" s="77" t="s">
        <v>1057</v>
      </c>
      <c r="J23" s="77" t="s">
        <v>1058</v>
      </c>
      <c r="K23" s="77" t="s">
        <v>1059</v>
      </c>
    </row>
    <row r="24" spans="1:11" ht="26.25" thickBot="1">
      <c r="A24" s="76" t="s">
        <v>2</v>
      </c>
      <c r="B24" s="78" t="s">
        <v>1060</v>
      </c>
      <c r="C24" s="78" t="s">
        <v>1061</v>
      </c>
      <c r="D24" s="78" t="s">
        <v>1062</v>
      </c>
      <c r="E24" s="78" t="s">
        <v>1063</v>
      </c>
      <c r="F24" s="78" t="s">
        <v>1064</v>
      </c>
      <c r="G24" s="78" t="s">
        <v>1065</v>
      </c>
      <c r="H24" s="78" t="s">
        <v>1066</v>
      </c>
      <c r="I24" s="78" t="s">
        <v>1067</v>
      </c>
      <c r="J24" s="78" t="s">
        <v>1068</v>
      </c>
      <c r="K24" s="78" t="s">
        <v>1069</v>
      </c>
    </row>
    <row r="25" spans="1:11" ht="26.25" thickBot="1">
      <c r="A25" s="76" t="s">
        <v>956</v>
      </c>
      <c r="B25" s="78" t="s">
        <v>427</v>
      </c>
      <c r="C25" s="78" t="s">
        <v>432</v>
      </c>
      <c r="D25" s="78" t="s">
        <v>1070</v>
      </c>
      <c r="E25" s="78" t="s">
        <v>1071</v>
      </c>
      <c r="F25" s="78" t="s">
        <v>1072</v>
      </c>
      <c r="G25" s="78" t="s">
        <v>1073</v>
      </c>
      <c r="H25" s="78" t="s">
        <v>1074</v>
      </c>
      <c r="I25" s="78" t="s">
        <v>493</v>
      </c>
      <c r="J25" s="78" t="s">
        <v>1075</v>
      </c>
      <c r="K25" s="78" t="s">
        <v>509</v>
      </c>
    </row>
    <row r="26" spans="1:11" ht="26.25" thickBot="1">
      <c r="A26" s="76" t="s">
        <v>6</v>
      </c>
      <c r="B26" s="78" t="s">
        <v>425</v>
      </c>
      <c r="C26" s="78" t="s">
        <v>432</v>
      </c>
      <c r="D26" s="78" t="s">
        <v>1070</v>
      </c>
      <c r="E26" s="78" t="s">
        <v>1076</v>
      </c>
      <c r="F26" s="78" t="s">
        <v>1077</v>
      </c>
      <c r="G26" s="78" t="s">
        <v>1078</v>
      </c>
      <c r="H26" s="78" t="s">
        <v>1074</v>
      </c>
      <c r="I26" s="78" t="s">
        <v>491</v>
      </c>
      <c r="J26" s="78" t="s">
        <v>1079</v>
      </c>
      <c r="K26" s="78" t="s">
        <v>507</v>
      </c>
    </row>
  </sheetData>
  <mergeCells count="1">
    <mergeCell ref="A1:K1"/>
  </mergeCells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23</vt:i4>
      </vt:variant>
    </vt:vector>
  </HeadingPairs>
  <TitlesOfParts>
    <vt:vector size="23" baseType="lpstr">
      <vt:lpstr>輸入工具</vt:lpstr>
      <vt:lpstr>輸入工具 (閩拼方案)</vt:lpstr>
      <vt:lpstr>輸入工具 (台語注音二式)</vt:lpstr>
      <vt:lpstr>輸入工具 (台語音標)</vt:lpstr>
      <vt:lpstr>輸入工具 (台羅拼音)</vt:lpstr>
      <vt:lpstr>輸入工具 (白話字)</vt:lpstr>
      <vt:lpstr>【聲】聲母對照表</vt:lpstr>
      <vt:lpstr>【韻】韻母對照表</vt:lpstr>
      <vt:lpstr>【韻】韻母對照表（十五音）</vt:lpstr>
      <vt:lpstr>【韻】韻母清單（工作表） </vt:lpstr>
      <vt:lpstr>【調】聲調對照表</vt:lpstr>
      <vt:lpstr>【調】韻母標調</vt:lpstr>
      <vt:lpstr>【韻】韻母清單（台語音標）</vt:lpstr>
      <vt:lpstr>工作表4</vt:lpstr>
      <vt:lpstr>台語音標韻母清單【依字長反排序】 (2)</vt:lpstr>
      <vt:lpstr>韻母轉換規則</vt:lpstr>
      <vt:lpstr>台語注音二式轉換</vt:lpstr>
      <vt:lpstr>工作表1</vt:lpstr>
      <vt:lpstr>工作表2</vt:lpstr>
      <vt:lpstr>十五音韻母</vt:lpstr>
      <vt:lpstr>舊版聲調對照表</vt:lpstr>
      <vt:lpstr>【韻】韻母對照表 (2)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2026-03-12T11:06:03Z</dcterms:created>
  <dcterms:modified xsi:type="dcterms:W3CDTF">2026-06-06T04:27:24Z</dcterms:modified>
</cp:coreProperties>
</file>