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docs\"/>
    </mc:Choice>
  </mc:AlternateContent>
  <xr:revisionPtr revIDLastSave="0" documentId="13_ncr:1_{9CCD150E-2881-4A14-9159-AF2BF547257C}" xr6:coauthVersionLast="47" xr6:coauthVersionMax="47" xr10:uidLastSave="{00000000-0000-0000-0000-000000000000}"/>
  <bookViews>
    <workbookView xWindow="28680" yWindow="-120" windowWidth="38640" windowHeight="15720" tabRatio="877" activeTab="8" xr2:uid="{7E808FC4-FD7B-4D2F-8735-FF65DCE8E5C1}"/>
  </bookViews>
  <sheets>
    <sheet name="工作表1" sheetId="26" r:id="rId1"/>
    <sheet name="輸入工具" sheetId="20" r:id="rId2"/>
    <sheet name="輸入工具 (閩拼方案)" sheetId="21" r:id="rId3"/>
    <sheet name="輸入工具 (台語注音二式)" sheetId="22" r:id="rId4"/>
    <sheet name="輸入工具 (台語音標)" sheetId="24" r:id="rId5"/>
    <sheet name="輸入工具 (台羅拼音)" sheetId="23" r:id="rId6"/>
    <sheet name="輸入工具 (白話字)" sheetId="25" r:id="rId7"/>
    <sheet name="【聲】聲母對照表" sheetId="1" r:id="rId8"/>
    <sheet name="【聲】聲母排序表" sheetId="27" r:id="rId9"/>
    <sheet name="【韻】韻母對照表" sheetId="17" r:id="rId10"/>
    <sheet name="【調】韻母標調" sheetId="19" r:id="rId11"/>
    <sheet name="台語注音二式轉方音符號" sheetId="18" r:id="rId12"/>
    <sheet name="台語注音二式轉換" sheetId="7" r:id="rId13"/>
    <sheet name="IPA音節表" sheetId="16" r:id="rId14"/>
    <sheet name="【十五音】韻母對照表" sheetId="2" r:id="rId15"/>
    <sheet name="十五音韻母" sheetId="9" r:id="rId16"/>
    <sheet name="馬重奇韻母50字" sheetId="8" r:id="rId17"/>
  </sheets>
  <definedNames>
    <definedName name="_xlnm._FilterDatabase" localSheetId="9" hidden="1">【韻】韻母對照表!$B$3:$O$89</definedName>
    <definedName name="_xlnm._FilterDatabase" localSheetId="11" hidden="1">台語注音二式轉方音符號!$B$3:$L$85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25" l="1" a="1"/>
  <c r="K5" i="25" s="1"/>
  <c r="J5" i="25" a="1"/>
  <c r="J5" i="25" s="1"/>
  <c r="D2" i="26"/>
  <c r="E2" i="26"/>
  <c r="F2" i="26"/>
  <c r="G2" i="26"/>
  <c r="H2" i="26"/>
  <c r="I2" i="26"/>
  <c r="J2" i="26"/>
  <c r="K2" i="26"/>
  <c r="L2" i="26"/>
  <c r="M2" i="26"/>
  <c r="N2" i="26"/>
  <c r="O2" i="26"/>
  <c r="P2" i="26"/>
  <c r="Q2" i="26"/>
  <c r="R2" i="26"/>
  <c r="C2" i="26"/>
  <c r="L6" i="25" a="1"/>
  <c r="L6" i="25" s="1"/>
  <c r="L7" i="25" a="1"/>
  <c r="L7" i="25" s="1"/>
  <c r="L8" i="25" a="1"/>
  <c r="L8" i="25"/>
  <c r="L9" i="25" a="1"/>
  <c r="L9" i="25" s="1"/>
  <c r="L10" i="25" a="1"/>
  <c r="L10" i="25"/>
  <c r="L11" i="25" a="1"/>
  <c r="L11" i="25"/>
  <c r="L12" i="25" a="1"/>
  <c r="L12" i="25"/>
  <c r="L13" i="25" a="1"/>
  <c r="L13" i="25"/>
  <c r="L14" i="25" a="1"/>
  <c r="L14" i="25" s="1"/>
  <c r="L15" i="25" a="1"/>
  <c r="L15" i="25" s="1"/>
  <c r="L16" i="25" a="1"/>
  <c r="L16" i="25"/>
  <c r="L17" i="25" a="1"/>
  <c r="L17" i="25" s="1"/>
  <c r="L18" i="25" a="1"/>
  <c r="L18" i="25"/>
  <c r="L19" i="25" a="1"/>
  <c r="L19" i="25"/>
  <c r="L20" i="25" a="1"/>
  <c r="L20" i="25"/>
  <c r="L21" i="25" a="1"/>
  <c r="L21" i="25"/>
  <c r="L22" i="25" a="1"/>
  <c r="L22" i="25" s="1"/>
  <c r="L23" i="25" a="1"/>
  <c r="L23" i="25" s="1"/>
  <c r="L24" i="25" a="1"/>
  <c r="L24" i="25"/>
  <c r="L25" i="25" a="1"/>
  <c r="L25" i="25" s="1"/>
  <c r="L26" i="25" a="1"/>
  <c r="L26" i="25"/>
  <c r="L27" i="25" a="1"/>
  <c r="L27" i="25"/>
  <c r="L28" i="25" a="1"/>
  <c r="L28" i="25"/>
  <c r="L29" i="25" a="1"/>
  <c r="L29" i="25"/>
  <c r="L30" i="25" a="1"/>
  <c r="L30" i="25" s="1"/>
  <c r="L31" i="25" a="1"/>
  <c r="L31" i="25" s="1"/>
  <c r="L32" i="25" a="1"/>
  <c r="L32" i="25" s="1"/>
  <c r="L33" i="25" a="1"/>
  <c r="L33" i="25" s="1"/>
  <c r="L34" i="25" a="1"/>
  <c r="L34" i="25"/>
  <c r="L35" i="25" a="1"/>
  <c r="L35" i="25" s="1"/>
  <c r="L36" i="25" a="1"/>
  <c r="L36" i="25"/>
  <c r="L5" i="25" a="1"/>
  <c r="L5" i="25" s="1"/>
  <c r="L6" i="23" a="1"/>
  <c r="L6" i="23" s="1"/>
  <c r="L7" i="23" a="1"/>
  <c r="L7" i="23" s="1"/>
  <c r="L8" i="23" a="1"/>
  <c r="L8" i="23" s="1"/>
  <c r="L9" i="23" a="1"/>
  <c r="L9" i="23"/>
  <c r="L10" i="23" a="1"/>
  <c r="L10" i="23" s="1"/>
  <c r="L11" i="23" a="1"/>
  <c r="L11" i="23" s="1"/>
  <c r="L12" i="23" a="1"/>
  <c r="L12" i="23" s="1"/>
  <c r="L13" i="23" a="1"/>
  <c r="L13" i="23" s="1"/>
  <c r="L14" i="23" a="1"/>
  <c r="L14" i="23" s="1"/>
  <c r="L15" i="23" a="1"/>
  <c r="L15" i="23" s="1"/>
  <c r="L16" i="23" a="1"/>
  <c r="L16" i="23" s="1"/>
  <c r="L17" i="23" a="1"/>
  <c r="L17" i="23"/>
  <c r="L18" i="23" a="1"/>
  <c r="L18" i="23"/>
  <c r="L19" i="23" a="1"/>
  <c r="L19" i="23" s="1"/>
  <c r="L20" i="23" a="1"/>
  <c r="L20" i="23" s="1"/>
  <c r="L21" i="23" a="1"/>
  <c r="L21" i="23" s="1"/>
  <c r="L22" i="23" a="1"/>
  <c r="L22" i="23" s="1"/>
  <c r="L23" i="23" a="1"/>
  <c r="L23" i="23" s="1"/>
  <c r="L24" i="23" a="1"/>
  <c r="L24" i="23" s="1"/>
  <c r="L25" i="23" a="1"/>
  <c r="L25" i="23"/>
  <c r="L26" i="23" a="1"/>
  <c r="L26" i="23" s="1"/>
  <c r="L27" i="23" a="1"/>
  <c r="L27" i="23" s="1"/>
  <c r="L28" i="23" a="1"/>
  <c r="L28" i="23" s="1"/>
  <c r="L29" i="23" a="1"/>
  <c r="L29" i="23" s="1"/>
  <c r="L30" i="23" a="1"/>
  <c r="L30" i="23" s="1"/>
  <c r="L31" i="23" a="1"/>
  <c r="L31" i="23" s="1"/>
  <c r="L32" i="23" a="1"/>
  <c r="L32" i="23" s="1"/>
  <c r="L33" i="23" a="1"/>
  <c r="L33" i="23"/>
  <c r="L34" i="23" a="1"/>
  <c r="L34" i="23" s="1"/>
  <c r="L35" i="23" a="1"/>
  <c r="L35" i="23" s="1"/>
  <c r="L36" i="23" a="1"/>
  <c r="L36" i="23" s="1"/>
  <c r="L5" i="23" a="1"/>
  <c r="L5" i="23" s="1"/>
  <c r="L6" i="24" a="1"/>
  <c r="L6" i="24" s="1"/>
  <c r="L7" i="24" a="1"/>
  <c r="L7" i="24" s="1"/>
  <c r="L8" i="24" a="1"/>
  <c r="L8" i="24"/>
  <c r="L9" i="24" a="1"/>
  <c r="L9" i="24" s="1"/>
  <c r="L10" i="24" a="1"/>
  <c r="L10" i="24"/>
  <c r="L11" i="24" a="1"/>
  <c r="L11" i="24" s="1"/>
  <c r="L12" i="24" a="1"/>
  <c r="L12" i="24"/>
  <c r="L13" i="24" a="1"/>
  <c r="L13" i="24"/>
  <c r="L14" i="24" a="1"/>
  <c r="L14" i="24" s="1"/>
  <c r="L15" i="24" a="1"/>
  <c r="L15" i="24" s="1"/>
  <c r="L16" i="24" a="1"/>
  <c r="L16" i="24"/>
  <c r="L17" i="24" a="1"/>
  <c r="L17" i="24" s="1"/>
  <c r="L18" i="24" a="1"/>
  <c r="L18" i="24"/>
  <c r="L19" i="24" a="1"/>
  <c r="L19" i="24" s="1"/>
  <c r="L20" i="24" a="1"/>
  <c r="L20" i="24"/>
  <c r="L21" i="24" a="1"/>
  <c r="L21" i="24"/>
  <c r="L22" i="24" a="1"/>
  <c r="L22" i="24" s="1"/>
  <c r="L23" i="24" a="1"/>
  <c r="L23" i="24" s="1"/>
  <c r="L24" i="24" a="1"/>
  <c r="L24" i="24" s="1"/>
  <c r="L25" i="24" a="1"/>
  <c r="L25" i="24" s="1"/>
  <c r="L26" i="24" a="1"/>
  <c r="L26" i="24"/>
  <c r="L27" i="24" a="1"/>
  <c r="L27" i="24" s="1"/>
  <c r="L28" i="24" a="1"/>
  <c r="L28" i="24"/>
  <c r="L29" i="24" a="1"/>
  <c r="L29" i="24"/>
  <c r="L30" i="24" a="1"/>
  <c r="L30" i="24" s="1"/>
  <c r="L31" i="24" a="1"/>
  <c r="L31" i="24" s="1"/>
  <c r="L32" i="24" a="1"/>
  <c r="L32" i="24"/>
  <c r="L33" i="24" a="1"/>
  <c r="L33" i="24" s="1"/>
  <c r="L34" i="24" a="1"/>
  <c r="L34" i="24"/>
  <c r="L35" i="24" a="1"/>
  <c r="L35" i="24" s="1"/>
  <c r="L36" i="24" a="1"/>
  <c r="L36" i="24"/>
  <c r="L5" i="24" a="1"/>
  <c r="L5" i="24" s="1"/>
  <c r="L6" i="22" a="1"/>
  <c r="L6" i="22" s="1"/>
  <c r="L7" i="22" a="1"/>
  <c r="L7" i="22" s="1"/>
  <c r="L8" i="22" a="1"/>
  <c r="L8" i="22"/>
  <c r="L9" i="22" a="1"/>
  <c r="L9" i="22"/>
  <c r="L10" i="22" a="1"/>
  <c r="L10" i="22"/>
  <c r="L11" i="22" a="1"/>
  <c r="L11" i="22"/>
  <c r="L12" i="22" a="1"/>
  <c r="L12" i="22"/>
  <c r="L13" i="22" a="1"/>
  <c r="L13" i="22"/>
  <c r="L14" i="22" a="1"/>
  <c r="L14" i="22" s="1"/>
  <c r="L15" i="22" a="1"/>
  <c r="L15" i="22" s="1"/>
  <c r="L16" i="22" a="1"/>
  <c r="L16" i="22"/>
  <c r="L17" i="22" a="1"/>
  <c r="L17" i="22"/>
  <c r="L18" i="22" a="1"/>
  <c r="L18" i="22"/>
  <c r="L19" i="22" a="1"/>
  <c r="L19" i="22"/>
  <c r="L20" i="22" a="1"/>
  <c r="L20" i="22"/>
  <c r="L21" i="22" a="1"/>
  <c r="L21" i="22"/>
  <c r="L22" i="22" a="1"/>
  <c r="L22" i="22" s="1"/>
  <c r="L23" i="22" a="1"/>
  <c r="L23" i="22" s="1"/>
  <c r="L24" i="22" a="1"/>
  <c r="L24" i="22"/>
  <c r="L25" i="22" a="1"/>
  <c r="L25" i="22"/>
  <c r="L26" i="22" a="1"/>
  <c r="L26" i="22"/>
  <c r="L27" i="22" a="1"/>
  <c r="L27" i="22"/>
  <c r="L28" i="22" a="1"/>
  <c r="L28" i="22"/>
  <c r="L29" i="22" a="1"/>
  <c r="L29" i="22"/>
  <c r="L30" i="22" a="1"/>
  <c r="L30" i="22" s="1"/>
  <c r="L31" i="22" a="1"/>
  <c r="L31" i="22" s="1"/>
  <c r="L32" i="22" a="1"/>
  <c r="L32" i="22"/>
  <c r="L33" i="22" a="1"/>
  <c r="L33" i="22" s="1"/>
  <c r="L34" i="22" a="1"/>
  <c r="L34" i="22" s="1"/>
  <c r="L35" i="22" a="1"/>
  <c r="L35" i="22"/>
  <c r="L36" i="22" a="1"/>
  <c r="L36" i="22"/>
  <c r="L5" i="22" a="1"/>
  <c r="L5" i="22" s="1"/>
  <c r="L6" i="21" a="1"/>
  <c r="L6" i="21" s="1"/>
  <c r="L7" i="21" a="1"/>
  <c r="L7" i="21" s="1"/>
  <c r="L8" i="21" a="1"/>
  <c r="L8" i="21"/>
  <c r="L9" i="21" a="1"/>
  <c r="L9" i="21"/>
  <c r="L10" i="21" a="1"/>
  <c r="L10" i="21"/>
  <c r="L11" i="21" a="1"/>
  <c r="L11" i="21" s="1"/>
  <c r="L12" i="21" a="1"/>
  <c r="L12" i="21" s="1"/>
  <c r="L13" i="21" a="1"/>
  <c r="L13" i="21"/>
  <c r="L14" i="21" a="1"/>
  <c r="L14" i="21" s="1"/>
  <c r="L15" i="21" a="1"/>
  <c r="L15" i="21" s="1"/>
  <c r="L16" i="21" a="1"/>
  <c r="L16" i="21" s="1"/>
  <c r="L17" i="21" a="1"/>
  <c r="L17" i="21"/>
  <c r="L18" i="21" a="1"/>
  <c r="L18" i="21"/>
  <c r="L19" i="21" a="1"/>
  <c r="L19" i="21" s="1"/>
  <c r="L20" i="21" a="1"/>
  <c r="L20" i="21" s="1"/>
  <c r="L21" i="21" a="1"/>
  <c r="L21" i="21"/>
  <c r="L22" i="21" a="1"/>
  <c r="L22" i="21" s="1"/>
  <c r="L23" i="21" a="1"/>
  <c r="L23" i="21" s="1"/>
  <c r="L24" i="21" a="1"/>
  <c r="L24" i="21"/>
  <c r="L25" i="21" a="1"/>
  <c r="L25" i="21"/>
  <c r="L26" i="21" a="1"/>
  <c r="L26" i="21"/>
  <c r="L27" i="21" a="1"/>
  <c r="L27" i="21"/>
  <c r="L28" i="21" a="1"/>
  <c r="L28" i="21" s="1"/>
  <c r="L29" i="21" a="1"/>
  <c r="L29" i="21"/>
  <c r="L30" i="21" a="1"/>
  <c r="L30" i="21" s="1"/>
  <c r="L31" i="21" a="1"/>
  <c r="L31" i="21" s="1"/>
  <c r="L32" i="21" a="1"/>
  <c r="L32" i="21" s="1"/>
  <c r="L33" i="21" a="1"/>
  <c r="L33" i="21"/>
  <c r="L34" i="21" a="1"/>
  <c r="L34" i="21"/>
  <c r="L35" i="21" a="1"/>
  <c r="L35" i="21" s="1"/>
  <c r="L36" i="21" a="1"/>
  <c r="L36" i="21" s="1"/>
  <c r="L5" i="21" a="1"/>
  <c r="L5" i="21" s="1"/>
  <c r="I23" i="19"/>
  <c r="I22" i="19"/>
  <c r="I21" i="19"/>
  <c r="I20" i="19"/>
  <c r="I19" i="19"/>
  <c r="I18" i="19"/>
  <c r="I17" i="19"/>
  <c r="I16" i="19"/>
  <c r="I15" i="19"/>
  <c r="I14" i="19"/>
  <c r="L4" i="20" a="1"/>
  <c r="L4" i="20" s="1"/>
  <c r="L5" i="20" a="1"/>
  <c r="L5" i="20" s="1"/>
  <c r="L6" i="20" a="1"/>
  <c r="L6" i="20" s="1"/>
  <c r="L7" i="20" a="1"/>
  <c r="L7" i="20"/>
  <c r="L8" i="20" a="1"/>
  <c r="L8" i="20"/>
  <c r="L3" i="20" a="1"/>
  <c r="L3" i="20" s="1"/>
  <c r="D32" i="25"/>
  <c r="G32" i="25" s="1"/>
  <c r="K32" i="25" s="1" a="1"/>
  <c r="K32" i="25" s="1"/>
  <c r="D15" i="25"/>
  <c r="H15" i="25" s="1"/>
  <c r="J6" i="25" a="1"/>
  <c r="J6" i="25" s="1"/>
  <c r="J7" i="25" a="1"/>
  <c r="J7" i="25" s="1"/>
  <c r="J8" i="25" a="1"/>
  <c r="J8" i="25" s="1"/>
  <c r="J9" i="25" a="1"/>
  <c r="J9" i="25" s="1"/>
  <c r="J10" i="25" a="1"/>
  <c r="J10" i="25" s="1"/>
  <c r="J11" i="25" a="1"/>
  <c r="J11" i="25" s="1"/>
  <c r="J12" i="25" a="1"/>
  <c r="J12" i="25" s="1"/>
  <c r="J13" i="25" a="1"/>
  <c r="J13" i="25" s="1"/>
  <c r="J14" i="25" a="1"/>
  <c r="J14" i="25" s="1"/>
  <c r="J15" i="25" a="1"/>
  <c r="J15" i="25" s="1"/>
  <c r="J16" i="25" a="1"/>
  <c r="J16" i="25" s="1"/>
  <c r="J17" i="25" a="1"/>
  <c r="J17" i="25" s="1"/>
  <c r="J18" i="25" a="1"/>
  <c r="J18" i="25" s="1"/>
  <c r="J19" i="25" a="1"/>
  <c r="J19" i="25" s="1"/>
  <c r="J20" i="25" a="1"/>
  <c r="J20" i="25" s="1"/>
  <c r="J21" i="25" a="1"/>
  <c r="J21" i="25" s="1"/>
  <c r="J22" i="25" a="1"/>
  <c r="J22" i="25" s="1"/>
  <c r="J23" i="25" a="1"/>
  <c r="J23" i="25" s="1"/>
  <c r="J24" i="25" a="1"/>
  <c r="J24" i="25" s="1"/>
  <c r="J25" i="25" a="1"/>
  <c r="J25" i="25" s="1"/>
  <c r="K25" i="25" a="1"/>
  <c r="K25" i="25" s="1"/>
  <c r="J26" i="25" a="1"/>
  <c r="J26" i="25" s="1"/>
  <c r="J27" i="25" a="1"/>
  <c r="J27" i="25" s="1"/>
  <c r="J28" i="25" a="1"/>
  <c r="J28" i="25" s="1"/>
  <c r="J29" i="25" a="1"/>
  <c r="J29" i="25" s="1"/>
  <c r="J30" i="25" a="1"/>
  <c r="J30" i="25" s="1"/>
  <c r="J31" i="25" a="1"/>
  <c r="J31" i="25" s="1"/>
  <c r="J32" i="25" a="1"/>
  <c r="J32" i="25" s="1"/>
  <c r="J33" i="25" a="1"/>
  <c r="J33" i="25" s="1"/>
  <c r="J34" i="25" a="1"/>
  <c r="J34" i="25" s="1"/>
  <c r="J35" i="25" a="1"/>
  <c r="J35" i="25" s="1"/>
  <c r="J36" i="25" a="1"/>
  <c r="J36" i="25" s="1"/>
  <c r="G6" i="25"/>
  <c r="K6" i="25" s="1" a="1"/>
  <c r="K6" i="25" s="1"/>
  <c r="G7" i="25"/>
  <c r="K7" i="25" s="1" a="1"/>
  <c r="K7" i="25" s="1"/>
  <c r="G8" i="25"/>
  <c r="K8" i="25" s="1" a="1"/>
  <c r="K8" i="25" s="1"/>
  <c r="G9" i="25"/>
  <c r="K9" i="25" s="1" a="1"/>
  <c r="K9" i="25" s="1"/>
  <c r="G10" i="25"/>
  <c r="K10" i="25" s="1" a="1"/>
  <c r="K10" i="25" s="1"/>
  <c r="B23" i="17"/>
  <c r="B24" i="17"/>
  <c r="L39" i="25" a="1"/>
  <c r="L39" i="25" s="1"/>
  <c r="K39" i="25" a="1"/>
  <c r="K39" i="25" s="1"/>
  <c r="J39" i="25" a="1"/>
  <c r="J39" i="25" s="1"/>
  <c r="H36" i="25"/>
  <c r="G36" i="25"/>
  <c r="K36" i="25" s="1" a="1"/>
  <c r="K36" i="25" s="1"/>
  <c r="B36" i="25"/>
  <c r="H35" i="25"/>
  <c r="G35" i="25"/>
  <c r="K35" i="25" s="1" a="1"/>
  <c r="K35" i="25" s="1"/>
  <c r="B35" i="25"/>
  <c r="H34" i="25"/>
  <c r="G34" i="25"/>
  <c r="K34" i="25" s="1" a="1"/>
  <c r="K34" i="25" s="1"/>
  <c r="B34" i="25"/>
  <c r="H33" i="25"/>
  <c r="G33" i="25"/>
  <c r="K33" i="25" s="1" a="1"/>
  <c r="K33" i="25" s="1"/>
  <c r="B33" i="25"/>
  <c r="B32" i="25"/>
  <c r="H31" i="25"/>
  <c r="G31" i="25"/>
  <c r="K31" i="25" s="1" a="1"/>
  <c r="K31" i="25" s="1"/>
  <c r="B31" i="25"/>
  <c r="H30" i="25"/>
  <c r="G30" i="25"/>
  <c r="K30" i="25" s="1" a="1"/>
  <c r="K30" i="25" s="1"/>
  <c r="B30" i="25"/>
  <c r="H29" i="25"/>
  <c r="G29" i="25"/>
  <c r="K29" i="25" s="1" a="1"/>
  <c r="K29" i="25" s="1"/>
  <c r="B29" i="25"/>
  <c r="H28" i="25"/>
  <c r="G28" i="25"/>
  <c r="K28" i="25" s="1" a="1"/>
  <c r="K28" i="25" s="1"/>
  <c r="B28" i="25"/>
  <c r="H27" i="25"/>
  <c r="G27" i="25"/>
  <c r="B27" i="25"/>
  <c r="H26" i="25"/>
  <c r="G26" i="25"/>
  <c r="B26" i="25"/>
  <c r="H25" i="25"/>
  <c r="B25" i="25"/>
  <c r="H24" i="25"/>
  <c r="G24" i="25"/>
  <c r="K24" i="25" s="1" a="1"/>
  <c r="K24" i="25" s="1"/>
  <c r="B24" i="25"/>
  <c r="H23" i="25"/>
  <c r="G23" i="25"/>
  <c r="K23" i="25" s="1" a="1"/>
  <c r="K23" i="25" s="1"/>
  <c r="B23" i="25"/>
  <c r="H22" i="25"/>
  <c r="G22" i="25"/>
  <c r="K22" i="25" s="1" a="1"/>
  <c r="K22" i="25" s="1"/>
  <c r="B22" i="25"/>
  <c r="H21" i="25"/>
  <c r="G21" i="25"/>
  <c r="B21" i="25"/>
  <c r="H20" i="25"/>
  <c r="G20" i="25"/>
  <c r="K20" i="25" s="1" a="1"/>
  <c r="K20" i="25" s="1"/>
  <c r="B20" i="25"/>
  <c r="H19" i="25"/>
  <c r="G19" i="25"/>
  <c r="K19" i="25" s="1" a="1"/>
  <c r="K19" i="25" s="1"/>
  <c r="B19" i="25"/>
  <c r="H18" i="25"/>
  <c r="G18" i="25"/>
  <c r="K18" i="25" s="1" a="1"/>
  <c r="K18" i="25" s="1"/>
  <c r="B18" i="25"/>
  <c r="H17" i="25"/>
  <c r="G17" i="25"/>
  <c r="K17" i="25" s="1" a="1"/>
  <c r="K17" i="25" s="1"/>
  <c r="B17" i="25"/>
  <c r="H16" i="25"/>
  <c r="G16" i="25"/>
  <c r="K16" i="25" s="1" a="1"/>
  <c r="K16" i="25" s="1"/>
  <c r="B16" i="25"/>
  <c r="B15" i="25"/>
  <c r="H14" i="25"/>
  <c r="G14" i="25"/>
  <c r="K14" i="25" s="1" a="1"/>
  <c r="K14" i="25" s="1"/>
  <c r="B14" i="25"/>
  <c r="H13" i="25"/>
  <c r="G13" i="25"/>
  <c r="K13" i="25" s="1" a="1"/>
  <c r="K13" i="25" s="1"/>
  <c r="B13" i="25"/>
  <c r="H12" i="25"/>
  <c r="G12" i="25"/>
  <c r="K12" i="25" s="1" a="1"/>
  <c r="K12" i="25" s="1"/>
  <c r="B12" i="25"/>
  <c r="H11" i="25"/>
  <c r="G11" i="25"/>
  <c r="K11" i="25" s="1" a="1"/>
  <c r="K11" i="25" s="1"/>
  <c r="B11" i="25"/>
  <c r="H10" i="25"/>
  <c r="B10" i="25"/>
  <c r="H9" i="25"/>
  <c r="B9" i="25"/>
  <c r="H8" i="25"/>
  <c r="B8" i="25"/>
  <c r="H7" i="25"/>
  <c r="B7" i="25"/>
  <c r="H6" i="25"/>
  <c r="B6" i="25"/>
  <c r="H5" i="25"/>
  <c r="G5" i="25"/>
  <c r="B5" i="25"/>
  <c r="B2" i="25"/>
  <c r="J6" i="24" a="1"/>
  <c r="J6" i="24" s="1"/>
  <c r="J7" i="24" a="1"/>
  <c r="J7" i="24" s="1"/>
  <c r="K7" i="24" a="1"/>
  <c r="K7" i="24" s="1"/>
  <c r="J8" i="24" a="1"/>
  <c r="J8" i="24" s="1"/>
  <c r="J9" i="24" a="1"/>
  <c r="J9" i="24" s="1"/>
  <c r="J10" i="24" a="1"/>
  <c r="J10" i="24" s="1"/>
  <c r="J11" i="24" a="1"/>
  <c r="J11" i="24" s="1"/>
  <c r="J12" i="24" a="1"/>
  <c r="J12" i="24" s="1"/>
  <c r="J13" i="24" a="1"/>
  <c r="J13" i="24" s="1"/>
  <c r="J14" i="24" a="1"/>
  <c r="J14" i="24" s="1"/>
  <c r="J15" i="24" a="1"/>
  <c r="J15" i="24" s="1"/>
  <c r="J16" i="24" a="1"/>
  <c r="J16" i="24" s="1"/>
  <c r="J17" i="24" a="1"/>
  <c r="J17" i="24" s="1"/>
  <c r="J18" i="24" a="1"/>
  <c r="J18" i="24" s="1"/>
  <c r="J19" i="24" a="1"/>
  <c r="J19" i="24" s="1"/>
  <c r="J20" i="24" a="1"/>
  <c r="J20" i="24" s="1"/>
  <c r="J21" i="24" a="1"/>
  <c r="J21" i="24" s="1"/>
  <c r="J22" i="24" a="1"/>
  <c r="J22" i="24" s="1"/>
  <c r="J23" i="24" a="1"/>
  <c r="J23" i="24" s="1"/>
  <c r="J24" i="24" a="1"/>
  <c r="J24" i="24" s="1"/>
  <c r="J25" i="24" a="1"/>
  <c r="J25" i="24" s="1"/>
  <c r="J26" i="24" a="1"/>
  <c r="J26" i="24" s="1"/>
  <c r="J27" i="24" a="1"/>
  <c r="J27" i="24" s="1"/>
  <c r="J28" i="24" a="1"/>
  <c r="J28" i="24" s="1"/>
  <c r="J29" i="24" a="1"/>
  <c r="J29" i="24" s="1"/>
  <c r="J30" i="24" a="1"/>
  <c r="J30" i="24" s="1"/>
  <c r="J31" i="24" a="1"/>
  <c r="J31" i="24" s="1"/>
  <c r="J32" i="24" a="1"/>
  <c r="J32" i="24" s="1"/>
  <c r="J33" i="24" a="1"/>
  <c r="J33" i="24" s="1"/>
  <c r="J34" i="24" a="1"/>
  <c r="J34" i="24" s="1"/>
  <c r="J35" i="24" a="1"/>
  <c r="J35" i="24" s="1"/>
  <c r="J36" i="24" a="1"/>
  <c r="J36" i="24" s="1"/>
  <c r="J5" i="24" a="1"/>
  <c r="J5" i="24" s="1"/>
  <c r="L39" i="24" a="1"/>
  <c r="L39" i="24" s="1"/>
  <c r="K39" i="24" a="1"/>
  <c r="K39" i="24" s="1"/>
  <c r="J39" i="24" a="1"/>
  <c r="J39" i="24" s="1"/>
  <c r="H36" i="24"/>
  <c r="G36" i="24"/>
  <c r="B36" i="24"/>
  <c r="H35" i="24"/>
  <c r="G35" i="24"/>
  <c r="K35" i="24" s="1" a="1"/>
  <c r="K35" i="24" s="1"/>
  <c r="B35" i="24"/>
  <c r="H34" i="24"/>
  <c r="G34" i="24"/>
  <c r="K34" i="24" s="1" a="1"/>
  <c r="K34" i="24" s="1"/>
  <c r="B34" i="24"/>
  <c r="H33" i="24"/>
  <c r="G33" i="24"/>
  <c r="K33" i="24" s="1" a="1"/>
  <c r="K33" i="24" s="1"/>
  <c r="B33" i="24"/>
  <c r="H32" i="24"/>
  <c r="G32" i="24"/>
  <c r="K32" i="24" s="1" a="1"/>
  <c r="K32" i="24" s="1"/>
  <c r="B32" i="24"/>
  <c r="H31" i="24"/>
  <c r="G31" i="24"/>
  <c r="K31" i="24" s="1" a="1"/>
  <c r="K31" i="24" s="1"/>
  <c r="B31" i="24"/>
  <c r="H30" i="24"/>
  <c r="G30" i="24"/>
  <c r="K30" i="24" s="1" a="1"/>
  <c r="K30" i="24" s="1"/>
  <c r="B30" i="24"/>
  <c r="H29" i="24"/>
  <c r="G29" i="24"/>
  <c r="K29" i="24" s="1" a="1"/>
  <c r="K29" i="24" s="1"/>
  <c r="B29" i="24"/>
  <c r="H28" i="24"/>
  <c r="G28" i="24"/>
  <c r="K28" i="24" s="1" a="1"/>
  <c r="K28" i="24" s="1"/>
  <c r="B28" i="24"/>
  <c r="H27" i="24"/>
  <c r="G27" i="24"/>
  <c r="B27" i="24"/>
  <c r="H26" i="24"/>
  <c r="G26" i="24"/>
  <c r="B26" i="24"/>
  <c r="H25" i="24"/>
  <c r="G25" i="24"/>
  <c r="K25" i="24" s="1" a="1"/>
  <c r="K25" i="24" s="1"/>
  <c r="B25" i="24"/>
  <c r="H24" i="24"/>
  <c r="G24" i="24"/>
  <c r="K24" i="24" s="1" a="1"/>
  <c r="K24" i="24" s="1"/>
  <c r="B24" i="24"/>
  <c r="H23" i="24"/>
  <c r="G23" i="24"/>
  <c r="K23" i="24" s="1" a="1"/>
  <c r="K23" i="24" s="1"/>
  <c r="B23" i="24"/>
  <c r="H22" i="24"/>
  <c r="G22" i="24"/>
  <c r="K22" i="24" s="1" a="1"/>
  <c r="K22" i="24" s="1"/>
  <c r="B22" i="24"/>
  <c r="H21" i="24"/>
  <c r="G21" i="24"/>
  <c r="B21" i="24"/>
  <c r="H20" i="24"/>
  <c r="G20" i="24"/>
  <c r="K20" i="24" s="1" a="1"/>
  <c r="K20" i="24" s="1"/>
  <c r="B20" i="24"/>
  <c r="H19" i="24"/>
  <c r="G19" i="24"/>
  <c r="K19" i="24" s="1" a="1"/>
  <c r="K19" i="24" s="1"/>
  <c r="B19" i="24"/>
  <c r="H18" i="24"/>
  <c r="G18" i="24"/>
  <c r="K18" i="24" s="1" a="1"/>
  <c r="K18" i="24" s="1"/>
  <c r="B18" i="24"/>
  <c r="H17" i="24"/>
  <c r="G17" i="24"/>
  <c r="K17" i="24" s="1" a="1"/>
  <c r="K17" i="24" s="1"/>
  <c r="B17" i="24"/>
  <c r="H16" i="24"/>
  <c r="G16" i="24"/>
  <c r="K16" i="24" s="1" a="1"/>
  <c r="K16" i="24" s="1"/>
  <c r="B16" i="24"/>
  <c r="H15" i="24"/>
  <c r="G15" i="24"/>
  <c r="K15" i="24" s="1" a="1"/>
  <c r="K15" i="24" s="1"/>
  <c r="B15" i="24"/>
  <c r="H14" i="24"/>
  <c r="G14" i="24"/>
  <c r="K14" i="24" s="1" a="1"/>
  <c r="K14" i="24" s="1"/>
  <c r="B14" i="24"/>
  <c r="H13" i="24"/>
  <c r="G13" i="24"/>
  <c r="K13" i="24" s="1" a="1"/>
  <c r="K13" i="24" s="1"/>
  <c r="B13" i="24"/>
  <c r="H12" i="24"/>
  <c r="G12" i="24"/>
  <c r="B12" i="24"/>
  <c r="H11" i="24"/>
  <c r="G11" i="24"/>
  <c r="K11" i="24" s="1" a="1"/>
  <c r="K11" i="24" s="1"/>
  <c r="B11" i="24"/>
  <c r="H10" i="24"/>
  <c r="G10" i="24"/>
  <c r="K10" i="24" s="1" a="1"/>
  <c r="K10" i="24" s="1"/>
  <c r="B10" i="24"/>
  <c r="H9" i="24"/>
  <c r="G9" i="24"/>
  <c r="K9" i="24" s="1" a="1"/>
  <c r="K9" i="24" s="1"/>
  <c r="B9" i="24"/>
  <c r="H8" i="24"/>
  <c r="G8" i="24"/>
  <c r="K8" i="24" s="1" a="1"/>
  <c r="K8" i="24" s="1"/>
  <c r="B8" i="24"/>
  <c r="H7" i="24"/>
  <c r="B7" i="24"/>
  <c r="H6" i="24"/>
  <c r="G6" i="24"/>
  <c r="K6" i="24" s="1" a="1"/>
  <c r="K6" i="24" s="1"/>
  <c r="B6" i="24"/>
  <c r="H5" i="24"/>
  <c r="G5" i="24"/>
  <c r="K5" i="24" s="1" a="1"/>
  <c r="K5" i="24" s="1"/>
  <c r="B5" i="24"/>
  <c r="B2" i="24"/>
  <c r="B2" i="21"/>
  <c r="J6" i="23" a="1"/>
  <c r="J6" i="23" s="1"/>
  <c r="J7" i="23" a="1"/>
  <c r="J7" i="23" s="1"/>
  <c r="K7" i="23" a="1"/>
  <c r="K7" i="23" s="1"/>
  <c r="J8" i="23" a="1"/>
  <c r="J8" i="23" s="1"/>
  <c r="J9" i="23" a="1"/>
  <c r="J9" i="23" s="1"/>
  <c r="J10" i="23" a="1"/>
  <c r="J10" i="23" s="1"/>
  <c r="J11" i="23" a="1"/>
  <c r="J11" i="23" s="1"/>
  <c r="J12" i="23" a="1"/>
  <c r="J12" i="23" s="1"/>
  <c r="J13" i="23" a="1"/>
  <c r="J13" i="23" s="1"/>
  <c r="J14" i="23" a="1"/>
  <c r="J14" i="23" s="1"/>
  <c r="J15" i="23" a="1"/>
  <c r="J15" i="23" s="1"/>
  <c r="J16" i="23" a="1"/>
  <c r="J16" i="23" s="1"/>
  <c r="J17" i="23" a="1"/>
  <c r="J17" i="23" s="1"/>
  <c r="J18" i="23" a="1"/>
  <c r="J18" i="23" s="1"/>
  <c r="J19" i="23" a="1"/>
  <c r="J19" i="23" s="1"/>
  <c r="J20" i="23" a="1"/>
  <c r="J20" i="23" s="1"/>
  <c r="J21" i="23" a="1"/>
  <c r="J21" i="23" s="1"/>
  <c r="J22" i="23" a="1"/>
  <c r="J22" i="23" s="1"/>
  <c r="J23" i="23" a="1"/>
  <c r="J23" i="23" s="1"/>
  <c r="J24" i="23" a="1"/>
  <c r="J24" i="23" s="1"/>
  <c r="J25" i="23" a="1"/>
  <c r="J25" i="23" s="1"/>
  <c r="J26" i="23" a="1"/>
  <c r="J26" i="23" s="1"/>
  <c r="J27" i="23" a="1"/>
  <c r="J27" i="23" s="1"/>
  <c r="J28" i="23" a="1"/>
  <c r="J28" i="23" s="1"/>
  <c r="J29" i="23" a="1"/>
  <c r="J29" i="23" s="1"/>
  <c r="J30" i="23" a="1"/>
  <c r="J30" i="23" s="1"/>
  <c r="J31" i="23" a="1"/>
  <c r="J31" i="23" s="1"/>
  <c r="J32" i="23" a="1"/>
  <c r="J32" i="23" s="1"/>
  <c r="J33" i="23" a="1"/>
  <c r="J33" i="23" s="1"/>
  <c r="J34" i="23" a="1"/>
  <c r="J34" i="23" s="1"/>
  <c r="J35" i="23" a="1"/>
  <c r="J35" i="23" s="1"/>
  <c r="J36" i="23" a="1"/>
  <c r="J36" i="23" s="1"/>
  <c r="J5" i="23" a="1"/>
  <c r="J5" i="23" s="1"/>
  <c r="B2" i="22"/>
  <c r="L39" i="23" a="1"/>
  <c r="L39" i="23" s="1"/>
  <c r="K39" i="23" a="1"/>
  <c r="K39" i="23" s="1"/>
  <c r="J39" i="23" a="1"/>
  <c r="J39" i="23" s="1"/>
  <c r="H36" i="23"/>
  <c r="G36" i="23"/>
  <c r="K36" i="23" s="1" a="1"/>
  <c r="K36" i="23" s="1"/>
  <c r="B36" i="23"/>
  <c r="H35" i="23"/>
  <c r="G35" i="23"/>
  <c r="K35" i="23" s="1" a="1"/>
  <c r="K35" i="23" s="1"/>
  <c r="B35" i="23"/>
  <c r="H34" i="23"/>
  <c r="G34" i="23"/>
  <c r="K34" i="23" s="1" a="1"/>
  <c r="K34" i="23" s="1"/>
  <c r="B34" i="23"/>
  <c r="H33" i="23"/>
  <c r="G33" i="23"/>
  <c r="K33" i="23" s="1" a="1"/>
  <c r="K33" i="23" s="1"/>
  <c r="B33" i="23"/>
  <c r="H32" i="23"/>
  <c r="G32" i="23"/>
  <c r="K32" i="23" s="1" a="1"/>
  <c r="K32" i="23" s="1"/>
  <c r="B32" i="23"/>
  <c r="H31" i="23"/>
  <c r="G31" i="23"/>
  <c r="K31" i="23" s="1" a="1"/>
  <c r="K31" i="23" s="1"/>
  <c r="B31" i="23"/>
  <c r="H30" i="23"/>
  <c r="G30" i="23"/>
  <c r="K30" i="23" s="1" a="1"/>
  <c r="K30" i="23" s="1"/>
  <c r="B30" i="23"/>
  <c r="H29" i="23"/>
  <c r="G29" i="23"/>
  <c r="K29" i="23" s="1" a="1"/>
  <c r="K29" i="23" s="1"/>
  <c r="B29" i="23"/>
  <c r="H28" i="23"/>
  <c r="G28" i="23"/>
  <c r="K28" i="23" s="1" a="1"/>
  <c r="K28" i="23" s="1"/>
  <c r="B28" i="23"/>
  <c r="H27" i="23"/>
  <c r="G27" i="23"/>
  <c r="B27" i="23"/>
  <c r="H26" i="23"/>
  <c r="G26" i="23"/>
  <c r="B26" i="23"/>
  <c r="H25" i="23"/>
  <c r="G25" i="23"/>
  <c r="K25" i="23" s="1" a="1"/>
  <c r="K25" i="23" s="1"/>
  <c r="B25" i="23"/>
  <c r="H24" i="23"/>
  <c r="G24" i="23"/>
  <c r="K24" i="23" s="1" a="1"/>
  <c r="K24" i="23" s="1"/>
  <c r="B24" i="23"/>
  <c r="H23" i="23"/>
  <c r="G23" i="23"/>
  <c r="K23" i="23" s="1" a="1"/>
  <c r="K23" i="23" s="1"/>
  <c r="B23" i="23"/>
  <c r="H22" i="23"/>
  <c r="G22" i="23"/>
  <c r="K22" i="23" s="1" a="1"/>
  <c r="K22" i="23" s="1"/>
  <c r="B22" i="23"/>
  <c r="H21" i="23"/>
  <c r="G21" i="23"/>
  <c r="B21" i="23"/>
  <c r="H20" i="23"/>
  <c r="G20" i="23"/>
  <c r="K20" i="23" s="1" a="1"/>
  <c r="K20" i="23" s="1"/>
  <c r="B20" i="23"/>
  <c r="H19" i="23"/>
  <c r="G19" i="23"/>
  <c r="K19" i="23" s="1" a="1"/>
  <c r="K19" i="23" s="1"/>
  <c r="B19" i="23"/>
  <c r="H18" i="23"/>
  <c r="G18" i="23"/>
  <c r="K18" i="23" s="1" a="1"/>
  <c r="K18" i="23" s="1"/>
  <c r="B18" i="23"/>
  <c r="H17" i="23"/>
  <c r="G17" i="23"/>
  <c r="K17" i="23" s="1" a="1"/>
  <c r="K17" i="23" s="1"/>
  <c r="B17" i="23"/>
  <c r="H16" i="23"/>
  <c r="G16" i="23"/>
  <c r="K16" i="23" s="1" a="1"/>
  <c r="K16" i="23" s="1"/>
  <c r="B16" i="23"/>
  <c r="H15" i="23"/>
  <c r="G15" i="23"/>
  <c r="K15" i="23" s="1" a="1"/>
  <c r="K15" i="23" s="1"/>
  <c r="B15" i="23"/>
  <c r="H14" i="23"/>
  <c r="G14" i="23"/>
  <c r="K14" i="23" s="1" a="1"/>
  <c r="K14" i="23" s="1"/>
  <c r="B14" i="23"/>
  <c r="H13" i="23"/>
  <c r="G13" i="23"/>
  <c r="K13" i="23" s="1" a="1"/>
  <c r="K13" i="23" s="1"/>
  <c r="B13" i="23"/>
  <c r="H12" i="23"/>
  <c r="G12" i="23"/>
  <c r="K12" i="23" s="1" a="1"/>
  <c r="K12" i="23" s="1"/>
  <c r="B12" i="23"/>
  <c r="H11" i="23"/>
  <c r="G11" i="23"/>
  <c r="K11" i="23" s="1" a="1"/>
  <c r="K11" i="23" s="1"/>
  <c r="B11" i="23"/>
  <c r="H10" i="23"/>
  <c r="G10" i="23"/>
  <c r="K10" i="23" s="1" a="1"/>
  <c r="K10" i="23" s="1"/>
  <c r="B10" i="23"/>
  <c r="H9" i="23"/>
  <c r="G9" i="23"/>
  <c r="K9" i="23" s="1" a="1"/>
  <c r="K9" i="23" s="1"/>
  <c r="B9" i="23"/>
  <c r="H8" i="23"/>
  <c r="G8" i="23"/>
  <c r="K8" i="23" s="1" a="1"/>
  <c r="K8" i="23" s="1"/>
  <c r="B8" i="23"/>
  <c r="H7" i="23"/>
  <c r="B7" i="23"/>
  <c r="H6" i="23"/>
  <c r="G6" i="23"/>
  <c r="K6" i="23" s="1" a="1"/>
  <c r="K6" i="23" s="1"/>
  <c r="B6" i="23"/>
  <c r="H5" i="23"/>
  <c r="G5" i="23"/>
  <c r="K5" i="23" s="1" a="1"/>
  <c r="K5" i="23" s="1"/>
  <c r="B5" i="23"/>
  <c r="G31" i="22"/>
  <c r="K31" i="22" s="1" a="1"/>
  <c r="K31" i="22" s="1"/>
  <c r="G32" i="22"/>
  <c r="K32" i="22" s="1" a="1"/>
  <c r="K32" i="22" s="1"/>
  <c r="G33" i="22"/>
  <c r="K33" i="22" s="1" a="1"/>
  <c r="K33" i="22" s="1"/>
  <c r="G34" i="22"/>
  <c r="K34" i="22" s="1" a="1"/>
  <c r="K34" i="22" s="1"/>
  <c r="G35" i="22"/>
  <c r="K35" i="22" s="1" a="1"/>
  <c r="K35" i="22" s="1"/>
  <c r="G24" i="22"/>
  <c r="K24" i="22" s="1" a="1"/>
  <c r="K24" i="22" s="1"/>
  <c r="G25" i="22"/>
  <c r="K25" i="22" s="1" a="1"/>
  <c r="K25" i="22" s="1"/>
  <c r="G26" i="22"/>
  <c r="J6" i="22" a="1"/>
  <c r="J6" i="22" s="1"/>
  <c r="J7" i="22" a="1"/>
  <c r="J7" i="22" s="1"/>
  <c r="K7" i="22" a="1"/>
  <c r="K7" i="22" s="1"/>
  <c r="J8" i="22" a="1"/>
  <c r="J8" i="22" s="1"/>
  <c r="J9" i="22" a="1"/>
  <c r="J9" i="22" s="1"/>
  <c r="J10" i="22" a="1"/>
  <c r="J10" i="22" s="1"/>
  <c r="J11" i="22" a="1"/>
  <c r="J11" i="22" s="1"/>
  <c r="J12" i="22" a="1"/>
  <c r="J12" i="22" s="1"/>
  <c r="J13" i="22" a="1"/>
  <c r="J13" i="22" s="1"/>
  <c r="J14" i="22" a="1"/>
  <c r="J14" i="22" s="1"/>
  <c r="J15" i="22" a="1"/>
  <c r="J15" i="22" s="1"/>
  <c r="J16" i="22" a="1"/>
  <c r="J16" i="22" s="1"/>
  <c r="J17" i="22" a="1"/>
  <c r="J17" i="22" s="1"/>
  <c r="J18" i="22" a="1"/>
  <c r="J18" i="22" s="1"/>
  <c r="J19" i="22" a="1"/>
  <c r="J19" i="22" s="1"/>
  <c r="J20" i="22" a="1"/>
  <c r="J20" i="22" s="1"/>
  <c r="J21" i="22" a="1"/>
  <c r="J21" i="22" s="1"/>
  <c r="J22" i="22" a="1"/>
  <c r="J22" i="22" s="1"/>
  <c r="J23" i="22" a="1"/>
  <c r="J23" i="22" s="1"/>
  <c r="J24" i="22" a="1"/>
  <c r="J24" i="22" s="1"/>
  <c r="J25" i="22" a="1"/>
  <c r="J25" i="22" s="1"/>
  <c r="J26" i="22" a="1"/>
  <c r="J26" i="22" s="1"/>
  <c r="J27" i="22" a="1"/>
  <c r="J27" i="22" s="1"/>
  <c r="J28" i="22" a="1"/>
  <c r="J28" i="22" s="1"/>
  <c r="J29" i="22" a="1"/>
  <c r="J29" i="22" s="1"/>
  <c r="J30" i="22" a="1"/>
  <c r="J30" i="22" s="1"/>
  <c r="J31" i="22" a="1"/>
  <c r="J31" i="22" s="1"/>
  <c r="J32" i="22" a="1"/>
  <c r="J32" i="22" s="1"/>
  <c r="J33" i="22" a="1"/>
  <c r="J33" i="22" s="1"/>
  <c r="J34" i="22" a="1"/>
  <c r="J34" i="22" s="1"/>
  <c r="J35" i="22" a="1"/>
  <c r="J35" i="22" s="1"/>
  <c r="J5" i="22" a="1"/>
  <c r="J5" i="22" s="1"/>
  <c r="L39" i="22" a="1"/>
  <c r="L39" i="22" s="1"/>
  <c r="K39" i="22" a="1"/>
  <c r="K39" i="22" s="1"/>
  <c r="J39" i="22" a="1"/>
  <c r="J39" i="22" s="1"/>
  <c r="J36" i="22" a="1"/>
  <c r="J36" i="22" s="1"/>
  <c r="H36" i="22"/>
  <c r="G36" i="22"/>
  <c r="K36" i="22" s="1" a="1"/>
  <c r="K36" i="22" s="1"/>
  <c r="B36" i="22"/>
  <c r="H35" i="22"/>
  <c r="B35" i="22"/>
  <c r="H34" i="22"/>
  <c r="B34" i="22"/>
  <c r="H33" i="22"/>
  <c r="B33" i="22"/>
  <c r="H32" i="22"/>
  <c r="B32" i="22"/>
  <c r="H31" i="22"/>
  <c r="B31" i="22"/>
  <c r="H30" i="22"/>
  <c r="G30" i="22"/>
  <c r="K30" i="22" s="1" a="1"/>
  <c r="K30" i="22" s="1"/>
  <c r="B30" i="22"/>
  <c r="H29" i="22"/>
  <c r="G29" i="22"/>
  <c r="K29" i="22" s="1" a="1"/>
  <c r="K29" i="22" s="1"/>
  <c r="B29" i="22"/>
  <c r="H28" i="22"/>
  <c r="G28" i="22"/>
  <c r="B28" i="22"/>
  <c r="H27" i="22"/>
  <c r="G27" i="22"/>
  <c r="B27" i="22"/>
  <c r="H26" i="22"/>
  <c r="B26" i="22"/>
  <c r="H25" i="22"/>
  <c r="B25" i="22"/>
  <c r="H24" i="22"/>
  <c r="B24" i="22"/>
  <c r="H23" i="22"/>
  <c r="G23" i="22"/>
  <c r="K23" i="22" s="1" a="1"/>
  <c r="K23" i="22" s="1"/>
  <c r="B23" i="22"/>
  <c r="H22" i="22"/>
  <c r="G22" i="22"/>
  <c r="K22" i="22" s="1" a="1"/>
  <c r="K22" i="22" s="1"/>
  <c r="B22" i="22"/>
  <c r="H21" i="22"/>
  <c r="G21" i="22"/>
  <c r="B21" i="22"/>
  <c r="H20" i="22"/>
  <c r="G20" i="22"/>
  <c r="K20" i="22" s="1" a="1"/>
  <c r="K20" i="22" s="1"/>
  <c r="B20" i="22"/>
  <c r="H19" i="22"/>
  <c r="G19" i="22"/>
  <c r="K19" i="22" s="1" a="1"/>
  <c r="K19" i="22" s="1"/>
  <c r="B19" i="22"/>
  <c r="H18" i="22"/>
  <c r="G18" i="22"/>
  <c r="K18" i="22" s="1" a="1"/>
  <c r="K18" i="22" s="1"/>
  <c r="B18" i="22"/>
  <c r="H17" i="22"/>
  <c r="G17" i="22"/>
  <c r="K17" i="22" s="1" a="1"/>
  <c r="K17" i="22" s="1"/>
  <c r="B17" i="22"/>
  <c r="H16" i="22"/>
  <c r="G16" i="22"/>
  <c r="K16" i="22" s="1" a="1"/>
  <c r="K16" i="22" s="1"/>
  <c r="B16" i="22"/>
  <c r="H15" i="22"/>
  <c r="G15" i="22"/>
  <c r="K15" i="22" s="1" a="1"/>
  <c r="K15" i="22" s="1"/>
  <c r="B15" i="22"/>
  <c r="H14" i="22"/>
  <c r="G14" i="22"/>
  <c r="K14" i="22" s="1" a="1"/>
  <c r="K14" i="22" s="1"/>
  <c r="B14" i="22"/>
  <c r="H13" i="22"/>
  <c r="G13" i="22"/>
  <c r="K13" i="22" s="1" a="1"/>
  <c r="K13" i="22" s="1"/>
  <c r="B13" i="22"/>
  <c r="H12" i="22"/>
  <c r="G12" i="22"/>
  <c r="K12" i="22" s="1" a="1"/>
  <c r="K12" i="22" s="1"/>
  <c r="B12" i="22"/>
  <c r="H11" i="22"/>
  <c r="G11" i="22"/>
  <c r="K11" i="22" s="1" a="1"/>
  <c r="K11" i="22" s="1"/>
  <c r="B11" i="22"/>
  <c r="H10" i="22"/>
  <c r="G10" i="22"/>
  <c r="K10" i="22" s="1" a="1"/>
  <c r="K10" i="22" s="1"/>
  <c r="B10" i="22"/>
  <c r="H9" i="22"/>
  <c r="G9" i="22"/>
  <c r="K9" i="22" s="1" a="1"/>
  <c r="K9" i="22" s="1"/>
  <c r="B9" i="22"/>
  <c r="H8" i="22"/>
  <c r="G8" i="22"/>
  <c r="K8" i="22" s="1" a="1"/>
  <c r="K8" i="22" s="1"/>
  <c r="B8" i="22"/>
  <c r="H7" i="22"/>
  <c r="B7" i="22"/>
  <c r="H6" i="22"/>
  <c r="G6" i="22"/>
  <c r="K6" i="22" s="1" a="1"/>
  <c r="K6" i="22" s="1"/>
  <c r="B6" i="22"/>
  <c r="H5" i="22"/>
  <c r="G5" i="22"/>
  <c r="K5" i="22" s="1" a="1"/>
  <c r="K5" i="22" s="1"/>
  <c r="B5" i="22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7" i="21"/>
  <c r="B8" i="21"/>
  <c r="B9" i="21"/>
  <c r="B10" i="21"/>
  <c r="B11" i="21"/>
  <c r="B12" i="21"/>
  <c r="B13" i="21"/>
  <c r="B14" i="21"/>
  <c r="B15" i="21"/>
  <c r="B16" i="21"/>
  <c r="B17" i="21"/>
  <c r="B6" i="21"/>
  <c r="B5" i="21"/>
  <c r="G6" i="21"/>
  <c r="K6" i="21" s="1" a="1"/>
  <c r="K6" i="21" s="1"/>
  <c r="G8" i="21"/>
  <c r="K8" i="21" s="1" a="1"/>
  <c r="K8" i="21" s="1"/>
  <c r="G9" i="21"/>
  <c r="K9" i="21" s="1" a="1"/>
  <c r="K9" i="21" s="1"/>
  <c r="G10" i="21"/>
  <c r="G11" i="21"/>
  <c r="G12" i="21"/>
  <c r="K12" i="21" s="1" a="1"/>
  <c r="K12" i="21" s="1"/>
  <c r="G13" i="21"/>
  <c r="G14" i="21"/>
  <c r="K14" i="21" s="1" a="1"/>
  <c r="K14" i="21" s="1"/>
  <c r="G15" i="21"/>
  <c r="K15" i="21" s="1" a="1"/>
  <c r="K15" i="21" s="1"/>
  <c r="G16" i="21"/>
  <c r="G17" i="21"/>
  <c r="K17" i="21" s="1" a="1"/>
  <c r="K17" i="21" s="1"/>
  <c r="G18" i="21"/>
  <c r="K18" i="21" s="1" a="1"/>
  <c r="K18" i="21" s="1"/>
  <c r="G19" i="21"/>
  <c r="G20" i="21"/>
  <c r="K20" i="21" s="1" a="1"/>
  <c r="K20" i="21" s="1"/>
  <c r="G21" i="21"/>
  <c r="G22" i="21"/>
  <c r="K22" i="21" s="1" a="1"/>
  <c r="K22" i="21" s="1"/>
  <c r="G23" i="21"/>
  <c r="G24" i="21"/>
  <c r="K24" i="21" s="1" a="1"/>
  <c r="K24" i="21" s="1"/>
  <c r="K25" i="21" a="1"/>
  <c r="K25" i="21" s="1"/>
  <c r="G27" i="21"/>
  <c r="G28" i="21"/>
  <c r="K28" i="21" s="1" a="1"/>
  <c r="K28" i="21" s="1"/>
  <c r="G29" i="21"/>
  <c r="K29" i="21" s="1" a="1"/>
  <c r="K29" i="21" s="1"/>
  <c r="G30" i="21"/>
  <c r="K30" i="21" s="1" a="1"/>
  <c r="K30" i="21" s="1"/>
  <c r="G31" i="21"/>
  <c r="K31" i="21" s="1" a="1"/>
  <c r="K31" i="21" s="1"/>
  <c r="G32" i="21"/>
  <c r="K32" i="21" s="1" a="1"/>
  <c r="K32" i="21" s="1"/>
  <c r="G33" i="21"/>
  <c r="K33" i="21" s="1" a="1"/>
  <c r="K33" i="21" s="1"/>
  <c r="G34" i="21"/>
  <c r="K34" i="21" s="1" a="1"/>
  <c r="K34" i="21" s="1"/>
  <c r="G35" i="21"/>
  <c r="K35" i="21" s="1" a="1"/>
  <c r="K35" i="21" s="1"/>
  <c r="G36" i="21"/>
  <c r="K36" i="21" s="1" a="1"/>
  <c r="K36" i="21" s="1"/>
  <c r="G5" i="21"/>
  <c r="K5" i="21" s="1" a="1"/>
  <c r="K5" i="21" s="1"/>
  <c r="K7" i="21" a="1"/>
  <c r="K7" i="21" s="1"/>
  <c r="J6" i="21" a="1"/>
  <c r="J6" i="21" s="1"/>
  <c r="J7" i="21" a="1"/>
  <c r="J7" i="21" s="1"/>
  <c r="J8" i="21" a="1"/>
  <c r="J8" i="21" s="1"/>
  <c r="J9" i="21" a="1"/>
  <c r="J9" i="21" s="1"/>
  <c r="J10" i="21" a="1"/>
  <c r="J10" i="21" s="1"/>
  <c r="J11" i="21" a="1"/>
  <c r="J11" i="21" s="1"/>
  <c r="J12" i="21" a="1"/>
  <c r="J12" i="21" s="1"/>
  <c r="J13" i="21" a="1"/>
  <c r="J13" i="21" s="1"/>
  <c r="J14" i="21" a="1"/>
  <c r="J14" i="21" s="1"/>
  <c r="J15" i="21" a="1"/>
  <c r="J15" i="21" s="1"/>
  <c r="J16" i="21" a="1"/>
  <c r="J16" i="21" s="1"/>
  <c r="J17" i="21" a="1"/>
  <c r="J17" i="21" s="1"/>
  <c r="J18" i="21" a="1"/>
  <c r="J18" i="21" s="1"/>
  <c r="J19" i="21" a="1"/>
  <c r="J19" i="21" s="1"/>
  <c r="J20" i="21" a="1"/>
  <c r="J20" i="21" s="1"/>
  <c r="J21" i="21" a="1"/>
  <c r="J21" i="21" s="1"/>
  <c r="J22" i="21" a="1"/>
  <c r="J22" i="21" s="1"/>
  <c r="J23" i="21" a="1"/>
  <c r="J23" i="21" s="1"/>
  <c r="J24" i="21" a="1"/>
  <c r="J24" i="21" s="1"/>
  <c r="J25" i="21" a="1"/>
  <c r="J25" i="21" s="1"/>
  <c r="J26" i="21" a="1"/>
  <c r="J26" i="21" s="1"/>
  <c r="J27" i="21" a="1"/>
  <c r="J27" i="21" s="1"/>
  <c r="J28" i="21" a="1"/>
  <c r="J28" i="21" s="1"/>
  <c r="J29" i="21" a="1"/>
  <c r="J29" i="21" s="1"/>
  <c r="J30" i="21" a="1"/>
  <c r="J30" i="21" s="1"/>
  <c r="J31" i="21" a="1"/>
  <c r="J31" i="21" s="1"/>
  <c r="J32" i="21" a="1"/>
  <c r="J32" i="21" s="1"/>
  <c r="J33" i="21" a="1"/>
  <c r="J33" i="21" s="1"/>
  <c r="J34" i="21" a="1"/>
  <c r="J34" i="21" s="1"/>
  <c r="J35" i="21" a="1"/>
  <c r="J35" i="21" s="1"/>
  <c r="J36" i="21" a="1"/>
  <c r="J36" i="21" s="1"/>
  <c r="J5" i="21" a="1"/>
  <c r="J5" i="21" s="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5" i="21"/>
  <c r="L39" i="21" a="1"/>
  <c r="L39" i="21" s="1"/>
  <c r="K39" i="21" a="1"/>
  <c r="K39" i="21" s="1"/>
  <c r="J39" i="21" a="1"/>
  <c r="J39" i="21" s="1"/>
  <c r="J9" i="20" a="1"/>
  <c r="J9" i="20" s="1"/>
  <c r="K9" i="20" a="1"/>
  <c r="K9" i="20" s="1"/>
  <c r="L9" i="20" a="1"/>
  <c r="L9" i="20" s="1"/>
  <c r="J7" i="20" a="1"/>
  <c r="J7" i="20" s="1"/>
  <c r="K4" i="20" a="1"/>
  <c r="K4" i="20" s="1"/>
  <c r="K5" i="20" a="1"/>
  <c r="K5" i="20" s="1"/>
  <c r="J4" i="20" a="1"/>
  <c r="J4" i="20" s="1"/>
  <c r="J5" i="20" a="1"/>
  <c r="J5" i="20" s="1"/>
  <c r="J6" i="20" a="1"/>
  <c r="J6" i="20" s="1"/>
  <c r="J8" i="20" a="1"/>
  <c r="J8" i="20" s="1"/>
  <c r="K3" i="20" a="1"/>
  <c r="K3" i="20" s="1"/>
  <c r="J3" i="20" a="1"/>
  <c r="J3" i="20" s="1"/>
  <c r="J13" i="17"/>
  <c r="J5" i="17"/>
  <c r="J14" i="17"/>
  <c r="J10" i="17"/>
  <c r="J11" i="17"/>
  <c r="J12" i="17"/>
  <c r="J15" i="17"/>
  <c r="J16" i="17"/>
  <c r="J9" i="17"/>
  <c r="J6" i="17"/>
  <c r="J8" i="17"/>
  <c r="J7" i="17"/>
  <c r="J17" i="17"/>
  <c r="J18" i="17"/>
  <c r="J20" i="17"/>
  <c r="J21" i="17"/>
  <c r="J24" i="17"/>
  <c r="J23" i="17"/>
  <c r="J19" i="17"/>
  <c r="J25" i="17"/>
  <c r="J22" i="17"/>
  <c r="J26" i="17"/>
  <c r="J27" i="17"/>
  <c r="J46" i="17"/>
  <c r="J41" i="17"/>
  <c r="J43" i="17"/>
  <c r="J44" i="17"/>
  <c r="J45" i="17"/>
  <c r="J51" i="17"/>
  <c r="J52" i="17"/>
  <c r="J42" i="17"/>
  <c r="J28" i="17"/>
  <c r="J34" i="17"/>
  <c r="J29" i="17"/>
  <c r="J35" i="17"/>
  <c r="J31" i="17"/>
  <c r="J32" i="17"/>
  <c r="J33" i="17"/>
  <c r="J36" i="17"/>
  <c r="J37" i="17"/>
  <c r="J30" i="17"/>
  <c r="J38" i="17"/>
  <c r="J40" i="17"/>
  <c r="J39" i="17"/>
  <c r="J47" i="17"/>
  <c r="J53" i="17"/>
  <c r="J48" i="17"/>
  <c r="J50" i="17"/>
  <c r="J49" i="17"/>
  <c r="J54" i="17"/>
  <c r="J55" i="17"/>
  <c r="J56" i="17"/>
  <c r="J61" i="17"/>
  <c r="J68" i="17"/>
  <c r="J66" i="17"/>
  <c r="J62" i="17"/>
  <c r="J69" i="17"/>
  <c r="J67" i="17"/>
  <c r="J64" i="17"/>
  <c r="J65" i="17"/>
  <c r="J70" i="17"/>
  <c r="J63" i="17"/>
  <c r="J71" i="17"/>
  <c r="J84" i="17"/>
  <c r="J88" i="17"/>
  <c r="J89" i="17"/>
  <c r="J72" i="17"/>
  <c r="J80" i="17"/>
  <c r="J73" i="17"/>
  <c r="J78" i="17"/>
  <c r="J79" i="17"/>
  <c r="J81" i="17"/>
  <c r="J74" i="17"/>
  <c r="J75" i="17"/>
  <c r="J76" i="17"/>
  <c r="J77" i="17"/>
  <c r="J82" i="17"/>
  <c r="J83" i="17"/>
  <c r="J85" i="17"/>
  <c r="J87" i="17"/>
  <c r="J86" i="17"/>
  <c r="J57" i="17"/>
  <c r="J58" i="17"/>
  <c r="J59" i="17"/>
  <c r="J60" i="17"/>
  <c r="J4" i="17"/>
  <c r="E9" i="20"/>
  <c r="B22" i="18"/>
  <c r="B21" i="18"/>
  <c r="B20" i="18"/>
  <c r="B2" i="23" l="1"/>
  <c r="E36" i="23"/>
  <c r="E36" i="24"/>
  <c r="E28" i="22"/>
  <c r="E12" i="23"/>
  <c r="K36" i="24" a="1"/>
  <c r="K36" i="24" s="1"/>
  <c r="H32" i="25"/>
  <c r="E12" i="24"/>
  <c r="E20" i="22"/>
  <c r="E20" i="23"/>
  <c r="E25" i="23"/>
  <c r="E12" i="22"/>
  <c r="E36" i="22"/>
  <c r="K12" i="24" a="1"/>
  <c r="K12" i="24" s="1"/>
  <c r="K28" i="22" a="1"/>
  <c r="K28" i="22" s="1"/>
  <c r="E28" i="23"/>
  <c r="G15" i="25"/>
  <c r="K15" i="25" s="1" a="1"/>
  <c r="K15" i="25" s="1"/>
  <c r="E20" i="24"/>
  <c r="E19" i="24"/>
  <c r="E32" i="21"/>
  <c r="E7" i="24"/>
  <c r="E33" i="25"/>
  <c r="E9" i="25"/>
  <c r="E35" i="25"/>
  <c r="E30" i="25"/>
  <c r="E18" i="25"/>
  <c r="E14" i="25"/>
  <c r="E17" i="25"/>
  <c r="E8" i="24"/>
  <c r="E10" i="25"/>
  <c r="E13" i="25"/>
  <c r="E7" i="25"/>
  <c r="E22" i="25"/>
  <c r="E25" i="25"/>
  <c r="E29" i="25"/>
  <c r="E12" i="25"/>
  <c r="E20" i="25"/>
  <c r="E28" i="25"/>
  <c r="E36" i="25"/>
  <c r="E34" i="25"/>
  <c r="E5" i="25"/>
  <c r="E31" i="25"/>
  <c r="E23" i="25"/>
  <c r="E6" i="25"/>
  <c r="E11" i="25"/>
  <c r="E19" i="25"/>
  <c r="E8" i="25"/>
  <c r="E16" i="25"/>
  <c r="E24" i="25"/>
  <c r="E6" i="24"/>
  <c r="E24" i="24"/>
  <c r="E5" i="24"/>
  <c r="E29" i="24"/>
  <c r="E32" i="24"/>
  <c r="E35" i="24"/>
  <c r="E22" i="24"/>
  <c r="E18" i="24"/>
  <c r="E30" i="24"/>
  <c r="E17" i="24"/>
  <c r="E33" i="24"/>
  <c r="E9" i="24"/>
  <c r="E31" i="24"/>
  <c r="E25" i="24"/>
  <c r="E11" i="24"/>
  <c r="E14" i="24"/>
  <c r="E13" i="24"/>
  <c r="E16" i="24"/>
  <c r="E28" i="24"/>
  <c r="E10" i="24"/>
  <c r="E34" i="24"/>
  <c r="E15" i="24"/>
  <c r="E23" i="24"/>
  <c r="E7" i="23"/>
  <c r="E34" i="21"/>
  <c r="E33" i="21"/>
  <c r="E33" i="23"/>
  <c r="E32" i="23"/>
  <c r="E9" i="23"/>
  <c r="E13" i="23"/>
  <c r="E10" i="23"/>
  <c r="E29" i="23"/>
  <c r="E5" i="23"/>
  <c r="E35" i="23"/>
  <c r="E17" i="23"/>
  <c r="E16" i="23"/>
  <c r="E19" i="23"/>
  <c r="E6" i="23"/>
  <c r="E8" i="23"/>
  <c r="E24" i="23"/>
  <c r="E11" i="23"/>
  <c r="E18" i="23"/>
  <c r="E34" i="23"/>
  <c r="E31" i="23"/>
  <c r="E15" i="23"/>
  <c r="E23" i="23"/>
  <c r="E14" i="23"/>
  <c r="E22" i="23"/>
  <c r="E30" i="23"/>
  <c r="E16" i="22"/>
  <c r="E15" i="22"/>
  <c r="E29" i="22"/>
  <c r="E7" i="22"/>
  <c r="E25" i="21"/>
  <c r="E34" i="22"/>
  <c r="E23" i="22"/>
  <c r="E18" i="22"/>
  <c r="E17" i="22"/>
  <c r="E6" i="22"/>
  <c r="E9" i="22"/>
  <c r="E33" i="22"/>
  <c r="E30" i="22"/>
  <c r="E32" i="22"/>
  <c r="E19" i="22"/>
  <c r="E14" i="22"/>
  <c r="E35" i="22"/>
  <c r="E24" i="22"/>
  <c r="E31" i="22"/>
  <c r="E22" i="22"/>
  <c r="E25" i="22"/>
  <c r="E5" i="22"/>
  <c r="E11" i="22"/>
  <c r="E10" i="22"/>
  <c r="E8" i="22"/>
  <c r="E13" i="22"/>
  <c r="E29" i="21"/>
  <c r="E24" i="21"/>
  <c r="E22" i="21"/>
  <c r="E35" i="21"/>
  <c r="E31" i="21"/>
  <c r="E28" i="21"/>
  <c r="E30" i="21"/>
  <c r="E12" i="21"/>
  <c r="K23" i="21" a="1"/>
  <c r="K23" i="21" s="1"/>
  <c r="E23" i="21" s="1"/>
  <c r="E14" i="21"/>
  <c r="K13" i="21" a="1"/>
  <c r="K13" i="21" s="1"/>
  <c r="E13" i="21" s="1"/>
  <c r="K11" i="21" a="1"/>
  <c r="K11" i="21" s="1"/>
  <c r="E11" i="21" s="1"/>
  <c r="K10" i="21" a="1"/>
  <c r="K10" i="21" s="1"/>
  <c r="E10" i="21" s="1"/>
  <c r="E9" i="21"/>
  <c r="E8" i="21"/>
  <c r="E15" i="21"/>
  <c r="K16" i="21" a="1"/>
  <c r="K16" i="21" s="1"/>
  <c r="E16" i="21" s="1"/>
  <c r="K19" i="21" a="1"/>
  <c r="K19" i="21" s="1"/>
  <c r="E19" i="21" s="1"/>
  <c r="E17" i="21"/>
  <c r="E6" i="21"/>
  <c r="E7" i="21"/>
  <c r="E18" i="21"/>
  <c r="E5" i="21"/>
  <c r="E5" i="20"/>
  <c r="E4" i="20"/>
  <c r="E3" i="20"/>
  <c r="B21" i="17"/>
  <c r="A20" i="17"/>
  <c r="A21" i="17"/>
  <c r="N20" i="17"/>
  <c r="N21" i="17"/>
  <c r="A24" i="17"/>
  <c r="A23" i="17"/>
  <c r="N24" i="17"/>
  <c r="N23" i="17"/>
  <c r="D60" i="2" a="1"/>
  <c r="D60" i="2" s="1"/>
  <c r="D61" i="2" a="1"/>
  <c r="D61" i="2" s="1"/>
  <c r="D58" i="2"/>
  <c r="D10" i="2"/>
  <c r="D3" i="2" a="1"/>
  <c r="D3" i="2" s="1"/>
  <c r="D4" i="2" a="1"/>
  <c r="D4" i="2" s="1"/>
  <c r="D5" i="2" a="1"/>
  <c r="D5" i="2" s="1"/>
  <c r="D6" i="2" a="1"/>
  <c r="D6" i="2" s="1"/>
  <c r="D7" i="2" a="1"/>
  <c r="D7" i="2" s="1"/>
  <c r="D8" i="2" a="1"/>
  <c r="D8" i="2" s="1"/>
  <c r="D11" i="2" a="1"/>
  <c r="D11" i="2" s="1"/>
  <c r="D13" i="2" a="1"/>
  <c r="D13" i="2" s="1"/>
  <c r="D14" i="2" a="1"/>
  <c r="D14" i="2" s="1"/>
  <c r="D15" i="2" a="1"/>
  <c r="D15" i="2" s="1"/>
  <c r="D16" i="2" a="1"/>
  <c r="D16" i="2" s="1"/>
  <c r="D17" i="2" a="1"/>
  <c r="D17" i="2" s="1"/>
  <c r="D18" i="2" a="1"/>
  <c r="D18" i="2" s="1"/>
  <c r="D19" i="2" a="1"/>
  <c r="D19" i="2" s="1"/>
  <c r="D20" i="2" a="1"/>
  <c r="D20" i="2" s="1"/>
  <c r="D21" i="2" a="1"/>
  <c r="D21" i="2" s="1"/>
  <c r="D22" i="2" a="1"/>
  <c r="D22" i="2" s="1"/>
  <c r="D24" i="2" a="1"/>
  <c r="D24" i="2" s="1"/>
  <c r="D25" i="2" a="1"/>
  <c r="D25" i="2" s="1"/>
  <c r="D26" i="2" a="1"/>
  <c r="D26" i="2" s="1"/>
  <c r="D27" i="2" a="1"/>
  <c r="D27" i="2" s="1"/>
  <c r="D28" i="2" a="1"/>
  <c r="D28" i="2" s="1"/>
  <c r="D29" i="2" a="1"/>
  <c r="D29" i="2" s="1"/>
  <c r="D30" i="2" a="1"/>
  <c r="D30" i="2" s="1"/>
  <c r="D31" i="2" a="1"/>
  <c r="D31" i="2" s="1"/>
  <c r="D32" i="2" a="1"/>
  <c r="D32" i="2" s="1"/>
  <c r="D33" i="2" a="1"/>
  <c r="D33" i="2" s="1"/>
  <c r="D34" i="2" a="1"/>
  <c r="D34" i="2" s="1"/>
  <c r="D36" i="2" a="1"/>
  <c r="D36" i="2" s="1"/>
  <c r="D37" i="2" a="1"/>
  <c r="D37" i="2" s="1"/>
  <c r="D38" i="2" a="1"/>
  <c r="D38" i="2" s="1"/>
  <c r="D40" i="2" a="1"/>
  <c r="D40" i="2" s="1"/>
  <c r="D41" i="2" a="1"/>
  <c r="D41" i="2" s="1"/>
  <c r="D42" i="2" a="1"/>
  <c r="D42" i="2" s="1"/>
  <c r="D43" i="2" a="1"/>
  <c r="D43" i="2" s="1"/>
  <c r="D44" i="2" a="1"/>
  <c r="D44" i="2" s="1"/>
  <c r="D46" i="2" a="1"/>
  <c r="D46" i="2" s="1"/>
  <c r="D47" i="2" a="1"/>
  <c r="D47" i="2" s="1"/>
  <c r="D48" i="2" a="1"/>
  <c r="D48" i="2" s="1"/>
  <c r="D49" i="2" a="1"/>
  <c r="D49" i="2" s="1"/>
  <c r="D50" i="2" a="1"/>
  <c r="D50" i="2" s="1"/>
  <c r="D51" i="2" a="1"/>
  <c r="D51" i="2" s="1"/>
  <c r="D52" i="2" a="1"/>
  <c r="D52" i="2" s="1"/>
  <c r="D53" i="2" a="1"/>
  <c r="D53" i="2" s="1"/>
  <c r="D54" i="2" a="1"/>
  <c r="D54" i="2" s="1"/>
  <c r="D55" i="2" a="1"/>
  <c r="D55" i="2" s="1"/>
  <c r="D57" i="2" a="1"/>
  <c r="D57" i="2" s="1"/>
  <c r="D2" i="2" a="1"/>
  <c r="D2" i="2" s="1"/>
  <c r="B15" i="17"/>
  <c r="D35" i="2" s="1" a="1"/>
  <c r="D35" i="2" s="1"/>
  <c r="B16" i="17"/>
  <c r="D12" i="2" s="1" a="1"/>
  <c r="D12" i="2" s="1"/>
  <c r="B9" i="17"/>
  <c r="D39" i="2" s="1" a="1"/>
  <c r="D39" i="2" s="1"/>
  <c r="B34" i="17"/>
  <c r="B35" i="17" s="1"/>
  <c r="B29" i="17"/>
  <c r="D45" i="2" s="1" a="1"/>
  <c r="D45" i="2" s="1"/>
  <c r="B40" i="17"/>
  <c r="B39" i="17"/>
  <c r="D23" i="2" s="1" a="1"/>
  <c r="D23" i="2" s="1"/>
  <c r="B54" i="17"/>
  <c r="B55" i="17"/>
  <c r="K21" i="21" s="1" a="1"/>
  <c r="K21" i="21" s="1"/>
  <c r="E21" i="21" s="1"/>
  <c r="V9" i="2"/>
  <c r="T3" i="2" a="1"/>
  <c r="T3" i="2" s="1"/>
  <c r="X3" i="2" s="1"/>
  <c r="T4" i="2" a="1"/>
  <c r="T4" i="2" s="1"/>
  <c r="X4" i="2" s="1"/>
  <c r="T5" i="2" a="1"/>
  <c r="T5" i="2" s="1"/>
  <c r="T6" i="2" a="1"/>
  <c r="T6" i="2" s="1"/>
  <c r="T7" i="2" a="1"/>
  <c r="T7" i="2" s="1"/>
  <c r="T8" i="2" a="1"/>
  <c r="T8" i="2" s="1"/>
  <c r="Y8" i="2" s="1"/>
  <c r="T10" i="2" a="1"/>
  <c r="T10" i="2" s="1"/>
  <c r="X10" i="2" s="1"/>
  <c r="T11" i="2" a="1"/>
  <c r="T11" i="2" s="1"/>
  <c r="X11" i="2" s="1"/>
  <c r="T12" i="2" a="1"/>
  <c r="T12" i="2" s="1"/>
  <c r="T13" i="2" a="1"/>
  <c r="T13" i="2" s="1"/>
  <c r="Y13" i="2" s="1"/>
  <c r="T14" i="2" a="1"/>
  <c r="T14" i="2" s="1"/>
  <c r="X14" i="2" s="1"/>
  <c r="T15" i="2" a="1"/>
  <c r="T15" i="2" s="1"/>
  <c r="X15" i="2" s="1"/>
  <c r="T16" i="2" a="1"/>
  <c r="T16" i="2" s="1"/>
  <c r="X16" i="2" s="1"/>
  <c r="T17" i="2" a="1"/>
  <c r="T17" i="2" s="1"/>
  <c r="X17" i="2" s="1"/>
  <c r="T18" i="2" a="1"/>
  <c r="T18" i="2" s="1"/>
  <c r="X18" i="2" s="1"/>
  <c r="T19" i="2" a="1"/>
  <c r="T19" i="2" s="1"/>
  <c r="X19" i="2" s="1"/>
  <c r="T20" i="2" a="1"/>
  <c r="T20" i="2" s="1"/>
  <c r="X20" i="2" s="1"/>
  <c r="T21" i="2" a="1"/>
  <c r="T21" i="2" s="1"/>
  <c r="T22" i="2" a="1"/>
  <c r="T22" i="2" s="1"/>
  <c r="X22" i="2" s="1"/>
  <c r="T23" i="2" a="1"/>
  <c r="T23" i="2" s="1"/>
  <c r="X23" i="2" s="1"/>
  <c r="T24" i="2" a="1"/>
  <c r="T24" i="2" s="1"/>
  <c r="X24" i="2" s="1"/>
  <c r="T25" i="2" a="1"/>
  <c r="T25" i="2" s="1"/>
  <c r="X25" i="2" s="1"/>
  <c r="T26" i="2" a="1"/>
  <c r="T26" i="2" s="1"/>
  <c r="X26" i="2" s="1"/>
  <c r="T27" i="2" a="1"/>
  <c r="T27" i="2" s="1"/>
  <c r="X27" i="2" s="1"/>
  <c r="T28" i="2" a="1"/>
  <c r="T28" i="2" s="1"/>
  <c r="X28" i="2" s="1"/>
  <c r="T29" i="2" a="1"/>
  <c r="T29" i="2" s="1"/>
  <c r="T30" i="2" a="1"/>
  <c r="T30" i="2" s="1"/>
  <c r="X30" i="2" s="1"/>
  <c r="T31" i="2" a="1"/>
  <c r="T31" i="2" s="1"/>
  <c r="T32" i="2" a="1"/>
  <c r="T32" i="2" s="1"/>
  <c r="X32" i="2" s="1"/>
  <c r="T33" i="2" a="1"/>
  <c r="T33" i="2" s="1"/>
  <c r="Y33" i="2" s="1"/>
  <c r="T34" i="2" a="1"/>
  <c r="T34" i="2" s="1"/>
  <c r="X34" i="2" s="1"/>
  <c r="T35" i="2" a="1"/>
  <c r="T35" i="2" s="1"/>
  <c r="X35" i="2" s="1"/>
  <c r="T36" i="2" a="1"/>
  <c r="T36" i="2" s="1"/>
  <c r="X36" i="2" s="1"/>
  <c r="T37" i="2" a="1"/>
  <c r="T37" i="2" s="1"/>
  <c r="X37" i="2" s="1"/>
  <c r="T38" i="2" a="1"/>
  <c r="T38" i="2" s="1"/>
  <c r="X38" i="2" s="1"/>
  <c r="T39" i="2" a="1"/>
  <c r="T39" i="2" s="1"/>
  <c r="T40" i="2" a="1"/>
  <c r="T40" i="2" s="1"/>
  <c r="X40" i="2" s="1"/>
  <c r="T41" i="2" a="1"/>
  <c r="T41" i="2" s="1"/>
  <c r="X41" i="2" s="1"/>
  <c r="T42" i="2" a="1"/>
  <c r="T42" i="2" s="1"/>
  <c r="X42" i="2" s="1"/>
  <c r="T43" i="2" a="1"/>
  <c r="T43" i="2" s="1"/>
  <c r="X43" i="2" s="1"/>
  <c r="T44" i="2" a="1"/>
  <c r="T44" i="2" s="1"/>
  <c r="X44" i="2" s="1"/>
  <c r="T45" i="2" a="1"/>
  <c r="T45" i="2" s="1"/>
  <c r="X45" i="2" s="1"/>
  <c r="T46" i="2" a="1"/>
  <c r="T46" i="2" s="1"/>
  <c r="X46" i="2" s="1"/>
  <c r="T47" i="2" a="1"/>
  <c r="T47" i="2" s="1"/>
  <c r="X47" i="2" s="1"/>
  <c r="T48" i="2" a="1"/>
  <c r="T48" i="2" s="1"/>
  <c r="X48" i="2" s="1"/>
  <c r="T49" i="2" a="1"/>
  <c r="T49" i="2" s="1"/>
  <c r="T50" i="2" a="1"/>
  <c r="T50" i="2" s="1"/>
  <c r="T51" i="2" a="1"/>
  <c r="T51" i="2" s="1"/>
  <c r="X51" i="2" s="1"/>
  <c r="T52" i="2" a="1"/>
  <c r="T52" i="2" s="1"/>
  <c r="X52" i="2" s="1"/>
  <c r="T53" i="2" a="1"/>
  <c r="T53" i="2" s="1"/>
  <c r="T54" i="2" a="1"/>
  <c r="T54" i="2" s="1"/>
  <c r="X54" i="2" s="1"/>
  <c r="T55" i="2" a="1"/>
  <c r="T55" i="2" s="1"/>
  <c r="X55" i="2" s="1"/>
  <c r="T56" i="2" a="1"/>
  <c r="T56" i="2" s="1"/>
  <c r="X56" i="2" s="1"/>
  <c r="T57" i="2" a="1"/>
  <c r="T57" i="2" s="1"/>
  <c r="X57" i="2" s="1"/>
  <c r="T58" i="2" a="1"/>
  <c r="T58" i="2" s="1"/>
  <c r="T59" i="2" a="1"/>
  <c r="T59" i="2" s="1"/>
  <c r="X59" i="2" s="1"/>
  <c r="T60" i="2" a="1"/>
  <c r="T60" i="2" s="1"/>
  <c r="T61" i="2" a="1"/>
  <c r="T61" i="2" s="1"/>
  <c r="Y61" i="2" s="1"/>
  <c r="T62" i="2" a="1"/>
  <c r="T62" i="2" s="1"/>
  <c r="X62" i="2" s="1"/>
  <c r="T63" i="2" a="1"/>
  <c r="T63" i="2" s="1"/>
  <c r="T64" i="2" a="1"/>
  <c r="T64" i="2" s="1"/>
  <c r="Y64" i="2" s="1"/>
  <c r="T65" i="2" a="1"/>
  <c r="T65" i="2" s="1"/>
  <c r="X65" i="2" s="1"/>
  <c r="T66" i="2" a="1"/>
  <c r="T66" i="2" s="1"/>
  <c r="X66" i="2" s="1"/>
  <c r="T67" i="2" a="1"/>
  <c r="T67" i="2" s="1"/>
  <c r="X67" i="2" s="1"/>
  <c r="T68" i="2" a="1"/>
  <c r="T68" i="2" s="1"/>
  <c r="T69" i="2" a="1"/>
  <c r="T69" i="2" s="1"/>
  <c r="X69" i="2" s="1"/>
  <c r="T70" i="2" a="1"/>
  <c r="T70" i="2" s="1"/>
  <c r="T71" i="2" a="1"/>
  <c r="T71" i="2" s="1"/>
  <c r="T72" i="2" a="1"/>
  <c r="T72" i="2" s="1"/>
  <c r="X72" i="2" s="1"/>
  <c r="T73" i="2" a="1"/>
  <c r="T73" i="2" s="1"/>
  <c r="X73" i="2" s="1"/>
  <c r="T74" i="2" a="1"/>
  <c r="T74" i="2" s="1"/>
  <c r="X74" i="2" s="1"/>
  <c r="T75" i="2" a="1"/>
  <c r="T75" i="2" s="1"/>
  <c r="X75" i="2" s="1"/>
  <c r="T76" i="2" a="1"/>
  <c r="T76" i="2" s="1"/>
  <c r="X76" i="2" s="1"/>
  <c r="T77" i="2" a="1"/>
  <c r="T77" i="2" s="1"/>
  <c r="X77" i="2" s="1"/>
  <c r="T78" i="2" a="1"/>
  <c r="T78" i="2" s="1"/>
  <c r="X78" i="2" s="1"/>
  <c r="T79" i="2" a="1"/>
  <c r="T79" i="2" s="1"/>
  <c r="X79" i="2" s="1"/>
  <c r="T80" i="2" a="1"/>
  <c r="T80" i="2" s="1"/>
  <c r="X80" i="2" s="1"/>
  <c r="T81" i="2" a="1"/>
  <c r="T81" i="2" s="1"/>
  <c r="T82" i="2" a="1"/>
  <c r="T82" i="2" s="1"/>
  <c r="T83" i="2" a="1"/>
  <c r="T83" i="2" s="1"/>
  <c r="X83" i="2" s="1"/>
  <c r="T84" i="2" a="1"/>
  <c r="T84" i="2" s="1"/>
  <c r="X84" i="2" s="1"/>
  <c r="T85" i="2" a="1"/>
  <c r="T85" i="2" s="1"/>
  <c r="X85" i="2" s="1"/>
  <c r="V86" i="2" a="1"/>
  <c r="V86" i="2" s="1"/>
  <c r="Z86" i="2" s="1"/>
  <c r="V87" i="2" a="1"/>
  <c r="V87" i="2" s="1"/>
  <c r="Z87" i="2" s="1"/>
  <c r="V88" i="2" a="1"/>
  <c r="V88" i="2" s="1"/>
  <c r="Z88" i="2" s="1"/>
  <c r="V89" i="2" a="1"/>
  <c r="V89" i="2" s="1"/>
  <c r="AA89" i="2" s="1"/>
  <c r="V90" i="2" a="1"/>
  <c r="V90" i="2" s="1"/>
  <c r="V91" i="2" a="1"/>
  <c r="V91" i="2" s="1"/>
  <c r="Z91" i="2" s="1"/>
  <c r="V92" i="2" a="1"/>
  <c r="V92" i="2" s="1"/>
  <c r="Z92" i="2" s="1"/>
  <c r="V93" i="2" a="1"/>
  <c r="V93" i="2" s="1"/>
  <c r="AA93" i="2" s="1"/>
  <c r="V94" i="2" a="1"/>
  <c r="V94" i="2" s="1"/>
  <c r="AA94" i="2" s="1"/>
  <c r="V95" i="2" a="1"/>
  <c r="V95" i="2" s="1"/>
  <c r="Z95" i="2" s="1"/>
  <c r="V96" i="2" a="1"/>
  <c r="V96" i="2" s="1"/>
  <c r="Z96" i="2" s="1"/>
  <c r="V97" i="2" a="1"/>
  <c r="V97" i="2" s="1"/>
  <c r="Z97" i="2" s="1"/>
  <c r="V98" i="2" a="1"/>
  <c r="V98" i="2" s="1"/>
  <c r="Z98" i="2" s="1"/>
  <c r="V99" i="2" a="1"/>
  <c r="V99" i="2" s="1"/>
  <c r="Z99" i="2" s="1"/>
  <c r="V100" i="2" a="1"/>
  <c r="V100" i="2" s="1"/>
  <c r="V101" i="2" a="1"/>
  <c r="V101" i="2" s="1"/>
  <c r="Z101" i="2" s="1"/>
  <c r="T2" i="2" a="1"/>
  <c r="T2" i="2" s="1"/>
  <c r="Y2" i="2" s="1"/>
  <c r="V81" i="2"/>
  <c r="V77" i="2"/>
  <c r="V75" i="2"/>
  <c r="V73" i="2"/>
  <c r="V71" i="2"/>
  <c r="V65" i="2"/>
  <c r="V61" i="2"/>
  <c r="V33" i="2"/>
  <c r="AD31" i="19"/>
  <c r="AD32" i="19"/>
  <c r="AD33" i="19"/>
  <c r="AD34" i="19"/>
  <c r="AD35" i="19"/>
  <c r="AD36" i="19"/>
  <c r="AD37" i="19"/>
  <c r="AD30" i="19"/>
  <c r="AC37" i="19"/>
  <c r="AC33" i="19"/>
  <c r="AC31" i="19"/>
  <c r="AC32" i="19"/>
  <c r="AC34" i="19"/>
  <c r="AC35" i="19"/>
  <c r="AC36" i="19"/>
  <c r="N6" i="19"/>
  <c r="N8" i="19"/>
  <c r="N9" i="19"/>
  <c r="N11" i="19"/>
  <c r="N5" i="19"/>
  <c r="N10" i="19"/>
  <c r="N4" i="19"/>
  <c r="N7" i="19"/>
  <c r="AC30" i="19"/>
  <c r="Z37" i="19"/>
  <c r="Y37" i="19"/>
  <c r="X37" i="19"/>
  <c r="W37" i="19"/>
  <c r="V37" i="19"/>
  <c r="U37" i="19"/>
  <c r="T37" i="19"/>
  <c r="Z36" i="19"/>
  <c r="Y36" i="19"/>
  <c r="X36" i="19"/>
  <c r="W36" i="19"/>
  <c r="V36" i="19"/>
  <c r="U36" i="19"/>
  <c r="T36" i="19"/>
  <c r="Z35" i="19"/>
  <c r="Y35" i="19"/>
  <c r="X35" i="19"/>
  <c r="W35" i="19"/>
  <c r="V35" i="19"/>
  <c r="U35" i="19"/>
  <c r="T35" i="19"/>
  <c r="Z34" i="19"/>
  <c r="Y34" i="19"/>
  <c r="X34" i="19"/>
  <c r="W34" i="19"/>
  <c r="V34" i="19"/>
  <c r="U34" i="19"/>
  <c r="T34" i="19"/>
  <c r="Z33" i="19"/>
  <c r="Y33" i="19"/>
  <c r="X33" i="19"/>
  <c r="W33" i="19"/>
  <c r="V33" i="19"/>
  <c r="U33" i="19"/>
  <c r="T33" i="19"/>
  <c r="Z32" i="19"/>
  <c r="Y32" i="19"/>
  <c r="X32" i="19"/>
  <c r="W32" i="19"/>
  <c r="V32" i="19"/>
  <c r="U32" i="19"/>
  <c r="T32" i="19"/>
  <c r="Z31" i="19"/>
  <c r="Y31" i="19"/>
  <c r="X31" i="19"/>
  <c r="W31" i="19"/>
  <c r="V31" i="19"/>
  <c r="U31" i="19"/>
  <c r="T31" i="19"/>
  <c r="Z30" i="19"/>
  <c r="Y30" i="19"/>
  <c r="X30" i="19"/>
  <c r="W30" i="19"/>
  <c r="V30" i="19"/>
  <c r="U30" i="19"/>
  <c r="T30" i="19"/>
  <c r="T17" i="19"/>
  <c r="U17" i="19"/>
  <c r="V17" i="19"/>
  <c r="W17" i="19"/>
  <c r="X17" i="19"/>
  <c r="Y17" i="19"/>
  <c r="Z17" i="19"/>
  <c r="T18" i="19"/>
  <c r="U18" i="19"/>
  <c r="V18" i="19"/>
  <c r="W18" i="19"/>
  <c r="X18" i="19"/>
  <c r="Y18" i="19"/>
  <c r="Z18" i="19"/>
  <c r="T19" i="19"/>
  <c r="U19" i="19"/>
  <c r="V19" i="19"/>
  <c r="W19" i="19"/>
  <c r="X19" i="19"/>
  <c r="Y19" i="19"/>
  <c r="Z19" i="19"/>
  <c r="T20" i="19"/>
  <c r="U20" i="19"/>
  <c r="V20" i="19"/>
  <c r="W20" i="19"/>
  <c r="X20" i="19"/>
  <c r="Y20" i="19"/>
  <c r="Z20" i="19"/>
  <c r="T21" i="19"/>
  <c r="U21" i="19"/>
  <c r="V21" i="19"/>
  <c r="W21" i="19"/>
  <c r="X21" i="19"/>
  <c r="Y21" i="19"/>
  <c r="Z21" i="19"/>
  <c r="T22" i="19"/>
  <c r="U22" i="19"/>
  <c r="V22" i="19"/>
  <c r="W22" i="19"/>
  <c r="X22" i="19"/>
  <c r="Y22" i="19"/>
  <c r="Z22" i="19"/>
  <c r="T23" i="19"/>
  <c r="U23" i="19"/>
  <c r="V23" i="19"/>
  <c r="W23" i="19"/>
  <c r="X23" i="19"/>
  <c r="Y23" i="19"/>
  <c r="Z23" i="19"/>
  <c r="T24" i="19"/>
  <c r="U24" i="19"/>
  <c r="V24" i="19"/>
  <c r="W24" i="19"/>
  <c r="X24" i="19"/>
  <c r="Y24" i="19"/>
  <c r="Z24" i="19"/>
  <c r="V4" i="19"/>
  <c r="W4" i="19"/>
  <c r="X4" i="19"/>
  <c r="Y4" i="19"/>
  <c r="Z4" i="19"/>
  <c r="AA4" i="19"/>
  <c r="V5" i="19"/>
  <c r="W5" i="19"/>
  <c r="X5" i="19"/>
  <c r="Y5" i="19"/>
  <c r="Z5" i="19"/>
  <c r="AA5" i="19"/>
  <c r="V6" i="19"/>
  <c r="W6" i="19"/>
  <c r="X6" i="19"/>
  <c r="Y6" i="19"/>
  <c r="Z6" i="19"/>
  <c r="AA6" i="19"/>
  <c r="V7" i="19"/>
  <c r="W7" i="19"/>
  <c r="X7" i="19"/>
  <c r="Y7" i="19"/>
  <c r="Z7" i="19"/>
  <c r="AA7" i="19"/>
  <c r="V8" i="19"/>
  <c r="W8" i="19"/>
  <c r="X8" i="19"/>
  <c r="Y8" i="19"/>
  <c r="Z8" i="19"/>
  <c r="AA8" i="19"/>
  <c r="V9" i="19"/>
  <c r="W9" i="19"/>
  <c r="X9" i="19"/>
  <c r="Y9" i="19"/>
  <c r="Z9" i="19"/>
  <c r="AA9" i="19"/>
  <c r="V10" i="19"/>
  <c r="W10" i="19"/>
  <c r="X10" i="19"/>
  <c r="Y10" i="19"/>
  <c r="Z10" i="19"/>
  <c r="AA10" i="19"/>
  <c r="V11" i="19"/>
  <c r="W11" i="19"/>
  <c r="X11" i="19"/>
  <c r="Y11" i="19"/>
  <c r="Z11" i="19"/>
  <c r="AA11" i="19"/>
  <c r="V12" i="19"/>
  <c r="W12" i="19"/>
  <c r="X12" i="19"/>
  <c r="Y12" i="19"/>
  <c r="Z12" i="19"/>
  <c r="AA12" i="19"/>
  <c r="V13" i="19"/>
  <c r="W13" i="19"/>
  <c r="X13" i="19"/>
  <c r="Y13" i="19"/>
  <c r="Z13" i="19"/>
  <c r="AA13" i="19"/>
  <c r="U5" i="19"/>
  <c r="U6" i="19"/>
  <c r="U7" i="19"/>
  <c r="U8" i="19"/>
  <c r="U9" i="19"/>
  <c r="U10" i="19"/>
  <c r="U11" i="19"/>
  <c r="U12" i="19"/>
  <c r="U13" i="19"/>
  <c r="U4" i="19"/>
  <c r="F24" i="19"/>
  <c r="F22" i="19"/>
  <c r="F20" i="19"/>
  <c r="F18" i="19"/>
  <c r="F23" i="19"/>
  <c r="F21" i="19"/>
  <c r="F19" i="19"/>
  <c r="F17" i="19"/>
  <c r="T13" i="19"/>
  <c r="I26" i="19"/>
  <c r="F13" i="19"/>
  <c r="T12" i="19"/>
  <c r="I25" i="19"/>
  <c r="F12" i="19"/>
  <c r="T11" i="19"/>
  <c r="AD23" i="19"/>
  <c r="AC23" i="19"/>
  <c r="P10" i="19"/>
  <c r="F11" i="19"/>
  <c r="T10" i="19"/>
  <c r="AD22" i="19"/>
  <c r="AC22" i="19"/>
  <c r="P5" i="19"/>
  <c r="F10" i="19"/>
  <c r="T9" i="19"/>
  <c r="AD21" i="19"/>
  <c r="AC21" i="19"/>
  <c r="P11" i="19"/>
  <c r="Q11" i="19" s="1"/>
  <c r="F9" i="19"/>
  <c r="T8" i="19"/>
  <c r="AD20" i="19"/>
  <c r="AC20" i="19"/>
  <c r="P8" i="19"/>
  <c r="F8" i="19"/>
  <c r="AD19" i="19"/>
  <c r="AC19" i="19"/>
  <c r="P9" i="19"/>
  <c r="F7" i="19"/>
  <c r="T6" i="19"/>
  <c r="AD18" i="19"/>
  <c r="AC18" i="19"/>
  <c r="P6" i="19"/>
  <c r="F6" i="19"/>
  <c r="T5" i="19"/>
  <c r="AD17" i="19"/>
  <c r="AC17" i="19"/>
  <c r="P7" i="19"/>
  <c r="F5" i="19"/>
  <c r="AD16" i="19"/>
  <c r="AC16" i="19"/>
  <c r="P4" i="19"/>
  <c r="F4" i="19"/>
  <c r="T3" i="19"/>
  <c r="M84" i="18"/>
  <c r="L84" i="18" s="1"/>
  <c r="N84" i="18"/>
  <c r="M47" i="18"/>
  <c r="L47" i="18" s="1"/>
  <c r="N47" i="18"/>
  <c r="M64" i="18"/>
  <c r="L64" i="18" s="1"/>
  <c r="N64" i="18"/>
  <c r="M23" i="18"/>
  <c r="L23" i="18" s="1"/>
  <c r="N23" i="18"/>
  <c r="M30" i="18"/>
  <c r="L30" i="18" s="1"/>
  <c r="N30" i="18"/>
  <c r="M73" i="18"/>
  <c r="L73" i="18" s="1"/>
  <c r="N73" i="18"/>
  <c r="M38" i="18"/>
  <c r="L38" i="18" s="1"/>
  <c r="N38" i="18"/>
  <c r="M39" i="18"/>
  <c r="L39" i="18" s="1"/>
  <c r="N39" i="18"/>
  <c r="M61" i="18"/>
  <c r="L61" i="18" s="1"/>
  <c r="N61" i="18"/>
  <c r="M6" i="18"/>
  <c r="L6" i="18" s="1"/>
  <c r="N6" i="18"/>
  <c r="M41" i="18"/>
  <c r="L41" i="18" s="1"/>
  <c r="N41" i="18"/>
  <c r="M68" i="18"/>
  <c r="L68" i="18" s="1"/>
  <c r="N68" i="18"/>
  <c r="M15" i="18"/>
  <c r="L15" i="18" s="1"/>
  <c r="N15" i="18"/>
  <c r="M74" i="18"/>
  <c r="L74" i="18" s="1"/>
  <c r="N74" i="18"/>
  <c r="M52" i="18"/>
  <c r="L52" i="18" s="1"/>
  <c r="N52" i="18"/>
  <c r="M75" i="18"/>
  <c r="L75" i="18" s="1"/>
  <c r="N75" i="18"/>
  <c r="M40" i="18"/>
  <c r="L40" i="18" s="1"/>
  <c r="N40" i="18"/>
  <c r="M42" i="18"/>
  <c r="L42" i="18" s="1"/>
  <c r="N42" i="18"/>
  <c r="M78" i="18"/>
  <c r="L78" i="18" s="1"/>
  <c r="N78" i="18"/>
  <c r="M76" i="18"/>
  <c r="L76" i="18" s="1"/>
  <c r="N76" i="18"/>
  <c r="M48" i="18"/>
  <c r="L48" i="18" s="1"/>
  <c r="N48" i="18"/>
  <c r="M80" i="18"/>
  <c r="L80" i="18" s="1"/>
  <c r="N80" i="18"/>
  <c r="M49" i="18"/>
  <c r="L49" i="18" s="1"/>
  <c r="N49" i="18"/>
  <c r="M22" i="18"/>
  <c r="L22" i="18" s="1"/>
  <c r="N22" i="18"/>
  <c r="M9" i="18"/>
  <c r="L9" i="18" s="1"/>
  <c r="N9" i="18"/>
  <c r="M24" i="18"/>
  <c r="L24" i="18" s="1"/>
  <c r="N24" i="18"/>
  <c r="M4" i="18"/>
  <c r="L4" i="18" s="1"/>
  <c r="N4" i="18"/>
  <c r="M12" i="18"/>
  <c r="L12" i="18" s="1"/>
  <c r="N12" i="18"/>
  <c r="M21" i="18"/>
  <c r="L21" i="18" s="1"/>
  <c r="N21" i="18"/>
  <c r="M58" i="18"/>
  <c r="L58" i="18" s="1"/>
  <c r="N58" i="18"/>
  <c r="M63" i="18"/>
  <c r="L63" i="18" s="1"/>
  <c r="N63" i="18"/>
  <c r="M13" i="18"/>
  <c r="L13" i="18" s="1"/>
  <c r="N13" i="18"/>
  <c r="M26" i="18"/>
  <c r="L26" i="18" s="1"/>
  <c r="N26" i="18"/>
  <c r="M43" i="18"/>
  <c r="L43" i="18" s="1"/>
  <c r="N43" i="18"/>
  <c r="M33" i="18"/>
  <c r="L33" i="18" s="1"/>
  <c r="N33" i="18"/>
  <c r="M5" i="18"/>
  <c r="L5" i="18" s="1"/>
  <c r="N5" i="18"/>
  <c r="M59" i="18"/>
  <c r="L59" i="18" s="1"/>
  <c r="N59" i="18"/>
  <c r="M34" i="18"/>
  <c r="L34" i="18" s="1"/>
  <c r="N34" i="18"/>
  <c r="M70" i="18"/>
  <c r="L70" i="18" s="1"/>
  <c r="N70" i="18"/>
  <c r="M56" i="18"/>
  <c r="L56" i="18" s="1"/>
  <c r="N56" i="18"/>
  <c r="M35" i="18"/>
  <c r="L35" i="18" s="1"/>
  <c r="N35" i="18"/>
  <c r="M27" i="18"/>
  <c r="L27" i="18" s="1"/>
  <c r="N27" i="18"/>
  <c r="M32" i="18"/>
  <c r="L32" i="18" s="1"/>
  <c r="N32" i="18"/>
  <c r="M44" i="18"/>
  <c r="L44" i="18" s="1"/>
  <c r="N44" i="18"/>
  <c r="M65" i="18"/>
  <c r="L65" i="18" s="1"/>
  <c r="N65" i="18"/>
  <c r="M7" i="18"/>
  <c r="L7" i="18" s="1"/>
  <c r="N7" i="18"/>
  <c r="M85" i="18"/>
  <c r="L85" i="18" s="1"/>
  <c r="N85" i="18"/>
  <c r="M71" i="18"/>
  <c r="L71" i="18" s="1"/>
  <c r="N71" i="18"/>
  <c r="M16" i="18"/>
  <c r="L16" i="18" s="1"/>
  <c r="N16" i="18"/>
  <c r="M83" i="18"/>
  <c r="L83" i="18" s="1"/>
  <c r="N83" i="18"/>
  <c r="M66" i="18"/>
  <c r="L66" i="18" s="1"/>
  <c r="N66" i="18"/>
  <c r="M14" i="18"/>
  <c r="L14" i="18" s="1"/>
  <c r="N14" i="18"/>
  <c r="M36" i="18"/>
  <c r="L36" i="18" s="1"/>
  <c r="N36" i="18"/>
  <c r="M45" i="18"/>
  <c r="L45" i="18" s="1"/>
  <c r="N45" i="18"/>
  <c r="M53" i="18"/>
  <c r="L53" i="18" s="1"/>
  <c r="N53" i="18"/>
  <c r="M11" i="18"/>
  <c r="L11" i="18" s="1"/>
  <c r="N11" i="18"/>
  <c r="M37" i="18"/>
  <c r="L37" i="18" s="1"/>
  <c r="N37" i="18"/>
  <c r="M17" i="18"/>
  <c r="L17" i="18" s="1"/>
  <c r="N17" i="18"/>
  <c r="M25" i="18"/>
  <c r="L25" i="18" s="1"/>
  <c r="N25" i="18"/>
  <c r="M18" i="18"/>
  <c r="L18" i="18" s="1"/>
  <c r="N18" i="18"/>
  <c r="M55" i="18"/>
  <c r="L55" i="18" s="1"/>
  <c r="N55" i="18"/>
  <c r="M31" i="18"/>
  <c r="L31" i="18" s="1"/>
  <c r="N31" i="18"/>
  <c r="M81" i="18"/>
  <c r="L81" i="18" s="1"/>
  <c r="N81" i="18"/>
  <c r="M57" i="18"/>
  <c r="L57" i="18" s="1"/>
  <c r="N57" i="18"/>
  <c r="M10" i="18"/>
  <c r="L10" i="18" s="1"/>
  <c r="N10" i="18"/>
  <c r="M28" i="18"/>
  <c r="L28" i="18" s="1"/>
  <c r="N28" i="18"/>
  <c r="M79" i="18"/>
  <c r="L79" i="18" s="1"/>
  <c r="N79" i="18"/>
  <c r="M60" i="18"/>
  <c r="L60" i="18" s="1"/>
  <c r="N60" i="18"/>
  <c r="M29" i="18"/>
  <c r="L29" i="18" s="1"/>
  <c r="N29" i="18"/>
  <c r="M20" i="18"/>
  <c r="L20" i="18" s="1"/>
  <c r="N20" i="18"/>
  <c r="M67" i="18"/>
  <c r="L67" i="18" s="1"/>
  <c r="N67" i="18"/>
  <c r="M51" i="18"/>
  <c r="L51" i="18" s="1"/>
  <c r="N51" i="18"/>
  <c r="M77" i="18"/>
  <c r="L77" i="18" s="1"/>
  <c r="N77" i="18"/>
  <c r="M46" i="18"/>
  <c r="L46" i="18" s="1"/>
  <c r="N46" i="18"/>
  <c r="M69" i="18"/>
  <c r="L69" i="18" s="1"/>
  <c r="N69" i="18"/>
  <c r="M72" i="18"/>
  <c r="L72" i="18" s="1"/>
  <c r="N72" i="18"/>
  <c r="M82" i="18"/>
  <c r="L82" i="18" s="1"/>
  <c r="N82" i="18"/>
  <c r="M8" i="18"/>
  <c r="L8" i="18" s="1"/>
  <c r="N8" i="18"/>
  <c r="M50" i="18"/>
  <c r="L50" i="18" s="1"/>
  <c r="N50" i="18"/>
  <c r="M62" i="18"/>
  <c r="L62" i="18" s="1"/>
  <c r="N62" i="18"/>
  <c r="M54" i="18"/>
  <c r="L54" i="18" s="1"/>
  <c r="N54" i="18"/>
  <c r="N19" i="18"/>
  <c r="M19" i="18"/>
  <c r="N3" i="18"/>
  <c r="M3" i="18"/>
  <c r="C96" i="18"/>
  <c r="D96" i="18" s="1"/>
  <c r="D95" i="18"/>
  <c r="C95" i="18"/>
  <c r="D93" i="18"/>
  <c r="C93" i="18"/>
  <c r="D92" i="18"/>
  <c r="C92" i="18"/>
  <c r="AG10" i="18"/>
  <c r="AR10" i="18" s="1"/>
  <c r="AF10" i="18"/>
  <c r="AQ10" i="18" s="1"/>
  <c r="AE10" i="18"/>
  <c r="AP10" i="18" s="1"/>
  <c r="AD10" i="18"/>
  <c r="AO10" i="18" s="1"/>
  <c r="AC10" i="18"/>
  <c r="AN10" i="18" s="1"/>
  <c r="AB10" i="18"/>
  <c r="AM10" i="18" s="1"/>
  <c r="AA10" i="18"/>
  <c r="AL10" i="18" s="1"/>
  <c r="Z10" i="18"/>
  <c r="AK10" i="18" s="1"/>
  <c r="Y10" i="18"/>
  <c r="AJ10" i="18" s="1"/>
  <c r="X10" i="18"/>
  <c r="AI10" i="18" s="1"/>
  <c r="AG9" i="18"/>
  <c r="AR9" i="18" s="1"/>
  <c r="AF9" i="18"/>
  <c r="AQ9" i="18" s="1"/>
  <c r="AE9" i="18"/>
  <c r="AP9" i="18" s="1"/>
  <c r="AD9" i="18"/>
  <c r="AO9" i="18" s="1"/>
  <c r="AC9" i="18"/>
  <c r="AN9" i="18" s="1"/>
  <c r="AB9" i="18"/>
  <c r="AM9" i="18" s="1"/>
  <c r="AA9" i="18"/>
  <c r="AL9" i="18" s="1"/>
  <c r="Z9" i="18"/>
  <c r="AK9" i="18" s="1"/>
  <c r="Y9" i="18"/>
  <c r="AJ9" i="18" s="1"/>
  <c r="X9" i="18"/>
  <c r="AI9" i="18" s="1"/>
  <c r="AG8" i="18"/>
  <c r="AR8" i="18" s="1"/>
  <c r="AF8" i="18"/>
  <c r="AQ8" i="18" s="1"/>
  <c r="AE8" i="18"/>
  <c r="AP8" i="18" s="1"/>
  <c r="AD8" i="18"/>
  <c r="AO8" i="18" s="1"/>
  <c r="AC8" i="18"/>
  <c r="AN8" i="18" s="1"/>
  <c r="AB8" i="18"/>
  <c r="AM8" i="18" s="1"/>
  <c r="AA8" i="18"/>
  <c r="AL8" i="18" s="1"/>
  <c r="Z8" i="18"/>
  <c r="AK8" i="18" s="1"/>
  <c r="Y8" i="18"/>
  <c r="AJ8" i="18" s="1"/>
  <c r="X8" i="18"/>
  <c r="AI8" i="18" s="1"/>
  <c r="AG7" i="18"/>
  <c r="AR7" i="18" s="1"/>
  <c r="AF7" i="18"/>
  <c r="AQ7" i="18" s="1"/>
  <c r="AE7" i="18"/>
  <c r="AP7" i="18" s="1"/>
  <c r="AD7" i="18"/>
  <c r="AO7" i="18" s="1"/>
  <c r="AC7" i="18"/>
  <c r="AN7" i="18" s="1"/>
  <c r="AB7" i="18"/>
  <c r="AM7" i="18" s="1"/>
  <c r="AA7" i="18"/>
  <c r="AL7" i="18" s="1"/>
  <c r="Z7" i="18"/>
  <c r="AK7" i="18" s="1"/>
  <c r="Y7" i="18"/>
  <c r="AJ7" i="18" s="1"/>
  <c r="X7" i="18"/>
  <c r="AI7" i="18" s="1"/>
  <c r="AG6" i="18"/>
  <c r="AR6" i="18" s="1"/>
  <c r="AF6" i="18"/>
  <c r="AQ6" i="18" s="1"/>
  <c r="AE6" i="18"/>
  <c r="AP6" i="18" s="1"/>
  <c r="AD6" i="18"/>
  <c r="AO6" i="18" s="1"/>
  <c r="AC6" i="18"/>
  <c r="AN6" i="18" s="1"/>
  <c r="AB6" i="18"/>
  <c r="AM6" i="18" s="1"/>
  <c r="AA6" i="18"/>
  <c r="AL6" i="18" s="1"/>
  <c r="Z6" i="18"/>
  <c r="AK6" i="18" s="1"/>
  <c r="Y6" i="18"/>
  <c r="AJ6" i="18" s="1"/>
  <c r="X6" i="18"/>
  <c r="AI6" i="18" s="1"/>
  <c r="AG5" i="18"/>
  <c r="AR5" i="18" s="1"/>
  <c r="AF5" i="18"/>
  <c r="AQ5" i="18" s="1"/>
  <c r="AE5" i="18"/>
  <c r="AP5" i="18" s="1"/>
  <c r="AD5" i="18"/>
  <c r="AO5" i="18" s="1"/>
  <c r="AC5" i="18"/>
  <c r="AN5" i="18" s="1"/>
  <c r="AB5" i="18"/>
  <c r="AM5" i="18" s="1"/>
  <c r="AA5" i="18"/>
  <c r="AL5" i="18" s="1"/>
  <c r="Z5" i="18"/>
  <c r="AK5" i="18" s="1"/>
  <c r="Y5" i="18"/>
  <c r="AJ5" i="18" s="1"/>
  <c r="X5" i="18"/>
  <c r="AI5" i="18" s="1"/>
  <c r="AG4" i="18"/>
  <c r="AR4" i="18" s="1"/>
  <c r="AF4" i="18"/>
  <c r="AQ4" i="18" s="1"/>
  <c r="AE4" i="18"/>
  <c r="AP4" i="18" s="1"/>
  <c r="AD4" i="18"/>
  <c r="AO4" i="18" s="1"/>
  <c r="AC4" i="18"/>
  <c r="AN4" i="18" s="1"/>
  <c r="AB4" i="18"/>
  <c r="AM4" i="18" s="1"/>
  <c r="AA4" i="18"/>
  <c r="AL4" i="18" s="1"/>
  <c r="Z4" i="18"/>
  <c r="AK4" i="18" s="1"/>
  <c r="Y4" i="18"/>
  <c r="AJ4" i="18" s="1"/>
  <c r="X4" i="18"/>
  <c r="AI4" i="18" s="1"/>
  <c r="C96" i="17"/>
  <c r="D96" i="17" s="1"/>
  <c r="D95" i="17"/>
  <c r="C95" i="17"/>
  <c r="D93" i="17"/>
  <c r="C93" i="17"/>
  <c r="D92" i="17"/>
  <c r="C92" i="17"/>
  <c r="P86" i="17"/>
  <c r="A60" i="17"/>
  <c r="P87" i="17"/>
  <c r="A59" i="17"/>
  <c r="P85" i="17"/>
  <c r="A58" i="17"/>
  <c r="P83" i="17"/>
  <c r="A57" i="17"/>
  <c r="P82" i="17"/>
  <c r="A86" i="17"/>
  <c r="P77" i="17"/>
  <c r="A87" i="17"/>
  <c r="P76" i="17"/>
  <c r="S76" i="17" s="1"/>
  <c r="A85" i="17"/>
  <c r="P75" i="17"/>
  <c r="A83" i="17"/>
  <c r="P74" i="17"/>
  <c r="A82" i="17"/>
  <c r="P81" i="17"/>
  <c r="A77" i="17"/>
  <c r="P79" i="17"/>
  <c r="A76" i="17"/>
  <c r="P78" i="17"/>
  <c r="A75" i="17"/>
  <c r="P73" i="17"/>
  <c r="A74" i="17"/>
  <c r="P80" i="17"/>
  <c r="A81" i="17"/>
  <c r="P72" i="17"/>
  <c r="A79" i="17"/>
  <c r="P89" i="17"/>
  <c r="A78" i="17"/>
  <c r="P88" i="17"/>
  <c r="A73" i="17"/>
  <c r="P84" i="17"/>
  <c r="A80" i="17"/>
  <c r="P71" i="17"/>
  <c r="A72" i="17"/>
  <c r="P63" i="17"/>
  <c r="A89" i="17"/>
  <c r="P70" i="17"/>
  <c r="A88" i="17"/>
  <c r="P65" i="17"/>
  <c r="A84" i="17"/>
  <c r="P64" i="17"/>
  <c r="A71" i="17"/>
  <c r="P67" i="17"/>
  <c r="A63" i="17"/>
  <c r="P69" i="17"/>
  <c r="A70" i="17"/>
  <c r="P62" i="17"/>
  <c r="A65" i="17"/>
  <c r="P66" i="17"/>
  <c r="A64" i="17"/>
  <c r="P68" i="17"/>
  <c r="A67" i="17"/>
  <c r="P61" i="17"/>
  <c r="A69" i="17"/>
  <c r="P56" i="17"/>
  <c r="A62" i="17"/>
  <c r="P55" i="17"/>
  <c r="A66" i="17"/>
  <c r="P54" i="17"/>
  <c r="A68" i="17"/>
  <c r="P49" i="17"/>
  <c r="A61" i="17"/>
  <c r="P50" i="17"/>
  <c r="A56" i="17"/>
  <c r="P48" i="17"/>
  <c r="A55" i="17"/>
  <c r="P53" i="17"/>
  <c r="A54" i="17"/>
  <c r="P47" i="17"/>
  <c r="A49" i="17"/>
  <c r="P39" i="17"/>
  <c r="A50" i="17"/>
  <c r="P40" i="17"/>
  <c r="A48" i="17"/>
  <c r="P38" i="17"/>
  <c r="A53" i="17"/>
  <c r="P30" i="17"/>
  <c r="A47" i="17"/>
  <c r="P37" i="17"/>
  <c r="A39" i="17"/>
  <c r="P36" i="17"/>
  <c r="A40" i="17"/>
  <c r="P33" i="17"/>
  <c r="A38" i="17"/>
  <c r="P32" i="17"/>
  <c r="A30" i="17"/>
  <c r="P31" i="17"/>
  <c r="A37" i="17"/>
  <c r="P35" i="17"/>
  <c r="A36" i="17"/>
  <c r="P29" i="17"/>
  <c r="A33" i="17"/>
  <c r="P34" i="17"/>
  <c r="A32" i="17"/>
  <c r="P28" i="17"/>
  <c r="A31" i="17"/>
  <c r="P42" i="17"/>
  <c r="A35" i="17"/>
  <c r="P52" i="17"/>
  <c r="A29" i="17"/>
  <c r="P51" i="17"/>
  <c r="A34" i="17"/>
  <c r="P45" i="17"/>
  <c r="A28" i="17"/>
  <c r="P44" i="17"/>
  <c r="A42" i="17"/>
  <c r="P43" i="17"/>
  <c r="A52" i="17"/>
  <c r="P41" i="17"/>
  <c r="A51" i="17"/>
  <c r="P46" i="17"/>
  <c r="A45" i="17"/>
  <c r="P27" i="17"/>
  <c r="A44" i="17"/>
  <c r="P26" i="17"/>
  <c r="A43" i="17"/>
  <c r="P22" i="17"/>
  <c r="A41" i="17"/>
  <c r="P25" i="17"/>
  <c r="A46" i="17"/>
  <c r="P19" i="17"/>
  <c r="A27" i="17"/>
  <c r="P23" i="17"/>
  <c r="A26" i="17"/>
  <c r="P24" i="17"/>
  <c r="A22" i="17"/>
  <c r="P21" i="17"/>
  <c r="A25" i="17"/>
  <c r="P20" i="17"/>
  <c r="A19" i="17"/>
  <c r="P18" i="17"/>
  <c r="A18" i="17"/>
  <c r="P17" i="17"/>
  <c r="A17" i="17"/>
  <c r="P7" i="17"/>
  <c r="A7" i="17"/>
  <c r="P8" i="17"/>
  <c r="A8" i="17"/>
  <c r="P6" i="17"/>
  <c r="A6" i="17"/>
  <c r="P9" i="17"/>
  <c r="A9" i="17"/>
  <c r="P16" i="17"/>
  <c r="A16" i="17"/>
  <c r="P15" i="17"/>
  <c r="A15" i="17"/>
  <c r="AJ12" i="17"/>
  <c r="AU12" i="17" s="1"/>
  <c r="AI12" i="17"/>
  <c r="AT12" i="17" s="1"/>
  <c r="AH12" i="17"/>
  <c r="AS12" i="17" s="1"/>
  <c r="AG12" i="17"/>
  <c r="AR12" i="17" s="1"/>
  <c r="AF12" i="17"/>
  <c r="AQ12" i="17" s="1"/>
  <c r="AE12" i="17"/>
  <c r="AP12" i="17" s="1"/>
  <c r="AD12" i="17"/>
  <c r="AO12" i="17" s="1"/>
  <c r="AC12" i="17"/>
  <c r="AN12" i="17" s="1"/>
  <c r="AB12" i="17"/>
  <c r="AM12" i="17" s="1"/>
  <c r="AA12" i="17"/>
  <c r="AL12" i="17" s="1"/>
  <c r="P12" i="17"/>
  <c r="A12" i="17"/>
  <c r="AJ11" i="17"/>
  <c r="AU11" i="17" s="1"/>
  <c r="AI11" i="17"/>
  <c r="AT11" i="17" s="1"/>
  <c r="AH11" i="17"/>
  <c r="AS11" i="17" s="1"/>
  <c r="AG11" i="17"/>
  <c r="AR11" i="17" s="1"/>
  <c r="AF11" i="17"/>
  <c r="AQ11" i="17" s="1"/>
  <c r="AE11" i="17"/>
  <c r="AP11" i="17" s="1"/>
  <c r="AD11" i="17"/>
  <c r="AO11" i="17" s="1"/>
  <c r="AC11" i="17"/>
  <c r="AN11" i="17" s="1"/>
  <c r="AB11" i="17"/>
  <c r="AM11" i="17" s="1"/>
  <c r="AA11" i="17"/>
  <c r="AL11" i="17" s="1"/>
  <c r="P11" i="17"/>
  <c r="A11" i="17"/>
  <c r="AJ10" i="17"/>
  <c r="AU10" i="17" s="1"/>
  <c r="AI10" i="17"/>
  <c r="AT10" i="17" s="1"/>
  <c r="AH10" i="17"/>
  <c r="AS10" i="17" s="1"/>
  <c r="AG10" i="17"/>
  <c r="AR10" i="17" s="1"/>
  <c r="AF10" i="17"/>
  <c r="AQ10" i="17" s="1"/>
  <c r="AE10" i="17"/>
  <c r="AP10" i="17" s="1"/>
  <c r="AD10" i="17"/>
  <c r="AO10" i="17" s="1"/>
  <c r="AC10" i="17"/>
  <c r="AN10" i="17" s="1"/>
  <c r="AB10" i="17"/>
  <c r="AM10" i="17" s="1"/>
  <c r="AA10" i="17"/>
  <c r="AL10" i="17" s="1"/>
  <c r="P10" i="17"/>
  <c r="A10" i="17"/>
  <c r="AJ14" i="17"/>
  <c r="AU14" i="17" s="1"/>
  <c r="AI14" i="17"/>
  <c r="AT14" i="17" s="1"/>
  <c r="AH14" i="17"/>
  <c r="AS14" i="17" s="1"/>
  <c r="AG14" i="17"/>
  <c r="AR14" i="17" s="1"/>
  <c r="AF14" i="17"/>
  <c r="AQ14" i="17" s="1"/>
  <c r="AE14" i="17"/>
  <c r="AP14" i="17" s="1"/>
  <c r="AD14" i="17"/>
  <c r="AO14" i="17" s="1"/>
  <c r="AC14" i="17"/>
  <c r="AN14" i="17" s="1"/>
  <c r="AB14" i="17"/>
  <c r="AM14" i="17" s="1"/>
  <c r="AA14" i="17"/>
  <c r="AL14" i="17" s="1"/>
  <c r="P14" i="17"/>
  <c r="A14" i="17"/>
  <c r="AJ5" i="17"/>
  <c r="AU5" i="17" s="1"/>
  <c r="AI5" i="17"/>
  <c r="AT5" i="17" s="1"/>
  <c r="AH5" i="17"/>
  <c r="AS5" i="17" s="1"/>
  <c r="AG5" i="17"/>
  <c r="AR5" i="17" s="1"/>
  <c r="AF5" i="17"/>
  <c r="AQ5" i="17" s="1"/>
  <c r="AE5" i="17"/>
  <c r="AP5" i="17" s="1"/>
  <c r="AD5" i="17"/>
  <c r="AO5" i="17" s="1"/>
  <c r="AC5" i="17"/>
  <c r="AN5" i="17" s="1"/>
  <c r="AB5" i="17"/>
  <c r="AM5" i="17" s="1"/>
  <c r="AA5" i="17"/>
  <c r="AL5" i="17" s="1"/>
  <c r="P5" i="17"/>
  <c r="A5" i="17"/>
  <c r="AJ13" i="17"/>
  <c r="AU13" i="17" s="1"/>
  <c r="AI13" i="17"/>
  <c r="AT13" i="17" s="1"/>
  <c r="AH13" i="17"/>
  <c r="AS13" i="17" s="1"/>
  <c r="AG13" i="17"/>
  <c r="AR13" i="17" s="1"/>
  <c r="AF13" i="17"/>
  <c r="AQ13" i="17" s="1"/>
  <c r="AE13" i="17"/>
  <c r="AP13" i="17" s="1"/>
  <c r="AD13" i="17"/>
  <c r="AO13" i="17" s="1"/>
  <c r="AC13" i="17"/>
  <c r="AN13" i="17" s="1"/>
  <c r="AB13" i="17"/>
  <c r="AM13" i="17" s="1"/>
  <c r="AA13" i="17"/>
  <c r="AL13" i="17" s="1"/>
  <c r="P13" i="17"/>
  <c r="A13" i="17"/>
  <c r="AJ4" i="17"/>
  <c r="AU4" i="17" s="1"/>
  <c r="AI4" i="17"/>
  <c r="AT4" i="17" s="1"/>
  <c r="AH4" i="17"/>
  <c r="AS4" i="17" s="1"/>
  <c r="AG4" i="17"/>
  <c r="AR4" i="17" s="1"/>
  <c r="AF4" i="17"/>
  <c r="AQ4" i="17" s="1"/>
  <c r="AE4" i="17"/>
  <c r="AP4" i="17" s="1"/>
  <c r="AD4" i="17"/>
  <c r="AO4" i="17" s="1"/>
  <c r="AC4" i="17"/>
  <c r="AN4" i="17" s="1"/>
  <c r="AB4" i="17"/>
  <c r="AM4" i="17" s="1"/>
  <c r="AA4" i="17"/>
  <c r="AL4" i="17" s="1"/>
  <c r="P4" i="17"/>
  <c r="A4" i="17"/>
  <c r="I21" i="2"/>
  <c r="S5" i="9"/>
  <c r="T5" i="9" s="1"/>
  <c r="S6" i="9"/>
  <c r="T6" i="9" s="1"/>
  <c r="S7" i="9"/>
  <c r="T7" i="9" s="1"/>
  <c r="S8" i="9"/>
  <c r="T8" i="9" s="1"/>
  <c r="S9" i="9"/>
  <c r="T9" i="9" s="1"/>
  <c r="S10" i="9"/>
  <c r="T10" i="9" s="1"/>
  <c r="S11" i="9"/>
  <c r="T11" i="9" s="1"/>
  <c r="S12" i="9"/>
  <c r="T12" i="9" s="1"/>
  <c r="S13" i="9"/>
  <c r="T13" i="9" s="1"/>
  <c r="S14" i="9"/>
  <c r="T14" i="9" s="1"/>
  <c r="S15" i="9"/>
  <c r="T15" i="9" s="1"/>
  <c r="S16" i="9"/>
  <c r="T16" i="9" s="1"/>
  <c r="S17" i="9"/>
  <c r="T17" i="9" s="1"/>
  <c r="S18" i="9"/>
  <c r="T18" i="9" s="1"/>
  <c r="S19" i="9"/>
  <c r="T19" i="9" s="1"/>
  <c r="S20" i="9"/>
  <c r="T20" i="9" s="1"/>
  <c r="S21" i="9"/>
  <c r="T21" i="9" s="1"/>
  <c r="S22" i="9"/>
  <c r="T22" i="9" s="1"/>
  <c r="S23" i="9"/>
  <c r="T23" i="9" s="1"/>
  <c r="S24" i="9"/>
  <c r="T24" i="9" s="1"/>
  <c r="S25" i="9"/>
  <c r="T25" i="9" s="1"/>
  <c r="S26" i="9"/>
  <c r="T26" i="9" s="1"/>
  <c r="S27" i="9"/>
  <c r="T27" i="9" s="1"/>
  <c r="S28" i="9"/>
  <c r="T28" i="9" s="1"/>
  <c r="S29" i="9"/>
  <c r="T29" i="9" s="1"/>
  <c r="S30" i="9"/>
  <c r="T30" i="9" s="1"/>
  <c r="S31" i="9"/>
  <c r="T31" i="9" s="1"/>
  <c r="S32" i="9"/>
  <c r="T32" i="9" s="1"/>
  <c r="S33" i="9"/>
  <c r="T33" i="9" s="1"/>
  <c r="S34" i="9"/>
  <c r="T34" i="9" s="1"/>
  <c r="S35" i="9"/>
  <c r="T35" i="9" s="1"/>
  <c r="S36" i="9"/>
  <c r="T36" i="9" s="1"/>
  <c r="S37" i="9"/>
  <c r="T37" i="9" s="1"/>
  <c r="S38" i="9"/>
  <c r="T38" i="9" s="1"/>
  <c r="S39" i="9"/>
  <c r="T39" i="9" s="1"/>
  <c r="S40" i="9"/>
  <c r="T40" i="9" s="1"/>
  <c r="S41" i="9"/>
  <c r="T41" i="9" s="1"/>
  <c r="S42" i="9"/>
  <c r="T42" i="9" s="1"/>
  <c r="S43" i="9"/>
  <c r="T43" i="9" s="1"/>
  <c r="S44" i="9"/>
  <c r="T44" i="9" s="1"/>
  <c r="S45" i="9"/>
  <c r="T45" i="9" s="1"/>
  <c r="S46" i="9"/>
  <c r="T46" i="9" s="1"/>
  <c r="S47" i="9"/>
  <c r="T47" i="9" s="1"/>
  <c r="S48" i="9"/>
  <c r="T48" i="9" s="1"/>
  <c r="S49" i="9"/>
  <c r="T49" i="9" s="1"/>
  <c r="S50" i="9"/>
  <c r="T50" i="9" s="1"/>
  <c r="S51" i="9"/>
  <c r="T51" i="9" s="1"/>
  <c r="S52" i="9"/>
  <c r="T52" i="9" s="1"/>
  <c r="S3" i="9"/>
  <c r="T3" i="9" s="1"/>
  <c r="W4" i="9"/>
  <c r="X4" i="9" s="1"/>
  <c r="W5" i="9"/>
  <c r="X5" i="9" s="1"/>
  <c r="W6" i="9"/>
  <c r="X6" i="9" s="1"/>
  <c r="W7" i="9"/>
  <c r="X7" i="9" s="1"/>
  <c r="W8" i="9"/>
  <c r="X8" i="9" s="1"/>
  <c r="W9" i="9"/>
  <c r="X9" i="9" s="1"/>
  <c r="W10" i="9"/>
  <c r="X10" i="9" s="1"/>
  <c r="W11" i="9"/>
  <c r="X11" i="9" s="1"/>
  <c r="W12" i="9"/>
  <c r="X12" i="9" s="1"/>
  <c r="W13" i="9"/>
  <c r="X13" i="9" s="1"/>
  <c r="W14" i="9"/>
  <c r="X14" i="9" s="1"/>
  <c r="W15" i="9"/>
  <c r="X15" i="9" s="1"/>
  <c r="W16" i="9"/>
  <c r="X16" i="9" s="1"/>
  <c r="W17" i="9"/>
  <c r="X17" i="9" s="1"/>
  <c r="W18" i="9"/>
  <c r="X18" i="9" s="1"/>
  <c r="W19" i="9"/>
  <c r="X19" i="9" s="1"/>
  <c r="W20" i="9"/>
  <c r="X20" i="9" s="1"/>
  <c r="W21" i="9"/>
  <c r="X21" i="9" s="1"/>
  <c r="W22" i="9"/>
  <c r="X22" i="9" s="1"/>
  <c r="W23" i="9"/>
  <c r="X23" i="9" s="1"/>
  <c r="W24" i="9"/>
  <c r="X24" i="9" s="1"/>
  <c r="W25" i="9"/>
  <c r="X25" i="9" s="1"/>
  <c r="W26" i="9"/>
  <c r="X26" i="9" s="1"/>
  <c r="W27" i="9"/>
  <c r="X27" i="9" s="1"/>
  <c r="W28" i="9"/>
  <c r="X28" i="9" s="1"/>
  <c r="W29" i="9"/>
  <c r="X29" i="9" s="1"/>
  <c r="W30" i="9"/>
  <c r="X30" i="9" s="1"/>
  <c r="W31" i="9"/>
  <c r="X31" i="9" s="1"/>
  <c r="W32" i="9"/>
  <c r="X32" i="9" s="1"/>
  <c r="W33" i="9"/>
  <c r="X33" i="9" s="1"/>
  <c r="W34" i="9"/>
  <c r="X34" i="9" s="1"/>
  <c r="W35" i="9"/>
  <c r="X35" i="9" s="1"/>
  <c r="W36" i="9"/>
  <c r="X36" i="9" s="1"/>
  <c r="W37" i="9"/>
  <c r="X37" i="9" s="1"/>
  <c r="W38" i="9"/>
  <c r="X38" i="9" s="1"/>
  <c r="W39" i="9"/>
  <c r="X39" i="9" s="1"/>
  <c r="W40" i="9"/>
  <c r="X40" i="9" s="1"/>
  <c r="W41" i="9"/>
  <c r="X41" i="9" s="1"/>
  <c r="W42" i="9"/>
  <c r="X42" i="9" s="1"/>
  <c r="W43" i="9"/>
  <c r="X43" i="9" s="1"/>
  <c r="W44" i="9"/>
  <c r="X44" i="9" s="1"/>
  <c r="W45" i="9"/>
  <c r="X45" i="9" s="1"/>
  <c r="W46" i="9"/>
  <c r="X46" i="9" s="1"/>
  <c r="W47" i="9"/>
  <c r="X47" i="9" s="1"/>
  <c r="W48" i="9"/>
  <c r="X48" i="9" s="1"/>
  <c r="W49" i="9"/>
  <c r="X49" i="9" s="1"/>
  <c r="W50" i="9"/>
  <c r="X50" i="9" s="1"/>
  <c r="W51" i="9"/>
  <c r="X51" i="9" s="1"/>
  <c r="W52" i="9"/>
  <c r="X52" i="9" s="1"/>
  <c r="W3" i="9"/>
  <c r="X3" i="9" s="1"/>
  <c r="S4" i="9"/>
  <c r="T4" i="9" s="1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3" i="9"/>
  <c r="B3" i="7"/>
  <c r="B8" i="7"/>
  <c r="B9" i="7"/>
  <c r="B10" i="7"/>
  <c r="B11" i="7"/>
  <c r="B4" i="7"/>
  <c r="B5" i="7"/>
  <c r="B26" i="7"/>
  <c r="B12" i="7"/>
  <c r="B55" i="7"/>
  <c r="B27" i="7"/>
  <c r="B28" i="7"/>
  <c r="B29" i="7"/>
  <c r="B30" i="7"/>
  <c r="B31" i="7"/>
  <c r="B32" i="7"/>
  <c r="B33" i="7"/>
  <c r="B34" i="7"/>
  <c r="B35" i="7"/>
  <c r="B36" i="7"/>
  <c r="B13" i="7"/>
  <c r="B14" i="7"/>
  <c r="B37" i="7"/>
  <c r="B38" i="7"/>
  <c r="B15" i="7"/>
  <c r="B16" i="7"/>
  <c r="B17" i="7"/>
  <c r="B39" i="7"/>
  <c r="B18" i="7"/>
  <c r="B19" i="7"/>
  <c r="B20" i="7"/>
  <c r="B21" i="7"/>
  <c r="B22" i="7"/>
  <c r="B23" i="7"/>
  <c r="B40" i="7"/>
  <c r="B41" i="7"/>
  <c r="B42" i="7"/>
  <c r="B43" i="7"/>
  <c r="B6" i="7"/>
  <c r="B44" i="7"/>
  <c r="B45" i="7"/>
  <c r="B46" i="7"/>
  <c r="B88" i="7"/>
  <c r="B56" i="7"/>
  <c r="B57" i="7"/>
  <c r="B58" i="7"/>
  <c r="B59" i="7"/>
  <c r="B60" i="7"/>
  <c r="B61" i="7"/>
  <c r="B62" i="7"/>
  <c r="B63" i="7"/>
  <c r="B64" i="7"/>
  <c r="B89" i="7"/>
  <c r="B65" i="7"/>
  <c r="B90" i="7"/>
  <c r="B66" i="7"/>
  <c r="B67" i="7"/>
  <c r="B68" i="7"/>
  <c r="B69" i="7"/>
  <c r="B47" i="7"/>
  <c r="B70" i="7"/>
  <c r="B71" i="7"/>
  <c r="B72" i="7"/>
  <c r="B73" i="7"/>
  <c r="B48" i="7"/>
  <c r="B74" i="7"/>
  <c r="B49" i="7"/>
  <c r="B50" i="7"/>
  <c r="B75" i="7"/>
  <c r="B76" i="7"/>
  <c r="B51" i="7"/>
  <c r="B77" i="7"/>
  <c r="B78" i="7"/>
  <c r="B79" i="7"/>
  <c r="B80" i="7"/>
  <c r="B81" i="7"/>
  <c r="B82" i="7"/>
  <c r="B91" i="7"/>
  <c r="B92" i="7"/>
  <c r="B93" i="7"/>
  <c r="B94" i="7"/>
  <c r="B83" i="7"/>
  <c r="B95" i="7"/>
  <c r="B52" i="7"/>
  <c r="B7" i="7"/>
  <c r="B24" i="7"/>
  <c r="B96" i="7"/>
  <c r="B84" i="7"/>
  <c r="B85" i="7"/>
  <c r="B53" i="7"/>
  <c r="B25" i="7"/>
  <c r="B86" i="7"/>
  <c r="B97" i="7"/>
  <c r="B54" i="7"/>
  <c r="B87" i="7"/>
  <c r="B2" i="7"/>
  <c r="E3" i="7"/>
  <c r="E8" i="7"/>
  <c r="E9" i="7"/>
  <c r="E10" i="7"/>
  <c r="E11" i="7"/>
  <c r="E4" i="7"/>
  <c r="E5" i="7"/>
  <c r="E26" i="7"/>
  <c r="E12" i="7"/>
  <c r="E55" i="7"/>
  <c r="E27" i="7"/>
  <c r="E28" i="7"/>
  <c r="E29" i="7"/>
  <c r="E30" i="7"/>
  <c r="E31" i="7"/>
  <c r="E32" i="7"/>
  <c r="E33" i="7"/>
  <c r="E34" i="7"/>
  <c r="E35" i="7"/>
  <c r="E36" i="7"/>
  <c r="E13" i="7"/>
  <c r="E14" i="7"/>
  <c r="E37" i="7"/>
  <c r="E38" i="7"/>
  <c r="E15" i="7"/>
  <c r="E16" i="7"/>
  <c r="E17" i="7"/>
  <c r="E39" i="7"/>
  <c r="E18" i="7"/>
  <c r="E19" i="7"/>
  <c r="E20" i="7"/>
  <c r="E21" i="7"/>
  <c r="E22" i="7"/>
  <c r="E23" i="7"/>
  <c r="E40" i="7"/>
  <c r="E41" i="7"/>
  <c r="E42" i="7"/>
  <c r="E43" i="7"/>
  <c r="E6" i="7"/>
  <c r="E44" i="7"/>
  <c r="E45" i="7"/>
  <c r="E46" i="7"/>
  <c r="E88" i="7"/>
  <c r="E56" i="7"/>
  <c r="E57" i="7"/>
  <c r="E58" i="7"/>
  <c r="E59" i="7"/>
  <c r="E60" i="7"/>
  <c r="E61" i="7"/>
  <c r="E62" i="7"/>
  <c r="E63" i="7"/>
  <c r="E64" i="7"/>
  <c r="E89" i="7"/>
  <c r="E65" i="7"/>
  <c r="E90" i="7"/>
  <c r="E66" i="7"/>
  <c r="E67" i="7"/>
  <c r="E68" i="7"/>
  <c r="E69" i="7"/>
  <c r="E47" i="7"/>
  <c r="E70" i="7"/>
  <c r="E71" i="7"/>
  <c r="E72" i="7"/>
  <c r="E73" i="7"/>
  <c r="E48" i="7"/>
  <c r="E74" i="7"/>
  <c r="E49" i="7"/>
  <c r="E50" i="7"/>
  <c r="E75" i="7"/>
  <c r="E76" i="7"/>
  <c r="E51" i="7"/>
  <c r="E77" i="7"/>
  <c r="E78" i="7"/>
  <c r="E79" i="7"/>
  <c r="E80" i="7"/>
  <c r="E81" i="7"/>
  <c r="E82" i="7"/>
  <c r="E91" i="7"/>
  <c r="E92" i="7"/>
  <c r="E93" i="7"/>
  <c r="E94" i="7"/>
  <c r="E83" i="7"/>
  <c r="E95" i="7"/>
  <c r="E52" i="7"/>
  <c r="E7" i="7"/>
  <c r="E24" i="7"/>
  <c r="E96" i="7"/>
  <c r="E84" i="7"/>
  <c r="E85" i="7"/>
  <c r="E53" i="7"/>
  <c r="E25" i="7"/>
  <c r="E86" i="7"/>
  <c r="E97" i="7"/>
  <c r="E54" i="7"/>
  <c r="E87" i="7"/>
  <c r="E2" i="7"/>
  <c r="E32" i="25" l="1"/>
  <c r="Y52" i="2"/>
  <c r="Y4" i="2"/>
  <c r="E15" i="25"/>
  <c r="K27" i="21" a="1"/>
  <c r="K27" i="21" s="1"/>
  <c r="E27" i="21" s="1"/>
  <c r="K27" i="25" a="1"/>
  <c r="K27" i="25" s="1"/>
  <c r="E27" i="25" s="1"/>
  <c r="K26" i="25" a="1"/>
  <c r="K26" i="25" s="1"/>
  <c r="E26" i="25" s="1"/>
  <c r="X64" i="2"/>
  <c r="X61" i="2"/>
  <c r="AA101" i="2"/>
  <c r="Y69" i="2"/>
  <c r="Y59" i="2"/>
  <c r="K21" i="25" a="1"/>
  <c r="K21" i="25" s="1"/>
  <c r="E21" i="25" s="1"/>
  <c r="K21" i="23" a="1"/>
  <c r="K21" i="23" s="1"/>
  <c r="E21" i="23" s="1"/>
  <c r="B56" i="17"/>
  <c r="K26" i="24" a="1"/>
  <c r="K26" i="24" s="1"/>
  <c r="E26" i="24" s="1"/>
  <c r="K21" i="24" a="1"/>
  <c r="K21" i="24" s="1"/>
  <c r="E21" i="24" s="1"/>
  <c r="K6" i="20" a="1"/>
  <c r="K6" i="20" s="1"/>
  <c r="E6" i="20" s="1"/>
  <c r="K7" i="20" a="1"/>
  <c r="K7" i="20" s="1"/>
  <c r="E7" i="20" s="1"/>
  <c r="K21" i="22" a="1"/>
  <c r="K21" i="22" s="1"/>
  <c r="E21" i="22" s="1"/>
  <c r="K26" i="21" a="1"/>
  <c r="K26" i="21" s="1"/>
  <c r="E26" i="21" s="1"/>
  <c r="K26" i="23" a="1"/>
  <c r="K26" i="23" s="1"/>
  <c r="E26" i="23" s="1"/>
  <c r="K26" i="22" a="1"/>
  <c r="K26" i="22" s="1"/>
  <c r="E26" i="22" s="1"/>
  <c r="D56" i="2" a="1"/>
  <c r="D56" i="2" s="1"/>
  <c r="K27" i="23" a="1"/>
  <c r="K27" i="23" s="1"/>
  <c r="E27" i="23" s="1"/>
  <c r="K27" i="24" a="1"/>
  <c r="K27" i="24" s="1"/>
  <c r="E27" i="24" s="1"/>
  <c r="K8" i="20" a="1"/>
  <c r="K8" i="20" s="1"/>
  <c r="E8" i="20" s="1"/>
  <c r="K27" i="22" a="1"/>
  <c r="K27" i="22" s="1"/>
  <c r="E27" i="22" s="1"/>
  <c r="X53" i="2"/>
  <c r="Y53" i="2"/>
  <c r="Y63" i="2"/>
  <c r="X63" i="2"/>
  <c r="X50" i="2"/>
  <c r="Y50" i="2"/>
  <c r="Z100" i="2"/>
  <c r="AA100" i="2"/>
  <c r="X82" i="2"/>
  <c r="Y82" i="2"/>
  <c r="X71" i="2"/>
  <c r="Y71" i="2"/>
  <c r="X7" i="2"/>
  <c r="Y7" i="2"/>
  <c r="X81" i="2"/>
  <c r="Y81" i="2"/>
  <c r="X6" i="2"/>
  <c r="Y6" i="2"/>
  <c r="X5" i="2"/>
  <c r="Y5" i="2"/>
  <c r="Y31" i="2"/>
  <c r="X31" i="2"/>
  <c r="Y55" i="2"/>
  <c r="Y54" i="2"/>
  <c r="Y3" i="2"/>
  <c r="X13" i="2"/>
  <c r="Y51" i="2"/>
  <c r="AA99" i="2"/>
  <c r="AA91" i="2"/>
  <c r="Y32" i="2"/>
  <c r="AA87" i="2"/>
  <c r="Y83" i="2"/>
  <c r="Y23" i="2"/>
  <c r="Y22" i="2"/>
  <c r="Y20" i="2"/>
  <c r="Y80" i="2"/>
  <c r="Y19" i="2"/>
  <c r="Y78" i="2"/>
  <c r="Y11" i="2"/>
  <c r="X12" i="2"/>
  <c r="Y12" i="2"/>
  <c r="X29" i="2"/>
  <c r="Y29" i="2"/>
  <c r="X60" i="2"/>
  <c r="Y60" i="2"/>
  <c r="X39" i="2"/>
  <c r="Y39" i="2"/>
  <c r="X21" i="2"/>
  <c r="Y21" i="2"/>
  <c r="Y49" i="2"/>
  <c r="X49" i="2"/>
  <c r="AA90" i="2"/>
  <c r="Z90" i="2"/>
  <c r="Y70" i="2"/>
  <c r="X70" i="2"/>
  <c r="X58" i="2"/>
  <c r="Y58" i="2"/>
  <c r="X68" i="2"/>
  <c r="Y68" i="2"/>
  <c r="AA96" i="2"/>
  <c r="AA95" i="2"/>
  <c r="Y15" i="2"/>
  <c r="Z94" i="2"/>
  <c r="Y62" i="2"/>
  <c r="Y46" i="2"/>
  <c r="Y30" i="2"/>
  <c r="Y14" i="2"/>
  <c r="Y85" i="2"/>
  <c r="Y37" i="2"/>
  <c r="Y67" i="2"/>
  <c r="Y79" i="2"/>
  <c r="Y47" i="2"/>
  <c r="Z93" i="2"/>
  <c r="Y77" i="2"/>
  <c r="Y45" i="2"/>
  <c r="Y17" i="2"/>
  <c r="AA92" i="2"/>
  <c r="Y76" i="2"/>
  <c r="Y44" i="2"/>
  <c r="Y28" i="2"/>
  <c r="Y84" i="2"/>
  <c r="Y36" i="2"/>
  <c r="X33" i="2"/>
  <c r="Y16" i="2"/>
  <c r="Z89" i="2"/>
  <c r="Y75" i="2"/>
  <c r="Y43" i="2"/>
  <c r="Y27" i="2"/>
  <c r="Y74" i="2"/>
  <c r="Y42" i="2"/>
  <c r="Y26" i="2"/>
  <c r="Y10" i="2"/>
  <c r="AA86" i="2"/>
  <c r="Y38" i="2"/>
  <c r="Y35" i="2"/>
  <c r="AA98" i="2"/>
  <c r="Y66" i="2"/>
  <c r="Y34" i="2"/>
  <c r="AA97" i="2"/>
  <c r="Y65" i="2"/>
  <c r="Y48" i="2"/>
  <c r="Y73" i="2"/>
  <c r="Y57" i="2"/>
  <c r="Y41" i="2"/>
  <c r="Y25" i="2"/>
  <c r="Y18" i="2"/>
  <c r="AA88" i="2"/>
  <c r="Y72" i="2"/>
  <c r="Y56" i="2"/>
  <c r="Y40" i="2"/>
  <c r="Y24" i="2"/>
  <c r="X8" i="2"/>
  <c r="T9" i="2"/>
  <c r="X2" i="2"/>
  <c r="T7" i="19"/>
  <c r="T4" i="19"/>
  <c r="P68" i="18"/>
  <c r="R73" i="18"/>
  <c r="S73" i="18" s="1"/>
  <c r="P72" i="18"/>
  <c r="P64" i="18"/>
  <c r="P65" i="18"/>
  <c r="P67" i="18"/>
  <c r="L19" i="18"/>
  <c r="R85" i="18"/>
  <c r="S85" i="18" s="1"/>
  <c r="P85" i="18"/>
  <c r="R84" i="18"/>
  <c r="S84" i="18" s="1"/>
  <c r="P84" i="18"/>
  <c r="R83" i="18"/>
  <c r="S83" i="18" s="1"/>
  <c r="P83" i="18"/>
  <c r="R82" i="18"/>
  <c r="S82" i="18" s="1"/>
  <c r="P82" i="18"/>
  <c r="R81" i="18"/>
  <c r="S81" i="18" s="1"/>
  <c r="P81" i="18"/>
  <c r="R80" i="18"/>
  <c r="S80" i="18" s="1"/>
  <c r="P80" i="18"/>
  <c r="P79" i="18"/>
  <c r="R79" i="18"/>
  <c r="S79" i="18" s="1"/>
  <c r="R78" i="18"/>
  <c r="S78" i="18" s="1"/>
  <c r="P78" i="18"/>
  <c r="R77" i="18"/>
  <c r="S77" i="18" s="1"/>
  <c r="P77" i="18"/>
  <c r="P76" i="18"/>
  <c r="R76" i="18"/>
  <c r="S76" i="18" s="1"/>
  <c r="P75" i="18"/>
  <c r="R75" i="18"/>
  <c r="S75" i="18" s="1"/>
  <c r="P74" i="18"/>
  <c r="R74" i="18"/>
  <c r="S74" i="18" s="1"/>
  <c r="P73" i="18"/>
  <c r="R72" i="18"/>
  <c r="S72" i="18" s="1"/>
  <c r="R71" i="18"/>
  <c r="S71" i="18" s="1"/>
  <c r="P71" i="18"/>
  <c r="P70" i="18"/>
  <c r="R70" i="18"/>
  <c r="S70" i="18" s="1"/>
  <c r="R69" i="18"/>
  <c r="S69" i="18" s="1"/>
  <c r="P69" i="18"/>
  <c r="R68" i="18"/>
  <c r="S68" i="18" s="1"/>
  <c r="R67" i="18"/>
  <c r="S67" i="18" s="1"/>
  <c r="R66" i="18"/>
  <c r="S66" i="18" s="1"/>
  <c r="P66" i="18"/>
  <c r="R65" i="18"/>
  <c r="S65" i="18" s="1"/>
  <c r="R64" i="18"/>
  <c r="S64" i="18" s="1"/>
  <c r="R63" i="18"/>
  <c r="S63" i="18" s="1"/>
  <c r="P63" i="18"/>
  <c r="R55" i="18"/>
  <c r="S55" i="18" s="1"/>
  <c r="P55" i="18"/>
  <c r="R50" i="18"/>
  <c r="S50" i="18" s="1"/>
  <c r="P50" i="18"/>
  <c r="R49" i="18"/>
  <c r="S49" i="18" s="1"/>
  <c r="P49" i="18"/>
  <c r="P47" i="18"/>
  <c r="R47" i="18"/>
  <c r="S47" i="18" s="1"/>
  <c r="R46" i="18"/>
  <c r="S46" i="18" s="1"/>
  <c r="P46" i="18"/>
  <c r="R45" i="18"/>
  <c r="S45" i="18" s="1"/>
  <c r="P45" i="18"/>
  <c r="P44" i="18"/>
  <c r="R44" i="18"/>
  <c r="S44" i="18" s="1"/>
  <c r="R43" i="18"/>
  <c r="S43" i="18" s="1"/>
  <c r="P43" i="18"/>
  <c r="P42" i="18"/>
  <c r="R42" i="18"/>
  <c r="S42" i="18" s="1"/>
  <c r="R41" i="18"/>
  <c r="S41" i="18" s="1"/>
  <c r="P41" i="18"/>
  <c r="R40" i="18"/>
  <c r="S40" i="18" s="1"/>
  <c r="P40" i="18"/>
  <c r="R39" i="18"/>
  <c r="S39" i="18" s="1"/>
  <c r="P39" i="18"/>
  <c r="R38" i="18"/>
  <c r="S38" i="18" s="1"/>
  <c r="P38" i="18"/>
  <c r="R37" i="18"/>
  <c r="S37" i="18" s="1"/>
  <c r="P37" i="18"/>
  <c r="R36" i="18"/>
  <c r="S36" i="18" s="1"/>
  <c r="P36" i="18"/>
  <c r="R35" i="18"/>
  <c r="S35" i="18" s="1"/>
  <c r="P35" i="18"/>
  <c r="R34" i="18"/>
  <c r="S34" i="18" s="1"/>
  <c r="P34" i="18"/>
  <c r="P33" i="18"/>
  <c r="R33" i="18"/>
  <c r="S33" i="18" s="1"/>
  <c r="P32" i="18"/>
  <c r="R32" i="18"/>
  <c r="S32" i="18" s="1"/>
  <c r="R31" i="18"/>
  <c r="S31" i="18" s="1"/>
  <c r="P31" i="18"/>
  <c r="P30" i="18"/>
  <c r="R30" i="18"/>
  <c r="S30" i="18" s="1"/>
  <c r="P29" i="18"/>
  <c r="R29" i="18"/>
  <c r="S29" i="18" s="1"/>
  <c r="R28" i="18"/>
  <c r="S28" i="18" s="1"/>
  <c r="P28" i="18"/>
  <c r="P27" i="18"/>
  <c r="R27" i="18"/>
  <c r="S27" i="18" s="1"/>
  <c r="R26" i="18"/>
  <c r="S26" i="18" s="1"/>
  <c r="P26" i="18"/>
  <c r="P25" i="18"/>
  <c r="R25" i="18"/>
  <c r="S25" i="18" s="1"/>
  <c r="R24" i="18"/>
  <c r="S24" i="18" s="1"/>
  <c r="P24" i="18"/>
  <c r="P23" i="18"/>
  <c r="R23" i="18"/>
  <c r="S23" i="18" s="1"/>
  <c r="P22" i="18"/>
  <c r="R22" i="18"/>
  <c r="S22" i="18" s="1"/>
  <c r="R21" i="18"/>
  <c r="S21" i="18" s="1"/>
  <c r="P21" i="18"/>
  <c r="P20" i="18"/>
  <c r="R20" i="18"/>
  <c r="S20" i="18" s="1"/>
  <c r="R19" i="18"/>
  <c r="S19" i="18" s="1"/>
  <c r="P19" i="18"/>
  <c r="P18" i="18"/>
  <c r="R18" i="18"/>
  <c r="S18" i="18" s="1"/>
  <c r="P17" i="18"/>
  <c r="R17" i="18"/>
  <c r="S17" i="18" s="1"/>
  <c r="P10" i="18"/>
  <c r="R10" i="18"/>
  <c r="S10" i="18" s="1"/>
  <c r="R9" i="18"/>
  <c r="S9" i="18" s="1"/>
  <c r="P9" i="18"/>
  <c r="R8" i="18"/>
  <c r="S8" i="18" s="1"/>
  <c r="P8" i="18"/>
  <c r="P7" i="18"/>
  <c r="R7" i="18"/>
  <c r="S7" i="18" s="1"/>
  <c r="P5" i="18"/>
  <c r="R5" i="18"/>
  <c r="S5" i="18" s="1"/>
  <c r="P4" i="18"/>
  <c r="R4" i="18"/>
  <c r="S4" i="18" s="1"/>
  <c r="A101" i="18"/>
  <c r="A101" i="17"/>
  <c r="N13" i="17"/>
  <c r="Q13" i="17"/>
  <c r="N5" i="17"/>
  <c r="Q5" i="17"/>
  <c r="N14" i="17"/>
  <c r="Q14" i="17"/>
  <c r="Q10" i="17"/>
  <c r="N10" i="17"/>
  <c r="N11" i="17"/>
  <c r="Q11" i="17"/>
  <c r="N12" i="17"/>
  <c r="Q12" i="17"/>
  <c r="N15" i="17"/>
  <c r="Q15" i="17"/>
  <c r="N16" i="17"/>
  <c r="Q16" i="17"/>
  <c r="N9" i="17"/>
  <c r="Q9" i="17"/>
  <c r="N6" i="17"/>
  <c r="Q6" i="17"/>
  <c r="N8" i="17"/>
  <c r="Q8" i="17"/>
  <c r="N7" i="17"/>
  <c r="Q7" i="17"/>
  <c r="N17" i="17"/>
  <c r="Q17" i="17"/>
  <c r="N18" i="17"/>
  <c r="Q18" i="17"/>
  <c r="N19" i="17"/>
  <c r="Q20" i="17"/>
  <c r="N25" i="17"/>
  <c r="Q21" i="17"/>
  <c r="N22" i="17"/>
  <c r="Q24" i="17"/>
  <c r="N26" i="17"/>
  <c r="Q23" i="17"/>
  <c r="N27" i="17"/>
  <c r="Q19" i="17"/>
  <c r="N46" i="17"/>
  <c r="Q25" i="17"/>
  <c r="N41" i="17"/>
  <c r="Q22" i="17"/>
  <c r="N43" i="17"/>
  <c r="Q26" i="17"/>
  <c r="N44" i="17"/>
  <c r="Q27" i="17"/>
  <c r="N45" i="17"/>
  <c r="Q46" i="17"/>
  <c r="N51" i="17"/>
  <c r="Q41" i="17"/>
  <c r="N52" i="17"/>
  <c r="Q43" i="17"/>
  <c r="N42" i="17"/>
  <c r="Q44" i="17"/>
  <c r="N28" i="17"/>
  <c r="Q45" i="17"/>
  <c r="N34" i="17"/>
  <c r="Q51" i="17"/>
  <c r="N29" i="17"/>
  <c r="Q52" i="17"/>
  <c r="N35" i="17"/>
  <c r="Q42" i="17"/>
  <c r="N31" i="17"/>
  <c r="Q28" i="17"/>
  <c r="N32" i="17"/>
  <c r="Q34" i="17"/>
  <c r="N33" i="17"/>
  <c r="Q29" i="17"/>
  <c r="N36" i="17"/>
  <c r="Q35" i="17"/>
  <c r="N37" i="17"/>
  <c r="Q31" i="17"/>
  <c r="N30" i="17"/>
  <c r="Q32" i="17"/>
  <c r="N38" i="17"/>
  <c r="Q33" i="17"/>
  <c r="N40" i="17"/>
  <c r="Q36" i="17"/>
  <c r="N39" i="17"/>
  <c r="Q37" i="17"/>
  <c r="N47" i="17"/>
  <c r="Q30" i="17"/>
  <c r="N53" i="17"/>
  <c r="Q38" i="17"/>
  <c r="N48" i="17"/>
  <c r="Q40" i="17"/>
  <c r="N50" i="17"/>
  <c r="Q39" i="17"/>
  <c r="N49" i="17"/>
  <c r="Q47" i="17"/>
  <c r="N54" i="17"/>
  <c r="Q53" i="17"/>
  <c r="N55" i="17"/>
  <c r="Q48" i="17"/>
  <c r="N56" i="17"/>
  <c r="Q50" i="17"/>
  <c r="N61" i="17"/>
  <c r="Q49" i="17"/>
  <c r="N68" i="17"/>
  <c r="Q54" i="17"/>
  <c r="N66" i="17"/>
  <c r="Q55" i="17"/>
  <c r="N62" i="17"/>
  <c r="Q56" i="17"/>
  <c r="N69" i="17"/>
  <c r="Q61" i="17"/>
  <c r="N67" i="17"/>
  <c r="Q68" i="17"/>
  <c r="N64" i="17"/>
  <c r="Q66" i="17"/>
  <c r="N65" i="17"/>
  <c r="Q62" i="17"/>
  <c r="N70" i="17"/>
  <c r="Q69" i="17"/>
  <c r="N63" i="17"/>
  <c r="Q67" i="17"/>
  <c r="N71" i="17"/>
  <c r="Q64" i="17"/>
  <c r="N84" i="17"/>
  <c r="Q65" i="17"/>
  <c r="N88" i="17"/>
  <c r="Q70" i="17"/>
  <c r="N89" i="17"/>
  <c r="Q63" i="17"/>
  <c r="N72" i="17"/>
  <c r="Q71" i="17"/>
  <c r="Q84" i="17"/>
  <c r="N80" i="17"/>
  <c r="N73" i="17"/>
  <c r="Q88" i="17"/>
  <c r="Q89" i="17"/>
  <c r="N78" i="17"/>
  <c r="Q72" i="17"/>
  <c r="N79" i="17"/>
  <c r="N81" i="17"/>
  <c r="Q80" i="17"/>
  <c r="N74" i="17"/>
  <c r="Q73" i="17"/>
  <c r="N75" i="17"/>
  <c r="Q78" i="17"/>
  <c r="N76" i="17"/>
  <c r="Q79" i="17"/>
  <c r="Q81" i="17"/>
  <c r="N77" i="17"/>
  <c r="N82" i="17"/>
  <c r="Q74" i="17"/>
  <c r="N83" i="17"/>
  <c r="Q75" i="17"/>
  <c r="N85" i="17"/>
  <c r="Q76" i="17"/>
  <c r="N87" i="17"/>
  <c r="Q77" i="17"/>
  <c r="N86" i="17"/>
  <c r="Q82" i="17"/>
  <c r="Q83" i="17"/>
  <c r="N57" i="17"/>
  <c r="N58" i="17"/>
  <c r="Q85" i="17"/>
  <c r="N59" i="17"/>
  <c r="Q87" i="17"/>
  <c r="N60" i="17"/>
  <c r="Q86" i="17"/>
  <c r="N4" i="17"/>
  <c r="Q4" i="17"/>
  <c r="U89" i="17"/>
  <c r="V89" i="17" s="1"/>
  <c r="S89" i="17"/>
  <c r="S86" i="17"/>
  <c r="U86" i="17"/>
  <c r="V86" i="17" s="1"/>
  <c r="S87" i="17"/>
  <c r="U87" i="17"/>
  <c r="V87" i="17" s="1"/>
  <c r="S85" i="17"/>
  <c r="U85" i="17"/>
  <c r="V85" i="17" s="1"/>
  <c r="S83" i="17"/>
  <c r="U83" i="17"/>
  <c r="V83" i="17" s="1"/>
  <c r="S82" i="17"/>
  <c r="U82" i="17"/>
  <c r="V82" i="17" s="1"/>
  <c r="S77" i="17"/>
  <c r="U77" i="17"/>
  <c r="V77" i="17" s="1"/>
  <c r="U76" i="17"/>
  <c r="V76" i="17" s="1"/>
  <c r="S75" i="17"/>
  <c r="U75" i="17"/>
  <c r="V75" i="17" s="1"/>
  <c r="U74" i="17"/>
  <c r="V74" i="17" s="1"/>
  <c r="S74" i="17"/>
  <c r="S81" i="17"/>
  <c r="U81" i="17"/>
  <c r="V81" i="17" s="1"/>
  <c r="U79" i="17"/>
  <c r="V79" i="17" s="1"/>
  <c r="S79" i="17"/>
  <c r="U78" i="17"/>
  <c r="V78" i="17" s="1"/>
  <c r="S78" i="17"/>
  <c r="S73" i="17"/>
  <c r="U73" i="17"/>
  <c r="V73" i="17" s="1"/>
  <c r="U80" i="17"/>
  <c r="V80" i="17" s="1"/>
  <c r="S80" i="17"/>
  <c r="S72" i="17"/>
  <c r="U72" i="17"/>
  <c r="V72" i="17" s="1"/>
  <c r="S88" i="17"/>
  <c r="U88" i="17"/>
  <c r="V88" i="17" s="1"/>
  <c r="U84" i="17"/>
  <c r="V84" i="17" s="1"/>
  <c r="S84" i="17"/>
  <c r="U71" i="17"/>
  <c r="V71" i="17" s="1"/>
  <c r="S71" i="17"/>
  <c r="S63" i="17"/>
  <c r="U63" i="17"/>
  <c r="V63" i="17" s="1"/>
  <c r="S70" i="17"/>
  <c r="U70" i="17"/>
  <c r="V70" i="17" s="1"/>
  <c r="U65" i="17"/>
  <c r="V65" i="17" s="1"/>
  <c r="S65" i="17"/>
  <c r="U64" i="17"/>
  <c r="V64" i="17" s="1"/>
  <c r="S64" i="17"/>
  <c r="S67" i="17"/>
  <c r="U67" i="17"/>
  <c r="V67" i="17" s="1"/>
  <c r="S69" i="17"/>
  <c r="U69" i="17"/>
  <c r="V69" i="17" s="1"/>
  <c r="S62" i="17"/>
  <c r="U62" i="17"/>
  <c r="V62" i="17" s="1"/>
  <c r="S66" i="17"/>
  <c r="U66" i="17"/>
  <c r="V66" i="17" s="1"/>
  <c r="S68" i="17"/>
  <c r="U68" i="17"/>
  <c r="V68" i="17" s="1"/>
  <c r="U61" i="17"/>
  <c r="V61" i="17" s="1"/>
  <c r="S61" i="17"/>
  <c r="U56" i="17"/>
  <c r="V56" i="17" s="1"/>
  <c r="S56" i="17"/>
  <c r="U55" i="17"/>
  <c r="V55" i="17" s="1"/>
  <c r="S55" i="17"/>
  <c r="U54" i="17"/>
  <c r="V54" i="17" s="1"/>
  <c r="S54" i="17"/>
  <c r="U49" i="17"/>
  <c r="V49" i="17" s="1"/>
  <c r="S49" i="17"/>
  <c r="S50" i="17"/>
  <c r="U50" i="17"/>
  <c r="V50" i="17" s="1"/>
  <c r="U48" i="17"/>
  <c r="V48" i="17" s="1"/>
  <c r="S48" i="17"/>
  <c r="U53" i="17"/>
  <c r="V53" i="17" s="1"/>
  <c r="S53" i="17"/>
  <c r="U47" i="17"/>
  <c r="V47" i="17" s="1"/>
  <c r="S47" i="17"/>
  <c r="U39" i="17"/>
  <c r="V39" i="17" s="1"/>
  <c r="S39" i="17"/>
  <c r="U40" i="17"/>
  <c r="V40" i="17" s="1"/>
  <c r="S40" i="17"/>
  <c r="S38" i="17"/>
  <c r="U38" i="17"/>
  <c r="V38" i="17" s="1"/>
  <c r="U30" i="17"/>
  <c r="V30" i="17" s="1"/>
  <c r="S30" i="17"/>
  <c r="U37" i="17"/>
  <c r="V37" i="17" s="1"/>
  <c r="S37" i="17"/>
  <c r="U36" i="17"/>
  <c r="V36" i="17" s="1"/>
  <c r="S36" i="17"/>
  <c r="S33" i="17"/>
  <c r="U33" i="17"/>
  <c r="V33" i="17" s="1"/>
  <c r="S32" i="17"/>
  <c r="U32" i="17"/>
  <c r="V32" i="17" s="1"/>
  <c r="S31" i="17"/>
  <c r="U31" i="17"/>
  <c r="V31" i="17" s="1"/>
  <c r="S35" i="17"/>
  <c r="U35" i="17"/>
  <c r="V35" i="17" s="1"/>
  <c r="S29" i="17"/>
  <c r="U29" i="17"/>
  <c r="V29" i="17" s="1"/>
  <c r="S34" i="17"/>
  <c r="U34" i="17"/>
  <c r="V34" i="17" s="1"/>
  <c r="S28" i="17"/>
  <c r="U28" i="17"/>
  <c r="V28" i="17" s="1"/>
  <c r="U42" i="17"/>
  <c r="V42" i="17" s="1"/>
  <c r="S42" i="17"/>
  <c r="U52" i="17"/>
  <c r="V52" i="17" s="1"/>
  <c r="S52" i="17"/>
  <c r="U51" i="17"/>
  <c r="V51" i="17" s="1"/>
  <c r="S51" i="17"/>
  <c r="S45" i="17"/>
  <c r="U45" i="17"/>
  <c r="V45" i="17" s="1"/>
  <c r="U44" i="17"/>
  <c r="V44" i="17" s="1"/>
  <c r="S44" i="17"/>
  <c r="U43" i="17"/>
  <c r="V43" i="17" s="1"/>
  <c r="S43" i="17"/>
  <c r="S41" i="17"/>
  <c r="U41" i="17"/>
  <c r="V41" i="17" s="1"/>
  <c r="S46" i="17"/>
  <c r="U46" i="17"/>
  <c r="V46" i="17" s="1"/>
  <c r="S27" i="17"/>
  <c r="U27" i="17"/>
  <c r="V27" i="17" s="1"/>
  <c r="U26" i="17"/>
  <c r="V26" i="17" s="1"/>
  <c r="S26" i="17"/>
  <c r="U22" i="17"/>
  <c r="V22" i="17" s="1"/>
  <c r="S22" i="17"/>
  <c r="S25" i="17"/>
  <c r="U25" i="17"/>
  <c r="V25" i="17" s="1"/>
  <c r="U19" i="17"/>
  <c r="V19" i="17" s="1"/>
  <c r="S19" i="17"/>
  <c r="U23" i="17"/>
  <c r="V23" i="17" s="1"/>
  <c r="S23" i="17"/>
  <c r="S24" i="17"/>
  <c r="U24" i="17"/>
  <c r="V24" i="17" s="1"/>
  <c r="S21" i="17"/>
  <c r="U21" i="17"/>
  <c r="V21" i="17" s="1"/>
  <c r="S20" i="17"/>
  <c r="U20" i="17"/>
  <c r="V20" i="17" s="1"/>
  <c r="S18" i="17"/>
  <c r="U18" i="17"/>
  <c r="V18" i="17" s="1"/>
  <c r="S17" i="17"/>
  <c r="U17" i="17"/>
  <c r="V17" i="17" s="1"/>
  <c r="S7" i="17"/>
  <c r="U7" i="17"/>
  <c r="V7" i="17" s="1"/>
  <c r="U8" i="17"/>
  <c r="V8" i="17" s="1"/>
  <c r="S8" i="17"/>
  <c r="S6" i="17"/>
  <c r="U6" i="17"/>
  <c r="V6" i="17" s="1"/>
  <c r="S9" i="17"/>
  <c r="U9" i="17"/>
  <c r="V9" i="17" s="1"/>
  <c r="S16" i="17"/>
  <c r="U16" i="17"/>
  <c r="V16" i="17" s="1"/>
  <c r="U15" i="17"/>
  <c r="V15" i="17" s="1"/>
  <c r="S15" i="17"/>
  <c r="U12" i="17"/>
  <c r="V12" i="17" s="1"/>
  <c r="S12" i="17"/>
  <c r="U11" i="17"/>
  <c r="V11" i="17" s="1"/>
  <c r="S11" i="17"/>
  <c r="U10" i="17"/>
  <c r="V10" i="17" s="1"/>
  <c r="S10" i="17"/>
  <c r="U14" i="17"/>
  <c r="V14" i="17" s="1"/>
  <c r="S14" i="17"/>
  <c r="S5" i="17"/>
  <c r="U5" i="17"/>
  <c r="V5" i="17" s="1"/>
  <c r="S13" i="17"/>
  <c r="U13" i="17"/>
  <c r="V13" i="17" s="1"/>
  <c r="U4" i="17"/>
  <c r="V4" i="17" s="1"/>
  <c r="S4" i="17"/>
  <c r="U4" i="9"/>
  <c r="Q4" i="9"/>
  <c r="Q5" i="9"/>
  <c r="U5" i="9"/>
  <c r="Q6" i="9"/>
  <c r="U6" i="9"/>
  <c r="Q7" i="9"/>
  <c r="U7" i="9"/>
  <c r="Q8" i="9"/>
  <c r="U8" i="9"/>
  <c r="Q9" i="9"/>
  <c r="U9" i="9"/>
  <c r="Q10" i="9"/>
  <c r="U10" i="9"/>
  <c r="U11" i="9"/>
  <c r="Q11" i="9"/>
  <c r="Q12" i="9"/>
  <c r="U12" i="9"/>
  <c r="Q13" i="9"/>
  <c r="U13" i="9"/>
  <c r="Q14" i="9"/>
  <c r="U14" i="9"/>
  <c r="Q15" i="9"/>
  <c r="U15" i="9"/>
  <c r="Q16" i="9"/>
  <c r="U16" i="9"/>
  <c r="Q17" i="9"/>
  <c r="U17" i="9"/>
  <c r="Q18" i="9"/>
  <c r="U18" i="9"/>
  <c r="Q19" i="9"/>
  <c r="U19" i="9"/>
  <c r="Q20" i="9"/>
  <c r="U20" i="9"/>
  <c r="Q21" i="9"/>
  <c r="U21" i="9"/>
  <c r="Q22" i="9"/>
  <c r="U22" i="9"/>
  <c r="Q23" i="9"/>
  <c r="U23" i="9"/>
  <c r="U24" i="9"/>
  <c r="Q24" i="9"/>
  <c r="Q25" i="9"/>
  <c r="U25" i="9"/>
  <c r="Q26" i="9"/>
  <c r="U26" i="9"/>
  <c r="Q27" i="9"/>
  <c r="U27" i="9"/>
  <c r="Q28" i="9"/>
  <c r="N28" i="9" s="1"/>
  <c r="U28" i="9"/>
  <c r="Q29" i="9"/>
  <c r="U29" i="9"/>
  <c r="Q30" i="9"/>
  <c r="U30" i="9"/>
  <c r="U31" i="9"/>
  <c r="Q31" i="9"/>
  <c r="U32" i="9"/>
  <c r="Q32" i="9"/>
  <c r="Q33" i="9"/>
  <c r="U33" i="9"/>
  <c r="U34" i="9"/>
  <c r="Q34" i="9"/>
  <c r="U35" i="9"/>
  <c r="Q35" i="9"/>
  <c r="N35" i="9" s="1"/>
  <c r="U36" i="9"/>
  <c r="Q36" i="9"/>
  <c r="N36" i="9" s="1"/>
  <c r="Q37" i="9"/>
  <c r="U37" i="9"/>
  <c r="U38" i="9"/>
  <c r="Q38" i="9"/>
  <c r="Q39" i="9"/>
  <c r="U39" i="9"/>
  <c r="U40" i="9"/>
  <c r="Q40" i="9"/>
  <c r="Q41" i="9"/>
  <c r="U41" i="9"/>
  <c r="U42" i="9"/>
  <c r="Q42" i="9"/>
  <c r="U43" i="9"/>
  <c r="Q43" i="9"/>
  <c r="Q44" i="9"/>
  <c r="U44" i="9"/>
  <c r="Q45" i="9"/>
  <c r="N45" i="9" s="1"/>
  <c r="U45" i="9"/>
  <c r="U46" i="9"/>
  <c r="Q46" i="9"/>
  <c r="Q47" i="9"/>
  <c r="U47" i="9"/>
  <c r="U48" i="9"/>
  <c r="Q48" i="9"/>
  <c r="N48" i="9" s="1"/>
  <c r="U49" i="9"/>
  <c r="Q49" i="9"/>
  <c r="N49" i="9" s="1"/>
  <c r="U50" i="9"/>
  <c r="Q50" i="9"/>
  <c r="U51" i="9"/>
  <c r="Q51" i="9"/>
  <c r="Q52" i="9"/>
  <c r="U52" i="9"/>
  <c r="U3" i="9"/>
  <c r="Y11" i="9"/>
  <c r="Y12" i="9"/>
  <c r="Y13" i="9"/>
  <c r="Y21" i="9"/>
  <c r="Y6" i="9"/>
  <c r="N3" i="9"/>
  <c r="U27" i="18" l="1"/>
  <c r="U23" i="18"/>
  <c r="U47" i="18"/>
  <c r="U5" i="18"/>
  <c r="U20" i="18"/>
  <c r="U44" i="18"/>
  <c r="U75" i="18"/>
  <c r="U67" i="18"/>
  <c r="U18" i="18"/>
  <c r="U76" i="18"/>
  <c r="X9" i="2"/>
  <c r="Y9" i="2"/>
  <c r="U22" i="18"/>
  <c r="U30" i="18"/>
  <c r="U64" i="18"/>
  <c r="U17" i="18"/>
  <c r="U25" i="18"/>
  <c r="U72" i="18"/>
  <c r="U7" i="18"/>
  <c r="U29" i="18"/>
  <c r="U68" i="18"/>
  <c r="U65" i="18"/>
  <c r="U69" i="18"/>
  <c r="U32" i="18"/>
  <c r="U70" i="18"/>
  <c r="X87" i="17"/>
  <c r="U71" i="18"/>
  <c r="U33" i="18"/>
  <c r="U24" i="18"/>
  <c r="U84" i="18"/>
  <c r="U81" i="18"/>
  <c r="U77" i="18"/>
  <c r="U66" i="18"/>
  <c r="P6" i="18"/>
  <c r="R6" i="18"/>
  <c r="S6" i="18" s="1"/>
  <c r="U55" i="18"/>
  <c r="U50" i="18"/>
  <c r="U49" i="18"/>
  <c r="U46" i="18"/>
  <c r="U35" i="18"/>
  <c r="U26" i="18"/>
  <c r="U21" i="18"/>
  <c r="U63" i="18"/>
  <c r="U83" i="18"/>
  <c r="P54" i="18"/>
  <c r="R54" i="18"/>
  <c r="S54" i="18" s="1"/>
  <c r="P51" i="18"/>
  <c r="R51" i="18"/>
  <c r="S51" i="18" s="1"/>
  <c r="R13" i="18"/>
  <c r="S13" i="18" s="1"/>
  <c r="P13" i="18"/>
  <c r="P12" i="18"/>
  <c r="R12" i="18"/>
  <c r="S12" i="18" s="1"/>
  <c r="P61" i="18"/>
  <c r="R61" i="18"/>
  <c r="S61" i="18" s="1"/>
  <c r="P56" i="18"/>
  <c r="R56" i="18"/>
  <c r="S56" i="18" s="1"/>
  <c r="R59" i="18"/>
  <c r="S59" i="18" s="1"/>
  <c r="P59" i="18"/>
  <c r="R62" i="18"/>
  <c r="S62" i="18" s="1"/>
  <c r="P62" i="18"/>
  <c r="R60" i="18"/>
  <c r="S60" i="18" s="1"/>
  <c r="P60" i="18"/>
  <c r="R58" i="18"/>
  <c r="S58" i="18" s="1"/>
  <c r="P58" i="18"/>
  <c r="P53" i="18"/>
  <c r="R53" i="18"/>
  <c r="S53" i="18" s="1"/>
  <c r="P48" i="18"/>
  <c r="R48" i="18"/>
  <c r="S48" i="18" s="1"/>
  <c r="R16" i="18"/>
  <c r="S16" i="18" s="1"/>
  <c r="P16" i="18"/>
  <c r="P57" i="18"/>
  <c r="R57" i="18"/>
  <c r="S57" i="18" s="1"/>
  <c r="R11" i="18"/>
  <c r="S11" i="18" s="1"/>
  <c r="P11" i="18"/>
  <c r="P52" i="18"/>
  <c r="R52" i="18"/>
  <c r="S52" i="18" s="1"/>
  <c r="P15" i="18"/>
  <c r="R15" i="18"/>
  <c r="S15" i="18" s="1"/>
  <c r="P14" i="18"/>
  <c r="R14" i="18"/>
  <c r="S14" i="18" s="1"/>
  <c r="U19" i="18"/>
  <c r="U80" i="18"/>
  <c r="U73" i="18"/>
  <c r="U28" i="18"/>
  <c r="U41" i="18"/>
  <c r="U38" i="18"/>
  <c r="U37" i="18"/>
  <c r="U36" i="18"/>
  <c r="U10" i="18"/>
  <c r="U45" i="18"/>
  <c r="U42" i="18"/>
  <c r="U40" i="18"/>
  <c r="U39" i="18"/>
  <c r="U31" i="18"/>
  <c r="U82" i="18"/>
  <c r="U79" i="18"/>
  <c r="U74" i="18"/>
  <c r="U4" i="18"/>
  <c r="U85" i="18"/>
  <c r="U9" i="18"/>
  <c r="U8" i="18"/>
  <c r="U78" i="18"/>
  <c r="U43" i="18"/>
  <c r="U34" i="18"/>
  <c r="X76" i="17"/>
  <c r="X89" i="17"/>
  <c r="X74" i="17"/>
  <c r="X79" i="17"/>
  <c r="X72" i="17"/>
  <c r="X84" i="17"/>
  <c r="X64" i="17"/>
  <c r="X69" i="17"/>
  <c r="X61" i="17"/>
  <c r="X55" i="17"/>
  <c r="X54" i="17"/>
  <c r="X49" i="17"/>
  <c r="X50" i="17"/>
  <c r="X48" i="17"/>
  <c r="X47" i="17"/>
  <c r="X29" i="17"/>
  <c r="X28" i="17"/>
  <c r="X52" i="17"/>
  <c r="X45" i="17"/>
  <c r="X26" i="17"/>
  <c r="X22" i="17"/>
  <c r="X34" i="17"/>
  <c r="X44" i="17"/>
  <c r="X19" i="17"/>
  <c r="X23" i="17"/>
  <c r="X8" i="17"/>
  <c r="X9" i="17"/>
  <c r="X15" i="17"/>
  <c r="X12" i="17"/>
  <c r="X11" i="17"/>
  <c r="X10" i="17"/>
  <c r="X14" i="17"/>
  <c r="X13" i="17"/>
  <c r="X4" i="17"/>
  <c r="X40" i="17"/>
  <c r="X30" i="17"/>
  <c r="X36" i="17"/>
  <c r="X43" i="17"/>
  <c r="X82" i="17"/>
  <c r="X71" i="17"/>
  <c r="X53" i="17"/>
  <c r="X65" i="17"/>
  <c r="X39" i="17"/>
  <c r="X42" i="17"/>
  <c r="X77" i="17"/>
  <c r="X75" i="17"/>
  <c r="X81" i="17"/>
  <c r="X78" i="17"/>
  <c r="X73" i="17"/>
  <c r="X80" i="17"/>
  <c r="X88" i="17"/>
  <c r="X63" i="17"/>
  <c r="X70" i="17"/>
  <c r="X67" i="17"/>
  <c r="X62" i="17"/>
  <c r="X66" i="17"/>
  <c r="X68" i="17"/>
  <c r="X56" i="17"/>
  <c r="X38" i="17"/>
  <c r="X32" i="17"/>
  <c r="X51" i="17"/>
  <c r="X41" i="17"/>
  <c r="X46" i="17"/>
  <c r="X27" i="17"/>
  <c r="X25" i="17"/>
  <c r="X24" i="17"/>
  <c r="X21" i="17"/>
  <c r="X20" i="17"/>
  <c r="X18" i="17"/>
  <c r="X17" i="17"/>
  <c r="X7" i="17"/>
  <c r="X6" i="17"/>
  <c r="X16" i="17"/>
  <c r="X5" i="17"/>
  <c r="X85" i="17"/>
  <c r="X37" i="17"/>
  <c r="X33" i="17"/>
  <c r="X35" i="17"/>
  <c r="X86" i="17"/>
  <c r="X83" i="17"/>
  <c r="X31" i="17"/>
  <c r="N47" i="9"/>
  <c r="O13" i="9"/>
  <c r="N29" i="9"/>
  <c r="N34" i="9"/>
  <c r="N43" i="9"/>
  <c r="N27" i="9"/>
  <c r="N31" i="9"/>
  <c r="N30" i="9"/>
  <c r="N46" i="9"/>
  <c r="N26" i="9"/>
  <c r="N42" i="9"/>
  <c r="N33" i="9"/>
  <c r="N39" i="9"/>
  <c r="N41" i="9"/>
  <c r="N44" i="9"/>
  <c r="N32" i="9"/>
  <c r="N38" i="9"/>
  <c r="N37" i="9"/>
  <c r="N40" i="9"/>
  <c r="N23" i="9"/>
  <c r="N24" i="9"/>
  <c r="N25" i="9"/>
  <c r="N50" i="9"/>
  <c r="N51" i="9"/>
  <c r="N52" i="9"/>
  <c r="N4" i="9"/>
  <c r="N5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O6" i="9"/>
  <c r="N6" i="9"/>
  <c r="O11" i="9"/>
  <c r="O12" i="9"/>
  <c r="O21" i="9"/>
  <c r="Y10" i="9"/>
  <c r="O10" i="9" s="1"/>
  <c r="Y14" i="9"/>
  <c r="O14" i="9" s="1"/>
  <c r="Y15" i="9"/>
  <c r="O15" i="9" s="1"/>
  <c r="Y16" i="9"/>
  <c r="O16" i="9" s="1"/>
  <c r="Y17" i="9"/>
  <c r="O17" i="9" s="1"/>
  <c r="Y18" i="9"/>
  <c r="O18" i="9" s="1"/>
  <c r="Y19" i="9"/>
  <c r="O19" i="9" s="1"/>
  <c r="Y20" i="9"/>
  <c r="O20" i="9" s="1"/>
  <c r="Y8" i="9"/>
  <c r="O8" i="9" s="1"/>
  <c r="Y22" i="9"/>
  <c r="O22" i="9" s="1"/>
  <c r="Y23" i="9"/>
  <c r="O23" i="9" s="1"/>
  <c r="Y24" i="9"/>
  <c r="O24" i="9" s="1"/>
  <c r="Y25" i="9"/>
  <c r="O25" i="9" s="1"/>
  <c r="Y26" i="9"/>
  <c r="O26" i="9" s="1"/>
  <c r="Y27" i="9"/>
  <c r="O27" i="9" s="1"/>
  <c r="Y28" i="9"/>
  <c r="O28" i="9" s="1"/>
  <c r="Y29" i="9"/>
  <c r="O29" i="9" s="1"/>
  <c r="Y30" i="9"/>
  <c r="O30" i="9" s="1"/>
  <c r="Y31" i="9"/>
  <c r="O31" i="9" s="1"/>
  <c r="Y32" i="9"/>
  <c r="O32" i="9" s="1"/>
  <c r="Y33" i="9"/>
  <c r="O33" i="9" s="1"/>
  <c r="Y34" i="9"/>
  <c r="O34" i="9" s="1"/>
  <c r="Y35" i="9"/>
  <c r="O35" i="9" s="1"/>
  <c r="Y36" i="9"/>
  <c r="O36" i="9" s="1"/>
  <c r="Y37" i="9"/>
  <c r="O37" i="9" s="1"/>
  <c r="Y38" i="9"/>
  <c r="O38" i="9" s="1"/>
  <c r="Y39" i="9"/>
  <c r="O39" i="9" s="1"/>
  <c r="Y40" i="9"/>
  <c r="O40" i="9" s="1"/>
  <c r="Y41" i="9"/>
  <c r="O41" i="9" s="1"/>
  <c r="Y42" i="9"/>
  <c r="O42" i="9" s="1"/>
  <c r="Y43" i="9"/>
  <c r="O43" i="9" s="1"/>
  <c r="Y44" i="9"/>
  <c r="O44" i="9" s="1"/>
  <c r="Y45" i="9"/>
  <c r="O45" i="9" s="1"/>
  <c r="O46" i="9"/>
  <c r="O47" i="9"/>
  <c r="O48" i="9"/>
  <c r="O49" i="9"/>
  <c r="O50" i="9"/>
  <c r="O51" i="9"/>
  <c r="Y52" i="9"/>
  <c r="O52" i="9" s="1"/>
  <c r="Y4" i="9"/>
  <c r="O4" i="9" s="1"/>
  <c r="Y5" i="9"/>
  <c r="O5" i="9" s="1"/>
  <c r="Y7" i="9"/>
  <c r="O7" i="9" s="1"/>
  <c r="Y9" i="9"/>
  <c r="O9" i="9" s="1"/>
  <c r="Y3" i="9"/>
  <c r="O3" i="9" s="1"/>
  <c r="U48" i="18" l="1"/>
  <c r="U15" i="18"/>
  <c r="U60" i="18"/>
  <c r="U51" i="18"/>
  <c r="U12" i="18"/>
  <c r="U53" i="18"/>
  <c r="U13" i="18"/>
  <c r="U16" i="18"/>
  <c r="U54" i="18"/>
  <c r="U52" i="18"/>
  <c r="U6" i="18"/>
  <c r="U62" i="18"/>
  <c r="U61" i="18"/>
  <c r="U11" i="18"/>
  <c r="U56" i="18"/>
  <c r="U57" i="18"/>
  <c r="U14" i="18"/>
  <c r="U59" i="18"/>
  <c r="U58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32" authorId="0" shapeId="0" xr:uid="{2BC0BA2C-3664-4EBD-9ADF-B395B762A0D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en</t>
        </r>
      </text>
    </comment>
    <comment ref="B37" authorId="0" shapeId="0" xr:uid="{20590C42-1460-4882-B8B1-A64D7F18DF3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et̚</t>
        </r>
      </text>
    </comment>
    <comment ref="B42" authorId="0" shapeId="0" xr:uid="{C8FFA90A-1850-4F48-8241-9C5303CC983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ək̚</t>
        </r>
      </text>
    </comment>
    <comment ref="B47" authorId="0" shapeId="0" xr:uid="{999D316B-7A04-4D40-B223-B82131E8BBB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</t>
        </r>
      </text>
    </comment>
    <comment ref="B48" authorId="0" shapeId="0" xr:uid="{F6D1DEAF-4CCF-4F4A-8C81-DFF5E8F7F5F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əʔ/</t>
        </r>
      </text>
    </comment>
    <comment ref="B61" authorId="0" shapeId="0" xr:uid="{6D80FC1D-E508-4596-BC6E-996F06BDF6D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</t>
        </r>
      </text>
    </comment>
    <comment ref="B62" authorId="0" shapeId="0" xr:uid="{205DA633-F454-4801-B26D-D45E557C750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əʔ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<sst xmlns="http://schemas.openxmlformats.org/spreadsheetml/2006/main" count="6713" uniqueCount="2425">
  <si>
    <t>識別號</t>
  </si>
  <si>
    <t>漢字例</t>
  </si>
  <si>
    <t>國際音標</t>
  </si>
  <si>
    <t>十五音</t>
  </si>
  <si>
    <t>方音符號</t>
  </si>
  <si>
    <t>台語音標</t>
  </si>
  <si>
    <t>台羅拼音</t>
  </si>
  <si>
    <t>白話字</t>
  </si>
  <si>
    <t>閩拼方案</t>
  </si>
  <si>
    <t>注音二式</t>
  </si>
  <si>
    <t>舒促聲</t>
  </si>
  <si>
    <t>十五音識別碼</t>
  </si>
  <si>
    <t>1</t>
  </si>
  <si>
    <t>汾</t>
  </si>
  <si>
    <t>un</t>
  </si>
  <si>
    <t>君</t>
  </si>
  <si>
    <t>ㄨㄣ</t>
  </si>
  <si>
    <t>舒聲</t>
  </si>
  <si>
    <t>君舒</t>
  </si>
  <si>
    <t>2</t>
  </si>
  <si>
    <t>不</t>
  </si>
  <si>
    <t>ㄨㆵ</t>
  </si>
  <si>
    <t>ut</t>
  </si>
  <si>
    <t>促聲</t>
  </si>
  <si>
    <t>君促</t>
  </si>
  <si>
    <t>3</t>
  </si>
  <si>
    <t>掀</t>
  </si>
  <si>
    <t>ian</t>
  </si>
  <si>
    <t>堅</t>
  </si>
  <si>
    <t>ㄧㄢ</t>
  </si>
  <si>
    <t>堅舒</t>
  </si>
  <si>
    <t>4</t>
  </si>
  <si>
    <t>別</t>
  </si>
  <si>
    <t>ㄧㄚㆵ</t>
  </si>
  <si>
    <t>iat</t>
  </si>
  <si>
    <t>堅促</t>
  </si>
  <si>
    <t>5</t>
  </si>
  <si>
    <t>深</t>
  </si>
  <si>
    <t>im</t>
  </si>
  <si>
    <t>金</t>
  </si>
  <si>
    <t>ㄧㆬ</t>
  </si>
  <si>
    <t>金舒</t>
  </si>
  <si>
    <t>6</t>
  </si>
  <si>
    <t>蟄</t>
  </si>
  <si>
    <t>ip̚</t>
  </si>
  <si>
    <t>一ㆴ</t>
  </si>
  <si>
    <t>ip</t>
  </si>
  <si>
    <t>金促</t>
  </si>
  <si>
    <t>7</t>
  </si>
  <si>
    <t>歸</t>
  </si>
  <si>
    <t>ui</t>
  </si>
  <si>
    <t>規</t>
  </si>
  <si>
    <t>ㄨㄧ</t>
  </si>
  <si>
    <t>規舒</t>
  </si>
  <si>
    <t>9</t>
  </si>
  <si>
    <t>家</t>
  </si>
  <si>
    <t>ɛ</t>
  </si>
  <si>
    <t>嘉</t>
  </si>
  <si>
    <t>ㄝ</t>
  </si>
  <si>
    <t>ee</t>
  </si>
  <si>
    <t>e</t>
  </si>
  <si>
    <t>嘉舒</t>
  </si>
  <si>
    <t>10</t>
  </si>
  <si>
    <t>八</t>
  </si>
  <si>
    <t>eeh</t>
  </si>
  <si>
    <t>eh</t>
  </si>
  <si>
    <t>嘉促</t>
  </si>
  <si>
    <t>11</t>
  </si>
  <si>
    <t>蘭</t>
  </si>
  <si>
    <t>an</t>
  </si>
  <si>
    <t>干</t>
  </si>
  <si>
    <t>ㄢ</t>
  </si>
  <si>
    <t>干舒</t>
  </si>
  <si>
    <t>12</t>
  </si>
  <si>
    <t>識</t>
  </si>
  <si>
    <t>at̚</t>
  </si>
  <si>
    <t>ㄚㆵ</t>
  </si>
  <si>
    <t>at</t>
  </si>
  <si>
    <t>干促</t>
  </si>
  <si>
    <t>13</t>
  </si>
  <si>
    <t>風</t>
  </si>
  <si>
    <t>ɔŋ</t>
  </si>
  <si>
    <t>公</t>
  </si>
  <si>
    <t>ㆲ</t>
  </si>
  <si>
    <t>ong</t>
  </si>
  <si>
    <t>公舒</t>
  </si>
  <si>
    <t>14</t>
  </si>
  <si>
    <t>福</t>
  </si>
  <si>
    <t>ɔk̚</t>
  </si>
  <si>
    <t>ㆦㆻ</t>
  </si>
  <si>
    <t>ok</t>
  </si>
  <si>
    <t>公促</t>
  </si>
  <si>
    <t>15</t>
  </si>
  <si>
    <t>怪</t>
  </si>
  <si>
    <t>uai</t>
  </si>
  <si>
    <t>乖</t>
  </si>
  <si>
    <t>ㄨㄞ</t>
  </si>
  <si>
    <t>oai</t>
  </si>
  <si>
    <t>乖舒</t>
  </si>
  <si>
    <t>8</t>
  </si>
  <si>
    <t>16</t>
  </si>
  <si>
    <t>uaih</t>
  </si>
  <si>
    <t>oaih</t>
  </si>
  <si>
    <t>乖促</t>
  </si>
  <si>
    <t>17</t>
  </si>
  <si>
    <t>情</t>
  </si>
  <si>
    <t>iŋ</t>
  </si>
  <si>
    <t>經</t>
  </si>
  <si>
    <t>ㄧㄥ</t>
  </si>
  <si>
    <t>ing</t>
  </si>
  <si>
    <t>eng</t>
  </si>
  <si>
    <t>經舒</t>
  </si>
  <si>
    <t>18</t>
  </si>
  <si>
    <t>益</t>
  </si>
  <si>
    <t>ㄧㆻ</t>
  </si>
  <si>
    <t>ik</t>
  </si>
  <si>
    <t>ek</t>
  </si>
  <si>
    <t>經促</t>
  </si>
  <si>
    <t>19</t>
  </si>
  <si>
    <t>猿</t>
  </si>
  <si>
    <t>uan</t>
  </si>
  <si>
    <t>觀</t>
  </si>
  <si>
    <t>ㄨㄢ</t>
  </si>
  <si>
    <t>oan</t>
  </si>
  <si>
    <t>觀舒</t>
  </si>
  <si>
    <t>20</t>
  </si>
  <si>
    <t>說</t>
  </si>
  <si>
    <t>uat̚</t>
  </si>
  <si>
    <t>ㄨㄚㆵ</t>
  </si>
  <si>
    <t>uat</t>
  </si>
  <si>
    <t>oat</t>
  </si>
  <si>
    <t>觀促</t>
  </si>
  <si>
    <t>21</t>
  </si>
  <si>
    <t>捕</t>
  </si>
  <si>
    <t>ou</t>
  </si>
  <si>
    <t>沽</t>
  </si>
  <si>
    <t>oo</t>
  </si>
  <si>
    <t>o͘</t>
  </si>
  <si>
    <t>沽舒</t>
  </si>
  <si>
    <t>23</t>
  </si>
  <si>
    <t>遙</t>
  </si>
  <si>
    <t>iau</t>
  </si>
  <si>
    <t>嬌</t>
  </si>
  <si>
    <t>ㄧㄠ</t>
  </si>
  <si>
    <t>iao</t>
  </si>
  <si>
    <t>嬌舒</t>
  </si>
  <si>
    <t>24</t>
  </si>
  <si>
    <t>噭</t>
  </si>
  <si>
    <t>iauh</t>
  </si>
  <si>
    <t>iaoh</t>
  </si>
  <si>
    <t>嬌促</t>
  </si>
  <si>
    <t>25</t>
  </si>
  <si>
    <t>遞</t>
  </si>
  <si>
    <t>ei</t>
  </si>
  <si>
    <t>稽</t>
  </si>
  <si>
    <t>ㆤ</t>
  </si>
  <si>
    <t>稽舒</t>
  </si>
  <si>
    <t>27</t>
  </si>
  <si>
    <t>中</t>
  </si>
  <si>
    <t>iɔŋ</t>
  </si>
  <si>
    <t>恭</t>
  </si>
  <si>
    <t>ㄧㆲ</t>
  </si>
  <si>
    <t>iong</t>
  </si>
  <si>
    <t>恭舒</t>
  </si>
  <si>
    <t>28</t>
  </si>
  <si>
    <t>俗</t>
  </si>
  <si>
    <t>ㄧㆦㆻ</t>
  </si>
  <si>
    <t>iok</t>
  </si>
  <si>
    <t>恭促</t>
  </si>
  <si>
    <t>29</t>
  </si>
  <si>
    <t>果</t>
  </si>
  <si>
    <t>o</t>
  </si>
  <si>
    <t>高</t>
  </si>
  <si>
    <t>ㄜ</t>
  </si>
  <si>
    <t>or</t>
  </si>
  <si>
    <t>高舒</t>
  </si>
  <si>
    <t>30</t>
  </si>
  <si>
    <t>卜</t>
  </si>
  <si>
    <t>oh</t>
  </si>
  <si>
    <t>orh</t>
  </si>
  <si>
    <t>高促</t>
  </si>
  <si>
    <t>31</t>
  </si>
  <si>
    <t>埃</t>
  </si>
  <si>
    <t>ai</t>
  </si>
  <si>
    <t>皆</t>
  </si>
  <si>
    <t>ㄞ</t>
  </si>
  <si>
    <t>皆舒</t>
  </si>
  <si>
    <t>33</t>
  </si>
  <si>
    <t>恩</t>
  </si>
  <si>
    <t>in</t>
  </si>
  <si>
    <t>巾</t>
  </si>
  <si>
    <t>ㄧㄣ</t>
  </si>
  <si>
    <t>巾舒</t>
  </si>
  <si>
    <t>34</t>
  </si>
  <si>
    <t>一</t>
  </si>
  <si>
    <t>it̚</t>
  </si>
  <si>
    <t>ㄧㆵ</t>
  </si>
  <si>
    <t>it</t>
  </si>
  <si>
    <t>巾促</t>
  </si>
  <si>
    <t>35</t>
  </si>
  <si>
    <t>將</t>
  </si>
  <si>
    <t>iaŋ</t>
  </si>
  <si>
    <t>姜</t>
  </si>
  <si>
    <t>iang</t>
  </si>
  <si>
    <t>姜舒</t>
  </si>
  <si>
    <t>36</t>
  </si>
  <si>
    <t>爆</t>
  </si>
  <si>
    <t>iak</t>
  </si>
  <si>
    <t>姜促</t>
  </si>
  <si>
    <t>37</t>
  </si>
  <si>
    <t>堪</t>
  </si>
  <si>
    <t>am</t>
  </si>
  <si>
    <t>甘</t>
  </si>
  <si>
    <t>ㆰ</t>
  </si>
  <si>
    <t>甘舒</t>
  </si>
  <si>
    <t>38</t>
  </si>
  <si>
    <t>答</t>
  </si>
  <si>
    <t>ap̚</t>
  </si>
  <si>
    <t>ㄚㆴ</t>
  </si>
  <si>
    <t>ap</t>
  </si>
  <si>
    <t>甘促</t>
  </si>
  <si>
    <t>39</t>
  </si>
  <si>
    <t>花</t>
  </si>
  <si>
    <t>ua</t>
  </si>
  <si>
    <t>瓜</t>
  </si>
  <si>
    <t>ㄨㄚ</t>
  </si>
  <si>
    <t>oa</t>
  </si>
  <si>
    <t>瓜舒</t>
  </si>
  <si>
    <t>40</t>
  </si>
  <si>
    <t>缽</t>
  </si>
  <si>
    <t>uah</t>
  </si>
  <si>
    <t>oah</t>
  </si>
  <si>
    <t>瓜促</t>
  </si>
  <si>
    <t>41</t>
  </si>
  <si>
    <t>邦</t>
  </si>
  <si>
    <t>aŋ</t>
  </si>
  <si>
    <t>江</t>
  </si>
  <si>
    <t>ang</t>
  </si>
  <si>
    <t>江舒</t>
  </si>
  <si>
    <t>42</t>
  </si>
  <si>
    <t>角</t>
  </si>
  <si>
    <t>ak̚</t>
  </si>
  <si>
    <t>ㄚㆻ</t>
  </si>
  <si>
    <t>ak</t>
  </si>
  <si>
    <t>江促</t>
  </si>
  <si>
    <t>43</t>
  </si>
  <si>
    <t>尖</t>
  </si>
  <si>
    <t>iam</t>
  </si>
  <si>
    <t>兼</t>
  </si>
  <si>
    <t>ㄧㆰ</t>
  </si>
  <si>
    <t>兼舒</t>
  </si>
  <si>
    <t>22</t>
  </si>
  <si>
    <t>44</t>
  </si>
  <si>
    <t>接</t>
  </si>
  <si>
    <t>iap̚</t>
  </si>
  <si>
    <t>ㄧㄚㆴ</t>
  </si>
  <si>
    <t>iap</t>
  </si>
  <si>
    <t>兼促</t>
  </si>
  <si>
    <t>45</t>
  </si>
  <si>
    <t>鬧</t>
  </si>
  <si>
    <t>au</t>
  </si>
  <si>
    <t>交</t>
  </si>
  <si>
    <t>ㄠ</t>
  </si>
  <si>
    <t>ao</t>
  </si>
  <si>
    <t>交舒</t>
  </si>
  <si>
    <t>46</t>
  </si>
  <si>
    <t>暴</t>
  </si>
  <si>
    <t>auh</t>
  </si>
  <si>
    <t>aoh</t>
  </si>
  <si>
    <t>交促</t>
  </si>
  <si>
    <t>47</t>
  </si>
  <si>
    <t>名</t>
  </si>
  <si>
    <t>ia</t>
  </si>
  <si>
    <t>迦</t>
  </si>
  <si>
    <t>ㄧㄚ</t>
  </si>
  <si>
    <t>迦舒</t>
  </si>
  <si>
    <t>48</t>
  </si>
  <si>
    <t>壁</t>
  </si>
  <si>
    <t>iah</t>
  </si>
  <si>
    <t>迦促</t>
  </si>
  <si>
    <t>49</t>
  </si>
  <si>
    <t>話</t>
  </si>
  <si>
    <t>uei</t>
  </si>
  <si>
    <t>檜</t>
  </si>
  <si>
    <t>ㄨㆤ</t>
  </si>
  <si>
    <t>ue</t>
  </si>
  <si>
    <t>oe</t>
  </si>
  <si>
    <t>檜舒</t>
  </si>
  <si>
    <t>50</t>
  </si>
  <si>
    <t>拔</t>
  </si>
  <si>
    <t>ueh</t>
  </si>
  <si>
    <t>oeh</t>
  </si>
  <si>
    <t>檜促</t>
  </si>
  <si>
    <t>聽</t>
  </si>
  <si>
    <t>ã</t>
  </si>
  <si>
    <t>監</t>
  </si>
  <si>
    <t>ㆩ</t>
  </si>
  <si>
    <t>ann</t>
  </si>
  <si>
    <t>aⁿ</t>
  </si>
  <si>
    <t>na</t>
  </si>
  <si>
    <t>監舒</t>
  </si>
  <si>
    <t>26</t>
  </si>
  <si>
    <t>含</t>
  </si>
  <si>
    <t>ahnn</t>
  </si>
  <si>
    <t>annh</t>
  </si>
  <si>
    <t>nah</t>
  </si>
  <si>
    <t>監促</t>
  </si>
  <si>
    <t>夫</t>
  </si>
  <si>
    <t>u</t>
  </si>
  <si>
    <t>艍</t>
  </si>
  <si>
    <t>ㄨ</t>
  </si>
  <si>
    <t>艍舒</t>
  </si>
  <si>
    <t>勃</t>
  </si>
  <si>
    <t>uh</t>
  </si>
  <si>
    <t>艍促</t>
  </si>
  <si>
    <t>些</t>
  </si>
  <si>
    <t>a</t>
  </si>
  <si>
    <t>膠</t>
  </si>
  <si>
    <t>ㄚ</t>
  </si>
  <si>
    <t>膠舒</t>
  </si>
  <si>
    <t>百</t>
  </si>
  <si>
    <t>ah</t>
  </si>
  <si>
    <t>膠促</t>
  </si>
  <si>
    <t>爾</t>
  </si>
  <si>
    <t>i</t>
  </si>
  <si>
    <t>居</t>
  </si>
  <si>
    <t>ㄧ</t>
  </si>
  <si>
    <t>居舒</t>
  </si>
  <si>
    <t>逼</t>
  </si>
  <si>
    <t>ih</t>
  </si>
  <si>
    <t>居促</t>
  </si>
  <si>
    <t>油</t>
  </si>
  <si>
    <t>iu</t>
  </si>
  <si>
    <t>丩</t>
  </si>
  <si>
    <t>ㄧㄨ</t>
  </si>
  <si>
    <t>丩舒</t>
  </si>
  <si>
    <t>爭</t>
  </si>
  <si>
    <t>ɛ̃</t>
  </si>
  <si>
    <t>更</t>
  </si>
  <si>
    <t>ㆥ</t>
  </si>
  <si>
    <t>enn</t>
  </si>
  <si>
    <t>eⁿ</t>
  </si>
  <si>
    <t>ne</t>
  </si>
  <si>
    <t>更舒</t>
  </si>
  <si>
    <t>挾</t>
  </si>
  <si>
    <t>ehnn</t>
  </si>
  <si>
    <t>ennh</t>
  </si>
  <si>
    <t>更促</t>
  </si>
  <si>
    <t>荒</t>
  </si>
  <si>
    <t>褌</t>
  </si>
  <si>
    <t>ㄨㆪ</t>
  </si>
  <si>
    <t>uinn</t>
  </si>
  <si>
    <t>uiⁿ</t>
  </si>
  <si>
    <t>nui</t>
  </si>
  <si>
    <t>褌舒</t>
  </si>
  <si>
    <t>32</t>
  </si>
  <si>
    <t>少</t>
  </si>
  <si>
    <t>io</t>
  </si>
  <si>
    <t>茄</t>
  </si>
  <si>
    <t>ㄧㄜ</t>
  </si>
  <si>
    <t>ior</t>
  </si>
  <si>
    <t>茄舒</t>
  </si>
  <si>
    <t>著</t>
  </si>
  <si>
    <t>ioh</t>
  </si>
  <si>
    <t>iorh</t>
  </si>
  <si>
    <t>茄促</t>
  </si>
  <si>
    <t>庚</t>
  </si>
  <si>
    <t>ĩ</t>
  </si>
  <si>
    <t>梔</t>
  </si>
  <si>
    <t>ㆪ</t>
  </si>
  <si>
    <t>inn</t>
  </si>
  <si>
    <t>iⁿ</t>
  </si>
  <si>
    <t>ni</t>
  </si>
  <si>
    <t>梔舒</t>
  </si>
  <si>
    <t>欷</t>
  </si>
  <si>
    <t>ihnn</t>
  </si>
  <si>
    <t>innh</t>
  </si>
  <si>
    <t>nih</t>
  </si>
  <si>
    <t>梔促</t>
  </si>
  <si>
    <t>腔</t>
  </si>
  <si>
    <t>iɔ̃</t>
  </si>
  <si>
    <t>薑</t>
  </si>
  <si>
    <t>ㄧㆧ</t>
  </si>
  <si>
    <t>ionn</t>
  </si>
  <si>
    <t>ioⁿ</t>
  </si>
  <si>
    <t>nioo</t>
  </si>
  <si>
    <t>ioonn</t>
  </si>
  <si>
    <t>薑舒</t>
  </si>
  <si>
    <t>且</t>
  </si>
  <si>
    <t>驚</t>
  </si>
  <si>
    <t>ㄧㆩ</t>
  </si>
  <si>
    <t>iann</t>
  </si>
  <si>
    <t>iannh</t>
  </si>
  <si>
    <t>iaⁿ</t>
  </si>
  <si>
    <t>nia</t>
  </si>
  <si>
    <t>驚舒</t>
  </si>
  <si>
    <t>肝</t>
  </si>
  <si>
    <t>官</t>
  </si>
  <si>
    <t>ㄨㆩ</t>
  </si>
  <si>
    <t>uann</t>
  </si>
  <si>
    <t>oaⁿ</t>
  </si>
  <si>
    <t>nua</t>
  </si>
  <si>
    <t>官舒</t>
  </si>
  <si>
    <t>床</t>
  </si>
  <si>
    <t>ŋ̍</t>
  </si>
  <si>
    <t>鋼</t>
  </si>
  <si>
    <t>ㆭ</t>
  </si>
  <si>
    <t>ng</t>
  </si>
  <si>
    <t>鋼舒</t>
  </si>
  <si>
    <t>會</t>
  </si>
  <si>
    <t>伽</t>
  </si>
  <si>
    <t>伽舒</t>
  </si>
  <si>
    <t>伯</t>
  </si>
  <si>
    <t>伽促</t>
  </si>
  <si>
    <t>挨</t>
  </si>
  <si>
    <t>閒</t>
  </si>
  <si>
    <t>ㆮ</t>
  </si>
  <si>
    <t>ainn</t>
  </si>
  <si>
    <t>aiⁿ</t>
  </si>
  <si>
    <t>nai</t>
  </si>
  <si>
    <t>閒舒</t>
  </si>
  <si>
    <t>張</t>
  </si>
  <si>
    <t>姑</t>
  </si>
  <si>
    <t>ㆧ</t>
  </si>
  <si>
    <t>oonn</t>
  </si>
  <si>
    <t>onn</t>
  </si>
  <si>
    <t>noo</t>
  </si>
  <si>
    <t>姑舒</t>
  </si>
  <si>
    <t>姆</t>
  </si>
  <si>
    <t>m̩</t>
  </si>
  <si>
    <t>ㆬ</t>
  </si>
  <si>
    <t>m</t>
  </si>
  <si>
    <t>姆舒</t>
  </si>
  <si>
    <t>闖</t>
  </si>
  <si>
    <t>uaŋ</t>
  </si>
  <si>
    <t>光</t>
  </si>
  <si>
    <t>uang</t>
  </si>
  <si>
    <t>oang</t>
  </si>
  <si>
    <t>光舒</t>
  </si>
  <si>
    <t>伏</t>
  </si>
  <si>
    <t>uak̚</t>
  </si>
  <si>
    <t>ㄨㄚㆻ</t>
  </si>
  <si>
    <t>uak</t>
  </si>
  <si>
    <t>oak</t>
  </si>
  <si>
    <t>光促</t>
  </si>
  <si>
    <t>檨</t>
  </si>
  <si>
    <t>閂</t>
  </si>
  <si>
    <t>ㄨㆮ</t>
  </si>
  <si>
    <t>uainn</t>
  </si>
  <si>
    <t>oaiⁿ</t>
  </si>
  <si>
    <t>nuai</t>
  </si>
  <si>
    <t>閂舒</t>
  </si>
  <si>
    <t>蹶</t>
  </si>
  <si>
    <t>uaihnn</t>
  </si>
  <si>
    <t>uainnh</t>
  </si>
  <si>
    <t>nuaih</t>
  </si>
  <si>
    <t>閂促</t>
  </si>
  <si>
    <t>糜</t>
  </si>
  <si>
    <t>ㄨㆥ</t>
  </si>
  <si>
    <t>uenn</t>
  </si>
  <si>
    <t>nue</t>
  </si>
  <si>
    <t>糜舒</t>
  </si>
  <si>
    <t>鳥</t>
  </si>
  <si>
    <t>嘄</t>
  </si>
  <si>
    <t>ㄧㆯ</t>
  </si>
  <si>
    <t>iaunn</t>
  </si>
  <si>
    <t>iauⁿ</t>
  </si>
  <si>
    <t>niao</t>
  </si>
  <si>
    <t>嘄舒</t>
  </si>
  <si>
    <t>iauhnn</t>
  </si>
  <si>
    <t>iaunnh</t>
  </si>
  <si>
    <t>niaoh</t>
  </si>
  <si>
    <t>嘄促</t>
  </si>
  <si>
    <t>丼</t>
  </si>
  <si>
    <t>ɔm</t>
  </si>
  <si>
    <t>箴</t>
  </si>
  <si>
    <t>ㆱ</t>
  </si>
  <si>
    <t>om</t>
  </si>
  <si>
    <t>oom</t>
  </si>
  <si>
    <t>箴舒</t>
  </si>
  <si>
    <t>吷</t>
  </si>
  <si>
    <t>ɔp̚</t>
  </si>
  <si>
    <t>ㆦㆴ</t>
  </si>
  <si>
    <t>op</t>
  </si>
  <si>
    <t>oop</t>
  </si>
  <si>
    <t>箴促</t>
  </si>
  <si>
    <t>懸</t>
  </si>
  <si>
    <t>爻</t>
  </si>
  <si>
    <t>ㆯ</t>
  </si>
  <si>
    <t>aunn</t>
  </si>
  <si>
    <t>nao</t>
  </si>
  <si>
    <t>爻舒</t>
  </si>
  <si>
    <t>呼</t>
  </si>
  <si>
    <t>扛</t>
  </si>
  <si>
    <t>on</t>
  </si>
  <si>
    <t>ornn</t>
  </si>
  <si>
    <t>扛舒</t>
  </si>
  <si>
    <t>ohnn</t>
  </si>
  <si>
    <t>onnh</t>
  </si>
  <si>
    <t>nooh</t>
  </si>
  <si>
    <t>扛促</t>
  </si>
  <si>
    <t>香</t>
  </si>
  <si>
    <t>牛</t>
  </si>
  <si>
    <t>ㄧㆫ</t>
  </si>
  <si>
    <t>iunn</t>
  </si>
  <si>
    <t>iuⁿ</t>
  </si>
  <si>
    <t>niu</t>
  </si>
  <si>
    <t>牛舒</t>
  </si>
  <si>
    <t>十五音序</t>
    <phoneticPr fontId="3" type="noConversion"/>
  </si>
  <si>
    <r>
      <rPr>
        <sz val="24"/>
        <color theme="1"/>
        <rFont val="Noto Sans TC Medium"/>
        <family val="2"/>
        <charset val="136"/>
      </rPr>
      <t>◯</t>
    </r>
  </si>
  <si>
    <t>備註</t>
  </si>
  <si>
    <t>理</t>
  </si>
  <si>
    <t>l</t>
  </si>
  <si>
    <t>柳</t>
  </si>
  <si>
    <t>ㄌ</t>
  </si>
  <si>
    <t>比</t>
  </si>
  <si>
    <t>p</t>
  </si>
  <si>
    <t>邊</t>
  </si>
  <si>
    <t>ㄅ</t>
  </si>
  <si>
    <t>b</t>
  </si>
  <si>
    <t>己</t>
  </si>
  <si>
    <t>k</t>
  </si>
  <si>
    <t>求</t>
  </si>
  <si>
    <t>ㄍ</t>
  </si>
  <si>
    <t>g</t>
  </si>
  <si>
    <t>起</t>
  </si>
  <si>
    <t>kʰ</t>
  </si>
  <si>
    <t>去</t>
  </si>
  <si>
    <t>ㄎ</t>
  </si>
  <si>
    <t>kh</t>
  </si>
  <si>
    <t>底</t>
  </si>
  <si>
    <t>t</t>
  </si>
  <si>
    <t>地</t>
  </si>
  <si>
    <t>ㄉ</t>
  </si>
  <si>
    <t>d</t>
  </si>
  <si>
    <t>鄙</t>
  </si>
  <si>
    <t>pʰ</t>
  </si>
  <si>
    <t>頗</t>
  </si>
  <si>
    <t>ㄆ</t>
  </si>
  <si>
    <t>ph</t>
  </si>
  <si>
    <t>恥</t>
  </si>
  <si>
    <t>tʰ</t>
  </si>
  <si>
    <t>他</t>
  </si>
  <si>
    <t>ㄊ</t>
  </si>
  <si>
    <t>th</t>
  </si>
  <si>
    <t>阻</t>
  </si>
  <si>
    <t>ʦ</t>
  </si>
  <si>
    <t>曾</t>
  </si>
  <si>
    <t>ㄗ</t>
  </si>
  <si>
    <t>z</t>
  </si>
  <si>
    <t>ts</t>
  </si>
  <si>
    <t>ch</t>
  </si>
  <si>
    <t>熱</t>
  </si>
  <si>
    <t>ʣ</t>
  </si>
  <si>
    <t>入</t>
  </si>
  <si>
    <t>ㆡ</t>
  </si>
  <si>
    <t>j</t>
  </si>
  <si>
    <t>zz</t>
  </si>
  <si>
    <t>詞</t>
  </si>
  <si>
    <t>s</t>
  </si>
  <si>
    <t>時</t>
  </si>
  <si>
    <t>以</t>
  </si>
  <si>
    <t>英</t>
  </si>
  <si>
    <t>Ø</t>
  </si>
  <si>
    <t>美</t>
  </si>
  <si>
    <t>門</t>
  </si>
  <si>
    <t>ㆠ</t>
  </si>
  <si>
    <t>bb</t>
  </si>
  <si>
    <t>禦</t>
  </si>
  <si>
    <t>ɡ</t>
  </si>
  <si>
    <t>語</t>
  </si>
  <si>
    <t>ㆣ</t>
  </si>
  <si>
    <t>gg</t>
  </si>
  <si>
    <t>取</t>
  </si>
  <si>
    <t>ʦʰ</t>
  </si>
  <si>
    <t>出</t>
  </si>
  <si>
    <t>c</t>
  </si>
  <si>
    <t>tsh</t>
  </si>
  <si>
    <t>chh</t>
  </si>
  <si>
    <t>喜</t>
  </si>
  <si>
    <t>h</t>
  </si>
  <si>
    <t>ㄏ</t>
  </si>
  <si>
    <t>毛</t>
  </si>
  <si>
    <t>ㄇ</t>
  </si>
  <si>
    <t>bbn</t>
  </si>
  <si>
    <t xml:space="preserve">b/m 本不分，此處分門/毛 </t>
  </si>
  <si>
    <t>耐</t>
  </si>
  <si>
    <t>n</t>
  </si>
  <si>
    <t>ㄋ</t>
  </si>
  <si>
    <t>ln</t>
  </si>
  <si>
    <t xml:space="preserve">l/n 本不分，此處分柳/耐 </t>
  </si>
  <si>
    <t>雅</t>
  </si>
  <si>
    <t>ŋ</t>
  </si>
  <si>
    <t>ㄫ</t>
  </si>
  <si>
    <t>ggn</t>
  </si>
  <si>
    <t xml:space="preserve">g/ng 本不分，此處分語/雅 </t>
  </si>
  <si>
    <t>ʥ</t>
  </si>
  <si>
    <t>ㆢ</t>
  </si>
  <si>
    <t>ji</t>
  </si>
  <si>
    <t>zzi</t>
  </si>
  <si>
    <t>止</t>
  </si>
  <si>
    <t>ʨ</t>
  </si>
  <si>
    <t>ㄐ</t>
  </si>
  <si>
    <t>zi</t>
  </si>
  <si>
    <t>tsi</t>
  </si>
  <si>
    <t>chi</t>
  </si>
  <si>
    <t>測</t>
  </si>
  <si>
    <t>ʨʰ</t>
  </si>
  <si>
    <t>ㄑ</t>
  </si>
  <si>
    <t>ci</t>
  </si>
  <si>
    <t>tshi</t>
  </si>
  <si>
    <t>chhi</t>
  </si>
  <si>
    <t>惜</t>
  </si>
  <si>
    <t>ɕ</t>
  </si>
  <si>
    <t>ㄒ</t>
  </si>
  <si>
    <t>si</t>
  </si>
  <si>
    <t>ㆢ = ㆡㄧ</t>
    <phoneticPr fontId="3" type="noConversion"/>
  </si>
  <si>
    <t>ㄐ = ㄗㄧ</t>
    <phoneticPr fontId="3" type="noConversion"/>
  </si>
  <si>
    <t>ㄙ</t>
    <phoneticPr fontId="3" type="noConversion"/>
  </si>
  <si>
    <t>ㄒ = ㄙㄧ</t>
    <phoneticPr fontId="3" type="noConversion"/>
  </si>
  <si>
    <t>ㄘ</t>
    <phoneticPr fontId="3" type="noConversion"/>
  </si>
  <si>
    <t>ㄑ = ㄘㄧ</t>
    <phoneticPr fontId="3" type="noConversion"/>
  </si>
  <si>
    <t>鍵盤按鍵</t>
  </si>
  <si>
    <t/>
  </si>
  <si>
    <t>_</t>
  </si>
  <si>
    <t>/</t>
  </si>
  <si>
    <t>]</t>
  </si>
  <si>
    <t>閩拼調號</t>
    <phoneticPr fontId="3" type="noConversion"/>
  </si>
  <si>
    <t>漢字</t>
    <phoneticPr fontId="3" type="noConversion"/>
  </si>
  <si>
    <t>台語音標</t>
    <phoneticPr fontId="3" type="noConversion"/>
  </si>
  <si>
    <t>U+0304</t>
  </si>
  <si>
    <t>U+0301</t>
  </si>
  <si>
    <t>調號</t>
  </si>
  <si>
    <t>U+030A</t>
  </si>
  <si>
    <t>U+030B</t>
  </si>
  <si>
    <t>U+0300</t>
    <phoneticPr fontId="3" type="noConversion"/>
  </si>
  <si>
    <t>U+0301</t>
    <phoneticPr fontId="3" type="noConversion"/>
  </si>
  <si>
    <t>台羅拼音</t>
    <phoneticPr fontId="3" type="noConversion"/>
  </si>
  <si>
    <t>方音符號</t>
    <phoneticPr fontId="3" type="noConversion"/>
  </si>
  <si>
    <t>閩拼方案</t>
    <phoneticPr fontId="3" type="noConversion"/>
  </si>
  <si>
    <t>U+0302</t>
    <phoneticPr fontId="3" type="noConversion"/>
  </si>
  <si>
    <t>U+030C</t>
    <phoneticPr fontId="3" type="noConversion"/>
  </si>
  <si>
    <t>輕聲</t>
    <phoneticPr fontId="3" type="noConversion"/>
  </si>
  <si>
    <t>上平</t>
    <phoneticPr fontId="3" type="noConversion"/>
  </si>
  <si>
    <t>上聲</t>
    <phoneticPr fontId="3" type="noConversion"/>
  </si>
  <si>
    <t>上去</t>
    <phoneticPr fontId="3" type="noConversion"/>
  </si>
  <si>
    <t>上入</t>
    <phoneticPr fontId="3" type="noConversion"/>
  </si>
  <si>
    <t>下平</t>
    <phoneticPr fontId="3" type="noConversion"/>
  </si>
  <si>
    <t>下入</t>
    <phoneticPr fontId="3" type="noConversion"/>
  </si>
  <si>
    <t>下去</t>
    <phoneticPr fontId="3" type="noConversion"/>
  </si>
  <si>
    <t>U+0304</t>
    <phoneticPr fontId="3" type="noConversion"/>
  </si>
  <si>
    <t>台羅調符編碼</t>
    <phoneticPr fontId="3" type="noConversion"/>
  </si>
  <si>
    <t>閩拼調符編碼</t>
    <phoneticPr fontId="3" type="noConversion"/>
  </si>
  <si>
    <t>調名</t>
    <phoneticPr fontId="3" type="noConversion"/>
  </si>
  <si>
    <t>ah</t>
    <phoneticPr fontId="3" type="noConversion"/>
  </si>
  <si>
    <t>U+030D</t>
    <phoneticPr fontId="3" type="noConversion"/>
  </si>
  <si>
    <t>iauʔ</t>
  </si>
  <si>
    <t>aunnh</t>
  </si>
  <si>
    <t>iãʔ</t>
  </si>
  <si>
    <t>ɔ̃ʔ</t>
  </si>
  <si>
    <t>auʔ</t>
  </si>
  <si>
    <t>iaʔ</t>
  </si>
  <si>
    <t>ioʔ</t>
  </si>
  <si>
    <t>iuh</t>
  </si>
  <si>
    <t>ãʔ</t>
  </si>
  <si>
    <t>ŋ̍ʔ</t>
  </si>
  <si>
    <t>ngh</t>
  </si>
  <si>
    <t>ɔ̃</t>
  </si>
  <si>
    <t>ɔʔ</t>
  </si>
  <si>
    <t>ooh</t>
  </si>
  <si>
    <t>uaʔ</t>
  </si>
  <si>
    <t>ueʔ</t>
  </si>
  <si>
    <t>aʔ</t>
  </si>
  <si>
    <t>eʔ</t>
  </si>
  <si>
    <t>ir</t>
  </si>
  <si>
    <t>eu</t>
  </si>
  <si>
    <t>er</t>
  </si>
  <si>
    <t>iʔ</t>
  </si>
  <si>
    <t>m̩ʔ</t>
  </si>
  <si>
    <t>mh</t>
  </si>
  <si>
    <t>oʔ</t>
  </si>
  <si>
    <t>ɔk</t>
  </si>
  <si>
    <t>ɔ</t>
  </si>
  <si>
    <t>ɔp</t>
  </si>
  <si>
    <t>uʔ</t>
  </si>
  <si>
    <t>iooh</t>
  </si>
  <si>
    <t>ɔu</t>
  </si>
  <si>
    <t>ae</t>
  </si>
  <si>
    <t>uae</t>
  </si>
  <si>
    <t>aenn</t>
  </si>
  <si>
    <t>ioo</t>
  </si>
  <si>
    <t>iaunnh</t>
    <phoneticPr fontId="3" type="noConversion"/>
  </si>
  <si>
    <t>白話字</t>
    <phoneticPr fontId="3" type="noConversion"/>
  </si>
  <si>
    <t>ioh</t>
    <phoneticPr fontId="3" type="noConversion"/>
  </si>
  <si>
    <t>台語注音二式</t>
  </si>
  <si>
    <t>台語注音二式</t>
    <phoneticPr fontId="3" type="noConversion"/>
  </si>
  <si>
    <t>十五音</t>
    <phoneticPr fontId="3" type="noConversion"/>
  </si>
  <si>
    <t>國際音標</t>
    <phoneticPr fontId="3" type="noConversion"/>
  </si>
  <si>
    <t>ɔp̚</t>
    <phoneticPr fontId="3" type="noConversion"/>
  </si>
  <si>
    <t>ɛʔ</t>
  </si>
  <si>
    <t>iook</t>
  </si>
  <si>
    <t>iook</t>
    <phoneticPr fontId="3" type="noConversion"/>
  </si>
  <si>
    <t>序號</t>
    <phoneticPr fontId="3" type="noConversion"/>
  </si>
  <si>
    <t>字長</t>
    <phoneticPr fontId="3" type="noConversion"/>
  </si>
  <si>
    <t>對映</t>
    <phoneticPr fontId="3" type="noConversion"/>
  </si>
  <si>
    <t>ahⁿ</t>
  </si>
  <si>
    <t>oaihⁿ</t>
  </si>
  <si>
    <t>ohⁿ</t>
  </si>
  <si>
    <t>onn</t>
    <phoneticPr fontId="3" type="noConversion"/>
  </si>
  <si>
    <t>ɔ̃ʔ</t>
    <phoneticPr fontId="3" type="noConversion"/>
  </si>
  <si>
    <t>ɔ̃</t>
    <phoneticPr fontId="3" type="noConversion"/>
  </si>
  <si>
    <t>ㄝㆷ</t>
    <phoneticPr fontId="3" type="noConversion"/>
  </si>
  <si>
    <t>ㄨㄞㆷ</t>
    <phoneticPr fontId="3" type="noConversion"/>
  </si>
  <si>
    <t>ㆦ</t>
    <phoneticPr fontId="3" type="noConversion"/>
  </si>
  <si>
    <t>ㄧㄠㆷ</t>
    <phoneticPr fontId="3" type="noConversion"/>
  </si>
  <si>
    <t>ㄜㆷ</t>
    <phoneticPr fontId="3" type="noConversion"/>
  </si>
  <si>
    <t>ㄧㄤ</t>
    <phoneticPr fontId="3" type="noConversion"/>
  </si>
  <si>
    <t>ㄧㄚㆻ</t>
    <phoneticPr fontId="3" type="noConversion"/>
  </si>
  <si>
    <t>ㄨㄚㆷ</t>
    <phoneticPr fontId="3" type="noConversion"/>
  </si>
  <si>
    <t>ㄤ</t>
    <phoneticPr fontId="3" type="noConversion"/>
  </si>
  <si>
    <t>ㄠㆷ</t>
    <phoneticPr fontId="3" type="noConversion"/>
  </si>
  <si>
    <t>ㄧㄚㆷ</t>
    <phoneticPr fontId="3" type="noConversion"/>
  </si>
  <si>
    <t>ㄨㆤㆷ</t>
    <phoneticPr fontId="3" type="noConversion"/>
  </si>
  <si>
    <t>ㆩㆷ</t>
    <phoneticPr fontId="3" type="noConversion"/>
  </si>
  <si>
    <t>ㄨㆷ</t>
    <phoneticPr fontId="3" type="noConversion"/>
  </si>
  <si>
    <t>ㄚㆷ</t>
    <phoneticPr fontId="3" type="noConversion"/>
  </si>
  <si>
    <t>ㄧㆷ</t>
    <phoneticPr fontId="3" type="noConversion"/>
  </si>
  <si>
    <t>ㆥㆷ</t>
    <phoneticPr fontId="3" type="noConversion"/>
  </si>
  <si>
    <t>ㄧㄜㆷ</t>
    <phoneticPr fontId="3" type="noConversion"/>
  </si>
  <si>
    <t>ㆪㆷ</t>
    <phoneticPr fontId="3" type="noConversion"/>
  </si>
  <si>
    <t>ㆤㆷ</t>
    <phoneticPr fontId="3" type="noConversion"/>
  </si>
  <si>
    <t>ㆧ</t>
    <phoneticPr fontId="3" type="noConversion"/>
  </si>
  <si>
    <t>ㄨㄤ</t>
    <phoneticPr fontId="3" type="noConversion"/>
  </si>
  <si>
    <t>ㄨㆮㆷ</t>
    <phoneticPr fontId="3" type="noConversion"/>
  </si>
  <si>
    <t>ㄧㆯㆷ</t>
    <phoneticPr fontId="3" type="noConversion"/>
  </si>
  <si>
    <t>ㆧㆷ</t>
    <phoneticPr fontId="3" type="noConversion"/>
  </si>
  <si>
    <t>韻母五十字</t>
  </si>
  <si>
    <t>韻母</t>
  </si>
  <si>
    <t>千</t>
  </si>
  <si>
    <t>*un/t</t>
  </si>
  <si>
    <t>*ian/t</t>
  </si>
  <si>
    <t>*im/p</t>
  </si>
  <si>
    <t>*ui</t>
  </si>
  <si>
    <t>*ɛ(ʔ)</t>
  </si>
  <si>
    <t>*an/t</t>
  </si>
  <si>
    <t>*ɔŋ/k</t>
  </si>
  <si>
    <t>*uai(ʔ)</t>
  </si>
  <si>
    <t>*ɛŋ/k</t>
  </si>
  <si>
    <t>*uan/t</t>
  </si>
  <si>
    <t>[un/t̚]</t>
  </si>
  <si>
    <t>[ɪan/t̚]</t>
  </si>
  <si>
    <t>[im/p̚]</t>
  </si>
  <si>
    <t>[ui]</t>
  </si>
  <si>
    <t>[ɛ(ʔ)]</t>
  </si>
  <si>
    <t>[an/t̚]</t>
  </si>
  <si>
    <t>[ɔŋ/k̚]</t>
  </si>
  <si>
    <t>[uai(ʔ)]</t>
  </si>
  <si>
    <t>[ɪŋ/k̚]</t>
  </si>
  <si>
    <t>[uan/t̚]</t>
  </si>
  <si>
    <t>閩南拼音</t>
  </si>
  <si>
    <t>un/t</t>
  </si>
  <si>
    <t>ian/t</t>
  </si>
  <si>
    <t>im/p</t>
  </si>
  <si>
    <t>e(h)</t>
  </si>
  <si>
    <t>an/t</t>
  </si>
  <si>
    <t>ong/k</t>
  </si>
  <si>
    <t>uai(h)</t>
  </si>
  <si>
    <t>ing/k</t>
  </si>
  <si>
    <t>uan/t</t>
  </si>
  <si>
    <t>ee(h)</t>
  </si>
  <si>
    <t>馬重奇擬音</t>
  </si>
  <si>
    <t>*ɔu</t>
  </si>
  <si>
    <t>*iau(ʔ)</t>
  </si>
  <si>
    <t>*ei</t>
  </si>
  <si>
    <t>*iɔŋ/k</t>
  </si>
  <si>
    <t>*o(ʔ)</t>
  </si>
  <si>
    <t>*ai</t>
  </si>
  <si>
    <t>*in/t</t>
  </si>
  <si>
    <t>*iaŋ/k</t>
  </si>
  <si>
    <t>*am/p</t>
  </si>
  <si>
    <t>*ua(ʔ)</t>
  </si>
  <si>
    <t>[ɔ]</t>
  </si>
  <si>
    <t>[ɪaʊ(ʔ)]</t>
  </si>
  <si>
    <t>[e]</t>
  </si>
  <si>
    <t>[ɪɔŋ/k̚]</t>
  </si>
  <si>
    <t>[o(ʔ)]</t>
  </si>
  <si>
    <t>[aɪ]</t>
  </si>
  <si>
    <t>[in/t̚]</t>
  </si>
  <si>
    <t>[ɪaŋ/k̚]</t>
  </si>
  <si>
    <t>[am/p̚]</t>
  </si>
  <si>
    <t>[ua(ʔ)]</t>
  </si>
  <si>
    <t>iao(h)</t>
  </si>
  <si>
    <t>iong/k</t>
  </si>
  <si>
    <t>o(h)</t>
  </si>
  <si>
    <t>in/t</t>
  </si>
  <si>
    <t>iang/k</t>
  </si>
  <si>
    <t>am/p</t>
  </si>
  <si>
    <t>ua(h)</t>
  </si>
  <si>
    <t>iau(h)</t>
  </si>
  <si>
    <t>*aŋ/k</t>
  </si>
  <si>
    <t>*iam/p</t>
  </si>
  <si>
    <t>*au(ʔ)</t>
  </si>
  <si>
    <t>*ia(ʔ)</t>
  </si>
  <si>
    <t>*uei(ʔ)</t>
  </si>
  <si>
    <t>*ã(ʔ)</t>
  </si>
  <si>
    <t>*u(ʔ)</t>
  </si>
  <si>
    <t>*a(ʔ)</t>
  </si>
  <si>
    <t>*i(ʔ)</t>
  </si>
  <si>
    <t>*iu</t>
  </si>
  <si>
    <t>[aŋ/k̚]</t>
  </si>
  <si>
    <t>[iam/p̚]</t>
  </si>
  <si>
    <t>[aʊ(ʔ)]</t>
  </si>
  <si>
    <t>[ɪa(ʔ)]</t>
  </si>
  <si>
    <t>[ue(ʔ)]</t>
  </si>
  <si>
    <t>[ã(ʔ)]</t>
  </si>
  <si>
    <t>[u(ʔ)]</t>
  </si>
  <si>
    <t>[a(ʔ)]</t>
  </si>
  <si>
    <t>[i(ʔ)]</t>
  </si>
  <si>
    <t>[iu]</t>
  </si>
  <si>
    <t>ang/k</t>
  </si>
  <si>
    <t>iam/p</t>
  </si>
  <si>
    <t>ao(h)</t>
  </si>
  <si>
    <t>ia(h)</t>
  </si>
  <si>
    <t>ue(h)</t>
  </si>
  <si>
    <t>na(h)</t>
  </si>
  <si>
    <t>u(h)</t>
  </si>
  <si>
    <t>a(h)</t>
  </si>
  <si>
    <t>i(h)</t>
  </si>
  <si>
    <t>au(h)</t>
  </si>
  <si>
    <t>ann(h)</t>
  </si>
  <si>
    <t>*ɛ̃</t>
  </si>
  <si>
    <t>*ũĩ</t>
  </si>
  <si>
    <t>*io(ʔ)</t>
  </si>
  <si>
    <t>*ĩ(ʔ)</t>
  </si>
  <si>
    <t>*ĩõ</t>
  </si>
  <si>
    <t>*ĩã</t>
  </si>
  <si>
    <t>*ũã</t>
  </si>
  <si>
    <t>*ŋ</t>
  </si>
  <si>
    <t>*e(ʔ)</t>
  </si>
  <si>
    <t>*ãĩ</t>
  </si>
  <si>
    <t>[ẽ]</t>
  </si>
  <si>
    <t>[ũĩ]</t>
  </si>
  <si>
    <t>[ɪo(ʔ)]</t>
  </si>
  <si>
    <t>[ĩ(ʔ)]</t>
  </si>
  <si>
    <t>[ĩɔ̃]</t>
  </si>
  <si>
    <t>[ĩã]</t>
  </si>
  <si>
    <t>[ũã]</t>
  </si>
  <si>
    <t>[ŋ̍]</t>
  </si>
  <si>
    <t>[e(ʔ)]</t>
  </si>
  <si>
    <t>[ãĩ]</t>
  </si>
  <si>
    <t>io(h)</t>
  </si>
  <si>
    <t>ni(h)</t>
  </si>
  <si>
    <t>inn(h)</t>
  </si>
  <si>
    <t>*õũ</t>
  </si>
  <si>
    <t>*m</t>
  </si>
  <si>
    <t>*uaŋ/k</t>
  </si>
  <si>
    <t>*ũãĩ(ʔ)</t>
  </si>
  <si>
    <t>*ũẽĩ(ʔ)</t>
  </si>
  <si>
    <t>*ĩãũ(ʔ)</t>
  </si>
  <si>
    <t>*ɔm/p</t>
  </si>
  <si>
    <t>*ãũ</t>
  </si>
  <si>
    <t>*õ(ʔ)</t>
  </si>
  <si>
    <t>*ĩũ</t>
  </si>
  <si>
    <t>[ɔ̃]</t>
  </si>
  <si>
    <t>[m̩]</t>
  </si>
  <si>
    <t>[uaŋ/k̚]</t>
  </si>
  <si>
    <t>[ũãĩ(ʔ)]</t>
  </si>
  <si>
    <t>[ũẽ(ʔ)]</t>
  </si>
  <si>
    <t>[ĩãũ(ʔ)]</t>
  </si>
  <si>
    <t>[ɔm/p̚]</t>
  </si>
  <si>
    <t>[ãũ]</t>
  </si>
  <si>
    <t>[ɔ̃(ʔ)]</t>
  </si>
  <si>
    <t>[ĩũ]</t>
  </si>
  <si>
    <t>uang/k</t>
  </si>
  <si>
    <t>nuai(h)</t>
  </si>
  <si>
    <t>nue(h)</t>
  </si>
  <si>
    <t>niao(h)</t>
  </si>
  <si>
    <t>om/p</t>
  </si>
  <si>
    <t>noo(h)</t>
  </si>
  <si>
    <t>uainn(h)</t>
  </si>
  <si>
    <t>uenn(h)</t>
  </si>
  <si>
    <t>iaunn(h)</t>
  </si>
  <si>
    <t>onn(h)</t>
  </si>
  <si>
    <t>馬重奇擬音</t>
    <phoneticPr fontId="3" type="noConversion"/>
  </si>
  <si>
    <t>ɛ(ʔ)</t>
  </si>
  <si>
    <t>ɔŋ/k</t>
  </si>
  <si>
    <t>uai(ʔ)</t>
  </si>
  <si>
    <t>ɛŋ/k</t>
  </si>
  <si>
    <t>iau(ʔ)</t>
  </si>
  <si>
    <t>iɔŋ/k</t>
  </si>
  <si>
    <t>o(ʔ)</t>
  </si>
  <si>
    <t>iaŋ/k</t>
  </si>
  <si>
    <t>ua(ʔ)</t>
  </si>
  <si>
    <t>aŋ/k</t>
  </si>
  <si>
    <t>au(ʔ)</t>
  </si>
  <si>
    <t>ia(ʔ)</t>
  </si>
  <si>
    <t>uei(ʔ)</t>
  </si>
  <si>
    <t>ã(ʔ)</t>
  </si>
  <si>
    <t>u(ʔ)</t>
  </si>
  <si>
    <t>a(ʔ)</t>
  </si>
  <si>
    <t>i(ʔ)</t>
  </si>
  <si>
    <t>ũĩ</t>
  </si>
  <si>
    <t>io(ʔ)</t>
  </si>
  <si>
    <t>ĩ(ʔ)</t>
  </si>
  <si>
    <t>ĩõ</t>
  </si>
  <si>
    <t>ĩã</t>
  </si>
  <si>
    <t>ũã</t>
  </si>
  <si>
    <t>e(ʔ)</t>
  </si>
  <si>
    <t>ãĩ</t>
  </si>
  <si>
    <t>õũ</t>
  </si>
  <si>
    <t>uaŋ/k</t>
  </si>
  <si>
    <t>ũãĩ(ʔ)</t>
  </si>
  <si>
    <t>ũẽĩ(ʔ)</t>
  </si>
  <si>
    <t>ĩãũ(ʔ)</t>
  </si>
  <si>
    <t>ɔm/p</t>
  </si>
  <si>
    <t>ãũ</t>
  </si>
  <si>
    <t>õ(ʔ)</t>
  </si>
  <si>
    <t>ĩũ</t>
  </si>
  <si>
    <t>舒聲韻母</t>
    <phoneticPr fontId="3" type="noConversion"/>
  </si>
  <si>
    <t>促聲韻母</t>
    <phoneticPr fontId="3" type="noConversion"/>
  </si>
  <si>
    <t>(</t>
    <phoneticPr fontId="3" type="noConversion"/>
  </si>
  <si>
    <t>uaiʔ</t>
  </si>
  <si>
    <t>ɛŋ</t>
  </si>
  <si>
    <t>ɛk</t>
  </si>
  <si>
    <t>iɔk</t>
  </si>
  <si>
    <t>ueiʔ</t>
  </si>
  <si>
    <t>ã</t>
  </si>
  <si>
    <t>ĩʔ</t>
  </si>
  <si>
    <t>ũãĩ</t>
  </si>
  <si>
    <t>ũãĩʔ</t>
  </si>
  <si>
    <t>ũẽĩ</t>
  </si>
  <si>
    <t>ũẽĩʔ</t>
  </si>
  <si>
    <t>ĩãũ</t>
  </si>
  <si>
    <t>ĩãũʔ</t>
  </si>
  <si>
    <t>õ</t>
  </si>
  <si>
    <t>õʔ</t>
  </si>
  <si>
    <t>/</t>
    <phoneticPr fontId="3" type="noConversion"/>
  </si>
  <si>
    <t>ɪan/t̚</t>
  </si>
  <si>
    <t>im/p̚</t>
  </si>
  <si>
    <t>an/t̚</t>
  </si>
  <si>
    <t>ɔŋ/k̚</t>
  </si>
  <si>
    <t>ɪŋ/k̚</t>
  </si>
  <si>
    <t>uan/t̚</t>
  </si>
  <si>
    <t>ɪaʊ(ʔ)</t>
  </si>
  <si>
    <t>ɪɔŋ/k̚</t>
  </si>
  <si>
    <t>aɪ</t>
  </si>
  <si>
    <t>in/t̚</t>
  </si>
  <si>
    <t>ɪaŋ/k̚</t>
  </si>
  <si>
    <t>am/p̚</t>
  </si>
  <si>
    <t>aŋ/k̚</t>
  </si>
  <si>
    <t>iam/p̚</t>
  </si>
  <si>
    <t>aʊ(ʔ)</t>
  </si>
  <si>
    <t>ɪa(ʔ)</t>
  </si>
  <si>
    <t>ue(ʔ)</t>
  </si>
  <si>
    <t>ẽ</t>
  </si>
  <si>
    <t>ɪo(ʔ)</t>
  </si>
  <si>
    <t>ĩɔ̃</t>
  </si>
  <si>
    <t>uaŋ/k̚</t>
  </si>
  <si>
    <t>ũẽ(ʔ)</t>
  </si>
  <si>
    <t>ɔm/p̚</t>
  </si>
  <si>
    <t>ɔ̃(ʔ)</t>
  </si>
  <si>
    <r>
      <t>ũẽ</t>
    </r>
    <r>
      <rPr>
        <sz val="16"/>
        <color theme="1"/>
        <rFont val="Segoe UI"/>
        <family val="2"/>
        <charset val="1"/>
      </rPr>
      <t>ʔ</t>
    </r>
    <phoneticPr fontId="3" type="noConversion"/>
  </si>
  <si>
    <t>ɪan</t>
  </si>
  <si>
    <t>ɪat̚</t>
  </si>
  <si>
    <t>ɪŋ</t>
  </si>
  <si>
    <t>ɪk̚</t>
  </si>
  <si>
    <t>ɪaʊ</t>
  </si>
  <si>
    <t>ɪaʊʔ</t>
  </si>
  <si>
    <t>ɪɔŋ</t>
  </si>
  <si>
    <t>ɪɔk̚</t>
  </si>
  <si>
    <t>ɪaŋ</t>
  </si>
  <si>
    <t>ɪak̚</t>
  </si>
  <si>
    <t>aʊ</t>
  </si>
  <si>
    <t>aʊʔ</t>
  </si>
  <si>
    <t>ɪa</t>
  </si>
  <si>
    <t>ɪo</t>
  </si>
  <si>
    <t>ɪoʔ</t>
  </si>
  <si>
    <t>ian</t>
    <phoneticPr fontId="3" type="noConversion"/>
  </si>
  <si>
    <t>iat</t>
    <phoneticPr fontId="3" type="noConversion"/>
  </si>
  <si>
    <t>ip</t>
    <phoneticPr fontId="3" type="noConversion"/>
  </si>
  <si>
    <t>eh</t>
    <phoneticPr fontId="3" type="noConversion"/>
  </si>
  <si>
    <t>e</t>
    <phoneticPr fontId="3" type="noConversion"/>
  </si>
  <si>
    <t>an</t>
    <phoneticPr fontId="3" type="noConversion"/>
  </si>
  <si>
    <t>at</t>
    <phoneticPr fontId="3" type="noConversion"/>
  </si>
  <si>
    <t>ak</t>
    <phoneticPr fontId="3" type="noConversion"/>
  </si>
  <si>
    <t>ok</t>
    <phoneticPr fontId="3" type="noConversion"/>
  </si>
  <si>
    <t>ong</t>
    <phoneticPr fontId="3" type="noConversion"/>
  </si>
  <si>
    <t>uaih</t>
    <phoneticPr fontId="3" type="noConversion"/>
  </si>
  <si>
    <t>ik</t>
    <phoneticPr fontId="3" type="noConversion"/>
  </si>
  <si>
    <t>uat</t>
    <phoneticPr fontId="3" type="noConversion"/>
  </si>
  <si>
    <t>iaoh</t>
    <phoneticPr fontId="3" type="noConversion"/>
  </si>
  <si>
    <t>iok</t>
    <phoneticPr fontId="3" type="noConversion"/>
  </si>
  <si>
    <t>oh</t>
    <phoneticPr fontId="3" type="noConversion"/>
  </si>
  <si>
    <t>it</t>
    <phoneticPr fontId="3" type="noConversion"/>
  </si>
  <si>
    <t>iak</t>
    <phoneticPr fontId="3" type="noConversion"/>
  </si>
  <si>
    <t>ap</t>
    <phoneticPr fontId="3" type="noConversion"/>
  </si>
  <si>
    <t>uah</t>
    <phoneticPr fontId="3" type="noConversion"/>
  </si>
  <si>
    <t>iap</t>
    <phoneticPr fontId="3" type="noConversion"/>
  </si>
  <si>
    <t>aoh</t>
    <phoneticPr fontId="3" type="noConversion"/>
  </si>
  <si>
    <t>iah</t>
    <phoneticPr fontId="3" type="noConversion"/>
  </si>
  <si>
    <t>ueh</t>
    <phoneticPr fontId="3" type="noConversion"/>
  </si>
  <si>
    <t>nah</t>
    <phoneticPr fontId="3" type="noConversion"/>
  </si>
  <si>
    <t>uh</t>
    <phoneticPr fontId="3" type="noConversion"/>
  </si>
  <si>
    <t>ih</t>
    <phoneticPr fontId="3" type="noConversion"/>
  </si>
  <si>
    <t>nih</t>
    <phoneticPr fontId="3" type="noConversion"/>
  </si>
  <si>
    <t>nooh</t>
    <phoneticPr fontId="3" type="noConversion"/>
  </si>
  <si>
    <t>op</t>
    <phoneticPr fontId="3" type="noConversion"/>
  </si>
  <si>
    <t>niaoh</t>
    <phoneticPr fontId="3" type="noConversion"/>
  </si>
  <si>
    <t>nueh</t>
    <phoneticPr fontId="3" type="noConversion"/>
  </si>
  <si>
    <t>nuaih</t>
    <phoneticPr fontId="3" type="noConversion"/>
  </si>
  <si>
    <t>uak</t>
    <phoneticPr fontId="3" type="noConversion"/>
  </si>
  <si>
    <t>uai</t>
    <phoneticPr fontId="3" type="noConversion"/>
  </si>
  <si>
    <t>ing</t>
    <phoneticPr fontId="3" type="noConversion"/>
  </si>
  <si>
    <t>uan</t>
    <phoneticPr fontId="3" type="noConversion"/>
  </si>
  <si>
    <t>iao</t>
    <phoneticPr fontId="3" type="noConversion"/>
  </si>
  <si>
    <t>iong</t>
    <phoneticPr fontId="3" type="noConversion"/>
  </si>
  <si>
    <t>o</t>
    <phoneticPr fontId="3" type="noConversion"/>
  </si>
  <si>
    <t>in</t>
    <phoneticPr fontId="3" type="noConversion"/>
  </si>
  <si>
    <t>iang</t>
    <phoneticPr fontId="3" type="noConversion"/>
  </si>
  <si>
    <t>am</t>
    <phoneticPr fontId="3" type="noConversion"/>
  </si>
  <si>
    <t>ua</t>
    <phoneticPr fontId="3" type="noConversion"/>
  </si>
  <si>
    <t>ang</t>
    <phoneticPr fontId="3" type="noConversion"/>
  </si>
  <si>
    <t>iam</t>
    <phoneticPr fontId="3" type="noConversion"/>
  </si>
  <si>
    <t>ao</t>
    <phoneticPr fontId="3" type="noConversion"/>
  </si>
  <si>
    <t>ia</t>
    <phoneticPr fontId="3" type="noConversion"/>
  </si>
  <si>
    <t>ue</t>
    <phoneticPr fontId="3" type="noConversion"/>
  </si>
  <si>
    <t>na</t>
    <phoneticPr fontId="3" type="noConversion"/>
  </si>
  <si>
    <t>u</t>
    <phoneticPr fontId="3" type="noConversion"/>
  </si>
  <si>
    <t>a</t>
    <phoneticPr fontId="3" type="noConversion"/>
  </si>
  <si>
    <t>i</t>
    <phoneticPr fontId="3" type="noConversion"/>
  </si>
  <si>
    <t>io</t>
    <phoneticPr fontId="3" type="noConversion"/>
  </si>
  <si>
    <t>ni</t>
    <phoneticPr fontId="3" type="noConversion"/>
  </si>
  <si>
    <t>uang</t>
    <phoneticPr fontId="3" type="noConversion"/>
  </si>
  <si>
    <t>nuai</t>
    <phoneticPr fontId="3" type="noConversion"/>
  </si>
  <si>
    <t>nue</t>
    <phoneticPr fontId="3" type="noConversion"/>
  </si>
  <si>
    <t>niao</t>
    <phoneticPr fontId="3" type="noConversion"/>
  </si>
  <si>
    <t>noo</t>
    <phoneticPr fontId="3" type="noConversion"/>
  </si>
  <si>
    <t>閩南拼音</t>
    <phoneticPr fontId="3" type="noConversion"/>
  </si>
  <si>
    <t>eeh</t>
    <phoneticPr fontId="3" type="noConversion"/>
  </si>
  <si>
    <t>ee</t>
    <phoneticPr fontId="3" type="noConversion"/>
  </si>
  <si>
    <t>iauh</t>
    <phoneticPr fontId="3" type="noConversion"/>
  </si>
  <si>
    <t>iau</t>
    <phoneticPr fontId="3" type="noConversion"/>
  </si>
  <si>
    <t>auh</t>
    <phoneticPr fontId="3" type="noConversion"/>
  </si>
  <si>
    <t>au</t>
    <phoneticPr fontId="3" type="noConversion"/>
  </si>
  <si>
    <t>annh</t>
    <phoneticPr fontId="3" type="noConversion"/>
  </si>
  <si>
    <t>ann</t>
    <phoneticPr fontId="3" type="noConversion"/>
  </si>
  <si>
    <t>innh</t>
    <phoneticPr fontId="3" type="noConversion"/>
  </si>
  <si>
    <t>inn</t>
    <phoneticPr fontId="3" type="noConversion"/>
  </si>
  <si>
    <t>uainnh</t>
    <phoneticPr fontId="3" type="noConversion"/>
  </si>
  <si>
    <t>uennh</t>
    <phoneticPr fontId="3" type="noConversion"/>
  </si>
  <si>
    <t>onnh</t>
    <phoneticPr fontId="3" type="noConversion"/>
  </si>
  <si>
    <t>uainn</t>
    <phoneticPr fontId="3" type="noConversion"/>
  </si>
  <si>
    <t>uenn</t>
    <phoneticPr fontId="3" type="noConversion"/>
  </si>
  <si>
    <t>iaunn</t>
    <phoneticPr fontId="3" type="noConversion"/>
  </si>
  <si>
    <t>干</t>
    <phoneticPr fontId="3" type="noConversion"/>
  </si>
  <si>
    <t>ɪaʔ</t>
    <phoneticPr fontId="3" type="noConversion"/>
  </si>
  <si>
    <t>ueʔ</t>
    <phoneticPr fontId="3" type="noConversion"/>
  </si>
  <si>
    <r>
      <t>a</t>
    </r>
    <r>
      <rPr>
        <sz val="16"/>
        <color theme="1"/>
        <rFont val="Noto Sans TC Medium"/>
        <family val="2"/>
        <charset val="136"/>
      </rPr>
      <t>ⁿ</t>
    </r>
  </si>
  <si>
    <r>
      <t>ah</t>
    </r>
    <r>
      <rPr>
        <sz val="16"/>
        <color theme="1"/>
        <rFont val="Noto Sans TC Medium"/>
        <family val="2"/>
        <charset val="136"/>
      </rPr>
      <t>ⁿ</t>
    </r>
  </si>
  <si>
    <r>
      <t>e</t>
    </r>
    <r>
      <rPr>
        <sz val="16"/>
        <color theme="1"/>
        <rFont val="Noto Sans TC Medium"/>
        <family val="2"/>
        <charset val="136"/>
      </rPr>
      <t>ⁿ</t>
    </r>
  </si>
  <si>
    <r>
      <t>eh</t>
    </r>
    <r>
      <rPr>
        <sz val="16"/>
        <color theme="1"/>
        <rFont val="Noto Sans TC Medium"/>
        <family val="2"/>
        <charset val="136"/>
      </rPr>
      <t>ⁿ</t>
    </r>
  </si>
  <si>
    <r>
      <t>ui</t>
    </r>
    <r>
      <rPr>
        <sz val="16"/>
        <color theme="1"/>
        <rFont val="Noto Sans TC Medium"/>
        <family val="2"/>
        <charset val="136"/>
      </rPr>
      <t>ⁿ</t>
    </r>
  </si>
  <si>
    <r>
      <t>i</t>
    </r>
    <r>
      <rPr>
        <sz val="16"/>
        <color theme="1"/>
        <rFont val="Noto Sans TC Medium"/>
        <family val="2"/>
        <charset val="136"/>
      </rPr>
      <t>ⁿ</t>
    </r>
  </si>
  <si>
    <r>
      <t>ih</t>
    </r>
    <r>
      <rPr>
        <sz val="16"/>
        <color theme="1"/>
        <rFont val="Noto Sans TC Medium"/>
        <family val="2"/>
        <charset val="136"/>
      </rPr>
      <t>ⁿ</t>
    </r>
  </si>
  <si>
    <r>
      <t>io</t>
    </r>
    <r>
      <rPr>
        <sz val="16"/>
        <color theme="1"/>
        <rFont val="Noto Sans TC Medium"/>
        <family val="2"/>
        <charset val="136"/>
      </rPr>
      <t>ⁿ</t>
    </r>
  </si>
  <si>
    <r>
      <t>ia</t>
    </r>
    <r>
      <rPr>
        <sz val="16"/>
        <color theme="1"/>
        <rFont val="Noto Sans TC Medium"/>
        <family val="2"/>
        <charset val="136"/>
      </rPr>
      <t>ⁿ</t>
    </r>
  </si>
  <si>
    <r>
      <t>oa</t>
    </r>
    <r>
      <rPr>
        <sz val="16"/>
        <color theme="1"/>
        <rFont val="Noto Sans TC Medium"/>
        <family val="2"/>
        <charset val="136"/>
      </rPr>
      <t>ⁿ</t>
    </r>
  </si>
  <si>
    <r>
      <t>ai</t>
    </r>
    <r>
      <rPr>
        <sz val="16"/>
        <color theme="1"/>
        <rFont val="Noto Sans TC Medium"/>
        <family val="2"/>
        <charset val="136"/>
      </rPr>
      <t>ⁿ</t>
    </r>
  </si>
  <si>
    <r>
      <t>o</t>
    </r>
    <r>
      <rPr>
        <sz val="16"/>
        <color theme="1"/>
        <rFont val="Noto Sans TC Medium"/>
        <family val="2"/>
        <charset val="136"/>
      </rPr>
      <t>ⁿ</t>
    </r>
  </si>
  <si>
    <r>
      <t>oai</t>
    </r>
    <r>
      <rPr>
        <sz val="16"/>
        <color theme="1"/>
        <rFont val="Noto Sans TC Medium"/>
        <family val="2"/>
        <charset val="136"/>
      </rPr>
      <t>ⁿ</t>
    </r>
  </si>
  <si>
    <r>
      <t>oaih</t>
    </r>
    <r>
      <rPr>
        <sz val="16"/>
        <color theme="1"/>
        <rFont val="Noto Sans TC Medium"/>
        <family val="2"/>
        <charset val="136"/>
      </rPr>
      <t>ⁿ</t>
    </r>
  </si>
  <si>
    <r>
      <t>oe</t>
    </r>
    <r>
      <rPr>
        <sz val="16"/>
        <color theme="1"/>
        <rFont val="Noto Sans TC Medium"/>
        <family val="2"/>
        <charset val="136"/>
      </rPr>
      <t>ⁿ</t>
    </r>
  </si>
  <si>
    <r>
      <t>iau</t>
    </r>
    <r>
      <rPr>
        <sz val="16"/>
        <color theme="1"/>
        <rFont val="Noto Sans TC Medium"/>
        <family val="2"/>
        <charset val="136"/>
      </rPr>
      <t>ⁿ</t>
    </r>
  </si>
  <si>
    <r>
      <t>iauh</t>
    </r>
    <r>
      <rPr>
        <sz val="16"/>
        <color theme="1"/>
        <rFont val="Noto Sans TC Medium"/>
        <family val="2"/>
        <charset val="136"/>
      </rPr>
      <t>ⁿ</t>
    </r>
  </si>
  <si>
    <r>
      <t>au</t>
    </r>
    <r>
      <rPr>
        <sz val="16"/>
        <color theme="1"/>
        <rFont val="Noto Sans TC Medium"/>
        <family val="2"/>
        <charset val="136"/>
      </rPr>
      <t>ⁿ</t>
    </r>
  </si>
  <si>
    <r>
      <t>oh</t>
    </r>
    <r>
      <rPr>
        <sz val="16"/>
        <color theme="1"/>
        <rFont val="Noto Sans TC Medium"/>
        <family val="2"/>
        <charset val="136"/>
      </rPr>
      <t>ⁿ</t>
    </r>
  </si>
  <si>
    <r>
      <t>iu</t>
    </r>
    <r>
      <rPr>
        <sz val="16"/>
        <color theme="1"/>
        <rFont val="Noto Sans TC Medium"/>
        <family val="2"/>
        <charset val="136"/>
      </rPr>
      <t>ⁿ</t>
    </r>
  </si>
  <si>
    <t>;</t>
    <phoneticPr fontId="3" type="noConversion"/>
  </si>
  <si>
    <t>\</t>
    <phoneticPr fontId="3" type="noConversion"/>
  </si>
  <si>
    <t>[</t>
    <phoneticPr fontId="3" type="noConversion"/>
  </si>
  <si>
    <t>-</t>
    <phoneticPr fontId="3" type="noConversion"/>
  </si>
  <si>
    <t>一</t>
    <phoneticPr fontId="3" type="noConversion"/>
  </si>
  <si>
    <t>ㄚㆷ</t>
  </si>
  <si>
    <t>search()</t>
    <phoneticPr fontId="3" type="noConversion"/>
  </si>
  <si>
    <t>響度優先次第： a &gt; oo &gt; (e = o) &gt; (i = u)〈低元音 &gt; 高元音 &gt; 無擦通音 &gt; 擦音 &gt; 塞音〉</t>
  </si>
  <si>
    <t>標調字母</t>
    <phoneticPr fontId="3" type="noConversion"/>
  </si>
  <si>
    <t>n</t>
    <phoneticPr fontId="3" type="noConversion"/>
  </si>
  <si>
    <t>m</t>
    <phoneticPr fontId="3" type="noConversion"/>
  </si>
  <si>
    <t>U+0300</t>
  </si>
  <si>
    <t>U+030D</t>
  </si>
  <si>
    <t>聲韻調類</t>
    <phoneticPr fontId="3" type="noConversion"/>
  </si>
  <si>
    <t>韻-鼻</t>
    <phoneticPr fontId="3" type="noConversion"/>
  </si>
  <si>
    <t>Unicode 編碼</t>
    <phoneticPr fontId="3" type="noConversion"/>
  </si>
  <si>
    <t>U+0303</t>
    <phoneticPr fontId="3" type="noConversion"/>
  </si>
  <si>
    <t>U+0294</t>
    <phoneticPr fontId="3" type="noConversion"/>
  </si>
  <si>
    <t>o͘</t>
    <phoneticPr fontId="3" type="noConversion"/>
  </si>
  <si>
    <t>U+0856</t>
    <phoneticPr fontId="3" type="noConversion"/>
  </si>
  <si>
    <t>實例</t>
    <phoneticPr fontId="3" type="noConversion"/>
  </si>
  <si>
    <t>ㆩㆷ</t>
  </si>
  <si>
    <t>ㆥㆷ</t>
  </si>
  <si>
    <t>ㆭㆷ</t>
  </si>
  <si>
    <t>ㆭㆷ</t>
    <phoneticPr fontId="3" type="noConversion"/>
  </si>
  <si>
    <t>ㆦㆷ</t>
  </si>
  <si>
    <t>ㆦㆷ</t>
    <phoneticPr fontId="3" type="noConversion"/>
  </si>
  <si>
    <t>ㄥ</t>
  </si>
  <si>
    <t>[əŋ]</t>
    <phoneticPr fontId="3" type="noConversion"/>
  </si>
  <si>
    <t>ㆭ</t>
    <phoneticPr fontId="3" type="noConversion"/>
  </si>
  <si>
    <t>[ŋ̍]</t>
    <phoneticPr fontId="3" type="noConversion"/>
  </si>
  <si>
    <t>ㆦ</t>
  </si>
  <si>
    <t>音節表</t>
  </si>
  <si>
    <t>ʦ/ʨ</t>
  </si>
  <si>
    <t>ʦʰ/ʨʰ</t>
  </si>
  <si>
    <t>ʣ/ʥ</t>
  </si>
  <si>
    <t>s/ɕ</t>
  </si>
  <si>
    <t>ha</t>
  </si>
  <si>
    <t>pa</t>
  </si>
  <si>
    <t>pha</t>
  </si>
  <si>
    <t>ba</t>
  </si>
  <si>
    <t>ma</t>
  </si>
  <si>
    <t>ta</t>
  </si>
  <si>
    <t>tha</t>
  </si>
  <si>
    <t>la</t>
  </si>
  <si>
    <t>tsa</t>
  </si>
  <si>
    <t>tsha</t>
  </si>
  <si>
    <t>sa</t>
  </si>
  <si>
    <t>ka</t>
  </si>
  <si>
    <t>kha</t>
  </si>
  <si>
    <t>ga</t>
  </si>
  <si>
    <t>nga</t>
  </si>
  <si>
    <t>hann</t>
  </si>
  <si>
    <t>phann</t>
  </si>
  <si>
    <t>tann</t>
  </si>
  <si>
    <t>thann</t>
  </si>
  <si>
    <t>tsann</t>
  </si>
  <si>
    <t>tshann</t>
  </si>
  <si>
    <t>sann</t>
  </si>
  <si>
    <t>kann</t>
  </si>
  <si>
    <t>khann</t>
  </si>
  <si>
    <t>hah</t>
  </si>
  <si>
    <t>pah</t>
  </si>
  <si>
    <t>phah</t>
  </si>
  <si>
    <t>bah</t>
  </si>
  <si>
    <t>mah</t>
  </si>
  <si>
    <t>tah</t>
  </si>
  <si>
    <t>thah</t>
  </si>
  <si>
    <t>lah</t>
  </si>
  <si>
    <t>tsah</t>
  </si>
  <si>
    <t>tshah</t>
  </si>
  <si>
    <t>sah</t>
  </si>
  <si>
    <t>kah</t>
  </si>
  <si>
    <t>khah</t>
  </si>
  <si>
    <t>hannh</t>
  </si>
  <si>
    <t>sannh</t>
  </si>
  <si>
    <t>ham</t>
  </si>
  <si>
    <t>tam</t>
  </si>
  <si>
    <t>tham</t>
  </si>
  <si>
    <t>lam</t>
  </si>
  <si>
    <t>tsam</t>
  </si>
  <si>
    <t>tsham</t>
  </si>
  <si>
    <t>sam</t>
  </si>
  <si>
    <t>kam</t>
  </si>
  <si>
    <t>kham</t>
  </si>
  <si>
    <t>gam</t>
  </si>
  <si>
    <t>han</t>
  </si>
  <si>
    <t>pan</t>
  </si>
  <si>
    <t>phan</t>
  </si>
  <si>
    <t>ban</t>
  </si>
  <si>
    <t>tan</t>
  </si>
  <si>
    <t>than</t>
  </si>
  <si>
    <t>lan</t>
  </si>
  <si>
    <t>tsan</t>
  </si>
  <si>
    <t>tshan</t>
  </si>
  <si>
    <t>san</t>
  </si>
  <si>
    <t>kan</t>
  </si>
  <si>
    <t>khan</t>
  </si>
  <si>
    <t>gan</t>
  </si>
  <si>
    <t>hang</t>
  </si>
  <si>
    <t>pang</t>
  </si>
  <si>
    <t>phang</t>
  </si>
  <si>
    <t>bang</t>
  </si>
  <si>
    <t>tang</t>
  </si>
  <si>
    <t>thang</t>
  </si>
  <si>
    <t>lang</t>
  </si>
  <si>
    <t>tsang</t>
  </si>
  <si>
    <t>tshang</t>
  </si>
  <si>
    <t>sang</t>
  </si>
  <si>
    <t>kang</t>
  </si>
  <si>
    <t>khang</t>
  </si>
  <si>
    <t>gang</t>
  </si>
  <si>
    <t>hap</t>
  </si>
  <si>
    <t>tap</t>
  </si>
  <si>
    <t>thap</t>
  </si>
  <si>
    <t>lap</t>
  </si>
  <si>
    <t>tsap</t>
  </si>
  <si>
    <t>tshap</t>
  </si>
  <si>
    <t>sap</t>
  </si>
  <si>
    <t>kap</t>
  </si>
  <si>
    <t>khap</t>
  </si>
  <si>
    <t>hat</t>
  </si>
  <si>
    <t>pat</t>
  </si>
  <si>
    <t>phat</t>
  </si>
  <si>
    <t>bat</t>
  </si>
  <si>
    <t>tat</t>
  </si>
  <si>
    <t>that</t>
  </si>
  <si>
    <t>lat</t>
  </si>
  <si>
    <t>tsat</t>
  </si>
  <si>
    <t>tshat</t>
  </si>
  <si>
    <t>sat</t>
  </si>
  <si>
    <t>kat</t>
  </si>
  <si>
    <t>khat</t>
  </si>
  <si>
    <t>hak</t>
  </si>
  <si>
    <t>pak</t>
  </si>
  <si>
    <t>phak</t>
  </si>
  <si>
    <t>bak</t>
  </si>
  <si>
    <t>tak</t>
  </si>
  <si>
    <t>thak</t>
  </si>
  <si>
    <t>lak</t>
  </si>
  <si>
    <t>tsak</t>
  </si>
  <si>
    <t>tshak</t>
  </si>
  <si>
    <t>sak</t>
  </si>
  <si>
    <t>kak</t>
  </si>
  <si>
    <t>khak</t>
  </si>
  <si>
    <t>gak</t>
  </si>
  <si>
    <t>hai</t>
  </si>
  <si>
    <t>pai</t>
  </si>
  <si>
    <t>phai</t>
  </si>
  <si>
    <t>bai</t>
  </si>
  <si>
    <t>mai</t>
  </si>
  <si>
    <t>tai</t>
  </si>
  <si>
    <t>thai</t>
  </si>
  <si>
    <t>lai</t>
  </si>
  <si>
    <t>tsai</t>
  </si>
  <si>
    <t>tshai</t>
  </si>
  <si>
    <t>sai</t>
  </si>
  <si>
    <t>kai</t>
  </si>
  <si>
    <t>khai</t>
  </si>
  <si>
    <t>gai</t>
  </si>
  <si>
    <t>ngai</t>
  </si>
  <si>
    <t>ãɪ</t>
  </si>
  <si>
    <t>hainn</t>
  </si>
  <si>
    <t>phainn</t>
  </si>
  <si>
    <t>tainn</t>
  </si>
  <si>
    <t>tsainn</t>
  </si>
  <si>
    <t>kainn</t>
  </si>
  <si>
    <t>khainn</t>
  </si>
  <si>
    <t>aɪʔ</t>
  </si>
  <si>
    <t>aih</t>
  </si>
  <si>
    <t>haih</t>
  </si>
  <si>
    <t>laih</t>
  </si>
  <si>
    <t>saih</t>
  </si>
  <si>
    <t>hau</t>
  </si>
  <si>
    <t>pau</t>
  </si>
  <si>
    <t>phau</t>
  </si>
  <si>
    <t>bau</t>
  </si>
  <si>
    <t>mau</t>
  </si>
  <si>
    <t>tau</t>
  </si>
  <si>
    <t>thau</t>
  </si>
  <si>
    <t>nau</t>
  </si>
  <si>
    <t>lau</t>
  </si>
  <si>
    <t>tsau</t>
  </si>
  <si>
    <t>tshau</t>
  </si>
  <si>
    <t>sau</t>
  </si>
  <si>
    <t>kau</t>
  </si>
  <si>
    <t>khau</t>
  </si>
  <si>
    <t>gau</t>
  </si>
  <si>
    <t>ngau</t>
  </si>
  <si>
    <t>phauh</t>
  </si>
  <si>
    <t>mauh</t>
  </si>
  <si>
    <t>tauh</t>
  </si>
  <si>
    <t>nauh</t>
  </si>
  <si>
    <t>lauh</t>
  </si>
  <si>
    <t>tshauh</t>
  </si>
  <si>
    <t>kauh</t>
  </si>
  <si>
    <t>ngauh</t>
  </si>
  <si>
    <t>he</t>
  </si>
  <si>
    <t>pe</t>
  </si>
  <si>
    <t>phe</t>
  </si>
  <si>
    <t>be</t>
  </si>
  <si>
    <t>me</t>
  </si>
  <si>
    <t>te</t>
  </si>
  <si>
    <t>the</t>
  </si>
  <si>
    <t>le</t>
  </si>
  <si>
    <t>tse</t>
  </si>
  <si>
    <t>tshe</t>
  </si>
  <si>
    <t>se</t>
  </si>
  <si>
    <t>ke</t>
  </si>
  <si>
    <t>khe</t>
  </si>
  <si>
    <t>ge</t>
  </si>
  <si>
    <t>nge</t>
  </si>
  <si>
    <t>henn</t>
  </si>
  <si>
    <t>penn</t>
  </si>
  <si>
    <t>phenn</t>
  </si>
  <si>
    <t>tenn</t>
  </si>
  <si>
    <t>thenn</t>
  </si>
  <si>
    <t>tsenn</t>
  </si>
  <si>
    <t>tshenn</t>
  </si>
  <si>
    <t>senn</t>
  </si>
  <si>
    <t>kenn</t>
  </si>
  <si>
    <t>khenn</t>
  </si>
  <si>
    <t>heh</t>
  </si>
  <si>
    <t>peh</t>
  </si>
  <si>
    <t>pheh</t>
  </si>
  <si>
    <t>beh</t>
  </si>
  <si>
    <t>meh</t>
  </si>
  <si>
    <t>teh</t>
  </si>
  <si>
    <t>theh</t>
  </si>
  <si>
    <t>neh</t>
  </si>
  <si>
    <t>leh</t>
  </si>
  <si>
    <t>tseh</t>
  </si>
  <si>
    <t>tsheh</t>
  </si>
  <si>
    <t>seh</t>
  </si>
  <si>
    <t>keh</t>
  </si>
  <si>
    <t>kheh</t>
  </si>
  <si>
    <t>geh</t>
  </si>
  <si>
    <t>ngeh</t>
  </si>
  <si>
    <t>ẽʔ</t>
  </si>
  <si>
    <t>hennh</t>
  </si>
  <si>
    <t>khennh</t>
  </si>
  <si>
    <t>hi</t>
  </si>
  <si>
    <t>pi</t>
  </si>
  <si>
    <t>phi</t>
  </si>
  <si>
    <t>bi</t>
  </si>
  <si>
    <t>mi</t>
  </si>
  <si>
    <t>ti</t>
  </si>
  <si>
    <t>thi</t>
  </si>
  <si>
    <t>li</t>
  </si>
  <si>
    <t>ki</t>
  </si>
  <si>
    <t>khi</t>
  </si>
  <si>
    <t>gi</t>
  </si>
  <si>
    <t>ngi</t>
  </si>
  <si>
    <t>hinn</t>
  </si>
  <si>
    <t>pinn</t>
  </si>
  <si>
    <t>phinn</t>
  </si>
  <si>
    <t>tinn</t>
  </si>
  <si>
    <t>thinn</t>
  </si>
  <si>
    <t>tsinn</t>
  </si>
  <si>
    <t>tshinn</t>
  </si>
  <si>
    <t>sinn</t>
  </si>
  <si>
    <t>kinn</t>
  </si>
  <si>
    <t>khinn</t>
  </si>
  <si>
    <t>pih</t>
  </si>
  <si>
    <t>phih</t>
  </si>
  <si>
    <t>bih</t>
  </si>
  <si>
    <t>mih</t>
  </si>
  <si>
    <t>tih</t>
  </si>
  <si>
    <t>thih</t>
  </si>
  <si>
    <t>lih</t>
  </si>
  <si>
    <t>tsih</t>
  </si>
  <si>
    <t>tshih</t>
  </si>
  <si>
    <t>sih</t>
  </si>
  <si>
    <t>kih</t>
  </si>
  <si>
    <t>khih</t>
  </si>
  <si>
    <t>him</t>
  </si>
  <si>
    <t>tim</t>
  </si>
  <si>
    <t>thim</t>
  </si>
  <si>
    <t>lim</t>
  </si>
  <si>
    <t>tsim</t>
  </si>
  <si>
    <t>tshim</t>
  </si>
  <si>
    <t>jim</t>
  </si>
  <si>
    <t>sim</t>
  </si>
  <si>
    <t>kim</t>
  </si>
  <si>
    <t>khim</t>
  </si>
  <si>
    <t>gim</t>
  </si>
  <si>
    <t>hin</t>
  </si>
  <si>
    <t>pin</t>
  </si>
  <si>
    <t>phin</t>
  </si>
  <si>
    <t>bin</t>
  </si>
  <si>
    <t>tin</t>
  </si>
  <si>
    <t>thin</t>
  </si>
  <si>
    <t>lin</t>
  </si>
  <si>
    <t>tsin</t>
  </si>
  <si>
    <t>tshin</t>
  </si>
  <si>
    <t>jin</t>
  </si>
  <si>
    <t>sin</t>
  </si>
  <si>
    <t>kin</t>
  </si>
  <si>
    <t>khin</t>
  </si>
  <si>
    <t>gin</t>
  </si>
  <si>
    <t>hing</t>
  </si>
  <si>
    <t>ping</t>
  </si>
  <si>
    <t>phing</t>
  </si>
  <si>
    <t>bing</t>
  </si>
  <si>
    <t>ting</t>
  </si>
  <si>
    <t>thing</t>
  </si>
  <si>
    <t>ling</t>
  </si>
  <si>
    <t>tsing</t>
  </si>
  <si>
    <t>tshing</t>
  </si>
  <si>
    <t>sing</t>
  </si>
  <si>
    <t>king</t>
  </si>
  <si>
    <t>khing</t>
  </si>
  <si>
    <t>ging</t>
  </si>
  <si>
    <t>hip</t>
  </si>
  <si>
    <t>lip</t>
  </si>
  <si>
    <t>tsip</t>
  </si>
  <si>
    <t>tship</t>
  </si>
  <si>
    <t>jip</t>
  </si>
  <si>
    <t>sip</t>
  </si>
  <si>
    <t>kip</t>
  </si>
  <si>
    <t>khip</t>
  </si>
  <si>
    <t>hit</t>
  </si>
  <si>
    <t>pit</t>
  </si>
  <si>
    <t>phit</t>
  </si>
  <si>
    <t>bit</t>
  </si>
  <si>
    <t>tit</t>
  </si>
  <si>
    <t>thit</t>
  </si>
  <si>
    <t>lit</t>
  </si>
  <si>
    <t>tsit</t>
  </si>
  <si>
    <t>tshit</t>
  </si>
  <si>
    <t>jit</t>
  </si>
  <si>
    <t>sit</t>
  </si>
  <si>
    <t>kit</t>
  </si>
  <si>
    <t>khit</t>
  </si>
  <si>
    <t>ik̚/ɪək̚</t>
  </si>
  <si>
    <t>hik</t>
  </si>
  <si>
    <t>pik</t>
  </si>
  <si>
    <t>phik</t>
  </si>
  <si>
    <t>bik</t>
  </si>
  <si>
    <t>tik</t>
  </si>
  <si>
    <t>thik</t>
  </si>
  <si>
    <t>lik</t>
  </si>
  <si>
    <t>tsik</t>
  </si>
  <si>
    <t>tshik</t>
  </si>
  <si>
    <t>jik</t>
  </si>
  <si>
    <t>sik</t>
  </si>
  <si>
    <t>kik</t>
  </si>
  <si>
    <t>khik</t>
  </si>
  <si>
    <t>gik</t>
  </si>
  <si>
    <t>hia</t>
  </si>
  <si>
    <t>mia</t>
  </si>
  <si>
    <t>tia</t>
  </si>
  <si>
    <t>lia</t>
  </si>
  <si>
    <t>tsia</t>
  </si>
  <si>
    <t>tshia</t>
  </si>
  <si>
    <t>jia</t>
  </si>
  <si>
    <t>sia</t>
  </si>
  <si>
    <t>kia</t>
  </si>
  <si>
    <t>khia</t>
  </si>
  <si>
    <t>gia</t>
  </si>
  <si>
    <t>ngia</t>
  </si>
  <si>
    <t>iã</t>
  </si>
  <si>
    <t>hiann</t>
  </si>
  <si>
    <t>piann</t>
  </si>
  <si>
    <t>phiann</t>
  </si>
  <si>
    <t>tiann</t>
  </si>
  <si>
    <t>thiann</t>
  </si>
  <si>
    <t>tsiann</t>
  </si>
  <si>
    <t>tshiann</t>
  </si>
  <si>
    <t>siann</t>
  </si>
  <si>
    <t>kiann</t>
  </si>
  <si>
    <t>khiann</t>
  </si>
  <si>
    <t>ɪaʔ</t>
  </si>
  <si>
    <t>hiah</t>
  </si>
  <si>
    <t>piah</t>
  </si>
  <si>
    <t>phiah</t>
  </si>
  <si>
    <t>tiah</t>
  </si>
  <si>
    <t>thiah</t>
  </si>
  <si>
    <t>liah</t>
  </si>
  <si>
    <t>tsiah</t>
  </si>
  <si>
    <t>tshiah</t>
  </si>
  <si>
    <t>jiah</t>
  </si>
  <si>
    <t>siah</t>
  </si>
  <si>
    <t>kiah</t>
  </si>
  <si>
    <t>khiah</t>
  </si>
  <si>
    <t>giah</t>
  </si>
  <si>
    <t>hiannh</t>
  </si>
  <si>
    <t>siannh</t>
  </si>
  <si>
    <t>ɪam</t>
  </si>
  <si>
    <t>hiam</t>
  </si>
  <si>
    <t>tiam</t>
  </si>
  <si>
    <t>thiam</t>
  </si>
  <si>
    <t>liam</t>
  </si>
  <si>
    <t>tsiam</t>
  </si>
  <si>
    <t>tshiam</t>
  </si>
  <si>
    <t>jiam</t>
  </si>
  <si>
    <t>siam</t>
  </si>
  <si>
    <t>kiam</t>
  </si>
  <si>
    <t>khiam</t>
  </si>
  <si>
    <t>giam</t>
  </si>
  <si>
    <t>ɪan/en</t>
  </si>
  <si>
    <t>hian</t>
  </si>
  <si>
    <t>pian</t>
  </si>
  <si>
    <t>phian</t>
  </si>
  <si>
    <t>bian</t>
  </si>
  <si>
    <t>tian</t>
  </si>
  <si>
    <t>thian</t>
  </si>
  <si>
    <t>lian</t>
  </si>
  <si>
    <t>tsian</t>
  </si>
  <si>
    <t>tshian</t>
  </si>
  <si>
    <t>jian</t>
  </si>
  <si>
    <t>sian</t>
  </si>
  <si>
    <t>kian</t>
  </si>
  <si>
    <t>khian</t>
  </si>
  <si>
    <t>gian</t>
  </si>
  <si>
    <t>hiang</t>
  </si>
  <si>
    <t>piang</t>
  </si>
  <si>
    <t>phiang</t>
  </si>
  <si>
    <t>liang</t>
  </si>
  <si>
    <t>tsiang</t>
  </si>
  <si>
    <t>tshiang</t>
  </si>
  <si>
    <t>jiang</t>
  </si>
  <si>
    <t>siang</t>
  </si>
  <si>
    <t>kiang</t>
  </si>
  <si>
    <t>khiang</t>
  </si>
  <si>
    <t>giang</t>
  </si>
  <si>
    <t>ɪap̚</t>
  </si>
  <si>
    <t>hiap</t>
  </si>
  <si>
    <t>tiap</t>
  </si>
  <si>
    <t>thiap</t>
  </si>
  <si>
    <t>liap</t>
  </si>
  <si>
    <t>tsiap</t>
  </si>
  <si>
    <t>tshiap</t>
  </si>
  <si>
    <t>jiap</t>
  </si>
  <si>
    <t>siap</t>
  </si>
  <si>
    <t>kiap</t>
  </si>
  <si>
    <t>khiap</t>
  </si>
  <si>
    <t>giap</t>
  </si>
  <si>
    <t>ɪat̚/ɪet̚</t>
  </si>
  <si>
    <t>hiat</t>
  </si>
  <si>
    <t>piat</t>
  </si>
  <si>
    <t>phiat</t>
  </si>
  <si>
    <t>biat</t>
  </si>
  <si>
    <t>tiat</t>
  </si>
  <si>
    <t>thiat</t>
  </si>
  <si>
    <t>liat</t>
  </si>
  <si>
    <t>tsiat</t>
  </si>
  <si>
    <t>tshiat</t>
  </si>
  <si>
    <t>jiat</t>
  </si>
  <si>
    <t>siat</t>
  </si>
  <si>
    <t>kiat</t>
  </si>
  <si>
    <t>khiat</t>
  </si>
  <si>
    <t>giat</t>
  </si>
  <si>
    <t>piak</t>
  </si>
  <si>
    <t>phiak</t>
  </si>
  <si>
    <t>tiak</t>
  </si>
  <si>
    <t>tshiak</t>
  </si>
  <si>
    <t>siak</t>
  </si>
  <si>
    <t>khiak</t>
  </si>
  <si>
    <t>ɪau</t>
  </si>
  <si>
    <t>hiau</t>
  </si>
  <si>
    <t>piau</t>
  </si>
  <si>
    <t>phiau</t>
  </si>
  <si>
    <t>biau</t>
  </si>
  <si>
    <t>miau</t>
  </si>
  <si>
    <t>tiau</t>
  </si>
  <si>
    <t>thiau</t>
  </si>
  <si>
    <t>niau</t>
  </si>
  <si>
    <t>liau</t>
  </si>
  <si>
    <t>tsiau</t>
  </si>
  <si>
    <t>tshiau</t>
  </si>
  <si>
    <t>jiau</t>
  </si>
  <si>
    <t>siau</t>
  </si>
  <si>
    <t>kiau</t>
  </si>
  <si>
    <t>khiau</t>
  </si>
  <si>
    <t>giau</t>
  </si>
  <si>
    <t>ngiau</t>
  </si>
  <si>
    <t>ɪãu</t>
  </si>
  <si>
    <t>ɪauʔ</t>
  </si>
  <si>
    <t>hiauh</t>
  </si>
  <si>
    <t>khiauh</t>
  </si>
  <si>
    <t>ngiauh</t>
  </si>
  <si>
    <t>ɪə/ɪo</t>
  </si>
  <si>
    <t>hio</t>
  </si>
  <si>
    <t>pio</t>
  </si>
  <si>
    <t>phio</t>
  </si>
  <si>
    <t>bio</t>
  </si>
  <si>
    <t>tio</t>
  </si>
  <si>
    <t>thio</t>
  </si>
  <si>
    <t>lio</t>
  </si>
  <si>
    <t>tsio</t>
  </si>
  <si>
    <t>tshio</t>
  </si>
  <si>
    <t>jio</t>
  </si>
  <si>
    <t>sio</t>
  </si>
  <si>
    <t>kio</t>
  </si>
  <si>
    <t>khio</t>
  </si>
  <si>
    <t>gio</t>
  </si>
  <si>
    <t>ɪɔ̃</t>
  </si>
  <si>
    <t>hionn</t>
  </si>
  <si>
    <t>tionn</t>
  </si>
  <si>
    <t>tsionn</t>
  </si>
  <si>
    <t>tshionn</t>
  </si>
  <si>
    <t>sionn</t>
  </si>
  <si>
    <t>kionn</t>
  </si>
  <si>
    <t>khionn</t>
  </si>
  <si>
    <t>ɪəʔ/ɪoʔ</t>
  </si>
  <si>
    <t>hioh</t>
  </si>
  <si>
    <t>tioh</t>
  </si>
  <si>
    <t>lioh</t>
  </si>
  <si>
    <t>tsioh</t>
  </si>
  <si>
    <t>tshioh</t>
  </si>
  <si>
    <t>sioh</t>
  </si>
  <si>
    <t>kioh</t>
  </si>
  <si>
    <t>khioh</t>
  </si>
  <si>
    <t>gioh</t>
  </si>
  <si>
    <t>hiong</t>
  </si>
  <si>
    <t>tiong</t>
  </si>
  <si>
    <t>thiong</t>
  </si>
  <si>
    <t>liong</t>
  </si>
  <si>
    <t>tsiong</t>
  </si>
  <si>
    <t>tshiong</t>
  </si>
  <si>
    <t>jiong</t>
  </si>
  <si>
    <t>siong</t>
  </si>
  <si>
    <t>kiong</t>
  </si>
  <si>
    <t>khiong</t>
  </si>
  <si>
    <t>giong</t>
  </si>
  <si>
    <t>hiok</t>
  </si>
  <si>
    <t>tiok</t>
  </si>
  <si>
    <t>thiok</t>
  </si>
  <si>
    <t>liok</t>
  </si>
  <si>
    <t>tsiok</t>
  </si>
  <si>
    <t>tshiok</t>
  </si>
  <si>
    <t>jiok</t>
  </si>
  <si>
    <t>siok</t>
  </si>
  <si>
    <t>kiok</t>
  </si>
  <si>
    <t>khiok</t>
  </si>
  <si>
    <t>giok</t>
  </si>
  <si>
    <t>hiu</t>
  </si>
  <si>
    <t>piu</t>
  </si>
  <si>
    <t>biu</t>
  </si>
  <si>
    <t>tiu</t>
  </si>
  <si>
    <t>thiu</t>
  </si>
  <si>
    <t>liu</t>
  </si>
  <si>
    <t>tsiu</t>
  </si>
  <si>
    <t>tshiu</t>
  </si>
  <si>
    <t>jiu</t>
  </si>
  <si>
    <t>siu</t>
  </si>
  <si>
    <t>kiu</t>
  </si>
  <si>
    <t>khiu</t>
  </si>
  <si>
    <t>giu</t>
  </si>
  <si>
    <t>ngiu</t>
  </si>
  <si>
    <t>iũ</t>
  </si>
  <si>
    <t>hiunn</t>
  </si>
  <si>
    <t>tiunn</t>
  </si>
  <si>
    <t>tsiunn</t>
  </si>
  <si>
    <t>tshiunn</t>
  </si>
  <si>
    <t>siunn</t>
  </si>
  <si>
    <t>kiunn</t>
  </si>
  <si>
    <t>khiunn</t>
  </si>
  <si>
    <t>iũʔ</t>
  </si>
  <si>
    <t>iunnh</t>
  </si>
  <si>
    <t>hiunnh</t>
  </si>
  <si>
    <t>ə/o</t>
  </si>
  <si>
    <t>ho</t>
  </si>
  <si>
    <t>po</t>
  </si>
  <si>
    <t>pho</t>
  </si>
  <si>
    <t>bo</t>
  </si>
  <si>
    <t>to</t>
  </si>
  <si>
    <t>tho</t>
  </si>
  <si>
    <t>lo</t>
  </si>
  <si>
    <t>tso</t>
  </si>
  <si>
    <t>tsho</t>
  </si>
  <si>
    <t>so</t>
  </si>
  <si>
    <t>ko</t>
  </si>
  <si>
    <t>kho</t>
  </si>
  <si>
    <t>go</t>
  </si>
  <si>
    <t>hoo</t>
  </si>
  <si>
    <t>poo</t>
  </si>
  <si>
    <t>phoo</t>
  </si>
  <si>
    <t>boo</t>
  </si>
  <si>
    <t>moo</t>
  </si>
  <si>
    <t>too</t>
  </si>
  <si>
    <t>thoo</t>
  </si>
  <si>
    <t>loo</t>
  </si>
  <si>
    <t>tsoo</t>
  </si>
  <si>
    <t>tshoo</t>
  </si>
  <si>
    <t>soo</t>
  </si>
  <si>
    <t>koo</t>
  </si>
  <si>
    <t>khoo</t>
  </si>
  <si>
    <t>goo</t>
  </si>
  <si>
    <t>ngoo</t>
  </si>
  <si>
    <t>honn</t>
  </si>
  <si>
    <t>konn</t>
  </si>
  <si>
    <t>əʔ/oʔ</t>
  </si>
  <si>
    <t>hoh</t>
  </si>
  <si>
    <t>poh</t>
  </si>
  <si>
    <t>phoh</t>
  </si>
  <si>
    <t>boh</t>
  </si>
  <si>
    <t>toh</t>
  </si>
  <si>
    <t>thoh</t>
  </si>
  <si>
    <t>loh</t>
  </si>
  <si>
    <t>tsoh</t>
  </si>
  <si>
    <t>tshoh</t>
  </si>
  <si>
    <t>soh</t>
  </si>
  <si>
    <t>koh</t>
  </si>
  <si>
    <t>hooh</t>
  </si>
  <si>
    <t>mooh</t>
  </si>
  <si>
    <t>tooh</t>
  </si>
  <si>
    <t>looh</t>
  </si>
  <si>
    <t>kooh</t>
  </si>
  <si>
    <t>honnh</t>
  </si>
  <si>
    <t>tom</t>
  </si>
  <si>
    <t>som</t>
  </si>
  <si>
    <t>hong</t>
  </si>
  <si>
    <t>pong</t>
  </si>
  <si>
    <t>phong</t>
  </si>
  <si>
    <t>bong</t>
  </si>
  <si>
    <t>tong</t>
  </si>
  <si>
    <t>thong</t>
  </si>
  <si>
    <t>long</t>
  </si>
  <si>
    <t>tsong</t>
  </si>
  <si>
    <t>tshong</t>
  </si>
  <si>
    <t>song</t>
  </si>
  <si>
    <t>kong</t>
  </si>
  <si>
    <t>khong</t>
  </si>
  <si>
    <t>gong</t>
  </si>
  <si>
    <t>hop</t>
  </si>
  <si>
    <t>lop</t>
  </si>
  <si>
    <t>kop</t>
  </si>
  <si>
    <t>hok</t>
  </si>
  <si>
    <t>pok</t>
  </si>
  <si>
    <t>phok</t>
  </si>
  <si>
    <t>bok</t>
  </si>
  <si>
    <t>tok</t>
  </si>
  <si>
    <t>thok</t>
  </si>
  <si>
    <t>lok</t>
  </si>
  <si>
    <t>tsok</t>
  </si>
  <si>
    <t>tshok</t>
  </si>
  <si>
    <t>sok</t>
  </si>
  <si>
    <t>kok</t>
  </si>
  <si>
    <t>khok</t>
  </si>
  <si>
    <t>gok</t>
  </si>
  <si>
    <t>hu</t>
  </si>
  <si>
    <t>pu</t>
  </si>
  <si>
    <t>phu</t>
  </si>
  <si>
    <t>bu</t>
  </si>
  <si>
    <t>tu</t>
  </si>
  <si>
    <t>thu</t>
  </si>
  <si>
    <t>lu</t>
  </si>
  <si>
    <t>tsu</t>
  </si>
  <si>
    <t>tshu</t>
  </si>
  <si>
    <t>ju</t>
  </si>
  <si>
    <t>su</t>
  </si>
  <si>
    <t>ku</t>
  </si>
  <si>
    <t>khu</t>
  </si>
  <si>
    <t>gu</t>
  </si>
  <si>
    <t>puh</t>
  </si>
  <si>
    <t>phuh</t>
  </si>
  <si>
    <t>buh</t>
  </si>
  <si>
    <t>tuh</t>
  </si>
  <si>
    <t>thuh</t>
  </si>
  <si>
    <t>luh</t>
  </si>
  <si>
    <t>tsuh</t>
  </si>
  <si>
    <t>tshuh</t>
  </si>
  <si>
    <t>suh</t>
  </si>
  <si>
    <t>khuh</t>
  </si>
  <si>
    <t>hun</t>
  </si>
  <si>
    <t>pun</t>
  </si>
  <si>
    <t>phun</t>
  </si>
  <si>
    <t>bun</t>
  </si>
  <si>
    <t>tun</t>
  </si>
  <si>
    <t>thun</t>
  </si>
  <si>
    <t>lun</t>
  </si>
  <si>
    <t>tsun</t>
  </si>
  <si>
    <t>tshun</t>
  </si>
  <si>
    <t>jun</t>
  </si>
  <si>
    <t>sun</t>
  </si>
  <si>
    <t>kun</t>
  </si>
  <si>
    <t>khun</t>
  </si>
  <si>
    <t>gun</t>
  </si>
  <si>
    <t>ut̚</t>
  </si>
  <si>
    <t>hut</t>
  </si>
  <si>
    <t>put</t>
  </si>
  <si>
    <t>phut</t>
  </si>
  <si>
    <t>but</t>
  </si>
  <si>
    <t>tut</t>
  </si>
  <si>
    <t>thut</t>
  </si>
  <si>
    <t>lut</t>
  </si>
  <si>
    <t>tsut</t>
  </si>
  <si>
    <t>tshut</t>
  </si>
  <si>
    <t>sut</t>
  </si>
  <si>
    <t>kut</t>
  </si>
  <si>
    <t>khut</t>
  </si>
  <si>
    <t>hua</t>
  </si>
  <si>
    <t>pua</t>
  </si>
  <si>
    <t>phua</t>
  </si>
  <si>
    <t>bua</t>
  </si>
  <si>
    <t>mua</t>
  </si>
  <si>
    <t>tua</t>
  </si>
  <si>
    <t>thua</t>
  </si>
  <si>
    <t>lua</t>
  </si>
  <si>
    <t>tsua</t>
  </si>
  <si>
    <t>tshua</t>
  </si>
  <si>
    <t>jua</t>
  </si>
  <si>
    <t>sua</t>
  </si>
  <si>
    <t>kua</t>
  </si>
  <si>
    <t>khua</t>
  </si>
  <si>
    <t>gua</t>
  </si>
  <si>
    <t>uã</t>
  </si>
  <si>
    <t>huann</t>
  </si>
  <si>
    <t>puann</t>
  </si>
  <si>
    <t>phuann</t>
  </si>
  <si>
    <t>tuann</t>
  </si>
  <si>
    <t>thuann</t>
  </si>
  <si>
    <t>tsuann</t>
  </si>
  <si>
    <t>tshuann</t>
  </si>
  <si>
    <t>suann</t>
  </si>
  <si>
    <t>kuann</t>
  </si>
  <si>
    <t>khuann</t>
  </si>
  <si>
    <t>huah</t>
  </si>
  <si>
    <t>puah</t>
  </si>
  <si>
    <t>phuah</t>
  </si>
  <si>
    <t>buah</t>
  </si>
  <si>
    <t>tuah</t>
  </si>
  <si>
    <t>thuah</t>
  </si>
  <si>
    <t>luah</t>
  </si>
  <si>
    <t>tsuah</t>
  </si>
  <si>
    <t>tshuah</t>
  </si>
  <si>
    <t>juah</t>
  </si>
  <si>
    <t>suah</t>
  </si>
  <si>
    <t>kuah</t>
  </si>
  <si>
    <t>khuah</t>
  </si>
  <si>
    <t>huan</t>
  </si>
  <si>
    <t>puan</t>
  </si>
  <si>
    <t>phuan</t>
  </si>
  <si>
    <t>buan</t>
  </si>
  <si>
    <t>tuan</t>
  </si>
  <si>
    <t>thuan</t>
  </si>
  <si>
    <t>luan</t>
  </si>
  <si>
    <t>tsuan</t>
  </si>
  <si>
    <t>tshuan</t>
  </si>
  <si>
    <t>suan</t>
  </si>
  <si>
    <t>kuan</t>
  </si>
  <si>
    <t>khuan</t>
  </si>
  <si>
    <t>guan</t>
  </si>
  <si>
    <t>huang</t>
  </si>
  <si>
    <t>tshuang</t>
  </si>
  <si>
    <t>huat</t>
  </si>
  <si>
    <t>puat</t>
  </si>
  <si>
    <t>phuat</t>
  </si>
  <si>
    <t>buat</t>
  </si>
  <si>
    <t>tuat</t>
  </si>
  <si>
    <t>thuat</t>
  </si>
  <si>
    <t>luat</t>
  </si>
  <si>
    <t>tsuat</t>
  </si>
  <si>
    <t>suat</t>
  </si>
  <si>
    <t>kuat</t>
  </si>
  <si>
    <t>khuat</t>
  </si>
  <si>
    <t>guat</t>
  </si>
  <si>
    <t>huai</t>
  </si>
  <si>
    <t>suai</t>
  </si>
  <si>
    <t>kuai</t>
  </si>
  <si>
    <t>khuai</t>
  </si>
  <si>
    <t>uãi</t>
  </si>
  <si>
    <t>huainn</t>
  </si>
  <si>
    <t>tsuainn</t>
  </si>
  <si>
    <t>suainn</t>
  </si>
  <si>
    <t>kuainn</t>
  </si>
  <si>
    <t>buaih</t>
  </si>
  <si>
    <t>luaih</t>
  </si>
  <si>
    <t>tshuaih</t>
  </si>
  <si>
    <t>kuaih</t>
  </si>
  <si>
    <t>uãiʔ</t>
  </si>
  <si>
    <t>kuainnh</t>
  </si>
  <si>
    <t>hue</t>
  </si>
  <si>
    <t>pue</t>
  </si>
  <si>
    <t>phue</t>
  </si>
  <si>
    <t>bue</t>
  </si>
  <si>
    <t>mue</t>
  </si>
  <si>
    <t>tue</t>
  </si>
  <si>
    <t>thue</t>
  </si>
  <si>
    <t>lue</t>
  </si>
  <si>
    <t>tsue</t>
  </si>
  <si>
    <t>tshue</t>
  </si>
  <si>
    <t>jue</t>
  </si>
  <si>
    <t>sue</t>
  </si>
  <si>
    <t>kue</t>
  </si>
  <si>
    <t>khue</t>
  </si>
  <si>
    <t>gue</t>
  </si>
  <si>
    <t>hueh</t>
  </si>
  <si>
    <t>pueh</t>
  </si>
  <si>
    <t>phueh</t>
  </si>
  <si>
    <t>bueh</t>
  </si>
  <si>
    <t>thueh</t>
  </si>
  <si>
    <t>lueh</t>
  </si>
  <si>
    <t>tsueh</t>
  </si>
  <si>
    <t>tshueh</t>
  </si>
  <si>
    <t>sueh</t>
  </si>
  <si>
    <t>kueh</t>
  </si>
  <si>
    <t>khueh</t>
  </si>
  <si>
    <t>gueh</t>
  </si>
  <si>
    <t>ngueh</t>
  </si>
  <si>
    <t>hui</t>
  </si>
  <si>
    <t>pui</t>
  </si>
  <si>
    <t>phui</t>
  </si>
  <si>
    <t>bui</t>
  </si>
  <si>
    <t>mui</t>
  </si>
  <si>
    <t>tui</t>
  </si>
  <si>
    <t>thui</t>
  </si>
  <si>
    <t>lui</t>
  </si>
  <si>
    <t>tsui</t>
  </si>
  <si>
    <t>tshui</t>
  </si>
  <si>
    <t>sui</t>
  </si>
  <si>
    <t>kui</t>
  </si>
  <si>
    <t>khui</t>
  </si>
  <si>
    <t>gui</t>
  </si>
  <si>
    <t>uĩ</t>
  </si>
  <si>
    <t>huinn</t>
  </si>
  <si>
    <t>puinn</t>
  </si>
  <si>
    <t>tsuinn</t>
  </si>
  <si>
    <t>tshuinn</t>
  </si>
  <si>
    <t>suinn</t>
  </si>
  <si>
    <t>kuinn</t>
  </si>
  <si>
    <t>uiʔ</t>
  </si>
  <si>
    <t>uih</t>
  </si>
  <si>
    <t>huih</t>
  </si>
  <si>
    <t>kuih</t>
  </si>
  <si>
    <t>hm</t>
  </si>
  <si>
    <t>hmh</t>
  </si>
  <si>
    <t>hng</t>
  </si>
  <si>
    <t>png</t>
  </si>
  <si>
    <t>mng</t>
  </si>
  <si>
    <t>tng</t>
  </si>
  <si>
    <t>thng</t>
  </si>
  <si>
    <t>nng</t>
  </si>
  <si>
    <t>tsng</t>
  </si>
  <si>
    <t>tshng</t>
  </si>
  <si>
    <t>sng</t>
  </si>
  <si>
    <t>kng</t>
  </si>
  <si>
    <t>khng</t>
  </si>
  <si>
    <t>hngh</t>
  </si>
  <si>
    <t>phngh</t>
  </si>
  <si>
    <t>mngh</t>
  </si>
  <si>
    <t>tshngh</t>
  </si>
  <si>
    <t>sngh</t>
  </si>
  <si>
    <t>khngh</t>
  </si>
  <si>
    <t>om</t>
    <phoneticPr fontId="3" type="noConversion"/>
  </si>
  <si>
    <t>ㄥ</t>
    <phoneticPr fontId="3" type="noConversion"/>
  </si>
  <si>
    <t>aih</t>
    <phoneticPr fontId="3" type="noConversion"/>
  </si>
  <si>
    <r>
      <rPr>
        <sz val="18"/>
        <color rgb="FFFF0000"/>
        <rFont val="Microsoft JhengHei"/>
        <family val="2"/>
      </rPr>
      <t>ㄞ</t>
    </r>
    <r>
      <rPr>
        <sz val="18"/>
        <color rgb="FFFF0000"/>
        <rFont val="Microsoft JhengHei"/>
        <family val="2"/>
        <charset val="136"/>
      </rPr>
      <t>ㆷ</t>
    </r>
    <phoneticPr fontId="3" type="noConversion"/>
  </si>
  <si>
    <t>ennh</t>
    <phoneticPr fontId="3" type="noConversion"/>
  </si>
  <si>
    <t>iannh</t>
    <phoneticPr fontId="3" type="noConversion"/>
  </si>
  <si>
    <r>
      <rPr>
        <sz val="18"/>
        <color rgb="FFFF0000"/>
        <rFont val="Microsoft JhengHei"/>
        <family val="2"/>
      </rPr>
      <t>ㄧ</t>
    </r>
    <r>
      <rPr>
        <sz val="18"/>
        <color rgb="FFFF0000"/>
        <rFont val="Microsoft JhengHei"/>
        <family val="2"/>
        <charset val="136"/>
      </rPr>
      <t>ㆩㆷ</t>
    </r>
    <phoneticPr fontId="3" type="noConversion"/>
  </si>
  <si>
    <r>
      <rPr>
        <sz val="18"/>
        <color rgb="FFFF0000"/>
        <rFont val="Microsoft JhengHei"/>
        <family val="2"/>
      </rPr>
      <t>ㄧ</t>
    </r>
    <r>
      <rPr>
        <sz val="18"/>
        <color rgb="FFFF0000"/>
        <rFont val="Microsoft JhengHei"/>
        <family val="2"/>
        <charset val="136"/>
      </rPr>
      <t>ㆫㆷ</t>
    </r>
    <phoneticPr fontId="3" type="noConversion"/>
  </si>
  <si>
    <t>ㄨㄧㆷ</t>
  </si>
  <si>
    <t>ㄨㄧㆷ</t>
    <phoneticPr fontId="3" type="noConversion"/>
  </si>
  <si>
    <t>ㆬㆷ</t>
  </si>
  <si>
    <t>ㆬㆷ</t>
    <phoneticPr fontId="3" type="noConversion"/>
  </si>
  <si>
    <t>iunnh</t>
    <phoneticPr fontId="3" type="noConversion"/>
  </si>
  <si>
    <t>niuh</t>
  </si>
  <si>
    <t>niuh</t>
    <phoneticPr fontId="3" type="noConversion"/>
  </si>
  <si>
    <t>ooh</t>
    <phoneticPr fontId="3" type="noConversion"/>
  </si>
  <si>
    <t>o͘h</t>
  </si>
  <si>
    <t>uih</t>
    <phoneticPr fontId="3" type="noConversion"/>
  </si>
  <si>
    <t>mh</t>
    <phoneticPr fontId="3" type="noConversion"/>
  </si>
  <si>
    <t>姆促</t>
  </si>
  <si>
    <t>褌促</t>
  </si>
  <si>
    <t>鋼促</t>
  </si>
  <si>
    <t>ngh</t>
    <phoneticPr fontId="3" type="noConversion"/>
  </si>
  <si>
    <t>沽促</t>
  </si>
  <si>
    <t>牛促</t>
  </si>
  <si>
    <t>皆促</t>
  </si>
  <si>
    <t>ㄤ</t>
  </si>
  <si>
    <t>ㄞㆷ</t>
  </si>
  <si>
    <t>ㄠㆷ</t>
  </si>
  <si>
    <t>ㆤㆷ</t>
  </si>
  <si>
    <t>ㄧㆷ</t>
  </si>
  <si>
    <t>ㄧㄚㆷ</t>
  </si>
  <si>
    <t>ㄧㆩㆷ</t>
  </si>
  <si>
    <t>ㄧㄤ</t>
  </si>
  <si>
    <t>ㄧㄚㆻ</t>
  </si>
  <si>
    <t>ㄧㄠㆷ</t>
  </si>
  <si>
    <t>ㄧㄜㆷ</t>
  </si>
  <si>
    <t>ㄧㆫㆷ</t>
  </si>
  <si>
    <t>ㄜㆷ</t>
  </si>
  <si>
    <t>ㆧㆷ</t>
  </si>
  <si>
    <t>ㄨㆷ</t>
  </si>
  <si>
    <t>ㄨㄚㆷ</t>
  </si>
  <si>
    <t>ㄨㄤ</t>
  </si>
  <si>
    <t>ㄨㄞㆷ</t>
  </si>
  <si>
    <t>ㄨㆮㆷ</t>
  </si>
  <si>
    <t>ㄨㆤㆷ</t>
  </si>
  <si>
    <t>e</t>
    <phoneticPr fontId="21" type="noConversion"/>
  </si>
  <si>
    <t>ehⁿ</t>
    <phoneticPr fontId="21" type="noConversion"/>
  </si>
  <si>
    <t>iahⁿ</t>
    <phoneticPr fontId="21" type="noConversion"/>
  </si>
  <si>
    <t>iuhⁿ</t>
    <phoneticPr fontId="21" type="noConversion"/>
  </si>
  <si>
    <t>oⁿ</t>
    <phoneticPr fontId="21" type="noConversion"/>
  </si>
  <si>
    <t>閩拼調符編碼</t>
  </si>
  <si>
    <t>台語注音</t>
  </si>
  <si>
    <t>ㄖ</t>
  </si>
  <si>
    <t>ㄙ</t>
  </si>
  <si>
    <t>ㄪ</t>
  </si>
  <si>
    <t>ㄘ</t>
  </si>
  <si>
    <t xml:space="preserve">⁰ㄫ </t>
  </si>
  <si>
    <t>ㄨㄉ</t>
  </si>
  <si>
    <t>ㄧㄚㄉ</t>
  </si>
  <si>
    <t>ㄧㄇ</t>
  </si>
  <si>
    <t>ㄧㄅ</t>
  </si>
  <si>
    <t>ㄝㄏ</t>
  </si>
  <si>
    <t>ㄚㄉ</t>
  </si>
  <si>
    <t>ㄛㄥ</t>
  </si>
  <si>
    <t>ㄛㄍ</t>
  </si>
  <si>
    <t>ㄨㄞㄏ</t>
  </si>
  <si>
    <t>ㄧㄍ</t>
  </si>
  <si>
    <t>ㄨㄚㄉ</t>
  </si>
  <si>
    <t>ㄛ</t>
  </si>
  <si>
    <t>ㄧㄠㄏ</t>
  </si>
  <si>
    <t>ㄧㄛㄥ</t>
  </si>
  <si>
    <t>ㄧㄛㄍ</t>
  </si>
  <si>
    <t>ㄜㄏ</t>
  </si>
  <si>
    <t>ㄧㄉ</t>
  </si>
  <si>
    <t>ㄧㄚㄍ</t>
  </si>
  <si>
    <t>ㄚㄇ</t>
  </si>
  <si>
    <t>ㄚㄅ</t>
  </si>
  <si>
    <t>ㄨㄚㄏ</t>
  </si>
  <si>
    <t>ㄚㄍ</t>
  </si>
  <si>
    <t>ㄧㄚㄇ</t>
  </si>
  <si>
    <t>ㄧㄚㄅ</t>
  </si>
  <si>
    <t>ㄠㄏ</t>
  </si>
  <si>
    <t>ㄧㄚㄏ</t>
  </si>
  <si>
    <t>ㄨㄝ</t>
  </si>
  <si>
    <t>ㄨㄝㄏ</t>
  </si>
  <si>
    <t>⁰ㄚ</t>
  </si>
  <si>
    <t>⁰ㄚㄏ</t>
  </si>
  <si>
    <t>ㄨㄏ</t>
  </si>
  <si>
    <t>ㄚㄏ</t>
  </si>
  <si>
    <t>ㄧㄏ</t>
  </si>
  <si>
    <t>⁰ㄝ</t>
  </si>
  <si>
    <t>⁰ㄝㄏ</t>
  </si>
  <si>
    <t>⁰ㄨㄧ</t>
  </si>
  <si>
    <t>ㄧㄜㄏ</t>
  </si>
  <si>
    <t>⁰ㄧ</t>
  </si>
  <si>
    <t>⁰ㄧㄏ</t>
  </si>
  <si>
    <t>⁰ㄧㄛ</t>
  </si>
  <si>
    <t>⁰ㄧㄚ</t>
  </si>
  <si>
    <t>⁰ㄨㄚ</t>
  </si>
  <si>
    <t>⁰ㄞ</t>
  </si>
  <si>
    <t>⁰ㄛ</t>
  </si>
  <si>
    <t>ㄨㄚㄍ</t>
  </si>
  <si>
    <t>⁰ㄨㄞ</t>
  </si>
  <si>
    <t>⁰ㄨㄞㄏ</t>
  </si>
  <si>
    <t>⁰ㄨㄝ</t>
  </si>
  <si>
    <t>⁰ㄧㄠ</t>
  </si>
  <si>
    <t>⁰ㄧㄠㄏ</t>
  </si>
  <si>
    <t>ㄛㄇ</t>
  </si>
  <si>
    <t>ㄛㄅ</t>
  </si>
  <si>
    <t>⁰ㄠ</t>
  </si>
  <si>
    <t>⁰ㄛㄏ</t>
  </si>
  <si>
    <t>⁰ㄧㆫ</t>
  </si>
  <si>
    <t>b</t>
    <phoneticPr fontId="3" type="noConversion"/>
  </si>
  <si>
    <t>p</t>
    <phoneticPr fontId="3" type="noConversion"/>
  </si>
  <si>
    <t>bb</t>
    <phoneticPr fontId="3" type="noConversion"/>
  </si>
  <si>
    <t>d</t>
    <phoneticPr fontId="3" type="noConversion"/>
  </si>
  <si>
    <t>t</t>
    <phoneticPr fontId="3" type="noConversion"/>
  </si>
  <si>
    <t>ln</t>
    <phoneticPr fontId="3" type="noConversion"/>
  </si>
  <si>
    <t>l</t>
    <phoneticPr fontId="3" type="noConversion"/>
  </si>
  <si>
    <t>g</t>
    <phoneticPr fontId="3" type="noConversion"/>
  </si>
  <si>
    <t>k</t>
    <phoneticPr fontId="3" type="noConversion"/>
  </si>
  <si>
    <t>gg</t>
    <phoneticPr fontId="3" type="noConversion"/>
  </si>
  <si>
    <t>h</t>
    <phoneticPr fontId="3" type="noConversion"/>
  </si>
  <si>
    <t>z</t>
    <phoneticPr fontId="3" type="noConversion"/>
  </si>
  <si>
    <t>c</t>
    <phoneticPr fontId="3" type="noConversion"/>
  </si>
  <si>
    <t>s</t>
    <phoneticPr fontId="3" type="noConversion"/>
  </si>
  <si>
    <t>zz</t>
    <phoneticPr fontId="3" type="noConversion"/>
  </si>
  <si>
    <t>jji</t>
    <phoneticPr fontId="3" type="noConversion"/>
  </si>
  <si>
    <t>ji</t>
    <phoneticPr fontId="3" type="noConversion"/>
  </si>
  <si>
    <t>chi</t>
    <phoneticPr fontId="3" type="noConversion"/>
  </si>
  <si>
    <t>shi</t>
    <phoneticPr fontId="3" type="noConversion"/>
  </si>
  <si>
    <t>ng</t>
    <phoneticPr fontId="3" type="noConversion"/>
  </si>
  <si>
    <t>s1</t>
    <phoneticPr fontId="3" type="noConversion"/>
  </si>
  <si>
    <t>s2</t>
    <phoneticPr fontId="3" type="noConversion"/>
  </si>
  <si>
    <t>ㄐ</t>
    <phoneticPr fontId="3" type="noConversion"/>
  </si>
  <si>
    <t>ㄑ</t>
    <phoneticPr fontId="3" type="noConversion"/>
  </si>
  <si>
    <t>ㄒ</t>
    <phoneticPr fontId="3" type="noConversion"/>
  </si>
  <si>
    <t>s3</t>
    <phoneticPr fontId="3" type="noConversion"/>
  </si>
  <si>
    <t>bbn</t>
    <phoneticPr fontId="3" type="noConversion"/>
  </si>
  <si>
    <t>ggn</t>
    <phoneticPr fontId="3" type="noConversion"/>
  </si>
  <si>
    <t>zzi</t>
    <phoneticPr fontId="3" type="noConversion"/>
  </si>
  <si>
    <t>zi</t>
    <phoneticPr fontId="3" type="noConversion"/>
  </si>
  <si>
    <t>ci</t>
    <phoneticPr fontId="3" type="noConversion"/>
  </si>
  <si>
    <t>si</t>
    <phoneticPr fontId="3" type="noConversion"/>
  </si>
  <si>
    <t>ㄝㆷ</t>
  </si>
  <si>
    <t>ㆪㆷ</t>
  </si>
  <si>
    <t>ㄧㆯㆷ</t>
  </si>
  <si>
    <t>◯</t>
  </si>
  <si>
    <t>iuh</t>
    <phoneticPr fontId="3" type="noConversion"/>
  </si>
  <si>
    <t>neh</t>
    <phoneticPr fontId="3" type="noConversion"/>
  </si>
  <si>
    <t>nuih</t>
    <phoneticPr fontId="3" type="noConversion"/>
  </si>
  <si>
    <t>nio</t>
    <phoneticPr fontId="3" type="noConversion"/>
  </si>
  <si>
    <t>nioh</t>
    <phoneticPr fontId="3" type="noConversion"/>
  </si>
  <si>
    <t>niah</t>
    <phoneticPr fontId="3" type="noConversion"/>
  </si>
  <si>
    <t>nuah</t>
    <phoneticPr fontId="3" type="noConversion"/>
  </si>
  <si>
    <t>naih</t>
    <phoneticPr fontId="3" type="noConversion"/>
  </si>
  <si>
    <t>oom</t>
    <phoneticPr fontId="3" type="noConversion"/>
  </si>
  <si>
    <t>oop</t>
    <phoneticPr fontId="3" type="noConversion"/>
  </si>
  <si>
    <t>no</t>
    <phoneticPr fontId="3" type="noConversion"/>
  </si>
  <si>
    <t>noh</t>
    <phoneticPr fontId="3" type="noConversion"/>
  </si>
  <si>
    <t>LEN()</t>
    <phoneticPr fontId="3" type="noConversion"/>
  </si>
  <si>
    <t>聲母</t>
    <phoneticPr fontId="3" type="noConversion"/>
  </si>
  <si>
    <t>韻母</t>
    <phoneticPr fontId="3" type="noConversion"/>
  </si>
  <si>
    <t>aʊ</t>
    <phoneticPr fontId="3" type="noConversion"/>
  </si>
  <si>
    <t>ɪaʊ</t>
    <phoneticPr fontId="3" type="noConversion"/>
  </si>
  <si>
    <t>e</t>
    <phoneticPr fontId="3" type="noConversion"/>
  </si>
  <si>
    <t>ẽ</t>
    <phoneticPr fontId="3" type="noConversion"/>
  </si>
  <si>
    <t>eʔ</t>
    <phoneticPr fontId="3" type="noConversion"/>
  </si>
  <si>
    <t>ẽʔ</t>
    <phoneticPr fontId="3" type="noConversion"/>
  </si>
  <si>
    <t>i</t>
    <phoneticPr fontId="3" type="noConversion"/>
  </si>
  <si>
    <t>ĩ</t>
    <phoneticPr fontId="3" type="noConversion"/>
  </si>
  <si>
    <t>iʔ</t>
    <phoneticPr fontId="3" type="noConversion"/>
  </si>
  <si>
    <t>im</t>
    <phoneticPr fontId="3" type="noConversion"/>
  </si>
  <si>
    <t>in</t>
    <phoneticPr fontId="3" type="noConversion"/>
  </si>
  <si>
    <t>iŋ</t>
    <phoneticPr fontId="3" type="noConversion"/>
  </si>
  <si>
    <t>ip̚</t>
    <phoneticPr fontId="3" type="noConversion"/>
  </si>
  <si>
    <t>it̚</t>
    <phoneticPr fontId="3" type="noConversion"/>
  </si>
  <si>
    <t>ɪɔ̃</t>
    <phoneticPr fontId="3" type="noConversion"/>
  </si>
  <si>
    <t>ɪɔŋ</t>
    <phoneticPr fontId="3" type="noConversion"/>
  </si>
  <si>
    <t>ɪɔk̚</t>
    <phoneticPr fontId="3" type="noConversion"/>
  </si>
  <si>
    <t>ɔ</t>
    <phoneticPr fontId="3" type="noConversion"/>
  </si>
  <si>
    <t>ɔ̃</t>
    <phoneticPr fontId="3" type="noConversion"/>
  </si>
  <si>
    <t>ɔʔ</t>
    <phoneticPr fontId="3" type="noConversion"/>
  </si>
  <si>
    <t>ɔ̃ʔ</t>
    <phoneticPr fontId="3" type="noConversion"/>
  </si>
  <si>
    <t>ɔm</t>
    <phoneticPr fontId="3" type="noConversion"/>
  </si>
  <si>
    <t>ɔŋ</t>
    <phoneticPr fontId="3" type="noConversion"/>
  </si>
  <si>
    <t>ɔp̚</t>
    <phoneticPr fontId="3" type="noConversion"/>
  </si>
  <si>
    <t>ɔk̚</t>
    <phoneticPr fontId="3" type="noConversion"/>
  </si>
  <si>
    <t>u</t>
    <phoneticPr fontId="3" type="noConversion"/>
  </si>
  <si>
    <t>uʔ</t>
    <phoneticPr fontId="3" type="noConversion"/>
  </si>
  <si>
    <t>un</t>
    <phoneticPr fontId="3" type="noConversion"/>
  </si>
  <si>
    <t>ut̚</t>
    <phoneticPr fontId="3" type="noConversion"/>
  </si>
  <si>
    <t>ue</t>
    <phoneticPr fontId="3" type="noConversion"/>
  </si>
  <si>
    <t>ueʔ</t>
    <phoneticPr fontId="3" type="noConversion"/>
  </si>
  <si>
    <t>ui</t>
    <phoneticPr fontId="3" type="noConversion"/>
  </si>
  <si>
    <t>uĩ</t>
    <phoneticPr fontId="3" type="noConversion"/>
  </si>
  <si>
    <t>uiʔ</t>
    <phoneticPr fontId="3" type="noConversion"/>
  </si>
  <si>
    <t>m̩</t>
    <phoneticPr fontId="3" type="noConversion"/>
  </si>
  <si>
    <t>a</t>
    <phoneticPr fontId="3" type="noConversion"/>
  </si>
  <si>
    <t>ã</t>
    <phoneticPr fontId="3" type="noConversion"/>
  </si>
  <si>
    <t>aʔ</t>
    <phoneticPr fontId="3" type="noConversion"/>
  </si>
  <si>
    <t>ãʔ</t>
    <phoneticPr fontId="3" type="noConversion"/>
  </si>
  <si>
    <t>am</t>
    <phoneticPr fontId="3" type="noConversion"/>
  </si>
  <si>
    <t>an</t>
    <phoneticPr fontId="3" type="noConversion"/>
  </si>
  <si>
    <t>aŋ</t>
    <phoneticPr fontId="3" type="noConversion"/>
  </si>
  <si>
    <t>aɪ</t>
    <phoneticPr fontId="3" type="noConversion"/>
  </si>
  <si>
    <t>ãɪ</t>
    <phoneticPr fontId="3" type="noConversion"/>
  </si>
  <si>
    <t>aɪʔ</t>
    <phoneticPr fontId="3" type="noConversion"/>
  </si>
  <si>
    <t>auʔ</t>
    <phoneticPr fontId="3" type="noConversion"/>
  </si>
  <si>
    <t>ɪa</t>
    <phoneticPr fontId="3" type="noConversion"/>
  </si>
  <si>
    <t>ɪam</t>
    <phoneticPr fontId="3" type="noConversion"/>
  </si>
  <si>
    <t>ɪaŋ</t>
    <phoneticPr fontId="3" type="noConversion"/>
  </si>
  <si>
    <t>ɪap̚</t>
    <phoneticPr fontId="3" type="noConversion"/>
  </si>
  <si>
    <t>ɪak̚</t>
    <phoneticPr fontId="3" type="noConversion"/>
  </si>
  <si>
    <t>ua</t>
    <phoneticPr fontId="3" type="noConversion"/>
  </si>
  <si>
    <t>uã</t>
    <phoneticPr fontId="3" type="noConversion"/>
  </si>
  <si>
    <t>uaʔ</t>
    <phoneticPr fontId="3" type="noConversion"/>
  </si>
  <si>
    <t>uan</t>
    <phoneticPr fontId="3" type="noConversion"/>
  </si>
  <si>
    <t>uaŋ</t>
    <phoneticPr fontId="3" type="noConversion"/>
  </si>
  <si>
    <t>uat̚</t>
    <phoneticPr fontId="3" type="noConversion"/>
  </si>
  <si>
    <t>uai</t>
    <phoneticPr fontId="3" type="noConversion"/>
  </si>
  <si>
    <t>uãi</t>
    <phoneticPr fontId="3" type="noConversion"/>
  </si>
  <si>
    <t>uaiʔ</t>
    <phoneticPr fontId="3" type="noConversion"/>
  </si>
  <si>
    <t>uãiʔ</t>
    <phoneticPr fontId="3" type="noConversion"/>
  </si>
  <si>
    <t>ãi</t>
  </si>
  <si>
    <t>uẽ</t>
  </si>
  <si>
    <t>uẽʔ</t>
  </si>
  <si>
    <t>iãu</t>
  </si>
  <si>
    <t>iãuʔ</t>
  </si>
  <si>
    <t>ãu</t>
  </si>
  <si>
    <t>ɛ</t>
    <phoneticPr fontId="3" type="noConversion"/>
  </si>
  <si>
    <t>uĩ</t>
    <phoneticPr fontId="3" type="noConversion"/>
  </si>
  <si>
    <t>ĩ</t>
    <phoneticPr fontId="3" type="noConversion"/>
  </si>
  <si>
    <t>ĩʔ</t>
    <phoneticPr fontId="3" type="noConversion"/>
  </si>
  <si>
    <t>iɔ̃</t>
    <phoneticPr fontId="3" type="noConversion"/>
  </si>
  <si>
    <t>iã</t>
    <phoneticPr fontId="3" type="noConversion"/>
  </si>
  <si>
    <t>uã</t>
    <phoneticPr fontId="3" type="noConversion"/>
  </si>
  <si>
    <t>ŋ̍</t>
    <phoneticPr fontId="3" type="noConversion"/>
  </si>
  <si>
    <t>eʔ</t>
    <phoneticPr fontId="3" type="noConversion"/>
  </si>
  <si>
    <t>ãi</t>
    <phoneticPr fontId="3" type="noConversion"/>
  </si>
  <si>
    <t>m̩</t>
    <phoneticPr fontId="3" type="noConversion"/>
  </si>
  <si>
    <t>uaŋ</t>
    <phoneticPr fontId="3" type="noConversion"/>
  </si>
  <si>
    <t>uak̚</t>
    <phoneticPr fontId="3" type="noConversion"/>
  </si>
  <si>
    <t>uãi</t>
    <phoneticPr fontId="3" type="noConversion"/>
  </si>
  <si>
    <t>uãiʔ</t>
    <phoneticPr fontId="3" type="noConversion"/>
  </si>
  <si>
    <t>uẽ</t>
    <phoneticPr fontId="3" type="noConversion"/>
  </si>
  <si>
    <t>iãu</t>
    <phoneticPr fontId="3" type="noConversion"/>
  </si>
  <si>
    <t>iãuʔ</t>
    <phoneticPr fontId="3" type="noConversion"/>
  </si>
  <si>
    <t>ɔm</t>
    <phoneticPr fontId="3" type="noConversion"/>
  </si>
  <si>
    <t>ãu</t>
    <phoneticPr fontId="3" type="noConversion"/>
  </si>
  <si>
    <t>iũ</t>
    <phoneticPr fontId="3" type="noConversion"/>
  </si>
  <si>
    <t>ik̚</t>
    <phoneticPr fontId="3" type="noConversion"/>
  </si>
  <si>
    <t>ɪan</t>
    <phoneticPr fontId="3" type="noConversion"/>
  </si>
  <si>
    <t>ɪat̚</t>
    <phoneticPr fontId="3" type="noConversion"/>
  </si>
  <si>
    <t>ə</t>
    <phoneticPr fontId="3" type="noConversion"/>
  </si>
  <si>
    <t>əʔ</t>
    <phoneticPr fontId="3" type="noConversion"/>
  </si>
  <si>
    <t>ɪə</t>
    <phoneticPr fontId="3" type="noConversion"/>
  </si>
  <si>
    <t>ɪəʔ</t>
    <phoneticPr fontId="3" type="noConversion"/>
  </si>
  <si>
    <t>ɛ</t>
    <phoneticPr fontId="3" type="noConversion"/>
  </si>
  <si>
    <t>ee</t>
    <phoneticPr fontId="3" type="noConversion"/>
  </si>
  <si>
    <t>eeh</t>
    <phoneticPr fontId="3" type="noConversion"/>
  </si>
  <si>
    <t>eng</t>
    <phoneticPr fontId="3" type="noConversion"/>
  </si>
  <si>
    <t>ek</t>
    <phoneticPr fontId="3" type="noConversion"/>
  </si>
  <si>
    <t>嘉舒</t>
    <phoneticPr fontId="3" type="noConversion"/>
  </si>
  <si>
    <t>嘉促</t>
    <phoneticPr fontId="3" type="noConversion"/>
  </si>
  <si>
    <t>經舒</t>
    <phoneticPr fontId="3" type="noConversion"/>
  </si>
  <si>
    <t>經促</t>
    <phoneticPr fontId="3" type="noConversion"/>
  </si>
  <si>
    <t>ㄝ</t>
    <phoneticPr fontId="3" type="noConversion"/>
  </si>
  <si>
    <t>ㄠㆷ</t>
    <phoneticPr fontId="3" type="noConversion"/>
  </si>
  <si>
    <t>ㄝㆷ</t>
    <phoneticPr fontId="3" type="noConversion"/>
  </si>
  <si>
    <t>ㄝㆭ</t>
    <phoneticPr fontId="3" type="noConversion"/>
  </si>
  <si>
    <t>ㄚㆻ</t>
    <phoneticPr fontId="3" type="noConversion"/>
  </si>
  <si>
    <t>ㄝㆻ</t>
    <phoneticPr fontId="3" type="noConversion"/>
  </si>
  <si>
    <t>台語注音</t>
    <phoneticPr fontId="3" type="noConversion"/>
  </si>
  <si>
    <r>
      <rPr>
        <sz val="18"/>
        <color rgb="FF000000"/>
        <rFont val="Noto Sans TC"/>
        <family val="2"/>
        <charset val="136"/>
      </rPr>
      <t>ㄞ</t>
    </r>
    <r>
      <rPr>
        <sz val="18"/>
        <color rgb="FF000000"/>
        <rFont val="Microsoft JhengHei"/>
        <family val="2"/>
      </rPr>
      <t>ㄏ</t>
    </r>
    <phoneticPr fontId="3" type="noConversion"/>
  </si>
  <si>
    <t>ㄝㄥ</t>
    <phoneticPr fontId="3" type="noConversion"/>
  </si>
  <si>
    <t>ㄝㄍ</t>
    <phoneticPr fontId="3" type="noConversion"/>
  </si>
  <si>
    <t>⁰ㄧㄚㄏ</t>
  </si>
  <si>
    <t>⁰ㄧㄨ</t>
  </si>
  <si>
    <t>⁰ㄧㄨㄏ</t>
  </si>
  <si>
    <t>ㄛㄏ</t>
  </si>
  <si>
    <t>ㄨㄧㄏ</t>
  </si>
  <si>
    <t>ㄇㄏ</t>
  </si>
  <si>
    <t>ㄥㄏ</t>
  </si>
  <si>
    <t>ãʔ</t>
  </si>
  <si>
    <t>ãɪ</t>
  </si>
  <si>
    <t>ik̚</t>
  </si>
  <si>
    <t>ɪã</t>
  </si>
  <si>
    <t>ɪãʔ</t>
  </si>
  <si>
    <t>ɪãʊ</t>
  </si>
  <si>
    <t>ɪə</t>
  </si>
  <si>
    <t>ɪəʔ</t>
  </si>
  <si>
    <t>ɪu</t>
  </si>
  <si>
    <t>ɪũ</t>
  </si>
  <si>
    <t>ɪũʔ</t>
  </si>
  <si>
    <t>ə</t>
  </si>
  <si>
    <t>əʔ</t>
  </si>
  <si>
    <t>uã</t>
  </si>
  <si>
    <t>uãi</t>
  </si>
  <si>
    <t>uãiʔ</t>
  </si>
  <si>
    <t>響度優先次第： a &gt; oo &gt; (e = o) &gt; (i = u)〈低元音 &gt; 高元音 &gt; 無擦通音 &gt; 擦音 &gt; 塞音〉</t>
    <phoneticPr fontId="3" type="noConversion"/>
  </si>
  <si>
    <t>聲母</t>
  </si>
  <si>
    <t>【閩拼方案】</t>
    <phoneticPr fontId="3" type="noConversion"/>
  </si>
  <si>
    <t>十五音識別碼</t>
    <phoneticPr fontId="3" type="noConversion"/>
  </si>
  <si>
    <t>漢字例</t>
    <phoneticPr fontId="3" type="noConversion"/>
  </si>
  <si>
    <t>jj</t>
    <phoneticPr fontId="3" type="noConversion"/>
  </si>
  <si>
    <t>j</t>
    <phoneticPr fontId="3" type="noConversion"/>
  </si>
  <si>
    <t>ch</t>
    <phoneticPr fontId="3" type="noConversion"/>
  </si>
  <si>
    <t>sh</t>
    <phoneticPr fontId="3" type="noConversion"/>
  </si>
  <si>
    <t>了</t>
    <phoneticPr fontId="3" type="noConversion"/>
  </si>
  <si>
    <t>門</t>
    <phoneticPr fontId="3" type="noConversion"/>
  </si>
  <si>
    <t>仞</t>
    <phoneticPr fontId="3" type="noConversion"/>
  </si>
  <si>
    <t>羌</t>
    <phoneticPr fontId="3" type="noConversion"/>
  </si>
  <si>
    <t>liao3</t>
    <phoneticPr fontId="3" type="noConversion"/>
  </si>
  <si>
    <t>bbng2</t>
    <phoneticPr fontId="3" type="noConversion"/>
  </si>
  <si>
    <t>gniu1</t>
    <phoneticPr fontId="3" type="noConversion"/>
  </si>
  <si>
    <t>楊</t>
    <phoneticPr fontId="3" type="noConversion"/>
  </si>
  <si>
    <t>柳</t>
    <phoneticPr fontId="3" type="noConversion"/>
  </si>
  <si>
    <t>liu3</t>
    <phoneticPr fontId="3" type="noConversion"/>
  </si>
  <si>
    <t>ynu2</t>
    <phoneticPr fontId="3" type="noConversion"/>
  </si>
  <si>
    <t>niu</t>
    <phoneticPr fontId="3" type="noConversion"/>
  </si>
  <si>
    <t>y</t>
    <phoneticPr fontId="3" type="noConversion"/>
  </si>
  <si>
    <t>iu</t>
    <phoneticPr fontId="3" type="noConversion"/>
  </si>
  <si>
    <t>zzim6</t>
    <phoneticPr fontId="3" type="noConversion"/>
  </si>
  <si>
    <t>黄</t>
    <phoneticPr fontId="3" type="noConversion"/>
  </si>
  <si>
    <t>河</t>
    <phoneticPr fontId="3" type="noConversion"/>
  </si>
  <si>
    <t>遠</t>
    <phoneticPr fontId="3" type="noConversion"/>
  </si>
  <si>
    <t>上</t>
    <phoneticPr fontId="3" type="noConversion"/>
  </si>
  <si>
    <t>白</t>
    <phoneticPr fontId="3" type="noConversion"/>
  </si>
  <si>
    <t>雲</t>
    <phoneticPr fontId="3" type="noConversion"/>
  </si>
  <si>
    <t>間</t>
    <phoneticPr fontId="3" type="noConversion"/>
  </si>
  <si>
    <t>片</t>
    <phoneticPr fontId="3" type="noConversion"/>
  </si>
  <si>
    <t>孤</t>
    <phoneticPr fontId="3" type="noConversion"/>
  </si>
  <si>
    <t>城</t>
    <phoneticPr fontId="3" type="noConversion"/>
  </si>
  <si>
    <t>萬</t>
    <phoneticPr fontId="3" type="noConversion"/>
  </si>
  <si>
    <t>山</t>
    <phoneticPr fontId="3" type="noConversion"/>
  </si>
  <si>
    <t>。</t>
    <phoneticPr fontId="3" type="noConversion"/>
  </si>
  <si>
    <t>，</t>
    <phoneticPr fontId="3" type="noConversion"/>
  </si>
  <si>
    <t>笛</t>
    <phoneticPr fontId="3" type="noConversion"/>
  </si>
  <si>
    <t>何</t>
    <phoneticPr fontId="3" type="noConversion"/>
  </si>
  <si>
    <t>須</t>
    <phoneticPr fontId="3" type="noConversion"/>
  </si>
  <si>
    <t>怨</t>
    <phoneticPr fontId="3" type="noConversion"/>
  </si>
  <si>
    <t>春</t>
    <phoneticPr fontId="3" type="noConversion"/>
  </si>
  <si>
    <t>風</t>
    <phoneticPr fontId="3" type="noConversion"/>
  </si>
  <si>
    <t>不</t>
    <phoneticPr fontId="3" type="noConversion"/>
  </si>
  <si>
    <t>度</t>
    <phoneticPr fontId="3" type="noConversion"/>
  </si>
  <si>
    <t>玉</t>
    <phoneticPr fontId="3" type="noConversion"/>
  </si>
  <si>
    <t>關</t>
    <phoneticPr fontId="3" type="noConversion"/>
  </si>
  <si>
    <t>hong5</t>
    <phoneticPr fontId="3" type="noConversion"/>
  </si>
  <si>
    <t>hong2</t>
    <phoneticPr fontId="3" type="noConversion"/>
  </si>
  <si>
    <t>ho2</t>
    <phoneticPr fontId="3" type="noConversion"/>
  </si>
  <si>
    <t>wan3</t>
    <phoneticPr fontId="3" type="noConversion"/>
  </si>
  <si>
    <t>siong3</t>
    <phoneticPr fontId="3" type="noConversion"/>
  </si>
  <si>
    <t>bik8</t>
    <phoneticPr fontId="3" type="noConversion"/>
  </si>
  <si>
    <t>hun2</t>
    <phoneticPr fontId="3" type="noConversion"/>
  </si>
  <si>
    <t>ging1</t>
    <phoneticPr fontId="3" type="noConversion"/>
  </si>
  <si>
    <t>yit7</t>
    <phoneticPr fontId="3" type="noConversion"/>
  </si>
  <si>
    <t>pian5</t>
    <phoneticPr fontId="3" type="noConversion"/>
  </si>
  <si>
    <t>goo1</t>
    <phoneticPr fontId="3" type="noConversion"/>
  </si>
  <si>
    <t>sing2</t>
    <phoneticPr fontId="3" type="noConversion"/>
  </si>
  <si>
    <t>bban3</t>
    <phoneticPr fontId="3" type="noConversion"/>
  </si>
  <si>
    <t>san1</t>
    <phoneticPr fontId="3" type="noConversion"/>
  </si>
  <si>
    <t>dik8</t>
    <phoneticPr fontId="3" type="noConversion"/>
  </si>
  <si>
    <t>su1</t>
    <phoneticPr fontId="3" type="noConversion"/>
  </si>
  <si>
    <t>cun1</t>
    <phoneticPr fontId="3" type="noConversion"/>
  </si>
  <si>
    <t>hong1</t>
    <phoneticPr fontId="3" type="noConversion"/>
  </si>
  <si>
    <t>but7</t>
    <phoneticPr fontId="3" type="noConversion"/>
  </si>
  <si>
    <t>doo6</t>
    <phoneticPr fontId="3" type="noConversion"/>
  </si>
  <si>
    <t>ggiok8</t>
    <phoneticPr fontId="3" type="noConversion"/>
  </si>
  <si>
    <t>guan1</t>
    <phoneticPr fontId="3" type="noConversion"/>
  </si>
  <si>
    <t>w</t>
    <phoneticPr fontId="3" type="noConversion"/>
  </si>
  <si>
    <t>ho5</t>
    <phoneticPr fontId="3" type="noConversion"/>
  </si>
  <si>
    <t>uan2</t>
    <phoneticPr fontId="3" type="noConversion"/>
  </si>
  <si>
    <t>shiong2</t>
    <phoneticPr fontId="3" type="noConversion"/>
  </si>
  <si>
    <t>biek8</t>
    <phoneticPr fontId="3" type="noConversion"/>
  </si>
  <si>
    <t>hun5</t>
    <phoneticPr fontId="3" type="noConversion"/>
  </si>
  <si>
    <t>it4</t>
    <phoneticPr fontId="3" type="noConversion"/>
  </si>
  <si>
    <t>doo7</t>
    <phoneticPr fontId="3" type="noConversion"/>
  </si>
  <si>
    <t>hor5</t>
    <phoneticPr fontId="3" type="noConversion"/>
  </si>
  <si>
    <t>giunn1</t>
    <phoneticPr fontId="3" type="noConversion"/>
  </si>
  <si>
    <t>diek8</t>
    <phoneticPr fontId="3" type="noConversion"/>
  </si>
  <si>
    <t>iunn5</t>
    <phoneticPr fontId="3" type="noConversion"/>
  </si>
  <si>
    <t>liu2</t>
    <phoneticPr fontId="3" type="noConversion"/>
  </si>
  <si>
    <t>but4</t>
    <phoneticPr fontId="3" type="noConversion"/>
  </si>
  <si>
    <t>iek</t>
    <phoneticPr fontId="3" type="noConversion"/>
  </si>
  <si>
    <t>ggiook8</t>
    <phoneticPr fontId="3" type="noConversion"/>
  </si>
  <si>
    <t>siong2</t>
    <phoneticPr fontId="3" type="noConversion"/>
  </si>
  <si>
    <t>pik8</t>
    <phoneticPr fontId="3" type="noConversion"/>
  </si>
  <si>
    <t>king1</t>
    <phoneticPr fontId="3" type="noConversion"/>
  </si>
  <si>
    <t>ph</t>
    <phoneticPr fontId="3" type="noConversion"/>
  </si>
  <si>
    <t>koo1</t>
    <phoneticPr fontId="3" type="noConversion"/>
  </si>
  <si>
    <t>jim7</t>
    <phoneticPr fontId="3" type="noConversion"/>
  </si>
  <si>
    <t>kiunn1</t>
    <phoneticPr fontId="3" type="noConversion"/>
  </si>
  <si>
    <t>tik8</t>
    <phoneticPr fontId="3" type="noConversion"/>
  </si>
  <si>
    <t>tshun1</t>
    <phoneticPr fontId="3" type="noConversion"/>
  </si>
  <si>
    <t>tsh</t>
    <phoneticPr fontId="3" type="noConversion"/>
  </si>
  <si>
    <t>put4</t>
    <phoneticPr fontId="3" type="noConversion"/>
  </si>
  <si>
    <t>too7</t>
    <phoneticPr fontId="3" type="noConversion"/>
  </si>
  <si>
    <t>giok8</t>
    <phoneticPr fontId="3" type="noConversion"/>
  </si>
  <si>
    <t>kuan1</t>
    <phoneticPr fontId="3" type="noConversion"/>
  </si>
  <si>
    <t>pian3</t>
    <phoneticPr fontId="3" type="noConversion"/>
  </si>
  <si>
    <t>sing5</t>
    <phoneticPr fontId="3" type="noConversion"/>
  </si>
  <si>
    <t>bban7</t>
    <phoneticPr fontId="3" type="noConversion"/>
  </si>
  <si>
    <t>phian3</t>
    <phoneticPr fontId="3" type="noConversion"/>
  </si>
  <si>
    <t>ban7</t>
    <phoneticPr fontId="3" type="noConversion"/>
  </si>
  <si>
    <t>uan3</t>
    <phoneticPr fontId="3" type="noConversion"/>
  </si>
  <si>
    <t>wan5</t>
    <phoneticPr fontId="3" type="noConversion"/>
  </si>
  <si>
    <t>pek8</t>
    <phoneticPr fontId="3" type="noConversion"/>
  </si>
  <si>
    <t>oan2</t>
    <phoneticPr fontId="3" type="noConversion"/>
  </si>
  <si>
    <t>keng1</t>
    <phoneticPr fontId="3" type="noConversion"/>
  </si>
  <si>
    <t>seng5</t>
    <phoneticPr fontId="3" type="noConversion"/>
  </si>
  <si>
    <t>aiⁿ</t>
    <phoneticPr fontId="3" type="noConversion"/>
  </si>
  <si>
    <t>kiuⁿ1</t>
  </si>
  <si>
    <t>iuⁿ5</t>
  </si>
  <si>
    <r>
      <t>o</t>
    </r>
    <r>
      <rPr>
        <sz val="16"/>
        <color theme="1"/>
        <rFont val="Arial"/>
        <family val="2"/>
        <charset val="254"/>
      </rPr>
      <t>͘</t>
    </r>
    <phoneticPr fontId="3" type="noConversion"/>
  </si>
  <si>
    <t>tek8</t>
    <phoneticPr fontId="3" type="noConversion"/>
  </si>
  <si>
    <t>oan</t>
    <phoneticPr fontId="3" type="noConversion"/>
  </si>
  <si>
    <t>chhun1</t>
    <phoneticPr fontId="3" type="noConversion"/>
  </si>
  <si>
    <t>chh</t>
    <phoneticPr fontId="3" type="noConversion"/>
  </si>
  <si>
    <t>mng5</t>
    <phoneticPr fontId="3" type="noConversion"/>
  </si>
  <si>
    <t>koan1</t>
    <phoneticPr fontId="3" type="noConversion"/>
  </si>
  <si>
    <t>Ø</t>
    <phoneticPr fontId="3" type="noConversion"/>
  </si>
  <si>
    <t>gan1</t>
    <phoneticPr fontId="3" type="noConversion"/>
  </si>
  <si>
    <t>jjim7</t>
    <phoneticPr fontId="3" type="noConversion"/>
  </si>
  <si>
    <t>kan1</t>
    <phoneticPr fontId="3" type="noConversion"/>
  </si>
  <si>
    <t>傳統調號</t>
    <phoneticPr fontId="3" type="noConversion"/>
  </si>
  <si>
    <t>上聲</t>
  </si>
  <si>
    <t>高音調</t>
    <phoneticPr fontId="3" type="noConversion"/>
  </si>
  <si>
    <t>中音調</t>
    <phoneticPr fontId="3" type="noConversion"/>
  </si>
  <si>
    <t>低音調</t>
    <phoneticPr fontId="3" type="noConversion"/>
  </si>
  <si>
    <t>調性</t>
    <phoneticPr fontId="3" type="noConversion"/>
  </si>
  <si>
    <t>高降調</t>
    <phoneticPr fontId="3" type="noConversion"/>
  </si>
  <si>
    <t>低升調</t>
    <phoneticPr fontId="3" type="noConversion"/>
  </si>
  <si>
    <t>高促調</t>
    <phoneticPr fontId="3" type="noConversion"/>
  </si>
  <si>
    <t>低促調</t>
    <phoneticPr fontId="3" type="noConversion"/>
  </si>
  <si>
    <t>調值</t>
    <phoneticPr fontId="3" type="noConversion"/>
  </si>
  <si>
    <t>音調</t>
    <phoneticPr fontId="3" type="noConversion"/>
  </si>
  <si>
    <t>上標值</t>
    <phoneticPr fontId="3" type="noConversion"/>
  </si>
  <si>
    <t>hɔŋ²</t>
  </si>
  <si>
    <t>hə²</t>
  </si>
  <si>
    <t>uan³</t>
  </si>
  <si>
    <t>sɪɔŋ³</t>
  </si>
  <si>
    <t>pik̚⁸</t>
  </si>
  <si>
    <t>hun²</t>
  </si>
  <si>
    <t>it̚⁷</t>
  </si>
  <si>
    <t>pʰɪan⁵</t>
  </si>
  <si>
    <t>kɔ¹</t>
  </si>
  <si>
    <t>siŋ²</t>
  </si>
  <si>
    <t>ban³</t>
  </si>
  <si>
    <t>ʣim⁶</t>
  </si>
  <si>
    <t>san¹</t>
  </si>
  <si>
    <t>hong5</t>
  </si>
  <si>
    <t>uan2</t>
  </si>
  <si>
    <t>hun5</t>
  </si>
  <si>
    <t>it4</t>
  </si>
  <si>
    <t>sing5</t>
  </si>
  <si>
    <t>san1</t>
  </si>
  <si>
    <t>ho5</t>
  </si>
  <si>
    <t>siong2</t>
  </si>
  <si>
    <t>pik8</t>
  </si>
  <si>
    <t>kan1</t>
  </si>
  <si>
    <t>phian3</t>
  </si>
  <si>
    <t>koo1</t>
  </si>
  <si>
    <t>ban7</t>
  </si>
  <si>
    <t>jim7</t>
  </si>
  <si>
    <t>hông</t>
    <phoneticPr fontId="3" type="noConversion"/>
  </si>
  <si>
    <t>hô</t>
    <phoneticPr fontId="3" type="noConversion"/>
  </si>
  <si>
    <t>uán</t>
    <phoneticPr fontId="3" type="noConversion"/>
  </si>
  <si>
    <t>sióng</t>
    <phoneticPr fontId="3" type="noConversion"/>
  </si>
  <si>
    <t>pi̍k</t>
    <phoneticPr fontId="3" type="noConversion"/>
  </si>
  <si>
    <t>hûn</t>
    <phoneticPr fontId="3" type="noConversion"/>
  </si>
  <si>
    <t>kan</t>
    <phoneticPr fontId="3" type="noConversion"/>
  </si>
  <si>
    <t>phiàn</t>
    <phoneticPr fontId="3" type="noConversion"/>
  </si>
  <si>
    <t>koo</t>
    <phoneticPr fontId="3" type="noConversion"/>
  </si>
  <si>
    <t>sîng</t>
    <phoneticPr fontId="3" type="noConversion"/>
  </si>
  <si>
    <t>bān</t>
    <phoneticPr fontId="3" type="noConversion"/>
  </si>
  <si>
    <t>jīm</t>
    <phoneticPr fontId="3" type="noConversion"/>
  </si>
  <si>
    <t>san</t>
    <phoneticPr fontId="3" type="noConversion"/>
  </si>
  <si>
    <t>oán</t>
    <phoneticPr fontId="3" type="noConversion"/>
  </si>
  <si>
    <t>pe̍k</t>
    <phoneticPr fontId="3" type="noConversion"/>
  </si>
  <si>
    <t>ko͘</t>
    <phoneticPr fontId="3" type="noConversion"/>
  </si>
  <si>
    <t>sêng</t>
    <phoneticPr fontId="3" type="noConversion"/>
  </si>
  <si>
    <t>kan¹</t>
    <phoneticPr fontId="3" type="noConversion"/>
  </si>
  <si>
    <t>hóng</t>
    <phoneticPr fontId="3" type="noConversion"/>
  </si>
  <si>
    <t>hó</t>
    <phoneticPr fontId="3" type="noConversion"/>
  </si>
  <si>
    <t>wǎn</t>
    <phoneticPr fontId="3" type="noConversion"/>
  </si>
  <si>
    <t>siǒng</t>
    <phoneticPr fontId="3" type="noConversion"/>
  </si>
  <si>
    <t>pík</t>
    <phoneticPr fontId="3" type="noConversion"/>
  </si>
  <si>
    <t>hún</t>
    <phoneticPr fontId="3" type="noConversion"/>
  </si>
  <si>
    <t>kān</t>
    <phoneticPr fontId="3" type="noConversion"/>
  </si>
  <si>
    <t>yīt</t>
    <phoneticPr fontId="3" type="noConversion"/>
  </si>
  <si>
    <t>piàn</t>
    <phoneticPr fontId="3" type="noConversion"/>
  </si>
  <si>
    <t>gōo</t>
    <phoneticPr fontId="3" type="noConversion"/>
  </si>
  <si>
    <t>síng</t>
    <phoneticPr fontId="3" type="noConversion"/>
  </si>
  <si>
    <t>bbân</t>
    <phoneticPr fontId="3" type="noConversion"/>
  </si>
  <si>
    <t>sān</t>
    <phoneticPr fontId="3" type="noConversion"/>
  </si>
  <si>
    <t>zzîm</t>
    <phoneticPr fontId="3" type="noConversion"/>
  </si>
  <si>
    <t>,</t>
    <phoneticPr fontId="3" type="noConversion"/>
  </si>
  <si>
    <t>.</t>
    <phoneticPr fontId="3" type="noConversion"/>
  </si>
  <si>
    <t>注音序</t>
    <phoneticPr fontId="3" type="noConversion"/>
  </si>
  <si>
    <t>零聲母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</si>
</sst>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5">
    <font>
      <sz val="16"/>
      <color theme="1"/>
      <name val="Noto Sans TC Medium"/>
      <family val="2"/>
      <charset val="136"/>
    </font>
    <font>
      <sz val="12"/>
      <color theme="1"/>
      <name val="新細明體"/>
      <family val="2"/>
      <charset val="136"/>
      <scheme val="minor"/>
    </font>
    <font>
      <sz val="16"/>
      <color rgb="FFFF0000"/>
      <name val="Noto Sans TC Medium"/>
      <family val="2"/>
      <charset val="136"/>
    </font>
    <font>
      <sz val="9"/>
      <name val="Noto Sans TC Medium"/>
      <family val="2"/>
      <charset val="136"/>
    </font>
    <font>
      <sz val="24"/>
      <color theme="1"/>
      <name val="Noto Sans TC Medium"/>
      <family val="2"/>
      <charset val="136"/>
    </font>
    <font>
      <sz val="24"/>
      <color theme="1"/>
      <name val="吳守禮細明台語注音"/>
      <family val="1"/>
      <charset val="136"/>
    </font>
    <font>
      <sz val="24"/>
      <color theme="1"/>
      <name val="吳守禮細明台語破音01"/>
      <family val="1"/>
      <charset val="136"/>
    </font>
    <font>
      <sz val="24"/>
      <color theme="1"/>
      <name val="吳守禮細明台語破音02"/>
      <family val="1"/>
      <charset val="136"/>
    </font>
    <font>
      <sz val="24"/>
      <color theme="1"/>
      <name val="吳守禮細明台語破音03"/>
      <family val="1"/>
      <charset val="136"/>
    </font>
    <font>
      <sz val="24"/>
      <color theme="1"/>
      <name val="吳守禮細明台語破音04"/>
      <family val="1"/>
      <charset val="136"/>
    </font>
    <font>
      <sz val="24"/>
      <color theme="1"/>
      <name val="吳守禮細明台語破音05"/>
      <family val="1"/>
      <charset val="136"/>
    </font>
    <font>
      <sz val="24"/>
      <color theme="1"/>
      <name val="吳守禮細明台語破音06"/>
      <family val="1"/>
      <charset val="136"/>
    </font>
    <font>
      <sz val="24"/>
      <color rgb="FFFF0000"/>
      <name val="吳守禮細明台語破音03"/>
      <family val="1"/>
      <charset val="136"/>
    </font>
    <font>
      <sz val="24"/>
      <color rgb="FFFF0000"/>
      <name val="吳守禮細明台語注音"/>
      <family val="1"/>
      <charset val="136"/>
    </font>
    <font>
      <sz val="24"/>
      <color rgb="FFFF0000"/>
      <name val="吳守禮細明台語破音02"/>
      <family val="1"/>
      <charset val="136"/>
    </font>
    <font>
      <sz val="24"/>
      <color rgb="FFFF0000"/>
      <name val="吳守禮細明台語破音01"/>
      <family val="1"/>
      <charset val="136"/>
    </font>
    <font>
      <sz val="24"/>
      <color rgb="FFFF0000"/>
      <name val="吳守禮細明台語破音04"/>
      <family val="1"/>
      <charset val="136"/>
    </font>
    <font>
      <sz val="16"/>
      <color theme="8"/>
      <name val="Noto Sans TC Medium"/>
      <family val="2"/>
      <charset val="136"/>
    </font>
    <font>
      <sz val="24"/>
      <color theme="8"/>
      <name val="吳守禮細明台語注音"/>
      <family val="1"/>
      <charset val="136"/>
    </font>
    <font>
      <sz val="16"/>
      <color rgb="FFFF0000"/>
      <name val="Noto Sans TC Medium"/>
      <family val="2"/>
    </font>
    <font>
      <sz val="16"/>
      <color theme="1"/>
      <name val="Noto Sans TC"/>
      <family val="2"/>
      <charset val="136"/>
    </font>
    <font>
      <sz val="9"/>
      <name val="新細明體"/>
      <family val="2"/>
      <charset val="136"/>
      <scheme val="minor"/>
    </font>
    <font>
      <sz val="10"/>
      <color rgb="FF000000"/>
      <name val="Linux Libertine G"/>
      <family val="2"/>
    </font>
    <font>
      <sz val="16"/>
      <color theme="0" tint="-0.14999847407452621"/>
      <name val="Noto Sans TC Medium"/>
      <family val="2"/>
      <charset val="136"/>
    </font>
    <font>
      <sz val="16"/>
      <color theme="0" tint="-0.14999847407452621"/>
      <name val="Noto Sans TC Medium"/>
      <family val="2"/>
    </font>
    <font>
      <sz val="12"/>
      <color theme="1"/>
      <name val="Noto Sans TC SemiBold"/>
      <family val="2"/>
      <charset val="136"/>
    </font>
    <font>
      <b/>
      <sz val="18"/>
      <color rgb="FF000000"/>
      <name val="Noto Sans"/>
      <family val="2"/>
    </font>
    <font>
      <sz val="18"/>
      <color rgb="FF000000"/>
      <name val="Noto Sans"/>
      <family val="2"/>
    </font>
    <font>
      <sz val="18"/>
      <color rgb="FFFF0000"/>
      <name val="Noto Sans"/>
      <family val="2"/>
    </font>
    <font>
      <sz val="16"/>
      <color theme="1"/>
      <name val="Noto Sans TC SemiBold"/>
      <family val="2"/>
      <charset val="136"/>
    </font>
    <font>
      <b/>
      <sz val="18"/>
      <color rgb="FF000000"/>
      <name val="微軟正黑體"/>
      <family val="2"/>
      <charset val="136"/>
    </font>
    <font>
      <sz val="18"/>
      <color rgb="FF000000"/>
      <name val="霞鶩文楷等寬 TC Medium"/>
      <family val="3"/>
      <charset val="136"/>
    </font>
    <font>
      <sz val="16"/>
      <color theme="3" tint="0.499984740745262"/>
      <name val="Noto Sans TC Medium"/>
      <family val="2"/>
      <charset val="136"/>
    </font>
    <font>
      <sz val="16"/>
      <color theme="1"/>
      <name val="Arial"/>
      <family val="2"/>
    </font>
    <font>
      <sz val="16"/>
      <color theme="1"/>
      <name val="Segoe UI"/>
      <family val="2"/>
      <charset val="1"/>
    </font>
    <font>
      <sz val="16"/>
      <color theme="1"/>
      <name val="Segoe UI"/>
      <family val="2"/>
    </font>
    <font>
      <b/>
      <sz val="12"/>
      <color rgb="FF202122"/>
      <name val="Arial"/>
      <family val="2"/>
    </font>
    <font>
      <sz val="12"/>
      <color rgb="FF202122"/>
      <name val="Arial"/>
      <family val="2"/>
    </font>
    <font>
      <sz val="12"/>
      <color rgb="FF202122"/>
      <name val="Segoe UI"/>
      <family val="2"/>
    </font>
    <font>
      <b/>
      <sz val="18"/>
      <color rgb="FF202122"/>
      <name val="霞鶩文楷等寬 TC Medium"/>
      <family val="3"/>
      <charset val="136"/>
    </font>
    <font>
      <sz val="18"/>
      <color rgb="FF202122"/>
      <name val="Segoe UI"/>
      <family val="2"/>
    </font>
    <font>
      <b/>
      <sz val="12"/>
      <color rgb="FFFF0000"/>
      <name val="Arial"/>
      <family val="2"/>
    </font>
    <font>
      <sz val="18"/>
      <color rgb="FFFF0000"/>
      <name val="Segoe UI"/>
      <family val="2"/>
    </font>
    <font>
      <b/>
      <sz val="20"/>
      <color rgb="FF202122"/>
      <name val="Noto Serif TC Black"/>
      <family val="1"/>
      <charset val="136"/>
    </font>
    <font>
      <sz val="18"/>
      <color theme="1"/>
      <name val="Segoe UI"/>
      <family val="2"/>
    </font>
    <font>
      <sz val="18"/>
      <color theme="1"/>
      <name val="Noto Sans TC Medium"/>
      <family val="2"/>
      <charset val="136"/>
    </font>
    <font>
      <sz val="16"/>
      <color rgb="FFFF0000"/>
      <name val="Segoe UI"/>
      <family val="2"/>
    </font>
    <font>
      <sz val="16"/>
      <color theme="1"/>
      <name val="新細明體"/>
      <family val="2"/>
      <charset val="136"/>
      <scheme val="minor"/>
    </font>
    <font>
      <b/>
      <sz val="11"/>
      <color rgb="FF000000"/>
      <name val="Noto Sans"/>
      <family val="2"/>
    </font>
    <font>
      <b/>
      <sz val="18"/>
      <color rgb="FF000000"/>
      <name val="Segoe UI"/>
      <family val="2"/>
    </font>
    <font>
      <sz val="10"/>
      <color theme="1"/>
      <name val="Segoe UI"/>
      <family val="2"/>
    </font>
    <font>
      <sz val="10"/>
      <color rgb="FFFF0000"/>
      <name val="Segoe UI"/>
      <family val="2"/>
    </font>
    <font>
      <sz val="12"/>
      <color theme="3" tint="0.499984740745262"/>
      <name val="新細明體"/>
      <family val="2"/>
      <charset val="136"/>
      <scheme val="minor"/>
    </font>
    <font>
      <sz val="12"/>
      <color theme="3" tint="0.499984740745262"/>
      <name val="Segoe UI"/>
      <family val="2"/>
    </font>
    <font>
      <sz val="18"/>
      <color rgb="FF000000"/>
      <name val="細明體"/>
      <family val="2"/>
      <charset val="136"/>
    </font>
    <font>
      <sz val="18"/>
      <color rgb="FFFF0000"/>
      <name val="微軟正黑體"/>
      <family val="2"/>
      <charset val="136"/>
    </font>
    <font>
      <b/>
      <sz val="18"/>
      <color rgb="FFC00000"/>
      <name val="Noto Sans"/>
      <family val="2"/>
    </font>
    <font>
      <sz val="18"/>
      <color theme="8"/>
      <name val="Noto Sans"/>
      <family val="2"/>
    </font>
    <font>
      <sz val="18"/>
      <color rgb="FFFF0000"/>
      <name val="細明體"/>
      <family val="2"/>
      <charset val="136"/>
    </font>
    <font>
      <sz val="18"/>
      <color rgb="FFFF0000"/>
      <name val="Microsoft JhengHei"/>
      <family val="2"/>
    </font>
    <font>
      <sz val="18"/>
      <color rgb="FFFF0000"/>
      <name val="Microsoft JhengHei"/>
      <family val="2"/>
      <charset val="136"/>
    </font>
    <font>
      <sz val="18"/>
      <color rgb="FFFF0000"/>
      <name val="Noto Sans TC"/>
      <family val="2"/>
      <charset val="136"/>
    </font>
    <font>
      <sz val="22"/>
      <color theme="1"/>
      <name val="霞鶩文楷 TC Medium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8"/>
      <color rgb="FFFF0000"/>
      <name val="Microsoft JhengHei UI"/>
      <family val="2"/>
    </font>
    <font>
      <sz val="18"/>
      <color rgb="FF000000"/>
      <name val="Noto Sans TC"/>
      <family val="2"/>
      <charset val="136"/>
    </font>
    <font>
      <sz val="18"/>
      <color rgb="FF000000"/>
      <name val="Microsoft JhengHei"/>
      <family val="2"/>
    </font>
    <font>
      <sz val="18"/>
      <color rgb="FFFF0000"/>
      <name val="細明體"/>
      <family val="1"/>
      <charset val="254"/>
    </font>
    <font>
      <sz val="12"/>
      <color theme="1"/>
      <name val="Cambria Math"/>
      <family val="1"/>
      <charset val="254"/>
    </font>
    <font>
      <sz val="16"/>
      <color theme="4"/>
      <name val="Noto Sans TC Medium"/>
      <family val="2"/>
      <charset val="136"/>
    </font>
    <font>
      <sz val="16"/>
      <color theme="4"/>
      <name val="Noto Sans TC Medium"/>
      <family val="2"/>
    </font>
    <font>
      <sz val="16"/>
      <color theme="1"/>
      <name val="Charis SIL"/>
    </font>
    <font>
      <sz val="16"/>
      <color rgb="FFFF0000"/>
      <name val="Charis SIL"/>
    </font>
    <font>
      <sz val="16"/>
      <color theme="3" tint="0.499984740745262"/>
      <name val="Arial"/>
      <family val="2"/>
    </font>
    <font>
      <sz val="16"/>
      <color theme="1"/>
      <name val="Arial"/>
      <family val="2"/>
      <charset val="254"/>
    </font>
    <font>
      <b/>
      <sz val="16"/>
      <color rgb="FFFF0000"/>
      <name val="Noto Sans TC Medium"/>
      <family val="2"/>
      <charset val="136"/>
    </font>
    <font>
      <b/>
      <sz val="16"/>
      <color theme="3" tint="0.499984740745262"/>
      <name val="Noto Sans TC Medium"/>
      <family val="2"/>
      <charset val="136"/>
    </font>
    <font>
      <b/>
      <sz val="16"/>
      <color theme="4"/>
      <name val="Noto Sans TC Medium"/>
      <family val="2"/>
      <charset val="136"/>
    </font>
    <font>
      <b/>
      <sz val="16"/>
      <color theme="4"/>
      <name val="Noto Sans TC Medium"/>
      <family val="2"/>
    </font>
    <font>
      <b/>
      <sz val="16"/>
      <color theme="0" tint="-0.14999847407452621"/>
      <name val="Charis SIL"/>
    </font>
    <font>
      <b/>
      <sz val="18"/>
      <color theme="1"/>
      <name val="Charis SIL"/>
    </font>
    <font>
      <b/>
      <sz val="18"/>
      <color theme="0" tint="-0.14999847407452621"/>
      <name val="Charis SIL"/>
    </font>
    <font>
      <u/>
      <sz val="16"/>
      <color rgb="FFFF0000"/>
      <name val="Noto Sans TC Medium"/>
      <family val="2"/>
      <charset val="136"/>
    </font>
    <font>
      <sz val="24"/>
      <color theme="1"/>
      <name val="Noto Serif TC Black"/>
      <family val="1"/>
      <charset val="136"/>
    </font>
    <font>
      <sz val="16"/>
      <color theme="4"/>
      <name val="Arial"/>
      <family val="2"/>
    </font>
    <font>
      <sz val="18"/>
      <color rgb="FFFF0000"/>
      <name val="Charis SIL"/>
    </font>
    <font>
      <sz val="18"/>
      <color theme="1"/>
      <name val="Charis SemiBold"/>
    </font>
    <font>
      <sz val="24"/>
      <color theme="1"/>
      <name val="Noto Sans TC Medium"/>
      <family val="2"/>
    </font>
    <font>
      <sz val="24"/>
      <color rgb="FFFF0000"/>
      <name val="Noto Sans TC Medium"/>
      <family val="2"/>
      <charset val="136"/>
    </font>
    <font>
      <sz val="24"/>
      <color rgb="FFFF0000"/>
      <name val="Noto Sans TC Medium"/>
      <family val="2"/>
    </font>
    <font>
      <sz val="16"/>
      <color theme="2"/>
      <name val="Noto Sans TC Medium"/>
      <family val="2"/>
      <charset val="136"/>
    </font>
    <font>
      <sz val="24"/>
      <color theme="2"/>
      <name val="Noto Sans TC Medium"/>
      <family val="2"/>
    </font>
    <font>
      <sz val="24"/>
      <color theme="2"/>
      <name val="Noto Sans TC Medium"/>
      <family val="2"/>
      <charset val="136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/>
      <right/>
      <top/>
      <bottom style="medium">
        <color rgb="FFA2A9B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3" tint="0.749961851863155"/>
      </left>
      <right style="thin">
        <color theme="3" tint="0.749961851863155"/>
      </right>
      <top/>
      <bottom style="thin">
        <color theme="3" tint="0.749961851863155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2" tint="-0.249977111117893"/>
      </bottom>
      <diagonal/>
    </border>
  </borders>
  <cellStyleXfs count="5">
    <xf numFmtId="0" fontId="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2" fillId="0" borderId="0"/>
    <xf numFmtId="0" fontId="1" fillId="0" borderId="0">
      <alignment vertical="center"/>
    </xf>
  </cellStyleXfs>
  <cellXfs count="221">
    <xf numFmtId="0" fontId="0" fillId="0" borderId="0" xfId="0">
      <alignment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17" fillId="0" borderId="1" xfId="0" applyFont="1" applyBorder="1">
      <alignment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5" fillId="0" borderId="0" xfId="4" applyFont="1">
      <alignment vertical="center"/>
    </xf>
    <xf numFmtId="0" fontId="1" fillId="0" borderId="0" xfId="4">
      <alignment vertical="center"/>
    </xf>
    <xf numFmtId="0" fontId="26" fillId="3" borderId="4" xfId="4" applyFont="1" applyFill="1" applyBorder="1" applyAlignment="1">
      <alignment horizontal="center" vertical="center" wrapText="1"/>
    </xf>
    <xf numFmtId="0" fontId="26" fillId="3" borderId="0" xfId="4" applyFont="1" applyFill="1" applyAlignment="1">
      <alignment horizontal="center" vertical="center" wrapText="1"/>
    </xf>
    <xf numFmtId="0" fontId="27" fillId="3" borderId="4" xfId="4" applyFont="1" applyFill="1" applyBorder="1" applyAlignment="1">
      <alignment horizontal="center" vertical="center" wrapText="1"/>
    </xf>
    <xf numFmtId="0" fontId="27" fillId="3" borderId="0" xfId="4" applyFont="1" applyFill="1" applyAlignment="1">
      <alignment horizontal="center" vertical="center" wrapText="1"/>
    </xf>
    <xf numFmtId="0" fontId="29" fillId="0" borderId="0" xfId="4" applyFont="1">
      <alignment vertical="center"/>
    </xf>
    <xf numFmtId="0" fontId="27" fillId="3" borderId="4" xfId="4" applyFont="1" applyFill="1" applyBorder="1" applyAlignment="1">
      <alignment horizontal="left" vertical="center" wrapText="1" indent="1"/>
    </xf>
    <xf numFmtId="0" fontId="30" fillId="3" borderId="4" xfId="4" applyFont="1" applyFill="1" applyBorder="1" applyAlignment="1">
      <alignment horizontal="center" vertical="center" wrapText="1"/>
    </xf>
    <xf numFmtId="0" fontId="31" fillId="3" borderId="4" xfId="4" applyFont="1" applyFill="1" applyBorder="1" applyAlignment="1">
      <alignment horizontal="left" vertical="center" wrapText="1" indent="1"/>
    </xf>
    <xf numFmtId="0" fontId="0" fillId="0" borderId="3" xfId="0" applyBorder="1">
      <alignment vertical="center"/>
    </xf>
    <xf numFmtId="0" fontId="0" fillId="0" borderId="9" xfId="0" applyBorder="1">
      <alignment vertical="center"/>
    </xf>
    <xf numFmtId="0" fontId="27" fillId="3" borderId="0" xfId="4" applyFont="1" applyFill="1" applyAlignment="1">
      <alignment horizontal="left" vertical="center" wrapText="1" indent="1"/>
    </xf>
    <xf numFmtId="0" fontId="28" fillId="5" borderId="4" xfId="4" applyFont="1" applyFill="1" applyBorder="1" applyAlignment="1">
      <alignment horizontal="left" vertical="center" wrapText="1" indent="1"/>
    </xf>
    <xf numFmtId="0" fontId="36" fillId="8" borderId="11" xfId="0" applyFont="1" applyFill="1" applyBorder="1" applyAlignment="1">
      <alignment horizontal="center" vertical="center" wrapText="1"/>
    </xf>
    <xf numFmtId="0" fontId="38" fillId="7" borderId="11" xfId="0" applyFont="1" applyFill="1" applyBorder="1" applyAlignment="1">
      <alignment vertical="center" wrapText="1"/>
    </xf>
    <xf numFmtId="0" fontId="37" fillId="7" borderId="11" xfId="0" applyFont="1" applyFill="1" applyBorder="1" applyAlignment="1">
      <alignment vertical="center" wrapText="1"/>
    </xf>
    <xf numFmtId="0" fontId="36" fillId="8" borderId="11" xfId="0" applyFont="1" applyFill="1" applyBorder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  <xf numFmtId="0" fontId="37" fillId="0" borderId="0" xfId="0" applyFont="1" applyAlignment="1">
      <alignment vertical="center" wrapText="1"/>
    </xf>
    <xf numFmtId="0" fontId="39" fillId="0" borderId="0" xfId="0" applyFont="1" applyAlignment="1">
      <alignment vertical="center" wrapText="1"/>
    </xf>
    <xf numFmtId="0" fontId="40" fillId="7" borderId="11" xfId="0" applyFont="1" applyFill="1" applyBorder="1" applyAlignment="1">
      <alignment vertical="center" wrapText="1"/>
    </xf>
    <xf numFmtId="0" fontId="33" fillId="0" borderId="0" xfId="0" applyFont="1">
      <alignment vertical="center"/>
    </xf>
    <xf numFmtId="0" fontId="2" fillId="0" borderId="0" xfId="0" applyFont="1">
      <alignment vertical="center"/>
    </xf>
    <xf numFmtId="0" fontId="41" fillId="8" borderId="11" xfId="0" applyFont="1" applyFill="1" applyBorder="1" applyAlignment="1">
      <alignment horizontal="left" vertical="center" wrapText="1"/>
    </xf>
    <xf numFmtId="0" fontId="42" fillId="7" borderId="11" xfId="0" applyFont="1" applyFill="1" applyBorder="1" applyAlignment="1">
      <alignment vertical="center" wrapText="1"/>
    </xf>
    <xf numFmtId="0" fontId="40" fillId="4" borderId="11" xfId="0" applyFont="1" applyFill="1" applyBorder="1" applyAlignment="1">
      <alignment vertical="center" wrapText="1"/>
    </xf>
    <xf numFmtId="0" fontId="43" fillId="8" borderId="1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45" fillId="6" borderId="1" xfId="0" quotePrefix="1" applyFont="1" applyFill="1" applyBorder="1" applyAlignment="1">
      <alignment horizontal="center" vertical="center"/>
    </xf>
    <xf numFmtId="0" fontId="45" fillId="6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10" borderId="1" xfId="0" applyFill="1" applyBorder="1" applyAlignment="1">
      <alignment horizontal="left" vertical="center" indent="2"/>
    </xf>
    <xf numFmtId="0" fontId="35" fillId="0" borderId="0" xfId="4" applyFont="1">
      <alignment vertical="center"/>
    </xf>
    <xf numFmtId="0" fontId="47" fillId="0" borderId="0" xfId="4" applyFont="1">
      <alignment vertical="center"/>
    </xf>
    <xf numFmtId="0" fontId="1" fillId="0" borderId="0" xfId="4" applyAlignment="1">
      <alignment horizontal="center" vertical="center"/>
    </xf>
    <xf numFmtId="0" fontId="35" fillId="0" borderId="0" xfId="4" applyFont="1" applyAlignment="1">
      <alignment horizontal="center" vertical="center"/>
    </xf>
    <xf numFmtId="0" fontId="47" fillId="0" borderId="0" xfId="4" applyFont="1" applyAlignment="1">
      <alignment horizontal="left" vertical="center"/>
    </xf>
    <xf numFmtId="0" fontId="46" fillId="0" borderId="0" xfId="4" applyFont="1" applyAlignment="1">
      <alignment horizontal="center" vertical="center"/>
    </xf>
    <xf numFmtId="0" fontId="48" fillId="3" borderId="4" xfId="4" applyFont="1" applyFill="1" applyBorder="1" applyAlignment="1">
      <alignment horizontal="center" vertical="center" wrapText="1"/>
    </xf>
    <xf numFmtId="0" fontId="49" fillId="3" borderId="4" xfId="4" applyFont="1" applyFill="1" applyBorder="1" applyAlignment="1">
      <alignment horizontal="center" vertical="center" wrapText="1"/>
    </xf>
    <xf numFmtId="0" fontId="44" fillId="0" borderId="0" xfId="4" applyFont="1">
      <alignment vertical="center"/>
    </xf>
    <xf numFmtId="0" fontId="50" fillId="0" borderId="0" xfId="4" applyFont="1">
      <alignment vertical="center"/>
    </xf>
    <xf numFmtId="0" fontId="51" fillId="0" borderId="0" xfId="4" applyFont="1" applyAlignment="1">
      <alignment horizontal="center" vertical="center"/>
    </xf>
    <xf numFmtId="0" fontId="44" fillId="0" borderId="0" xfId="4" applyFont="1" applyAlignment="1">
      <alignment horizontal="center" vertical="center"/>
    </xf>
    <xf numFmtId="0" fontId="52" fillId="0" borderId="0" xfId="4" applyFont="1">
      <alignment vertical="center"/>
    </xf>
    <xf numFmtId="0" fontId="53" fillId="0" borderId="0" xfId="4" applyFont="1" applyAlignment="1">
      <alignment horizontal="center" vertical="center"/>
    </xf>
    <xf numFmtId="0" fontId="54" fillId="3" borderId="4" xfId="4" applyFont="1" applyFill="1" applyBorder="1" applyAlignment="1">
      <alignment horizontal="left" vertical="center" wrapText="1" indent="1"/>
    </xf>
    <xf numFmtId="0" fontId="0" fillId="9" borderId="0" xfId="0" applyFill="1">
      <alignment vertical="center"/>
    </xf>
    <xf numFmtId="0" fontId="56" fillId="9" borderId="4" xfId="4" applyFont="1" applyFill="1" applyBorder="1" applyAlignment="1">
      <alignment horizontal="left" vertical="center" wrapText="1" indent="1"/>
    </xf>
    <xf numFmtId="0" fontId="30" fillId="9" borderId="4" xfId="4" applyFont="1" applyFill="1" applyBorder="1" applyAlignment="1">
      <alignment horizontal="center" vertical="center" wrapText="1"/>
    </xf>
    <xf numFmtId="0" fontId="57" fillId="9" borderId="4" xfId="4" applyFont="1" applyFill="1" applyBorder="1" applyAlignment="1">
      <alignment horizontal="left" vertical="center" wrapText="1" indent="1"/>
    </xf>
    <xf numFmtId="0" fontId="35" fillId="0" borderId="0" xfId="4" applyFont="1" applyAlignment="1">
      <alignment horizontal="left" vertical="center"/>
    </xf>
    <xf numFmtId="0" fontId="59" fillId="5" borderId="4" xfId="4" applyFont="1" applyFill="1" applyBorder="1" applyAlignment="1">
      <alignment horizontal="left" vertical="center" wrapText="1" indent="1"/>
    </xf>
    <xf numFmtId="0" fontId="58" fillId="5" borderId="4" xfId="4" applyFont="1" applyFill="1" applyBorder="1" applyAlignment="1">
      <alignment horizontal="left" vertical="center" wrapText="1" indent="1"/>
    </xf>
    <xf numFmtId="0" fontId="55" fillId="5" borderId="4" xfId="4" applyFont="1" applyFill="1" applyBorder="1" applyAlignment="1">
      <alignment horizontal="center" vertical="center" wrapText="1"/>
    </xf>
    <xf numFmtId="0" fontId="61" fillId="5" borderId="4" xfId="4" applyFont="1" applyFill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/>
    </xf>
    <xf numFmtId="0" fontId="0" fillId="9" borderId="1" xfId="0" applyFill="1" applyBorder="1">
      <alignment vertical="center"/>
    </xf>
    <xf numFmtId="0" fontId="23" fillId="9" borderId="1" xfId="0" applyFont="1" applyFill="1" applyBorder="1">
      <alignment vertical="center"/>
    </xf>
    <xf numFmtId="0" fontId="0" fillId="10" borderId="1" xfId="0" applyFill="1" applyBorder="1">
      <alignment vertical="center"/>
    </xf>
    <xf numFmtId="0" fontId="24" fillId="10" borderId="1" xfId="0" applyFont="1" applyFill="1" applyBorder="1">
      <alignment vertical="center"/>
    </xf>
    <xf numFmtId="0" fontId="23" fillId="10" borderId="1" xfId="0" applyFont="1" applyFill="1" applyBorder="1" applyAlignment="1">
      <alignment horizontal="left" vertical="center" indent="2"/>
    </xf>
    <xf numFmtId="0" fontId="62" fillId="2" borderId="1" xfId="0" applyFont="1" applyFill="1" applyBorder="1" applyAlignment="1">
      <alignment horizontal="center" vertical="center"/>
    </xf>
    <xf numFmtId="0" fontId="62" fillId="0" borderId="1" xfId="0" applyFont="1" applyBorder="1" applyAlignment="1">
      <alignment horizontal="left" vertical="center" indent="3"/>
    </xf>
    <xf numFmtId="0" fontId="17" fillId="9" borderId="1" xfId="0" applyFont="1" applyFill="1" applyBorder="1">
      <alignment vertical="center"/>
    </xf>
    <xf numFmtId="0" fontId="0" fillId="11" borderId="1" xfId="0" applyFill="1" applyBorder="1">
      <alignment vertical="center"/>
    </xf>
    <xf numFmtId="0" fontId="0" fillId="11" borderId="9" xfId="0" applyFill="1" applyBorder="1">
      <alignment vertical="center"/>
    </xf>
    <xf numFmtId="0" fontId="0" fillId="11" borderId="13" xfId="0" applyFill="1" applyBorder="1">
      <alignment vertical="center"/>
    </xf>
    <xf numFmtId="0" fontId="0" fillId="11" borderId="6" xfId="0" applyFill="1" applyBorder="1">
      <alignment vertical="center"/>
    </xf>
    <xf numFmtId="0" fontId="44" fillId="0" borderId="0" xfId="0" applyFont="1" applyAlignment="1">
      <alignment horizontal="center" vertical="center"/>
    </xf>
    <xf numFmtId="0" fontId="0" fillId="0" borderId="14" xfId="0" applyBorder="1">
      <alignment vertical="center"/>
    </xf>
    <xf numFmtId="0" fontId="0" fillId="0" borderId="14" xfId="0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6" xfId="0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2" fillId="9" borderId="15" xfId="0" applyFont="1" applyFill="1" applyBorder="1" applyAlignment="1">
      <alignment horizontal="center" vertical="center"/>
    </xf>
    <xf numFmtId="0" fontId="2" fillId="0" borderId="14" xfId="0" applyFont="1" applyBorder="1">
      <alignment vertical="center"/>
    </xf>
    <xf numFmtId="0" fontId="32" fillId="9" borderId="15" xfId="0" quotePrefix="1" applyFont="1" applyFill="1" applyBorder="1" applyAlignment="1">
      <alignment horizontal="center" vertical="center"/>
    </xf>
    <xf numFmtId="0" fontId="30" fillId="3" borderId="17" xfId="4" applyFont="1" applyFill="1" applyBorder="1" applyAlignment="1">
      <alignment horizontal="center" vertical="center" wrapText="1"/>
    </xf>
    <xf numFmtId="0" fontId="27" fillId="3" borderId="17" xfId="4" applyFont="1" applyFill="1" applyBorder="1" applyAlignment="1">
      <alignment horizontal="left" vertical="center" wrapText="1" indent="1"/>
    </xf>
    <xf numFmtId="0" fontId="66" fillId="5" borderId="4" xfId="4" applyFont="1" applyFill="1" applyBorder="1" applyAlignment="1">
      <alignment horizontal="left" vertical="center" wrapText="1" indent="1"/>
    </xf>
    <xf numFmtId="0" fontId="55" fillId="5" borderId="4" xfId="4" applyFont="1" applyFill="1" applyBorder="1" applyAlignment="1">
      <alignment horizontal="left" vertical="center" wrapText="1" indent="1"/>
    </xf>
    <xf numFmtId="0" fontId="67" fillId="3" borderId="4" xfId="4" applyFont="1" applyFill="1" applyBorder="1" applyAlignment="1">
      <alignment horizontal="left" vertical="center" wrapText="1" indent="1"/>
    </xf>
    <xf numFmtId="0" fontId="28" fillId="12" borderId="4" xfId="4" applyFont="1" applyFill="1" applyBorder="1" applyAlignment="1">
      <alignment horizontal="left" vertical="center" wrapText="1" indent="1"/>
    </xf>
    <xf numFmtId="0" fontId="69" fillId="5" borderId="4" xfId="4" applyFont="1" applyFill="1" applyBorder="1" applyAlignment="1">
      <alignment horizontal="left" vertical="center" wrapText="1" indent="1"/>
    </xf>
    <xf numFmtId="0" fontId="70" fillId="0" borderId="0" xfId="4" applyFont="1">
      <alignment vertical="center"/>
    </xf>
    <xf numFmtId="0" fontId="17" fillId="0" borderId="3" xfId="0" applyFont="1" applyBorder="1">
      <alignment vertical="center"/>
    </xf>
    <xf numFmtId="0" fontId="0" fillId="11" borderId="2" xfId="0" applyFill="1" applyBorder="1">
      <alignment vertical="center"/>
    </xf>
    <xf numFmtId="0" fontId="0" fillId="11" borderId="10" xfId="0" applyFill="1" applyBorder="1">
      <alignment vertical="center"/>
    </xf>
    <xf numFmtId="0" fontId="0" fillId="11" borderId="18" xfId="0" applyFill="1" applyBorder="1">
      <alignment vertical="center"/>
    </xf>
    <xf numFmtId="0" fontId="0" fillId="11" borderId="7" xfId="0" applyFill="1" applyBorder="1">
      <alignment vertical="center"/>
    </xf>
    <xf numFmtId="0" fontId="71" fillId="2" borderId="3" xfId="0" applyFont="1" applyFill="1" applyBorder="1" applyAlignment="1">
      <alignment horizontal="center" vertical="center"/>
    </xf>
    <xf numFmtId="0" fontId="72" fillId="2" borderId="1" xfId="0" applyFont="1" applyFill="1" applyBorder="1" applyAlignment="1">
      <alignment horizontal="center" vertical="center"/>
    </xf>
    <xf numFmtId="0" fontId="72" fillId="2" borderId="13" xfId="0" applyFont="1" applyFill="1" applyBorder="1">
      <alignment vertical="center"/>
    </xf>
    <xf numFmtId="0" fontId="72" fillId="2" borderId="18" xfId="0" applyFont="1" applyFill="1" applyBorder="1">
      <alignment vertical="center"/>
    </xf>
    <xf numFmtId="0" fontId="73" fillId="0" borderId="0" xfId="0" applyFont="1">
      <alignment vertical="center"/>
    </xf>
    <xf numFmtId="0" fontId="73" fillId="0" borderId="0" xfId="0" applyFont="1" applyAlignment="1">
      <alignment horizontal="center" vertical="center"/>
    </xf>
    <xf numFmtId="0" fontId="73" fillId="9" borderId="0" xfId="0" applyFont="1" applyFill="1">
      <alignment vertical="center"/>
    </xf>
    <xf numFmtId="0" fontId="0" fillId="0" borderId="0" xfId="0" applyAlignment="1">
      <alignment horizontal="left" vertical="center" indent="1"/>
    </xf>
    <xf numFmtId="0" fontId="74" fillId="0" borderId="0" xfId="0" applyFont="1">
      <alignment vertical="center"/>
    </xf>
    <xf numFmtId="0" fontId="75" fillId="0" borderId="0" xfId="0" applyFont="1">
      <alignment vertical="center"/>
    </xf>
    <xf numFmtId="0" fontId="73" fillId="5" borderId="0" xfId="0" applyFont="1" applyFill="1">
      <alignment vertical="center"/>
    </xf>
    <xf numFmtId="0" fontId="2" fillId="0" borderId="0" xfId="0" applyFont="1" applyAlignment="1">
      <alignment horizontal="left" vertical="center" indent="1"/>
    </xf>
    <xf numFmtId="0" fontId="77" fillId="5" borderId="0" xfId="0" applyFont="1" applyFill="1" applyAlignment="1">
      <alignment horizontal="center" vertical="center"/>
    </xf>
    <xf numFmtId="0" fontId="77" fillId="5" borderId="0" xfId="0" applyFont="1" applyFill="1" applyAlignment="1">
      <alignment horizontal="left" vertical="center" indent="1"/>
    </xf>
    <xf numFmtId="0" fontId="78" fillId="2" borderId="10" xfId="0" applyFont="1" applyFill="1" applyBorder="1">
      <alignment vertical="center"/>
    </xf>
    <xf numFmtId="0" fontId="78" fillId="2" borderId="9" xfId="0" applyFont="1" applyFill="1" applyBorder="1">
      <alignment vertical="center"/>
    </xf>
    <xf numFmtId="0" fontId="0" fillId="13" borderId="10" xfId="0" applyFill="1" applyBorder="1">
      <alignment vertical="center"/>
    </xf>
    <xf numFmtId="0" fontId="5" fillId="13" borderId="10" xfId="0" applyFont="1" applyFill="1" applyBorder="1" applyAlignment="1">
      <alignment horizontal="center" vertical="center"/>
    </xf>
    <xf numFmtId="0" fontId="44" fillId="13" borderId="10" xfId="0" applyFont="1" applyFill="1" applyBorder="1">
      <alignment vertical="center"/>
    </xf>
    <xf numFmtId="0" fontId="2" fillId="13" borderId="10" xfId="0" applyFont="1" applyFill="1" applyBorder="1">
      <alignment vertical="center"/>
    </xf>
    <xf numFmtId="0" fontId="35" fillId="13" borderId="10" xfId="0" applyFont="1" applyFill="1" applyBorder="1">
      <alignment vertical="center"/>
    </xf>
    <xf numFmtId="0" fontId="0" fillId="13" borderId="9" xfId="0" applyFill="1" applyBorder="1">
      <alignment vertical="center"/>
    </xf>
    <xf numFmtId="0" fontId="0" fillId="0" borderId="10" xfId="0" applyBorder="1">
      <alignment vertical="center"/>
    </xf>
    <xf numFmtId="0" fontId="5" fillId="0" borderId="10" xfId="0" applyFont="1" applyBorder="1" applyAlignment="1">
      <alignment horizontal="center" vertical="center"/>
    </xf>
    <xf numFmtId="0" fontId="44" fillId="0" borderId="10" xfId="0" applyFont="1" applyBorder="1">
      <alignment vertical="center"/>
    </xf>
    <xf numFmtId="0" fontId="2" fillId="0" borderId="10" xfId="0" applyFont="1" applyBorder="1">
      <alignment vertical="center"/>
    </xf>
    <xf numFmtId="0" fontId="35" fillId="0" borderId="10" xfId="0" applyFont="1" applyBorder="1">
      <alignment vertical="center"/>
    </xf>
    <xf numFmtId="0" fontId="6" fillId="0" borderId="10" xfId="0" applyFont="1" applyBorder="1" applyAlignment="1">
      <alignment horizontal="center" vertical="center"/>
    </xf>
    <xf numFmtId="0" fontId="35" fillId="4" borderId="10" xfId="0" applyFont="1" applyFill="1" applyBorder="1">
      <alignment vertical="center"/>
    </xf>
    <xf numFmtId="0" fontId="6" fillId="13" borderId="10" xfId="0" applyFont="1" applyFill="1" applyBorder="1" applyAlignment="1">
      <alignment horizontal="center" vertical="center"/>
    </xf>
    <xf numFmtId="0" fontId="46" fillId="0" borderId="10" xfId="0" applyFont="1" applyBorder="1">
      <alignment vertical="center"/>
    </xf>
    <xf numFmtId="0" fontId="46" fillId="13" borderId="10" xfId="0" applyFont="1" applyFill="1" applyBorder="1">
      <alignment vertical="center"/>
    </xf>
    <xf numFmtId="0" fontId="7" fillId="0" borderId="10" xfId="0" applyFont="1" applyBorder="1" applyAlignment="1">
      <alignment horizontal="center" vertical="center"/>
    </xf>
    <xf numFmtId="0" fontId="7" fillId="13" borderId="10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13" borderId="10" xfId="0" applyFont="1" applyFill="1" applyBorder="1" applyAlignment="1">
      <alignment horizontal="center" vertical="center"/>
    </xf>
    <xf numFmtId="0" fontId="12" fillId="13" borderId="10" xfId="0" applyFont="1" applyFill="1" applyBorder="1" applyAlignment="1">
      <alignment horizontal="center" vertical="center"/>
    </xf>
    <xf numFmtId="0" fontId="8" fillId="13" borderId="10" xfId="0" applyFont="1" applyFill="1" applyBorder="1" applyAlignment="1">
      <alignment horizontal="center" vertical="center"/>
    </xf>
    <xf numFmtId="0" fontId="9" fillId="13" borderId="10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1" fillId="13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13" borderId="10" xfId="0" applyFont="1" applyFill="1" applyBorder="1" applyAlignment="1">
      <alignment horizontal="center" vertical="center"/>
    </xf>
    <xf numFmtId="0" fontId="15" fillId="13" borderId="10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4" fillId="13" borderId="10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1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4" fillId="0" borderId="2" xfId="0" applyFont="1" applyBorder="1">
      <alignment vertical="center"/>
    </xf>
    <xf numFmtId="0" fontId="2" fillId="0" borderId="2" xfId="0" applyFont="1" applyBorder="1">
      <alignment vertical="center"/>
    </xf>
    <xf numFmtId="0" fontId="35" fillId="0" borderId="2" xfId="0" applyFont="1" applyBorder="1">
      <alignment vertical="center"/>
    </xf>
    <xf numFmtId="0" fontId="82" fillId="9" borderId="1" xfId="0" applyFont="1" applyFill="1" applyBorder="1" applyAlignment="1">
      <alignment horizontal="center" vertical="center"/>
    </xf>
    <xf numFmtId="0" fontId="82" fillId="10" borderId="1" xfId="0" applyFont="1" applyFill="1" applyBorder="1" applyAlignment="1">
      <alignment horizontal="left" vertical="center" indent="2"/>
    </xf>
    <xf numFmtId="0" fontId="84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0" fillId="10" borderId="2" xfId="0" applyFill="1" applyBorder="1" applyAlignment="1">
      <alignment horizontal="left" vertical="center" indent="4"/>
    </xf>
    <xf numFmtId="0" fontId="23" fillId="0" borderId="8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45" fillId="6" borderId="9" xfId="0" quotePrefix="1" applyFont="1" applyFill="1" applyBorder="1" applyAlignment="1">
      <alignment horizontal="center" vertical="center"/>
    </xf>
    <xf numFmtId="0" fontId="23" fillId="9" borderId="9" xfId="0" applyFont="1" applyFill="1" applyBorder="1">
      <alignment vertical="center"/>
    </xf>
    <xf numFmtId="0" fontId="81" fillId="9" borderId="9" xfId="0" applyFont="1" applyFill="1" applyBorder="1" applyAlignment="1">
      <alignment horizontal="center" vertical="center"/>
    </xf>
    <xf numFmtId="0" fontId="24" fillId="10" borderId="9" xfId="0" applyFont="1" applyFill="1" applyBorder="1">
      <alignment vertical="center"/>
    </xf>
    <xf numFmtId="0" fontId="83" fillId="10" borderId="9" xfId="0" applyFont="1" applyFill="1" applyBorder="1" applyAlignment="1">
      <alignment horizontal="left" vertical="center" indent="2"/>
    </xf>
    <xf numFmtId="0" fontId="23" fillId="10" borderId="10" xfId="0" applyFont="1" applyFill="1" applyBorder="1" applyAlignment="1">
      <alignment horizontal="left" vertical="center" indent="4"/>
    </xf>
    <xf numFmtId="0" fontId="0" fillId="14" borderId="5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79" fillId="10" borderId="0" xfId="0" applyFont="1" applyFill="1" applyAlignment="1">
      <alignment horizontal="center" vertical="center"/>
    </xf>
    <xf numFmtId="0" fontId="80" fillId="10" borderId="0" xfId="0" applyFont="1" applyFill="1" applyAlignment="1">
      <alignment horizontal="center" vertical="center"/>
    </xf>
    <xf numFmtId="0" fontId="72" fillId="10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9" fillId="15" borderId="1" xfId="0" applyFont="1" applyFill="1" applyBorder="1" applyAlignment="1">
      <alignment horizontal="distributed" vertical="center"/>
    </xf>
    <xf numFmtId="0" fontId="80" fillId="15" borderId="1" xfId="0" applyFont="1" applyFill="1" applyBorder="1" applyAlignment="1">
      <alignment horizontal="distributed" vertical="center"/>
    </xf>
    <xf numFmtId="0" fontId="86" fillId="15" borderId="1" xfId="0" applyFont="1" applyFill="1" applyBorder="1" applyAlignment="1">
      <alignment horizontal="center" vertical="center"/>
    </xf>
    <xf numFmtId="0" fontId="71" fillId="15" borderId="1" xfId="0" applyFont="1" applyFill="1" applyBorder="1" applyAlignment="1">
      <alignment horizontal="distributed" vertical="center"/>
    </xf>
    <xf numFmtId="0" fontId="85" fillId="9" borderId="1" xfId="0" applyFont="1" applyFill="1" applyBorder="1" applyAlignment="1">
      <alignment horizontal="center" vertical="center"/>
    </xf>
    <xf numFmtId="0" fontId="87" fillId="9" borderId="1" xfId="0" applyFont="1" applyFill="1" applyBorder="1">
      <alignment vertical="center"/>
    </xf>
    <xf numFmtId="0" fontId="88" fillId="9" borderId="1" xfId="0" applyFont="1" applyFill="1" applyBorder="1">
      <alignment vertical="center"/>
    </xf>
    <xf numFmtId="0" fontId="88" fillId="16" borderId="1" xfId="0" applyFont="1" applyFill="1" applyBorder="1">
      <alignment vertical="center"/>
    </xf>
    <xf numFmtId="0" fontId="0" fillId="7" borderId="12" xfId="0" applyFill="1" applyBorder="1" applyAlignment="1">
      <alignment horizontal="center" vertical="center"/>
    </xf>
    <xf numFmtId="0" fontId="0" fillId="0" borderId="12" xfId="0" applyBorder="1">
      <alignment vertical="center"/>
    </xf>
    <xf numFmtId="0" fontId="17" fillId="0" borderId="8" xfId="0" applyFont="1" applyBorder="1">
      <alignment vertical="center"/>
    </xf>
    <xf numFmtId="0" fontId="17" fillId="0" borderId="9" xfId="0" applyFont="1" applyBorder="1">
      <alignment vertical="center"/>
    </xf>
    <xf numFmtId="0" fontId="19" fillId="0" borderId="9" xfId="0" applyFont="1" applyBorder="1">
      <alignment vertical="center"/>
    </xf>
    <xf numFmtId="0" fontId="17" fillId="9" borderId="9" xfId="0" applyFont="1" applyFill="1" applyBorder="1">
      <alignment vertical="center"/>
    </xf>
    <xf numFmtId="0" fontId="18" fillId="0" borderId="9" xfId="0" applyFont="1" applyBorder="1" applyAlignment="1">
      <alignment horizontal="center" vertical="center"/>
    </xf>
    <xf numFmtId="0" fontId="17" fillId="0" borderId="19" xfId="0" applyFont="1" applyBorder="1">
      <alignment vertical="center"/>
    </xf>
    <xf numFmtId="0" fontId="17" fillId="9" borderId="19" xfId="0" applyFont="1" applyFill="1" applyBorder="1">
      <alignment vertical="center"/>
    </xf>
    <xf numFmtId="0" fontId="19" fillId="0" borderId="19" xfId="0" applyFont="1" applyBorder="1">
      <alignment vertical="center"/>
    </xf>
    <xf numFmtId="0" fontId="17" fillId="0" borderId="20" xfId="0" applyFont="1" applyBorder="1">
      <alignment vertical="center"/>
    </xf>
    <xf numFmtId="0" fontId="18" fillId="0" borderId="19" xfId="0" applyFont="1" applyBorder="1" applyAlignment="1">
      <alignment horizontal="center" vertical="center"/>
    </xf>
    <xf numFmtId="0" fontId="89" fillId="0" borderId="1" xfId="0" applyFont="1" applyBorder="1" applyAlignment="1">
      <alignment horizontal="left" vertical="center" indent="2"/>
    </xf>
    <xf numFmtId="0" fontId="90" fillId="0" borderId="1" xfId="0" applyFont="1" applyBorder="1" applyAlignment="1">
      <alignment horizontal="left" vertical="center" indent="2"/>
    </xf>
    <xf numFmtId="0" fontId="90" fillId="0" borderId="9" xfId="0" applyFont="1" applyBorder="1" applyAlignment="1">
      <alignment horizontal="left" vertical="center" indent="2"/>
    </xf>
    <xf numFmtId="0" fontId="90" fillId="0" borderId="19" xfId="0" applyFont="1" applyBorder="1" applyAlignment="1">
      <alignment horizontal="left" vertical="center" indent="2"/>
    </xf>
    <xf numFmtId="0" fontId="91" fillId="0" borderId="1" xfId="0" applyFont="1" applyBorder="1" applyAlignment="1">
      <alignment horizontal="left" vertical="center" indent="2"/>
    </xf>
    <xf numFmtId="0" fontId="90" fillId="5" borderId="19" xfId="0" applyFont="1" applyFill="1" applyBorder="1" applyAlignment="1">
      <alignment horizontal="left" vertical="center" indent="2"/>
    </xf>
    <xf numFmtId="0" fontId="92" fillId="0" borderId="1" xfId="0" applyFont="1" applyBorder="1">
      <alignment vertical="center"/>
    </xf>
    <xf numFmtId="0" fontId="92" fillId="9" borderId="1" xfId="0" applyFont="1" applyFill="1" applyBorder="1">
      <alignment vertical="center"/>
    </xf>
    <xf numFmtId="0" fontId="93" fillId="0" borderId="1" xfId="0" applyFont="1" applyBorder="1" applyAlignment="1">
      <alignment horizontal="left" vertical="center" indent="2"/>
    </xf>
    <xf numFmtId="0" fontId="94" fillId="0" borderId="1" xfId="0" applyFont="1" applyBorder="1" applyAlignment="1">
      <alignment horizontal="left" vertical="center" indent="2"/>
    </xf>
  </cellXfs>
  <cellStyles count="5">
    <cellStyle name="一般" xfId="0" builtinId="0"/>
    <cellStyle name="一般 2" xfId="3" xr:uid="{A038E3EC-A179-46A7-BFF6-73E593261D7C}"/>
    <cellStyle name="一般 3" xfId="1" xr:uid="{0D0E4F11-2A76-4046-877C-929132571B97}"/>
    <cellStyle name="一般 4" xfId="4" xr:uid="{E932D2E5-AF16-4FFA-AB0C-5F7E179E4D03}"/>
    <cellStyle name="一般 5" xfId="2" xr:uid="{8C9CBB70-72B8-491C-A1A5-535BA1FE1D69}"/>
  </cellStyles>
  <dxfs count="56"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3" tint="0.89999084444715716"/>
        </patternFill>
      </fill>
      <alignment horizontal="left" vertical="center" textRotation="0" wrapText="0" indent="4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haris SIL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haris SIL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Noto Sans TC Medium"/>
        <family val="2"/>
        <charset val="136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微軟正黑體"/>
        <family val="2"/>
        <charset val="136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微軟正黑體"/>
        <family val="2"/>
        <charset val="136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8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border outline="0">
        <left style="medium">
          <color rgb="FFDEE2E6"/>
        </left>
        <right style="medium">
          <color rgb="FFDEE2E6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微軟正黑體"/>
        <family val="2"/>
        <charset val="136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/>
        <name val="吳守禮細明台語注音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/>
        <name val="吳守禮細明台語注音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4"/>
        <name val="Noto Sans TC Medium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527B81-BE0C-4989-8113-79F20236AB33}" name="聲母對照表" displayName="聲母對照表" ref="A1:P23" totalsRowShown="0" headerRowDxfId="55" tableBorderDxfId="54">
  <autoFilter ref="A1:P23" xr:uid="{50527B81-BE0C-4989-8113-79F20236AB33}"/>
  <sortState xmlns:xlrd2="http://schemas.microsoft.com/office/spreadsheetml/2017/richdata2" ref="A2:P23">
    <sortCondition ref="A8:A23"/>
  </sortState>
  <tableColumns count="16">
    <tableColumn id="1" xr3:uid="{0496578E-8EFF-4E56-9F02-D6EFB72645B8}" name="識別號" dataDxfId="53"/>
    <tableColumn id="2" xr3:uid="{78D5AE39-C891-435E-8D14-C962F474118F}" name="序號" dataDxfId="52"/>
    <tableColumn id="3" xr3:uid="{1335DAED-BD1E-4CE0-98A0-285C07AE05B4}" name="國際音標" dataDxfId="51"/>
    <tableColumn id="4" xr3:uid="{F9A38440-D11D-45B8-BE95-B6BB0AAAF1E3}" name="台羅拼音" dataDxfId="50"/>
    <tableColumn id="5" xr3:uid="{AF657621-3918-4D23-BBFD-13EBF0B27858}" name="台語音標" dataDxfId="49"/>
    <tableColumn id="6" xr3:uid="{C16CB252-C9A4-4CB2-8FDD-82813173CF4D}" name="注音二式" dataDxfId="48"/>
    <tableColumn id="7" xr3:uid="{0D7F03C3-8C58-42B2-B097-C3B2A5C37034}" name="閩拼方案" dataDxfId="47"/>
    <tableColumn id="8" xr3:uid="{9540CBC9-4FE3-4DE8-90B0-B77F1C52414A}" name="白話字" dataDxfId="46"/>
    <tableColumn id="9" xr3:uid="{D9050C95-564C-4861-B1AE-AA03A7C3DE41}" name="方音符號" dataDxfId="45"/>
    <tableColumn id="10" xr3:uid="{05251E82-C5E0-4833-BDD6-FE5DF5B1D381}" name="台語注音" dataDxfId="44"/>
    <tableColumn id="11" xr3:uid="{315B1262-49A6-4891-8C01-10EC91043A3B}" name="十五音" dataDxfId="43"/>
    <tableColumn id="12" xr3:uid="{DEEC4CA6-6FC2-4991-B54A-56DAB27197B0}" name="漢字例" dataDxfId="42"/>
    <tableColumn id="13" xr3:uid="{C6123364-B523-47FE-9684-7560414EF39F}" name="備註" dataDxfId="41"/>
    <tableColumn id="14" xr3:uid="{6018D2E9-8064-40AC-887E-308DB4B54742}" name="s1" dataDxfId="40"/>
    <tableColumn id="15" xr3:uid="{C1ACEDB0-215C-486F-8C7A-D83ECFA591EB}" name="s2" dataDxfId="39"/>
    <tableColumn id="16" xr3:uid="{E9B4DE26-B82C-4445-854F-C1B5EF3E2F79}" name="s3" data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0E26AF-4D3B-4E1A-8080-AAAFDBD9F514}" name="韻母對照表" displayName="韻母對照表" ref="A3:N89" totalsRowShown="0" headerRowDxfId="37" tableBorderDxfId="36" headerRowCellStyle="一般 4">
  <autoFilter ref="A3:N89" xr:uid="{C40E26AF-4D3B-4E1A-8080-AAAFDBD9F514}"/>
  <tableColumns count="14">
    <tableColumn id="1" xr3:uid="{67434336-EDB9-486F-A543-044F4F8ED438}" name="序號" dataDxfId="35" dataCellStyle="一般 4">
      <calculatedColumnFormula xml:space="preserve"> ROW() - 3</calculatedColumnFormula>
    </tableColumn>
    <tableColumn id="2" xr3:uid="{3F9C0D5C-037D-401B-9E57-7E99A8351BB7}" name="國際音標" dataDxfId="34" dataCellStyle="一般 4"/>
    <tableColumn id="3" xr3:uid="{B8205AD7-58F1-43A8-824B-C0E88B7F29C9}" name="台羅拼音" dataDxfId="33" dataCellStyle="一般 4"/>
    <tableColumn id="4" xr3:uid="{1D977D40-0654-4AD5-9198-DBDACA80FC0C}" name="台語音標" dataDxfId="32" dataCellStyle="一般 4"/>
    <tableColumn id="5" xr3:uid="{62D369BE-67AE-46A8-A874-749CA8F4D5FA}" name="台語注音二式" dataDxfId="31" dataCellStyle="一般 4"/>
    <tableColumn id="6" xr3:uid="{6ACFDCD0-A05A-4E77-B6C3-F4F9693A1A87}" name="閩拼方案" dataDxfId="30" dataCellStyle="一般 4"/>
    <tableColumn id="7" xr3:uid="{EA72CB27-56D4-45DE-A159-5ECE3355E261}" name="白話字" dataDxfId="29" dataCellStyle="一般 4"/>
    <tableColumn id="8" xr3:uid="{86276E07-00D8-414F-A14A-89CA8E4736C0}" name="方音符號"/>
    <tableColumn id="13" xr3:uid="{4AC7395E-4D7D-4B49-A8A4-FDDE23D368B8}" name="台語注音" dataDxfId="28"/>
    <tableColumn id="9" xr3:uid="{32F912D0-78F9-4541-95B9-4330F53FB63D}" name="十五音" dataDxfId="27" dataCellStyle="一般 4">
      <calculatedColumnFormula xml:space="preserve"> LEFT(韻母對照表[[#This Row],[十五音識別碼]],1)</calculatedColumnFormula>
    </tableColumn>
    <tableColumn id="14" xr3:uid="{E48E1AF8-9745-43AE-BEAA-41D8235123F8}" name="漢字例" dataDxfId="26" dataCellStyle="一般 4"/>
    <tableColumn id="12" xr3:uid="{B472CE12-1F6D-4207-8742-FA9AA5B789B0}" name="十五音識別碼" dataDxfId="25" dataCellStyle="一般 4"/>
    <tableColumn id="10" xr3:uid="{B3319D84-8B1E-4C1D-99D4-7DD8250E72D0}" name="聲韻調類" dataDxfId="24" dataCellStyle="一般 4"/>
    <tableColumn id="11" xr3:uid="{0232C7F0-707C-4291-B834-2A92B01DFDF9}" name="字長" dataDxfId="23" dataCellStyle="一般 4">
      <calculatedColumnFormula xml:space="preserve"> LEN(D4)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448E2C-CD3D-4ED2-BDC8-5AB53B6728E4}" name="音調對照表" displayName="音調對照表" ref="H3:Q11" totalsRowShown="0" headerRowDxfId="22" headerRowBorderDxfId="21" tableBorderDxfId="20" totalsRowBorderDxfId="19">
  <autoFilter ref="H3:Q11" xr:uid="{9C448E2C-CD3D-4ED2-BDC8-5AB53B6728E4}"/>
  <tableColumns count="10">
    <tableColumn id="1" xr3:uid="{B46EBE00-929F-433A-8CEB-034D0DC6906D}" name="傳統調號" dataDxfId="18"/>
    <tableColumn id="2" xr3:uid="{0DCBA03B-CD89-497B-A3E4-4BC82EA25A2B}" name="調名" dataDxfId="17"/>
    <tableColumn id="3" xr3:uid="{6CD4E8D7-7EEB-4B3B-8880-1CDF2A3935FB}" name="調值"/>
    <tableColumn id="4" xr3:uid="{D8F89D5C-E6DC-463B-9685-6EF0D4474D7D}" name="調性" dataDxfId="16"/>
    <tableColumn id="5" xr3:uid="{173864CA-2919-4644-BE09-D21E3DBCDBB6}" name="鍵盤按鍵" dataDxfId="15"/>
    <tableColumn id="6" xr3:uid="{2ADB8177-FEA4-4F0B-A85D-19BFCA65A11C}" name="台羅調符編碼" dataDxfId="14"/>
    <tableColumn id="7" xr3:uid="{86A0BE39-DEE8-4157-829F-97A8B9AE7B11}" name="台羅拼音" dataDxfId="13">
      <calculatedColumnFormula xml:space="preserve"> IFERROR( _xlfn.CONCAT("a", IF($M4="", "", _xlfn.UNICHAR(HEX2DEC(RIGHT($M4,4))))), "")</calculatedColumnFormula>
    </tableColumn>
    <tableColumn id="8" xr3:uid="{E6B4918A-DB73-4B67-94C1-81C2CD076534}" name="閩拼調符編碼" dataDxfId="12"/>
    <tableColumn id="9" xr3:uid="{096D159D-6004-4E03-ABF1-3B8DF0B4C5E8}" name="閩拼方案" dataDxfId="11"/>
    <tableColumn id="10" xr3:uid="{CD3469B2-531A-472E-830D-AD6482D31514}" name="閩拼調號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BDFC42-94AA-4826-923D-BD9331E1250D}" name="上標對照表" displayName="上標對照表" ref="H13:I23" totalsRowShown="0" headerRowDxfId="9" headerRowBorderDxfId="8" tableBorderDxfId="7" totalsRowBorderDxfId="6">
  <autoFilter ref="H13:I23" xr:uid="{05BDFC42-94AA-4826-923D-BD9331E1250D}"/>
  <tableColumns count="2">
    <tableColumn id="1" xr3:uid="{3CC41888-DBE7-432A-92DC-605976F668C4}" name="調號" dataDxfId="5"/>
    <tableColumn id="2" xr3:uid="{0B0EA5BF-5331-4F4D-9FAF-76DE29BBAABD}" name="上標值" dataDxfId="4">
      <calculatedColumnFormula>IFERROR(_xlfn.UNICHAR(CHOOSE($H14+1,8304,185,178,179,8308,8309,8310,8311,8312,8313)),"")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6CB2EB7-B2EC-48EA-B531-1F9C61CA7A4C}">
  <we:reference id="wa200007447" version="1.1.6.7" store="zh-TW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1FD2E8E-AF3A-4B4D-A368-A363DC4D3ED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afece23-b455-4bf7-80b3-57cfbba5c921&quot;"/>
  </we:properties>
  <we:bindings/>
  <we:snapshot xmlns:r="http://schemas.openxmlformats.org/officeDocument/2006/relationships"/>
</we:webextension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zh.wikipedia.org/wiki/%E5%BD%99%E9%9B%86%E9%9B%85%E4%BF%97%E9%80%9A%E5%8D%81%E4%BA%94%E9%9F%B3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D29D1-474C-4BE0-B3C3-83BF8DAEF04B}">
  <dimension ref="B2:R9"/>
  <sheetViews>
    <sheetView workbookViewId="0">
      <selection activeCell="V3" sqref="V3"/>
    </sheetView>
  </sheetViews>
  <sheetFormatPr defaultRowHeight="25.5"/>
  <cols>
    <col min="1" max="1" width="2.1640625" customWidth="1"/>
    <col min="2" max="2" width="9.58203125" customWidth="1"/>
    <col min="3" max="18" width="6.58203125" customWidth="1"/>
  </cols>
  <sheetData>
    <row r="2" spans="2:18">
      <c r="B2" s="194" t="s">
        <v>702</v>
      </c>
      <c r="C2" s="193">
        <f xml:space="preserve"> COLUMN() -2</f>
        <v>1</v>
      </c>
      <c r="D2" s="193">
        <f t="shared" ref="D2:R2" si="0" xml:space="preserve"> COLUMN() -2</f>
        <v>2</v>
      </c>
      <c r="E2" s="193">
        <f t="shared" si="0"/>
        <v>3</v>
      </c>
      <c r="F2" s="193">
        <f t="shared" si="0"/>
        <v>4</v>
      </c>
      <c r="G2" s="193">
        <f t="shared" si="0"/>
        <v>5</v>
      </c>
      <c r="H2" s="193">
        <f t="shared" si="0"/>
        <v>6</v>
      </c>
      <c r="I2" s="193">
        <f t="shared" si="0"/>
        <v>7</v>
      </c>
      <c r="J2" s="193">
        <f t="shared" si="0"/>
        <v>8</v>
      </c>
      <c r="K2" s="193">
        <f t="shared" si="0"/>
        <v>9</v>
      </c>
      <c r="L2" s="193">
        <f t="shared" si="0"/>
        <v>10</v>
      </c>
      <c r="M2" s="193">
        <f t="shared" si="0"/>
        <v>11</v>
      </c>
      <c r="N2" s="193">
        <f t="shared" si="0"/>
        <v>12</v>
      </c>
      <c r="O2" s="193">
        <f t="shared" si="0"/>
        <v>13</v>
      </c>
      <c r="P2" s="193">
        <f t="shared" si="0"/>
        <v>14</v>
      </c>
      <c r="Q2" s="193">
        <f t="shared" si="0"/>
        <v>15</v>
      </c>
      <c r="R2" s="193">
        <f t="shared" si="0"/>
        <v>16</v>
      </c>
    </row>
    <row r="3" spans="2:18" ht="48.75" customHeight="1">
      <c r="B3" s="191" t="s">
        <v>628</v>
      </c>
      <c r="C3" s="195" t="s">
        <v>2248</v>
      </c>
      <c r="D3" s="195" t="s">
        <v>2249</v>
      </c>
      <c r="E3" s="195" t="s">
        <v>2250</v>
      </c>
      <c r="F3" s="195" t="s">
        <v>2251</v>
      </c>
      <c r="G3" s="195" t="s">
        <v>2252</v>
      </c>
      <c r="H3" s="195" t="s">
        <v>2253</v>
      </c>
      <c r="I3" s="195" t="s">
        <v>2254</v>
      </c>
      <c r="J3" s="195" t="s">
        <v>2261</v>
      </c>
      <c r="K3" s="195" t="s">
        <v>1081</v>
      </c>
      <c r="L3" s="195" t="s">
        <v>2255</v>
      </c>
      <c r="M3" s="195" t="s">
        <v>2256</v>
      </c>
      <c r="N3" s="195" t="s">
        <v>2257</v>
      </c>
      <c r="O3" s="195" t="s">
        <v>2258</v>
      </c>
      <c r="P3" s="195" t="s">
        <v>2235</v>
      </c>
      <c r="Q3" s="195" t="s">
        <v>2259</v>
      </c>
      <c r="R3" s="195" t="s">
        <v>2260</v>
      </c>
    </row>
    <row r="4" spans="2:18" ht="48.75" customHeight="1">
      <c r="B4" s="192" t="s">
        <v>5</v>
      </c>
      <c r="C4" s="198" t="s">
        <v>2375</v>
      </c>
      <c r="D4" s="198" t="s">
        <v>2381</v>
      </c>
      <c r="E4" s="198" t="s">
        <v>2376</v>
      </c>
      <c r="F4" s="198" t="s">
        <v>2382</v>
      </c>
      <c r="G4" s="198" t="s">
        <v>2383</v>
      </c>
      <c r="H4" s="198" t="s">
        <v>2377</v>
      </c>
      <c r="I4" s="198" t="s">
        <v>2384</v>
      </c>
      <c r="J4" s="198" t="s">
        <v>2421</v>
      </c>
      <c r="K4" s="198" t="s">
        <v>2378</v>
      </c>
      <c r="L4" s="198" t="s">
        <v>2385</v>
      </c>
      <c r="M4" s="198" t="s">
        <v>2386</v>
      </c>
      <c r="N4" s="198" t="s">
        <v>2379</v>
      </c>
      <c r="O4" s="198" t="s">
        <v>2387</v>
      </c>
      <c r="P4" s="198" t="s">
        <v>2388</v>
      </c>
      <c r="Q4" s="198" t="s">
        <v>2380</v>
      </c>
      <c r="R4" s="198" t="s">
        <v>2422</v>
      </c>
    </row>
    <row r="5" spans="2:18" ht="48.75" customHeight="1">
      <c r="B5" s="192" t="s">
        <v>637</v>
      </c>
      <c r="C5" s="198" t="s">
        <v>2389</v>
      </c>
      <c r="D5" s="198" t="s">
        <v>2390</v>
      </c>
      <c r="E5" s="198" t="s">
        <v>2391</v>
      </c>
      <c r="F5" s="198" t="s">
        <v>2392</v>
      </c>
      <c r="G5" s="198" t="s">
        <v>2393</v>
      </c>
      <c r="H5" s="198" t="s">
        <v>2394</v>
      </c>
      <c r="I5" s="198" t="s">
        <v>2395</v>
      </c>
      <c r="J5" s="198" t="s">
        <v>2421</v>
      </c>
      <c r="K5" s="198" t="s">
        <v>993</v>
      </c>
      <c r="L5" s="198" t="s">
        <v>2396</v>
      </c>
      <c r="M5" s="198" t="s">
        <v>2397</v>
      </c>
      <c r="N5" s="198" t="s">
        <v>2398</v>
      </c>
      <c r="O5" s="198" t="s">
        <v>2399</v>
      </c>
      <c r="P5" s="198" t="s">
        <v>2400</v>
      </c>
      <c r="Q5" s="198" t="s">
        <v>2401</v>
      </c>
      <c r="R5" s="198" t="s">
        <v>2422</v>
      </c>
    </row>
    <row r="6" spans="2:18" ht="48.75" customHeight="1">
      <c r="B6" s="192" t="s">
        <v>692</v>
      </c>
      <c r="C6" s="198" t="s">
        <v>2389</v>
      </c>
      <c r="D6" s="198" t="s">
        <v>2390</v>
      </c>
      <c r="E6" s="198" t="s">
        <v>2402</v>
      </c>
      <c r="F6" s="198" t="s">
        <v>2392</v>
      </c>
      <c r="G6" s="198" t="s">
        <v>2403</v>
      </c>
      <c r="H6" s="198" t="s">
        <v>2394</v>
      </c>
      <c r="I6" s="198" t="s">
        <v>2395</v>
      </c>
      <c r="J6" s="198" t="s">
        <v>2421</v>
      </c>
      <c r="K6" s="198" t="s">
        <v>993</v>
      </c>
      <c r="L6" s="198" t="s">
        <v>2396</v>
      </c>
      <c r="M6" s="198" t="s">
        <v>2404</v>
      </c>
      <c r="N6" s="198" t="s">
        <v>2405</v>
      </c>
      <c r="O6" s="198" t="s">
        <v>2399</v>
      </c>
      <c r="P6" s="198" t="s">
        <v>2400</v>
      </c>
      <c r="Q6" s="198" t="s">
        <v>2401</v>
      </c>
      <c r="R6" s="198" t="s">
        <v>2422</v>
      </c>
    </row>
    <row r="7" spans="2:18" ht="48.75" customHeight="1">
      <c r="B7" s="192" t="s">
        <v>2</v>
      </c>
      <c r="C7" s="196" t="s">
        <v>2362</v>
      </c>
      <c r="D7" s="196" t="s">
        <v>2363</v>
      </c>
      <c r="E7" s="196" t="s">
        <v>2364</v>
      </c>
      <c r="F7" s="196" t="s">
        <v>2365</v>
      </c>
      <c r="G7" s="196" t="s">
        <v>2366</v>
      </c>
      <c r="H7" s="196" t="s">
        <v>2367</v>
      </c>
      <c r="I7" s="196" t="s">
        <v>2406</v>
      </c>
      <c r="J7" s="197" t="s">
        <v>2421</v>
      </c>
      <c r="K7" s="196" t="s">
        <v>2368</v>
      </c>
      <c r="L7" s="196" t="s">
        <v>2369</v>
      </c>
      <c r="M7" s="196" t="s">
        <v>2370</v>
      </c>
      <c r="N7" s="196" t="s">
        <v>2371</v>
      </c>
      <c r="O7" s="196" t="s">
        <v>2372</v>
      </c>
      <c r="P7" s="196" t="s">
        <v>2373</v>
      </c>
      <c r="Q7" s="196" t="s">
        <v>2374</v>
      </c>
      <c r="R7" s="197" t="s">
        <v>2422</v>
      </c>
    </row>
    <row r="8" spans="2:18" ht="48.75" customHeight="1">
      <c r="B8" s="192" t="s">
        <v>639</v>
      </c>
      <c r="C8" s="198" t="s">
        <v>2407</v>
      </c>
      <c r="D8" s="198" t="s">
        <v>2408</v>
      </c>
      <c r="E8" s="198" t="s">
        <v>2409</v>
      </c>
      <c r="F8" s="198" t="s">
        <v>2410</v>
      </c>
      <c r="G8" s="198" t="s">
        <v>2411</v>
      </c>
      <c r="H8" s="198" t="s">
        <v>2412</v>
      </c>
      <c r="I8" s="198" t="s">
        <v>2413</v>
      </c>
      <c r="J8" s="198" t="s">
        <v>2421</v>
      </c>
      <c r="K8" s="198" t="s">
        <v>2414</v>
      </c>
      <c r="L8" s="198" t="s">
        <v>2415</v>
      </c>
      <c r="M8" s="198" t="s">
        <v>2416</v>
      </c>
      <c r="N8" s="198" t="s">
        <v>2417</v>
      </c>
      <c r="O8" s="198" t="s">
        <v>2418</v>
      </c>
      <c r="P8" s="198" t="s">
        <v>2420</v>
      </c>
      <c r="Q8" s="198" t="s">
        <v>2419</v>
      </c>
      <c r="R8" s="198" t="s">
        <v>2422</v>
      </c>
    </row>
    <row r="9" spans="2:18" ht="48.75" customHeight="1">
      <c r="B9" s="192" t="s">
        <v>695</v>
      </c>
      <c r="C9" s="198" t="s">
        <v>2272</v>
      </c>
      <c r="D9" s="198" t="s">
        <v>2302</v>
      </c>
      <c r="E9" s="198" t="s">
        <v>2296</v>
      </c>
      <c r="F9" s="198" t="s">
        <v>2297</v>
      </c>
      <c r="G9" s="198" t="s">
        <v>2298</v>
      </c>
      <c r="H9" s="198" t="s">
        <v>2299</v>
      </c>
      <c r="I9" s="198" t="s">
        <v>2346</v>
      </c>
      <c r="J9" s="198" t="s">
        <v>2421</v>
      </c>
      <c r="K9" s="198" t="s">
        <v>2300</v>
      </c>
      <c r="L9" s="198" t="s">
        <v>2324</v>
      </c>
      <c r="M9" s="198" t="s">
        <v>2282</v>
      </c>
      <c r="N9" s="198" t="s">
        <v>2325</v>
      </c>
      <c r="O9" s="198" t="s">
        <v>2326</v>
      </c>
      <c r="P9" s="198" t="s">
        <v>2347</v>
      </c>
      <c r="Q9" s="198" t="s">
        <v>2285</v>
      </c>
      <c r="R9" s="198" t="s">
        <v>2422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BD661-1605-4C66-83CC-87BEF9BB3577}">
  <dimension ref="B2:L9"/>
  <sheetViews>
    <sheetView workbookViewId="0">
      <selection activeCell="L3" sqref="L3"/>
    </sheetView>
  </sheetViews>
  <sheetFormatPr defaultRowHeight="25.5"/>
  <cols>
    <col min="1" max="1" width="1.5" customWidth="1"/>
    <col min="2" max="2" width="13.4140625" customWidth="1"/>
    <col min="3" max="3" width="5.25" customWidth="1"/>
    <col min="4" max="8" width="9.58203125" customWidth="1"/>
    <col min="10" max="12" width="9.83203125" customWidth="1"/>
    <col min="14" max="14" width="12" customWidth="1"/>
  </cols>
  <sheetData>
    <row r="2" spans="2:12">
      <c r="C2" s="185" t="s">
        <v>628</v>
      </c>
      <c r="D2" s="186" t="s">
        <v>639</v>
      </c>
      <c r="E2" s="186" t="s">
        <v>697</v>
      </c>
      <c r="F2" s="186" t="s">
        <v>2085</v>
      </c>
      <c r="G2" s="186" t="s">
        <v>2086</v>
      </c>
      <c r="H2" s="187" t="s">
        <v>2360</v>
      </c>
      <c r="I2" s="12"/>
      <c r="J2" s="12" t="s">
        <v>2225</v>
      </c>
      <c r="K2" s="12" t="s">
        <v>737</v>
      </c>
      <c r="L2" s="12" t="s">
        <v>2360</v>
      </c>
    </row>
    <row r="3" spans="2:12" ht="29.25">
      <c r="B3" t="s">
        <v>2226</v>
      </c>
      <c r="C3" s="12" t="s">
        <v>2233</v>
      </c>
      <c r="D3" s="120" t="s">
        <v>2237</v>
      </c>
      <c r="E3" s="119" t="str">
        <f t="shared" ref="E3:E9" si="0" xml:space="preserve"> IF(AND(F3&lt;&gt;"",G3&lt;&gt;"",H3&lt;&gt;""), _xlfn.CONCAT(J3:L3), "")</f>
        <v>lɪaʊ3</v>
      </c>
      <c r="F3" s="117" t="s">
        <v>2042</v>
      </c>
      <c r="G3" s="117" t="s">
        <v>1014</v>
      </c>
      <c r="H3" s="118">
        <v>3</v>
      </c>
      <c r="I3" s="117"/>
      <c r="J3" s="117" t="str" cm="1">
        <f t="array" ref="J3" xml:space="preserve"> IF(F3&lt;&gt;"", INDEX(聲母對照表[國際音標], MATCH(TRUE, EXACT(輸入工具!F3, 聲母對照表[閩拼方案]), 0)), "")</f>
        <v>l</v>
      </c>
      <c r="K3" s="117" t="str" cm="1">
        <f t="array" ref="K3">IF(G3&lt;&gt;"", INDEX(韻母對照表[國際音標], MATCH(TRUE, EXACT(輸入工具!G3, 韻母對照表[閩拼方案]), 0)), "")</f>
        <v>ɪaʊ</v>
      </c>
      <c r="L3" s="117" cm="1">
        <f t="array" ref="L3" xml:space="preserve"> IF(H3&lt;&gt;"", INDEX(音調對照表[傳統調號], MATCH(TRUE, EXACT(輸入工具!H3, 音調對照表[傳統調號]), 0)), "")</f>
        <v>3</v>
      </c>
    </row>
    <row r="4" spans="2:12" ht="29.25">
      <c r="B4" t="s">
        <v>2226</v>
      </c>
      <c r="C4" s="12" t="s">
        <v>2234</v>
      </c>
      <c r="D4" s="120" t="s">
        <v>2238</v>
      </c>
      <c r="E4" s="119" t="str">
        <f t="shared" si="0"/>
        <v>mŋ̍2</v>
      </c>
      <c r="F4" s="117" t="s">
        <v>2062</v>
      </c>
      <c r="G4" s="117" t="s">
        <v>2055</v>
      </c>
      <c r="H4" s="118">
        <v>2</v>
      </c>
      <c r="I4" s="117"/>
      <c r="J4" s="117" t="str" cm="1">
        <f t="array" ref="J4" xml:space="preserve"> IF(F4&lt;&gt;"", INDEX(聲母對照表[國際音標], MATCH(TRUE, EXACT(輸入工具!F4, 聲母對照表[閩拼方案]), 0)), "")</f>
        <v>m</v>
      </c>
      <c r="K4" s="117" t="str" cm="1">
        <f t="array" ref="K4">IF(G4&lt;&gt;"", INDEX(韻母對照表[國際音標], MATCH(TRUE, EXACT(輸入工具!G4, 韻母對照表[閩拼方案]), 0)), "")</f>
        <v>ŋ̍</v>
      </c>
      <c r="L4" s="117" cm="1">
        <f t="array" ref="L4" xml:space="preserve"> IF(H4&lt;&gt;"", INDEX(音調對照表[傳統調號], MATCH(TRUE, EXACT(輸入工具!H4, 音調對照表[傳統調號]), 0)), "")</f>
        <v>2</v>
      </c>
    </row>
    <row r="5" spans="2:12" ht="29.25">
      <c r="B5" t="s">
        <v>2226</v>
      </c>
      <c r="C5" s="12" t="s">
        <v>2235</v>
      </c>
      <c r="D5" s="120" t="s">
        <v>2247</v>
      </c>
      <c r="E5" s="119" t="str">
        <f t="shared" si="0"/>
        <v>ʣim6</v>
      </c>
      <c r="F5" s="117" t="s">
        <v>2050</v>
      </c>
      <c r="G5" s="117" t="s">
        <v>2096</v>
      </c>
      <c r="H5" s="118">
        <v>6</v>
      </c>
      <c r="I5" s="117"/>
      <c r="J5" s="117" t="str" cm="1">
        <f t="array" ref="J5" xml:space="preserve"> IF(F5&lt;&gt;"", INDEX(聲母對照表[國際音標], MATCH(TRUE, EXACT(輸入工具!F5, 聲母對照表[閩拼方案]), 0)), "")</f>
        <v>ʣ</v>
      </c>
      <c r="K5" s="117" t="str" cm="1">
        <f t="array" ref="K5">IF(G5&lt;&gt;"", INDEX(韻母對照表[國際音標], MATCH(TRUE, EXACT(輸入工具!G5, 韻母對照表[閩拼方案]), 0)), "")</f>
        <v>im</v>
      </c>
      <c r="L5" s="117" cm="1">
        <f t="array" ref="L5" xml:space="preserve"> IF(H5&lt;&gt;"", INDEX(音調對照表[傳統調號], MATCH(TRUE, EXACT(輸入工具!H5, 音調對照表[傳統調號]), 0)), "")</f>
        <v>6</v>
      </c>
    </row>
    <row r="6" spans="2:12" ht="29.25">
      <c r="B6" t="s">
        <v>2226</v>
      </c>
      <c r="C6" s="12" t="s">
        <v>2236</v>
      </c>
      <c r="D6" s="120" t="s">
        <v>2239</v>
      </c>
      <c r="E6" s="119" t="str">
        <f t="shared" si="0"/>
        <v>kɪũ1</v>
      </c>
      <c r="F6" s="117" t="s">
        <v>2043</v>
      </c>
      <c r="G6" s="117" t="s">
        <v>2244</v>
      </c>
      <c r="H6" s="118">
        <v>1</v>
      </c>
      <c r="I6" s="117"/>
      <c r="J6" s="117" t="str" cm="1">
        <f t="array" ref="J6" xml:space="preserve"> IF(F6&lt;&gt;"", INDEX(聲母對照表[國際音標], MATCH(TRUE, EXACT(輸入工具!F6, 聲母對照表[閩拼方案]), 0)), "")</f>
        <v>k</v>
      </c>
      <c r="K6" s="117" t="str" cm="1">
        <f t="array" ref="K6">IF(G6&lt;&gt;"", INDEX(韻母對照表[國際音標], MATCH(TRUE, EXACT(輸入工具!G6, 韻母對照表[閩拼方案]), 0)), "")</f>
        <v>ɪũ</v>
      </c>
      <c r="L6" s="117" cm="1">
        <f t="array" ref="L6" xml:space="preserve"> IF(H6&lt;&gt;"", INDEX(音調對照表[傳統調號], MATCH(TRUE, EXACT(輸入工具!H6, 音調對照表[傳統調號]), 0)), "")</f>
        <v>1</v>
      </c>
    </row>
    <row r="7" spans="2:12" ht="29.25">
      <c r="B7" t="s">
        <v>2226</v>
      </c>
      <c r="C7" s="12" t="s">
        <v>2240</v>
      </c>
      <c r="D7" s="120" t="s">
        <v>2243</v>
      </c>
      <c r="E7" s="119" t="str">
        <f t="shared" si="0"/>
        <v>ɪũ2</v>
      </c>
      <c r="F7" s="117" t="s">
        <v>2245</v>
      </c>
      <c r="G7" s="117" t="s">
        <v>2244</v>
      </c>
      <c r="H7" s="118">
        <v>2</v>
      </c>
      <c r="I7" s="117"/>
      <c r="J7" s="117" t="str" cm="1">
        <f t="array" ref="J7" xml:space="preserve"> IFERROR( IF(F7&lt;&gt;"", INDEX(聲母對照表[國際音標], MATCH(TRUE, EXACT(輸入工具!F7, 聲母對照表[閩拼方案]), 0)), ""), "")</f>
        <v/>
      </c>
      <c r="K7" s="117" t="str" cm="1">
        <f t="array" ref="K7">IF(G7&lt;&gt;"", INDEX(韻母對照表[國際音標], MATCH(TRUE, EXACT(輸入工具!G7, 韻母對照表[閩拼方案]), 0)), "")</f>
        <v>ɪũ</v>
      </c>
      <c r="L7" s="117" cm="1">
        <f t="array" ref="L7" xml:space="preserve"> IF(H7&lt;&gt;"", INDEX(音調對照表[傳統調號], MATCH(TRUE, EXACT(輸入工具!H7, 音調對照表[傳統調號]), 0)), "")</f>
        <v>2</v>
      </c>
    </row>
    <row r="8" spans="2:12" ht="29.25">
      <c r="B8" t="s">
        <v>2226</v>
      </c>
      <c r="C8" s="12" t="s">
        <v>2241</v>
      </c>
      <c r="D8" s="120" t="s">
        <v>2242</v>
      </c>
      <c r="E8" s="119" t="str">
        <f t="shared" si="0"/>
        <v>lɪu3</v>
      </c>
      <c r="F8" s="117" t="s">
        <v>2042</v>
      </c>
      <c r="G8" s="117" t="s">
        <v>2246</v>
      </c>
      <c r="H8" s="118">
        <v>3</v>
      </c>
      <c r="I8" s="117"/>
      <c r="J8" s="117" t="str" cm="1">
        <f t="array" ref="J8" xml:space="preserve"> IF(F8&lt;&gt;"", INDEX(聲母對照表[國際音標], MATCH(TRUE, EXACT(輸入工具!F8, 聲母對照表[閩拼方案]), 0)), "")</f>
        <v>l</v>
      </c>
      <c r="K8" s="117" t="str" cm="1">
        <f t="array" ref="K8">IF(G8&lt;&gt;"", INDEX(韻母對照表[國際音標], MATCH(TRUE, EXACT(輸入工具!G8, 韻母對照表[閩拼方案]), 0)), "")</f>
        <v>ɪu</v>
      </c>
      <c r="L8" s="117" cm="1">
        <f t="array" ref="L8" xml:space="preserve"> IF(H8&lt;&gt;"", INDEX(音調對照表[傳統調號], MATCH(TRUE, EXACT(輸入工具!H8, 音調對照表[傳統調號]), 0)), "")</f>
        <v>3</v>
      </c>
    </row>
    <row r="9" spans="2:12" ht="29.25">
      <c r="B9" t="s">
        <v>2226</v>
      </c>
      <c r="C9" s="12"/>
      <c r="D9" s="120"/>
      <c r="E9" s="119" t="str">
        <f t="shared" si="0"/>
        <v/>
      </c>
      <c r="F9" s="117"/>
      <c r="G9" s="117"/>
      <c r="H9" s="118"/>
      <c r="I9" s="117"/>
      <c r="J9" s="117" t="str" cm="1">
        <f t="array" ref="J9" xml:space="preserve"> IF(F9&lt;&gt;"", INDEX(聲母對照表[國際音標], MATCH(TRUE, EXACT(輸入工具!F9, 聲母對照表[閩拼方案]), 0)), "")</f>
        <v/>
      </c>
      <c r="K9" s="117" t="str" cm="1">
        <f t="array" ref="K9">IF(G9&lt;&gt;"", INDEX(韻母對照表[國際音標], MATCH(TRUE, EXACT(輸入工具!G9, 韻母對照表[閩拼方案]), 0)), "")</f>
        <v/>
      </c>
      <c r="L9" s="117" t="str" cm="1">
        <f t="array" ref="L9" xml:space="preserve"> IF(H9&lt;&gt;"", INDEX(#REF!, MATCH(TRUE, EXACT(輸入工具!H9,#REF!), 0)), "")</f>
        <v/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95D4B-5B5A-4656-AF62-E1DF23721EB9}">
  <dimension ref="A2:L39"/>
  <sheetViews>
    <sheetView workbookViewId="0">
      <selection activeCell="E4" sqref="E4:E20"/>
    </sheetView>
  </sheetViews>
  <sheetFormatPr defaultRowHeight="25.5"/>
  <cols>
    <col min="1" max="1" width="1.5" customWidth="1"/>
    <col min="2" max="3" width="4.83203125" customWidth="1"/>
    <col min="4" max="5" width="11.5" customWidth="1"/>
    <col min="6" max="12" width="7.08203125" customWidth="1"/>
    <col min="14" max="14" width="12" customWidth="1"/>
  </cols>
  <sheetData>
    <row r="2" spans="2:12">
      <c r="B2" t="str">
        <f xml:space="preserve"> _xlfn.CONCAT("【", D4, "】")</f>
        <v>【閩拼方案】</v>
      </c>
    </row>
    <row r="4" spans="2:12">
      <c r="B4" s="185" t="s">
        <v>702</v>
      </c>
      <c r="C4" s="185" t="s">
        <v>628</v>
      </c>
      <c r="D4" s="186" t="s">
        <v>639</v>
      </c>
      <c r="E4" s="186" t="s">
        <v>697</v>
      </c>
      <c r="F4" s="186" t="s">
        <v>2085</v>
      </c>
      <c r="G4" s="186" t="s">
        <v>2086</v>
      </c>
      <c r="H4" s="187" t="s">
        <v>2360</v>
      </c>
      <c r="I4" s="12"/>
      <c r="J4" s="12" t="s">
        <v>2225</v>
      </c>
      <c r="K4" s="12" t="s">
        <v>737</v>
      </c>
      <c r="L4" s="12" t="s">
        <v>2360</v>
      </c>
    </row>
    <row r="5" spans="2:12" ht="29.25">
      <c r="B5" s="122">
        <f xml:space="preserve"> ROW() - 4</f>
        <v>1</v>
      </c>
      <c r="C5" s="12" t="s">
        <v>2248</v>
      </c>
      <c r="D5" s="120" t="s">
        <v>2273</v>
      </c>
      <c r="E5" s="119" t="str">
        <f xml:space="preserve"> IF(AND(F5&lt;&gt;"",G5&lt;&gt;"",H5&lt;&gt;""), _xlfn.CONCAT(J5:L5), "")</f>
        <v>hɔŋ²</v>
      </c>
      <c r="F5" s="117" t="s">
        <v>2046</v>
      </c>
      <c r="G5" s="117" t="str">
        <f>IFERROR( MID(D5, LEN(F5)+1, LEN(D5) - LEN(F5) - 1), "")</f>
        <v>ong</v>
      </c>
      <c r="H5" s="118" t="str">
        <f xml:space="preserve"> RIGHT(D5,1)</f>
        <v>2</v>
      </c>
      <c r="I5" s="117"/>
      <c r="J5" s="117" t="str" cm="1">
        <f t="array" ref="J5" xml:space="preserve"> IFERROR( IF(F5&lt;&gt;"", INDEX(聲母對照表[國際音標], MATCH(TRUE, EXACT('輸入工具 (閩拼方案)'!F5, 聲母對照表[閩拼方案]), 0)), ""), "")</f>
        <v>h</v>
      </c>
      <c r="K5" s="117" t="str" cm="1">
        <f t="array" ref="K5">IFERROR( IF(G5&lt;&gt;"", INDEX(韻母對照表[國際音標], MATCH(TRUE, EXACT('輸入工具 (閩拼方案)'!G5, 韻母對照表[閩拼方案]), 0)), ""), "")</f>
        <v>ɔŋ</v>
      </c>
      <c r="L5" s="117" t="str" cm="1">
        <f t="array" ref="L5" xml:space="preserve"> IF(H5&lt;&gt;"", INDEX(上標對照表[上標值], MATCH(TRUE, EXACT('輸入工具 (閩拼方案)'!H5, 上標對照表[調號]), 0)), "")</f>
        <v>²</v>
      </c>
    </row>
    <row r="6" spans="2:12" ht="29.25">
      <c r="B6" s="122">
        <f xml:space="preserve"> ROW() - 4</f>
        <v>2</v>
      </c>
      <c r="C6" s="12" t="s">
        <v>2249</v>
      </c>
      <c r="D6" s="120" t="s">
        <v>2274</v>
      </c>
      <c r="E6" s="119" t="str">
        <f t="shared" ref="E6:E19" si="0" xml:space="preserve"> IF(AND(F6&lt;&gt;"",G6&lt;&gt;"",H6&lt;&gt;""), _xlfn.CONCAT(J6:L6), "")</f>
        <v>hə²</v>
      </c>
      <c r="F6" s="117" t="s">
        <v>2046</v>
      </c>
      <c r="G6" s="117" t="str">
        <f t="shared" ref="G6:G36" si="1">IFERROR( MID(D6, LEN(F6)+1, LEN(D6) - LEN(F6) - 1), "")</f>
        <v>o</v>
      </c>
      <c r="H6" s="118" t="str">
        <f t="shared" ref="H6:H36" si="2" xml:space="preserve"> RIGHT(D6,1)</f>
        <v>2</v>
      </c>
      <c r="I6" s="117"/>
      <c r="J6" s="117" t="str" cm="1">
        <f t="array" ref="J6" xml:space="preserve"> IFERROR( IF(F6&lt;&gt;"", INDEX(聲母對照表[國際音標], MATCH(TRUE, EXACT('輸入工具 (閩拼方案)'!F6, 聲母對照表[閩拼方案]), 0)), ""), "")</f>
        <v>h</v>
      </c>
      <c r="K6" s="117" t="str" cm="1">
        <f t="array" ref="K6">IFERROR( IF(G6&lt;&gt;"", INDEX(韻母對照表[國際音標], MATCH(TRUE, EXACT('輸入工具 (閩拼方案)'!G6, 韻母對照表[閩拼方案]), 0)), ""), "")</f>
        <v>ə</v>
      </c>
      <c r="L6" s="117" t="str" cm="1">
        <f t="array" ref="L6" xml:space="preserve"> IF(H6&lt;&gt;"", INDEX(上標對照表[上標值], MATCH(TRUE, EXACT('輸入工具 (閩拼方案)'!H6, 上標對照表[調號]), 0)), "")</f>
        <v>²</v>
      </c>
    </row>
    <row r="7" spans="2:12" ht="29.25">
      <c r="B7" s="122">
        <f t="shared" ref="B7:B36" si="3" xml:space="preserve"> ROW() - 4</f>
        <v>3</v>
      </c>
      <c r="C7" s="12" t="s">
        <v>2250</v>
      </c>
      <c r="D7" s="120" t="s">
        <v>2275</v>
      </c>
      <c r="E7" s="119" t="str">
        <f t="shared" si="0"/>
        <v>uan³</v>
      </c>
      <c r="F7" s="121" t="s">
        <v>2294</v>
      </c>
      <c r="G7" s="117" t="s">
        <v>1013</v>
      </c>
      <c r="H7" s="118" t="str">
        <f t="shared" si="2"/>
        <v>3</v>
      </c>
      <c r="I7" s="117"/>
      <c r="J7" s="117" t="str" cm="1">
        <f t="array" ref="J7" xml:space="preserve"> IFERROR( IF(F7&lt;&gt;"", INDEX(聲母對照表[國際音標], MATCH(TRUE, EXACT('輸入工具 (閩拼方案)'!F7, 聲母對照表[閩拼方案]), 0)), ""), "")</f>
        <v/>
      </c>
      <c r="K7" s="117" t="str" cm="1">
        <f t="array" ref="K7">IFERROR( IF(G7&lt;&gt;"", INDEX(韻母對照表[國際音標], MATCH(TRUE, EXACT('輸入工具 (閩拼方案)'!G7, 韻母對照表[閩拼方案]), 0)), ""), "")</f>
        <v>uan</v>
      </c>
      <c r="L7" s="117" t="str" cm="1">
        <f t="array" ref="L7" xml:space="preserve"> IF(H7&lt;&gt;"", INDEX(上標對照表[上標值], MATCH(TRUE, EXACT('輸入工具 (閩拼方案)'!H7, 上標對照表[調號]), 0)), "")</f>
        <v>³</v>
      </c>
    </row>
    <row r="8" spans="2:12" ht="29.25">
      <c r="B8" s="122">
        <f t="shared" si="3"/>
        <v>4</v>
      </c>
      <c r="C8" s="12" t="s">
        <v>2251</v>
      </c>
      <c r="D8" s="120" t="s">
        <v>2276</v>
      </c>
      <c r="E8" s="119" t="str">
        <f t="shared" si="0"/>
        <v>sɪɔŋ³</v>
      </c>
      <c r="F8" s="117" t="s">
        <v>2049</v>
      </c>
      <c r="G8" s="117" t="str">
        <f t="shared" si="1"/>
        <v>iong</v>
      </c>
      <c r="H8" s="118" t="str">
        <f t="shared" si="2"/>
        <v>3</v>
      </c>
      <c r="I8" s="117"/>
      <c r="J8" s="117" t="str" cm="1">
        <f t="array" ref="J8" xml:space="preserve"> IFERROR( IF(F8&lt;&gt;"", INDEX(聲母對照表[國際音標], MATCH(TRUE, EXACT('輸入工具 (閩拼方案)'!F8, 聲母對照表[閩拼方案]), 0)), ""), "")</f>
        <v>s</v>
      </c>
      <c r="K8" s="117" t="str" cm="1">
        <f t="array" ref="K8">IFERROR( IF(G8&lt;&gt;"", INDEX(韻母對照表[國際音標], MATCH(TRUE, EXACT('輸入工具 (閩拼方案)'!G8, 韻母對照表[閩拼方案]), 0)), ""), "")</f>
        <v>ɪɔŋ</v>
      </c>
      <c r="L8" s="117" t="str" cm="1">
        <f t="array" ref="L8" xml:space="preserve"> IF(H8&lt;&gt;"", INDEX(上標對照表[上標值], MATCH(TRUE, EXACT('輸入工具 (閩拼方案)'!H8, 上標對照表[調號]), 0)), "")</f>
        <v>³</v>
      </c>
    </row>
    <row r="9" spans="2:12" ht="29.25">
      <c r="B9" s="122">
        <f t="shared" si="3"/>
        <v>5</v>
      </c>
      <c r="C9" s="12" t="s">
        <v>2252</v>
      </c>
      <c r="D9" s="120" t="s">
        <v>2277</v>
      </c>
      <c r="E9" s="119" t="str">
        <f t="shared" si="0"/>
        <v>pik̚⁸</v>
      </c>
      <c r="F9" s="117" t="s">
        <v>2036</v>
      </c>
      <c r="G9" s="117" t="str">
        <f t="shared" si="1"/>
        <v>ik</v>
      </c>
      <c r="H9" s="118" t="str">
        <f t="shared" si="2"/>
        <v>8</v>
      </c>
      <c r="I9" s="117"/>
      <c r="J9" s="117" t="str" cm="1">
        <f t="array" ref="J9" xml:space="preserve"> IFERROR( IF(F9&lt;&gt;"", INDEX(聲母對照表[國際音標], MATCH(TRUE, EXACT('輸入工具 (閩拼方案)'!F9, 聲母對照表[閩拼方案]), 0)), ""), "")</f>
        <v>p</v>
      </c>
      <c r="K9" s="117" t="str" cm="1">
        <f t="array" ref="K9">IFERROR( IF(G9&lt;&gt;"", INDEX(韻母對照表[國際音標], MATCH(TRUE, EXACT('輸入工具 (閩拼方案)'!G9, 韻母對照表[閩拼方案]), 0)), ""), "")</f>
        <v>ik̚</v>
      </c>
      <c r="L9" s="117" t="str" cm="1">
        <f t="array" ref="L9" xml:space="preserve"> IF(H9&lt;&gt;"", INDEX(上標對照表[上標值], MATCH(TRUE, EXACT('輸入工具 (閩拼方案)'!H9, 上標對照表[調號]), 0)), "")</f>
        <v>⁸</v>
      </c>
    </row>
    <row r="10" spans="2:12" ht="29.25">
      <c r="B10" s="122">
        <f t="shared" si="3"/>
        <v>6</v>
      </c>
      <c r="C10" s="12" t="s">
        <v>2253</v>
      </c>
      <c r="D10" s="120" t="s">
        <v>2278</v>
      </c>
      <c r="E10" s="119" t="str">
        <f t="shared" si="0"/>
        <v>hun²</v>
      </c>
      <c r="F10" s="117" t="s">
        <v>2046</v>
      </c>
      <c r="G10" s="117" t="str">
        <f t="shared" si="1"/>
        <v>un</v>
      </c>
      <c r="H10" s="118" t="str">
        <f t="shared" si="2"/>
        <v>2</v>
      </c>
      <c r="I10" s="117"/>
      <c r="J10" s="117" t="str" cm="1">
        <f t="array" ref="J10" xml:space="preserve"> IFERROR( IF(F10&lt;&gt;"", INDEX(聲母對照表[國際音標], MATCH(TRUE, EXACT('輸入工具 (閩拼方案)'!F10, 聲母對照表[閩拼方案]), 0)), ""), "")</f>
        <v>h</v>
      </c>
      <c r="K10" s="117" t="str" cm="1">
        <f t="array" ref="K10">IFERROR( IF(G10&lt;&gt;"", INDEX(韻母對照表[國際音標], MATCH(TRUE, EXACT('輸入工具 (閩拼方案)'!G10, 韻母對照表[閩拼方案]), 0)), ""), "")</f>
        <v>un</v>
      </c>
      <c r="L10" s="117" t="str" cm="1">
        <f t="array" ref="L10" xml:space="preserve"> IF(H10&lt;&gt;"", INDEX(上標對照表[上標值], MATCH(TRUE, EXACT('輸入工具 (閩拼方案)'!H10, 上標對照表[調號]), 0)), "")</f>
        <v>²</v>
      </c>
    </row>
    <row r="11" spans="2:12" ht="29.25">
      <c r="B11" s="122">
        <f t="shared" si="3"/>
        <v>7</v>
      </c>
      <c r="C11" s="12" t="s">
        <v>2254</v>
      </c>
      <c r="D11" s="120" t="s">
        <v>2279</v>
      </c>
      <c r="E11" s="119" t="str">
        <f t="shared" si="0"/>
        <v>kiŋ¹</v>
      </c>
      <c r="F11" s="117" t="s">
        <v>2043</v>
      </c>
      <c r="G11" s="117" t="str">
        <f t="shared" si="1"/>
        <v>ing</v>
      </c>
      <c r="H11" s="118" t="str">
        <f t="shared" si="2"/>
        <v>1</v>
      </c>
      <c r="I11" s="117"/>
      <c r="J11" s="117" t="str" cm="1">
        <f t="array" ref="J11" xml:space="preserve"> IFERROR( IF(F11&lt;&gt;"", INDEX(聲母對照表[國際音標], MATCH(TRUE, EXACT('輸入工具 (閩拼方案)'!F11, 聲母對照表[閩拼方案]), 0)), ""), "")</f>
        <v>k</v>
      </c>
      <c r="K11" s="117" t="str" cm="1">
        <f t="array" ref="K11">IFERROR( IF(G11&lt;&gt;"", INDEX(韻母對照表[國際音標], MATCH(TRUE, EXACT('輸入工具 (閩拼方案)'!G11, 韻母對照表[閩拼方案]), 0)), ""), "")</f>
        <v>iŋ</v>
      </c>
      <c r="L11" s="117" t="str" cm="1">
        <f t="array" ref="L11" xml:space="preserve"> IF(H11&lt;&gt;"", INDEX(上標對照表[上標值], MATCH(TRUE, EXACT('輸入工具 (閩拼方案)'!H11, 上標對照表[調號]), 0)), "")</f>
        <v>¹</v>
      </c>
    </row>
    <row r="12" spans="2:12" ht="29.25">
      <c r="B12" s="122">
        <f t="shared" si="3"/>
        <v>8</v>
      </c>
      <c r="C12" s="12" t="s">
        <v>2261</v>
      </c>
      <c r="D12" s="120"/>
      <c r="E12" s="119" t="str">
        <f t="shared" si="0"/>
        <v/>
      </c>
      <c r="F12" s="117"/>
      <c r="G12" s="117" t="str">
        <f t="shared" si="1"/>
        <v/>
      </c>
      <c r="H12" s="118" t="str">
        <f t="shared" si="2"/>
        <v/>
      </c>
      <c r="I12" s="117"/>
      <c r="J12" s="117" t="str" cm="1">
        <f t="array" ref="J12" xml:space="preserve"> IFERROR( IF(F12&lt;&gt;"", INDEX(聲母對照表[國際音標], MATCH(TRUE, EXACT('輸入工具 (閩拼方案)'!F12, 聲母對照表[閩拼方案]), 0)), ""), "")</f>
        <v/>
      </c>
      <c r="K12" s="117" t="str" cm="1">
        <f t="array" ref="K12">IFERROR( IF(G12&lt;&gt;"", INDEX(韻母對照表[國際音標], MATCH(TRUE, EXACT('輸入工具 (閩拼方案)'!G12, 韻母對照表[閩拼方案]), 0)), ""), "")</f>
        <v/>
      </c>
      <c r="L12" s="117" t="str" cm="1">
        <f t="array" ref="L12" xml:space="preserve"> IF(H12&lt;&gt;"", INDEX(上標對照表[上標值], MATCH(TRUE, EXACT('輸入工具 (閩拼方案)'!H12, 上標對照表[調號]), 0)), "")</f>
        <v/>
      </c>
    </row>
    <row r="13" spans="2:12" ht="29.25">
      <c r="B13" s="122">
        <f t="shared" si="3"/>
        <v>9</v>
      </c>
      <c r="C13" s="12" t="s">
        <v>1081</v>
      </c>
      <c r="D13" s="120" t="s">
        <v>2280</v>
      </c>
      <c r="E13" s="119" t="str">
        <f t="shared" si="0"/>
        <v>it̚⁷</v>
      </c>
      <c r="F13" s="117" t="s">
        <v>2245</v>
      </c>
      <c r="G13" s="117" t="str">
        <f t="shared" si="1"/>
        <v>it</v>
      </c>
      <c r="H13" s="118" t="str">
        <f t="shared" si="2"/>
        <v>7</v>
      </c>
      <c r="I13" s="117"/>
      <c r="J13" s="117" t="str" cm="1">
        <f t="array" ref="J13" xml:space="preserve"> IFERROR( IF(F13&lt;&gt;"", INDEX(聲母對照表[國際音標], MATCH(TRUE, EXACT('輸入工具 (閩拼方案)'!F13, 聲母對照表[閩拼方案]), 0)), ""), "")</f>
        <v/>
      </c>
      <c r="K13" s="117" t="str" cm="1">
        <f t="array" ref="K13">IFERROR( IF(G13&lt;&gt;"", INDEX(韻母對照表[國際音標], MATCH(TRUE, EXACT('輸入工具 (閩拼方案)'!G13, 韻母對照表[閩拼方案]), 0)), ""), "")</f>
        <v>it̚</v>
      </c>
      <c r="L13" s="117" t="str" cm="1">
        <f t="array" ref="L13" xml:space="preserve"> IF(H13&lt;&gt;"", INDEX(上標對照表[上標值], MATCH(TRUE, EXACT('輸入工具 (閩拼方案)'!H13, 上標對照表[調號]), 0)), "")</f>
        <v>⁷</v>
      </c>
    </row>
    <row r="14" spans="2:12" ht="29.25">
      <c r="B14" s="122">
        <f t="shared" si="3"/>
        <v>10</v>
      </c>
      <c r="C14" s="12" t="s">
        <v>2255</v>
      </c>
      <c r="D14" s="120" t="s">
        <v>2281</v>
      </c>
      <c r="E14" s="119" t="str">
        <f t="shared" si="0"/>
        <v>pʰɪan⁵</v>
      </c>
      <c r="F14" s="117" t="s">
        <v>2037</v>
      </c>
      <c r="G14" s="117" t="str">
        <f t="shared" si="1"/>
        <v>ian</v>
      </c>
      <c r="H14" s="118" t="str">
        <f t="shared" si="2"/>
        <v>5</v>
      </c>
      <c r="I14" s="117"/>
      <c r="J14" s="117" t="str" cm="1">
        <f t="array" ref="J14" xml:space="preserve"> IFERROR( IF(F14&lt;&gt;"", INDEX(聲母對照表[國際音標], MATCH(TRUE, EXACT('輸入工具 (閩拼方案)'!F14, 聲母對照表[閩拼方案]), 0)), ""), "")</f>
        <v>pʰ</v>
      </c>
      <c r="K14" s="117" t="str" cm="1">
        <f t="array" ref="K14">IFERROR( IF(G14&lt;&gt;"", INDEX(韻母對照表[國際音標], MATCH(TRUE, EXACT('輸入工具 (閩拼方案)'!G14, 韻母對照表[閩拼方案]), 0)), ""), "")</f>
        <v>ɪan</v>
      </c>
      <c r="L14" s="117" t="str" cm="1">
        <f t="array" ref="L14" xml:space="preserve"> IF(H14&lt;&gt;"", INDEX(上標對照表[上標值], MATCH(TRUE, EXACT('輸入工具 (閩拼方案)'!H14, 上標對照表[調號]), 0)), "")</f>
        <v>⁵</v>
      </c>
    </row>
    <row r="15" spans="2:12" ht="29.25">
      <c r="B15" s="122">
        <f t="shared" si="3"/>
        <v>11</v>
      </c>
      <c r="C15" s="12" t="s">
        <v>2256</v>
      </c>
      <c r="D15" s="120" t="s">
        <v>2282</v>
      </c>
      <c r="E15" s="119" t="str">
        <f t="shared" si="0"/>
        <v>kɔ¹</v>
      </c>
      <c r="F15" s="117" t="s">
        <v>2043</v>
      </c>
      <c r="G15" s="117" t="str">
        <f t="shared" si="1"/>
        <v>oo</v>
      </c>
      <c r="H15" s="118" t="str">
        <f t="shared" si="2"/>
        <v>1</v>
      </c>
      <c r="I15" s="117"/>
      <c r="J15" s="117" t="str" cm="1">
        <f t="array" ref="J15" xml:space="preserve"> IFERROR( IF(F15&lt;&gt;"", INDEX(聲母對照表[國際音標], MATCH(TRUE, EXACT('輸入工具 (閩拼方案)'!F15, 聲母對照表[閩拼方案]), 0)), ""), "")</f>
        <v>k</v>
      </c>
      <c r="K15" s="117" t="str" cm="1">
        <f t="array" ref="K15">IFERROR( IF(G15&lt;&gt;"", INDEX(韻母對照表[國際音標], MATCH(TRUE, EXACT('輸入工具 (閩拼方案)'!G15, 韻母對照表[閩拼方案]), 0)), ""), "")</f>
        <v>ɔ</v>
      </c>
      <c r="L15" s="117" t="str" cm="1">
        <f t="array" ref="L15" xml:space="preserve"> IF(H15&lt;&gt;"", INDEX(上標對照表[上標值], MATCH(TRUE, EXACT('輸入工具 (閩拼方案)'!H15, 上標對照表[調號]), 0)), "")</f>
        <v>¹</v>
      </c>
    </row>
    <row r="16" spans="2:12" ht="29.25">
      <c r="B16" s="122">
        <f t="shared" si="3"/>
        <v>12</v>
      </c>
      <c r="C16" s="12" t="s">
        <v>2257</v>
      </c>
      <c r="D16" s="120" t="s">
        <v>2283</v>
      </c>
      <c r="E16" s="119" t="str">
        <f t="shared" si="0"/>
        <v>siŋ²</v>
      </c>
      <c r="F16" s="117" t="s">
        <v>2049</v>
      </c>
      <c r="G16" s="117" t="str">
        <f t="shared" si="1"/>
        <v>ing</v>
      </c>
      <c r="H16" s="118" t="str">
        <f t="shared" si="2"/>
        <v>2</v>
      </c>
      <c r="I16" s="117"/>
      <c r="J16" s="117" t="str" cm="1">
        <f t="array" ref="J16" xml:space="preserve"> IFERROR( IF(F16&lt;&gt;"", INDEX(聲母對照表[國際音標], MATCH(TRUE, EXACT('輸入工具 (閩拼方案)'!F16, 聲母對照表[閩拼方案]), 0)), ""), "")</f>
        <v>s</v>
      </c>
      <c r="K16" s="117" t="str" cm="1">
        <f t="array" ref="K16">IFERROR( IF(G16&lt;&gt;"", INDEX(韻母對照表[國際音標], MATCH(TRUE, EXACT('輸入工具 (閩拼方案)'!G16, 韻母對照表[閩拼方案]), 0)), ""), "")</f>
        <v>iŋ</v>
      </c>
      <c r="L16" s="117" t="str" cm="1">
        <f t="array" ref="L16" xml:space="preserve"> IF(H16&lt;&gt;"", INDEX(上標對照表[上標值], MATCH(TRUE, EXACT('輸入工具 (閩拼方案)'!H16, 上標對照表[調號]), 0)), "")</f>
        <v>²</v>
      </c>
    </row>
    <row r="17" spans="2:12" ht="29.25">
      <c r="B17" s="122">
        <f t="shared" si="3"/>
        <v>13</v>
      </c>
      <c r="C17" s="12" t="s">
        <v>2258</v>
      </c>
      <c r="D17" s="120" t="s">
        <v>2284</v>
      </c>
      <c r="E17" s="119" t="str">
        <f t="shared" si="0"/>
        <v>ban³</v>
      </c>
      <c r="F17" s="117" t="s">
        <v>2038</v>
      </c>
      <c r="G17" s="117" t="str">
        <f t="shared" si="1"/>
        <v>an</v>
      </c>
      <c r="H17" s="118" t="str">
        <f t="shared" si="2"/>
        <v>3</v>
      </c>
      <c r="I17" s="117"/>
      <c r="J17" s="117" t="str" cm="1">
        <f t="array" ref="J17" xml:space="preserve"> IFERROR( IF(F17&lt;&gt;"", INDEX(聲母對照表[國際音標], MATCH(TRUE, EXACT('輸入工具 (閩拼方案)'!F17, 聲母對照表[閩拼方案]), 0)), ""), "")</f>
        <v>b</v>
      </c>
      <c r="K17" s="117" t="str" cm="1">
        <f t="array" ref="K17">IFERROR( IF(G17&lt;&gt;"", INDEX(韻母對照表[國際音標], MATCH(TRUE, EXACT('輸入工具 (閩拼方案)'!G17, 韻母對照表[閩拼方案]), 0)), ""), "")</f>
        <v>an</v>
      </c>
      <c r="L17" s="117" t="str" cm="1">
        <f t="array" ref="L17" xml:space="preserve"> IF(H17&lt;&gt;"", INDEX(上標對照表[上標值], MATCH(TRUE, EXACT('輸入工具 (閩拼方案)'!H17, 上標對照表[調號]), 0)), "")</f>
        <v>³</v>
      </c>
    </row>
    <row r="18" spans="2:12" ht="29.25">
      <c r="B18" s="122">
        <f t="shared" si="3"/>
        <v>14</v>
      </c>
      <c r="C18" s="12" t="s">
        <v>2235</v>
      </c>
      <c r="D18" s="120" t="s">
        <v>2247</v>
      </c>
      <c r="E18" s="119" t="str">
        <f t="shared" si="0"/>
        <v>ʣim⁶</v>
      </c>
      <c r="F18" s="117" t="s">
        <v>2050</v>
      </c>
      <c r="G18" s="117" t="str">
        <f t="shared" si="1"/>
        <v>im</v>
      </c>
      <c r="H18" s="118" t="str">
        <f t="shared" si="2"/>
        <v>6</v>
      </c>
      <c r="I18" s="117"/>
      <c r="J18" s="117" t="str" cm="1">
        <f t="array" ref="J18" xml:space="preserve"> IFERROR( IF(F18&lt;&gt;"", INDEX(聲母對照表[國際音標], MATCH(TRUE, EXACT('輸入工具 (閩拼方案)'!F18, 聲母對照表[閩拼方案]), 0)), ""), "")</f>
        <v>ʣ</v>
      </c>
      <c r="K18" s="117" t="str" cm="1">
        <f t="array" ref="K18">IFERROR( IF(G18&lt;&gt;"", INDEX(韻母對照表[國際音標], MATCH(TRUE, EXACT('輸入工具 (閩拼方案)'!G18, 韻母對照表[閩拼方案]), 0)), ""), "")</f>
        <v>im</v>
      </c>
      <c r="L18" s="117" t="str" cm="1">
        <f t="array" ref="L18" xml:space="preserve"> IF(H18&lt;&gt;"", INDEX(上標對照表[上標值], MATCH(TRUE, EXACT('輸入工具 (閩拼方案)'!H18, 上標對照表[調號]), 0)), "")</f>
        <v>⁶</v>
      </c>
    </row>
    <row r="19" spans="2:12" ht="29.25">
      <c r="B19" s="122">
        <f t="shared" si="3"/>
        <v>15</v>
      </c>
      <c r="C19" s="12" t="s">
        <v>2259</v>
      </c>
      <c r="D19" s="120" t="s">
        <v>2285</v>
      </c>
      <c r="E19" s="119" t="str">
        <f t="shared" si="0"/>
        <v>san¹</v>
      </c>
      <c r="F19" s="117" t="s">
        <v>2049</v>
      </c>
      <c r="G19" s="117" t="str">
        <f t="shared" si="1"/>
        <v>an</v>
      </c>
      <c r="H19" s="118" t="str">
        <f t="shared" si="2"/>
        <v>1</v>
      </c>
      <c r="I19" s="117"/>
      <c r="J19" s="117" t="str" cm="1">
        <f t="array" ref="J19" xml:space="preserve"> IFERROR( IF(F19&lt;&gt;"", INDEX(聲母對照表[國際音標], MATCH(TRUE, EXACT('輸入工具 (閩拼方案)'!F19, 聲母對照表[閩拼方案]), 0)), ""), "")</f>
        <v>s</v>
      </c>
      <c r="K19" s="117" t="str" cm="1">
        <f t="array" ref="K19">IFERROR( IF(G19&lt;&gt;"", INDEX(韻母對照表[國際音標], MATCH(TRUE, EXACT('輸入工具 (閩拼方案)'!G19, 韻母對照表[閩拼方案]), 0)), ""), "")</f>
        <v>an</v>
      </c>
      <c r="L19" s="117" t="str" cm="1">
        <f t="array" ref="L19" xml:space="preserve"> IF(H19&lt;&gt;"", INDEX(上標對照表[上標值], MATCH(TRUE, EXACT('輸入工具 (閩拼方案)'!H19, 上標對照表[調號]), 0)), "")</f>
        <v>¹</v>
      </c>
    </row>
    <row r="20" spans="2:12" ht="29.25">
      <c r="B20" s="122">
        <f t="shared" si="3"/>
        <v>16</v>
      </c>
      <c r="C20" s="12" t="s">
        <v>2260</v>
      </c>
      <c r="D20" s="120"/>
      <c r="E20" s="119"/>
      <c r="F20" s="117"/>
      <c r="G20" s="117" t="str">
        <f t="shared" si="1"/>
        <v/>
      </c>
      <c r="H20" s="118" t="str">
        <f t="shared" si="2"/>
        <v/>
      </c>
      <c r="I20" s="117"/>
      <c r="J20" s="117" t="str" cm="1">
        <f t="array" ref="J20" xml:space="preserve"> IFERROR( IF(F20&lt;&gt;"", INDEX(聲母對照表[國際音標], MATCH(TRUE, EXACT('輸入工具 (閩拼方案)'!F20, 聲母對照表[閩拼方案]), 0)), ""), "")</f>
        <v/>
      </c>
      <c r="K20" s="117" t="str" cm="1">
        <f t="array" ref="K20">IFERROR( IF(G20&lt;&gt;"", INDEX(韻母對照表[國際音標], MATCH(TRUE, EXACT('輸入工具 (閩拼方案)'!G20, 韻母對照表[閩拼方案]), 0)), ""), "")</f>
        <v/>
      </c>
      <c r="L20" s="117" t="str" cm="1">
        <f t="array" ref="L20" xml:space="preserve"> IF(H20&lt;&gt;"", INDEX(上標對照表[上標值], MATCH(TRUE, EXACT('輸入工具 (閩拼方案)'!H20, 上標對照表[調號]), 0)), "")</f>
        <v/>
      </c>
    </row>
    <row r="21" spans="2:12" ht="29.25">
      <c r="B21" s="122">
        <f t="shared" si="3"/>
        <v>17</v>
      </c>
      <c r="C21" s="12" t="s">
        <v>2236</v>
      </c>
      <c r="D21" s="120" t="s">
        <v>2239</v>
      </c>
      <c r="E21" s="119" t="str">
        <f xml:space="preserve"> IF(AND(F21&lt;&gt;"",G21&lt;&gt;"",H21&lt;&gt;""), _xlfn.CONCAT(J21:L21), "")</f>
        <v>kɪũ¹</v>
      </c>
      <c r="F21" s="117" t="s">
        <v>2043</v>
      </c>
      <c r="G21" s="117" t="str">
        <f t="shared" si="1"/>
        <v>niu</v>
      </c>
      <c r="H21" s="118" t="str">
        <f t="shared" si="2"/>
        <v>1</v>
      </c>
      <c r="I21" s="117"/>
      <c r="J21" s="117" t="str" cm="1">
        <f t="array" ref="J21" xml:space="preserve"> IFERROR( IF(F21&lt;&gt;"", INDEX(聲母對照表[國際音標], MATCH(TRUE, EXACT('輸入工具 (閩拼方案)'!F21, 聲母對照表[閩拼方案]), 0)), ""), "")</f>
        <v>k</v>
      </c>
      <c r="K21" s="117" t="str" cm="1">
        <f t="array" ref="K21">IFERROR( IF(G21&lt;&gt;"", INDEX(韻母對照表[國際音標], MATCH(TRUE, EXACT('輸入工具 (閩拼方案)'!G21, 韻母對照表[閩拼方案]), 0)), ""), "")</f>
        <v>ɪũ</v>
      </c>
      <c r="L21" s="117" t="str" cm="1">
        <f t="array" ref="L21" xml:space="preserve"> IF(H21&lt;&gt;"", INDEX(上標對照表[上標值], MATCH(TRUE, EXACT('輸入工具 (閩拼方案)'!H21, 上標對照表[調號]), 0)), "")</f>
        <v>¹</v>
      </c>
    </row>
    <row r="22" spans="2:12" ht="29.25">
      <c r="B22" s="122">
        <f t="shared" si="3"/>
        <v>18</v>
      </c>
      <c r="C22" s="12" t="s">
        <v>2262</v>
      </c>
      <c r="D22" s="120" t="s">
        <v>2286</v>
      </c>
      <c r="E22" s="119" t="str">
        <f xml:space="preserve"> IF(AND(F22&lt;&gt;"",G22&lt;&gt;"",H22&lt;&gt;""), _xlfn.CONCAT(J22:L22), "")</f>
        <v>tik̚⁸</v>
      </c>
      <c r="F22" s="117" t="s">
        <v>2039</v>
      </c>
      <c r="G22" s="117" t="str">
        <f t="shared" si="1"/>
        <v>ik</v>
      </c>
      <c r="H22" s="118" t="str">
        <f t="shared" si="2"/>
        <v>8</v>
      </c>
      <c r="I22" s="117"/>
      <c r="J22" s="117" t="str" cm="1">
        <f t="array" ref="J22" xml:space="preserve"> IFERROR( IF(F22&lt;&gt;"", INDEX(聲母對照表[國際音標], MATCH(TRUE, EXACT('輸入工具 (閩拼方案)'!F22, 聲母對照表[閩拼方案]), 0)), ""), "")</f>
        <v>t</v>
      </c>
      <c r="K22" s="117" t="str" cm="1">
        <f t="array" ref="K22">IFERROR( IF(G22&lt;&gt;"", INDEX(韻母對照表[國際音標], MATCH(TRUE, EXACT('輸入工具 (閩拼方案)'!G22, 韻母對照表[閩拼方案]), 0)), ""), "")</f>
        <v>ik̚</v>
      </c>
      <c r="L22" s="117" t="str" cm="1">
        <f t="array" ref="L22" xml:space="preserve"> IF(H22&lt;&gt;"", INDEX(上標對照表[上標值], MATCH(TRUE, EXACT('輸入工具 (閩拼方案)'!H22, 上標對照表[調號]), 0)), "")</f>
        <v>⁸</v>
      </c>
    </row>
    <row r="23" spans="2:12" ht="29.25">
      <c r="B23" s="122">
        <f t="shared" si="3"/>
        <v>19</v>
      </c>
      <c r="C23" s="12" t="s">
        <v>2263</v>
      </c>
      <c r="D23" s="120" t="s">
        <v>2274</v>
      </c>
      <c r="E23" s="119" t="str">
        <f xml:space="preserve"> IF(AND(F23&lt;&gt;"",G23&lt;&gt;"",H23&lt;&gt;""), _xlfn.CONCAT(J23:L23), "")</f>
        <v>hə²</v>
      </c>
      <c r="F23" s="117" t="s">
        <v>2046</v>
      </c>
      <c r="G23" s="117" t="str">
        <f t="shared" si="1"/>
        <v>o</v>
      </c>
      <c r="H23" s="118" t="str">
        <f t="shared" si="2"/>
        <v>2</v>
      </c>
      <c r="I23" s="117"/>
      <c r="J23" s="117" t="str" cm="1">
        <f t="array" ref="J23" xml:space="preserve"> IFERROR( IF(F23&lt;&gt;"", INDEX(聲母對照表[國際音標], MATCH(TRUE, EXACT('輸入工具 (閩拼方案)'!F23, 聲母對照表[閩拼方案]), 0)), ""), "")</f>
        <v>h</v>
      </c>
      <c r="K23" s="117" t="str" cm="1">
        <f t="array" ref="K23">IFERROR( IF(G23&lt;&gt;"", INDEX(韻母對照表[國際音標], MATCH(TRUE, EXACT('輸入工具 (閩拼方案)'!G23, 韻母對照表[閩拼方案]), 0)), ""), "")</f>
        <v>ə</v>
      </c>
      <c r="L23" s="117" t="str" cm="1">
        <f t="array" ref="L23" xml:space="preserve"> IF(H23&lt;&gt;"", INDEX(上標對照表[上標值], MATCH(TRUE, EXACT('輸入工具 (閩拼方案)'!H23, 上標對照表[調號]), 0)), "")</f>
        <v>²</v>
      </c>
    </row>
    <row r="24" spans="2:12" ht="29.25">
      <c r="B24" s="122">
        <f t="shared" si="3"/>
        <v>20</v>
      </c>
      <c r="C24" s="12" t="s">
        <v>2264</v>
      </c>
      <c r="D24" s="120" t="s">
        <v>2287</v>
      </c>
      <c r="E24" s="119" t="str">
        <f xml:space="preserve"> IF(AND(F24&lt;&gt;"",G24&lt;&gt;"",H24&lt;&gt;""), _xlfn.CONCAT(J24:L24), "")</f>
        <v>su¹</v>
      </c>
      <c r="F24" s="117" t="s">
        <v>2049</v>
      </c>
      <c r="G24" s="117" t="str">
        <f t="shared" si="1"/>
        <v>u</v>
      </c>
      <c r="H24" s="118" t="str">
        <f t="shared" si="2"/>
        <v>1</v>
      </c>
      <c r="I24" s="117"/>
      <c r="J24" s="117" t="str" cm="1">
        <f t="array" ref="J24" xml:space="preserve"> IFERROR( IF(F24&lt;&gt;"", INDEX(聲母對照表[國際音標], MATCH(TRUE, EXACT('輸入工具 (閩拼方案)'!F24, 聲母對照表[閩拼方案]), 0)), ""), "")</f>
        <v>s</v>
      </c>
      <c r="K24" s="117" t="str" cm="1">
        <f t="array" ref="K24">IFERROR( IF(G24&lt;&gt;"", INDEX(韻母對照表[國際音標], MATCH(TRUE, EXACT('輸入工具 (閩拼方案)'!G24, 韻母對照表[閩拼方案]), 0)), ""), "")</f>
        <v>u</v>
      </c>
      <c r="L24" s="117" t="str" cm="1">
        <f t="array" ref="L24" xml:space="preserve"> IF(H24&lt;&gt;"", INDEX(上標對照表[上標值], MATCH(TRUE, EXACT('輸入工具 (閩拼方案)'!H24, 上標對照表[調號]), 0)), "")</f>
        <v>¹</v>
      </c>
    </row>
    <row r="25" spans="2:12" ht="29.25">
      <c r="B25" s="122">
        <f t="shared" si="3"/>
        <v>21</v>
      </c>
      <c r="C25" s="12" t="s">
        <v>2265</v>
      </c>
      <c r="D25" s="120" t="s">
        <v>2330</v>
      </c>
      <c r="E25" s="119" t="str">
        <f t="shared" ref="E25" si="4" xml:space="preserve"> IF(AND(F25&lt;&gt;"",G25&lt;&gt;"",H25&lt;&gt;""), _xlfn.CONCAT(J25:L25), "")</f>
        <v>uan⁵</v>
      </c>
      <c r="F25" s="117" t="s">
        <v>2294</v>
      </c>
      <c r="G25" s="117" t="s">
        <v>1013</v>
      </c>
      <c r="H25" s="118" t="str">
        <f t="shared" si="2"/>
        <v>5</v>
      </c>
      <c r="I25" s="117"/>
      <c r="J25" s="117" t="str" cm="1">
        <f t="array" ref="J25" xml:space="preserve"> IFERROR( IF(F25&lt;&gt;"", INDEX(聲母對照表[國際音標], MATCH(TRUE, EXACT('輸入工具 (閩拼方案)'!F25, 聲母對照表[閩拼方案]), 0)), ""), "")</f>
        <v/>
      </c>
      <c r="K25" s="117" t="str" cm="1">
        <f t="array" ref="K25">IFERROR( IF(G25&lt;&gt;"", INDEX(韻母對照表[國際音標], MATCH(TRUE, EXACT('輸入工具 (閩拼方案)'!G25, 韻母對照表[閩拼方案]), 0)), ""), "")</f>
        <v>uan</v>
      </c>
      <c r="L25" s="117" t="str" cm="1">
        <f t="array" ref="L25" xml:space="preserve"> IF(H25&lt;&gt;"", INDEX(上標對照表[上標值], MATCH(TRUE, EXACT('輸入工具 (閩拼方案)'!H25, 上標對照表[調號]), 0)), "")</f>
        <v>⁵</v>
      </c>
    </row>
    <row r="26" spans="2:12" ht="29.25">
      <c r="B26" s="122">
        <f t="shared" si="3"/>
        <v>22</v>
      </c>
      <c r="C26" s="12" t="s">
        <v>2240</v>
      </c>
      <c r="D26" s="120" t="s">
        <v>2243</v>
      </c>
      <c r="E26" s="119" t="str">
        <f t="shared" ref="E26:E35" si="5" xml:space="preserve"> IF(AND(F26&lt;&gt;"",G26&lt;&gt;"",H26&lt;&gt;""), _xlfn.CONCAT(J26:L26), "")</f>
        <v>ɪũ²</v>
      </c>
      <c r="F26" s="117" t="s">
        <v>2245</v>
      </c>
      <c r="G26" s="117" t="s">
        <v>2244</v>
      </c>
      <c r="H26" s="118" t="str">
        <f t="shared" si="2"/>
        <v>2</v>
      </c>
      <c r="I26" s="117"/>
      <c r="J26" s="117" t="str" cm="1">
        <f t="array" ref="J26" xml:space="preserve"> IFERROR( IF(F26&lt;&gt;"", INDEX(聲母對照表[國際音標], MATCH(TRUE, EXACT('輸入工具 (閩拼方案)'!F26, 聲母對照表[閩拼方案]), 0)), ""), "")</f>
        <v/>
      </c>
      <c r="K26" s="117" t="str" cm="1">
        <f t="array" ref="K26">IFERROR( IF(G26&lt;&gt;"", INDEX(韻母對照表[國際音標], MATCH(TRUE, EXACT('輸入工具 (閩拼方案)'!G26, 韻母對照表[閩拼方案]), 0)), ""), "")</f>
        <v>ɪũ</v>
      </c>
      <c r="L26" s="117" t="str" cm="1">
        <f t="array" ref="L26" xml:space="preserve"> IF(H26&lt;&gt;"", INDEX(上標對照表[上標值], MATCH(TRUE, EXACT('輸入工具 (閩拼方案)'!H26, 上標對照表[調號]), 0)), "")</f>
        <v>²</v>
      </c>
    </row>
    <row r="27" spans="2:12" ht="29.25">
      <c r="B27" s="122">
        <f t="shared" si="3"/>
        <v>23</v>
      </c>
      <c r="C27" s="12" t="s">
        <v>2241</v>
      </c>
      <c r="D27" s="120" t="s">
        <v>2242</v>
      </c>
      <c r="E27" s="119" t="str">
        <f t="shared" si="5"/>
        <v>lɪu³</v>
      </c>
      <c r="F27" s="117" t="s">
        <v>2042</v>
      </c>
      <c r="G27" s="117" t="str">
        <f t="shared" si="1"/>
        <v>iu</v>
      </c>
      <c r="H27" s="118" t="str">
        <f t="shared" si="2"/>
        <v>3</v>
      </c>
      <c r="I27" s="117"/>
      <c r="J27" s="117" t="str" cm="1">
        <f t="array" ref="J27" xml:space="preserve"> IFERROR( IF(F27&lt;&gt;"", INDEX(聲母對照表[國際音標], MATCH(TRUE, EXACT('輸入工具 (閩拼方案)'!F27, 聲母對照表[閩拼方案]), 0)), ""), "")</f>
        <v>l</v>
      </c>
      <c r="K27" s="117" t="str" cm="1">
        <f t="array" ref="K27">IFERROR( IF(G27&lt;&gt;"", INDEX(韻母對照表[國際音標], MATCH(TRUE, EXACT('輸入工具 (閩拼方案)'!G27, 韻母對照表[閩拼方案]), 0)), ""), "")</f>
        <v>ɪu</v>
      </c>
      <c r="L27" s="117" t="str" cm="1">
        <f t="array" ref="L27" xml:space="preserve"> IF(H27&lt;&gt;"", INDEX(上標對照表[上標值], MATCH(TRUE, EXACT('輸入工具 (閩拼方案)'!H27, 上標對照表[調號]), 0)), "")</f>
        <v>³</v>
      </c>
    </row>
    <row r="28" spans="2:12" ht="29.25">
      <c r="B28" s="122">
        <f t="shared" si="3"/>
        <v>24</v>
      </c>
      <c r="C28" s="12" t="s">
        <v>2261</v>
      </c>
      <c r="D28" s="120"/>
      <c r="E28" s="119" t="str">
        <f t="shared" si="5"/>
        <v/>
      </c>
      <c r="F28" s="117"/>
      <c r="G28" s="117" t="str">
        <f t="shared" si="1"/>
        <v/>
      </c>
      <c r="H28" s="118" t="str">
        <f t="shared" si="2"/>
        <v/>
      </c>
      <c r="I28" s="117"/>
      <c r="J28" s="117" t="str" cm="1">
        <f t="array" ref="J28" xml:space="preserve"> IFERROR( IF(F28&lt;&gt;"", INDEX(聲母對照表[國際音標], MATCH(TRUE, EXACT('輸入工具 (閩拼方案)'!F28, 聲母對照表[閩拼方案]), 0)), ""), "")</f>
        <v/>
      </c>
      <c r="K28" s="117" t="str" cm="1">
        <f t="array" ref="K28">IFERROR( IF(G28&lt;&gt;"", INDEX(韻母對照表[國際音標], MATCH(TRUE, EXACT('輸入工具 (閩拼方案)'!G28, 韻母對照表[閩拼方案]), 0)), ""), "")</f>
        <v/>
      </c>
      <c r="L28" s="117" t="str" cm="1">
        <f t="array" ref="L28" xml:space="preserve"> IF(H28&lt;&gt;"", INDEX(上標對照表[上標值], MATCH(TRUE, EXACT('輸入工具 (閩拼方案)'!H28, 上標對照表[調號]), 0)), "")</f>
        <v/>
      </c>
    </row>
    <row r="29" spans="2:12" ht="29.25">
      <c r="B29" s="122">
        <f t="shared" si="3"/>
        <v>25</v>
      </c>
      <c r="C29" s="12" t="s">
        <v>2266</v>
      </c>
      <c r="D29" s="120" t="s">
        <v>2288</v>
      </c>
      <c r="E29" s="119" t="str">
        <f t="shared" si="5"/>
        <v>ʦʰun¹</v>
      </c>
      <c r="F29" s="117" t="s">
        <v>2048</v>
      </c>
      <c r="G29" s="117" t="str">
        <f t="shared" si="1"/>
        <v>un</v>
      </c>
      <c r="H29" s="118" t="str">
        <f t="shared" si="2"/>
        <v>1</v>
      </c>
      <c r="I29" s="117"/>
      <c r="J29" s="117" t="str" cm="1">
        <f t="array" ref="J29" xml:space="preserve"> IFERROR( IF(F29&lt;&gt;"", INDEX(聲母對照表[國際音標], MATCH(TRUE, EXACT('輸入工具 (閩拼方案)'!F29, 聲母對照表[閩拼方案]), 0)), ""), "")</f>
        <v>ʦʰ</v>
      </c>
      <c r="K29" s="117" t="str" cm="1">
        <f t="array" ref="K29">IFERROR( IF(G29&lt;&gt;"", INDEX(韻母對照表[國際音標], MATCH(TRUE, EXACT('輸入工具 (閩拼方案)'!G29, 韻母對照表[閩拼方案]), 0)), ""), "")</f>
        <v>un</v>
      </c>
      <c r="L29" s="117" t="str" cm="1">
        <f t="array" ref="L29" xml:space="preserve"> IF(H29&lt;&gt;"", INDEX(上標對照表[上標值], MATCH(TRUE, EXACT('輸入工具 (閩拼方案)'!H29, 上標對照表[調號]), 0)), "")</f>
        <v>¹</v>
      </c>
    </row>
    <row r="30" spans="2:12" ht="29.25">
      <c r="B30" s="122">
        <f t="shared" si="3"/>
        <v>26</v>
      </c>
      <c r="C30" s="12" t="s">
        <v>2267</v>
      </c>
      <c r="D30" s="120" t="s">
        <v>2289</v>
      </c>
      <c r="E30" s="119" t="str">
        <f t="shared" si="5"/>
        <v>hɔŋ¹</v>
      </c>
      <c r="F30" s="117" t="s">
        <v>2046</v>
      </c>
      <c r="G30" s="117" t="str">
        <f t="shared" si="1"/>
        <v>ong</v>
      </c>
      <c r="H30" s="118" t="str">
        <f t="shared" si="2"/>
        <v>1</v>
      </c>
      <c r="I30" s="117"/>
      <c r="J30" s="117" t="str" cm="1">
        <f t="array" ref="J30" xml:space="preserve"> IFERROR( IF(F30&lt;&gt;"", INDEX(聲母對照表[國際音標], MATCH(TRUE, EXACT('輸入工具 (閩拼方案)'!F30, 聲母對照表[閩拼方案]), 0)), ""), "")</f>
        <v>h</v>
      </c>
      <c r="K30" s="117" t="str" cm="1">
        <f t="array" ref="K30">IFERROR( IF(G30&lt;&gt;"", INDEX(韻母對照表[國際音標], MATCH(TRUE, EXACT('輸入工具 (閩拼方案)'!G30, 韻母對照表[閩拼方案]), 0)), ""), "")</f>
        <v>ɔŋ</v>
      </c>
      <c r="L30" s="117" t="str" cm="1">
        <f t="array" ref="L30" xml:space="preserve"> IF(H30&lt;&gt;"", INDEX(上標對照表[上標值], MATCH(TRUE, EXACT('輸入工具 (閩拼方案)'!H30, 上標對照表[調號]), 0)), "")</f>
        <v>¹</v>
      </c>
    </row>
    <row r="31" spans="2:12" ht="29.25">
      <c r="B31" s="122">
        <f t="shared" si="3"/>
        <v>27</v>
      </c>
      <c r="C31" s="12" t="s">
        <v>2268</v>
      </c>
      <c r="D31" s="120" t="s">
        <v>2290</v>
      </c>
      <c r="E31" s="119" t="str">
        <f t="shared" si="5"/>
        <v>put̚⁷</v>
      </c>
      <c r="F31" s="117" t="s">
        <v>2036</v>
      </c>
      <c r="G31" s="117" t="str">
        <f t="shared" si="1"/>
        <v>ut</v>
      </c>
      <c r="H31" s="118" t="str">
        <f t="shared" si="2"/>
        <v>7</v>
      </c>
      <c r="I31" s="117"/>
      <c r="J31" s="117" t="str" cm="1">
        <f t="array" ref="J31" xml:space="preserve"> IFERROR( IF(F31&lt;&gt;"", INDEX(聲母對照表[國際音標], MATCH(TRUE, EXACT('輸入工具 (閩拼方案)'!F31, 聲母對照表[閩拼方案]), 0)), ""), "")</f>
        <v>p</v>
      </c>
      <c r="K31" s="117" t="str" cm="1">
        <f t="array" ref="K31">IFERROR( IF(G31&lt;&gt;"", INDEX(韻母對照表[國際音標], MATCH(TRUE, EXACT('輸入工具 (閩拼方案)'!G31, 韻母對照表[閩拼方案]), 0)), ""), "")</f>
        <v>ut̚</v>
      </c>
      <c r="L31" s="117" t="str" cm="1">
        <f t="array" ref="L31" xml:space="preserve"> IF(H31&lt;&gt;"", INDEX(上標對照表[上標值], MATCH(TRUE, EXACT('輸入工具 (閩拼方案)'!H31, 上標對照表[調號]), 0)), "")</f>
        <v>⁷</v>
      </c>
    </row>
    <row r="32" spans="2:12" ht="29.25">
      <c r="B32" s="122">
        <f t="shared" si="3"/>
        <v>28</v>
      </c>
      <c r="C32" s="12" t="s">
        <v>2269</v>
      </c>
      <c r="D32" s="120" t="s">
        <v>2291</v>
      </c>
      <c r="E32" s="119" t="str">
        <f t="shared" si="5"/>
        <v>tɔ⁶</v>
      </c>
      <c r="F32" s="117" t="s">
        <v>2039</v>
      </c>
      <c r="G32" s="117" t="str">
        <f t="shared" si="1"/>
        <v>oo</v>
      </c>
      <c r="H32" s="118" t="str">
        <f t="shared" si="2"/>
        <v>6</v>
      </c>
      <c r="I32" s="117"/>
      <c r="J32" s="117" t="str" cm="1">
        <f t="array" ref="J32" xml:space="preserve"> IFERROR( IF(F32&lt;&gt;"", INDEX(聲母對照表[國際音標], MATCH(TRUE, EXACT('輸入工具 (閩拼方案)'!F32, 聲母對照表[閩拼方案]), 0)), ""), "")</f>
        <v>t</v>
      </c>
      <c r="K32" s="117" t="str" cm="1">
        <f t="array" ref="K32">IFERROR( IF(G32&lt;&gt;"", INDEX(韻母對照表[國際音標], MATCH(TRUE, EXACT('輸入工具 (閩拼方案)'!G32, 韻母對照表[閩拼方案]), 0)), ""), "")</f>
        <v>ɔ</v>
      </c>
      <c r="L32" s="117" t="str" cm="1">
        <f t="array" ref="L32" xml:space="preserve"> IF(H32&lt;&gt;"", INDEX(上標對照表[上標值], MATCH(TRUE, EXACT('輸入工具 (閩拼方案)'!H32, 上標對照表[調號]), 0)), "")</f>
        <v>⁶</v>
      </c>
    </row>
    <row r="33" spans="1:12" ht="29.25">
      <c r="B33" s="122">
        <f t="shared" si="3"/>
        <v>29</v>
      </c>
      <c r="C33" s="12" t="s">
        <v>2270</v>
      </c>
      <c r="D33" s="120" t="s">
        <v>2292</v>
      </c>
      <c r="E33" s="119" t="str">
        <f t="shared" si="5"/>
        <v>ɡɪɔk̚⁸</v>
      </c>
      <c r="F33" s="117" t="s">
        <v>2045</v>
      </c>
      <c r="G33" s="117" t="str">
        <f t="shared" si="1"/>
        <v>iok</v>
      </c>
      <c r="H33" s="118" t="str">
        <f t="shared" si="2"/>
        <v>8</v>
      </c>
      <c r="I33" s="117"/>
      <c r="J33" s="117" t="str" cm="1">
        <f t="array" ref="J33" xml:space="preserve"> IFERROR( IF(F33&lt;&gt;"", INDEX(聲母對照表[國際音標], MATCH(TRUE, EXACT('輸入工具 (閩拼方案)'!F33, 聲母對照表[閩拼方案]), 0)), ""), "")</f>
        <v>ɡ</v>
      </c>
      <c r="K33" s="117" t="str" cm="1">
        <f t="array" ref="K33">IFERROR( IF(G33&lt;&gt;"", INDEX(韻母對照表[國際音標], MATCH(TRUE, EXACT('輸入工具 (閩拼方案)'!G33, 韻母對照表[閩拼方案]), 0)), ""), "")</f>
        <v>ɪɔk̚</v>
      </c>
      <c r="L33" s="117" t="str" cm="1">
        <f t="array" ref="L33" xml:space="preserve"> IF(H33&lt;&gt;"", INDEX(上標對照表[上標值], MATCH(TRUE, EXACT('輸入工具 (閩拼方案)'!H33, 上標對照表[調號]), 0)), "")</f>
        <v>⁸</v>
      </c>
    </row>
    <row r="34" spans="1:12" ht="29.25">
      <c r="B34" s="122">
        <f t="shared" si="3"/>
        <v>30</v>
      </c>
      <c r="C34" s="12" t="s">
        <v>2234</v>
      </c>
      <c r="D34" s="120" t="s">
        <v>2238</v>
      </c>
      <c r="E34" s="119" t="str">
        <f t="shared" si="5"/>
        <v>bŋ̍²</v>
      </c>
      <c r="F34" s="117" t="s">
        <v>2038</v>
      </c>
      <c r="G34" s="117" t="str">
        <f t="shared" si="1"/>
        <v>ng</v>
      </c>
      <c r="H34" s="118" t="str">
        <f t="shared" si="2"/>
        <v>2</v>
      </c>
      <c r="I34" s="117"/>
      <c r="J34" s="117" t="str" cm="1">
        <f t="array" ref="J34" xml:space="preserve"> IFERROR( IF(F34&lt;&gt;"", INDEX(聲母對照表[國際音標], MATCH(TRUE, EXACT('輸入工具 (閩拼方案)'!F34, 聲母對照表[閩拼方案]), 0)), ""), "")</f>
        <v>b</v>
      </c>
      <c r="K34" s="117" t="str" cm="1">
        <f t="array" ref="K34">IFERROR( IF(G34&lt;&gt;"", INDEX(韻母對照表[國際音標], MATCH(TRUE, EXACT('輸入工具 (閩拼方案)'!G34, 韻母對照表[閩拼方案]), 0)), ""), "")</f>
        <v>ŋ̍</v>
      </c>
      <c r="L34" s="117" t="str" cm="1">
        <f t="array" ref="L34" xml:space="preserve"> IF(H34&lt;&gt;"", INDEX(上標對照表[上標值], MATCH(TRUE, EXACT('輸入工具 (閩拼方案)'!H34, 上標對照表[調號]), 0)), "")</f>
        <v>²</v>
      </c>
    </row>
    <row r="35" spans="1:12" ht="29.25">
      <c r="B35" s="122">
        <f t="shared" si="3"/>
        <v>31</v>
      </c>
      <c r="C35" s="12" t="s">
        <v>2271</v>
      </c>
      <c r="D35" s="120" t="s">
        <v>2293</v>
      </c>
      <c r="E35" s="119" t="str">
        <f t="shared" si="5"/>
        <v>kuan¹</v>
      </c>
      <c r="F35" s="117" t="s">
        <v>2043</v>
      </c>
      <c r="G35" s="117" t="str">
        <f t="shared" si="1"/>
        <v>uan</v>
      </c>
      <c r="H35" s="118" t="str">
        <f t="shared" si="2"/>
        <v>1</v>
      </c>
      <c r="I35" s="117"/>
      <c r="J35" s="117" t="str" cm="1">
        <f t="array" ref="J35" xml:space="preserve"> IFERROR( IF(F35&lt;&gt;"", INDEX(聲母對照表[國際音標], MATCH(TRUE, EXACT('輸入工具 (閩拼方案)'!F35, 聲母對照表[閩拼方案]), 0)), ""), "")</f>
        <v>k</v>
      </c>
      <c r="K35" s="117" t="str" cm="1">
        <f t="array" ref="K35">IFERROR( IF(G35&lt;&gt;"", INDEX(韻母對照表[國際音標], MATCH(TRUE, EXACT('輸入工具 (閩拼方案)'!G35, 韻母對照表[閩拼方案]), 0)), ""), "")</f>
        <v>uan</v>
      </c>
      <c r="L35" s="117" t="str" cm="1">
        <f t="array" ref="L35" xml:space="preserve"> IF(H35&lt;&gt;"", INDEX(上標對照表[上標值], MATCH(TRUE, EXACT('輸入工具 (閩拼方案)'!H35, 上標對照表[調號]), 0)), "")</f>
        <v>¹</v>
      </c>
    </row>
    <row r="36" spans="1:12" ht="29.25">
      <c r="B36" s="122">
        <f t="shared" si="3"/>
        <v>32</v>
      </c>
      <c r="C36" s="12" t="s">
        <v>2260</v>
      </c>
      <c r="D36" s="120"/>
      <c r="E36" s="119"/>
      <c r="F36" s="117"/>
      <c r="G36" s="117" t="str">
        <f t="shared" si="1"/>
        <v/>
      </c>
      <c r="H36" s="118" t="str">
        <f t="shared" si="2"/>
        <v/>
      </c>
      <c r="I36" s="117"/>
      <c r="J36" s="117" t="str" cm="1">
        <f t="array" ref="J36" xml:space="preserve"> IFERROR( IF(F36&lt;&gt;"", INDEX(聲母對照表[國際音標], MATCH(TRUE, EXACT('輸入工具 (閩拼方案)'!F36, 聲母對照表[閩拼方案]), 0)), ""), "")</f>
        <v/>
      </c>
      <c r="K36" s="117" t="str" cm="1">
        <f t="array" ref="K36">IFERROR( IF(G36&lt;&gt;"", INDEX(韻母對照表[國際音標], MATCH(TRUE, EXACT('輸入工具 (閩拼方案)'!G36, 韻母對照表[閩拼方案]), 0)), ""), "")</f>
        <v/>
      </c>
      <c r="L36" s="117" t="str" cm="1">
        <f t="array" ref="L36" xml:space="preserve"> IF(H36&lt;&gt;"", INDEX(上標對照表[上標值], MATCH(TRUE, EXACT('輸入工具 (閩拼方案)'!H36, 上標對照表[調號]), 0)), "")</f>
        <v/>
      </c>
    </row>
    <row r="39" spans="1:12" ht="29.25">
      <c r="A39" s="118"/>
      <c r="B39" s="118"/>
      <c r="C39" s="118"/>
      <c r="D39" s="118"/>
      <c r="E39" s="118"/>
      <c r="F39" s="118"/>
      <c r="G39" s="118"/>
      <c r="H39" s="118"/>
      <c r="I39" s="117"/>
      <c r="J39" s="117" t="str" cm="1">
        <f t="array" ref="J39" xml:space="preserve"> IF(F39&lt;&gt;"", INDEX(聲母對照表[國際音標], MATCH(TRUE, EXACT('輸入工具 (閩拼方案)'!F39, 聲母對照表[閩拼方案]), 0)), "")</f>
        <v/>
      </c>
      <c r="K39" s="117" t="str" cm="1">
        <f t="array" ref="K39">IF(G39&lt;&gt;"", INDEX(韻母對照表[國際音標], MATCH(TRUE, EXACT('輸入工具 (閩拼方案)'!G39, 韻母對照表[閩拼方案]), 0)), "")</f>
        <v/>
      </c>
      <c r="L39" s="117" t="str" cm="1">
        <f t="array" ref="L39" xml:space="preserve"> IF(H39&lt;&gt;"", INDEX(#REF!, MATCH(TRUE, EXACT('輸入工具 (閩拼方案)'!H39,#REF!), 0)), "")</f>
        <v/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5F7A0-68C5-43C7-A6E0-21FE25132E3F}">
  <dimension ref="A2:L39"/>
  <sheetViews>
    <sheetView workbookViewId="0">
      <selection activeCell="D4" sqref="D4:D20"/>
    </sheetView>
  </sheetViews>
  <sheetFormatPr defaultRowHeight="25.5"/>
  <cols>
    <col min="1" max="1" width="1.5" customWidth="1"/>
    <col min="2" max="3" width="4.83203125" customWidth="1"/>
    <col min="4" max="5" width="11.5" customWidth="1"/>
    <col min="6" max="12" width="7.08203125" customWidth="1"/>
    <col min="14" max="14" width="12" customWidth="1"/>
  </cols>
  <sheetData>
    <row r="2" spans="2:12">
      <c r="B2" t="str">
        <f xml:space="preserve"> _xlfn.CONCAT("【", D4, "】")</f>
        <v>【閩拼方案】</v>
      </c>
    </row>
    <row r="4" spans="2:12">
      <c r="B4" s="185" t="s">
        <v>702</v>
      </c>
      <c r="C4" s="185" t="s">
        <v>628</v>
      </c>
      <c r="D4" s="186" t="s">
        <v>639</v>
      </c>
      <c r="E4" s="186" t="s">
        <v>697</v>
      </c>
      <c r="F4" s="186" t="s">
        <v>2085</v>
      </c>
      <c r="G4" s="186" t="s">
        <v>2086</v>
      </c>
      <c r="H4" s="187" t="s">
        <v>2360</v>
      </c>
      <c r="I4" s="12"/>
      <c r="J4" s="12" t="s">
        <v>2225</v>
      </c>
      <c r="K4" s="12" t="s">
        <v>737</v>
      </c>
      <c r="L4" s="12" t="s">
        <v>2360</v>
      </c>
    </row>
    <row r="5" spans="2:12" ht="29.25">
      <c r="B5" s="122">
        <f xml:space="preserve"> ROW() - 4</f>
        <v>1</v>
      </c>
      <c r="C5" s="12" t="s">
        <v>2248</v>
      </c>
      <c r="D5" s="120" t="s">
        <v>2272</v>
      </c>
      <c r="E5" s="119" t="str">
        <f xml:space="preserve"> IF(AND(G5&lt;&gt;"",H5&lt;&gt;""), _xlfn.CONCAT(J5:L5), "")</f>
        <v>hɔŋ⁵</v>
      </c>
      <c r="F5" s="117" t="s">
        <v>2046</v>
      </c>
      <c r="G5" s="117" t="str">
        <f>IFERROR( MID(D5, LEN(F5)+1, LEN(D5) - LEN(F5) - 1), "")</f>
        <v>ong</v>
      </c>
      <c r="H5" s="118" t="str">
        <f xml:space="preserve"> RIGHT(D5,1)</f>
        <v>5</v>
      </c>
      <c r="I5" s="117"/>
      <c r="J5" s="117" t="str" cm="1">
        <f t="array" ref="J5" xml:space="preserve"> IFERROR( IF(F5&lt;&gt;"", INDEX(聲母對照表[國際音標], MATCH(TRUE, EXACT('輸入工具 (台語注音二式)'!F5, 聲母對照表[注音二式]), 0)), ""), "")</f>
        <v>h</v>
      </c>
      <c r="K5" s="117" t="str" cm="1">
        <f t="array" ref="K5">IFERROR( IF(G5&lt;&gt;"", INDEX(韻母對照表[國際音標], MATCH(TRUE, EXACT('輸入工具 (台語注音二式)'!G5, 韻母對照表[台語注音二式]), 0)), ""), "")</f>
        <v>ɔŋ</v>
      </c>
      <c r="L5" s="117" t="str" cm="1">
        <f t="array" ref="L5" xml:space="preserve"> IF(H5&lt;&gt;"", INDEX(上標對照表[上標值], MATCH(TRUE, EXACT(H5, 上標對照表[調號]), 0)), "")</f>
        <v>⁵</v>
      </c>
    </row>
    <row r="6" spans="2:12" ht="29.25">
      <c r="B6" s="122">
        <f xml:space="preserve"> ROW() - 4</f>
        <v>2</v>
      </c>
      <c r="C6" s="12" t="s">
        <v>2249</v>
      </c>
      <c r="D6" s="120" t="s">
        <v>2302</v>
      </c>
      <c r="E6" s="119" t="str">
        <f t="shared" ref="E6:E36" si="0" xml:space="preserve"> IF(AND(G6&lt;&gt;"",H6&lt;&gt;""), _xlfn.CONCAT(J6:L6), "")</f>
        <v>hə⁵</v>
      </c>
      <c r="F6" s="117" t="s">
        <v>2046</v>
      </c>
      <c r="G6" s="117" t="str">
        <f t="shared" ref="G6" si="1">IFERROR( MID(D6, LEN(F6)+1, LEN(D6) - LEN(F6) - 1), "")</f>
        <v>or</v>
      </c>
      <c r="H6" s="118" t="str">
        <f t="shared" ref="H6:H36" si="2" xml:space="preserve"> RIGHT(D6,1)</f>
        <v>5</v>
      </c>
      <c r="I6" s="117"/>
      <c r="J6" s="117" t="str" cm="1">
        <f t="array" ref="J6" xml:space="preserve"> IFERROR( IF(F6&lt;&gt;"", INDEX(聲母對照表[國際音標], MATCH(TRUE, EXACT('輸入工具 (台語注音二式)'!F6, 聲母對照表[注音二式]), 0)), ""), "")</f>
        <v>h</v>
      </c>
      <c r="K6" s="117" t="str" cm="1">
        <f t="array" ref="K6">IFERROR( IF(G6&lt;&gt;"", INDEX(韻母對照表[國際音標], MATCH(TRUE, EXACT('輸入工具 (台語注音二式)'!G6, 韻母對照表[台語注音二式]), 0)), ""), "")</f>
        <v>ə</v>
      </c>
      <c r="L6" s="117" t="str" cm="1">
        <f t="array" ref="L6" xml:space="preserve"> IF(H6&lt;&gt;"", INDEX(上標對照表[上標值], MATCH(TRUE, EXACT(H6, 上標對照表[調號]), 0)), "")</f>
        <v>⁵</v>
      </c>
    </row>
    <row r="7" spans="2:12" ht="29.25">
      <c r="B7" s="122">
        <f t="shared" ref="B7:B36" si="3" xml:space="preserve"> ROW() - 4</f>
        <v>3</v>
      </c>
      <c r="C7" s="12" t="s">
        <v>2250</v>
      </c>
      <c r="D7" s="120" t="s">
        <v>2296</v>
      </c>
      <c r="E7" s="119" t="str">
        <f t="shared" si="0"/>
        <v>uan²</v>
      </c>
      <c r="F7" s="121"/>
      <c r="G7" s="117" t="s">
        <v>1013</v>
      </c>
      <c r="H7" s="118" t="str">
        <f t="shared" si="2"/>
        <v>2</v>
      </c>
      <c r="I7" s="117"/>
      <c r="J7" s="117" t="str" cm="1">
        <f t="array" ref="J7" xml:space="preserve"> IFERROR( IF(F7&lt;&gt;"", INDEX(聲母對照表[國際音標], MATCH(TRUE, EXACT('輸入工具 (台語注音二式)'!F7, 聲母對照表[注音二式]), 0)), ""), "")</f>
        <v/>
      </c>
      <c r="K7" s="117" t="str" cm="1">
        <f t="array" ref="K7">IFERROR( IF(G7&lt;&gt;"", INDEX(韻母對照表[國際音標], MATCH(TRUE, EXACT('輸入工具 (台語注音二式)'!G7, 韻母對照表[台語注音二式]), 0)), ""), "")</f>
        <v>uan</v>
      </c>
      <c r="L7" s="117" t="str" cm="1">
        <f t="array" ref="L7" xml:space="preserve"> IF(H7&lt;&gt;"", INDEX(上標對照表[上標值], MATCH(TRUE, EXACT(H7, 上標對照表[調號]), 0)), "")</f>
        <v>²</v>
      </c>
    </row>
    <row r="8" spans="2:12" ht="29.25">
      <c r="B8" s="122">
        <f t="shared" si="3"/>
        <v>4</v>
      </c>
      <c r="C8" s="12" t="s">
        <v>2251</v>
      </c>
      <c r="D8" s="120" t="s">
        <v>2297</v>
      </c>
      <c r="E8" s="119" t="str">
        <f t="shared" si="0"/>
        <v>ɕɪɔŋ²</v>
      </c>
      <c r="F8" s="117" t="s">
        <v>2232</v>
      </c>
      <c r="G8" s="117" t="str">
        <f t="shared" ref="G8:G26" si="4">IFERROR( MID(D8, LEN(F8)+1, LEN(D8) - LEN(F8) - 1), "")</f>
        <v>iong</v>
      </c>
      <c r="H8" s="118" t="str">
        <f t="shared" si="2"/>
        <v>2</v>
      </c>
      <c r="I8" s="117"/>
      <c r="J8" s="117" t="str" cm="1">
        <f t="array" ref="J8" xml:space="preserve"> IFERROR( IF(F8&lt;&gt;"", INDEX(聲母對照表[國際音標], MATCH(TRUE, EXACT('輸入工具 (台語注音二式)'!F8, 聲母對照表[注音二式]), 0)), ""), "")</f>
        <v>ɕ</v>
      </c>
      <c r="K8" s="117" t="str" cm="1">
        <f t="array" ref="K8">IFERROR( IF(G8&lt;&gt;"", INDEX(韻母對照表[國際音標], MATCH(TRUE, EXACT('輸入工具 (台語注音二式)'!G8, 韻母對照表[台語注音二式]), 0)), ""), "")</f>
        <v>ɪɔŋ</v>
      </c>
      <c r="L8" s="117" t="str" cm="1">
        <f t="array" ref="L8" xml:space="preserve"> IF(H8&lt;&gt;"", INDEX(上標對照表[上標值], MATCH(TRUE, EXACT(H8, 上標對照表[調號]), 0)), "")</f>
        <v>²</v>
      </c>
    </row>
    <row r="9" spans="2:12" ht="29.25">
      <c r="B9" s="122">
        <f t="shared" si="3"/>
        <v>5</v>
      </c>
      <c r="C9" s="12" t="s">
        <v>2252</v>
      </c>
      <c r="D9" s="120" t="s">
        <v>2298</v>
      </c>
      <c r="E9" s="119" t="str">
        <f t="shared" si="0"/>
        <v>pik̚⁸</v>
      </c>
      <c r="F9" s="117" t="s">
        <v>2036</v>
      </c>
      <c r="G9" s="117" t="str">
        <f t="shared" si="4"/>
        <v>iek</v>
      </c>
      <c r="H9" s="118" t="str">
        <f t="shared" si="2"/>
        <v>8</v>
      </c>
      <c r="I9" s="117"/>
      <c r="J9" s="117" t="str" cm="1">
        <f t="array" ref="J9" xml:space="preserve"> IFERROR( IF(F9&lt;&gt;"", INDEX(聲母對照表[國際音標], MATCH(TRUE, EXACT('輸入工具 (台語注音二式)'!F9, 聲母對照表[注音二式]), 0)), ""), "")</f>
        <v>p</v>
      </c>
      <c r="K9" s="123" t="str" cm="1">
        <f t="array" ref="K9">IFERROR( IF(G9&lt;&gt;"", INDEX(韻母對照表[國際音標], MATCH(TRUE, EXACT('輸入工具 (台語注音二式)'!G9, 韻母對照表[台語注音二式]), 0)), ""), "")</f>
        <v>ik̚</v>
      </c>
      <c r="L9" s="117" t="str" cm="1">
        <f t="array" ref="L9" xml:space="preserve"> IF(H9&lt;&gt;"", INDEX(上標對照表[上標值], MATCH(TRUE, EXACT(H9, 上標對照表[調號]), 0)), "")</f>
        <v>⁸</v>
      </c>
    </row>
    <row r="10" spans="2:12" ht="29.25">
      <c r="B10" s="122">
        <f t="shared" si="3"/>
        <v>6</v>
      </c>
      <c r="C10" s="12" t="s">
        <v>2253</v>
      </c>
      <c r="D10" s="120" t="s">
        <v>2299</v>
      </c>
      <c r="E10" s="119" t="str">
        <f t="shared" si="0"/>
        <v>hun⁵</v>
      </c>
      <c r="F10" s="117" t="s">
        <v>2046</v>
      </c>
      <c r="G10" s="117" t="str">
        <f t="shared" si="4"/>
        <v>un</v>
      </c>
      <c r="H10" s="118" t="str">
        <f t="shared" si="2"/>
        <v>5</v>
      </c>
      <c r="I10" s="117"/>
      <c r="J10" s="117" t="str" cm="1">
        <f t="array" ref="J10" xml:space="preserve"> IFERROR( IF(F10&lt;&gt;"", INDEX(聲母對照表[國際音標], MATCH(TRUE, EXACT('輸入工具 (台語注音二式)'!F10, 聲母對照表[注音二式]), 0)), ""), "")</f>
        <v>h</v>
      </c>
      <c r="K10" s="117" t="str" cm="1">
        <f t="array" ref="K10">IFERROR( IF(G10&lt;&gt;"", INDEX(韻母對照表[國際音標], MATCH(TRUE, EXACT('輸入工具 (台語注音二式)'!G10, 韻母對照表[台語注音二式]), 0)), ""), "")</f>
        <v>un</v>
      </c>
      <c r="L10" s="117" t="str" cm="1">
        <f t="array" ref="L10" xml:space="preserve"> IF(H10&lt;&gt;"", INDEX(上標對照表[上標值], MATCH(TRUE, EXACT(H10, 上標對照表[調號]), 0)), "")</f>
        <v>⁵</v>
      </c>
    </row>
    <row r="11" spans="2:12" ht="29.25">
      <c r="B11" s="122">
        <f t="shared" si="3"/>
        <v>7</v>
      </c>
      <c r="C11" s="12" t="s">
        <v>2254</v>
      </c>
      <c r="D11" s="120" t="s">
        <v>2346</v>
      </c>
      <c r="E11" s="119" t="str">
        <f t="shared" si="0"/>
        <v>kan¹</v>
      </c>
      <c r="F11" s="117" t="s">
        <v>2043</v>
      </c>
      <c r="G11" s="117" t="str">
        <f t="shared" si="4"/>
        <v>an</v>
      </c>
      <c r="H11" s="118" t="str">
        <f t="shared" si="2"/>
        <v>1</v>
      </c>
      <c r="I11" s="117"/>
      <c r="J11" s="117" t="str" cm="1">
        <f t="array" ref="J11" xml:space="preserve"> IFERROR( IF(F11&lt;&gt;"", INDEX(聲母對照表[國際音標], MATCH(TRUE, EXACT('輸入工具 (台語注音二式)'!F11, 聲母對照表[注音二式]), 0)), ""), "")</f>
        <v>k</v>
      </c>
      <c r="K11" s="117" t="str" cm="1">
        <f t="array" ref="K11">IFERROR( IF(G11&lt;&gt;"", INDEX(韻母對照表[國際音標], MATCH(TRUE, EXACT('輸入工具 (台語注音二式)'!G11, 韻母對照表[台語注音二式]), 0)), ""), "")</f>
        <v>an</v>
      </c>
      <c r="L11" s="117" t="str" cm="1">
        <f t="array" ref="L11" xml:space="preserve"> IF(H11&lt;&gt;"", INDEX(上標對照表[上標值], MATCH(TRUE, EXACT(H11, 上標對照表[調號]), 0)), "")</f>
        <v>¹</v>
      </c>
    </row>
    <row r="12" spans="2:12" ht="29.25">
      <c r="B12" s="122">
        <f t="shared" si="3"/>
        <v>8</v>
      </c>
      <c r="C12" s="12" t="s">
        <v>2261</v>
      </c>
      <c r="D12" s="120"/>
      <c r="E12" s="119" t="str">
        <f t="shared" si="0"/>
        <v/>
      </c>
      <c r="F12" s="117"/>
      <c r="G12" s="117" t="str">
        <f t="shared" si="4"/>
        <v/>
      </c>
      <c r="H12" s="118" t="str">
        <f t="shared" si="2"/>
        <v/>
      </c>
      <c r="I12" s="117"/>
      <c r="J12" s="117" t="str" cm="1">
        <f t="array" ref="J12" xml:space="preserve"> IFERROR( IF(F12&lt;&gt;"", INDEX(聲母對照表[國際音標], MATCH(TRUE, EXACT('輸入工具 (台語注音二式)'!F12, 聲母對照表[注音二式]), 0)), ""), "")</f>
        <v/>
      </c>
      <c r="K12" s="117" t="str" cm="1">
        <f t="array" ref="K12">IFERROR( IF(G12&lt;&gt;"", INDEX(韻母對照表[國際音標], MATCH(TRUE, EXACT('輸入工具 (台語注音二式)'!G12, 韻母對照表[台語注音二式]), 0)), ""), "")</f>
        <v/>
      </c>
      <c r="L12" s="117" t="str" cm="1">
        <f t="array" ref="L12" xml:space="preserve"> IF(H12&lt;&gt;"", INDEX(上標對照表[上標值], MATCH(TRUE, EXACT(H12, 上標對照表[調號]), 0)), "")</f>
        <v/>
      </c>
    </row>
    <row r="13" spans="2:12" ht="29.25">
      <c r="B13" s="122">
        <f t="shared" si="3"/>
        <v>9</v>
      </c>
      <c r="C13" s="12" t="s">
        <v>1081</v>
      </c>
      <c r="D13" s="120" t="s">
        <v>2300</v>
      </c>
      <c r="E13" s="119" t="str">
        <f t="shared" si="0"/>
        <v>it̚⁴</v>
      </c>
      <c r="F13" s="117"/>
      <c r="G13" s="117" t="str">
        <f t="shared" si="4"/>
        <v>it</v>
      </c>
      <c r="H13" s="118" t="str">
        <f t="shared" si="2"/>
        <v>4</v>
      </c>
      <c r="I13" s="117"/>
      <c r="J13" s="117" t="str" cm="1">
        <f t="array" ref="J13" xml:space="preserve"> IFERROR( IF(F13&lt;&gt;"", INDEX(聲母對照表[國際音標], MATCH(TRUE, EXACT('輸入工具 (台語注音二式)'!F13, 聲母對照表[注音二式]), 0)), ""), "")</f>
        <v/>
      </c>
      <c r="K13" s="117" t="str" cm="1">
        <f t="array" ref="K13">IFERROR( IF(G13&lt;&gt;"", INDEX(韻母對照表[國際音標], MATCH(TRUE, EXACT('輸入工具 (台語注音二式)'!G13, 韻母對照表[台語注音二式]), 0)), ""), "")</f>
        <v>it̚</v>
      </c>
      <c r="L13" s="117" t="str" cm="1">
        <f t="array" ref="L13" xml:space="preserve"> IF(H13&lt;&gt;"", INDEX(上標對照表[上標值], MATCH(TRUE, EXACT(H13, 上標對照表[調號]), 0)), "")</f>
        <v>⁴</v>
      </c>
    </row>
    <row r="14" spans="2:12" ht="29.25">
      <c r="B14" s="122">
        <f t="shared" si="3"/>
        <v>10</v>
      </c>
      <c r="C14" s="12" t="s">
        <v>2255</v>
      </c>
      <c r="D14" s="120" t="s">
        <v>2324</v>
      </c>
      <c r="E14" s="119" t="str">
        <f t="shared" si="0"/>
        <v>pʰɪan³</v>
      </c>
      <c r="F14" s="117" t="s">
        <v>2037</v>
      </c>
      <c r="G14" s="117" t="str">
        <f t="shared" si="4"/>
        <v>ian</v>
      </c>
      <c r="H14" s="118" t="str">
        <f t="shared" si="2"/>
        <v>3</v>
      </c>
      <c r="I14" s="117"/>
      <c r="J14" s="117" t="str" cm="1">
        <f t="array" ref="J14" xml:space="preserve"> IFERROR( IF(F14&lt;&gt;"", INDEX(聲母對照表[國際音標], MATCH(TRUE, EXACT('輸入工具 (台語注音二式)'!F14, 聲母對照表[注音二式]), 0)), ""), "")</f>
        <v>pʰ</v>
      </c>
      <c r="K14" s="117" t="str" cm="1">
        <f t="array" ref="K14">IFERROR( IF(G14&lt;&gt;"", INDEX(韻母對照表[國際音標], MATCH(TRUE, EXACT('輸入工具 (台語注音二式)'!G14, 韻母對照表[台語注音二式]), 0)), ""), "")</f>
        <v>ɪan</v>
      </c>
      <c r="L14" s="117" t="str" cm="1">
        <f t="array" ref="L14" xml:space="preserve"> IF(H14&lt;&gt;"", INDEX(上標對照表[上標值], MATCH(TRUE, EXACT(H14, 上標對照表[調號]), 0)), "")</f>
        <v>³</v>
      </c>
    </row>
    <row r="15" spans="2:12" ht="29.25">
      <c r="B15" s="122">
        <f t="shared" si="3"/>
        <v>11</v>
      </c>
      <c r="C15" s="12" t="s">
        <v>2256</v>
      </c>
      <c r="D15" s="120" t="s">
        <v>2282</v>
      </c>
      <c r="E15" s="119" t="str">
        <f t="shared" si="0"/>
        <v>kɔ¹</v>
      </c>
      <c r="F15" s="117" t="s">
        <v>2043</v>
      </c>
      <c r="G15" s="117" t="str">
        <f t="shared" si="4"/>
        <v>oo</v>
      </c>
      <c r="H15" s="118" t="str">
        <f t="shared" si="2"/>
        <v>1</v>
      </c>
      <c r="I15" s="117"/>
      <c r="J15" s="117" t="str" cm="1">
        <f t="array" ref="J15" xml:space="preserve"> IFERROR( IF(F15&lt;&gt;"", INDEX(聲母對照表[國際音標], MATCH(TRUE, EXACT('輸入工具 (台語注音二式)'!F15, 聲母對照表[注音二式]), 0)), ""), "")</f>
        <v>k</v>
      </c>
      <c r="K15" s="117" t="str" cm="1">
        <f t="array" ref="K15">IFERROR( IF(G15&lt;&gt;"", INDEX(韻母對照表[國際音標], MATCH(TRUE, EXACT('輸入工具 (台語注音二式)'!G15, 韻母對照表[台語注音二式]), 0)), ""), "")</f>
        <v>ɔ</v>
      </c>
      <c r="L15" s="117" t="str" cm="1">
        <f t="array" ref="L15" xml:space="preserve"> IF(H15&lt;&gt;"", INDEX(上標對照表[上標值], MATCH(TRUE, EXACT(H15, 上標對照表[調號]), 0)), "")</f>
        <v>¹</v>
      </c>
    </row>
    <row r="16" spans="2:12" ht="29.25">
      <c r="B16" s="122">
        <f t="shared" si="3"/>
        <v>12</v>
      </c>
      <c r="C16" s="12" t="s">
        <v>2257</v>
      </c>
      <c r="D16" s="120" t="s">
        <v>2325</v>
      </c>
      <c r="E16" s="119" t="str">
        <f t="shared" si="0"/>
        <v>siŋ⁵</v>
      </c>
      <c r="F16" s="117" t="s">
        <v>2049</v>
      </c>
      <c r="G16" s="117" t="str">
        <f t="shared" si="4"/>
        <v>ing</v>
      </c>
      <c r="H16" s="118" t="str">
        <f t="shared" si="2"/>
        <v>5</v>
      </c>
      <c r="I16" s="117"/>
      <c r="J16" s="117" t="str" cm="1">
        <f t="array" ref="J16" xml:space="preserve"> IFERROR( IF(F16&lt;&gt;"", INDEX(聲母對照表[國際音標], MATCH(TRUE, EXACT('輸入工具 (台語注音二式)'!F16, 聲母對照表[注音二式]), 0)), ""), "")</f>
        <v>s</v>
      </c>
      <c r="K16" s="117" t="str" cm="1">
        <f t="array" ref="K16">IFERROR( IF(G16&lt;&gt;"", INDEX(韻母對照表[國際音標], MATCH(TRUE, EXACT('輸入工具 (台語注音二式)'!G16, 韻母對照表[台語注音二式]), 0)), ""), "")</f>
        <v>iŋ</v>
      </c>
      <c r="L16" s="117" t="str" cm="1">
        <f t="array" ref="L16" xml:space="preserve"> IF(H16&lt;&gt;"", INDEX(上標對照表[上標值], MATCH(TRUE, EXACT(H16, 上標對照表[調號]), 0)), "")</f>
        <v>⁵</v>
      </c>
    </row>
    <row r="17" spans="2:12" ht="29.25">
      <c r="B17" s="122">
        <f t="shared" si="3"/>
        <v>13</v>
      </c>
      <c r="C17" s="12" t="s">
        <v>2258</v>
      </c>
      <c r="D17" s="120" t="s">
        <v>2326</v>
      </c>
      <c r="E17" s="119" t="str">
        <f t="shared" si="0"/>
        <v>ban⁷</v>
      </c>
      <c r="F17" s="117" t="s">
        <v>2038</v>
      </c>
      <c r="G17" s="117" t="str">
        <f t="shared" si="4"/>
        <v>an</v>
      </c>
      <c r="H17" s="118" t="str">
        <f t="shared" si="2"/>
        <v>7</v>
      </c>
      <c r="I17" s="117"/>
      <c r="J17" s="117" t="str" cm="1">
        <f t="array" ref="J17" xml:space="preserve"> IFERROR( IF(F17&lt;&gt;"", INDEX(聲母對照表[國際音標], MATCH(TRUE, EXACT('輸入工具 (台語注音二式)'!F17, 聲母對照表[注音二式]), 0)), ""), "")</f>
        <v>b</v>
      </c>
      <c r="K17" s="117" t="str" cm="1">
        <f t="array" ref="K17">IFERROR( IF(G17&lt;&gt;"", INDEX(韻母對照表[國際音標], MATCH(TRUE, EXACT('輸入工具 (台語注音二式)'!G17, 韻母對照表[台語注音二式]), 0)), ""), "")</f>
        <v>an</v>
      </c>
      <c r="L17" s="117" t="str" cm="1">
        <f t="array" ref="L17" xml:space="preserve"> IF(H17&lt;&gt;"", INDEX(上標對照表[上標值], MATCH(TRUE, EXACT(H17, 上標對照表[調號]), 0)), "")</f>
        <v>⁷</v>
      </c>
    </row>
    <row r="18" spans="2:12" ht="29.25">
      <c r="B18" s="122">
        <f t="shared" si="3"/>
        <v>14</v>
      </c>
      <c r="C18" s="125" t="s">
        <v>2235</v>
      </c>
      <c r="D18" s="126" t="s">
        <v>2347</v>
      </c>
      <c r="E18" s="119" t="str">
        <f t="shared" si="0"/>
        <v>ʥim⁷</v>
      </c>
      <c r="F18" s="117" t="s">
        <v>2229</v>
      </c>
      <c r="G18" s="117" t="str">
        <f t="shared" si="4"/>
        <v>im</v>
      </c>
      <c r="H18" s="118" t="str">
        <f t="shared" si="2"/>
        <v>7</v>
      </c>
      <c r="I18" s="117"/>
      <c r="J18" s="117" t="str" cm="1">
        <f t="array" ref="J18" xml:space="preserve"> IFERROR( IF(F18&lt;&gt;"", INDEX(聲母對照表[國際音標], MATCH(TRUE, EXACT('輸入工具 (台語注音二式)'!F18, 聲母對照表[注音二式]), 0)), ""), "")</f>
        <v>ʥ</v>
      </c>
      <c r="K18" s="117" t="str" cm="1">
        <f t="array" ref="K18">IFERROR( IF(G18&lt;&gt;"", INDEX(韻母對照表[國際音標], MATCH(TRUE, EXACT('輸入工具 (台語注音二式)'!G18, 韻母對照表[台語注音二式]), 0)), ""), "")</f>
        <v>im</v>
      </c>
      <c r="L18" s="117" t="str" cm="1">
        <f t="array" ref="L18" xml:space="preserve"> IF(H18&lt;&gt;"", INDEX(上標對照表[上標值], MATCH(TRUE, EXACT(H18, 上標對照表[調號]), 0)), "")</f>
        <v>⁷</v>
      </c>
    </row>
    <row r="19" spans="2:12" ht="29.25">
      <c r="B19" s="122">
        <f t="shared" si="3"/>
        <v>15</v>
      </c>
      <c r="C19" s="12" t="s">
        <v>2259</v>
      </c>
      <c r="D19" s="120" t="s">
        <v>2285</v>
      </c>
      <c r="E19" s="119" t="str">
        <f t="shared" si="0"/>
        <v>san¹</v>
      </c>
      <c r="F19" s="117" t="s">
        <v>2049</v>
      </c>
      <c r="G19" s="117" t="str">
        <f t="shared" si="4"/>
        <v>an</v>
      </c>
      <c r="H19" s="118" t="str">
        <f t="shared" si="2"/>
        <v>1</v>
      </c>
      <c r="I19" s="117"/>
      <c r="J19" s="117" t="str" cm="1">
        <f t="array" ref="J19" xml:space="preserve"> IFERROR( IF(F19&lt;&gt;"", INDEX(聲母對照表[國際音標], MATCH(TRUE, EXACT('輸入工具 (台語注音二式)'!F19, 聲母對照表[注音二式]), 0)), ""), "")</f>
        <v>s</v>
      </c>
      <c r="K19" s="117" t="str" cm="1">
        <f t="array" ref="K19">IFERROR( IF(G19&lt;&gt;"", INDEX(韻母對照表[國際音標], MATCH(TRUE, EXACT('輸入工具 (台語注音二式)'!G19, 韻母對照表[台語注音二式]), 0)), ""), "")</f>
        <v>an</v>
      </c>
      <c r="L19" s="117" t="str" cm="1">
        <f t="array" ref="L19" xml:space="preserve"> IF(H19&lt;&gt;"", INDEX(上標對照表[上標值], MATCH(TRUE, EXACT(H19, 上標對照表[調號]), 0)), "")</f>
        <v>¹</v>
      </c>
    </row>
    <row r="20" spans="2:12" ht="29.25">
      <c r="B20" s="122">
        <f t="shared" si="3"/>
        <v>16</v>
      </c>
      <c r="C20" s="12" t="s">
        <v>2260</v>
      </c>
      <c r="D20" s="120"/>
      <c r="E20" s="119" t="str">
        <f t="shared" si="0"/>
        <v/>
      </c>
      <c r="F20" s="117"/>
      <c r="G20" s="117" t="str">
        <f t="shared" si="4"/>
        <v/>
      </c>
      <c r="H20" s="118" t="str">
        <f t="shared" si="2"/>
        <v/>
      </c>
      <c r="I20" s="117"/>
      <c r="J20" s="117" t="str" cm="1">
        <f t="array" ref="J20" xml:space="preserve"> IFERROR( IF(F20&lt;&gt;"", INDEX(聲母對照表[國際音標], MATCH(TRUE, EXACT('輸入工具 (台語注音二式)'!F20, 聲母對照表[注音二式]), 0)), ""), "")</f>
        <v/>
      </c>
      <c r="K20" s="117" t="str" cm="1">
        <f t="array" ref="K20">IFERROR( IF(G20&lt;&gt;"", INDEX(韻母對照表[國際音標], MATCH(TRUE, EXACT('輸入工具 (台語注音二式)'!G20, 韻母對照表[台語注音二式]), 0)), ""), "")</f>
        <v/>
      </c>
      <c r="L20" s="117" t="str" cm="1">
        <f t="array" ref="L20" xml:space="preserve"> IF(H20&lt;&gt;"", INDEX(上標對照表[上標值], MATCH(TRUE, EXACT(H20, 上標對照表[調號]), 0)), "")</f>
        <v/>
      </c>
    </row>
    <row r="21" spans="2:12" ht="29.25">
      <c r="B21" s="122">
        <f t="shared" si="3"/>
        <v>17</v>
      </c>
      <c r="C21" s="12" t="s">
        <v>2236</v>
      </c>
      <c r="D21" s="120" t="s">
        <v>2303</v>
      </c>
      <c r="E21" s="119" t="str">
        <f t="shared" si="0"/>
        <v>kɪũ¹</v>
      </c>
      <c r="F21" s="117" t="s">
        <v>2043</v>
      </c>
      <c r="G21" s="117" t="str">
        <f t="shared" si="4"/>
        <v>iunn</v>
      </c>
      <c r="H21" s="118" t="str">
        <f t="shared" si="2"/>
        <v>1</v>
      </c>
      <c r="I21" s="117"/>
      <c r="J21" s="117" t="str" cm="1">
        <f t="array" ref="J21" xml:space="preserve"> IFERROR( IF(F21&lt;&gt;"", INDEX(聲母對照表[國際音標], MATCH(TRUE, EXACT('輸入工具 (台語注音二式)'!F21, 聲母對照表[注音二式]), 0)), ""), "")</f>
        <v>k</v>
      </c>
      <c r="K21" s="117" t="str" cm="1">
        <f t="array" ref="K21">IFERROR( IF(G21&lt;&gt;"", INDEX(韻母對照表[國際音標], MATCH(TRUE, EXACT('輸入工具 (台語注音二式)'!G21, 韻母對照表[台語注音二式]), 0)), ""), "")</f>
        <v>ɪũ</v>
      </c>
      <c r="L21" s="117" t="str" cm="1">
        <f t="array" ref="L21" xml:space="preserve"> IF(H21&lt;&gt;"", INDEX(上標對照表[上標值], MATCH(TRUE, EXACT(H21, 上標對照表[調號]), 0)), "")</f>
        <v>¹</v>
      </c>
    </row>
    <row r="22" spans="2:12" ht="29.25">
      <c r="B22" s="122">
        <f t="shared" si="3"/>
        <v>18</v>
      </c>
      <c r="C22" s="12" t="s">
        <v>2262</v>
      </c>
      <c r="D22" s="120" t="s">
        <v>2304</v>
      </c>
      <c r="E22" s="119" t="str">
        <f t="shared" si="0"/>
        <v>tik̚⁸</v>
      </c>
      <c r="F22" s="117" t="s">
        <v>2039</v>
      </c>
      <c r="G22" s="117" t="str">
        <f t="shared" si="4"/>
        <v>iek</v>
      </c>
      <c r="H22" s="118" t="str">
        <f t="shared" si="2"/>
        <v>8</v>
      </c>
      <c r="I22" s="117"/>
      <c r="J22" s="117" t="str" cm="1">
        <f t="array" ref="J22" xml:space="preserve"> IFERROR( IF(F22&lt;&gt;"", INDEX(聲母對照表[國際音標], MATCH(TRUE, EXACT('輸入工具 (台語注音二式)'!F22, 聲母對照表[注音二式]), 0)), ""), "")</f>
        <v>t</v>
      </c>
      <c r="K22" s="117" t="str" cm="1">
        <f t="array" ref="K22">IFERROR( IF(G22&lt;&gt;"", INDEX(韻母對照表[國際音標], MATCH(TRUE, EXACT('輸入工具 (台語注音二式)'!G22, 韻母對照表[台語注音二式]), 0)), ""), "")</f>
        <v>ik̚</v>
      </c>
      <c r="L22" s="117" t="str" cm="1">
        <f t="array" ref="L22" xml:space="preserve"> IF(H22&lt;&gt;"", INDEX(上標對照表[上標值], MATCH(TRUE, EXACT(H22, 上標對照表[調號]), 0)), "")</f>
        <v>⁸</v>
      </c>
    </row>
    <row r="23" spans="2:12" ht="29.25">
      <c r="B23" s="122">
        <f t="shared" si="3"/>
        <v>19</v>
      </c>
      <c r="C23" s="12" t="s">
        <v>2263</v>
      </c>
      <c r="D23" s="120" t="s">
        <v>2302</v>
      </c>
      <c r="E23" s="119" t="str">
        <f t="shared" si="0"/>
        <v>hə⁵</v>
      </c>
      <c r="F23" s="117" t="s">
        <v>2046</v>
      </c>
      <c r="G23" s="117" t="str">
        <f t="shared" si="4"/>
        <v>or</v>
      </c>
      <c r="H23" s="118" t="str">
        <f t="shared" si="2"/>
        <v>5</v>
      </c>
      <c r="I23" s="117"/>
      <c r="J23" s="117" t="str" cm="1">
        <f t="array" ref="J23" xml:space="preserve"> IFERROR( IF(F23&lt;&gt;"", INDEX(聲母對照表[國際音標], MATCH(TRUE, EXACT('輸入工具 (台語注音二式)'!F23, 聲母對照表[注音二式]), 0)), ""), "")</f>
        <v>h</v>
      </c>
      <c r="K23" s="117" t="str" cm="1">
        <f t="array" ref="K23">IFERROR( IF(G23&lt;&gt;"", INDEX(韻母對照表[國際音標], MATCH(TRUE, EXACT('輸入工具 (台語注音二式)'!G23, 韻母對照表[台語注音二式]), 0)), ""), "")</f>
        <v>ə</v>
      </c>
      <c r="L23" s="117" t="str" cm="1">
        <f t="array" ref="L23" xml:space="preserve"> IF(H23&lt;&gt;"", INDEX(上標對照表[上標值], MATCH(TRUE, EXACT(H23, 上標對照表[調號]), 0)), "")</f>
        <v>⁵</v>
      </c>
    </row>
    <row r="24" spans="2:12" ht="29.25">
      <c r="B24" s="122">
        <f t="shared" si="3"/>
        <v>20</v>
      </c>
      <c r="C24" s="12" t="s">
        <v>2264</v>
      </c>
      <c r="D24" s="120" t="s">
        <v>2287</v>
      </c>
      <c r="E24" s="119" t="str">
        <f t="shared" si="0"/>
        <v>su¹</v>
      </c>
      <c r="F24" s="117" t="s">
        <v>2049</v>
      </c>
      <c r="G24" s="117" t="str">
        <f t="shared" si="4"/>
        <v>u</v>
      </c>
      <c r="H24" s="118" t="str">
        <f t="shared" si="2"/>
        <v>1</v>
      </c>
      <c r="I24" s="117"/>
      <c r="J24" s="117" t="str" cm="1">
        <f t="array" ref="J24" xml:space="preserve"> IFERROR( IF(F24&lt;&gt;"", INDEX(聲母對照表[國際音標], MATCH(TRUE, EXACT('輸入工具 (台語注音二式)'!F24, 聲母對照表[注音二式]), 0)), ""), "")</f>
        <v>s</v>
      </c>
      <c r="K24" s="117" t="str" cm="1">
        <f t="array" ref="K24">IFERROR( IF(G24&lt;&gt;"", INDEX(韻母對照表[國際音標], MATCH(TRUE, EXACT('輸入工具 (台語注音二式)'!G24, 韻母對照表[台語注音二式]), 0)), ""), "")</f>
        <v>u</v>
      </c>
      <c r="L24" s="117" t="str" cm="1">
        <f t="array" ref="L24" xml:space="preserve"> IF(H24&lt;&gt;"", INDEX(上標對照表[上標值], MATCH(TRUE, EXACT(H24, 上標對照表[調號]), 0)), "")</f>
        <v>¹</v>
      </c>
    </row>
    <row r="25" spans="2:12" ht="29.25">
      <c r="B25" s="122">
        <f t="shared" si="3"/>
        <v>21</v>
      </c>
      <c r="C25" s="12" t="s">
        <v>2265</v>
      </c>
      <c r="D25" s="120" t="s">
        <v>2329</v>
      </c>
      <c r="E25" s="119" t="str">
        <f t="shared" si="0"/>
        <v>uan³</v>
      </c>
      <c r="F25" s="117"/>
      <c r="G25" s="117" t="str">
        <f t="shared" si="4"/>
        <v>uan</v>
      </c>
      <c r="H25" s="118" t="str">
        <f t="shared" si="2"/>
        <v>3</v>
      </c>
      <c r="I25" s="117"/>
      <c r="J25" s="117" t="str" cm="1">
        <f t="array" ref="J25" xml:space="preserve"> IFERROR( IF(F25&lt;&gt;"", INDEX(聲母對照表[國際音標], MATCH(TRUE, EXACT('輸入工具 (台語注音二式)'!F25, 聲母對照表[注音二式]), 0)), ""), "")</f>
        <v/>
      </c>
      <c r="K25" s="117" t="str" cm="1">
        <f t="array" ref="K25">IFERROR( IF(G25&lt;&gt;"", INDEX(韻母對照表[國際音標], MATCH(TRUE, EXACT('輸入工具 (台語注音二式)'!G25, 韻母對照表[台語注音二式]), 0)), ""), "")</f>
        <v>uan</v>
      </c>
      <c r="L25" s="117" t="str" cm="1">
        <f t="array" ref="L25" xml:space="preserve"> IF(H25&lt;&gt;"", INDEX(上標對照表[上標值], MATCH(TRUE, EXACT(H25, 上標對照表[調號]), 0)), "")</f>
        <v>³</v>
      </c>
    </row>
    <row r="26" spans="2:12" ht="29.25">
      <c r="B26" s="122">
        <f t="shared" si="3"/>
        <v>22</v>
      </c>
      <c r="C26" s="12" t="s">
        <v>2240</v>
      </c>
      <c r="D26" s="120" t="s">
        <v>2305</v>
      </c>
      <c r="E26" s="119" t="str">
        <f t="shared" si="0"/>
        <v>ɪũ⁵</v>
      </c>
      <c r="F26" s="117"/>
      <c r="G26" s="117" t="str">
        <f t="shared" si="4"/>
        <v>iunn</v>
      </c>
      <c r="H26" s="118" t="str">
        <f t="shared" si="2"/>
        <v>5</v>
      </c>
      <c r="I26" s="117"/>
      <c r="J26" s="117" t="str" cm="1">
        <f t="array" ref="J26" xml:space="preserve"> IFERROR( IF(F26&lt;&gt;"", INDEX(聲母對照表[國際音標], MATCH(TRUE, EXACT('輸入工具 (台語注音二式)'!F26, 聲母對照表[注音二式]), 0)), ""), "")</f>
        <v/>
      </c>
      <c r="K26" s="117" t="str" cm="1">
        <f t="array" ref="K26">IFERROR( IF(G26&lt;&gt;"", INDEX(韻母對照表[國際音標], MATCH(TRUE, EXACT('輸入工具 (台語注音二式)'!G26, 韻母對照表[台語注音二式]), 0)), ""), "")</f>
        <v>ɪũ</v>
      </c>
      <c r="L26" s="117" t="str" cm="1">
        <f t="array" ref="L26" xml:space="preserve"> IF(H26&lt;&gt;"", INDEX(上標對照表[上標值], MATCH(TRUE, EXACT(H26, 上標對照表[調號]), 0)), "")</f>
        <v>⁵</v>
      </c>
    </row>
    <row r="27" spans="2:12" ht="29.25">
      <c r="B27" s="122">
        <f t="shared" si="3"/>
        <v>23</v>
      </c>
      <c r="C27" s="12" t="s">
        <v>2241</v>
      </c>
      <c r="D27" s="120" t="s">
        <v>2306</v>
      </c>
      <c r="E27" s="119" t="str">
        <f t="shared" si="0"/>
        <v>lɪu²</v>
      </c>
      <c r="F27" s="117" t="s">
        <v>2042</v>
      </c>
      <c r="G27" s="117" t="str">
        <f t="shared" ref="G27:G36" si="5">IFERROR( MID(D27, LEN(F27)+1, LEN(D27) - LEN(F27) - 1), "")</f>
        <v>iu</v>
      </c>
      <c r="H27" s="118" t="str">
        <f t="shared" si="2"/>
        <v>2</v>
      </c>
      <c r="I27" s="117"/>
      <c r="J27" s="117" t="str" cm="1">
        <f t="array" ref="J27" xml:space="preserve"> IFERROR( IF(F27&lt;&gt;"", INDEX(聲母對照表[國際音標], MATCH(TRUE, EXACT('輸入工具 (台語注音二式)'!F27, 聲母對照表[注音二式]), 0)), ""), "")</f>
        <v>l</v>
      </c>
      <c r="K27" s="117" t="str" cm="1">
        <f t="array" ref="K27">IFERROR( IF(G27&lt;&gt;"", INDEX(韻母對照表[國際音標], MATCH(TRUE, EXACT('輸入工具 (台語注音二式)'!G27, 韻母對照表[台語注音二式]), 0)), ""), "")</f>
        <v>ɪu</v>
      </c>
      <c r="L27" s="117" t="str" cm="1">
        <f t="array" ref="L27" xml:space="preserve"> IF(H27&lt;&gt;"", INDEX(上標對照表[上標值], MATCH(TRUE, EXACT(H27, 上標對照表[調號]), 0)), "")</f>
        <v>²</v>
      </c>
    </row>
    <row r="28" spans="2:12" ht="29.25">
      <c r="B28" s="122">
        <f t="shared" si="3"/>
        <v>24</v>
      </c>
      <c r="C28" s="12" t="s">
        <v>2261</v>
      </c>
      <c r="D28" s="120"/>
      <c r="E28" s="119" t="str">
        <f t="shared" si="0"/>
        <v/>
      </c>
      <c r="F28" s="117"/>
      <c r="G28" s="117" t="str">
        <f t="shared" si="5"/>
        <v/>
      </c>
      <c r="H28" s="118" t="str">
        <f t="shared" si="2"/>
        <v/>
      </c>
      <c r="I28" s="117"/>
      <c r="J28" s="117" t="str" cm="1">
        <f t="array" ref="J28" xml:space="preserve"> IFERROR( IF(F28&lt;&gt;"", INDEX(聲母對照表[國際音標], MATCH(TRUE, EXACT('輸入工具 (台語注音二式)'!F28, 聲母對照表[注音二式]), 0)), ""), "")</f>
        <v/>
      </c>
      <c r="K28" s="117" t="str" cm="1">
        <f t="array" ref="K28">IFERROR( IF(G28&lt;&gt;"", INDEX(韻母對照表[國際音標], MATCH(TRUE, EXACT('輸入工具 (台語注音二式)'!G28, 韻母對照表[台語注音二式]), 0)), ""), "")</f>
        <v/>
      </c>
      <c r="L28" s="117" t="str" cm="1">
        <f t="array" ref="L28" xml:space="preserve"> IF(H28&lt;&gt;"", INDEX(上標對照表[上標值], MATCH(TRUE, EXACT(H28, 上標對照表[調號]), 0)), "")</f>
        <v/>
      </c>
    </row>
    <row r="29" spans="2:12" ht="29.25">
      <c r="B29" s="122">
        <f t="shared" si="3"/>
        <v>25</v>
      </c>
      <c r="C29" s="12" t="s">
        <v>2266</v>
      </c>
      <c r="D29" s="120" t="s">
        <v>2288</v>
      </c>
      <c r="E29" s="119" t="str">
        <f t="shared" si="0"/>
        <v>ʦʰun¹</v>
      </c>
      <c r="F29" s="117" t="s">
        <v>2048</v>
      </c>
      <c r="G29" s="117" t="str">
        <f t="shared" si="5"/>
        <v>un</v>
      </c>
      <c r="H29" s="118" t="str">
        <f t="shared" si="2"/>
        <v>1</v>
      </c>
      <c r="I29" s="117"/>
      <c r="J29" s="117" t="str" cm="1">
        <f t="array" ref="J29" xml:space="preserve"> IFERROR( IF(F29&lt;&gt;"", INDEX(聲母對照表[國際音標], MATCH(TRUE, EXACT('輸入工具 (台語注音二式)'!F29, 聲母對照表[注音二式]), 0)), ""), "")</f>
        <v>ʦʰ</v>
      </c>
      <c r="K29" s="117" t="str" cm="1">
        <f t="array" ref="K29">IFERROR( IF(G29&lt;&gt;"", INDEX(韻母對照表[國際音標], MATCH(TRUE, EXACT('輸入工具 (台語注音二式)'!G29, 韻母對照表[台語注音二式]), 0)), ""), "")</f>
        <v>un</v>
      </c>
      <c r="L29" s="117" t="str" cm="1">
        <f t="array" ref="L29" xml:space="preserve"> IF(H29&lt;&gt;"", INDEX(上標對照表[上標值], MATCH(TRUE, EXACT(H29, 上標對照表[調號]), 0)), "")</f>
        <v>¹</v>
      </c>
    </row>
    <row r="30" spans="2:12" ht="29.25">
      <c r="B30" s="122">
        <f t="shared" si="3"/>
        <v>26</v>
      </c>
      <c r="C30" s="12" t="s">
        <v>2267</v>
      </c>
      <c r="D30" s="120" t="s">
        <v>2289</v>
      </c>
      <c r="E30" s="119" t="str">
        <f t="shared" si="0"/>
        <v>hɔŋ¹</v>
      </c>
      <c r="F30" s="117" t="s">
        <v>2046</v>
      </c>
      <c r="G30" s="117" t="str">
        <f t="shared" si="5"/>
        <v>ong</v>
      </c>
      <c r="H30" s="118" t="str">
        <f t="shared" si="2"/>
        <v>1</v>
      </c>
      <c r="I30" s="117"/>
      <c r="J30" s="117" t="str" cm="1">
        <f t="array" ref="J30" xml:space="preserve"> IFERROR( IF(F30&lt;&gt;"", INDEX(聲母對照表[國際音標], MATCH(TRUE, EXACT('輸入工具 (台語注音二式)'!F30, 聲母對照表[注音二式]), 0)), ""), "")</f>
        <v>h</v>
      </c>
      <c r="K30" s="117" t="str" cm="1">
        <f t="array" ref="K30">IFERROR( IF(G30&lt;&gt;"", INDEX(韻母對照表[國際音標], MATCH(TRUE, EXACT('輸入工具 (台語注音二式)'!G30, 韻母對照表[台語注音二式]), 0)), ""), "")</f>
        <v>ɔŋ</v>
      </c>
      <c r="L30" s="117" t="str" cm="1">
        <f t="array" ref="L30" xml:space="preserve"> IF(H30&lt;&gt;"", INDEX(上標對照表[上標值], MATCH(TRUE, EXACT(H30, 上標對照表[調號]), 0)), "")</f>
        <v>¹</v>
      </c>
    </row>
    <row r="31" spans="2:12" ht="29.25">
      <c r="B31" s="122">
        <f t="shared" si="3"/>
        <v>27</v>
      </c>
      <c r="C31" s="12" t="s">
        <v>2268</v>
      </c>
      <c r="D31" s="120" t="s">
        <v>2307</v>
      </c>
      <c r="E31" s="119" t="str">
        <f t="shared" si="0"/>
        <v>put̚⁴</v>
      </c>
      <c r="F31" s="117" t="s">
        <v>2036</v>
      </c>
      <c r="G31" s="117" t="str">
        <f t="shared" si="5"/>
        <v>ut</v>
      </c>
      <c r="H31" s="118" t="str">
        <f t="shared" si="2"/>
        <v>4</v>
      </c>
      <c r="I31" s="117"/>
      <c r="J31" s="117" t="str" cm="1">
        <f t="array" ref="J31" xml:space="preserve"> IFERROR( IF(F31&lt;&gt;"", INDEX(聲母對照表[國際音標], MATCH(TRUE, EXACT('輸入工具 (台語注音二式)'!F31, 聲母對照表[注音二式]), 0)), ""), "")</f>
        <v>p</v>
      </c>
      <c r="K31" s="117" t="str" cm="1">
        <f t="array" ref="K31">IFERROR( IF(G31&lt;&gt;"", INDEX(韻母對照表[國際音標], MATCH(TRUE, EXACT('輸入工具 (台語注音二式)'!G31, 韻母對照表[台語注音二式]), 0)), ""), "")</f>
        <v>ut̚</v>
      </c>
      <c r="L31" s="117" t="str" cm="1">
        <f t="array" ref="L31" xml:space="preserve"> IF(H31&lt;&gt;"", INDEX(上標對照表[上標值], MATCH(TRUE, EXACT(H31, 上標對照表[調號]), 0)), "")</f>
        <v>⁴</v>
      </c>
    </row>
    <row r="32" spans="2:12" ht="29.25">
      <c r="B32" s="122">
        <f t="shared" si="3"/>
        <v>28</v>
      </c>
      <c r="C32" s="12" t="s">
        <v>2269</v>
      </c>
      <c r="D32" s="120" t="s">
        <v>2301</v>
      </c>
      <c r="E32" s="119" t="str">
        <f t="shared" si="0"/>
        <v>tɔ⁷</v>
      </c>
      <c r="F32" s="117" t="s">
        <v>2039</v>
      </c>
      <c r="G32" s="117" t="str">
        <f t="shared" si="5"/>
        <v>oo</v>
      </c>
      <c r="H32" s="118" t="str">
        <f t="shared" si="2"/>
        <v>7</v>
      </c>
      <c r="I32" s="117"/>
      <c r="J32" s="117" t="str" cm="1">
        <f t="array" ref="J32" xml:space="preserve"> IFERROR( IF(F32&lt;&gt;"", INDEX(聲母對照表[國際音標], MATCH(TRUE, EXACT('輸入工具 (台語注音二式)'!F32, 聲母對照表[注音二式]), 0)), ""), "")</f>
        <v>t</v>
      </c>
      <c r="K32" s="117" t="str" cm="1">
        <f t="array" ref="K32">IFERROR( IF(G32&lt;&gt;"", INDEX(韻母對照表[國際音標], MATCH(TRUE, EXACT('輸入工具 (台語注音二式)'!G32, 韻母對照表[台語注音二式]), 0)), ""), "")</f>
        <v>ɔ</v>
      </c>
      <c r="L32" s="117" t="str" cm="1">
        <f t="array" ref="L32" xml:space="preserve"> IF(H32&lt;&gt;"", INDEX(上標對照表[上標值], MATCH(TRUE, EXACT(H32, 上標對照表[調號]), 0)), "")</f>
        <v>⁷</v>
      </c>
    </row>
    <row r="33" spans="1:12" ht="29.25">
      <c r="B33" s="122">
        <f t="shared" si="3"/>
        <v>29</v>
      </c>
      <c r="C33" s="12" t="s">
        <v>2270</v>
      </c>
      <c r="D33" s="120" t="s">
        <v>2309</v>
      </c>
      <c r="E33" s="119" t="str">
        <f t="shared" si="0"/>
        <v>ɡɪɔk̚⁸</v>
      </c>
      <c r="F33" s="117" t="s">
        <v>2045</v>
      </c>
      <c r="G33" s="117" t="str">
        <f t="shared" si="5"/>
        <v>iook</v>
      </c>
      <c r="H33" s="118" t="str">
        <f t="shared" si="2"/>
        <v>8</v>
      </c>
      <c r="I33" s="117"/>
      <c r="J33" s="117" t="str" cm="1">
        <f t="array" ref="J33" xml:space="preserve"> IFERROR( IF(F33&lt;&gt;"", INDEX(聲母對照表[國際音標], MATCH(TRUE, EXACT('輸入工具 (台語注音二式)'!F33, 聲母對照表[注音二式]), 0)), ""), "")</f>
        <v>ɡ</v>
      </c>
      <c r="K33" s="123" t="str" cm="1">
        <f t="array" ref="K33">IFERROR( IF(G33&lt;&gt;"", INDEX(韻母對照表[國際音標], MATCH(TRUE, EXACT('輸入工具 (台語注音二式)'!G33, 韻母對照表[台語注音二式]), 0)), ""), "")</f>
        <v>ɪɔk̚</v>
      </c>
      <c r="L33" s="117" t="str" cm="1">
        <f t="array" ref="L33" xml:space="preserve"> IF(H33&lt;&gt;"", INDEX(上標對照表[上標值], MATCH(TRUE, EXACT(H33, 上標對照表[調號]), 0)), "")</f>
        <v>⁸</v>
      </c>
    </row>
    <row r="34" spans="1:12" ht="29.25">
      <c r="B34" s="122">
        <f t="shared" si="3"/>
        <v>30</v>
      </c>
      <c r="C34" s="12" t="s">
        <v>2234</v>
      </c>
      <c r="D34" s="120" t="s">
        <v>2343</v>
      </c>
      <c r="E34" s="119" t="str">
        <f t="shared" si="0"/>
        <v>mŋ̍⁵</v>
      </c>
      <c r="F34" s="117" t="s">
        <v>1087</v>
      </c>
      <c r="G34" s="117" t="str">
        <f t="shared" si="5"/>
        <v>ng</v>
      </c>
      <c r="H34" s="118" t="str">
        <f t="shared" si="2"/>
        <v>5</v>
      </c>
      <c r="I34" s="117"/>
      <c r="J34" s="117" t="str" cm="1">
        <f t="array" ref="J34" xml:space="preserve"> IFERROR( IF(F34&lt;&gt;"", INDEX(聲母對照表[國際音標], MATCH(TRUE, EXACT('輸入工具 (台語注音二式)'!F34, 聲母對照表[注音二式]), 0)), ""), "")</f>
        <v>m</v>
      </c>
      <c r="K34" s="117" t="str" cm="1">
        <f t="array" ref="K34">IFERROR( IF(G34&lt;&gt;"", INDEX(韻母對照表[國際音標], MATCH(TRUE, EXACT('輸入工具 (台語注音二式)'!G34, 韻母對照表[台語注音二式]), 0)), ""), "")</f>
        <v>ŋ̍</v>
      </c>
      <c r="L34" s="117" t="str" cm="1">
        <f t="array" ref="L34" xml:space="preserve"> IF(H34&lt;&gt;"", INDEX(上標對照表[上標值], MATCH(TRUE, EXACT(H34, 上標對照表[調號]), 0)), "")</f>
        <v>⁵</v>
      </c>
    </row>
    <row r="35" spans="1:12" ht="29.25">
      <c r="B35" s="122">
        <f t="shared" si="3"/>
        <v>31</v>
      </c>
      <c r="C35" s="12" t="s">
        <v>2271</v>
      </c>
      <c r="D35" s="120" t="s">
        <v>2293</v>
      </c>
      <c r="E35" s="119" t="str">
        <f t="shared" si="0"/>
        <v>kuan¹</v>
      </c>
      <c r="F35" s="117" t="s">
        <v>2043</v>
      </c>
      <c r="G35" s="117" t="str">
        <f t="shared" si="5"/>
        <v>uan</v>
      </c>
      <c r="H35" s="118" t="str">
        <f t="shared" si="2"/>
        <v>1</v>
      </c>
      <c r="I35" s="117"/>
      <c r="J35" s="117" t="str" cm="1">
        <f t="array" ref="J35" xml:space="preserve"> IFERROR( IF(F35&lt;&gt;"", INDEX(聲母對照表[國際音標], MATCH(TRUE, EXACT('輸入工具 (台語注音二式)'!F35, 聲母對照表[注音二式]), 0)), ""), "")</f>
        <v>k</v>
      </c>
      <c r="K35" s="117" t="str" cm="1">
        <f t="array" ref="K35">IFERROR( IF(G35&lt;&gt;"", INDEX(韻母對照表[國際音標], MATCH(TRUE, EXACT('輸入工具 (台語注音二式)'!G35, 韻母對照表[台語注音二式]), 0)), ""), "")</f>
        <v>uan</v>
      </c>
      <c r="L35" s="117" t="str" cm="1">
        <f t="array" ref="L35" xml:space="preserve"> IF(H35&lt;&gt;"", INDEX(上標對照表[上標值], MATCH(TRUE, EXACT(H35, 上標對照表[調號]), 0)), "")</f>
        <v>¹</v>
      </c>
    </row>
    <row r="36" spans="1:12" ht="29.25">
      <c r="B36" s="122">
        <f t="shared" si="3"/>
        <v>32</v>
      </c>
      <c r="C36" s="12" t="s">
        <v>2260</v>
      </c>
      <c r="D36" s="120"/>
      <c r="E36" s="119" t="str">
        <f t="shared" si="0"/>
        <v/>
      </c>
      <c r="F36" s="117"/>
      <c r="G36" s="117" t="str">
        <f t="shared" si="5"/>
        <v/>
      </c>
      <c r="H36" s="118" t="str">
        <f t="shared" si="2"/>
        <v/>
      </c>
      <c r="I36" s="117"/>
      <c r="J36" s="117" t="str" cm="1">
        <f t="array" ref="J36" xml:space="preserve"> IFERROR( IF(F36&lt;&gt;"", INDEX(聲母對照表[國際音標], MATCH(TRUE, EXACT('輸入工具 (台語注音二式)'!F36, 聲母對照表[閩拼方案]), 0)), ""), "")</f>
        <v/>
      </c>
      <c r="K36" s="117" t="str" cm="1">
        <f t="array" ref="K36">IFERROR( IF(G36&lt;&gt;"", INDEX(韻母對照表[國際音標], MATCH(TRUE, EXACT('輸入工具 (台語注音二式)'!G36, 韻母對照表[閩拼方案]), 0)), ""), "")</f>
        <v/>
      </c>
      <c r="L36" s="117" t="str" cm="1">
        <f t="array" ref="L36" xml:space="preserve"> IF(H36&lt;&gt;"", INDEX(上標對照表[上標值], MATCH(TRUE, EXACT(H36, 上標對照表[調號]), 0)), "")</f>
        <v/>
      </c>
    </row>
    <row r="39" spans="1:12" ht="29.25">
      <c r="A39" s="118"/>
      <c r="B39" s="118"/>
      <c r="C39" s="118"/>
      <c r="D39" s="118"/>
      <c r="E39" s="118"/>
      <c r="F39" s="118"/>
      <c r="G39" s="118"/>
      <c r="H39" s="118"/>
      <c r="I39" s="117"/>
      <c r="J39" s="117" t="str" cm="1">
        <f t="array" ref="J39" xml:space="preserve"> IF(F39&lt;&gt;"", INDEX(聲母對照表[國際音標], MATCH(TRUE, EXACT('輸入工具 (台語注音二式)'!F39, 聲母對照表[閩拼方案]), 0)), "")</f>
        <v/>
      </c>
      <c r="K39" s="117" t="str" cm="1">
        <f t="array" ref="K39">IF(G39&lt;&gt;"", INDEX(韻母對照表[國際音標], MATCH(TRUE, EXACT('輸入工具 (台語注音二式)'!G39, 韻母對照表[閩拼方案]), 0)), "")</f>
        <v/>
      </c>
      <c r="L39" s="117" t="str" cm="1">
        <f t="array" ref="L39" xml:space="preserve"> IF(H39&lt;&gt;"", INDEX(#REF!, MATCH(TRUE, EXACT('輸入工具 (台語注音二式)'!H39,#REF!), 0)), "")</f>
        <v/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A10A-B01A-4497-BD12-E28744F52ED7}">
  <dimension ref="A2:L39"/>
  <sheetViews>
    <sheetView workbookViewId="0">
      <selection activeCell="D4" sqref="D4:D20"/>
    </sheetView>
  </sheetViews>
  <sheetFormatPr defaultRowHeight="25.5"/>
  <cols>
    <col min="1" max="1" width="1.5" customWidth="1"/>
    <col min="2" max="3" width="4.83203125" customWidth="1"/>
    <col min="4" max="5" width="11.5" customWidth="1"/>
    <col min="6" max="12" width="7.08203125" customWidth="1"/>
    <col min="14" max="14" width="12" customWidth="1"/>
  </cols>
  <sheetData>
    <row r="2" spans="2:12">
      <c r="B2" t="str">
        <f xml:space="preserve"> _xlfn.CONCAT("【", D4, "】")</f>
        <v>【台語音標】</v>
      </c>
    </row>
    <row r="4" spans="2:12">
      <c r="B4" s="185" t="s">
        <v>702</v>
      </c>
      <c r="C4" s="185" t="s">
        <v>628</v>
      </c>
      <c r="D4" s="186" t="s">
        <v>629</v>
      </c>
      <c r="E4" s="186" t="s">
        <v>697</v>
      </c>
      <c r="F4" s="186" t="s">
        <v>2085</v>
      </c>
      <c r="G4" s="186" t="s">
        <v>2086</v>
      </c>
      <c r="H4" s="187" t="s">
        <v>2360</v>
      </c>
      <c r="I4" s="12"/>
      <c r="J4" s="12" t="s">
        <v>2225</v>
      </c>
      <c r="K4" s="12" t="s">
        <v>737</v>
      </c>
      <c r="L4" s="12" t="s">
        <v>2360</v>
      </c>
    </row>
    <row r="5" spans="2:12" ht="29.25">
      <c r="B5" s="122">
        <f xml:space="preserve"> ROW() - 4</f>
        <v>1</v>
      </c>
      <c r="C5" s="12" t="s">
        <v>2248</v>
      </c>
      <c r="D5" s="120" t="s">
        <v>2272</v>
      </c>
      <c r="E5" s="119" t="str">
        <f xml:space="preserve"> IF(AND(G5&lt;&gt;"",H5&lt;&gt;""), _xlfn.CONCAT(J5:L5), "")</f>
        <v>hɔŋ⁵</v>
      </c>
      <c r="F5" s="117" t="s">
        <v>2046</v>
      </c>
      <c r="G5" s="117" t="str">
        <f>IFERROR( MID(D5, LEN(F5)+1, LEN(D5) - LEN(F5) - 1), "")</f>
        <v>ong</v>
      </c>
      <c r="H5" s="118" t="str">
        <f xml:space="preserve"> RIGHT(D5,1)</f>
        <v>5</v>
      </c>
      <c r="I5" s="117"/>
      <c r="J5" s="117" t="str" cm="1">
        <f t="array" ref="J5" xml:space="preserve"> IFERROR( IF(F5&lt;&gt;"", INDEX(聲母對照表[國際音標], MATCH(TRUE, EXACT('輸入工具 (台語音標)'!F5, 聲母對照表[台語音標]), 0)), ""), "")</f>
        <v>h</v>
      </c>
      <c r="K5" s="117" t="str" cm="1">
        <f t="array" ref="K5">IFERROR( IF(G5&lt;&gt;"", INDEX(韻母對照表[國際音標], MATCH(TRUE, EXACT('輸入工具 (台語音標)'!G5, 韻母對照表[台語音標]), 0)), ""), "")</f>
        <v>ɔŋ</v>
      </c>
      <c r="L5" s="117" t="str" cm="1">
        <f t="array" ref="L5" xml:space="preserve"> IF(H5&lt;&gt;"", INDEX(上標對照表[上標值], MATCH(TRUE, EXACT(H5, 上標對照表[調號]), 0)), "")</f>
        <v>⁵</v>
      </c>
    </row>
    <row r="6" spans="2:12" ht="29.25">
      <c r="B6" s="122">
        <f xml:space="preserve"> ROW() - 4</f>
        <v>2</v>
      </c>
      <c r="C6" s="12" t="s">
        <v>2249</v>
      </c>
      <c r="D6" s="120" t="s">
        <v>2295</v>
      </c>
      <c r="E6" s="119" t="str">
        <f t="shared" ref="E6:E36" si="0" xml:space="preserve"> IF(AND(G6&lt;&gt;"",H6&lt;&gt;""), _xlfn.CONCAT(J6:L6), "")</f>
        <v>hə⁵</v>
      </c>
      <c r="F6" s="117" t="s">
        <v>2046</v>
      </c>
      <c r="G6" s="117" t="str">
        <f t="shared" ref="G6" si="1">IFERROR( MID(D6, LEN(F6)+1, LEN(D6) - LEN(F6) - 1), "")</f>
        <v>o</v>
      </c>
      <c r="H6" s="118" t="str">
        <f t="shared" ref="H6:H36" si="2" xml:space="preserve"> RIGHT(D6,1)</f>
        <v>5</v>
      </c>
      <c r="I6" s="117"/>
      <c r="J6" s="117" t="str" cm="1">
        <f t="array" ref="J6" xml:space="preserve"> IFERROR( IF(F6&lt;&gt;"", INDEX(聲母對照表[國際音標], MATCH(TRUE, EXACT('輸入工具 (台語音標)'!F6, 聲母對照表[台語音標]), 0)), ""), "")</f>
        <v>h</v>
      </c>
      <c r="K6" s="117" t="str" cm="1">
        <f t="array" ref="K6">IFERROR( IF(G6&lt;&gt;"", INDEX(韻母對照表[國際音標], MATCH(TRUE, EXACT('輸入工具 (台語音標)'!G6, 韻母對照表[台語音標]), 0)), ""), "")</f>
        <v>ə</v>
      </c>
      <c r="L6" s="117" t="str" cm="1">
        <f t="array" ref="L6" xml:space="preserve"> IF(H6&lt;&gt;"", INDEX(上標對照表[上標值], MATCH(TRUE, EXACT(H6, 上標對照表[調號]), 0)), "")</f>
        <v>⁵</v>
      </c>
    </row>
    <row r="7" spans="2:12" ht="29.25">
      <c r="B7" s="122">
        <f t="shared" ref="B7:B36" si="3" xml:space="preserve"> ROW() - 4</f>
        <v>3</v>
      </c>
      <c r="C7" s="12" t="s">
        <v>2250</v>
      </c>
      <c r="D7" s="120" t="s">
        <v>2296</v>
      </c>
      <c r="E7" s="119" t="str">
        <f t="shared" si="0"/>
        <v>uan²</v>
      </c>
      <c r="F7" s="121"/>
      <c r="G7" s="117" t="s">
        <v>1013</v>
      </c>
      <c r="H7" s="118" t="str">
        <f t="shared" si="2"/>
        <v>2</v>
      </c>
      <c r="I7" s="117"/>
      <c r="J7" s="117" t="str" cm="1">
        <f t="array" ref="J7" xml:space="preserve"> IFERROR( IF(F7&lt;&gt;"", INDEX(聲母對照表[國際音標], MATCH(TRUE, EXACT('輸入工具 (台語音標)'!F7, 聲母對照表[台語音標]), 0)), ""), "")</f>
        <v/>
      </c>
      <c r="K7" s="117" t="str" cm="1">
        <f t="array" ref="K7">IFERROR( IF(G7&lt;&gt;"", INDEX(韻母對照表[國際音標], MATCH(TRUE, EXACT('輸入工具 (台語音標)'!G7, 韻母對照表[台語音標]), 0)), ""), "")</f>
        <v>uan</v>
      </c>
      <c r="L7" s="117" t="str" cm="1">
        <f t="array" ref="L7" xml:space="preserve"> IF(H7&lt;&gt;"", INDEX(上標對照表[上標值], MATCH(TRUE, EXACT(H7, 上標對照表[調號]), 0)), "")</f>
        <v>²</v>
      </c>
    </row>
    <row r="8" spans="2:12" ht="29.25">
      <c r="B8" s="122">
        <f t="shared" si="3"/>
        <v>4</v>
      </c>
      <c r="C8" s="12" t="s">
        <v>2251</v>
      </c>
      <c r="D8" s="120" t="s">
        <v>2310</v>
      </c>
      <c r="E8" s="119" t="str">
        <f t="shared" si="0"/>
        <v>sɪɔŋ²</v>
      </c>
      <c r="F8" s="117" t="s">
        <v>2049</v>
      </c>
      <c r="G8" s="117" t="str">
        <f t="shared" ref="G8:G36" si="4">IFERROR( MID(D8, LEN(F8)+1, LEN(D8) - LEN(F8) - 1), "")</f>
        <v>iong</v>
      </c>
      <c r="H8" s="118" t="str">
        <f t="shared" si="2"/>
        <v>2</v>
      </c>
      <c r="I8" s="117"/>
      <c r="J8" s="117" t="str" cm="1">
        <f t="array" ref="J8" xml:space="preserve"> IFERROR( IF(F8&lt;&gt;"", INDEX(聲母對照表[國際音標], MATCH(TRUE, EXACT('輸入工具 (台語音標)'!F8, 聲母對照表[台語音標]), 0)), ""), "")</f>
        <v>s</v>
      </c>
      <c r="K8" s="117" t="str" cm="1">
        <f t="array" ref="K8">IFERROR( IF(G8&lt;&gt;"", INDEX(韻母對照表[國際音標], MATCH(TRUE, EXACT('輸入工具 (台語音標)'!G8, 韻母對照表[台語音標]), 0)), ""), "")</f>
        <v>ɪɔŋ</v>
      </c>
      <c r="L8" s="117" t="str" cm="1">
        <f t="array" ref="L8" xml:space="preserve"> IF(H8&lt;&gt;"", INDEX(上標對照表[上標值], MATCH(TRUE, EXACT(H8, 上標對照表[調號]), 0)), "")</f>
        <v>²</v>
      </c>
    </row>
    <row r="9" spans="2:12" ht="29.25">
      <c r="B9" s="122">
        <f t="shared" si="3"/>
        <v>5</v>
      </c>
      <c r="C9" s="12" t="s">
        <v>2252</v>
      </c>
      <c r="D9" s="120" t="s">
        <v>2311</v>
      </c>
      <c r="E9" s="119" t="str">
        <f t="shared" si="0"/>
        <v>pik̚⁸</v>
      </c>
      <c r="F9" s="117" t="s">
        <v>2037</v>
      </c>
      <c r="G9" s="117" t="str">
        <f t="shared" si="4"/>
        <v>ik</v>
      </c>
      <c r="H9" s="118" t="str">
        <f t="shared" si="2"/>
        <v>8</v>
      </c>
      <c r="I9" s="117"/>
      <c r="J9" s="117" t="str" cm="1">
        <f t="array" ref="J9" xml:space="preserve"> IFERROR( IF(F9&lt;&gt;"", INDEX(聲母對照表[國際音標], MATCH(TRUE, EXACT('輸入工具 (台語音標)'!F9, 聲母對照表[台語音標]), 0)), ""), "")</f>
        <v>p</v>
      </c>
      <c r="K9" s="117" t="str" cm="1">
        <f t="array" ref="K9">IFERROR( IF(G9&lt;&gt;"", INDEX(韻母對照表[國際音標], MATCH(TRUE, EXACT('輸入工具 (台語音標)'!G9, 韻母對照表[台語音標]), 0)), ""), "")</f>
        <v>ik̚</v>
      </c>
      <c r="L9" s="117" t="str" cm="1">
        <f t="array" ref="L9" xml:space="preserve"> IF(H9&lt;&gt;"", INDEX(上標對照表[上標值], MATCH(TRUE, EXACT(H9, 上標對照表[調號]), 0)), "")</f>
        <v>⁸</v>
      </c>
    </row>
    <row r="10" spans="2:12" ht="29.25">
      <c r="B10" s="122">
        <f t="shared" si="3"/>
        <v>6</v>
      </c>
      <c r="C10" s="12" t="s">
        <v>2253</v>
      </c>
      <c r="D10" s="120" t="s">
        <v>2299</v>
      </c>
      <c r="E10" s="119" t="str">
        <f t="shared" si="0"/>
        <v>hun⁵</v>
      </c>
      <c r="F10" s="117" t="s">
        <v>2046</v>
      </c>
      <c r="G10" s="117" t="str">
        <f t="shared" si="4"/>
        <v>un</v>
      </c>
      <c r="H10" s="118" t="str">
        <f t="shared" si="2"/>
        <v>5</v>
      </c>
      <c r="I10" s="117"/>
      <c r="J10" s="117" t="str" cm="1">
        <f t="array" ref="J10" xml:space="preserve"> IFERROR( IF(F10&lt;&gt;"", INDEX(聲母對照表[國際音標], MATCH(TRUE, EXACT('輸入工具 (台語音標)'!F10, 聲母對照表[台語音標]), 0)), ""), "")</f>
        <v>h</v>
      </c>
      <c r="K10" s="117" t="str" cm="1">
        <f t="array" ref="K10">IFERROR( IF(G10&lt;&gt;"", INDEX(韻母對照表[國際音標], MATCH(TRUE, EXACT('輸入工具 (台語音標)'!G10, 韻母對照表[台語音標]), 0)), ""), "")</f>
        <v>un</v>
      </c>
      <c r="L10" s="117" t="str" cm="1">
        <f t="array" ref="L10" xml:space="preserve"> IF(H10&lt;&gt;"", INDEX(上標對照表[上標值], MATCH(TRUE, EXACT(H10, 上標對照表[調號]), 0)), "")</f>
        <v>⁵</v>
      </c>
    </row>
    <row r="11" spans="2:12" ht="29.25">
      <c r="B11" s="122">
        <f t="shared" si="3"/>
        <v>7</v>
      </c>
      <c r="C11" s="12" t="s">
        <v>2254</v>
      </c>
      <c r="D11" s="120" t="s">
        <v>2348</v>
      </c>
      <c r="E11" s="119" t="str">
        <f t="shared" si="0"/>
        <v>kan¹</v>
      </c>
      <c r="F11" s="117" t="s">
        <v>2044</v>
      </c>
      <c r="G11" s="117" t="str">
        <f t="shared" si="4"/>
        <v>an</v>
      </c>
      <c r="H11" s="118" t="str">
        <f t="shared" si="2"/>
        <v>1</v>
      </c>
      <c r="I11" s="117"/>
      <c r="J11" s="117" t="str" cm="1">
        <f t="array" ref="J11" xml:space="preserve"> IFERROR( IF(F11&lt;&gt;"", INDEX(聲母對照表[國際音標], MATCH(TRUE, EXACT('輸入工具 (台語音標)'!F11, 聲母對照表[台語音標]), 0)), ""), "")</f>
        <v>k</v>
      </c>
      <c r="K11" s="117" t="str" cm="1">
        <f t="array" ref="K11">IFERROR( IF(G11&lt;&gt;"", INDEX(韻母對照表[國際音標], MATCH(TRUE, EXACT('輸入工具 (台語音標)'!G11, 韻母對照表[台語音標]), 0)), ""), "")</f>
        <v>an</v>
      </c>
      <c r="L11" s="117" t="str" cm="1">
        <f t="array" ref="L11" xml:space="preserve"> IF(H11&lt;&gt;"", INDEX(上標對照表[上標值], MATCH(TRUE, EXACT(H11, 上標對照表[調號]), 0)), "")</f>
        <v>¹</v>
      </c>
    </row>
    <row r="12" spans="2:12" ht="29.25">
      <c r="B12" s="122">
        <f t="shared" si="3"/>
        <v>8</v>
      </c>
      <c r="C12" s="12" t="s">
        <v>2261</v>
      </c>
      <c r="D12" s="120"/>
      <c r="E12" s="119" t="str">
        <f t="shared" si="0"/>
        <v/>
      </c>
      <c r="F12" s="117"/>
      <c r="G12" s="117" t="str">
        <f t="shared" si="4"/>
        <v/>
      </c>
      <c r="H12" s="118" t="str">
        <f t="shared" si="2"/>
        <v/>
      </c>
      <c r="I12" s="117"/>
      <c r="J12" s="117" t="str" cm="1">
        <f t="array" ref="J12" xml:space="preserve"> IFERROR( IF(F12&lt;&gt;"", INDEX(聲母對照表[國際音標], MATCH(TRUE, EXACT('輸入工具 (台語音標)'!F12, 聲母對照表[台語音標]), 0)), ""), "")</f>
        <v/>
      </c>
      <c r="K12" s="117" t="str" cm="1">
        <f t="array" ref="K12">IFERROR( IF(G12&lt;&gt;"", INDEX(韻母對照表[國際音標], MATCH(TRUE, EXACT('輸入工具 (台語音標)'!G12, 韻母對照表[台語音標]), 0)), ""), "")</f>
        <v/>
      </c>
      <c r="L12" s="117" t="str" cm="1">
        <f t="array" ref="L12" xml:space="preserve"> IF(H12&lt;&gt;"", INDEX(上標對照表[上標值], MATCH(TRUE, EXACT(H12, 上標對照表[調號]), 0)), "")</f>
        <v/>
      </c>
    </row>
    <row r="13" spans="2:12" ht="29.25">
      <c r="B13" s="122">
        <f t="shared" si="3"/>
        <v>9</v>
      </c>
      <c r="C13" s="12" t="s">
        <v>1081</v>
      </c>
      <c r="D13" s="120" t="s">
        <v>2300</v>
      </c>
      <c r="E13" s="119" t="str">
        <f t="shared" si="0"/>
        <v>it̚⁴</v>
      </c>
      <c r="F13" s="117"/>
      <c r="G13" s="117" t="str">
        <f t="shared" si="4"/>
        <v>it</v>
      </c>
      <c r="H13" s="118" t="str">
        <f t="shared" si="2"/>
        <v>4</v>
      </c>
      <c r="I13" s="117"/>
      <c r="J13" s="117" t="str" cm="1">
        <f t="array" ref="J13" xml:space="preserve"> IFERROR( IF(F13&lt;&gt;"", INDEX(聲母對照表[國際音標], MATCH(TRUE, EXACT('輸入工具 (台語音標)'!F13, 聲母對照表[台語音標]), 0)), ""), "")</f>
        <v/>
      </c>
      <c r="K13" s="117" t="str" cm="1">
        <f t="array" ref="K13">IFERROR( IF(G13&lt;&gt;"", INDEX(韻母對照表[國際音標], MATCH(TRUE, EXACT('輸入工具 (台語音標)'!G13, 韻母對照表[台語音標]), 0)), ""), "")</f>
        <v>it̚</v>
      </c>
      <c r="L13" s="117" t="str" cm="1">
        <f t="array" ref="L13" xml:space="preserve"> IF(H13&lt;&gt;"", INDEX(上標對照表[上標值], MATCH(TRUE, EXACT(H13, 上標對照表[調號]), 0)), "")</f>
        <v>⁴</v>
      </c>
    </row>
    <row r="14" spans="2:12" ht="29.25">
      <c r="B14" s="122">
        <f t="shared" si="3"/>
        <v>10</v>
      </c>
      <c r="C14" s="12" t="s">
        <v>2255</v>
      </c>
      <c r="D14" s="120" t="s">
        <v>2327</v>
      </c>
      <c r="E14" s="119" t="str">
        <f t="shared" si="0"/>
        <v>pʰɪan³</v>
      </c>
      <c r="F14" s="117" t="s">
        <v>2313</v>
      </c>
      <c r="G14" s="117" t="str">
        <f t="shared" si="4"/>
        <v>ian</v>
      </c>
      <c r="H14" s="118" t="str">
        <f t="shared" si="2"/>
        <v>3</v>
      </c>
      <c r="I14" s="117"/>
      <c r="J14" s="117" t="str" cm="1">
        <f t="array" ref="J14" xml:space="preserve"> IFERROR( IF(F14&lt;&gt;"", INDEX(聲母對照表[國際音標], MATCH(TRUE, EXACT('輸入工具 (台語音標)'!F14, 聲母對照表[台語音標]), 0)), ""), "")</f>
        <v>pʰ</v>
      </c>
      <c r="K14" s="117" t="str" cm="1">
        <f t="array" ref="K14">IFERROR( IF(G14&lt;&gt;"", INDEX(韻母對照表[國際音標], MATCH(TRUE, EXACT('輸入工具 (台語音標)'!G14, 韻母對照表[台語音標]), 0)), ""), "")</f>
        <v>ɪan</v>
      </c>
      <c r="L14" s="117" t="str" cm="1">
        <f t="array" ref="L14" xml:space="preserve"> IF(H14&lt;&gt;"", INDEX(上標對照表[上標值], MATCH(TRUE, EXACT(H14, 上標對照表[調號]), 0)), "")</f>
        <v>³</v>
      </c>
    </row>
    <row r="15" spans="2:12" ht="29.25">
      <c r="B15" s="122">
        <f t="shared" si="3"/>
        <v>11</v>
      </c>
      <c r="C15" s="12" t="s">
        <v>2256</v>
      </c>
      <c r="D15" s="120" t="s">
        <v>2314</v>
      </c>
      <c r="E15" s="119" t="str">
        <f t="shared" si="0"/>
        <v>ɡɔ¹</v>
      </c>
      <c r="F15" s="117" t="s">
        <v>2043</v>
      </c>
      <c r="G15" s="117" t="str">
        <f t="shared" si="4"/>
        <v>oo</v>
      </c>
      <c r="H15" s="118" t="str">
        <f t="shared" si="2"/>
        <v>1</v>
      </c>
      <c r="I15" s="117"/>
      <c r="J15" s="117" t="str" cm="1">
        <f t="array" ref="J15" xml:space="preserve"> IFERROR( IF(F15&lt;&gt;"", INDEX(聲母對照表[國際音標], MATCH(TRUE, EXACT('輸入工具 (台語音標)'!F15, 聲母對照表[台語音標]), 0)), ""), "")</f>
        <v>ɡ</v>
      </c>
      <c r="K15" s="117" t="str" cm="1">
        <f t="array" ref="K15">IFERROR( IF(G15&lt;&gt;"", INDEX(韻母對照表[國際音標], MATCH(TRUE, EXACT('輸入工具 (台語音標)'!G15, 韻母對照表[台語音標]), 0)), ""), "")</f>
        <v>ɔ</v>
      </c>
      <c r="L15" s="117" t="str" cm="1">
        <f t="array" ref="L15" xml:space="preserve"> IF(H15&lt;&gt;"", INDEX(上標對照表[上標值], MATCH(TRUE, EXACT(H15, 上標對照表[調號]), 0)), "")</f>
        <v>¹</v>
      </c>
    </row>
    <row r="16" spans="2:12" ht="29.25">
      <c r="B16" s="122">
        <f t="shared" si="3"/>
        <v>12</v>
      </c>
      <c r="C16" s="12" t="s">
        <v>2257</v>
      </c>
      <c r="D16" s="120" t="s">
        <v>2325</v>
      </c>
      <c r="E16" s="119" t="str">
        <f t="shared" si="0"/>
        <v>siŋ⁵</v>
      </c>
      <c r="F16" s="117" t="s">
        <v>2049</v>
      </c>
      <c r="G16" s="117" t="str">
        <f t="shared" si="4"/>
        <v>ing</v>
      </c>
      <c r="H16" s="118" t="str">
        <f t="shared" si="2"/>
        <v>5</v>
      </c>
      <c r="I16" s="117"/>
      <c r="J16" s="117" t="str" cm="1">
        <f t="array" ref="J16" xml:space="preserve"> IFERROR( IF(F16&lt;&gt;"", INDEX(聲母對照表[國際音標], MATCH(TRUE, EXACT('輸入工具 (台語音標)'!F16, 聲母對照表[台語音標]), 0)), ""), "")</f>
        <v>s</v>
      </c>
      <c r="K16" s="117" t="str" cm="1">
        <f t="array" ref="K16">IFERROR( IF(G16&lt;&gt;"", INDEX(韻母對照表[國際音標], MATCH(TRUE, EXACT('輸入工具 (台語音標)'!G16, 韻母對照表[台語音標]), 0)), ""), "")</f>
        <v>iŋ</v>
      </c>
      <c r="L16" s="117" t="str" cm="1">
        <f t="array" ref="L16" xml:space="preserve"> IF(H16&lt;&gt;"", INDEX(上標對照表[上標值], MATCH(TRUE, EXACT(H16, 上標對照表[調號]), 0)), "")</f>
        <v>⁵</v>
      </c>
    </row>
    <row r="17" spans="2:12" ht="29.25">
      <c r="B17" s="122">
        <f t="shared" si="3"/>
        <v>13</v>
      </c>
      <c r="C17" s="12" t="s">
        <v>2258</v>
      </c>
      <c r="D17" s="120" t="s">
        <v>2328</v>
      </c>
      <c r="E17" s="119" t="str">
        <f t="shared" si="0"/>
        <v>ban⁷</v>
      </c>
      <c r="F17" s="117" t="s">
        <v>2036</v>
      </c>
      <c r="G17" s="117" t="str">
        <f t="shared" si="4"/>
        <v>an</v>
      </c>
      <c r="H17" s="118" t="str">
        <f t="shared" si="2"/>
        <v>7</v>
      </c>
      <c r="I17" s="117"/>
      <c r="J17" s="117" t="str" cm="1">
        <f t="array" ref="J17" xml:space="preserve"> IFERROR( IF(F17&lt;&gt;"", INDEX(聲母對照表[國際音標], MATCH(TRUE, EXACT('輸入工具 (台語音標)'!F17, 聲母對照表[台語音標]), 0)), ""), "")</f>
        <v>b</v>
      </c>
      <c r="K17" s="117" t="str" cm="1">
        <f t="array" ref="K17">IFERROR( IF(G17&lt;&gt;"", INDEX(韻母對照表[國際音標], MATCH(TRUE, EXACT('輸入工具 (台語音標)'!G17, 韻母對照表[台語音標]), 0)), ""), "")</f>
        <v>an</v>
      </c>
      <c r="L17" s="117" t="str" cm="1">
        <f t="array" ref="L17" xml:space="preserve"> IF(H17&lt;&gt;"", INDEX(上標對照表[上標值], MATCH(TRUE, EXACT(H17, 上標對照表[調號]), 0)), "")</f>
        <v>⁷</v>
      </c>
    </row>
    <row r="18" spans="2:12" ht="29.25">
      <c r="B18" s="122">
        <f t="shared" si="3"/>
        <v>14</v>
      </c>
      <c r="C18" s="12" t="s">
        <v>2235</v>
      </c>
      <c r="D18" s="120" t="s">
        <v>2315</v>
      </c>
      <c r="E18" s="119" t="str">
        <f t="shared" si="0"/>
        <v>ʣim⁷</v>
      </c>
      <c r="F18" s="117" t="s">
        <v>2230</v>
      </c>
      <c r="G18" s="117" t="str">
        <f t="shared" si="4"/>
        <v>im</v>
      </c>
      <c r="H18" s="118" t="str">
        <f t="shared" si="2"/>
        <v>7</v>
      </c>
      <c r="I18" s="117"/>
      <c r="J18" s="117" t="str" cm="1">
        <f t="array" ref="J18" xml:space="preserve"> IFERROR( IF(F18&lt;&gt;"", INDEX(聲母對照表[國際音標], MATCH(TRUE, EXACT('輸入工具 (台語音標)'!F18, 聲母對照表[台語音標]), 0)), ""), "")</f>
        <v>ʣ</v>
      </c>
      <c r="K18" s="117" t="str" cm="1">
        <f t="array" ref="K18">IFERROR( IF(G18&lt;&gt;"", INDEX(韻母對照表[國際音標], MATCH(TRUE, EXACT('輸入工具 (台語音標)'!G18, 韻母對照表[台語音標]), 0)), ""), "")</f>
        <v>im</v>
      </c>
      <c r="L18" s="117" t="str" cm="1">
        <f t="array" ref="L18" xml:space="preserve"> IF(H18&lt;&gt;"", INDEX(上標對照表[上標值], MATCH(TRUE, EXACT(H18, 上標對照表[調號]), 0)), "")</f>
        <v>⁷</v>
      </c>
    </row>
    <row r="19" spans="2:12" ht="29.25">
      <c r="B19" s="122">
        <f t="shared" si="3"/>
        <v>15</v>
      </c>
      <c r="C19" s="12" t="s">
        <v>2259</v>
      </c>
      <c r="D19" s="120" t="s">
        <v>2285</v>
      </c>
      <c r="E19" s="119" t="str">
        <f t="shared" si="0"/>
        <v>san¹</v>
      </c>
      <c r="F19" s="117" t="s">
        <v>2049</v>
      </c>
      <c r="G19" s="117" t="str">
        <f t="shared" si="4"/>
        <v>an</v>
      </c>
      <c r="H19" s="118" t="str">
        <f t="shared" si="2"/>
        <v>1</v>
      </c>
      <c r="I19" s="117"/>
      <c r="J19" s="117" t="str" cm="1">
        <f t="array" ref="J19" xml:space="preserve"> IFERROR( IF(F19&lt;&gt;"", INDEX(聲母對照表[國際音標], MATCH(TRUE, EXACT('輸入工具 (台語音標)'!F19, 聲母對照表[台語音標]), 0)), ""), "")</f>
        <v>s</v>
      </c>
      <c r="K19" s="117" t="str" cm="1">
        <f t="array" ref="K19">IFERROR( IF(G19&lt;&gt;"", INDEX(韻母對照表[國際音標], MATCH(TRUE, EXACT('輸入工具 (台語音標)'!G19, 韻母對照表[台語音標]), 0)), ""), "")</f>
        <v>an</v>
      </c>
      <c r="L19" s="117" t="str" cm="1">
        <f t="array" ref="L19" xml:space="preserve"> IF(H19&lt;&gt;"", INDEX(上標對照表[上標值], MATCH(TRUE, EXACT(H19, 上標對照表[調號]), 0)), "")</f>
        <v>¹</v>
      </c>
    </row>
    <row r="20" spans="2:12" ht="29.25">
      <c r="B20" s="122">
        <f t="shared" si="3"/>
        <v>16</v>
      </c>
      <c r="C20" s="12" t="s">
        <v>2260</v>
      </c>
      <c r="D20" s="120"/>
      <c r="E20" s="119" t="str">
        <f t="shared" si="0"/>
        <v/>
      </c>
      <c r="F20" s="117"/>
      <c r="G20" s="117" t="str">
        <f t="shared" si="4"/>
        <v/>
      </c>
      <c r="H20" s="118" t="str">
        <f t="shared" si="2"/>
        <v/>
      </c>
      <c r="I20" s="117"/>
      <c r="J20" s="117" t="str" cm="1">
        <f t="array" ref="J20" xml:space="preserve"> IFERROR( IF(F20&lt;&gt;"", INDEX(聲母對照表[國際音標], MATCH(TRUE, EXACT('輸入工具 (台語音標)'!F20, 聲母對照表[台語音標]), 0)), ""), "")</f>
        <v/>
      </c>
      <c r="K20" s="117" t="str" cm="1">
        <f t="array" ref="K20">IFERROR( IF(G20&lt;&gt;"", INDEX(韻母對照表[國際音標], MATCH(TRUE, EXACT('輸入工具 (台語音標)'!G20, 韻母對照表[台語音標]), 0)), ""), "")</f>
        <v/>
      </c>
      <c r="L20" s="117" t="str" cm="1">
        <f t="array" ref="L20" xml:space="preserve"> IF(H20&lt;&gt;"", INDEX(上標對照表[上標值], MATCH(TRUE, EXACT(H20, 上標對照表[調號]), 0)), "")</f>
        <v/>
      </c>
    </row>
    <row r="21" spans="2:12" ht="29.25">
      <c r="B21" s="122">
        <f t="shared" si="3"/>
        <v>17</v>
      </c>
      <c r="C21" s="12" t="s">
        <v>2236</v>
      </c>
      <c r="D21" s="120" t="s">
        <v>2316</v>
      </c>
      <c r="E21" s="119" t="str">
        <f t="shared" si="0"/>
        <v>kɪũ¹</v>
      </c>
      <c r="F21" s="117" t="s">
        <v>2044</v>
      </c>
      <c r="G21" s="117" t="str">
        <f t="shared" si="4"/>
        <v>iunn</v>
      </c>
      <c r="H21" s="118" t="str">
        <f t="shared" si="2"/>
        <v>1</v>
      </c>
      <c r="I21" s="117"/>
      <c r="J21" s="117" t="str" cm="1">
        <f t="array" ref="J21" xml:space="preserve"> IFERROR( IF(F21&lt;&gt;"", INDEX(聲母對照表[國際音標], MATCH(TRUE, EXACT('輸入工具 (台語音標)'!F21, 聲母對照表[台語音標]), 0)), ""), "")</f>
        <v>k</v>
      </c>
      <c r="K21" s="117" t="str" cm="1">
        <f t="array" ref="K21">IFERROR( IF(G21&lt;&gt;"", INDEX(韻母對照表[國際音標], MATCH(TRUE, EXACT('輸入工具 (台語音標)'!G21, 韻母對照表[台語音標]), 0)), ""), "")</f>
        <v>ɪũ</v>
      </c>
      <c r="L21" s="117" t="str" cm="1">
        <f t="array" ref="L21" xml:space="preserve"> IF(H21&lt;&gt;"", INDEX(上標對照表[上標值], MATCH(TRUE, EXACT(H21, 上標對照表[調號]), 0)), "")</f>
        <v>¹</v>
      </c>
    </row>
    <row r="22" spans="2:12" ht="29.25">
      <c r="B22" s="122">
        <f t="shared" si="3"/>
        <v>18</v>
      </c>
      <c r="C22" s="12" t="s">
        <v>2262</v>
      </c>
      <c r="D22" s="120" t="s">
        <v>2317</v>
      </c>
      <c r="E22" s="119" t="str">
        <f t="shared" si="0"/>
        <v>tik̚⁸</v>
      </c>
      <c r="F22" s="117" t="s">
        <v>2040</v>
      </c>
      <c r="G22" s="117" t="str">
        <f t="shared" si="4"/>
        <v>ik</v>
      </c>
      <c r="H22" s="118" t="str">
        <f t="shared" si="2"/>
        <v>8</v>
      </c>
      <c r="I22" s="117"/>
      <c r="J22" s="117" t="str" cm="1">
        <f t="array" ref="J22" xml:space="preserve"> IFERROR( IF(F22&lt;&gt;"", INDEX(聲母對照表[國際音標], MATCH(TRUE, EXACT('輸入工具 (台語音標)'!F22, 聲母對照表[台語音標]), 0)), ""), "")</f>
        <v>t</v>
      </c>
      <c r="K22" s="117" t="str" cm="1">
        <f t="array" ref="K22">IFERROR( IF(G22&lt;&gt;"", INDEX(韻母對照表[國際音標], MATCH(TRUE, EXACT('輸入工具 (台語音標)'!G22, 韻母對照表[台語音標]), 0)), ""), "")</f>
        <v>ik̚</v>
      </c>
      <c r="L22" s="117" t="str" cm="1">
        <f t="array" ref="L22" xml:space="preserve"> IF(H22&lt;&gt;"", INDEX(上標對照表[上標值], MATCH(TRUE, EXACT(H22, 上標對照表[調號]), 0)), "")</f>
        <v>⁸</v>
      </c>
    </row>
    <row r="23" spans="2:12" ht="29.25">
      <c r="B23" s="122">
        <f t="shared" si="3"/>
        <v>19</v>
      </c>
      <c r="C23" s="12" t="s">
        <v>2263</v>
      </c>
      <c r="D23" s="120" t="s">
        <v>2295</v>
      </c>
      <c r="E23" s="119" t="str">
        <f t="shared" si="0"/>
        <v>hə⁵</v>
      </c>
      <c r="F23" s="117" t="s">
        <v>2046</v>
      </c>
      <c r="G23" s="117" t="str">
        <f t="shared" si="4"/>
        <v>o</v>
      </c>
      <c r="H23" s="118" t="str">
        <f t="shared" si="2"/>
        <v>5</v>
      </c>
      <c r="I23" s="117"/>
      <c r="J23" s="117" t="str" cm="1">
        <f t="array" ref="J23" xml:space="preserve"> IFERROR( IF(F23&lt;&gt;"", INDEX(聲母對照表[國際音標], MATCH(TRUE, EXACT('輸入工具 (台語音標)'!F23, 聲母對照表[台語音標]), 0)), ""), "")</f>
        <v>h</v>
      </c>
      <c r="K23" s="117" t="str" cm="1">
        <f t="array" ref="K23">IFERROR( IF(G23&lt;&gt;"", INDEX(韻母對照表[國際音標], MATCH(TRUE, EXACT('輸入工具 (台語音標)'!G23, 韻母對照表[台語音標]), 0)), ""), "")</f>
        <v>ə</v>
      </c>
      <c r="L23" s="117" t="str" cm="1">
        <f t="array" ref="L23" xml:space="preserve"> IF(H23&lt;&gt;"", INDEX(上標對照表[上標值], MATCH(TRUE, EXACT(H23, 上標對照表[調號]), 0)), "")</f>
        <v>⁵</v>
      </c>
    </row>
    <row r="24" spans="2:12" ht="29.25">
      <c r="B24" s="122">
        <f t="shared" si="3"/>
        <v>20</v>
      </c>
      <c r="C24" s="12" t="s">
        <v>2264</v>
      </c>
      <c r="D24" s="120" t="s">
        <v>2287</v>
      </c>
      <c r="E24" s="119" t="str">
        <f t="shared" si="0"/>
        <v>su¹</v>
      </c>
      <c r="F24" s="117" t="s">
        <v>2049</v>
      </c>
      <c r="G24" s="117" t="str">
        <f t="shared" si="4"/>
        <v>u</v>
      </c>
      <c r="H24" s="118" t="str">
        <f t="shared" si="2"/>
        <v>1</v>
      </c>
      <c r="I24" s="117"/>
      <c r="J24" s="117" t="str" cm="1">
        <f t="array" ref="J24" xml:space="preserve"> IFERROR( IF(F24&lt;&gt;"", INDEX(聲母對照表[國際音標], MATCH(TRUE, EXACT('輸入工具 (台語音標)'!F24, 聲母對照表[台語音標]), 0)), ""), "")</f>
        <v>s</v>
      </c>
      <c r="K24" s="117" t="str" cm="1">
        <f t="array" ref="K24">IFERROR( IF(G24&lt;&gt;"", INDEX(韻母對照表[國際音標], MATCH(TRUE, EXACT('輸入工具 (台語音標)'!G24, 韻母對照表[台語音標]), 0)), ""), "")</f>
        <v>u</v>
      </c>
      <c r="L24" s="117" t="str" cm="1">
        <f t="array" ref="L24" xml:space="preserve"> IF(H24&lt;&gt;"", INDEX(上標對照表[上標值], MATCH(TRUE, EXACT(H24, 上標對照表[調號]), 0)), "")</f>
        <v>¹</v>
      </c>
    </row>
    <row r="25" spans="2:12" ht="29.25">
      <c r="B25" s="122">
        <f t="shared" si="3"/>
        <v>21</v>
      </c>
      <c r="C25" s="12" t="s">
        <v>2265</v>
      </c>
      <c r="D25" s="120" t="s">
        <v>2329</v>
      </c>
      <c r="E25" s="119" t="str">
        <f t="shared" si="0"/>
        <v>uan³</v>
      </c>
      <c r="F25" s="117"/>
      <c r="G25" s="117" t="str">
        <f t="shared" si="4"/>
        <v>uan</v>
      </c>
      <c r="H25" s="118" t="str">
        <f t="shared" si="2"/>
        <v>3</v>
      </c>
      <c r="I25" s="117"/>
      <c r="J25" s="117" t="str" cm="1">
        <f t="array" ref="J25" xml:space="preserve"> IFERROR( IF(F25&lt;&gt;"", INDEX(聲母對照表[國際音標], MATCH(TRUE, EXACT('輸入工具 (台語音標)'!F25, 聲母對照表[台語音標]), 0)), ""), "")</f>
        <v/>
      </c>
      <c r="K25" s="117" t="str" cm="1">
        <f t="array" ref="K25">IFERROR( IF(G25&lt;&gt;"", INDEX(韻母對照表[國際音標], MATCH(TRUE, EXACT('輸入工具 (台語音標)'!G25, 韻母對照表[台語音標]), 0)), ""), "")</f>
        <v>uan</v>
      </c>
      <c r="L25" s="117" t="str" cm="1">
        <f t="array" ref="L25" xml:space="preserve"> IF(H25&lt;&gt;"", INDEX(上標對照表[上標值], MATCH(TRUE, EXACT(H25, 上標對照表[調號]), 0)), "")</f>
        <v>³</v>
      </c>
    </row>
    <row r="26" spans="2:12" ht="29.25">
      <c r="B26" s="122">
        <f t="shared" si="3"/>
        <v>22</v>
      </c>
      <c r="C26" s="12" t="s">
        <v>2240</v>
      </c>
      <c r="D26" s="120" t="s">
        <v>2305</v>
      </c>
      <c r="E26" s="119" t="str">
        <f t="shared" si="0"/>
        <v>ɪũ⁵</v>
      </c>
      <c r="F26" s="117"/>
      <c r="G26" s="117" t="str">
        <f t="shared" si="4"/>
        <v>iunn</v>
      </c>
      <c r="H26" s="118" t="str">
        <f t="shared" si="2"/>
        <v>5</v>
      </c>
      <c r="I26" s="117"/>
      <c r="J26" s="117" t="str" cm="1">
        <f t="array" ref="J26" xml:space="preserve"> IFERROR( IF(F26&lt;&gt;"", INDEX(聲母對照表[國際音標], MATCH(TRUE, EXACT('輸入工具 (台語音標)'!F26, 聲母對照表[台語音標]), 0)), ""), "")</f>
        <v/>
      </c>
      <c r="K26" s="117" t="str" cm="1">
        <f t="array" ref="K26">IFERROR( IF(G26&lt;&gt;"", INDEX(韻母對照表[國際音標], MATCH(TRUE, EXACT('輸入工具 (台語音標)'!G26, 韻母對照表[台語音標]), 0)), ""), "")</f>
        <v>ɪũ</v>
      </c>
      <c r="L26" s="117" t="str" cm="1">
        <f t="array" ref="L26" xml:space="preserve"> IF(H26&lt;&gt;"", INDEX(上標對照表[上標值], MATCH(TRUE, EXACT(H26, 上標對照表[調號]), 0)), "")</f>
        <v>⁵</v>
      </c>
    </row>
    <row r="27" spans="2:12" ht="29.25">
      <c r="B27" s="122">
        <f t="shared" si="3"/>
        <v>23</v>
      </c>
      <c r="C27" s="12" t="s">
        <v>2241</v>
      </c>
      <c r="D27" s="120" t="s">
        <v>2306</v>
      </c>
      <c r="E27" s="119" t="str">
        <f t="shared" si="0"/>
        <v>lɪu²</v>
      </c>
      <c r="F27" s="117" t="s">
        <v>2042</v>
      </c>
      <c r="G27" s="117" t="str">
        <f t="shared" si="4"/>
        <v>iu</v>
      </c>
      <c r="H27" s="118" t="str">
        <f t="shared" si="2"/>
        <v>2</v>
      </c>
      <c r="I27" s="117"/>
      <c r="J27" s="117" t="str" cm="1">
        <f t="array" ref="J27" xml:space="preserve"> IFERROR( IF(F27&lt;&gt;"", INDEX(聲母對照表[國際音標], MATCH(TRUE, EXACT('輸入工具 (台語音標)'!F27, 聲母對照表[台語音標]), 0)), ""), "")</f>
        <v>l</v>
      </c>
      <c r="K27" s="117" t="str" cm="1">
        <f t="array" ref="K27">IFERROR( IF(G27&lt;&gt;"", INDEX(韻母對照表[國際音標], MATCH(TRUE, EXACT('輸入工具 (台語音標)'!G27, 韻母對照表[台語音標]), 0)), ""), "")</f>
        <v>ɪu</v>
      </c>
      <c r="L27" s="117" t="str" cm="1">
        <f t="array" ref="L27" xml:space="preserve"> IF(H27&lt;&gt;"", INDEX(上標對照表[上標值], MATCH(TRUE, EXACT(H27, 上標對照表[調號]), 0)), "")</f>
        <v>²</v>
      </c>
    </row>
    <row r="28" spans="2:12" ht="29.25">
      <c r="B28" s="122">
        <f t="shared" si="3"/>
        <v>24</v>
      </c>
      <c r="C28" s="12" t="s">
        <v>2261</v>
      </c>
      <c r="D28" s="120"/>
      <c r="E28" s="119" t="str">
        <f t="shared" si="0"/>
        <v/>
      </c>
      <c r="F28" s="117"/>
      <c r="G28" s="117" t="str">
        <f t="shared" si="4"/>
        <v/>
      </c>
      <c r="H28" s="118" t="str">
        <f t="shared" si="2"/>
        <v/>
      </c>
      <c r="I28" s="117"/>
      <c r="J28" s="117" t="str" cm="1">
        <f t="array" ref="J28" xml:space="preserve"> IFERROR( IF(F28&lt;&gt;"", INDEX(聲母對照表[國際音標], MATCH(TRUE, EXACT('輸入工具 (台語音標)'!F28, 聲母對照表[台語音標]), 0)), ""), "")</f>
        <v/>
      </c>
      <c r="K28" s="117" t="str" cm="1">
        <f t="array" ref="K28">IFERROR( IF(G28&lt;&gt;"", INDEX(韻母對照表[國際音標], MATCH(TRUE, EXACT('輸入工具 (台語音標)'!G28, 韻母對照表[台語音標]), 0)), ""), "")</f>
        <v/>
      </c>
      <c r="L28" s="117" t="str" cm="1">
        <f t="array" ref="L28" xml:space="preserve"> IF(H28&lt;&gt;"", INDEX(上標對照表[上標值], MATCH(TRUE, EXACT(H28, 上標對照表[調號]), 0)), "")</f>
        <v/>
      </c>
    </row>
    <row r="29" spans="2:12" ht="29.25">
      <c r="B29" s="122">
        <f t="shared" si="3"/>
        <v>25</v>
      </c>
      <c r="C29" s="12" t="s">
        <v>2266</v>
      </c>
      <c r="D29" s="120" t="s">
        <v>2288</v>
      </c>
      <c r="E29" s="119" t="str">
        <f t="shared" si="0"/>
        <v>ʦʰun¹</v>
      </c>
      <c r="F29" s="117" t="s">
        <v>2048</v>
      </c>
      <c r="G29" s="117" t="str">
        <f t="shared" si="4"/>
        <v>un</v>
      </c>
      <c r="H29" s="118" t="str">
        <f t="shared" si="2"/>
        <v>1</v>
      </c>
      <c r="I29" s="117"/>
      <c r="J29" s="117" t="str" cm="1">
        <f t="array" ref="J29" xml:space="preserve"> IFERROR( IF(F29&lt;&gt;"", INDEX(聲母對照表[國際音標], MATCH(TRUE, EXACT('輸入工具 (台語音標)'!F29, 聲母對照表[台語音標]), 0)), ""), "")</f>
        <v>ʦʰ</v>
      </c>
      <c r="K29" s="117" t="str" cm="1">
        <f t="array" ref="K29">IFERROR( IF(G29&lt;&gt;"", INDEX(韻母對照表[國際音標], MATCH(TRUE, EXACT('輸入工具 (台語音標)'!G29, 韻母對照表[台語音標]), 0)), ""), "")</f>
        <v>un</v>
      </c>
      <c r="L29" s="117" t="str" cm="1">
        <f t="array" ref="L29" xml:space="preserve"> IF(H29&lt;&gt;"", INDEX(上標對照表[上標值], MATCH(TRUE, EXACT(H29, 上標對照表[調號]), 0)), "")</f>
        <v>¹</v>
      </c>
    </row>
    <row r="30" spans="2:12" ht="29.25">
      <c r="B30" s="122">
        <f t="shared" si="3"/>
        <v>26</v>
      </c>
      <c r="C30" s="12" t="s">
        <v>2267</v>
      </c>
      <c r="D30" s="120" t="s">
        <v>2289</v>
      </c>
      <c r="E30" s="119" t="str">
        <f t="shared" si="0"/>
        <v>hɔŋ¹</v>
      </c>
      <c r="F30" s="117" t="s">
        <v>2046</v>
      </c>
      <c r="G30" s="117" t="str">
        <f t="shared" si="4"/>
        <v>ong</v>
      </c>
      <c r="H30" s="118" t="str">
        <f t="shared" si="2"/>
        <v>1</v>
      </c>
      <c r="I30" s="117"/>
      <c r="J30" s="117" t="str" cm="1">
        <f t="array" ref="J30" xml:space="preserve"> IFERROR( IF(F30&lt;&gt;"", INDEX(聲母對照表[國際音標], MATCH(TRUE, EXACT('輸入工具 (台語音標)'!F30, 聲母對照表[台語音標]), 0)), ""), "")</f>
        <v>h</v>
      </c>
      <c r="K30" s="117" t="str" cm="1">
        <f t="array" ref="K30">IFERROR( IF(G30&lt;&gt;"", INDEX(韻母對照表[國際音標], MATCH(TRUE, EXACT('輸入工具 (台語音標)'!G30, 韻母對照表[台語音標]), 0)), ""), "")</f>
        <v>ɔŋ</v>
      </c>
      <c r="L30" s="117" t="str" cm="1">
        <f t="array" ref="L30" xml:space="preserve"> IF(H30&lt;&gt;"", INDEX(上標對照表[上標值], MATCH(TRUE, EXACT(H30, 上標對照表[調號]), 0)), "")</f>
        <v>¹</v>
      </c>
    </row>
    <row r="31" spans="2:12" ht="29.25">
      <c r="B31" s="122">
        <f t="shared" si="3"/>
        <v>27</v>
      </c>
      <c r="C31" s="12" t="s">
        <v>2268</v>
      </c>
      <c r="D31" s="120" t="s">
        <v>2320</v>
      </c>
      <c r="E31" s="119" t="str">
        <f t="shared" si="0"/>
        <v>put̚⁴</v>
      </c>
      <c r="F31" s="117" t="s">
        <v>2037</v>
      </c>
      <c r="G31" s="117" t="str">
        <f t="shared" si="4"/>
        <v>ut</v>
      </c>
      <c r="H31" s="118" t="str">
        <f t="shared" si="2"/>
        <v>4</v>
      </c>
      <c r="I31" s="117"/>
      <c r="J31" s="117" t="str" cm="1">
        <f t="array" ref="J31" xml:space="preserve"> IFERROR( IF(F31&lt;&gt;"", INDEX(聲母對照表[國際音標], MATCH(TRUE, EXACT('輸入工具 (台語音標)'!F31, 聲母對照表[台語音標]), 0)), ""), "")</f>
        <v>p</v>
      </c>
      <c r="K31" s="117" t="str" cm="1">
        <f t="array" ref="K31">IFERROR( IF(G31&lt;&gt;"", INDEX(韻母對照表[國際音標], MATCH(TRUE, EXACT('輸入工具 (台語音標)'!G31, 韻母對照表[台語音標]), 0)), ""), "")</f>
        <v>ut̚</v>
      </c>
      <c r="L31" s="117" t="str" cm="1">
        <f t="array" ref="L31" xml:space="preserve"> IF(H31&lt;&gt;"", INDEX(上標對照表[上標值], MATCH(TRUE, EXACT(H31, 上標對照表[調號]), 0)), "")</f>
        <v>⁴</v>
      </c>
    </row>
    <row r="32" spans="2:12" ht="29.25">
      <c r="B32" s="122">
        <f t="shared" si="3"/>
        <v>28</v>
      </c>
      <c r="C32" s="12" t="s">
        <v>2269</v>
      </c>
      <c r="D32" s="120" t="s">
        <v>2321</v>
      </c>
      <c r="E32" s="119" t="str">
        <f t="shared" si="0"/>
        <v>tɔ⁷</v>
      </c>
      <c r="F32" s="117" t="s">
        <v>2040</v>
      </c>
      <c r="G32" s="117" t="str">
        <f t="shared" si="4"/>
        <v>oo</v>
      </c>
      <c r="H32" s="118" t="str">
        <f t="shared" si="2"/>
        <v>7</v>
      </c>
      <c r="I32" s="117"/>
      <c r="J32" s="117" t="str" cm="1">
        <f t="array" ref="J32" xml:space="preserve"> IFERROR( IF(F32&lt;&gt;"", INDEX(聲母對照表[國際音標], MATCH(TRUE, EXACT('輸入工具 (台語音標)'!F32, 聲母對照表[台語音標]), 0)), ""), "")</f>
        <v>t</v>
      </c>
      <c r="K32" s="117" t="str" cm="1">
        <f t="array" ref="K32">IFERROR( IF(G32&lt;&gt;"", INDEX(韻母對照表[國際音標], MATCH(TRUE, EXACT('輸入工具 (台語音標)'!G32, 韻母對照表[台語音標]), 0)), ""), "")</f>
        <v>ɔ</v>
      </c>
      <c r="L32" s="117" t="str" cm="1">
        <f t="array" ref="L32" xml:space="preserve"> IF(H32&lt;&gt;"", INDEX(上標對照表[上標值], MATCH(TRUE, EXACT(H32, 上標對照表[調號]), 0)), "")</f>
        <v>⁷</v>
      </c>
    </row>
    <row r="33" spans="1:12" ht="29.25">
      <c r="B33" s="122">
        <f t="shared" si="3"/>
        <v>29</v>
      </c>
      <c r="C33" s="12" t="s">
        <v>2270</v>
      </c>
      <c r="D33" s="120" t="s">
        <v>2322</v>
      </c>
      <c r="E33" s="119" t="str">
        <f t="shared" si="0"/>
        <v>ɡɪɔk̚⁸</v>
      </c>
      <c r="F33" s="117" t="s">
        <v>2043</v>
      </c>
      <c r="G33" s="117" t="str">
        <f t="shared" si="4"/>
        <v>iok</v>
      </c>
      <c r="H33" s="118" t="str">
        <f t="shared" si="2"/>
        <v>8</v>
      </c>
      <c r="I33" s="117"/>
      <c r="J33" s="117" t="str" cm="1">
        <f t="array" ref="J33" xml:space="preserve"> IFERROR( IF(F33&lt;&gt;"", INDEX(聲母對照表[國際音標], MATCH(TRUE, EXACT('輸入工具 (台語音標)'!F33, 聲母對照表[台語音標]), 0)), ""), "")</f>
        <v>ɡ</v>
      </c>
      <c r="K33" s="117" t="str" cm="1">
        <f t="array" ref="K33">IFERROR( IF(G33&lt;&gt;"", INDEX(韻母對照表[國際音標], MATCH(TRUE, EXACT('輸入工具 (台語音標)'!G33, 韻母對照表[台語音標]), 0)), ""), "")</f>
        <v>ɪɔk̚</v>
      </c>
      <c r="L33" s="117" t="str" cm="1">
        <f t="array" ref="L33" xml:space="preserve"> IF(H33&lt;&gt;"", INDEX(上標對照表[上標值], MATCH(TRUE, EXACT(H33, 上標對照表[調號]), 0)), "")</f>
        <v>⁸</v>
      </c>
    </row>
    <row r="34" spans="1:12" ht="29.25">
      <c r="B34" s="122">
        <f t="shared" si="3"/>
        <v>30</v>
      </c>
      <c r="C34" s="12" t="s">
        <v>2234</v>
      </c>
      <c r="D34" s="120" t="s">
        <v>2343</v>
      </c>
      <c r="E34" s="119" t="str">
        <f t="shared" si="0"/>
        <v>mŋ̍⁵</v>
      </c>
      <c r="F34" s="117" t="s">
        <v>1087</v>
      </c>
      <c r="G34" s="117" t="str">
        <f t="shared" si="4"/>
        <v>ng</v>
      </c>
      <c r="H34" s="118" t="str">
        <f t="shared" si="2"/>
        <v>5</v>
      </c>
      <c r="I34" s="117"/>
      <c r="J34" s="117" t="str" cm="1">
        <f t="array" ref="J34" xml:space="preserve"> IFERROR( IF(F34&lt;&gt;"", INDEX(聲母對照表[國際音標], MATCH(TRUE, EXACT('輸入工具 (台語音標)'!F34, 聲母對照表[台語音標]), 0)), ""), "")</f>
        <v>m</v>
      </c>
      <c r="K34" s="117" t="str" cm="1">
        <f t="array" ref="K34">IFERROR( IF(G34&lt;&gt;"", INDEX(韻母對照表[國際音標], MATCH(TRUE, EXACT('輸入工具 (台語音標)'!G34, 韻母對照表[台語音標]), 0)), ""), "")</f>
        <v>ŋ̍</v>
      </c>
      <c r="L34" s="117" t="str" cm="1">
        <f t="array" ref="L34" xml:space="preserve"> IF(H34&lt;&gt;"", INDEX(上標對照表[上標值], MATCH(TRUE, EXACT(H34, 上標對照表[調號]), 0)), "")</f>
        <v>⁵</v>
      </c>
    </row>
    <row r="35" spans="1:12" ht="29.25">
      <c r="B35" s="122">
        <f t="shared" si="3"/>
        <v>31</v>
      </c>
      <c r="C35" s="12" t="s">
        <v>2271</v>
      </c>
      <c r="D35" s="120" t="s">
        <v>2323</v>
      </c>
      <c r="E35" s="119" t="str">
        <f t="shared" si="0"/>
        <v>kuan¹</v>
      </c>
      <c r="F35" s="117" t="s">
        <v>2044</v>
      </c>
      <c r="G35" s="117" t="str">
        <f t="shared" si="4"/>
        <v>uan</v>
      </c>
      <c r="H35" s="118" t="str">
        <f t="shared" si="2"/>
        <v>1</v>
      </c>
      <c r="I35" s="117"/>
      <c r="J35" s="117" t="str" cm="1">
        <f t="array" ref="J35" xml:space="preserve"> IFERROR( IF(F35&lt;&gt;"", INDEX(聲母對照表[國際音標], MATCH(TRUE, EXACT('輸入工具 (台語音標)'!F35, 聲母對照表[台語音標]), 0)), ""), "")</f>
        <v>k</v>
      </c>
      <c r="K35" s="117" t="str" cm="1">
        <f t="array" ref="K35">IFERROR( IF(G35&lt;&gt;"", INDEX(韻母對照表[國際音標], MATCH(TRUE, EXACT('輸入工具 (台語音標)'!G35, 韻母對照表[台語音標]), 0)), ""), "")</f>
        <v>uan</v>
      </c>
      <c r="L35" s="117" t="str" cm="1">
        <f t="array" ref="L35" xml:space="preserve"> IF(H35&lt;&gt;"", INDEX(上標對照表[上標值], MATCH(TRUE, EXACT(H35, 上標對照表[調號]), 0)), "")</f>
        <v>¹</v>
      </c>
    </row>
    <row r="36" spans="1:12" ht="29.25">
      <c r="B36" s="122">
        <f t="shared" si="3"/>
        <v>32</v>
      </c>
      <c r="C36" s="12" t="s">
        <v>2260</v>
      </c>
      <c r="D36" s="120"/>
      <c r="E36" s="119" t="str">
        <f t="shared" si="0"/>
        <v/>
      </c>
      <c r="F36" s="117"/>
      <c r="G36" s="117" t="str">
        <f t="shared" si="4"/>
        <v/>
      </c>
      <c r="H36" s="118" t="str">
        <f t="shared" si="2"/>
        <v/>
      </c>
      <c r="I36" s="117"/>
      <c r="J36" s="117" t="str" cm="1">
        <f t="array" ref="J36" xml:space="preserve"> IFERROR( IF(F36&lt;&gt;"", INDEX(聲母對照表[國際音標], MATCH(TRUE, EXACT('輸入工具 (台語音標)'!F36, 聲母對照表[台語音標]), 0)), ""), "")</f>
        <v/>
      </c>
      <c r="K36" s="117" t="str" cm="1">
        <f t="array" ref="K36">IFERROR( IF(G36&lt;&gt;"", INDEX(韻母對照表[國際音標], MATCH(TRUE, EXACT('輸入工具 (台語音標)'!G36, 韻母對照表[台語音標]), 0)), ""), "")</f>
        <v/>
      </c>
      <c r="L36" s="117" t="str" cm="1">
        <f t="array" ref="L36" xml:space="preserve"> IF(H36&lt;&gt;"", INDEX(上標對照表[上標值], MATCH(TRUE, EXACT(H36, 上標對照表[調號]), 0)), "")</f>
        <v/>
      </c>
    </row>
    <row r="39" spans="1:12" ht="29.25">
      <c r="A39" s="118"/>
      <c r="B39" s="118"/>
      <c r="C39" s="118"/>
      <c r="D39" s="118"/>
      <c r="E39" s="118"/>
      <c r="F39" s="118"/>
      <c r="G39" s="118"/>
      <c r="H39" s="118"/>
      <c r="I39" s="117"/>
      <c r="J39" s="117" t="str" cm="1">
        <f t="array" ref="J39" xml:space="preserve"> IF(F39&lt;&gt;"", INDEX(聲母對照表[國際音標], MATCH(TRUE, EXACT('輸入工具 (台語音標)'!F39, 聲母對照表[閩拼方案]), 0)), "")</f>
        <v/>
      </c>
      <c r="K39" s="117" t="str" cm="1">
        <f t="array" ref="K39">IF(G39&lt;&gt;"", INDEX(韻母對照表[國際音標], MATCH(TRUE, EXACT('輸入工具 (台語音標)'!G39, 韻母對照表[閩拼方案]), 0)), "")</f>
        <v/>
      </c>
      <c r="L39" s="117" t="str" cm="1">
        <f t="array" ref="L39" xml:space="preserve"> IF(H39&lt;&gt;"", INDEX(#REF!, MATCH(TRUE, EXACT('輸入工具 (台語音標)'!H39,#REF!), 0)), "")</f>
        <v/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51FAA-8DAA-4088-8F1E-FD239FE8336B}">
  <dimension ref="A2:L39"/>
  <sheetViews>
    <sheetView topLeftCell="A15" workbookViewId="0">
      <selection activeCell="D20" sqref="D4:D20"/>
    </sheetView>
  </sheetViews>
  <sheetFormatPr defaultRowHeight="25.5"/>
  <cols>
    <col min="1" max="1" width="1.5" customWidth="1"/>
    <col min="2" max="3" width="4.83203125" customWidth="1"/>
    <col min="4" max="5" width="11.5" customWidth="1"/>
    <col min="6" max="12" width="7.08203125" customWidth="1"/>
    <col min="14" max="14" width="12" customWidth="1"/>
  </cols>
  <sheetData>
    <row r="2" spans="2:12">
      <c r="B2" t="str">
        <f xml:space="preserve"> _xlfn.CONCAT("【", D4, "】")</f>
        <v>【閩拼方案】</v>
      </c>
    </row>
    <row r="4" spans="2:12">
      <c r="B4" s="185" t="s">
        <v>702</v>
      </c>
      <c r="C4" s="185" t="s">
        <v>628</v>
      </c>
      <c r="D4" s="186" t="s">
        <v>639</v>
      </c>
      <c r="E4" s="186" t="s">
        <v>697</v>
      </c>
      <c r="F4" s="186" t="s">
        <v>2085</v>
      </c>
      <c r="G4" s="186" t="s">
        <v>2086</v>
      </c>
      <c r="H4" s="187" t="s">
        <v>2360</v>
      </c>
      <c r="I4" s="12"/>
      <c r="J4" s="12" t="s">
        <v>2225</v>
      </c>
      <c r="K4" s="12" t="s">
        <v>737</v>
      </c>
      <c r="L4" s="12" t="s">
        <v>2360</v>
      </c>
    </row>
    <row r="5" spans="2:12" ht="29.25">
      <c r="B5" s="122">
        <f xml:space="preserve"> ROW() - 4</f>
        <v>1</v>
      </c>
      <c r="C5" s="12" t="s">
        <v>2248</v>
      </c>
      <c r="D5" s="120" t="s">
        <v>2272</v>
      </c>
      <c r="E5" s="119" t="str">
        <f xml:space="preserve"> IF(AND(G5&lt;&gt;"",H5&lt;&gt;""), _xlfn.CONCAT(J5:L5), "")</f>
        <v>hɔŋ⁵</v>
      </c>
      <c r="F5" s="117" t="s">
        <v>2046</v>
      </c>
      <c r="G5" s="117" t="str">
        <f>IFERROR( MID(D5, LEN(F5)+1, LEN(D5) - LEN(F5) - 1), "")</f>
        <v>ong</v>
      </c>
      <c r="H5" s="118" t="str">
        <f xml:space="preserve"> RIGHT(D5,1)</f>
        <v>5</v>
      </c>
      <c r="I5" s="117"/>
      <c r="J5" s="117" t="str" cm="1">
        <f t="array" ref="J5" xml:space="preserve"> IFERROR( IF(F5&lt;&gt;"", INDEX(聲母對照表[國際音標], MATCH(TRUE, EXACT('輸入工具 (台羅拼音)'!F5, 聲母對照表[台羅拼音]), 0)), ""), "")</f>
        <v>h</v>
      </c>
      <c r="K5" s="117" t="str" cm="1">
        <f t="array" ref="K5">IFERROR( IF(G5&lt;&gt;"", INDEX(韻母對照表[國際音標], MATCH(TRUE, EXACT('輸入工具 (台羅拼音)'!G5, 韻母對照表[台羅拼音]), 0)), ""), "")</f>
        <v>ɔŋ</v>
      </c>
      <c r="L5" s="117" t="str" cm="1">
        <f t="array" ref="L5" xml:space="preserve"> IF(H5&lt;&gt;"", INDEX(上標對照表[上標值], MATCH(TRUE, EXACT(H5, 上標對照表[調號]), 0)), "")</f>
        <v>⁵</v>
      </c>
    </row>
    <row r="6" spans="2:12" ht="29.25">
      <c r="B6" s="122">
        <f xml:space="preserve"> ROW() - 4</f>
        <v>2</v>
      </c>
      <c r="C6" s="12" t="s">
        <v>2249</v>
      </c>
      <c r="D6" s="120" t="s">
        <v>2295</v>
      </c>
      <c r="E6" s="119" t="str">
        <f t="shared" ref="E6:E36" si="0" xml:space="preserve"> IF(AND(G6&lt;&gt;"",H6&lt;&gt;""), _xlfn.CONCAT(J6:L6), "")</f>
        <v>hə⁵</v>
      </c>
      <c r="F6" s="117" t="s">
        <v>2046</v>
      </c>
      <c r="G6" s="117" t="str">
        <f t="shared" ref="G6" si="1">IFERROR( MID(D6, LEN(F6)+1, LEN(D6) - LEN(F6) - 1), "")</f>
        <v>o</v>
      </c>
      <c r="H6" s="118" t="str">
        <f t="shared" ref="H6:H36" si="2" xml:space="preserve"> RIGHT(D6,1)</f>
        <v>5</v>
      </c>
      <c r="I6" s="117"/>
      <c r="J6" s="117" t="str" cm="1">
        <f t="array" ref="J6" xml:space="preserve"> IFERROR( IF(F6&lt;&gt;"", INDEX(聲母對照表[國際音標], MATCH(TRUE, EXACT('輸入工具 (台羅拼音)'!F6, 聲母對照表[台羅拼音]), 0)), ""), "")</f>
        <v>h</v>
      </c>
      <c r="K6" s="117" t="str" cm="1">
        <f t="array" ref="K6">IFERROR( IF(G6&lt;&gt;"", INDEX(韻母對照表[國際音標], MATCH(TRUE, EXACT('輸入工具 (台羅拼音)'!G6, 韻母對照表[台羅拼音]), 0)), ""), "")</f>
        <v>ə</v>
      </c>
      <c r="L6" s="117" t="str" cm="1">
        <f t="array" ref="L6" xml:space="preserve"> IF(H6&lt;&gt;"", INDEX(上標對照表[上標值], MATCH(TRUE, EXACT(H6, 上標對照表[調號]), 0)), "")</f>
        <v>⁵</v>
      </c>
    </row>
    <row r="7" spans="2:12" ht="29.25">
      <c r="B7" s="122">
        <f t="shared" ref="B7:B36" si="3" xml:space="preserve"> ROW() - 4</f>
        <v>3</v>
      </c>
      <c r="C7" s="12" t="s">
        <v>2250</v>
      </c>
      <c r="D7" s="120" t="s">
        <v>2296</v>
      </c>
      <c r="E7" s="119" t="str">
        <f t="shared" si="0"/>
        <v>uan²</v>
      </c>
      <c r="F7" s="121"/>
      <c r="G7" s="117" t="s">
        <v>1013</v>
      </c>
      <c r="H7" s="118" t="str">
        <f t="shared" si="2"/>
        <v>2</v>
      </c>
      <c r="I7" s="117"/>
      <c r="J7" s="117" t="str" cm="1">
        <f t="array" ref="J7" xml:space="preserve"> IFERROR( IF(F7&lt;&gt;"", INDEX(聲母對照表[國際音標], MATCH(TRUE, EXACT('輸入工具 (台羅拼音)'!F7, 聲母對照表[台羅拼音]), 0)), ""), "")</f>
        <v/>
      </c>
      <c r="K7" s="117" t="str" cm="1">
        <f t="array" ref="K7">IFERROR( IF(G7&lt;&gt;"", INDEX(韻母對照表[國際音標], MATCH(TRUE, EXACT('輸入工具 (台羅拼音)'!G7, 韻母對照表[台羅拼音]), 0)), ""), "")</f>
        <v>uan</v>
      </c>
      <c r="L7" s="117" t="str" cm="1">
        <f t="array" ref="L7" xml:space="preserve"> IF(H7&lt;&gt;"", INDEX(上標對照表[上標值], MATCH(TRUE, EXACT(H7, 上標對照表[調號]), 0)), "")</f>
        <v>²</v>
      </c>
    </row>
    <row r="8" spans="2:12" ht="29.25">
      <c r="B8" s="122">
        <f t="shared" si="3"/>
        <v>4</v>
      </c>
      <c r="C8" s="12" t="s">
        <v>2251</v>
      </c>
      <c r="D8" s="120" t="s">
        <v>2310</v>
      </c>
      <c r="E8" s="119" t="str">
        <f t="shared" si="0"/>
        <v>sɪɔŋ²</v>
      </c>
      <c r="F8" s="117" t="s">
        <v>2049</v>
      </c>
      <c r="G8" s="117" t="str">
        <f t="shared" ref="G8:G36" si="4">IFERROR( MID(D8, LEN(F8)+1, LEN(D8) - LEN(F8) - 1), "")</f>
        <v>iong</v>
      </c>
      <c r="H8" s="118" t="str">
        <f t="shared" si="2"/>
        <v>2</v>
      </c>
      <c r="I8" s="117"/>
      <c r="J8" s="117" t="str" cm="1">
        <f t="array" ref="J8" xml:space="preserve"> IFERROR( IF(F8&lt;&gt;"", INDEX(聲母對照表[國際音標], MATCH(TRUE, EXACT('輸入工具 (台羅拼音)'!F8, 聲母對照表[台羅拼音]), 0)), ""), "")</f>
        <v>s</v>
      </c>
      <c r="K8" s="117" t="str" cm="1">
        <f t="array" ref="K8">IFERROR( IF(G8&lt;&gt;"", INDEX(韻母對照表[國際音標], MATCH(TRUE, EXACT('輸入工具 (台羅拼音)'!G8, 韻母對照表[台羅拼音]), 0)), ""), "")</f>
        <v>ɪɔŋ</v>
      </c>
      <c r="L8" s="117" t="str" cm="1">
        <f t="array" ref="L8" xml:space="preserve"> IF(H8&lt;&gt;"", INDEX(上標對照表[上標值], MATCH(TRUE, EXACT(H8, 上標對照表[調號]), 0)), "")</f>
        <v>²</v>
      </c>
    </row>
    <row r="9" spans="2:12" ht="29.25">
      <c r="B9" s="122">
        <f t="shared" si="3"/>
        <v>5</v>
      </c>
      <c r="C9" s="12" t="s">
        <v>2252</v>
      </c>
      <c r="D9" s="120" t="s">
        <v>2311</v>
      </c>
      <c r="E9" s="119" t="str">
        <f t="shared" si="0"/>
        <v>pik̚⁸</v>
      </c>
      <c r="F9" s="117" t="s">
        <v>2037</v>
      </c>
      <c r="G9" s="117" t="str">
        <f t="shared" si="4"/>
        <v>ik</v>
      </c>
      <c r="H9" s="118" t="str">
        <f t="shared" si="2"/>
        <v>8</v>
      </c>
      <c r="I9" s="117"/>
      <c r="J9" s="117" t="str" cm="1">
        <f t="array" ref="J9" xml:space="preserve"> IFERROR( IF(F9&lt;&gt;"", INDEX(聲母對照表[國際音標], MATCH(TRUE, EXACT('輸入工具 (台羅拼音)'!F9, 聲母對照表[台羅拼音]), 0)), ""), "")</f>
        <v>p</v>
      </c>
      <c r="K9" s="117" t="str" cm="1">
        <f t="array" ref="K9">IFERROR( IF(G9&lt;&gt;"", INDEX(韻母對照表[國際音標], MATCH(TRUE, EXACT('輸入工具 (台羅拼音)'!G9, 韻母對照表[台羅拼音]), 0)), ""), "")</f>
        <v>ik̚</v>
      </c>
      <c r="L9" s="117" t="str" cm="1">
        <f t="array" ref="L9" xml:space="preserve"> IF(H9&lt;&gt;"", INDEX(上標對照表[上標值], MATCH(TRUE, EXACT(H9, 上標對照表[調號]), 0)), "")</f>
        <v>⁸</v>
      </c>
    </row>
    <row r="10" spans="2:12" ht="29.25">
      <c r="B10" s="122">
        <f t="shared" si="3"/>
        <v>6</v>
      </c>
      <c r="C10" s="12" t="s">
        <v>2253</v>
      </c>
      <c r="D10" s="120" t="s">
        <v>2299</v>
      </c>
      <c r="E10" s="119" t="str">
        <f t="shared" si="0"/>
        <v>hun⁵</v>
      </c>
      <c r="F10" s="117" t="s">
        <v>2046</v>
      </c>
      <c r="G10" s="117" t="str">
        <f t="shared" si="4"/>
        <v>un</v>
      </c>
      <c r="H10" s="118" t="str">
        <f t="shared" si="2"/>
        <v>5</v>
      </c>
      <c r="I10" s="117"/>
      <c r="J10" s="117" t="str" cm="1">
        <f t="array" ref="J10" xml:space="preserve"> IFERROR( IF(F10&lt;&gt;"", INDEX(聲母對照表[國際音標], MATCH(TRUE, EXACT('輸入工具 (台羅拼音)'!F10, 聲母對照表[台羅拼音]), 0)), ""), "")</f>
        <v>h</v>
      </c>
      <c r="K10" s="117" t="str" cm="1">
        <f t="array" ref="K10">IFERROR( IF(G10&lt;&gt;"", INDEX(韻母對照表[國際音標], MATCH(TRUE, EXACT('輸入工具 (台羅拼音)'!G10, 韻母對照表[台羅拼音]), 0)), ""), "")</f>
        <v>un</v>
      </c>
      <c r="L10" s="117" t="str" cm="1">
        <f t="array" ref="L10" xml:space="preserve"> IF(H10&lt;&gt;"", INDEX(上標對照表[上標值], MATCH(TRUE, EXACT(H10, 上標對照表[調號]), 0)), "")</f>
        <v>⁵</v>
      </c>
    </row>
    <row r="11" spans="2:12" ht="29.25">
      <c r="B11" s="122">
        <f t="shared" si="3"/>
        <v>7</v>
      </c>
      <c r="C11" s="12" t="s">
        <v>2254</v>
      </c>
      <c r="D11" s="120" t="s">
        <v>2312</v>
      </c>
      <c r="E11" s="119" t="str">
        <f t="shared" si="0"/>
        <v>kiŋ¹</v>
      </c>
      <c r="F11" s="117" t="s">
        <v>2044</v>
      </c>
      <c r="G11" s="117" t="str">
        <f t="shared" si="4"/>
        <v>ing</v>
      </c>
      <c r="H11" s="118" t="str">
        <f t="shared" si="2"/>
        <v>1</v>
      </c>
      <c r="I11" s="117"/>
      <c r="J11" s="117" t="str" cm="1">
        <f t="array" ref="J11" xml:space="preserve"> IFERROR( IF(F11&lt;&gt;"", INDEX(聲母對照表[國際音標], MATCH(TRUE, EXACT('輸入工具 (台羅拼音)'!F11, 聲母對照表[台羅拼音]), 0)), ""), "")</f>
        <v>k</v>
      </c>
      <c r="K11" s="117" t="str" cm="1">
        <f t="array" ref="K11">IFERROR( IF(G11&lt;&gt;"", INDEX(韻母對照表[國際音標], MATCH(TRUE, EXACT('輸入工具 (台羅拼音)'!G11, 韻母對照表[台羅拼音]), 0)), ""), "")</f>
        <v>iŋ</v>
      </c>
      <c r="L11" s="117" t="str" cm="1">
        <f t="array" ref="L11" xml:space="preserve"> IF(H11&lt;&gt;"", INDEX(上標對照表[上標值], MATCH(TRUE, EXACT(H11, 上標對照表[調號]), 0)), "")</f>
        <v>¹</v>
      </c>
    </row>
    <row r="12" spans="2:12" ht="29.25">
      <c r="B12" s="122">
        <f t="shared" si="3"/>
        <v>8</v>
      </c>
      <c r="C12" s="12" t="s">
        <v>2261</v>
      </c>
      <c r="D12" s="120"/>
      <c r="E12" s="119" t="str">
        <f t="shared" si="0"/>
        <v/>
      </c>
      <c r="F12" s="117"/>
      <c r="G12" s="117" t="str">
        <f t="shared" si="4"/>
        <v/>
      </c>
      <c r="H12" s="118" t="str">
        <f t="shared" si="2"/>
        <v/>
      </c>
      <c r="I12" s="117"/>
      <c r="J12" s="117" t="str" cm="1">
        <f t="array" ref="J12" xml:space="preserve"> IFERROR( IF(F12&lt;&gt;"", INDEX(聲母對照表[國際音標], MATCH(TRUE, EXACT('輸入工具 (台羅拼音)'!F12, 聲母對照表[台羅拼音]), 0)), ""), "")</f>
        <v/>
      </c>
      <c r="K12" s="117" t="str" cm="1">
        <f t="array" ref="K12">IFERROR( IF(G12&lt;&gt;"", INDEX(韻母對照表[國際音標], MATCH(TRUE, EXACT('輸入工具 (台羅拼音)'!G12, 韻母對照表[台羅拼音]), 0)), ""), "")</f>
        <v/>
      </c>
      <c r="L12" s="117" t="str" cm="1">
        <f t="array" ref="L12" xml:space="preserve"> IF(H12&lt;&gt;"", INDEX(上標對照表[上標值], MATCH(TRUE, EXACT(H12, 上標對照表[調號]), 0)), "")</f>
        <v/>
      </c>
    </row>
    <row r="13" spans="2:12" ht="29.25">
      <c r="B13" s="122">
        <f t="shared" si="3"/>
        <v>9</v>
      </c>
      <c r="C13" s="12" t="s">
        <v>1081</v>
      </c>
      <c r="D13" s="120" t="s">
        <v>2300</v>
      </c>
      <c r="E13" s="119" t="str">
        <f t="shared" si="0"/>
        <v>it̚⁴</v>
      </c>
      <c r="F13" s="117"/>
      <c r="G13" s="117" t="str">
        <f t="shared" si="4"/>
        <v>it</v>
      </c>
      <c r="H13" s="118" t="str">
        <f t="shared" si="2"/>
        <v>4</v>
      </c>
      <c r="I13" s="117"/>
      <c r="J13" s="117" t="str" cm="1">
        <f t="array" ref="J13" xml:space="preserve"> IFERROR( IF(F13&lt;&gt;"", INDEX(聲母對照表[國際音標], MATCH(TRUE, EXACT('輸入工具 (台羅拼音)'!F13, 聲母對照表[台羅拼音]), 0)), ""), "")</f>
        <v/>
      </c>
      <c r="K13" s="117" t="str" cm="1">
        <f t="array" ref="K13">IFERROR( IF(G13&lt;&gt;"", INDEX(韻母對照表[國際音標], MATCH(TRUE, EXACT('輸入工具 (台羅拼音)'!G13, 韻母對照表[台羅拼音]), 0)), ""), "")</f>
        <v>it̚</v>
      </c>
      <c r="L13" s="117" t="str" cm="1">
        <f t="array" ref="L13" xml:space="preserve"> IF(H13&lt;&gt;"", INDEX(上標對照表[上標值], MATCH(TRUE, EXACT(H13, 上標對照表[調號]), 0)), "")</f>
        <v>⁴</v>
      </c>
    </row>
    <row r="14" spans="2:12" ht="29.25">
      <c r="B14" s="122">
        <f t="shared" si="3"/>
        <v>10</v>
      </c>
      <c r="C14" s="12" t="s">
        <v>2255</v>
      </c>
      <c r="D14" s="120" t="s">
        <v>2327</v>
      </c>
      <c r="E14" s="119" t="str">
        <f t="shared" si="0"/>
        <v>pʰɪan³</v>
      </c>
      <c r="F14" s="117" t="s">
        <v>2313</v>
      </c>
      <c r="G14" s="117" t="str">
        <f t="shared" si="4"/>
        <v>ian</v>
      </c>
      <c r="H14" s="118" t="str">
        <f t="shared" si="2"/>
        <v>3</v>
      </c>
      <c r="I14" s="117"/>
      <c r="J14" s="117" t="str" cm="1">
        <f t="array" ref="J14" xml:space="preserve"> IFERROR( IF(F14&lt;&gt;"", INDEX(聲母對照表[國際音標], MATCH(TRUE, EXACT('輸入工具 (台羅拼音)'!F14, 聲母對照表[台羅拼音]), 0)), ""), "")</f>
        <v>pʰ</v>
      </c>
      <c r="K14" s="117" t="str" cm="1">
        <f t="array" ref="K14">IFERROR( IF(G14&lt;&gt;"", INDEX(韻母對照表[國際音標], MATCH(TRUE, EXACT('輸入工具 (台羅拼音)'!G14, 韻母對照表[台羅拼音]), 0)), ""), "")</f>
        <v>ɪan</v>
      </c>
      <c r="L14" s="117" t="str" cm="1">
        <f t="array" ref="L14" xml:space="preserve"> IF(H14&lt;&gt;"", INDEX(上標對照表[上標值], MATCH(TRUE, EXACT(H14, 上標對照表[調號]), 0)), "")</f>
        <v>³</v>
      </c>
    </row>
    <row r="15" spans="2:12" ht="29.25">
      <c r="B15" s="122">
        <f t="shared" si="3"/>
        <v>11</v>
      </c>
      <c r="C15" s="12" t="s">
        <v>2256</v>
      </c>
      <c r="D15" s="120" t="s">
        <v>2314</v>
      </c>
      <c r="E15" s="119" t="str">
        <f t="shared" si="0"/>
        <v>ɡɔ¹</v>
      </c>
      <c r="F15" s="117" t="s">
        <v>2043</v>
      </c>
      <c r="G15" s="117" t="str">
        <f t="shared" si="4"/>
        <v>oo</v>
      </c>
      <c r="H15" s="118" t="str">
        <f t="shared" si="2"/>
        <v>1</v>
      </c>
      <c r="I15" s="117"/>
      <c r="J15" s="117" t="str" cm="1">
        <f t="array" ref="J15" xml:space="preserve"> IFERROR( IF(F15&lt;&gt;"", INDEX(聲母對照表[國際音標], MATCH(TRUE, EXACT('輸入工具 (台羅拼音)'!F15, 聲母對照表[台羅拼音]), 0)), ""), "")</f>
        <v>ɡ</v>
      </c>
      <c r="K15" s="117" t="str" cm="1">
        <f t="array" ref="K15">IFERROR( IF(G15&lt;&gt;"", INDEX(韻母對照表[國際音標], MATCH(TRUE, EXACT('輸入工具 (台羅拼音)'!G15, 韻母對照表[台羅拼音]), 0)), ""), "")</f>
        <v>ɔ</v>
      </c>
      <c r="L15" s="117" t="str" cm="1">
        <f t="array" ref="L15" xml:space="preserve"> IF(H15&lt;&gt;"", INDEX(上標對照表[上標值], MATCH(TRUE, EXACT(H15, 上標對照表[調號]), 0)), "")</f>
        <v>¹</v>
      </c>
    </row>
    <row r="16" spans="2:12" ht="29.25">
      <c r="B16" s="122">
        <f t="shared" si="3"/>
        <v>12</v>
      </c>
      <c r="C16" s="12" t="s">
        <v>2257</v>
      </c>
      <c r="D16" s="120" t="s">
        <v>2325</v>
      </c>
      <c r="E16" s="119" t="str">
        <f t="shared" si="0"/>
        <v>siŋ⁵</v>
      </c>
      <c r="F16" s="117" t="s">
        <v>2049</v>
      </c>
      <c r="G16" s="117" t="str">
        <f t="shared" si="4"/>
        <v>ing</v>
      </c>
      <c r="H16" s="118" t="str">
        <f t="shared" si="2"/>
        <v>5</v>
      </c>
      <c r="I16" s="117"/>
      <c r="J16" s="117" t="str" cm="1">
        <f t="array" ref="J16" xml:space="preserve"> IFERROR( IF(F16&lt;&gt;"", INDEX(聲母對照表[國際音標], MATCH(TRUE, EXACT('輸入工具 (台羅拼音)'!F16, 聲母對照表[台羅拼音]), 0)), ""), "")</f>
        <v>s</v>
      </c>
      <c r="K16" s="117" t="str" cm="1">
        <f t="array" ref="K16">IFERROR( IF(G16&lt;&gt;"", INDEX(韻母對照表[國際音標], MATCH(TRUE, EXACT('輸入工具 (台羅拼音)'!G16, 韻母對照表[台羅拼音]), 0)), ""), "")</f>
        <v>iŋ</v>
      </c>
      <c r="L16" s="117" t="str" cm="1">
        <f t="array" ref="L16" xml:space="preserve"> IF(H16&lt;&gt;"", INDEX(上標對照表[上標值], MATCH(TRUE, EXACT(H16, 上標對照表[調號]), 0)), "")</f>
        <v>⁵</v>
      </c>
    </row>
    <row r="17" spans="2:12" ht="29.25">
      <c r="B17" s="122">
        <f t="shared" si="3"/>
        <v>13</v>
      </c>
      <c r="C17" s="12" t="s">
        <v>2258</v>
      </c>
      <c r="D17" s="120" t="s">
        <v>2328</v>
      </c>
      <c r="E17" s="119" t="str">
        <f t="shared" si="0"/>
        <v>ban⁷</v>
      </c>
      <c r="F17" s="117" t="s">
        <v>2036</v>
      </c>
      <c r="G17" s="117" t="str">
        <f t="shared" si="4"/>
        <v>an</v>
      </c>
      <c r="H17" s="118" t="str">
        <f t="shared" si="2"/>
        <v>7</v>
      </c>
      <c r="I17" s="117"/>
      <c r="J17" s="117" t="str" cm="1">
        <f t="array" ref="J17" xml:space="preserve"> IFERROR( IF(F17&lt;&gt;"", INDEX(聲母對照表[國際音標], MATCH(TRUE, EXACT('輸入工具 (台羅拼音)'!F17, 聲母對照表[台羅拼音]), 0)), ""), "")</f>
        <v>b</v>
      </c>
      <c r="K17" s="117" t="str" cm="1">
        <f t="array" ref="K17">IFERROR( IF(G17&lt;&gt;"", INDEX(韻母對照表[國際音標], MATCH(TRUE, EXACT('輸入工具 (台羅拼音)'!G17, 韻母對照表[台羅拼音]), 0)), ""), "")</f>
        <v>an</v>
      </c>
      <c r="L17" s="117" t="str" cm="1">
        <f t="array" ref="L17" xml:space="preserve"> IF(H17&lt;&gt;"", INDEX(上標對照表[上標值], MATCH(TRUE, EXACT(H17, 上標對照表[調號]), 0)), "")</f>
        <v>⁷</v>
      </c>
    </row>
    <row r="18" spans="2:12" ht="29.25">
      <c r="B18" s="122">
        <f t="shared" si="3"/>
        <v>14</v>
      </c>
      <c r="C18" s="12" t="s">
        <v>2235</v>
      </c>
      <c r="D18" s="120" t="s">
        <v>2315</v>
      </c>
      <c r="E18" s="119" t="str">
        <f t="shared" si="0"/>
        <v>ʣim⁷</v>
      </c>
      <c r="F18" s="117" t="s">
        <v>2230</v>
      </c>
      <c r="G18" s="117" t="str">
        <f t="shared" si="4"/>
        <v>im</v>
      </c>
      <c r="H18" s="118" t="str">
        <f t="shared" si="2"/>
        <v>7</v>
      </c>
      <c r="I18" s="117"/>
      <c r="J18" s="117" t="str" cm="1">
        <f t="array" ref="J18" xml:space="preserve"> IFERROR( IF(F18&lt;&gt;"", INDEX(聲母對照表[國際音標], MATCH(TRUE, EXACT('輸入工具 (台羅拼音)'!F18, 聲母對照表[台羅拼音]), 0)), ""), "")</f>
        <v>ʣ</v>
      </c>
      <c r="K18" s="117" t="str" cm="1">
        <f t="array" ref="K18">IFERROR( IF(G18&lt;&gt;"", INDEX(韻母對照表[國際音標], MATCH(TRUE, EXACT('輸入工具 (台羅拼音)'!G18, 韻母對照表[台羅拼音]), 0)), ""), "")</f>
        <v>im</v>
      </c>
      <c r="L18" s="117" t="str" cm="1">
        <f t="array" ref="L18" xml:space="preserve"> IF(H18&lt;&gt;"", INDEX(上標對照表[上標值], MATCH(TRUE, EXACT(H18, 上標對照表[調號]), 0)), "")</f>
        <v>⁷</v>
      </c>
    </row>
    <row r="19" spans="2:12" ht="29.25">
      <c r="B19" s="122">
        <f t="shared" si="3"/>
        <v>15</v>
      </c>
      <c r="C19" s="12" t="s">
        <v>2259</v>
      </c>
      <c r="D19" s="120" t="s">
        <v>2285</v>
      </c>
      <c r="E19" s="119" t="str">
        <f t="shared" si="0"/>
        <v>san¹</v>
      </c>
      <c r="F19" s="117" t="s">
        <v>2049</v>
      </c>
      <c r="G19" s="117" t="str">
        <f t="shared" si="4"/>
        <v>an</v>
      </c>
      <c r="H19" s="118" t="str">
        <f t="shared" si="2"/>
        <v>1</v>
      </c>
      <c r="I19" s="117"/>
      <c r="J19" s="117" t="str" cm="1">
        <f t="array" ref="J19" xml:space="preserve"> IFERROR( IF(F19&lt;&gt;"", INDEX(聲母對照表[國際音標], MATCH(TRUE, EXACT('輸入工具 (台羅拼音)'!F19, 聲母對照表[台羅拼音]), 0)), ""), "")</f>
        <v>s</v>
      </c>
      <c r="K19" s="117" t="str" cm="1">
        <f t="array" ref="K19">IFERROR( IF(G19&lt;&gt;"", INDEX(韻母對照表[國際音標], MATCH(TRUE, EXACT('輸入工具 (台羅拼音)'!G19, 韻母對照表[台羅拼音]), 0)), ""), "")</f>
        <v>an</v>
      </c>
      <c r="L19" s="117" t="str" cm="1">
        <f t="array" ref="L19" xml:space="preserve"> IF(H19&lt;&gt;"", INDEX(上標對照表[上標值], MATCH(TRUE, EXACT(H19, 上標對照表[調號]), 0)), "")</f>
        <v>¹</v>
      </c>
    </row>
    <row r="20" spans="2:12" ht="29.25">
      <c r="B20" s="122">
        <f t="shared" si="3"/>
        <v>16</v>
      </c>
      <c r="C20" s="12" t="s">
        <v>2260</v>
      </c>
      <c r="D20" s="120"/>
      <c r="E20" s="119" t="str">
        <f t="shared" si="0"/>
        <v/>
      </c>
      <c r="F20" s="117"/>
      <c r="G20" s="117" t="str">
        <f t="shared" si="4"/>
        <v/>
      </c>
      <c r="H20" s="118" t="str">
        <f t="shared" si="2"/>
        <v/>
      </c>
      <c r="I20" s="117"/>
      <c r="J20" s="117" t="str" cm="1">
        <f t="array" ref="J20" xml:space="preserve"> IFERROR( IF(F20&lt;&gt;"", INDEX(聲母對照表[國際音標], MATCH(TRUE, EXACT('輸入工具 (台羅拼音)'!F20, 聲母對照表[台羅拼音]), 0)), ""), "")</f>
        <v/>
      </c>
      <c r="K20" s="117" t="str" cm="1">
        <f t="array" ref="K20">IFERROR( IF(G20&lt;&gt;"", INDEX(韻母對照表[國際音標], MATCH(TRUE, EXACT('輸入工具 (台羅拼音)'!G20, 韻母對照表[台羅拼音]), 0)), ""), "")</f>
        <v/>
      </c>
      <c r="L20" s="117" t="str" cm="1">
        <f t="array" ref="L20" xml:space="preserve"> IF(H20&lt;&gt;"", INDEX(上標對照表[上標值], MATCH(TRUE, EXACT(H20, 上標對照表[調號]), 0)), "")</f>
        <v/>
      </c>
    </row>
    <row r="21" spans="2:12" ht="29.25">
      <c r="B21" s="122">
        <f t="shared" si="3"/>
        <v>17</v>
      </c>
      <c r="C21" s="12" t="s">
        <v>2236</v>
      </c>
      <c r="D21" s="120" t="s">
        <v>2316</v>
      </c>
      <c r="E21" s="119" t="str">
        <f t="shared" si="0"/>
        <v>kɪũ¹</v>
      </c>
      <c r="F21" s="117" t="s">
        <v>2044</v>
      </c>
      <c r="G21" s="117" t="str">
        <f t="shared" si="4"/>
        <v>iunn</v>
      </c>
      <c r="H21" s="118" t="str">
        <f t="shared" si="2"/>
        <v>1</v>
      </c>
      <c r="I21" s="117"/>
      <c r="J21" s="117" t="str" cm="1">
        <f t="array" ref="J21" xml:space="preserve"> IFERROR( IF(F21&lt;&gt;"", INDEX(聲母對照表[國際音標], MATCH(TRUE, EXACT('輸入工具 (台羅拼音)'!F21, 聲母對照表[台羅拼音]), 0)), ""), "")</f>
        <v>k</v>
      </c>
      <c r="K21" s="117" t="str" cm="1">
        <f t="array" ref="K21">IFERROR( IF(G21&lt;&gt;"", INDEX(韻母對照表[國際音標], MATCH(TRUE, EXACT('輸入工具 (台羅拼音)'!G21, 韻母對照表[台羅拼音]), 0)), ""), "")</f>
        <v>ɪũ</v>
      </c>
      <c r="L21" s="117" t="str" cm="1">
        <f t="array" ref="L21" xml:space="preserve"> IF(H21&lt;&gt;"", INDEX(上標對照表[上標值], MATCH(TRUE, EXACT(H21, 上標對照表[調號]), 0)), "")</f>
        <v>¹</v>
      </c>
    </row>
    <row r="22" spans="2:12" ht="29.25">
      <c r="B22" s="122">
        <f t="shared" si="3"/>
        <v>18</v>
      </c>
      <c r="C22" s="12" t="s">
        <v>2262</v>
      </c>
      <c r="D22" s="120" t="s">
        <v>2317</v>
      </c>
      <c r="E22" s="119" t="str">
        <f t="shared" si="0"/>
        <v>tik̚⁸</v>
      </c>
      <c r="F22" s="117" t="s">
        <v>2040</v>
      </c>
      <c r="G22" s="117" t="str">
        <f t="shared" si="4"/>
        <v>ik</v>
      </c>
      <c r="H22" s="118" t="str">
        <f t="shared" si="2"/>
        <v>8</v>
      </c>
      <c r="I22" s="117"/>
      <c r="J22" s="117" t="str" cm="1">
        <f t="array" ref="J22" xml:space="preserve"> IFERROR( IF(F22&lt;&gt;"", INDEX(聲母對照表[國際音標], MATCH(TRUE, EXACT('輸入工具 (台羅拼音)'!F22, 聲母對照表[台羅拼音]), 0)), ""), "")</f>
        <v>t</v>
      </c>
      <c r="K22" s="117" t="str" cm="1">
        <f t="array" ref="K22">IFERROR( IF(G22&lt;&gt;"", INDEX(韻母對照表[國際音標], MATCH(TRUE, EXACT('輸入工具 (台羅拼音)'!G22, 韻母對照表[台羅拼音]), 0)), ""), "")</f>
        <v>ik̚</v>
      </c>
      <c r="L22" s="117" t="str" cm="1">
        <f t="array" ref="L22" xml:space="preserve"> IF(H22&lt;&gt;"", INDEX(上標對照表[上標值], MATCH(TRUE, EXACT(H22, 上標對照表[調號]), 0)), "")</f>
        <v>⁸</v>
      </c>
    </row>
    <row r="23" spans="2:12" ht="29.25">
      <c r="B23" s="122">
        <f t="shared" si="3"/>
        <v>19</v>
      </c>
      <c r="C23" s="12" t="s">
        <v>2263</v>
      </c>
      <c r="D23" s="120" t="s">
        <v>2295</v>
      </c>
      <c r="E23" s="119" t="str">
        <f t="shared" si="0"/>
        <v>hə⁵</v>
      </c>
      <c r="F23" s="117" t="s">
        <v>2046</v>
      </c>
      <c r="G23" s="117" t="str">
        <f t="shared" si="4"/>
        <v>o</v>
      </c>
      <c r="H23" s="118" t="str">
        <f t="shared" si="2"/>
        <v>5</v>
      </c>
      <c r="I23" s="117"/>
      <c r="J23" s="117" t="str" cm="1">
        <f t="array" ref="J23" xml:space="preserve"> IFERROR( IF(F23&lt;&gt;"", INDEX(聲母對照表[國際音標], MATCH(TRUE, EXACT('輸入工具 (台羅拼音)'!F23, 聲母對照表[台羅拼音]), 0)), ""), "")</f>
        <v>h</v>
      </c>
      <c r="K23" s="117" t="str" cm="1">
        <f t="array" ref="K23">IFERROR( IF(G23&lt;&gt;"", INDEX(韻母對照表[國際音標], MATCH(TRUE, EXACT('輸入工具 (台羅拼音)'!G23, 韻母對照表[台羅拼音]), 0)), ""), "")</f>
        <v>ə</v>
      </c>
      <c r="L23" s="117" t="str" cm="1">
        <f t="array" ref="L23" xml:space="preserve"> IF(H23&lt;&gt;"", INDEX(上標對照表[上標值], MATCH(TRUE, EXACT(H23, 上標對照表[調號]), 0)), "")</f>
        <v>⁵</v>
      </c>
    </row>
    <row r="24" spans="2:12" ht="29.25">
      <c r="B24" s="122">
        <f t="shared" si="3"/>
        <v>20</v>
      </c>
      <c r="C24" s="12" t="s">
        <v>2264</v>
      </c>
      <c r="D24" s="120" t="s">
        <v>2287</v>
      </c>
      <c r="E24" s="119" t="str">
        <f t="shared" si="0"/>
        <v>su¹</v>
      </c>
      <c r="F24" s="117" t="s">
        <v>2049</v>
      </c>
      <c r="G24" s="117" t="str">
        <f t="shared" si="4"/>
        <v>u</v>
      </c>
      <c r="H24" s="118" t="str">
        <f t="shared" si="2"/>
        <v>1</v>
      </c>
      <c r="I24" s="117"/>
      <c r="J24" s="117" t="str" cm="1">
        <f t="array" ref="J24" xml:space="preserve"> IFERROR( IF(F24&lt;&gt;"", INDEX(聲母對照表[國際音標], MATCH(TRUE, EXACT('輸入工具 (台羅拼音)'!F24, 聲母對照表[台羅拼音]), 0)), ""), "")</f>
        <v>s</v>
      </c>
      <c r="K24" s="117" t="str" cm="1">
        <f t="array" ref="K24">IFERROR( IF(G24&lt;&gt;"", INDEX(韻母對照表[國際音標], MATCH(TRUE, EXACT('輸入工具 (台羅拼音)'!G24, 韻母對照表[台羅拼音]), 0)), ""), "")</f>
        <v>u</v>
      </c>
      <c r="L24" s="117" t="str" cm="1">
        <f t="array" ref="L24" xml:space="preserve"> IF(H24&lt;&gt;"", INDEX(上標對照表[上標值], MATCH(TRUE, EXACT(H24, 上標對照表[調號]), 0)), "")</f>
        <v>¹</v>
      </c>
    </row>
    <row r="25" spans="2:12" ht="29.25">
      <c r="B25" s="122">
        <f t="shared" si="3"/>
        <v>21</v>
      </c>
      <c r="C25" s="12" t="s">
        <v>2265</v>
      </c>
      <c r="D25" s="120" t="s">
        <v>2329</v>
      </c>
      <c r="E25" s="119" t="str">
        <f t="shared" si="0"/>
        <v>uan³</v>
      </c>
      <c r="F25" s="117"/>
      <c r="G25" s="117" t="str">
        <f t="shared" si="4"/>
        <v>uan</v>
      </c>
      <c r="H25" s="118" t="str">
        <f t="shared" si="2"/>
        <v>3</v>
      </c>
      <c r="I25" s="117"/>
      <c r="J25" s="117" t="str" cm="1">
        <f t="array" ref="J25" xml:space="preserve"> IFERROR( IF(F25&lt;&gt;"", INDEX(聲母對照表[國際音標], MATCH(TRUE, EXACT('輸入工具 (台羅拼音)'!F25, 聲母對照表[台羅拼音]), 0)), ""), "")</f>
        <v/>
      </c>
      <c r="K25" s="117" t="str" cm="1">
        <f t="array" ref="K25">IFERROR( IF(G25&lt;&gt;"", INDEX(韻母對照表[國際音標], MATCH(TRUE, EXACT('輸入工具 (台羅拼音)'!G25, 韻母對照表[台羅拼音]), 0)), ""), "")</f>
        <v>uan</v>
      </c>
      <c r="L25" s="117" t="str" cm="1">
        <f t="array" ref="L25" xml:space="preserve"> IF(H25&lt;&gt;"", INDEX(上標對照表[上標值], MATCH(TRUE, EXACT(H25, 上標對照表[調號]), 0)), "")</f>
        <v>³</v>
      </c>
    </row>
    <row r="26" spans="2:12" ht="29.25">
      <c r="B26" s="122">
        <f t="shared" si="3"/>
        <v>22</v>
      </c>
      <c r="C26" s="12" t="s">
        <v>2240</v>
      </c>
      <c r="D26" s="120" t="s">
        <v>2305</v>
      </c>
      <c r="E26" s="119" t="str">
        <f t="shared" si="0"/>
        <v>ɪũ⁵</v>
      </c>
      <c r="F26" s="117"/>
      <c r="G26" s="117" t="str">
        <f t="shared" si="4"/>
        <v>iunn</v>
      </c>
      <c r="H26" s="118" t="str">
        <f t="shared" si="2"/>
        <v>5</v>
      </c>
      <c r="I26" s="117"/>
      <c r="J26" s="117" t="str" cm="1">
        <f t="array" ref="J26" xml:space="preserve"> IFERROR( IF(F26&lt;&gt;"", INDEX(聲母對照表[國際音標], MATCH(TRUE, EXACT('輸入工具 (台羅拼音)'!F26, 聲母對照表[台羅拼音]), 0)), ""), "")</f>
        <v/>
      </c>
      <c r="K26" s="117" t="str" cm="1">
        <f t="array" ref="K26">IFERROR( IF(G26&lt;&gt;"", INDEX(韻母對照表[國際音標], MATCH(TRUE, EXACT('輸入工具 (台羅拼音)'!G26, 韻母對照表[台羅拼音]), 0)), ""), "")</f>
        <v>ɪũ</v>
      </c>
      <c r="L26" s="117" t="str" cm="1">
        <f t="array" ref="L26" xml:space="preserve"> IF(H26&lt;&gt;"", INDEX(上標對照表[上標值], MATCH(TRUE, EXACT(H26, 上標對照表[調號]), 0)), "")</f>
        <v>⁵</v>
      </c>
    </row>
    <row r="27" spans="2:12" ht="29.25">
      <c r="B27" s="122">
        <f t="shared" si="3"/>
        <v>23</v>
      </c>
      <c r="C27" s="12" t="s">
        <v>2241</v>
      </c>
      <c r="D27" s="120" t="s">
        <v>2306</v>
      </c>
      <c r="E27" s="119" t="str">
        <f t="shared" si="0"/>
        <v>lɪu²</v>
      </c>
      <c r="F27" s="117" t="s">
        <v>2042</v>
      </c>
      <c r="G27" s="117" t="str">
        <f t="shared" si="4"/>
        <v>iu</v>
      </c>
      <c r="H27" s="118" t="str">
        <f t="shared" si="2"/>
        <v>2</v>
      </c>
      <c r="I27" s="117"/>
      <c r="J27" s="117" t="str" cm="1">
        <f t="array" ref="J27" xml:space="preserve"> IFERROR( IF(F27&lt;&gt;"", INDEX(聲母對照表[國際音標], MATCH(TRUE, EXACT('輸入工具 (台羅拼音)'!F27, 聲母對照表[台羅拼音]), 0)), ""), "")</f>
        <v>l</v>
      </c>
      <c r="K27" s="117" t="str" cm="1">
        <f t="array" ref="K27">IFERROR( IF(G27&lt;&gt;"", INDEX(韻母對照表[國際音標], MATCH(TRUE, EXACT('輸入工具 (台羅拼音)'!G27, 韻母對照表[台羅拼音]), 0)), ""), "")</f>
        <v>ɪu</v>
      </c>
      <c r="L27" s="117" t="str" cm="1">
        <f t="array" ref="L27" xml:space="preserve"> IF(H27&lt;&gt;"", INDEX(上標對照表[上標值], MATCH(TRUE, EXACT(H27, 上標對照表[調號]), 0)), "")</f>
        <v>²</v>
      </c>
    </row>
    <row r="28" spans="2:12" ht="29.25">
      <c r="B28" s="122">
        <f t="shared" si="3"/>
        <v>24</v>
      </c>
      <c r="C28" s="12" t="s">
        <v>2261</v>
      </c>
      <c r="D28" s="120"/>
      <c r="E28" s="119" t="str">
        <f t="shared" si="0"/>
        <v/>
      </c>
      <c r="F28" s="117"/>
      <c r="G28" s="117" t="str">
        <f t="shared" si="4"/>
        <v/>
      </c>
      <c r="H28" s="118" t="str">
        <f t="shared" si="2"/>
        <v/>
      </c>
      <c r="I28" s="117"/>
      <c r="J28" s="117" t="str" cm="1">
        <f t="array" ref="J28" xml:space="preserve"> IFERROR( IF(F28&lt;&gt;"", INDEX(聲母對照表[國際音標], MATCH(TRUE, EXACT('輸入工具 (台羅拼音)'!F28, 聲母對照表[台羅拼音]), 0)), ""), "")</f>
        <v/>
      </c>
      <c r="K28" s="117" t="str" cm="1">
        <f t="array" ref="K28">IFERROR( IF(G28&lt;&gt;"", INDEX(韻母對照表[國際音標], MATCH(TRUE, EXACT('輸入工具 (台羅拼音)'!G28, 韻母對照表[台羅拼音]), 0)), ""), "")</f>
        <v/>
      </c>
      <c r="L28" s="117" t="str" cm="1">
        <f t="array" ref="L28" xml:space="preserve"> IF(H28&lt;&gt;"", INDEX(上標對照表[上標值], MATCH(TRUE, EXACT(H28, 上標對照表[調號]), 0)), "")</f>
        <v/>
      </c>
    </row>
    <row r="29" spans="2:12" ht="29.25">
      <c r="B29" s="122">
        <f t="shared" si="3"/>
        <v>25</v>
      </c>
      <c r="C29" s="12" t="s">
        <v>2266</v>
      </c>
      <c r="D29" s="120" t="s">
        <v>2318</v>
      </c>
      <c r="E29" s="119" t="str">
        <f t="shared" si="0"/>
        <v>ʦʰun¹</v>
      </c>
      <c r="F29" s="117" t="s">
        <v>2319</v>
      </c>
      <c r="G29" s="117" t="str">
        <f t="shared" si="4"/>
        <v>un</v>
      </c>
      <c r="H29" s="118" t="str">
        <f t="shared" si="2"/>
        <v>1</v>
      </c>
      <c r="I29" s="117"/>
      <c r="J29" s="117" t="str" cm="1">
        <f t="array" ref="J29" xml:space="preserve"> IFERROR( IF(F29&lt;&gt;"", INDEX(聲母對照表[國際音標], MATCH(TRUE, EXACT('輸入工具 (台羅拼音)'!F29, 聲母對照表[台羅拼音]), 0)), ""), "")</f>
        <v>ʦʰ</v>
      </c>
      <c r="K29" s="117" t="str" cm="1">
        <f t="array" ref="K29">IFERROR( IF(G29&lt;&gt;"", INDEX(韻母對照表[國際音標], MATCH(TRUE, EXACT('輸入工具 (台羅拼音)'!G29, 韻母對照表[台羅拼音]), 0)), ""), "")</f>
        <v>un</v>
      </c>
      <c r="L29" s="117" t="str" cm="1">
        <f t="array" ref="L29" xml:space="preserve"> IF(H29&lt;&gt;"", INDEX(上標對照表[上標值], MATCH(TRUE, EXACT(H29, 上標對照表[調號]), 0)), "")</f>
        <v>¹</v>
      </c>
    </row>
    <row r="30" spans="2:12" ht="29.25">
      <c r="B30" s="122">
        <f t="shared" si="3"/>
        <v>26</v>
      </c>
      <c r="C30" s="12" t="s">
        <v>2267</v>
      </c>
      <c r="D30" s="120" t="s">
        <v>2289</v>
      </c>
      <c r="E30" s="119" t="str">
        <f t="shared" si="0"/>
        <v>hɔŋ¹</v>
      </c>
      <c r="F30" s="117" t="s">
        <v>2046</v>
      </c>
      <c r="G30" s="117" t="str">
        <f t="shared" si="4"/>
        <v>ong</v>
      </c>
      <c r="H30" s="118" t="str">
        <f t="shared" si="2"/>
        <v>1</v>
      </c>
      <c r="I30" s="117"/>
      <c r="J30" s="117" t="str" cm="1">
        <f t="array" ref="J30" xml:space="preserve"> IFERROR( IF(F30&lt;&gt;"", INDEX(聲母對照表[國際音標], MATCH(TRUE, EXACT('輸入工具 (台羅拼音)'!F30, 聲母對照表[台羅拼音]), 0)), ""), "")</f>
        <v>h</v>
      </c>
      <c r="K30" s="117" t="str" cm="1">
        <f t="array" ref="K30">IFERROR( IF(G30&lt;&gt;"", INDEX(韻母對照表[國際音標], MATCH(TRUE, EXACT('輸入工具 (台羅拼音)'!G30, 韻母對照表[台羅拼音]), 0)), ""), "")</f>
        <v>ɔŋ</v>
      </c>
      <c r="L30" s="117" t="str" cm="1">
        <f t="array" ref="L30" xml:space="preserve"> IF(H30&lt;&gt;"", INDEX(上標對照表[上標值], MATCH(TRUE, EXACT(H30, 上標對照表[調號]), 0)), "")</f>
        <v>¹</v>
      </c>
    </row>
    <row r="31" spans="2:12" ht="29.25">
      <c r="B31" s="122">
        <f t="shared" si="3"/>
        <v>27</v>
      </c>
      <c r="C31" s="12" t="s">
        <v>2268</v>
      </c>
      <c r="D31" s="120" t="s">
        <v>2320</v>
      </c>
      <c r="E31" s="119" t="str">
        <f t="shared" si="0"/>
        <v>put̚⁴</v>
      </c>
      <c r="F31" s="117" t="s">
        <v>2037</v>
      </c>
      <c r="G31" s="117" t="str">
        <f t="shared" si="4"/>
        <v>ut</v>
      </c>
      <c r="H31" s="118" t="str">
        <f t="shared" si="2"/>
        <v>4</v>
      </c>
      <c r="I31" s="117"/>
      <c r="J31" s="117" t="str" cm="1">
        <f t="array" ref="J31" xml:space="preserve"> IFERROR( IF(F31&lt;&gt;"", INDEX(聲母對照表[國際音標], MATCH(TRUE, EXACT('輸入工具 (台羅拼音)'!F31, 聲母對照表[台羅拼音]), 0)), ""), "")</f>
        <v>p</v>
      </c>
      <c r="K31" s="117" t="str" cm="1">
        <f t="array" ref="K31">IFERROR( IF(G31&lt;&gt;"", INDEX(韻母對照表[國際音標], MATCH(TRUE, EXACT('輸入工具 (台羅拼音)'!G31, 韻母對照表[台羅拼音]), 0)), ""), "")</f>
        <v>ut̚</v>
      </c>
      <c r="L31" s="117" t="str" cm="1">
        <f t="array" ref="L31" xml:space="preserve"> IF(H31&lt;&gt;"", INDEX(上標對照表[上標值], MATCH(TRUE, EXACT(H31, 上標對照表[調號]), 0)), "")</f>
        <v>⁴</v>
      </c>
    </row>
    <row r="32" spans="2:12" ht="29.25">
      <c r="B32" s="122">
        <f t="shared" si="3"/>
        <v>28</v>
      </c>
      <c r="C32" s="12" t="s">
        <v>2269</v>
      </c>
      <c r="D32" s="120" t="s">
        <v>2321</v>
      </c>
      <c r="E32" s="119" t="str">
        <f t="shared" si="0"/>
        <v>tɔ⁷</v>
      </c>
      <c r="F32" s="117" t="s">
        <v>2040</v>
      </c>
      <c r="G32" s="117" t="str">
        <f t="shared" si="4"/>
        <v>oo</v>
      </c>
      <c r="H32" s="118" t="str">
        <f t="shared" si="2"/>
        <v>7</v>
      </c>
      <c r="I32" s="117"/>
      <c r="J32" s="117" t="str" cm="1">
        <f t="array" ref="J32" xml:space="preserve"> IFERROR( IF(F32&lt;&gt;"", INDEX(聲母對照表[國際音標], MATCH(TRUE, EXACT('輸入工具 (台羅拼音)'!F32, 聲母對照表[台羅拼音]), 0)), ""), "")</f>
        <v>t</v>
      </c>
      <c r="K32" s="117" t="str" cm="1">
        <f t="array" ref="K32">IFERROR( IF(G32&lt;&gt;"", INDEX(韻母對照表[國際音標], MATCH(TRUE, EXACT('輸入工具 (台羅拼音)'!G32, 韻母對照表[台羅拼音]), 0)), ""), "")</f>
        <v>ɔ</v>
      </c>
      <c r="L32" s="117" t="str" cm="1">
        <f t="array" ref="L32" xml:space="preserve"> IF(H32&lt;&gt;"", INDEX(上標對照表[上標值], MATCH(TRUE, EXACT(H32, 上標對照表[調號]), 0)), "")</f>
        <v>⁷</v>
      </c>
    </row>
    <row r="33" spans="1:12" ht="29.25">
      <c r="B33" s="122">
        <f t="shared" si="3"/>
        <v>29</v>
      </c>
      <c r="C33" s="12" t="s">
        <v>2270</v>
      </c>
      <c r="D33" s="120" t="s">
        <v>2322</v>
      </c>
      <c r="E33" s="119" t="str">
        <f t="shared" si="0"/>
        <v>ɡɪɔk̚⁸</v>
      </c>
      <c r="F33" s="117" t="s">
        <v>2043</v>
      </c>
      <c r="G33" s="117" t="str">
        <f t="shared" si="4"/>
        <v>iok</v>
      </c>
      <c r="H33" s="118" t="str">
        <f t="shared" si="2"/>
        <v>8</v>
      </c>
      <c r="I33" s="117"/>
      <c r="J33" s="117" t="str" cm="1">
        <f t="array" ref="J33" xml:space="preserve"> IFERROR( IF(F33&lt;&gt;"", INDEX(聲母對照表[國際音標], MATCH(TRUE, EXACT('輸入工具 (台羅拼音)'!F33, 聲母對照表[台羅拼音]), 0)), ""), "")</f>
        <v>ɡ</v>
      </c>
      <c r="K33" s="117" t="str" cm="1">
        <f t="array" ref="K33">IFERROR( IF(G33&lt;&gt;"", INDEX(韻母對照表[國際音標], MATCH(TRUE, EXACT('輸入工具 (台羅拼音)'!G33, 韻母對照表[台羅拼音]), 0)), ""), "")</f>
        <v>ɪɔk̚</v>
      </c>
      <c r="L33" s="117" t="str" cm="1">
        <f t="array" ref="L33" xml:space="preserve"> IF(H33&lt;&gt;"", INDEX(上標對照表[上標值], MATCH(TRUE, EXACT(H33, 上標對照表[調號]), 0)), "")</f>
        <v>⁸</v>
      </c>
    </row>
    <row r="34" spans="1:12" ht="29.25">
      <c r="B34" s="122">
        <f t="shared" si="3"/>
        <v>30</v>
      </c>
      <c r="C34" s="12" t="s">
        <v>2234</v>
      </c>
      <c r="D34" s="120" t="s">
        <v>2343</v>
      </c>
      <c r="E34" s="119" t="str">
        <f t="shared" si="0"/>
        <v>mŋ̍⁵</v>
      </c>
      <c r="F34" s="117" t="s">
        <v>1087</v>
      </c>
      <c r="G34" s="117" t="str">
        <f t="shared" si="4"/>
        <v>ng</v>
      </c>
      <c r="H34" s="118" t="str">
        <f t="shared" si="2"/>
        <v>5</v>
      </c>
      <c r="I34" s="117"/>
      <c r="J34" s="117" t="str" cm="1">
        <f t="array" ref="J34" xml:space="preserve"> IFERROR( IF(F34&lt;&gt;"", INDEX(聲母對照表[國際音標], MATCH(TRUE, EXACT('輸入工具 (台羅拼音)'!F34, 聲母對照表[台羅拼音]), 0)), ""), "")</f>
        <v>m</v>
      </c>
      <c r="K34" s="117" t="str" cm="1">
        <f t="array" ref="K34">IFERROR( IF(G34&lt;&gt;"", INDEX(韻母對照表[國際音標], MATCH(TRUE, EXACT('輸入工具 (台羅拼音)'!G34, 韻母對照表[台羅拼音]), 0)), ""), "")</f>
        <v>ŋ̍</v>
      </c>
      <c r="L34" s="117" t="str" cm="1">
        <f t="array" ref="L34" xml:space="preserve"> IF(H34&lt;&gt;"", INDEX(上標對照表[上標值], MATCH(TRUE, EXACT(H34, 上標對照表[調號]), 0)), "")</f>
        <v>⁵</v>
      </c>
    </row>
    <row r="35" spans="1:12" ht="29.25">
      <c r="B35" s="122">
        <f t="shared" si="3"/>
        <v>31</v>
      </c>
      <c r="C35" s="12" t="s">
        <v>2271</v>
      </c>
      <c r="D35" s="120" t="s">
        <v>2323</v>
      </c>
      <c r="E35" s="119" t="str">
        <f t="shared" si="0"/>
        <v>kuan¹</v>
      </c>
      <c r="F35" s="117" t="s">
        <v>2044</v>
      </c>
      <c r="G35" s="117" t="str">
        <f t="shared" si="4"/>
        <v>uan</v>
      </c>
      <c r="H35" s="118" t="str">
        <f t="shared" si="2"/>
        <v>1</v>
      </c>
      <c r="I35" s="117"/>
      <c r="J35" s="117" t="str" cm="1">
        <f t="array" ref="J35" xml:space="preserve"> IFERROR( IF(F35&lt;&gt;"", INDEX(聲母對照表[國際音標], MATCH(TRUE, EXACT('輸入工具 (台羅拼音)'!F35, 聲母對照表[台羅拼音]), 0)), ""), "")</f>
        <v>k</v>
      </c>
      <c r="K35" s="117" t="str" cm="1">
        <f t="array" ref="K35">IFERROR( IF(G35&lt;&gt;"", INDEX(韻母對照表[國際音標], MATCH(TRUE, EXACT('輸入工具 (台羅拼音)'!G35, 韻母對照表[台羅拼音]), 0)), ""), "")</f>
        <v>uan</v>
      </c>
      <c r="L35" s="117" t="str" cm="1">
        <f t="array" ref="L35" xml:space="preserve"> IF(H35&lt;&gt;"", INDEX(上標對照表[上標值], MATCH(TRUE, EXACT(H35, 上標對照表[調號]), 0)), "")</f>
        <v>¹</v>
      </c>
    </row>
    <row r="36" spans="1:12" ht="29.25">
      <c r="B36" s="122">
        <f t="shared" si="3"/>
        <v>32</v>
      </c>
      <c r="C36" s="12" t="s">
        <v>2260</v>
      </c>
      <c r="D36" s="120"/>
      <c r="E36" s="119" t="str">
        <f t="shared" si="0"/>
        <v/>
      </c>
      <c r="F36" s="117"/>
      <c r="G36" s="117" t="str">
        <f t="shared" si="4"/>
        <v/>
      </c>
      <c r="H36" s="118" t="str">
        <f t="shared" si="2"/>
        <v/>
      </c>
      <c r="I36" s="117"/>
      <c r="J36" s="117" t="str" cm="1">
        <f t="array" ref="J36" xml:space="preserve"> IFERROR( IF(F36&lt;&gt;"", INDEX(聲母對照表[國際音標], MATCH(TRUE, EXACT('輸入工具 (台羅拼音)'!F36, 聲母對照表[台羅拼音]), 0)), ""), "")</f>
        <v/>
      </c>
      <c r="K36" s="117" t="str" cm="1">
        <f t="array" ref="K36">IFERROR( IF(G36&lt;&gt;"", INDEX(韻母對照表[國際音標], MATCH(TRUE, EXACT('輸入工具 (台羅拼音)'!G36, 韻母對照表[台羅拼音]), 0)), ""), "")</f>
        <v/>
      </c>
      <c r="L36" s="117" t="str" cm="1">
        <f t="array" ref="L36" xml:space="preserve"> IF(H36&lt;&gt;"", INDEX(上標對照表[上標值], MATCH(TRUE, EXACT(H36, 上標對照表[調號]), 0)), "")</f>
        <v/>
      </c>
    </row>
    <row r="39" spans="1:12" ht="29.25">
      <c r="A39" s="118"/>
      <c r="B39" s="118"/>
      <c r="C39" s="118"/>
      <c r="D39" s="118"/>
      <c r="E39" s="118"/>
      <c r="F39" s="118"/>
      <c r="G39" s="118"/>
      <c r="H39" s="118"/>
      <c r="I39" s="117"/>
      <c r="J39" s="117" t="str" cm="1">
        <f t="array" ref="J39" xml:space="preserve"> IF(F39&lt;&gt;"", INDEX(聲母對照表[國際音標], MATCH(TRUE, EXACT('輸入工具 (台羅拼音)'!F39, 聲母對照表[閩拼方案]), 0)), "")</f>
        <v/>
      </c>
      <c r="K39" s="117" t="str" cm="1">
        <f t="array" ref="K39">IF(G39&lt;&gt;"", INDEX(韻母對照表[國際音標], MATCH(TRUE, EXACT('輸入工具 (台羅拼音)'!G39, 韻母對照表[閩拼方案]), 0)), "")</f>
        <v/>
      </c>
      <c r="L39" s="117" t="str" cm="1">
        <f t="array" ref="L39" xml:space="preserve"> IF(H39&lt;&gt;"", INDEX(#REF!, MATCH(TRUE, EXACT('輸入工具 (台羅拼音)'!H39,#REF!), 0)), "")</f>
        <v/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9D79B-139A-48C2-9190-C4F10C48181B}">
  <dimension ref="A2:N39"/>
  <sheetViews>
    <sheetView workbookViewId="0">
      <selection activeCell="D4" sqref="D4:D20"/>
    </sheetView>
  </sheetViews>
  <sheetFormatPr defaultRowHeight="25.5"/>
  <cols>
    <col min="1" max="1" width="1.5" customWidth="1"/>
    <col min="2" max="3" width="4.83203125" customWidth="1"/>
    <col min="4" max="5" width="11.5" customWidth="1"/>
    <col min="6" max="12" width="7.08203125" customWidth="1"/>
    <col min="14" max="14" width="12" customWidth="1"/>
  </cols>
  <sheetData>
    <row r="2" spans="2:14">
      <c r="B2" t="str">
        <f xml:space="preserve"> _xlfn.CONCAT("【", D4, "】")</f>
        <v>【白話字】</v>
      </c>
    </row>
    <row r="4" spans="2:14">
      <c r="B4" s="185" t="s">
        <v>702</v>
      </c>
      <c r="C4" s="185" t="s">
        <v>628</v>
      </c>
      <c r="D4" s="186" t="s">
        <v>692</v>
      </c>
      <c r="E4" s="186" t="s">
        <v>697</v>
      </c>
      <c r="F4" s="186" t="s">
        <v>2085</v>
      </c>
      <c r="G4" s="186" t="s">
        <v>2086</v>
      </c>
      <c r="H4" s="187" t="s">
        <v>2360</v>
      </c>
      <c r="I4" s="12"/>
      <c r="J4" s="12" t="s">
        <v>2225</v>
      </c>
      <c r="K4" s="12" t="s">
        <v>737</v>
      </c>
      <c r="L4" s="12" t="s">
        <v>2360</v>
      </c>
    </row>
    <row r="5" spans="2:14" ht="29.25">
      <c r="B5" s="122">
        <f xml:space="preserve"> ROW() - 4</f>
        <v>1</v>
      </c>
      <c r="C5" s="12" t="s">
        <v>2248</v>
      </c>
      <c r="D5" s="120" t="s">
        <v>2272</v>
      </c>
      <c r="E5" s="119" t="str">
        <f xml:space="preserve"> IF(AND(G5&lt;&gt;"",H5&lt;&gt;""), _xlfn.CONCAT(J5:L5), "")</f>
        <v>hong⁵</v>
      </c>
      <c r="F5" s="117" t="s">
        <v>2046</v>
      </c>
      <c r="G5" s="117" t="str">
        <f>IFERROR( MID(D5, LEN(F5)+1, LEN(D5) - LEN(F5) - 1), "")</f>
        <v>ong</v>
      </c>
      <c r="H5" s="118" t="str">
        <f xml:space="preserve"> RIGHT(D5,1)</f>
        <v>5</v>
      </c>
      <c r="I5" s="117"/>
      <c r="J5" s="117" t="str" cm="1">
        <f t="array" ref="J5" xml:space="preserve"> IFERROR( IF(F5&lt;&gt;"", INDEX(聲母對照表[白話字], MATCH(TRUE, EXACT('輸入工具 (白話字)'!F5, 聲母對照表[白話字]), 0)), ""), "")</f>
        <v>h</v>
      </c>
      <c r="K5" s="117" t="str" cm="1">
        <f t="array" ref="K5">IFERROR( IF(G5&lt;&gt;"", INDEX(韻母對照表[白話字], MATCH(TRUE, EXACT('輸入工具 (白話字)'!G5, 韻母對照表[白話字]), 0)), ""), "")</f>
        <v>ong</v>
      </c>
      <c r="L5" s="117" t="str" cm="1">
        <f t="array" ref="L5" xml:space="preserve"> IF(H5&lt;&gt;"", INDEX(上標對照表[上標值], MATCH(TRUE, EXACT(H5, 上標對照表[調號]), 0)), "")</f>
        <v>⁵</v>
      </c>
    </row>
    <row r="6" spans="2:14" ht="29.25">
      <c r="B6" s="122">
        <f xml:space="preserve"> ROW() - 4</f>
        <v>2</v>
      </c>
      <c r="C6" s="12" t="s">
        <v>2249</v>
      </c>
      <c r="D6" s="120" t="s">
        <v>2295</v>
      </c>
      <c r="E6" s="119" t="str">
        <f t="shared" ref="E6:E36" si="0" xml:space="preserve"> IF(AND(G6&lt;&gt;"",H6&lt;&gt;""), _xlfn.CONCAT(J6:L6), "")</f>
        <v>hə⁵</v>
      </c>
      <c r="F6" s="117" t="s">
        <v>2046</v>
      </c>
      <c r="G6" s="117" t="str">
        <f t="shared" ref="G6:G10" si="1">IFERROR( MID(D6, LEN(F6)+1, LEN(D6) - LEN(F6) - 1), "")</f>
        <v>o</v>
      </c>
      <c r="H6" s="118" t="str">
        <f t="shared" ref="H6:H36" si="2" xml:space="preserve"> RIGHT(D6,1)</f>
        <v>5</v>
      </c>
      <c r="I6" s="117"/>
      <c r="J6" s="117" t="str" cm="1">
        <f t="array" ref="J6" xml:space="preserve"> IFERROR( IF(F6&lt;&gt;"", INDEX(聲母對照表[國際音標], MATCH(TRUE, EXACT('輸入工具 (白話字)'!F6, 聲母對照表[白話字]), 0)), ""), "")</f>
        <v>h</v>
      </c>
      <c r="K6" s="117" t="str" cm="1">
        <f t="array" ref="K6">IFERROR( IF(G6&lt;&gt;"", INDEX(韻母對照表[國際音標], MATCH(TRUE, EXACT('輸入工具 (白話字)'!G6, 韻母對照表[白話字]), 0)), ""), "")</f>
        <v>ə</v>
      </c>
      <c r="L6" s="117" t="str" cm="1">
        <f t="array" ref="L6" xml:space="preserve"> IF(H6&lt;&gt;"", INDEX(上標對照表[上標值], MATCH(TRUE, EXACT(H6, 上標對照表[調號]), 0)), "")</f>
        <v>⁵</v>
      </c>
    </row>
    <row r="7" spans="2:14" ht="29.25">
      <c r="B7" s="122">
        <f t="shared" ref="B7:B36" si="3" xml:space="preserve"> ROW() - 4</f>
        <v>3</v>
      </c>
      <c r="C7" s="12" t="s">
        <v>2250</v>
      </c>
      <c r="D7" s="120" t="s">
        <v>2332</v>
      </c>
      <c r="E7" s="119" t="str">
        <f t="shared" si="0"/>
        <v>uan²</v>
      </c>
      <c r="F7" s="121"/>
      <c r="G7" s="117" t="str">
        <f t="shared" si="1"/>
        <v>oan</v>
      </c>
      <c r="H7" s="118" t="str">
        <f t="shared" si="2"/>
        <v>2</v>
      </c>
      <c r="I7" s="117"/>
      <c r="J7" s="117" t="str" cm="1">
        <f t="array" ref="J7" xml:space="preserve"> IFERROR( IF(F7&lt;&gt;"", INDEX(聲母對照表[國際音標], MATCH(TRUE, EXACT('輸入工具 (白話字)'!F7, 聲母對照表[白話字]), 0)), ""), "")</f>
        <v/>
      </c>
      <c r="K7" s="117" t="str" cm="1">
        <f t="array" ref="K7">IFERROR( IF(G7&lt;&gt;"", INDEX(韻母對照表[國際音標], MATCH(TRUE, EXACT('輸入工具 (白話字)'!G7, 韻母對照表[白話字]), 0)), ""), "")</f>
        <v>uan</v>
      </c>
      <c r="L7" s="117" t="str" cm="1">
        <f t="array" ref="L7" xml:space="preserve"> IF(H7&lt;&gt;"", INDEX(上標對照表[上標值], MATCH(TRUE, EXACT(H7, 上標對照表[調號]), 0)), "")</f>
        <v>²</v>
      </c>
    </row>
    <row r="8" spans="2:14" ht="29.25">
      <c r="B8" s="122">
        <f t="shared" si="3"/>
        <v>4</v>
      </c>
      <c r="C8" s="12" t="s">
        <v>2251</v>
      </c>
      <c r="D8" s="120" t="s">
        <v>2310</v>
      </c>
      <c r="E8" s="119" t="str">
        <f t="shared" si="0"/>
        <v>sɪɔŋ²</v>
      </c>
      <c r="F8" s="117" t="s">
        <v>2049</v>
      </c>
      <c r="G8" s="117" t="str">
        <f t="shared" si="1"/>
        <v>iong</v>
      </c>
      <c r="H8" s="118" t="str">
        <f t="shared" si="2"/>
        <v>2</v>
      </c>
      <c r="I8" s="117"/>
      <c r="J8" s="117" t="str" cm="1">
        <f t="array" ref="J8" xml:space="preserve"> IFERROR( IF(F8&lt;&gt;"", INDEX(聲母對照表[國際音標], MATCH(TRUE, EXACT('輸入工具 (白話字)'!F8, 聲母對照表[白話字]), 0)), ""), "")</f>
        <v>s</v>
      </c>
      <c r="K8" s="117" t="str" cm="1">
        <f t="array" ref="K8">IFERROR( IF(G8&lt;&gt;"", INDEX(韻母對照表[國際音標], MATCH(TRUE, EXACT('輸入工具 (白話字)'!G8, 韻母對照表[白話字]), 0)), ""), "")</f>
        <v>ɪɔŋ</v>
      </c>
      <c r="L8" s="117" t="str" cm="1">
        <f t="array" ref="L8" xml:space="preserve"> IF(H8&lt;&gt;"", INDEX(上標對照表[上標值], MATCH(TRUE, EXACT(H8, 上標對照表[調號]), 0)), "")</f>
        <v>²</v>
      </c>
    </row>
    <row r="9" spans="2:14" ht="29.25">
      <c r="B9" s="122">
        <f t="shared" si="3"/>
        <v>5</v>
      </c>
      <c r="C9" s="12" t="s">
        <v>2252</v>
      </c>
      <c r="D9" s="124" t="s">
        <v>2331</v>
      </c>
      <c r="E9" s="119" t="str">
        <f t="shared" si="0"/>
        <v>pik̚⁸</v>
      </c>
      <c r="F9" s="117" t="s">
        <v>2037</v>
      </c>
      <c r="G9" s="117" t="str">
        <f t="shared" si="1"/>
        <v>ek</v>
      </c>
      <c r="H9" s="118" t="str">
        <f t="shared" si="2"/>
        <v>8</v>
      </c>
      <c r="I9" s="117"/>
      <c r="J9" s="117" t="str" cm="1">
        <f t="array" ref="J9" xml:space="preserve"> IFERROR( IF(F9&lt;&gt;"", INDEX(聲母對照表[國際音標], MATCH(TRUE, EXACT('輸入工具 (白話字)'!F9, 聲母對照表[白話字]), 0)), ""), "")</f>
        <v>p</v>
      </c>
      <c r="K9" s="117" t="str" cm="1">
        <f t="array" ref="K9">IFERROR( IF(G9&lt;&gt;"", INDEX(韻母對照表[國際音標], MATCH(TRUE, EXACT('輸入工具 (白話字)'!G9, 韻母對照表[白話字]), 0)), ""), "")</f>
        <v>ik̚</v>
      </c>
      <c r="L9" s="117" t="str" cm="1">
        <f t="array" ref="L9" xml:space="preserve"> IF(H9&lt;&gt;"", INDEX(上標對照表[上標值], MATCH(TRUE, EXACT(H9, 上標對照表[調號]), 0)), "")</f>
        <v>⁸</v>
      </c>
    </row>
    <row r="10" spans="2:14" ht="29.25">
      <c r="B10" s="122">
        <f t="shared" si="3"/>
        <v>6</v>
      </c>
      <c r="C10" s="12" t="s">
        <v>2253</v>
      </c>
      <c r="D10" s="120" t="s">
        <v>2299</v>
      </c>
      <c r="E10" s="119" t="str">
        <f t="shared" si="0"/>
        <v>hun⁵</v>
      </c>
      <c r="F10" s="117" t="s">
        <v>2046</v>
      </c>
      <c r="G10" s="117" t="str">
        <f t="shared" si="1"/>
        <v>un</v>
      </c>
      <c r="H10" s="118" t="str">
        <f t="shared" si="2"/>
        <v>5</v>
      </c>
      <c r="I10" s="117"/>
      <c r="J10" s="117" t="str" cm="1">
        <f t="array" ref="J10" xml:space="preserve"> IFERROR( IF(F10&lt;&gt;"", INDEX(聲母對照表[國際音標], MATCH(TRUE, EXACT('輸入工具 (白話字)'!F10, 聲母對照表[白話字]), 0)), ""), "")</f>
        <v>h</v>
      </c>
      <c r="K10" s="117" t="str" cm="1">
        <f t="array" ref="K10">IFERROR( IF(G10&lt;&gt;"", INDEX(韻母對照表[國際音標], MATCH(TRUE, EXACT('輸入工具 (白話字)'!G10, 韻母對照表[白話字]), 0)), ""), "")</f>
        <v>un</v>
      </c>
      <c r="L10" s="117" t="str" cm="1">
        <f t="array" ref="L10" xml:space="preserve"> IF(H10&lt;&gt;"", INDEX(上標對照表[上標值], MATCH(TRUE, EXACT(H10, 上標對照表[調號]), 0)), "")</f>
        <v>⁵</v>
      </c>
    </row>
    <row r="11" spans="2:14" ht="29.25">
      <c r="B11" s="122">
        <f t="shared" si="3"/>
        <v>7</v>
      </c>
      <c r="C11" s="12" t="s">
        <v>2254</v>
      </c>
      <c r="D11" s="120" t="s">
        <v>2333</v>
      </c>
      <c r="E11" s="119" t="str">
        <f t="shared" si="0"/>
        <v>kiŋ¹</v>
      </c>
      <c r="F11" s="117" t="s">
        <v>2044</v>
      </c>
      <c r="G11" s="117" t="str">
        <f t="shared" ref="G11:G36" si="4">IFERROR( MID(D11, LEN(F11)+1, LEN(D11) - LEN(F11) - 1), "")</f>
        <v>eng</v>
      </c>
      <c r="H11" s="118" t="str">
        <f t="shared" si="2"/>
        <v>1</v>
      </c>
      <c r="I11" s="117"/>
      <c r="J11" s="117" t="str" cm="1">
        <f t="array" ref="J11" xml:space="preserve"> IFERROR( IF(F11&lt;&gt;"", INDEX(聲母對照表[國際音標], MATCH(TRUE, EXACT('輸入工具 (白話字)'!F11, 聲母對照表[白話字]), 0)), ""), "")</f>
        <v>k</v>
      </c>
      <c r="K11" s="117" t="str" cm="1">
        <f t="array" ref="K11">IFERROR( IF(G11&lt;&gt;"", INDEX(韻母對照表[國際音標], MATCH(TRUE, EXACT('輸入工具 (白話字)'!G11, 韻母對照表[白話字]), 0)), ""), "")</f>
        <v>iŋ</v>
      </c>
      <c r="L11" s="117" t="str" cm="1">
        <f t="array" ref="L11" xml:space="preserve"> IF(H11&lt;&gt;"", INDEX(上標對照表[上標值], MATCH(TRUE, EXACT(H11, 上標對照表[調號]), 0)), "")</f>
        <v>¹</v>
      </c>
    </row>
    <row r="12" spans="2:14" ht="29.25">
      <c r="B12" s="122">
        <f t="shared" si="3"/>
        <v>8</v>
      </c>
      <c r="C12" s="12" t="s">
        <v>2261</v>
      </c>
      <c r="D12" s="120"/>
      <c r="E12" s="119" t="str">
        <f t="shared" si="0"/>
        <v/>
      </c>
      <c r="F12" s="117"/>
      <c r="G12" s="117" t="str">
        <f t="shared" si="4"/>
        <v/>
      </c>
      <c r="H12" s="118" t="str">
        <f t="shared" si="2"/>
        <v/>
      </c>
      <c r="I12" s="117"/>
      <c r="J12" s="117" t="str" cm="1">
        <f t="array" ref="J12" xml:space="preserve"> IFERROR( IF(F12&lt;&gt;"", INDEX(聲母對照表[國際音標], MATCH(TRUE, EXACT('輸入工具 (白話字)'!F12, 聲母對照表[白話字]), 0)), ""), "")</f>
        <v/>
      </c>
      <c r="K12" s="117" t="str" cm="1">
        <f t="array" ref="K12">IFERROR( IF(G12&lt;&gt;"", INDEX(韻母對照表[國際音標], MATCH(TRUE, EXACT('輸入工具 (白話字)'!G12, 韻母對照表[白話字]), 0)), ""), "")</f>
        <v/>
      </c>
      <c r="L12" s="117" t="str" cm="1">
        <f t="array" ref="L12" xml:space="preserve"> IF(H12&lt;&gt;"", INDEX(上標對照表[上標值], MATCH(TRUE, EXACT(H12, 上標對照表[調號]), 0)), "")</f>
        <v/>
      </c>
    </row>
    <row r="13" spans="2:14" ht="29.25">
      <c r="B13" s="122">
        <f t="shared" si="3"/>
        <v>9</v>
      </c>
      <c r="C13" s="12" t="s">
        <v>1081</v>
      </c>
      <c r="D13" s="120" t="s">
        <v>2300</v>
      </c>
      <c r="E13" s="119" t="str">
        <f t="shared" si="0"/>
        <v>it̚⁴</v>
      </c>
      <c r="F13" s="117"/>
      <c r="G13" s="117" t="str">
        <f t="shared" si="4"/>
        <v>it</v>
      </c>
      <c r="H13" s="118" t="str">
        <f t="shared" si="2"/>
        <v>4</v>
      </c>
      <c r="I13" s="117"/>
      <c r="J13" s="117" t="str" cm="1">
        <f t="array" ref="J13" xml:space="preserve"> IFERROR( IF(F13&lt;&gt;"", INDEX(聲母對照表[國際音標], MATCH(TRUE, EXACT('輸入工具 (白話字)'!F13, 聲母對照表[白話字]), 0)), ""), "")</f>
        <v/>
      </c>
      <c r="K13" s="117" t="str" cm="1">
        <f t="array" ref="K13">IFERROR( IF(G13&lt;&gt;"", INDEX(韻母對照表[國際音標], MATCH(TRUE, EXACT('輸入工具 (白話字)'!G13, 韻母對照表[白話字]), 0)), ""), "")</f>
        <v>it̚</v>
      </c>
      <c r="L13" s="117" t="str" cm="1">
        <f t="array" ref="L13" xml:space="preserve"> IF(H13&lt;&gt;"", INDEX(上標對照表[上標值], MATCH(TRUE, EXACT(H13, 上標對照表[調號]), 0)), "")</f>
        <v>⁴</v>
      </c>
    </row>
    <row r="14" spans="2:14" ht="29.25">
      <c r="B14" s="122">
        <f t="shared" si="3"/>
        <v>10</v>
      </c>
      <c r="C14" s="12" t="s">
        <v>2255</v>
      </c>
      <c r="D14" s="120" t="s">
        <v>2327</v>
      </c>
      <c r="E14" s="119" t="str">
        <f t="shared" si="0"/>
        <v>pʰɪan³</v>
      </c>
      <c r="F14" s="117" t="s">
        <v>2313</v>
      </c>
      <c r="G14" s="117" t="str">
        <f t="shared" si="4"/>
        <v>ian</v>
      </c>
      <c r="H14" s="118" t="str">
        <f t="shared" si="2"/>
        <v>3</v>
      </c>
      <c r="I14" s="117"/>
      <c r="J14" s="117" t="str" cm="1">
        <f t="array" ref="J14" xml:space="preserve"> IFERROR( IF(F14&lt;&gt;"", INDEX(聲母對照表[國際音標], MATCH(TRUE, EXACT('輸入工具 (白話字)'!F14, 聲母對照表[白話字]), 0)), ""), "")</f>
        <v>pʰ</v>
      </c>
      <c r="K14" s="117" t="str" cm="1">
        <f t="array" ref="K14">IFERROR( IF(G14&lt;&gt;"", INDEX(韻母對照表[國際音標], MATCH(TRUE, EXACT('輸入工具 (白話字)'!G14, 韻母對照表[白話字]), 0)), ""), "")</f>
        <v>ɪan</v>
      </c>
      <c r="L14" s="117" t="str" cm="1">
        <f t="array" ref="L14" xml:space="preserve"> IF(H14&lt;&gt;"", INDEX(上標對照表[上標值], MATCH(TRUE, EXACT(H14, 上標對照表[調號]), 0)), "")</f>
        <v>³</v>
      </c>
    </row>
    <row r="15" spans="2:14" ht="29.25">
      <c r="B15" s="122">
        <f t="shared" si="3"/>
        <v>11</v>
      </c>
      <c r="C15" s="12" t="s">
        <v>2256</v>
      </c>
      <c r="D15" s="120" t="str">
        <f xml:space="preserve"> _xlfn.CONCAT("k", N15, "1")</f>
        <v>ko͘1</v>
      </c>
      <c r="E15" s="119" t="str">
        <f t="shared" si="0"/>
        <v>ɡɔ¹</v>
      </c>
      <c r="F15" s="117" t="s">
        <v>2043</v>
      </c>
      <c r="G15" s="117" t="str">
        <f t="shared" si="4"/>
        <v>o͘</v>
      </c>
      <c r="H15" s="118" t="str">
        <f t="shared" si="2"/>
        <v>1</v>
      </c>
      <c r="I15" s="117"/>
      <c r="J15" s="117" t="str" cm="1">
        <f t="array" ref="J15" xml:space="preserve"> IFERROR( IF(F15&lt;&gt;"", INDEX(聲母對照表[國際音標], MATCH(TRUE, EXACT('輸入工具 (白話字)'!F15, 聲母對照表[白話字]), 0)), ""), "")</f>
        <v>ɡ</v>
      </c>
      <c r="K15" s="117" t="str" cm="1">
        <f t="array" ref="K15">IFERROR( IF(G15&lt;&gt;"", INDEX(韻母對照表[國際音標], MATCH(TRUE, EXACT('輸入工具 (白話字)'!G15, 韻母對照表[白話字]), 0)), ""), "")</f>
        <v>ɔ</v>
      </c>
      <c r="L15" s="117" t="str" cm="1">
        <f t="array" ref="L15" xml:space="preserve"> IF(H15&lt;&gt;"", INDEX(上標對照表[上標值], MATCH(TRUE, EXACT(H15, 上標對照表[調號]), 0)), "")</f>
        <v>¹</v>
      </c>
      <c r="N15" t="s">
        <v>2338</v>
      </c>
    </row>
    <row r="16" spans="2:14" ht="29.25">
      <c r="B16" s="122">
        <f t="shared" si="3"/>
        <v>12</v>
      </c>
      <c r="C16" s="12" t="s">
        <v>2257</v>
      </c>
      <c r="D16" s="120" t="s">
        <v>2334</v>
      </c>
      <c r="E16" s="119" t="str">
        <f t="shared" si="0"/>
        <v>siŋ⁵</v>
      </c>
      <c r="F16" s="117" t="s">
        <v>2049</v>
      </c>
      <c r="G16" s="117" t="str">
        <f t="shared" si="4"/>
        <v>eng</v>
      </c>
      <c r="H16" s="118" t="str">
        <f t="shared" si="2"/>
        <v>5</v>
      </c>
      <c r="I16" s="117"/>
      <c r="J16" s="117" t="str" cm="1">
        <f t="array" ref="J16" xml:space="preserve"> IFERROR( IF(F16&lt;&gt;"", INDEX(聲母對照表[國際音標], MATCH(TRUE, EXACT('輸入工具 (白話字)'!F16, 聲母對照表[白話字]), 0)), ""), "")</f>
        <v>s</v>
      </c>
      <c r="K16" s="117" t="str" cm="1">
        <f t="array" ref="K16">IFERROR( IF(G16&lt;&gt;"", INDEX(韻母對照表[國際音標], MATCH(TRUE, EXACT('輸入工具 (白話字)'!G16, 韻母對照表[白話字]), 0)), ""), "")</f>
        <v>iŋ</v>
      </c>
      <c r="L16" s="117" t="str" cm="1">
        <f t="array" ref="L16" xml:space="preserve"> IF(H16&lt;&gt;"", INDEX(上標對照表[上標值], MATCH(TRUE, EXACT(H16, 上標對照表[調號]), 0)), "")</f>
        <v>⁵</v>
      </c>
    </row>
    <row r="17" spans="2:12" ht="29.25">
      <c r="B17" s="122">
        <f t="shared" si="3"/>
        <v>13</v>
      </c>
      <c r="C17" s="12" t="s">
        <v>2258</v>
      </c>
      <c r="D17" s="120" t="s">
        <v>2328</v>
      </c>
      <c r="E17" s="119" t="str">
        <f t="shared" si="0"/>
        <v>ban⁷</v>
      </c>
      <c r="F17" s="117" t="s">
        <v>2036</v>
      </c>
      <c r="G17" s="117" t="str">
        <f t="shared" si="4"/>
        <v>an</v>
      </c>
      <c r="H17" s="118" t="str">
        <f t="shared" si="2"/>
        <v>7</v>
      </c>
      <c r="I17" s="117"/>
      <c r="J17" s="117" t="str" cm="1">
        <f t="array" ref="J17" xml:space="preserve"> IFERROR( IF(F17&lt;&gt;"", INDEX(聲母對照表[國際音標], MATCH(TRUE, EXACT('輸入工具 (白話字)'!F17, 聲母對照表[白話字]), 0)), ""), "")</f>
        <v>b</v>
      </c>
      <c r="K17" s="117" t="str" cm="1">
        <f t="array" ref="K17">IFERROR( IF(G17&lt;&gt;"", INDEX(韻母對照表[國際音標], MATCH(TRUE, EXACT('輸入工具 (白話字)'!G17, 韻母對照表[白話字]), 0)), ""), "")</f>
        <v>an</v>
      </c>
      <c r="L17" s="117" t="str" cm="1">
        <f t="array" ref="L17" xml:space="preserve"> IF(H17&lt;&gt;"", INDEX(上標對照表[上標值], MATCH(TRUE, EXACT(H17, 上標對照表[調號]), 0)), "")</f>
        <v>⁷</v>
      </c>
    </row>
    <row r="18" spans="2:12" ht="29.25">
      <c r="B18" s="122">
        <f t="shared" si="3"/>
        <v>14</v>
      </c>
      <c r="C18" s="12" t="s">
        <v>2235</v>
      </c>
      <c r="D18" s="120" t="s">
        <v>2315</v>
      </c>
      <c r="E18" s="119" t="str">
        <f t="shared" si="0"/>
        <v>ʣim⁷</v>
      </c>
      <c r="F18" s="117" t="s">
        <v>2230</v>
      </c>
      <c r="G18" s="117" t="str">
        <f t="shared" si="4"/>
        <v>im</v>
      </c>
      <c r="H18" s="118" t="str">
        <f t="shared" si="2"/>
        <v>7</v>
      </c>
      <c r="I18" s="117"/>
      <c r="J18" s="117" t="str" cm="1">
        <f t="array" ref="J18" xml:space="preserve"> IFERROR( IF(F18&lt;&gt;"", INDEX(聲母對照表[國際音標], MATCH(TRUE, EXACT('輸入工具 (白話字)'!F18, 聲母對照表[白話字]), 0)), ""), "")</f>
        <v>ʣ</v>
      </c>
      <c r="K18" s="117" t="str" cm="1">
        <f t="array" ref="K18">IFERROR( IF(G18&lt;&gt;"", INDEX(韻母對照表[國際音標], MATCH(TRUE, EXACT('輸入工具 (白話字)'!G18, 韻母對照表[白話字]), 0)), ""), "")</f>
        <v>im</v>
      </c>
      <c r="L18" s="117" t="str" cm="1">
        <f t="array" ref="L18" xml:space="preserve"> IF(H18&lt;&gt;"", INDEX(上標對照表[上標值], MATCH(TRUE, EXACT(H18, 上標對照表[調號]), 0)), "")</f>
        <v>⁷</v>
      </c>
    </row>
    <row r="19" spans="2:12" ht="29.25">
      <c r="B19" s="122">
        <f t="shared" si="3"/>
        <v>15</v>
      </c>
      <c r="C19" s="12" t="s">
        <v>2259</v>
      </c>
      <c r="D19" s="120" t="s">
        <v>2285</v>
      </c>
      <c r="E19" s="119" t="str">
        <f t="shared" si="0"/>
        <v>san¹</v>
      </c>
      <c r="F19" s="117" t="s">
        <v>2049</v>
      </c>
      <c r="G19" s="117" t="str">
        <f t="shared" si="4"/>
        <v>an</v>
      </c>
      <c r="H19" s="118" t="str">
        <f t="shared" si="2"/>
        <v>1</v>
      </c>
      <c r="I19" s="117"/>
      <c r="J19" s="117" t="str" cm="1">
        <f t="array" ref="J19" xml:space="preserve"> IFERROR( IF(F19&lt;&gt;"", INDEX(聲母對照表[國際音標], MATCH(TRUE, EXACT('輸入工具 (白話字)'!F19, 聲母對照表[白話字]), 0)), ""), "")</f>
        <v>s</v>
      </c>
      <c r="K19" s="117" t="str" cm="1">
        <f t="array" ref="K19">IFERROR( IF(G19&lt;&gt;"", INDEX(韻母對照表[國際音標], MATCH(TRUE, EXACT('輸入工具 (白話字)'!G19, 韻母對照表[白話字]), 0)), ""), "")</f>
        <v>an</v>
      </c>
      <c r="L19" s="117" t="str" cm="1">
        <f t="array" ref="L19" xml:space="preserve"> IF(H19&lt;&gt;"", INDEX(上標對照表[上標值], MATCH(TRUE, EXACT(H19, 上標對照表[調號]), 0)), "")</f>
        <v>¹</v>
      </c>
    </row>
    <row r="20" spans="2:12" ht="29.25">
      <c r="B20" s="122">
        <f t="shared" si="3"/>
        <v>16</v>
      </c>
      <c r="C20" s="12" t="s">
        <v>2260</v>
      </c>
      <c r="D20" s="120"/>
      <c r="E20" s="119" t="str">
        <f t="shared" si="0"/>
        <v/>
      </c>
      <c r="F20" s="117"/>
      <c r="G20" s="117" t="str">
        <f t="shared" si="4"/>
        <v/>
      </c>
      <c r="H20" s="118" t="str">
        <f t="shared" si="2"/>
        <v/>
      </c>
      <c r="I20" s="117"/>
      <c r="J20" s="117" t="str" cm="1">
        <f t="array" ref="J20" xml:space="preserve"> IFERROR( IF(F20&lt;&gt;"", INDEX(聲母對照表[國際音標], MATCH(TRUE, EXACT('輸入工具 (白話字)'!F20, 聲母對照表[白話字]), 0)), ""), "")</f>
        <v/>
      </c>
      <c r="K20" s="117" t="str" cm="1">
        <f t="array" ref="K20">IFERROR( IF(G20&lt;&gt;"", INDEX(韻母對照表[國際音標], MATCH(TRUE, EXACT('輸入工具 (白話字)'!G20, 韻母對照表[白話字]), 0)), ""), "")</f>
        <v/>
      </c>
      <c r="L20" s="117" t="str" cm="1">
        <f t="array" ref="L20" xml:space="preserve"> IF(H20&lt;&gt;"", INDEX(上標對照表[上標值], MATCH(TRUE, EXACT(H20, 上標對照表[調號]), 0)), "")</f>
        <v/>
      </c>
    </row>
    <row r="21" spans="2:12" ht="29.25">
      <c r="B21" s="122">
        <f t="shared" si="3"/>
        <v>17</v>
      </c>
      <c r="C21" s="12" t="s">
        <v>2236</v>
      </c>
      <c r="D21" s="120" t="s">
        <v>2336</v>
      </c>
      <c r="E21" s="119" t="str">
        <f t="shared" si="0"/>
        <v>kɪũ¹</v>
      </c>
      <c r="F21" s="117" t="s">
        <v>2044</v>
      </c>
      <c r="G21" s="117" t="str">
        <f t="shared" si="4"/>
        <v>iuⁿ</v>
      </c>
      <c r="H21" s="118" t="str">
        <f t="shared" si="2"/>
        <v>1</v>
      </c>
      <c r="I21" s="117"/>
      <c r="J21" s="117" t="str" cm="1">
        <f t="array" ref="J21" xml:space="preserve"> IFERROR( IF(F21&lt;&gt;"", INDEX(聲母對照表[國際音標], MATCH(TRUE, EXACT('輸入工具 (白話字)'!F21, 聲母對照表[白話字]), 0)), ""), "")</f>
        <v>k</v>
      </c>
      <c r="K21" s="117" t="str" cm="1">
        <f t="array" ref="K21">IFERROR( IF(G21&lt;&gt;"", INDEX(韻母對照表[國際音標], MATCH(TRUE, EXACT('輸入工具 (白話字)'!G21, 韻母對照表[白話字]), 0)), ""), "")</f>
        <v>ɪũ</v>
      </c>
      <c r="L21" s="117" t="str" cm="1">
        <f t="array" ref="L21" xml:space="preserve"> IF(H21&lt;&gt;"", INDEX(上標對照表[上標值], MATCH(TRUE, EXACT(H21, 上標對照表[調號]), 0)), "")</f>
        <v>¹</v>
      </c>
    </row>
    <row r="22" spans="2:12" ht="29.25">
      <c r="B22" s="122">
        <f t="shared" si="3"/>
        <v>18</v>
      </c>
      <c r="C22" s="12" t="s">
        <v>2262</v>
      </c>
      <c r="D22" s="120" t="s">
        <v>2339</v>
      </c>
      <c r="E22" s="119" t="str">
        <f t="shared" si="0"/>
        <v>tik̚⁸</v>
      </c>
      <c r="F22" s="117" t="s">
        <v>2040</v>
      </c>
      <c r="G22" s="117" t="str">
        <f t="shared" si="4"/>
        <v>ek</v>
      </c>
      <c r="H22" s="118" t="str">
        <f t="shared" si="2"/>
        <v>8</v>
      </c>
      <c r="I22" s="117"/>
      <c r="J22" s="117" t="str" cm="1">
        <f t="array" ref="J22" xml:space="preserve"> IFERROR( IF(F22&lt;&gt;"", INDEX(聲母對照表[國際音標], MATCH(TRUE, EXACT('輸入工具 (白話字)'!F22, 聲母對照表[白話字]), 0)), ""), "")</f>
        <v>t</v>
      </c>
      <c r="K22" s="117" t="str" cm="1">
        <f t="array" ref="K22">IFERROR( IF(G22&lt;&gt;"", INDEX(韻母對照表[國際音標], MATCH(TRUE, EXACT('輸入工具 (白話字)'!G22, 韻母對照表[白話字]), 0)), ""), "")</f>
        <v>ik̚</v>
      </c>
      <c r="L22" s="117" t="str" cm="1">
        <f t="array" ref="L22" xml:space="preserve"> IF(H22&lt;&gt;"", INDEX(上標對照表[上標值], MATCH(TRUE, EXACT(H22, 上標對照表[調號]), 0)), "")</f>
        <v>⁸</v>
      </c>
    </row>
    <row r="23" spans="2:12" ht="29.25">
      <c r="B23" s="122">
        <f t="shared" si="3"/>
        <v>19</v>
      </c>
      <c r="C23" s="12" t="s">
        <v>2263</v>
      </c>
      <c r="D23" s="120" t="s">
        <v>2295</v>
      </c>
      <c r="E23" s="119" t="str">
        <f t="shared" si="0"/>
        <v>hə⁵</v>
      </c>
      <c r="F23" s="117" t="s">
        <v>2046</v>
      </c>
      <c r="G23" s="117" t="str">
        <f t="shared" si="4"/>
        <v>o</v>
      </c>
      <c r="H23" s="118" t="str">
        <f t="shared" si="2"/>
        <v>5</v>
      </c>
      <c r="I23" s="117"/>
      <c r="J23" s="117" t="str" cm="1">
        <f t="array" ref="J23" xml:space="preserve"> IFERROR( IF(F23&lt;&gt;"", INDEX(聲母對照表[國際音標], MATCH(TRUE, EXACT('輸入工具 (白話字)'!F23, 聲母對照表[白話字]), 0)), ""), "")</f>
        <v>h</v>
      </c>
      <c r="K23" s="117" t="str" cm="1">
        <f t="array" ref="K23">IFERROR( IF(G23&lt;&gt;"", INDEX(韻母對照表[國際音標], MATCH(TRUE, EXACT('輸入工具 (白話字)'!G23, 韻母對照表[白話字]), 0)), ""), "")</f>
        <v>ə</v>
      </c>
      <c r="L23" s="117" t="str" cm="1">
        <f t="array" ref="L23" xml:space="preserve"> IF(H23&lt;&gt;"", INDEX(上標對照表[上標值], MATCH(TRUE, EXACT(H23, 上標對照表[調號]), 0)), "")</f>
        <v>⁵</v>
      </c>
    </row>
    <row r="24" spans="2:12" ht="29.25">
      <c r="B24" s="122">
        <f t="shared" si="3"/>
        <v>20</v>
      </c>
      <c r="C24" s="12" t="s">
        <v>2264</v>
      </c>
      <c r="D24" s="120" t="s">
        <v>2287</v>
      </c>
      <c r="E24" s="119" t="str">
        <f t="shared" si="0"/>
        <v>su¹</v>
      </c>
      <c r="F24" s="117" t="s">
        <v>2049</v>
      </c>
      <c r="G24" s="117" t="str">
        <f t="shared" si="4"/>
        <v>u</v>
      </c>
      <c r="H24" s="118" t="str">
        <f t="shared" si="2"/>
        <v>1</v>
      </c>
      <c r="I24" s="117"/>
      <c r="J24" s="117" t="str" cm="1">
        <f t="array" ref="J24" xml:space="preserve"> IFERROR( IF(F24&lt;&gt;"", INDEX(聲母對照表[國際音標], MATCH(TRUE, EXACT('輸入工具 (白話字)'!F24, 聲母對照表[白話字]), 0)), ""), "")</f>
        <v>s</v>
      </c>
      <c r="K24" s="117" t="str" cm="1">
        <f t="array" ref="K24">IFERROR( IF(G24&lt;&gt;"", INDEX(韻母對照表[國際音標], MATCH(TRUE, EXACT('輸入工具 (白話字)'!G24, 韻母對照表[白話字]), 0)), ""), "")</f>
        <v>u</v>
      </c>
      <c r="L24" s="117" t="str" cm="1">
        <f t="array" ref="L24" xml:space="preserve"> IF(H24&lt;&gt;"", INDEX(上標對照表[上標值], MATCH(TRUE, EXACT(H24, 上標對照表[調號]), 0)), "")</f>
        <v>¹</v>
      </c>
    </row>
    <row r="25" spans="2:12" ht="29.25">
      <c r="B25" s="122">
        <f t="shared" si="3"/>
        <v>21</v>
      </c>
      <c r="C25" s="12" t="s">
        <v>2265</v>
      </c>
      <c r="D25" s="120" t="s">
        <v>2329</v>
      </c>
      <c r="E25" s="119" t="str">
        <f t="shared" si="0"/>
        <v>uan³</v>
      </c>
      <c r="F25" s="117"/>
      <c r="G25" s="117" t="s">
        <v>2340</v>
      </c>
      <c r="H25" s="118" t="str">
        <f t="shared" si="2"/>
        <v>3</v>
      </c>
      <c r="I25" s="117"/>
      <c r="J25" s="117" t="str" cm="1">
        <f t="array" ref="J25" xml:space="preserve"> IFERROR( IF(F25&lt;&gt;"", INDEX(聲母對照表[國際音標], MATCH(TRUE, EXACT('輸入工具 (白話字)'!F25, 聲母對照表[白話字]), 0)), ""), "")</f>
        <v/>
      </c>
      <c r="K25" s="117" t="str" cm="1">
        <f t="array" ref="K25">IFERROR( IF(G25&lt;&gt;"", INDEX(韻母對照表[國際音標], MATCH(TRUE, EXACT('輸入工具 (白話字)'!G25, 韻母對照表[白話字]), 0)), ""), "")</f>
        <v>uan</v>
      </c>
      <c r="L25" s="117" t="str" cm="1">
        <f t="array" ref="L25" xml:space="preserve"> IF(H25&lt;&gt;"", INDEX(上標對照表[上標值], MATCH(TRUE, EXACT(H25, 上標對照表[調號]), 0)), "")</f>
        <v>³</v>
      </c>
    </row>
    <row r="26" spans="2:12" ht="29.25">
      <c r="B26" s="122">
        <f t="shared" si="3"/>
        <v>22</v>
      </c>
      <c r="C26" s="12" t="s">
        <v>2240</v>
      </c>
      <c r="D26" s="120" t="s">
        <v>2337</v>
      </c>
      <c r="E26" s="119" t="str">
        <f t="shared" si="0"/>
        <v>ɪũ⁵</v>
      </c>
      <c r="F26" s="117"/>
      <c r="G26" s="117" t="str">
        <f t="shared" si="4"/>
        <v>iuⁿ</v>
      </c>
      <c r="H26" s="118" t="str">
        <f t="shared" si="2"/>
        <v>5</v>
      </c>
      <c r="I26" s="117"/>
      <c r="J26" s="117" t="str" cm="1">
        <f t="array" ref="J26" xml:space="preserve"> IFERROR( IF(F26&lt;&gt;"", INDEX(聲母對照表[國際音標], MATCH(TRUE, EXACT('輸入工具 (白話字)'!F26, 聲母對照表[白話字]), 0)), ""), "")</f>
        <v/>
      </c>
      <c r="K26" s="117" t="str" cm="1">
        <f t="array" ref="K26">IFERROR( IF(G26&lt;&gt;"", INDEX(韻母對照表[國際音標], MATCH(TRUE, EXACT('輸入工具 (白話字)'!G26, 韻母對照表[白話字]), 0)), ""), "")</f>
        <v>ɪũ</v>
      </c>
      <c r="L26" s="117" t="str" cm="1">
        <f t="array" ref="L26" xml:space="preserve"> IF(H26&lt;&gt;"", INDEX(上標對照表[上標值], MATCH(TRUE, EXACT(H26, 上標對照表[調號]), 0)), "")</f>
        <v>⁵</v>
      </c>
    </row>
    <row r="27" spans="2:12" ht="29.25">
      <c r="B27" s="122">
        <f t="shared" si="3"/>
        <v>23</v>
      </c>
      <c r="C27" s="12" t="s">
        <v>2241</v>
      </c>
      <c r="D27" s="120" t="s">
        <v>2306</v>
      </c>
      <c r="E27" s="119" t="str">
        <f t="shared" si="0"/>
        <v>lɪu²</v>
      </c>
      <c r="F27" s="117" t="s">
        <v>2042</v>
      </c>
      <c r="G27" s="117" t="str">
        <f t="shared" si="4"/>
        <v>iu</v>
      </c>
      <c r="H27" s="118" t="str">
        <f t="shared" si="2"/>
        <v>2</v>
      </c>
      <c r="I27" s="117"/>
      <c r="J27" s="117" t="str" cm="1">
        <f t="array" ref="J27" xml:space="preserve"> IFERROR( IF(F27&lt;&gt;"", INDEX(聲母對照表[國際音標], MATCH(TRUE, EXACT('輸入工具 (白話字)'!F27, 聲母對照表[白話字]), 0)), ""), "")</f>
        <v>l</v>
      </c>
      <c r="K27" s="117" t="str" cm="1">
        <f t="array" ref="K27">IFERROR( IF(G27&lt;&gt;"", INDEX(韻母對照表[國際音標], MATCH(TRUE, EXACT('輸入工具 (白話字)'!G27, 韻母對照表[白話字]), 0)), ""), "")</f>
        <v>ɪu</v>
      </c>
      <c r="L27" s="117" t="str" cm="1">
        <f t="array" ref="L27" xml:space="preserve"> IF(H27&lt;&gt;"", INDEX(上標對照表[上標值], MATCH(TRUE, EXACT(H27, 上標對照表[調號]), 0)), "")</f>
        <v>²</v>
      </c>
    </row>
    <row r="28" spans="2:12" ht="29.25">
      <c r="B28" s="122">
        <f t="shared" si="3"/>
        <v>24</v>
      </c>
      <c r="C28" s="12" t="s">
        <v>2261</v>
      </c>
      <c r="D28" s="120"/>
      <c r="E28" s="119" t="str">
        <f t="shared" si="0"/>
        <v/>
      </c>
      <c r="F28" s="117"/>
      <c r="G28" s="117" t="str">
        <f t="shared" si="4"/>
        <v/>
      </c>
      <c r="H28" s="118" t="str">
        <f t="shared" si="2"/>
        <v/>
      </c>
      <c r="I28" s="117"/>
      <c r="J28" s="117" t="str" cm="1">
        <f t="array" ref="J28" xml:space="preserve"> IFERROR( IF(F28&lt;&gt;"", INDEX(聲母對照表[國際音標], MATCH(TRUE, EXACT('輸入工具 (白話字)'!F28, 聲母對照表[白話字]), 0)), ""), "")</f>
        <v/>
      </c>
      <c r="K28" s="117" t="str" cm="1">
        <f t="array" ref="K28">IFERROR( IF(G28&lt;&gt;"", INDEX(韻母對照表[國際音標], MATCH(TRUE, EXACT('輸入工具 (白話字)'!G28, 韻母對照表[白話字]), 0)), ""), "")</f>
        <v/>
      </c>
      <c r="L28" s="117" t="str" cm="1">
        <f t="array" ref="L28" xml:space="preserve"> IF(H28&lt;&gt;"", INDEX(上標對照表[上標值], MATCH(TRUE, EXACT(H28, 上標對照表[調號]), 0)), "")</f>
        <v/>
      </c>
    </row>
    <row r="29" spans="2:12" ht="29.25">
      <c r="B29" s="122">
        <f t="shared" si="3"/>
        <v>25</v>
      </c>
      <c r="C29" s="12" t="s">
        <v>2266</v>
      </c>
      <c r="D29" s="120" t="s">
        <v>2341</v>
      </c>
      <c r="E29" s="119" t="str">
        <f t="shared" si="0"/>
        <v>ʦʰun¹</v>
      </c>
      <c r="F29" s="117" t="s">
        <v>2342</v>
      </c>
      <c r="G29" s="117" t="str">
        <f t="shared" si="4"/>
        <v>un</v>
      </c>
      <c r="H29" s="118" t="str">
        <f t="shared" si="2"/>
        <v>1</v>
      </c>
      <c r="I29" s="117"/>
      <c r="J29" s="117" t="str" cm="1">
        <f t="array" ref="J29" xml:space="preserve"> IFERROR( IF(F29&lt;&gt;"", INDEX(聲母對照表[國際音標], MATCH(TRUE, EXACT('輸入工具 (白話字)'!F29, 聲母對照表[白話字]), 0)), ""), "")</f>
        <v>ʦʰ</v>
      </c>
      <c r="K29" s="117" t="str" cm="1">
        <f t="array" ref="K29">IFERROR( IF(G29&lt;&gt;"", INDEX(韻母對照表[國際音標], MATCH(TRUE, EXACT('輸入工具 (白話字)'!G29, 韻母對照表[白話字]), 0)), ""), "")</f>
        <v>un</v>
      </c>
      <c r="L29" s="117" t="str" cm="1">
        <f t="array" ref="L29" xml:space="preserve"> IF(H29&lt;&gt;"", INDEX(上標對照表[上標值], MATCH(TRUE, EXACT(H29, 上標對照表[調號]), 0)), "")</f>
        <v>¹</v>
      </c>
    </row>
    <row r="30" spans="2:12" ht="29.25">
      <c r="B30" s="122">
        <f t="shared" si="3"/>
        <v>26</v>
      </c>
      <c r="C30" s="12" t="s">
        <v>2267</v>
      </c>
      <c r="D30" s="120" t="s">
        <v>2289</v>
      </c>
      <c r="E30" s="119" t="str">
        <f t="shared" si="0"/>
        <v>hɔŋ¹</v>
      </c>
      <c r="F30" s="117" t="s">
        <v>2046</v>
      </c>
      <c r="G30" s="117" t="str">
        <f t="shared" si="4"/>
        <v>ong</v>
      </c>
      <c r="H30" s="118" t="str">
        <f t="shared" si="2"/>
        <v>1</v>
      </c>
      <c r="I30" s="117"/>
      <c r="J30" s="117" t="str" cm="1">
        <f t="array" ref="J30" xml:space="preserve"> IFERROR( IF(F30&lt;&gt;"", INDEX(聲母對照表[國際音標], MATCH(TRUE, EXACT('輸入工具 (白話字)'!F30, 聲母對照表[白話字]), 0)), ""), "")</f>
        <v>h</v>
      </c>
      <c r="K30" s="117" t="str" cm="1">
        <f t="array" ref="K30">IFERROR( IF(G30&lt;&gt;"", INDEX(韻母對照表[國際音標], MATCH(TRUE, EXACT('輸入工具 (白話字)'!G30, 韻母對照表[白話字]), 0)), ""), "")</f>
        <v>ɔŋ</v>
      </c>
      <c r="L30" s="117" t="str" cm="1">
        <f t="array" ref="L30" xml:space="preserve"> IF(H30&lt;&gt;"", INDEX(上標對照表[上標值], MATCH(TRUE, EXACT(H30, 上標對照表[調號]), 0)), "")</f>
        <v>¹</v>
      </c>
    </row>
    <row r="31" spans="2:12" ht="29.25">
      <c r="B31" s="122">
        <f t="shared" si="3"/>
        <v>27</v>
      </c>
      <c r="C31" s="12" t="s">
        <v>2268</v>
      </c>
      <c r="D31" s="120" t="s">
        <v>2320</v>
      </c>
      <c r="E31" s="119" t="str">
        <f t="shared" si="0"/>
        <v>put̚⁴</v>
      </c>
      <c r="F31" s="117" t="s">
        <v>2037</v>
      </c>
      <c r="G31" s="117" t="str">
        <f t="shared" si="4"/>
        <v>ut</v>
      </c>
      <c r="H31" s="118" t="str">
        <f t="shared" si="2"/>
        <v>4</v>
      </c>
      <c r="I31" s="117"/>
      <c r="J31" s="117" t="str" cm="1">
        <f t="array" ref="J31" xml:space="preserve"> IFERROR( IF(F31&lt;&gt;"", INDEX(聲母對照表[國際音標], MATCH(TRUE, EXACT('輸入工具 (白話字)'!F31, 聲母對照表[白話字]), 0)), ""), "")</f>
        <v>p</v>
      </c>
      <c r="K31" s="117" t="str" cm="1">
        <f t="array" ref="K31">IFERROR( IF(G31&lt;&gt;"", INDEX(韻母對照表[國際音標], MATCH(TRUE, EXACT('輸入工具 (白話字)'!G31, 韻母對照表[白話字]), 0)), ""), "")</f>
        <v>ut̚</v>
      </c>
      <c r="L31" s="117" t="str" cm="1">
        <f t="array" ref="L31" xml:space="preserve"> IF(H31&lt;&gt;"", INDEX(上標對照表[上標值], MATCH(TRUE, EXACT(H31, 上標對照表[調號]), 0)), "")</f>
        <v>⁴</v>
      </c>
    </row>
    <row r="32" spans="2:12" ht="29.25">
      <c r="B32" s="122">
        <f t="shared" si="3"/>
        <v>28</v>
      </c>
      <c r="C32" s="12" t="s">
        <v>2269</v>
      </c>
      <c r="D32" s="120" t="str">
        <f xml:space="preserve"> _xlfn.CONCAT("t", N15, 7)</f>
        <v>to͘7</v>
      </c>
      <c r="E32" s="119" t="str">
        <f t="shared" si="0"/>
        <v>tɔ⁷</v>
      </c>
      <c r="F32" s="117" t="s">
        <v>2040</v>
      </c>
      <c r="G32" s="117" t="str">
        <f t="shared" si="4"/>
        <v>o͘</v>
      </c>
      <c r="H32" s="118" t="str">
        <f t="shared" si="2"/>
        <v>7</v>
      </c>
      <c r="I32" s="117"/>
      <c r="J32" s="117" t="str" cm="1">
        <f t="array" ref="J32" xml:space="preserve"> IFERROR( IF(F32&lt;&gt;"", INDEX(聲母對照表[國際音標], MATCH(TRUE, EXACT('輸入工具 (白話字)'!F32, 聲母對照表[白話字]), 0)), ""), "")</f>
        <v>t</v>
      </c>
      <c r="K32" s="117" t="str" cm="1">
        <f t="array" ref="K32">IFERROR( IF(G32&lt;&gt;"", INDEX(韻母對照表[國際音標], MATCH(TRUE, EXACT('輸入工具 (白話字)'!G32, 韻母對照表[白話字]), 0)), ""), "")</f>
        <v>ɔ</v>
      </c>
      <c r="L32" s="117" t="str" cm="1">
        <f t="array" ref="L32" xml:space="preserve"> IF(H32&lt;&gt;"", INDEX(上標對照表[上標值], MATCH(TRUE, EXACT(H32, 上標對照表[調號]), 0)), "")</f>
        <v>⁷</v>
      </c>
    </row>
    <row r="33" spans="1:12" ht="29.25">
      <c r="B33" s="122">
        <f t="shared" si="3"/>
        <v>29</v>
      </c>
      <c r="C33" s="12" t="s">
        <v>2270</v>
      </c>
      <c r="D33" s="120" t="s">
        <v>2322</v>
      </c>
      <c r="E33" s="119" t="str">
        <f t="shared" si="0"/>
        <v>ɡɪɔk̚⁸</v>
      </c>
      <c r="F33" s="117" t="s">
        <v>2043</v>
      </c>
      <c r="G33" s="117" t="str">
        <f t="shared" si="4"/>
        <v>iok</v>
      </c>
      <c r="H33" s="118" t="str">
        <f t="shared" si="2"/>
        <v>8</v>
      </c>
      <c r="I33" s="117"/>
      <c r="J33" s="117" t="str" cm="1">
        <f t="array" ref="J33" xml:space="preserve"> IFERROR( IF(F33&lt;&gt;"", INDEX(聲母對照表[國際音標], MATCH(TRUE, EXACT('輸入工具 (白話字)'!F33, 聲母對照表[白話字]), 0)), ""), "")</f>
        <v>ɡ</v>
      </c>
      <c r="K33" s="117" t="str" cm="1">
        <f t="array" ref="K33">IFERROR( IF(G33&lt;&gt;"", INDEX(韻母對照表[國際音標], MATCH(TRUE, EXACT('輸入工具 (白話字)'!G33, 韻母對照表[白話字]), 0)), ""), "")</f>
        <v>ɪɔk̚</v>
      </c>
      <c r="L33" s="117" t="str" cm="1">
        <f t="array" ref="L33" xml:space="preserve"> IF(H33&lt;&gt;"", INDEX(上標對照表[上標值], MATCH(TRUE, EXACT(H33, 上標對照表[調號]), 0)), "")</f>
        <v>⁸</v>
      </c>
    </row>
    <row r="34" spans="1:12" ht="29.25">
      <c r="B34" s="122">
        <f t="shared" si="3"/>
        <v>30</v>
      </c>
      <c r="C34" s="12" t="s">
        <v>2234</v>
      </c>
      <c r="D34" s="120" t="s">
        <v>2343</v>
      </c>
      <c r="E34" s="119" t="str">
        <f t="shared" si="0"/>
        <v>mŋ̍⁵</v>
      </c>
      <c r="F34" s="117" t="s">
        <v>1087</v>
      </c>
      <c r="G34" s="117" t="str">
        <f t="shared" si="4"/>
        <v>ng</v>
      </c>
      <c r="H34" s="118" t="str">
        <f t="shared" si="2"/>
        <v>5</v>
      </c>
      <c r="I34" s="117"/>
      <c r="J34" s="117" t="str" cm="1">
        <f t="array" ref="J34" xml:space="preserve"> IFERROR( IF(F34&lt;&gt;"", INDEX(聲母對照表[國際音標], MATCH(TRUE, EXACT('輸入工具 (白話字)'!F34, 聲母對照表[白話字]), 0)), ""), "")</f>
        <v>m</v>
      </c>
      <c r="K34" s="117" t="str" cm="1">
        <f t="array" ref="K34">IFERROR( IF(G34&lt;&gt;"", INDEX(韻母對照表[國際音標], MATCH(TRUE, EXACT('輸入工具 (白話字)'!G34, 韻母對照表[白話字]), 0)), ""), "")</f>
        <v>ŋ̍</v>
      </c>
      <c r="L34" s="117" t="str" cm="1">
        <f t="array" ref="L34" xml:space="preserve"> IF(H34&lt;&gt;"", INDEX(上標對照表[上標值], MATCH(TRUE, EXACT(H34, 上標對照表[調號]), 0)), "")</f>
        <v>⁵</v>
      </c>
    </row>
    <row r="35" spans="1:12" ht="29.25">
      <c r="B35" s="122">
        <f t="shared" si="3"/>
        <v>31</v>
      </c>
      <c r="C35" s="12" t="s">
        <v>2271</v>
      </c>
      <c r="D35" s="120" t="s">
        <v>2344</v>
      </c>
      <c r="E35" s="119" t="str">
        <f t="shared" si="0"/>
        <v>kuan¹</v>
      </c>
      <c r="F35" s="117" t="s">
        <v>2044</v>
      </c>
      <c r="G35" s="117" t="str">
        <f t="shared" si="4"/>
        <v>oan</v>
      </c>
      <c r="H35" s="118" t="str">
        <f t="shared" si="2"/>
        <v>1</v>
      </c>
      <c r="I35" s="117"/>
      <c r="J35" s="117" t="str" cm="1">
        <f t="array" ref="J35" xml:space="preserve"> IFERROR( IF(F35&lt;&gt;"", INDEX(聲母對照表[國際音標], MATCH(TRUE, EXACT('輸入工具 (白話字)'!F35, 聲母對照表[白話字]), 0)), ""), "")</f>
        <v>k</v>
      </c>
      <c r="K35" s="117" t="str" cm="1">
        <f t="array" ref="K35">IFERROR( IF(G35&lt;&gt;"", INDEX(韻母對照表[國際音標], MATCH(TRUE, EXACT('輸入工具 (白話字)'!G35, 韻母對照表[白話字]), 0)), ""), "")</f>
        <v>uan</v>
      </c>
      <c r="L35" s="117" t="str" cm="1">
        <f t="array" ref="L35" xml:space="preserve"> IF(H35&lt;&gt;"", INDEX(上標對照表[上標值], MATCH(TRUE, EXACT(H35, 上標對照表[調號]), 0)), "")</f>
        <v>¹</v>
      </c>
    </row>
    <row r="36" spans="1:12" ht="29.25">
      <c r="B36" s="122">
        <f t="shared" si="3"/>
        <v>32</v>
      </c>
      <c r="C36" s="12" t="s">
        <v>2260</v>
      </c>
      <c r="D36" s="120"/>
      <c r="E36" s="119" t="str">
        <f t="shared" si="0"/>
        <v/>
      </c>
      <c r="F36" s="117"/>
      <c r="G36" s="117" t="str">
        <f t="shared" si="4"/>
        <v/>
      </c>
      <c r="H36" s="118" t="str">
        <f t="shared" si="2"/>
        <v/>
      </c>
      <c r="I36" s="117"/>
      <c r="J36" s="117" t="str" cm="1">
        <f t="array" ref="J36" xml:space="preserve"> IFERROR( IF(F36&lt;&gt;"", INDEX(聲母對照表[國際音標], MATCH(TRUE, EXACT('輸入工具 (白話字)'!F36, 聲母對照表[白話字]), 0)), ""), "")</f>
        <v/>
      </c>
      <c r="K36" s="117" t="str" cm="1">
        <f t="array" ref="K36">IFERROR( IF(G36&lt;&gt;"", INDEX(韻母對照表[國際音標], MATCH(TRUE, EXACT('輸入工具 (白話字)'!G36, 韻母對照表[白話字]), 0)), ""), "")</f>
        <v/>
      </c>
      <c r="L36" s="117" t="str" cm="1">
        <f t="array" ref="L36" xml:space="preserve"> IF(H36&lt;&gt;"", INDEX(上標對照表[上標值], MATCH(TRUE, EXACT(H36, 上標對照表[調號]), 0)), "")</f>
        <v/>
      </c>
    </row>
    <row r="39" spans="1:12" ht="29.25">
      <c r="A39" s="118"/>
      <c r="B39" s="118"/>
      <c r="C39" s="118"/>
      <c r="D39" s="118"/>
      <c r="E39" s="118"/>
      <c r="F39" s="118"/>
      <c r="G39" s="118"/>
      <c r="H39" s="118"/>
      <c r="I39" s="117"/>
      <c r="J39" s="117" t="str" cm="1">
        <f t="array" ref="J39" xml:space="preserve"> IF(F39&lt;&gt;"", INDEX(聲母對照表[國際音標], MATCH(TRUE, EXACT('輸入工具 (白話字)'!F39, 聲母對照表[閩拼方案]), 0)), "")</f>
        <v/>
      </c>
      <c r="K39" s="117" t="str" cm="1">
        <f t="array" ref="K39">IF(G39&lt;&gt;"", INDEX(韻母對照表[國際音標], MATCH(TRUE, EXACT('輸入工具 (白話字)'!G39, 韻母對照表[閩拼方案]), 0)), "")</f>
        <v/>
      </c>
      <c r="L39" s="117" t="str" cm="1">
        <f t="array" ref="L39" xml:space="preserve"> IF(H39&lt;&gt;"", INDEX(#REF!, MATCH(TRUE, EXACT('輸入工具 (白話字)'!H39,#REF!), 0)), "")</f>
        <v/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E8012-85E3-4410-BF6F-8322F40DAF24}">
  <dimension ref="A1:P23"/>
  <sheetViews>
    <sheetView workbookViewId="0">
      <pane ySplit="1" topLeftCell="A2" activePane="bottomLeft" state="frozen"/>
      <selection pane="bottomLeft" sqref="A1:M1048576"/>
    </sheetView>
  </sheetViews>
  <sheetFormatPr defaultRowHeight="25.5"/>
  <cols>
    <col min="1" max="1" width="7.33203125" customWidth="1"/>
    <col min="2" max="2" width="6.4140625" customWidth="1"/>
    <col min="3" max="7" width="9.1640625" customWidth="1"/>
    <col min="9" max="10" width="9.1640625" customWidth="1"/>
    <col min="13" max="13" width="23.08203125" bestFit="1" customWidth="1"/>
    <col min="14" max="14" width="3.83203125" customWidth="1"/>
    <col min="15" max="16" width="4.33203125" customWidth="1"/>
  </cols>
  <sheetData>
    <row r="1" spans="1:16">
      <c r="A1" s="113" t="s">
        <v>0</v>
      </c>
      <c r="B1" s="114" t="s">
        <v>702</v>
      </c>
      <c r="C1" s="114" t="s">
        <v>2</v>
      </c>
      <c r="D1" s="114" t="s">
        <v>6</v>
      </c>
      <c r="E1" s="114" t="s">
        <v>5</v>
      </c>
      <c r="F1" s="114" t="s">
        <v>9</v>
      </c>
      <c r="G1" s="114" t="s">
        <v>8</v>
      </c>
      <c r="H1" s="114" t="s">
        <v>7</v>
      </c>
      <c r="I1" s="114" t="s">
        <v>4</v>
      </c>
      <c r="J1" s="114" t="s">
        <v>1975</v>
      </c>
      <c r="K1" s="114" t="s">
        <v>3</v>
      </c>
      <c r="L1" s="114" t="s">
        <v>1</v>
      </c>
      <c r="M1" s="114" t="s">
        <v>510</v>
      </c>
      <c r="N1" s="115" t="s">
        <v>2056</v>
      </c>
      <c r="O1" s="115" t="s">
        <v>2057</v>
      </c>
      <c r="P1" s="116" t="s">
        <v>2061</v>
      </c>
    </row>
    <row r="2" spans="1:16" ht="29.25">
      <c r="A2" s="24">
        <v>1</v>
      </c>
      <c r="B2" s="1">
        <v>7</v>
      </c>
      <c r="C2" s="1" t="s">
        <v>512</v>
      </c>
      <c r="D2" s="1" t="s">
        <v>512</v>
      </c>
      <c r="E2" s="1" t="s">
        <v>512</v>
      </c>
      <c r="F2" s="72" t="s">
        <v>512</v>
      </c>
      <c r="G2" s="1" t="s">
        <v>512</v>
      </c>
      <c r="H2" s="1" t="s">
        <v>512</v>
      </c>
      <c r="I2" s="1" t="s">
        <v>514</v>
      </c>
      <c r="J2" s="1" t="s">
        <v>514</v>
      </c>
      <c r="K2" s="2" t="s">
        <v>513</v>
      </c>
      <c r="L2" s="2" t="s">
        <v>511</v>
      </c>
      <c r="M2" s="1"/>
      <c r="N2" s="80">
        <v>7</v>
      </c>
      <c r="O2" s="80" t="s">
        <v>2042</v>
      </c>
      <c r="P2" s="109" t="s">
        <v>2042</v>
      </c>
    </row>
    <row r="3" spans="1:16" ht="29.25">
      <c r="A3" s="24">
        <v>2</v>
      </c>
      <c r="B3" s="1">
        <v>4</v>
      </c>
      <c r="C3" s="1" t="s">
        <v>516</v>
      </c>
      <c r="D3" s="1" t="s">
        <v>516</v>
      </c>
      <c r="E3" s="1" t="s">
        <v>516</v>
      </c>
      <c r="F3" s="72" t="s">
        <v>519</v>
      </c>
      <c r="G3" s="1" t="s">
        <v>519</v>
      </c>
      <c r="H3" s="1" t="s">
        <v>516</v>
      </c>
      <c r="I3" s="1" t="s">
        <v>518</v>
      </c>
      <c r="J3" s="1" t="s">
        <v>518</v>
      </c>
      <c r="K3" s="2" t="s">
        <v>517</v>
      </c>
      <c r="L3" s="2" t="s">
        <v>515</v>
      </c>
      <c r="M3" s="1"/>
      <c r="N3" s="81">
        <v>4</v>
      </c>
      <c r="O3" s="81" t="s">
        <v>2036</v>
      </c>
      <c r="P3" s="110" t="s">
        <v>2036</v>
      </c>
    </row>
    <row r="4" spans="1:16" ht="29.25">
      <c r="A4" s="24">
        <v>3</v>
      </c>
      <c r="B4" s="1">
        <v>12</v>
      </c>
      <c r="C4" s="1" t="s">
        <v>521</v>
      </c>
      <c r="D4" s="1" t="s">
        <v>521</v>
      </c>
      <c r="E4" s="1" t="s">
        <v>521</v>
      </c>
      <c r="F4" s="72" t="s">
        <v>524</v>
      </c>
      <c r="G4" s="1" t="s">
        <v>524</v>
      </c>
      <c r="H4" s="1" t="s">
        <v>521</v>
      </c>
      <c r="I4" s="1" t="s">
        <v>523</v>
      </c>
      <c r="J4" s="1" t="s">
        <v>523</v>
      </c>
      <c r="K4" s="2" t="s">
        <v>522</v>
      </c>
      <c r="L4" s="2" t="s">
        <v>520</v>
      </c>
      <c r="M4" s="1"/>
      <c r="N4" s="82">
        <v>12</v>
      </c>
      <c r="O4" s="82" t="s">
        <v>2043</v>
      </c>
      <c r="P4" s="111" t="s">
        <v>2043</v>
      </c>
    </row>
    <row r="5" spans="1:16" ht="29.25">
      <c r="A5" s="24">
        <v>4</v>
      </c>
      <c r="B5" s="1">
        <v>13</v>
      </c>
      <c r="C5" s="1" t="s">
        <v>526</v>
      </c>
      <c r="D5" s="1" t="s">
        <v>529</v>
      </c>
      <c r="E5" s="1" t="s">
        <v>529</v>
      </c>
      <c r="F5" s="72" t="s">
        <v>521</v>
      </c>
      <c r="G5" s="1" t="s">
        <v>521</v>
      </c>
      <c r="H5" s="1" t="s">
        <v>529</v>
      </c>
      <c r="I5" s="1" t="s">
        <v>528</v>
      </c>
      <c r="J5" s="1" t="s">
        <v>528</v>
      </c>
      <c r="K5" s="2" t="s">
        <v>527</v>
      </c>
      <c r="L5" s="2" t="s">
        <v>525</v>
      </c>
      <c r="M5" s="1"/>
      <c r="N5" s="82">
        <v>13</v>
      </c>
      <c r="O5" s="82" t="s">
        <v>2044</v>
      </c>
      <c r="P5" s="111" t="s">
        <v>2044</v>
      </c>
    </row>
    <row r="6" spans="1:16" ht="29.25">
      <c r="A6" s="24">
        <v>5</v>
      </c>
      <c r="B6" s="1">
        <v>8</v>
      </c>
      <c r="C6" s="1" t="s">
        <v>531</v>
      </c>
      <c r="D6" s="1" t="s">
        <v>531</v>
      </c>
      <c r="E6" s="1" t="s">
        <v>531</v>
      </c>
      <c r="F6" s="72" t="s">
        <v>534</v>
      </c>
      <c r="G6" s="1" t="s">
        <v>534</v>
      </c>
      <c r="H6" s="1" t="s">
        <v>531</v>
      </c>
      <c r="I6" s="1" t="s">
        <v>533</v>
      </c>
      <c r="J6" s="1" t="s">
        <v>533</v>
      </c>
      <c r="K6" s="2" t="s">
        <v>532</v>
      </c>
      <c r="L6" s="2" t="s">
        <v>530</v>
      </c>
      <c r="M6" s="1"/>
      <c r="N6" s="83">
        <v>8</v>
      </c>
      <c r="O6" s="83" t="s">
        <v>2039</v>
      </c>
      <c r="P6" s="112" t="s">
        <v>2039</v>
      </c>
    </row>
    <row r="7" spans="1:16" ht="29.25">
      <c r="A7" s="24">
        <v>6</v>
      </c>
      <c r="B7" s="1">
        <v>5</v>
      </c>
      <c r="C7" s="1" t="s">
        <v>536</v>
      </c>
      <c r="D7" s="1" t="s">
        <v>539</v>
      </c>
      <c r="E7" s="1" t="s">
        <v>539</v>
      </c>
      <c r="F7" s="72" t="s">
        <v>516</v>
      </c>
      <c r="G7" s="1" t="s">
        <v>516</v>
      </c>
      <c r="H7" s="1" t="s">
        <v>539</v>
      </c>
      <c r="I7" s="1" t="s">
        <v>538</v>
      </c>
      <c r="J7" s="1" t="s">
        <v>538</v>
      </c>
      <c r="K7" s="2" t="s">
        <v>537</v>
      </c>
      <c r="L7" s="2" t="s">
        <v>535</v>
      </c>
      <c r="M7" s="1"/>
      <c r="N7" s="81">
        <v>5</v>
      </c>
      <c r="O7" s="81" t="s">
        <v>2037</v>
      </c>
      <c r="P7" s="110" t="s">
        <v>2037</v>
      </c>
    </row>
    <row r="8" spans="1:16" ht="29.25">
      <c r="A8" s="24">
        <v>7</v>
      </c>
      <c r="B8" s="1">
        <v>9</v>
      </c>
      <c r="C8" s="1" t="s">
        <v>541</v>
      </c>
      <c r="D8" s="1" t="s">
        <v>544</v>
      </c>
      <c r="E8" s="1" t="s">
        <v>544</v>
      </c>
      <c r="F8" s="72" t="s">
        <v>531</v>
      </c>
      <c r="G8" s="1" t="s">
        <v>531</v>
      </c>
      <c r="H8" s="1" t="s">
        <v>544</v>
      </c>
      <c r="I8" s="1" t="s">
        <v>543</v>
      </c>
      <c r="J8" s="1" t="s">
        <v>543</v>
      </c>
      <c r="K8" s="2" t="s">
        <v>542</v>
      </c>
      <c r="L8" s="2" t="s">
        <v>540</v>
      </c>
      <c r="M8" s="1"/>
      <c r="N8" s="82">
        <v>9</v>
      </c>
      <c r="O8" s="82" t="s">
        <v>2040</v>
      </c>
      <c r="P8" s="111" t="s">
        <v>2040</v>
      </c>
    </row>
    <row r="9" spans="1:16" ht="29.25">
      <c r="A9" s="24">
        <v>8</v>
      </c>
      <c r="B9" s="1">
        <v>15</v>
      </c>
      <c r="C9" s="1" t="s">
        <v>546</v>
      </c>
      <c r="D9" s="1" t="s">
        <v>550</v>
      </c>
      <c r="E9" s="1" t="s">
        <v>549</v>
      </c>
      <c r="F9" s="72" t="s">
        <v>549</v>
      </c>
      <c r="G9" s="1" t="s">
        <v>549</v>
      </c>
      <c r="H9" s="1" t="s">
        <v>551</v>
      </c>
      <c r="I9" s="1" t="s">
        <v>548</v>
      </c>
      <c r="J9" s="1" t="s">
        <v>548</v>
      </c>
      <c r="K9" s="2" t="s">
        <v>547</v>
      </c>
      <c r="L9" s="2" t="s">
        <v>545</v>
      </c>
      <c r="M9" s="1"/>
      <c r="N9" s="82">
        <v>15</v>
      </c>
      <c r="O9" s="82" t="s">
        <v>2047</v>
      </c>
      <c r="P9" s="111" t="s">
        <v>2047</v>
      </c>
    </row>
    <row r="10" spans="1:16" ht="29.25">
      <c r="A10" s="24">
        <v>9</v>
      </c>
      <c r="B10" s="1">
        <v>14</v>
      </c>
      <c r="C10" s="1" t="s">
        <v>553</v>
      </c>
      <c r="D10" s="1" t="s">
        <v>556</v>
      </c>
      <c r="E10" s="1" t="s">
        <v>556</v>
      </c>
      <c r="F10" s="72" t="s">
        <v>557</v>
      </c>
      <c r="G10" s="1" t="s">
        <v>557</v>
      </c>
      <c r="H10" s="1" t="s">
        <v>556</v>
      </c>
      <c r="I10" s="1" t="s">
        <v>555</v>
      </c>
      <c r="J10" s="1" t="s">
        <v>1976</v>
      </c>
      <c r="K10" s="5" t="s">
        <v>554</v>
      </c>
      <c r="L10" s="4" t="s">
        <v>552</v>
      </c>
      <c r="M10" s="1"/>
      <c r="N10" s="83">
        <v>14</v>
      </c>
      <c r="O10" s="83" t="s">
        <v>2050</v>
      </c>
      <c r="P10" s="112" t="s">
        <v>2050</v>
      </c>
    </row>
    <row r="11" spans="1:16" ht="29.25">
      <c r="A11" s="24">
        <v>10</v>
      </c>
      <c r="B11" s="1">
        <v>17</v>
      </c>
      <c r="C11" s="1" t="s">
        <v>559</v>
      </c>
      <c r="D11" s="1" t="s">
        <v>559</v>
      </c>
      <c r="E11" s="1" t="s">
        <v>559</v>
      </c>
      <c r="F11" s="72" t="s">
        <v>559</v>
      </c>
      <c r="G11" s="1" t="s">
        <v>559</v>
      </c>
      <c r="H11" s="1" t="s">
        <v>559</v>
      </c>
      <c r="I11" s="1" t="s">
        <v>618</v>
      </c>
      <c r="J11" s="1" t="s">
        <v>1977</v>
      </c>
      <c r="K11" s="5" t="s">
        <v>560</v>
      </c>
      <c r="L11" s="2" t="s">
        <v>558</v>
      </c>
      <c r="M11" s="1"/>
      <c r="N11" s="81">
        <v>17</v>
      </c>
      <c r="O11" s="81" t="s">
        <v>2049</v>
      </c>
      <c r="P11" s="110" t="s">
        <v>2049</v>
      </c>
    </row>
    <row r="12" spans="1:16" ht="29.25">
      <c r="A12" s="24">
        <v>11</v>
      </c>
      <c r="B12" s="1">
        <v>1</v>
      </c>
      <c r="C12" s="1"/>
      <c r="D12" s="1"/>
      <c r="E12" s="1"/>
      <c r="F12" s="72"/>
      <c r="G12" s="1"/>
      <c r="H12" s="1"/>
      <c r="I12" s="1"/>
      <c r="J12" s="1"/>
      <c r="K12" s="7" t="s">
        <v>562</v>
      </c>
      <c r="L12" s="2" t="s">
        <v>561</v>
      </c>
      <c r="M12" s="1" t="s">
        <v>2345</v>
      </c>
      <c r="N12" s="82">
        <v>1</v>
      </c>
      <c r="O12" s="82" t="s">
        <v>563</v>
      </c>
      <c r="P12" s="111" t="s">
        <v>563</v>
      </c>
    </row>
    <row r="13" spans="1:16" ht="29.25">
      <c r="A13" s="24">
        <v>12</v>
      </c>
      <c r="B13" s="1">
        <v>3</v>
      </c>
      <c r="C13" s="1" t="s">
        <v>519</v>
      </c>
      <c r="D13" s="1" t="s">
        <v>519</v>
      </c>
      <c r="E13" s="1" t="s">
        <v>519</v>
      </c>
      <c r="F13" s="72" t="s">
        <v>567</v>
      </c>
      <c r="G13" s="1" t="s">
        <v>567</v>
      </c>
      <c r="H13" s="1" t="s">
        <v>519</v>
      </c>
      <c r="I13" s="1" t="s">
        <v>566</v>
      </c>
      <c r="J13" s="1" t="s">
        <v>1978</v>
      </c>
      <c r="K13" s="3" t="s">
        <v>565</v>
      </c>
      <c r="L13" s="2" t="s">
        <v>564</v>
      </c>
      <c r="M13" s="1"/>
      <c r="N13" s="82">
        <v>3</v>
      </c>
      <c r="O13" s="82" t="s">
        <v>2038</v>
      </c>
      <c r="P13" s="111" t="s">
        <v>2038</v>
      </c>
    </row>
    <row r="14" spans="1:16" ht="29.25">
      <c r="A14" s="24">
        <v>13</v>
      </c>
      <c r="B14" s="1">
        <v>11</v>
      </c>
      <c r="C14" s="1" t="s">
        <v>569</v>
      </c>
      <c r="D14" s="1" t="s">
        <v>524</v>
      </c>
      <c r="E14" s="1" t="s">
        <v>524</v>
      </c>
      <c r="F14" s="72" t="s">
        <v>572</v>
      </c>
      <c r="G14" s="1" t="s">
        <v>572</v>
      </c>
      <c r="H14" s="1" t="s">
        <v>524</v>
      </c>
      <c r="I14" s="1" t="s">
        <v>571</v>
      </c>
      <c r="J14" s="1" t="s">
        <v>593</v>
      </c>
      <c r="K14" s="2" t="s">
        <v>570</v>
      </c>
      <c r="L14" s="2" t="s">
        <v>568</v>
      </c>
      <c r="M14" s="1"/>
      <c r="N14" s="83">
        <v>11</v>
      </c>
      <c r="O14" s="83" t="s">
        <v>2045</v>
      </c>
      <c r="P14" s="112" t="s">
        <v>2045</v>
      </c>
    </row>
    <row r="15" spans="1:16" ht="29.25">
      <c r="A15" s="24">
        <v>14</v>
      </c>
      <c r="B15" s="1">
        <v>16</v>
      </c>
      <c r="C15" s="1" t="s">
        <v>574</v>
      </c>
      <c r="D15" s="1" t="s">
        <v>577</v>
      </c>
      <c r="E15" s="1" t="s">
        <v>576</v>
      </c>
      <c r="F15" s="72" t="s">
        <v>576</v>
      </c>
      <c r="G15" s="1" t="s">
        <v>576</v>
      </c>
      <c r="H15" s="1" t="s">
        <v>578</v>
      </c>
      <c r="I15" s="1" t="s">
        <v>620</v>
      </c>
      <c r="J15" s="1" t="s">
        <v>1979</v>
      </c>
      <c r="K15" s="2" t="s">
        <v>575</v>
      </c>
      <c r="L15" s="2" t="s">
        <v>573</v>
      </c>
      <c r="M15" s="1"/>
      <c r="N15" s="81">
        <v>16</v>
      </c>
      <c r="O15" s="81" t="s">
        <v>2048</v>
      </c>
      <c r="P15" s="110" t="s">
        <v>2048</v>
      </c>
    </row>
    <row r="16" spans="1:16" ht="29.25">
      <c r="A16" s="24">
        <v>15</v>
      </c>
      <c r="B16" s="1">
        <v>22</v>
      </c>
      <c r="C16" s="1" t="s">
        <v>580</v>
      </c>
      <c r="D16" s="1" t="s">
        <v>580</v>
      </c>
      <c r="E16" s="1" t="s">
        <v>580</v>
      </c>
      <c r="F16" s="72" t="s">
        <v>580</v>
      </c>
      <c r="G16" s="1" t="s">
        <v>580</v>
      </c>
      <c r="H16" s="1" t="s">
        <v>580</v>
      </c>
      <c r="I16" s="1" t="s">
        <v>581</v>
      </c>
      <c r="J16" s="1" t="s">
        <v>581</v>
      </c>
      <c r="K16" s="2" t="s">
        <v>579</v>
      </c>
      <c r="L16" s="2" t="s">
        <v>579</v>
      </c>
      <c r="M16" s="1"/>
      <c r="N16" s="82">
        <v>22</v>
      </c>
      <c r="O16" s="82" t="s">
        <v>2046</v>
      </c>
      <c r="P16" s="111" t="s">
        <v>2046</v>
      </c>
    </row>
    <row r="17" spans="1:16" ht="29.25">
      <c r="A17" s="24">
        <v>16</v>
      </c>
      <c r="B17" s="1">
        <v>2</v>
      </c>
      <c r="C17" s="1" t="s">
        <v>431</v>
      </c>
      <c r="D17" s="1" t="s">
        <v>431</v>
      </c>
      <c r="E17" s="1" t="s">
        <v>431</v>
      </c>
      <c r="F17" s="72" t="s">
        <v>431</v>
      </c>
      <c r="G17" s="1" t="s">
        <v>584</v>
      </c>
      <c r="H17" s="1" t="s">
        <v>431</v>
      </c>
      <c r="I17" s="1" t="s">
        <v>583</v>
      </c>
      <c r="J17" s="1" t="s">
        <v>583</v>
      </c>
      <c r="K17" s="2" t="s">
        <v>582</v>
      </c>
      <c r="L17" s="2" t="s">
        <v>582</v>
      </c>
      <c r="M17" s="8" t="s">
        <v>585</v>
      </c>
      <c r="N17" s="82">
        <v>2</v>
      </c>
      <c r="O17" s="82" t="s">
        <v>1087</v>
      </c>
      <c r="P17" s="111" t="s">
        <v>2062</v>
      </c>
    </row>
    <row r="18" spans="1:16" ht="29.25">
      <c r="A18" s="24">
        <v>17</v>
      </c>
      <c r="B18" s="1">
        <v>6</v>
      </c>
      <c r="C18" s="1" t="s">
        <v>587</v>
      </c>
      <c r="D18" s="1" t="s">
        <v>587</v>
      </c>
      <c r="E18" s="1" t="s">
        <v>587</v>
      </c>
      <c r="F18" s="72" t="s">
        <v>587</v>
      </c>
      <c r="G18" s="1" t="s">
        <v>589</v>
      </c>
      <c r="H18" s="1" t="s">
        <v>587</v>
      </c>
      <c r="I18" s="1" t="s">
        <v>588</v>
      </c>
      <c r="J18" s="1" t="s">
        <v>588</v>
      </c>
      <c r="K18" s="2" t="s">
        <v>586</v>
      </c>
      <c r="L18" s="2" t="s">
        <v>586</v>
      </c>
      <c r="M18" s="11" t="s">
        <v>590</v>
      </c>
      <c r="N18" s="83">
        <v>6</v>
      </c>
      <c r="O18" s="83" t="s">
        <v>1086</v>
      </c>
      <c r="P18" s="112" t="s">
        <v>2041</v>
      </c>
    </row>
    <row r="19" spans="1:16" ht="29.25">
      <c r="A19" s="24">
        <v>18</v>
      </c>
      <c r="B19" s="1">
        <v>10</v>
      </c>
      <c r="C19" s="1" t="s">
        <v>592</v>
      </c>
      <c r="D19" s="1" t="s">
        <v>407</v>
      </c>
      <c r="E19" s="1" t="s">
        <v>407</v>
      </c>
      <c r="F19" s="72" t="s">
        <v>407</v>
      </c>
      <c r="G19" s="1" t="s">
        <v>594</v>
      </c>
      <c r="H19" s="1" t="s">
        <v>407</v>
      </c>
      <c r="I19" s="1" t="s">
        <v>593</v>
      </c>
      <c r="J19" s="1" t="s">
        <v>1980</v>
      </c>
      <c r="K19" s="2" t="s">
        <v>591</v>
      </c>
      <c r="L19" s="2" t="s">
        <v>591</v>
      </c>
      <c r="M19" s="11" t="s">
        <v>595</v>
      </c>
      <c r="N19" s="81">
        <v>10</v>
      </c>
      <c r="O19" s="81" t="s">
        <v>2055</v>
      </c>
      <c r="P19" s="110" t="s">
        <v>2063</v>
      </c>
    </row>
    <row r="20" spans="1:16" ht="29.25">
      <c r="A20" s="108">
        <v>19</v>
      </c>
      <c r="B20" s="9">
        <v>18</v>
      </c>
      <c r="C20" s="8" t="s">
        <v>596</v>
      </c>
      <c r="D20" s="9" t="s">
        <v>598</v>
      </c>
      <c r="E20" s="9" t="s">
        <v>598</v>
      </c>
      <c r="F20" s="79" t="s">
        <v>2229</v>
      </c>
      <c r="G20" s="9" t="s">
        <v>599</v>
      </c>
      <c r="H20" s="9" t="s">
        <v>598</v>
      </c>
      <c r="I20" s="8" t="s">
        <v>597</v>
      </c>
      <c r="J20" s="8" t="s">
        <v>1976</v>
      </c>
      <c r="K20" s="10" t="s">
        <v>554</v>
      </c>
      <c r="L20" s="10" t="s">
        <v>552</v>
      </c>
      <c r="M20" s="11" t="s">
        <v>616</v>
      </c>
      <c r="N20" s="82">
        <v>18</v>
      </c>
      <c r="O20" s="82" t="s">
        <v>2051</v>
      </c>
      <c r="P20" s="111" t="s">
        <v>2064</v>
      </c>
    </row>
    <row r="21" spans="1:16" ht="29.25">
      <c r="A21" s="108">
        <v>20</v>
      </c>
      <c r="B21" s="9">
        <v>19</v>
      </c>
      <c r="C21" s="11" t="s">
        <v>601</v>
      </c>
      <c r="D21" s="9" t="s">
        <v>604</v>
      </c>
      <c r="E21" s="9" t="s">
        <v>603</v>
      </c>
      <c r="F21" s="79" t="s">
        <v>2230</v>
      </c>
      <c r="G21" s="9" t="s">
        <v>603</v>
      </c>
      <c r="H21" s="9" t="s">
        <v>605</v>
      </c>
      <c r="I21" s="11" t="s">
        <v>2058</v>
      </c>
      <c r="J21" s="11" t="s">
        <v>602</v>
      </c>
      <c r="K21" s="10" t="s">
        <v>547</v>
      </c>
      <c r="L21" s="10" t="s">
        <v>600</v>
      </c>
      <c r="M21" s="11" t="s">
        <v>617</v>
      </c>
      <c r="N21" s="82">
        <v>19</v>
      </c>
      <c r="O21" s="82" t="s">
        <v>2052</v>
      </c>
      <c r="P21" s="111" t="s">
        <v>2065</v>
      </c>
    </row>
    <row r="22" spans="1:16" ht="29.25">
      <c r="A22" s="108">
        <v>21</v>
      </c>
      <c r="B22" s="9">
        <v>20</v>
      </c>
      <c r="C22" s="11" t="s">
        <v>607</v>
      </c>
      <c r="D22" s="9" t="s">
        <v>610</v>
      </c>
      <c r="E22" s="9" t="s">
        <v>609</v>
      </c>
      <c r="F22" s="79" t="s">
        <v>2231</v>
      </c>
      <c r="G22" s="9" t="s">
        <v>609</v>
      </c>
      <c r="H22" s="9" t="s">
        <v>611</v>
      </c>
      <c r="I22" s="11" t="s">
        <v>2059</v>
      </c>
      <c r="J22" s="11" t="s">
        <v>608</v>
      </c>
      <c r="K22" s="10" t="s">
        <v>575</v>
      </c>
      <c r="L22" s="10" t="s">
        <v>606</v>
      </c>
      <c r="M22" s="11" t="s">
        <v>621</v>
      </c>
      <c r="N22" s="83">
        <v>20</v>
      </c>
      <c r="O22" s="83" t="s">
        <v>2053</v>
      </c>
      <c r="P22" s="112" t="s">
        <v>2066</v>
      </c>
    </row>
    <row r="23" spans="1:16" ht="29.25">
      <c r="A23" s="201">
        <v>22</v>
      </c>
      <c r="B23" s="202">
        <v>21</v>
      </c>
      <c r="C23" s="203" t="s">
        <v>613</v>
      </c>
      <c r="D23" s="202" t="s">
        <v>615</v>
      </c>
      <c r="E23" s="202" t="s">
        <v>615</v>
      </c>
      <c r="F23" s="204" t="s">
        <v>2232</v>
      </c>
      <c r="G23" s="202" t="s">
        <v>615</v>
      </c>
      <c r="H23" s="202" t="s">
        <v>615</v>
      </c>
      <c r="I23" s="203" t="s">
        <v>2060</v>
      </c>
      <c r="J23" s="203" t="s">
        <v>614</v>
      </c>
      <c r="K23" s="205" t="s">
        <v>560</v>
      </c>
      <c r="L23" s="205" t="s">
        <v>612</v>
      </c>
      <c r="M23" s="203" t="s">
        <v>619</v>
      </c>
      <c r="N23" s="82">
        <v>21</v>
      </c>
      <c r="O23" s="82" t="s">
        <v>2054</v>
      </c>
      <c r="P23" s="111" t="s">
        <v>2067</v>
      </c>
    </row>
  </sheetData>
  <sortState xmlns:xlrd2="http://schemas.microsoft.com/office/spreadsheetml/2017/richdata2" ref="A2:P23">
    <sortCondition ref="N12:N23"/>
  </sortState>
  <phoneticPr fontId="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778E-3F66-46D9-B423-955D2D341BDC}">
  <dimension ref="A1:P23"/>
  <sheetViews>
    <sheetView tabSelected="1" workbookViewId="0">
      <selection activeCell="P7" sqref="P7"/>
    </sheetView>
  </sheetViews>
  <sheetFormatPr defaultRowHeight="25.5"/>
  <cols>
    <col min="1" max="1" width="7.33203125" customWidth="1"/>
    <col min="4" max="4" width="9.1640625" customWidth="1"/>
    <col min="5" max="5" width="23.08203125" bestFit="1" customWidth="1"/>
    <col min="8" max="8" width="6.4140625" customWidth="1"/>
    <col min="9" max="12" width="9.1640625" customWidth="1"/>
    <col min="14" max="15" width="9.1640625" customWidth="1"/>
    <col min="16" max="16" width="23.08203125" bestFit="1" customWidth="1"/>
  </cols>
  <sheetData>
    <row r="1" spans="1:16">
      <c r="A1" s="113" t="s">
        <v>508</v>
      </c>
      <c r="B1" s="114" t="s">
        <v>3</v>
      </c>
      <c r="C1" s="114" t="s">
        <v>1</v>
      </c>
      <c r="D1" s="114" t="s">
        <v>2</v>
      </c>
      <c r="E1" s="114" t="s">
        <v>510</v>
      </c>
      <c r="H1" s="114" t="s">
        <v>2423</v>
      </c>
      <c r="I1" s="114" t="s">
        <v>4</v>
      </c>
      <c r="J1" s="114" t="s">
        <v>1975</v>
      </c>
      <c r="K1" s="114" t="s">
        <v>6</v>
      </c>
      <c r="L1" s="114" t="s">
        <v>5</v>
      </c>
      <c r="M1" s="114" t="s">
        <v>7</v>
      </c>
      <c r="N1" s="114" t="s">
        <v>9</v>
      </c>
      <c r="O1" s="114" t="s">
        <v>8</v>
      </c>
      <c r="P1" s="114" t="s">
        <v>510</v>
      </c>
    </row>
    <row r="2" spans="1:16" ht="39">
      <c r="A2" s="24">
        <v>1</v>
      </c>
      <c r="B2" s="2" t="s">
        <v>513</v>
      </c>
      <c r="C2" s="2" t="s">
        <v>511</v>
      </c>
      <c r="D2" s="1" t="s">
        <v>512</v>
      </c>
      <c r="E2" s="1"/>
      <c r="H2" s="1">
        <v>1</v>
      </c>
      <c r="I2" s="211" t="s">
        <v>518</v>
      </c>
      <c r="J2" s="211" t="s">
        <v>518</v>
      </c>
      <c r="K2" s="1" t="s">
        <v>516</v>
      </c>
      <c r="L2" s="1" t="s">
        <v>516</v>
      </c>
      <c r="M2" s="1" t="s">
        <v>516</v>
      </c>
      <c r="N2" s="72" t="s">
        <v>519</v>
      </c>
      <c r="O2" s="1" t="s">
        <v>519</v>
      </c>
      <c r="P2" s="1"/>
    </row>
    <row r="3" spans="1:16" ht="39">
      <c r="A3" s="24">
        <v>2</v>
      </c>
      <c r="B3" s="2" t="s">
        <v>586</v>
      </c>
      <c r="C3" s="2" t="s">
        <v>586</v>
      </c>
      <c r="D3" s="1" t="s">
        <v>587</v>
      </c>
      <c r="E3" s="11" t="s">
        <v>590</v>
      </c>
      <c r="H3" s="1">
        <v>2</v>
      </c>
      <c r="I3" s="211" t="s">
        <v>538</v>
      </c>
      <c r="J3" s="211" t="s">
        <v>538</v>
      </c>
      <c r="K3" s="1" t="s">
        <v>539</v>
      </c>
      <c r="L3" s="1" t="s">
        <v>539</v>
      </c>
      <c r="M3" s="1" t="s">
        <v>539</v>
      </c>
      <c r="N3" s="72" t="s">
        <v>516</v>
      </c>
      <c r="O3" s="1" t="s">
        <v>516</v>
      </c>
      <c r="P3" s="1"/>
    </row>
    <row r="4" spans="1:16" ht="39">
      <c r="A4" s="24">
        <v>3</v>
      </c>
      <c r="B4" s="2" t="s">
        <v>517</v>
      </c>
      <c r="C4" s="2" t="s">
        <v>515</v>
      </c>
      <c r="D4" s="1" t="s">
        <v>516</v>
      </c>
      <c r="E4" s="1"/>
      <c r="H4" s="1">
        <v>3</v>
      </c>
      <c r="I4" s="211" t="s">
        <v>583</v>
      </c>
      <c r="J4" s="211" t="s">
        <v>583</v>
      </c>
      <c r="K4" s="1" t="s">
        <v>431</v>
      </c>
      <c r="L4" s="1" t="s">
        <v>431</v>
      </c>
      <c r="M4" s="1" t="s">
        <v>431</v>
      </c>
      <c r="N4" s="72" t="s">
        <v>431</v>
      </c>
      <c r="O4" s="1" t="s">
        <v>584</v>
      </c>
      <c r="P4" s="8"/>
    </row>
    <row r="5" spans="1:16" ht="39">
      <c r="A5" s="24">
        <v>4</v>
      </c>
      <c r="B5" s="2" t="s">
        <v>522</v>
      </c>
      <c r="C5" s="2" t="s">
        <v>520</v>
      </c>
      <c r="D5" s="1" t="s">
        <v>521</v>
      </c>
      <c r="E5" s="1"/>
      <c r="H5" s="1">
        <v>4</v>
      </c>
      <c r="I5" s="211" t="s">
        <v>566</v>
      </c>
      <c r="J5" s="215" t="s">
        <v>1978</v>
      </c>
      <c r="K5" s="1" t="s">
        <v>519</v>
      </c>
      <c r="L5" s="1" t="s">
        <v>519</v>
      </c>
      <c r="M5" s="1" t="s">
        <v>519</v>
      </c>
      <c r="N5" s="72" t="s">
        <v>567</v>
      </c>
      <c r="O5" s="1" t="s">
        <v>567</v>
      </c>
      <c r="P5" s="1"/>
    </row>
    <row r="6" spans="1:16" ht="39">
      <c r="A6" s="24">
        <v>5</v>
      </c>
      <c r="B6" s="2" t="s">
        <v>527</v>
      </c>
      <c r="C6" s="2" t="s">
        <v>525</v>
      </c>
      <c r="D6" s="1" t="s">
        <v>526</v>
      </c>
      <c r="E6" s="1"/>
      <c r="H6" s="1">
        <v>5</v>
      </c>
      <c r="I6" s="211" t="s">
        <v>533</v>
      </c>
      <c r="J6" s="211" t="s">
        <v>533</v>
      </c>
      <c r="K6" s="1" t="s">
        <v>531</v>
      </c>
      <c r="L6" s="1" t="s">
        <v>531</v>
      </c>
      <c r="M6" s="1" t="s">
        <v>531</v>
      </c>
      <c r="N6" s="72" t="s">
        <v>534</v>
      </c>
      <c r="O6" s="1" t="s">
        <v>534</v>
      </c>
      <c r="P6" s="1"/>
    </row>
    <row r="7" spans="1:16" ht="39">
      <c r="A7" s="24">
        <v>6</v>
      </c>
      <c r="B7" s="2" t="s">
        <v>532</v>
      </c>
      <c r="C7" s="2" t="s">
        <v>530</v>
      </c>
      <c r="D7" s="1" t="s">
        <v>531</v>
      </c>
      <c r="E7" s="1"/>
      <c r="H7" s="1">
        <v>6</v>
      </c>
      <c r="I7" s="211" t="s">
        <v>543</v>
      </c>
      <c r="J7" s="211" t="s">
        <v>543</v>
      </c>
      <c r="K7" s="1" t="s">
        <v>544</v>
      </c>
      <c r="L7" s="1" t="s">
        <v>544</v>
      </c>
      <c r="M7" s="1" t="s">
        <v>544</v>
      </c>
      <c r="N7" s="72" t="s">
        <v>531</v>
      </c>
      <c r="O7" s="1" t="s">
        <v>531</v>
      </c>
      <c r="P7" s="1"/>
    </row>
    <row r="8" spans="1:16" ht="39">
      <c r="A8" s="24">
        <v>7</v>
      </c>
      <c r="B8" s="2" t="s">
        <v>537</v>
      </c>
      <c r="C8" s="2" t="s">
        <v>535</v>
      </c>
      <c r="D8" s="1" t="s">
        <v>536</v>
      </c>
      <c r="E8" s="1"/>
      <c r="H8" s="1">
        <v>7</v>
      </c>
      <c r="I8" s="211" t="s">
        <v>588</v>
      </c>
      <c r="J8" s="211" t="s">
        <v>588</v>
      </c>
      <c r="K8" s="1" t="s">
        <v>587</v>
      </c>
      <c r="L8" s="1" t="s">
        <v>587</v>
      </c>
      <c r="M8" s="1" t="s">
        <v>587</v>
      </c>
      <c r="N8" s="72" t="s">
        <v>587</v>
      </c>
      <c r="O8" s="1" t="s">
        <v>589</v>
      </c>
      <c r="P8" s="11"/>
    </row>
    <row r="9" spans="1:16" ht="39">
      <c r="A9" s="24">
        <v>8</v>
      </c>
      <c r="B9" s="2" t="s">
        <v>542</v>
      </c>
      <c r="C9" s="2" t="s">
        <v>540</v>
      </c>
      <c r="D9" s="1" t="s">
        <v>541</v>
      </c>
      <c r="E9" s="1"/>
      <c r="H9" s="1">
        <v>8</v>
      </c>
      <c r="I9" s="211" t="s">
        <v>514</v>
      </c>
      <c r="J9" s="211" t="s">
        <v>514</v>
      </c>
      <c r="K9" s="1" t="s">
        <v>512</v>
      </c>
      <c r="L9" s="1" t="s">
        <v>512</v>
      </c>
      <c r="M9" s="1" t="s">
        <v>512</v>
      </c>
      <c r="N9" s="72" t="s">
        <v>512</v>
      </c>
      <c r="O9" s="1" t="s">
        <v>512</v>
      </c>
      <c r="P9" s="1"/>
    </row>
    <row r="10" spans="1:16" ht="39">
      <c r="A10" s="24">
        <v>9</v>
      </c>
      <c r="B10" s="2" t="s">
        <v>547</v>
      </c>
      <c r="C10" s="2" t="s">
        <v>545</v>
      </c>
      <c r="D10" s="1" t="s">
        <v>546</v>
      </c>
      <c r="E10" s="1"/>
      <c r="H10" s="1">
        <v>9</v>
      </c>
      <c r="I10" s="211" t="s">
        <v>523</v>
      </c>
      <c r="J10" s="211" t="s">
        <v>523</v>
      </c>
      <c r="K10" s="1" t="s">
        <v>521</v>
      </c>
      <c r="L10" s="1" t="s">
        <v>521</v>
      </c>
      <c r="M10" s="1" t="s">
        <v>521</v>
      </c>
      <c r="N10" s="72" t="s">
        <v>524</v>
      </c>
      <c r="O10" s="1" t="s">
        <v>524</v>
      </c>
      <c r="P10" s="1"/>
    </row>
    <row r="11" spans="1:16" ht="39">
      <c r="A11" s="24">
        <v>10</v>
      </c>
      <c r="B11" s="5" t="s">
        <v>554</v>
      </c>
      <c r="C11" s="4" t="s">
        <v>552</v>
      </c>
      <c r="D11" s="1" t="s">
        <v>553</v>
      </c>
      <c r="E11" s="1"/>
      <c r="H11" s="1">
        <v>10</v>
      </c>
      <c r="I11" s="211" t="s">
        <v>528</v>
      </c>
      <c r="J11" s="211" t="s">
        <v>528</v>
      </c>
      <c r="K11" s="1" t="s">
        <v>529</v>
      </c>
      <c r="L11" s="1" t="s">
        <v>529</v>
      </c>
      <c r="M11" s="1" t="s">
        <v>529</v>
      </c>
      <c r="N11" s="72" t="s">
        <v>521</v>
      </c>
      <c r="O11" s="1" t="s">
        <v>521</v>
      </c>
      <c r="P11" s="1"/>
    </row>
    <row r="12" spans="1:16" ht="39">
      <c r="A12" s="24">
        <v>11</v>
      </c>
      <c r="B12" s="5" t="s">
        <v>560</v>
      </c>
      <c r="C12" s="2" t="s">
        <v>558</v>
      </c>
      <c r="D12" s="1" t="s">
        <v>559</v>
      </c>
      <c r="E12" s="1"/>
      <c r="H12" s="1">
        <v>11</v>
      </c>
      <c r="I12" s="211" t="s">
        <v>593</v>
      </c>
      <c r="J12" s="215" t="s">
        <v>1980</v>
      </c>
      <c r="K12" s="1" t="s">
        <v>407</v>
      </c>
      <c r="L12" s="1" t="s">
        <v>407</v>
      </c>
      <c r="M12" s="1" t="s">
        <v>407</v>
      </c>
      <c r="N12" s="72" t="s">
        <v>407</v>
      </c>
      <c r="O12" s="1" t="s">
        <v>594</v>
      </c>
      <c r="P12" s="11"/>
    </row>
    <row r="13" spans="1:16" ht="39">
      <c r="A13" s="24">
        <v>12</v>
      </c>
      <c r="B13" s="7" t="s">
        <v>562</v>
      </c>
      <c r="C13" s="2" t="s">
        <v>561</v>
      </c>
      <c r="D13" s="1"/>
      <c r="E13" s="1" t="s">
        <v>2345</v>
      </c>
      <c r="H13" s="1">
        <v>12</v>
      </c>
      <c r="I13" s="211" t="s">
        <v>571</v>
      </c>
      <c r="J13" s="215" t="s">
        <v>593</v>
      </c>
      <c r="K13" s="1" t="s">
        <v>524</v>
      </c>
      <c r="L13" s="1" t="s">
        <v>524</v>
      </c>
      <c r="M13" s="1" t="s">
        <v>524</v>
      </c>
      <c r="N13" s="72" t="s">
        <v>572</v>
      </c>
      <c r="O13" s="1" t="s">
        <v>572</v>
      </c>
      <c r="P13" s="1"/>
    </row>
    <row r="14" spans="1:16" ht="39">
      <c r="A14" s="24">
        <v>13</v>
      </c>
      <c r="B14" s="3" t="s">
        <v>565</v>
      </c>
      <c r="C14" s="2" t="s">
        <v>564</v>
      </c>
      <c r="D14" s="1" t="s">
        <v>519</v>
      </c>
      <c r="E14" s="1"/>
      <c r="H14" s="1">
        <v>13</v>
      </c>
      <c r="I14" s="211" t="s">
        <v>548</v>
      </c>
      <c r="J14" s="211" t="s">
        <v>548</v>
      </c>
      <c r="K14" s="1" t="s">
        <v>550</v>
      </c>
      <c r="L14" s="1" t="s">
        <v>549</v>
      </c>
      <c r="M14" s="1" t="s">
        <v>551</v>
      </c>
      <c r="N14" s="72" t="s">
        <v>549</v>
      </c>
      <c r="O14" s="1" t="s">
        <v>549</v>
      </c>
      <c r="P14" s="1"/>
    </row>
    <row r="15" spans="1:16" ht="39">
      <c r="A15" s="24">
        <v>14</v>
      </c>
      <c r="B15" s="2" t="s">
        <v>582</v>
      </c>
      <c r="C15" s="2" t="s">
        <v>582</v>
      </c>
      <c r="D15" s="1" t="s">
        <v>431</v>
      </c>
      <c r="E15" s="8" t="s">
        <v>585</v>
      </c>
      <c r="H15" s="1">
        <v>14</v>
      </c>
      <c r="I15" s="211" t="s">
        <v>620</v>
      </c>
      <c r="J15" s="211" t="s">
        <v>1979</v>
      </c>
      <c r="K15" s="1" t="s">
        <v>577</v>
      </c>
      <c r="L15" s="1" t="s">
        <v>576</v>
      </c>
      <c r="M15" s="1" t="s">
        <v>578</v>
      </c>
      <c r="N15" s="72" t="s">
        <v>576</v>
      </c>
      <c r="O15" s="1" t="s">
        <v>576</v>
      </c>
      <c r="P15" s="1"/>
    </row>
    <row r="16" spans="1:16" ht="39">
      <c r="A16" s="24">
        <v>15</v>
      </c>
      <c r="B16" s="2" t="s">
        <v>570</v>
      </c>
      <c r="C16" s="2" t="s">
        <v>568</v>
      </c>
      <c r="D16" s="1" t="s">
        <v>569</v>
      </c>
      <c r="E16" s="1"/>
      <c r="H16" s="1">
        <v>15</v>
      </c>
      <c r="I16" s="211" t="s">
        <v>618</v>
      </c>
      <c r="J16" s="211" t="s">
        <v>1977</v>
      </c>
      <c r="K16" s="1" t="s">
        <v>559</v>
      </c>
      <c r="L16" s="1" t="s">
        <v>559</v>
      </c>
      <c r="M16" s="1" t="s">
        <v>559</v>
      </c>
      <c r="N16" s="72" t="s">
        <v>559</v>
      </c>
      <c r="O16" s="1" t="s">
        <v>559</v>
      </c>
      <c r="P16" s="1"/>
    </row>
    <row r="17" spans="1:16" ht="39">
      <c r="A17" s="24">
        <v>16</v>
      </c>
      <c r="B17" s="2" t="s">
        <v>591</v>
      </c>
      <c r="C17" s="2" t="s">
        <v>591</v>
      </c>
      <c r="D17" s="1" t="s">
        <v>592</v>
      </c>
      <c r="E17" s="11" t="s">
        <v>595</v>
      </c>
      <c r="H17" s="1">
        <v>16</v>
      </c>
      <c r="I17" s="211" t="s">
        <v>555</v>
      </c>
      <c r="J17" s="215" t="s">
        <v>1976</v>
      </c>
      <c r="K17" s="1" t="s">
        <v>556</v>
      </c>
      <c r="L17" s="1" t="s">
        <v>556</v>
      </c>
      <c r="M17" s="1" t="s">
        <v>556</v>
      </c>
      <c r="N17" s="72" t="s">
        <v>557</v>
      </c>
      <c r="O17" s="1" t="s">
        <v>557</v>
      </c>
      <c r="P17" s="1"/>
    </row>
    <row r="18" spans="1:16" ht="39">
      <c r="A18" s="24">
        <v>17</v>
      </c>
      <c r="B18" s="2" t="s">
        <v>575</v>
      </c>
      <c r="C18" s="2" t="s">
        <v>573</v>
      </c>
      <c r="D18" s="1" t="s">
        <v>574</v>
      </c>
      <c r="E18" s="1"/>
      <c r="H18" s="1">
        <v>17</v>
      </c>
      <c r="I18" s="211" t="s">
        <v>581</v>
      </c>
      <c r="J18" s="211" t="s">
        <v>581</v>
      </c>
      <c r="K18" s="1" t="s">
        <v>580</v>
      </c>
      <c r="L18" s="1" t="s">
        <v>580</v>
      </c>
      <c r="M18" s="1" t="s">
        <v>580</v>
      </c>
      <c r="N18" s="72" t="s">
        <v>580</v>
      </c>
      <c r="O18" s="1" t="s">
        <v>580</v>
      </c>
      <c r="P18" s="1"/>
    </row>
    <row r="19" spans="1:16" ht="39">
      <c r="A19" s="24">
        <v>18</v>
      </c>
      <c r="B19" s="2" t="s">
        <v>579</v>
      </c>
      <c r="C19" s="2" t="s">
        <v>579</v>
      </c>
      <c r="D19" s="1" t="s">
        <v>580</v>
      </c>
      <c r="E19" s="1"/>
      <c r="H19" s="1">
        <v>18</v>
      </c>
      <c r="I19" s="219" t="s">
        <v>563</v>
      </c>
      <c r="J19" s="220" t="s">
        <v>563</v>
      </c>
      <c r="K19" s="217" t="s">
        <v>563</v>
      </c>
      <c r="L19" s="217" t="s">
        <v>563</v>
      </c>
      <c r="M19" s="217" t="s">
        <v>563</v>
      </c>
      <c r="N19" s="218" t="s">
        <v>563</v>
      </c>
      <c r="O19" s="217" t="s">
        <v>563</v>
      </c>
      <c r="P19" s="1" t="s">
        <v>2424</v>
      </c>
    </row>
    <row r="20" spans="1:16" ht="39">
      <c r="A20" s="108">
        <v>19</v>
      </c>
      <c r="B20" s="10" t="s">
        <v>554</v>
      </c>
      <c r="C20" s="10" t="s">
        <v>552</v>
      </c>
      <c r="D20" s="8" t="s">
        <v>596</v>
      </c>
      <c r="E20" s="11" t="s">
        <v>616</v>
      </c>
      <c r="H20" s="9">
        <v>19</v>
      </c>
      <c r="I20" s="212" t="s">
        <v>2058</v>
      </c>
      <c r="J20" s="212" t="s">
        <v>602</v>
      </c>
      <c r="K20" s="9" t="s">
        <v>604</v>
      </c>
      <c r="L20" s="9" t="s">
        <v>603</v>
      </c>
      <c r="M20" s="9" t="s">
        <v>605</v>
      </c>
      <c r="N20" s="79" t="s">
        <v>2230</v>
      </c>
      <c r="O20" s="9" t="s">
        <v>603</v>
      </c>
      <c r="P20" s="11" t="s">
        <v>617</v>
      </c>
    </row>
    <row r="21" spans="1:16" ht="39">
      <c r="A21" s="108">
        <v>20</v>
      </c>
      <c r="B21" s="10" t="s">
        <v>547</v>
      </c>
      <c r="C21" s="10" t="s">
        <v>600</v>
      </c>
      <c r="D21" s="11" t="s">
        <v>601</v>
      </c>
      <c r="E21" s="11" t="s">
        <v>617</v>
      </c>
      <c r="H21" s="9">
        <v>20</v>
      </c>
      <c r="I21" s="212" t="s">
        <v>2059</v>
      </c>
      <c r="J21" s="212" t="s">
        <v>608</v>
      </c>
      <c r="K21" s="9" t="s">
        <v>610</v>
      </c>
      <c r="L21" s="9" t="s">
        <v>609</v>
      </c>
      <c r="M21" s="9" t="s">
        <v>611</v>
      </c>
      <c r="N21" s="79" t="s">
        <v>2231</v>
      </c>
      <c r="O21" s="9" t="s">
        <v>609</v>
      </c>
      <c r="P21" s="11" t="s">
        <v>621</v>
      </c>
    </row>
    <row r="22" spans="1:16" ht="39">
      <c r="A22" s="108">
        <v>21</v>
      </c>
      <c r="B22" s="10" t="s">
        <v>575</v>
      </c>
      <c r="C22" s="10" t="s">
        <v>606</v>
      </c>
      <c r="D22" s="11" t="s">
        <v>607</v>
      </c>
      <c r="E22" s="11" t="s">
        <v>621</v>
      </c>
      <c r="H22" s="9">
        <v>21</v>
      </c>
      <c r="I22" s="213" t="s">
        <v>2060</v>
      </c>
      <c r="J22" s="213" t="s">
        <v>614</v>
      </c>
      <c r="K22" s="202" t="s">
        <v>615</v>
      </c>
      <c r="L22" s="202" t="s">
        <v>615</v>
      </c>
      <c r="M22" s="202" t="s">
        <v>615</v>
      </c>
      <c r="N22" s="204" t="s">
        <v>2232</v>
      </c>
      <c r="O22" s="202" t="s">
        <v>615</v>
      </c>
      <c r="P22" s="203" t="s">
        <v>619</v>
      </c>
    </row>
    <row r="23" spans="1:16" ht="39">
      <c r="A23" s="209">
        <v>22</v>
      </c>
      <c r="B23" s="210" t="s">
        <v>560</v>
      </c>
      <c r="C23" s="210" t="s">
        <v>612</v>
      </c>
      <c r="D23" s="208" t="s">
        <v>613</v>
      </c>
      <c r="E23" s="208" t="s">
        <v>619</v>
      </c>
      <c r="H23" s="9">
        <v>22</v>
      </c>
      <c r="I23" s="214" t="s">
        <v>597</v>
      </c>
      <c r="J23" s="216" t="s">
        <v>1976</v>
      </c>
      <c r="K23" s="206" t="s">
        <v>598</v>
      </c>
      <c r="L23" s="206" t="s">
        <v>598</v>
      </c>
      <c r="M23" s="206" t="s">
        <v>598</v>
      </c>
      <c r="N23" s="207" t="s">
        <v>2229</v>
      </c>
      <c r="O23" s="206" t="s">
        <v>599</v>
      </c>
      <c r="P23" s="208" t="s">
        <v>616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FE6F7-1F1E-408C-ABA8-5C2E8953D0A0}">
  <dimension ref="A2:AX101"/>
  <sheetViews>
    <sheetView showGridLines="0" workbookViewId="0">
      <pane ySplit="3" topLeftCell="A85" activePane="bottomLeft" state="frozen"/>
      <selection pane="bottomLeft" activeCell="E94" sqref="E94"/>
    </sheetView>
  </sheetViews>
  <sheetFormatPr defaultRowHeight="26.25" outlineLevelCol="1"/>
  <cols>
    <col min="1" max="1" width="5.83203125" style="15" customWidth="1"/>
    <col min="2" max="4" width="10.25" style="15" customWidth="1"/>
    <col min="5" max="5" width="13.83203125" style="15" customWidth="1" outlineLevel="1"/>
    <col min="6" max="7" width="10.25" style="15" customWidth="1" outlineLevel="1"/>
    <col min="8" max="11" width="10.25" style="15" customWidth="1"/>
    <col min="12" max="12" width="10.25" style="15" customWidth="1" outlineLevel="1"/>
    <col min="13" max="13" width="10.25" style="15" customWidth="1"/>
    <col min="14" max="14" width="5.83203125" style="15" customWidth="1"/>
    <col min="15" max="15" width="4.9140625" style="15" customWidth="1"/>
    <col min="16" max="17" width="10.08203125" style="15" customWidth="1"/>
    <col min="18" max="18" width="1.9140625" style="15" customWidth="1"/>
    <col min="19" max="19" width="9.1640625" style="47" bestFit="1" customWidth="1"/>
    <col min="20" max="20" width="6" style="50" customWidth="1" outlineLevel="1"/>
    <col min="21" max="21" width="6.1640625" style="50" customWidth="1" outlineLevel="1"/>
    <col min="22" max="22" width="11.1640625" style="47" customWidth="1"/>
    <col min="23" max="23" width="3" style="15" customWidth="1"/>
    <col min="24" max="24" width="34.5" style="48" customWidth="1"/>
    <col min="25" max="25" width="8.6640625" style="15"/>
    <col min="26" max="37" width="5" style="55" customWidth="1"/>
    <col min="38" max="43" width="12.9140625" style="59" bestFit="1" customWidth="1"/>
    <col min="44" max="46" width="13.25" style="59" customWidth="1"/>
    <col min="47" max="47" width="13.25" style="15" customWidth="1"/>
    <col min="48" max="16384" width="8.6640625" style="15"/>
  </cols>
  <sheetData>
    <row r="2" spans="1:50" ht="27" thickBot="1"/>
    <row r="3" spans="1:50" ht="54.75" thickBot="1">
      <c r="A3" s="100" t="s">
        <v>702</v>
      </c>
      <c r="B3" s="64" t="s">
        <v>697</v>
      </c>
      <c r="C3" s="64" t="s">
        <v>637</v>
      </c>
      <c r="D3" s="22" t="s">
        <v>629</v>
      </c>
      <c r="E3" s="22" t="s">
        <v>695</v>
      </c>
      <c r="F3" s="22" t="s">
        <v>639</v>
      </c>
      <c r="G3" s="22" t="s">
        <v>692</v>
      </c>
      <c r="H3" s="22" t="s">
        <v>638</v>
      </c>
      <c r="I3" s="22" t="s">
        <v>2197</v>
      </c>
      <c r="J3" s="22" t="s">
        <v>696</v>
      </c>
      <c r="K3" s="22" t="s">
        <v>2228</v>
      </c>
      <c r="L3" s="22" t="s">
        <v>2227</v>
      </c>
      <c r="M3" s="22" t="s">
        <v>1090</v>
      </c>
      <c r="N3" s="22" t="s">
        <v>703</v>
      </c>
      <c r="O3" s="17"/>
      <c r="P3" s="22" t="s">
        <v>637</v>
      </c>
      <c r="Q3" s="22" t="s">
        <v>629</v>
      </c>
      <c r="S3" s="22" t="s">
        <v>637</v>
      </c>
      <c r="T3" s="16" t="s">
        <v>1085</v>
      </c>
      <c r="U3" s="53" t="s">
        <v>1083</v>
      </c>
      <c r="V3" s="22" t="s">
        <v>629</v>
      </c>
      <c r="X3" s="16"/>
      <c r="Z3" s="54"/>
      <c r="AB3" s="57" t="s">
        <v>631</v>
      </c>
      <c r="AC3" s="57" t="s">
        <v>1088</v>
      </c>
      <c r="AD3" s="57"/>
      <c r="AE3" s="57" t="s">
        <v>641</v>
      </c>
      <c r="AF3" s="57" t="s">
        <v>636</v>
      </c>
      <c r="AG3" s="57" t="s">
        <v>630</v>
      </c>
      <c r="AH3" s="57" t="s">
        <v>1089</v>
      </c>
      <c r="AI3" s="57" t="s">
        <v>634</v>
      </c>
      <c r="AJ3" s="57" t="s">
        <v>633</v>
      </c>
      <c r="AK3" s="56"/>
    </row>
    <row r="4" spans="1:50" ht="27.75" thickBot="1">
      <c r="A4" s="101">
        <f xml:space="preserve"> ROW() - 3</f>
        <v>1</v>
      </c>
      <c r="B4" s="63" t="s">
        <v>2122</v>
      </c>
      <c r="C4" s="65" t="s">
        <v>316</v>
      </c>
      <c r="D4" s="21" t="s">
        <v>316</v>
      </c>
      <c r="E4" s="21" t="s">
        <v>316</v>
      </c>
      <c r="F4" s="21" t="s">
        <v>316</v>
      </c>
      <c r="G4" s="23" t="s">
        <v>316</v>
      </c>
      <c r="H4" s="21" t="s">
        <v>318</v>
      </c>
      <c r="I4" s="21" t="s">
        <v>318</v>
      </c>
      <c r="J4" s="18" t="str">
        <f xml:space="preserve"> LEFT(韻母對照表[[#This Row],[十五音識別碼]],1)</f>
        <v>膠</v>
      </c>
      <c r="K4" s="19" t="s">
        <v>315</v>
      </c>
      <c r="L4" s="18" t="s">
        <v>319</v>
      </c>
      <c r="N4" s="18">
        <f t="shared" ref="N4:N52" si="0" xml:space="preserve"> LEN(D4)</f>
        <v>1</v>
      </c>
      <c r="O4" s="26"/>
      <c r="P4" s="21" t="str">
        <f t="shared" ref="P4:P14" si="1">C4</f>
        <v>a</v>
      </c>
      <c r="Q4" s="21" t="str">
        <f t="shared" ref="Q4:Q14" si="2">D4</f>
        <v>a</v>
      </c>
      <c r="S4" s="47" t="str">
        <f t="shared" ref="S4:S13" si="3" xml:space="preserve"> _xlfn.CONCAT(P4, "(\d)")</f>
        <v>a(\d)</v>
      </c>
      <c r="T4" s="50" t="s">
        <v>1028</v>
      </c>
      <c r="U4" s="50">
        <f t="shared" ref="U4:U13" si="4" xml:space="preserve"> IFERROR( IF(T4="", "", SEARCH(T4, $P4)), "")</f>
        <v>1</v>
      </c>
      <c r="V4" s="47" t="str">
        <f t="shared" ref="V4:V13" si="5" xml:space="preserve"> IFERROR( _xlfn.CONCAT(LEFT(P4,U4-1), "》", MID(P4,U4,1), "${1}", RIGHT(P4, LEN(P4)-U4)), "" )</f>
        <v>》a${1}</v>
      </c>
      <c r="W4" s="19"/>
      <c r="X4" s="20" t="str">
        <f t="shared" ref="X4:X13" si="6" xml:space="preserve"> IF(AND(Q4&lt;&gt;"", P4&lt;&gt;""), "    - xform/》" &amp; S4 &amp;  "/"  &amp; V4 &amp;  "/", "")</f>
        <v xml:space="preserve">    - xform/》a(\d)/》a${1}/</v>
      </c>
      <c r="Z4" s="55" t="s">
        <v>1028</v>
      </c>
      <c r="AA4" s="58" t="str">
        <f xml:space="preserve"> _xlfn.CONCAT($Z4, IF(AA$3="", "", _xlfn.UNICHAR( HEX2DEC( RIGHT(AA$3,4)))))</f>
        <v>a</v>
      </c>
      <c r="AB4" s="58" t="str">
        <f t="shared" ref="AB4:AJ4" si="7" xml:space="preserve"> _xlfn.CONCAT($Z4, IF(AB$3="", "", _xlfn.UNICHAR( HEX2DEC( RIGHT(AB$3,4)))))</f>
        <v>á</v>
      </c>
      <c r="AC4" s="58" t="str">
        <f t="shared" si="7"/>
        <v>à</v>
      </c>
      <c r="AD4" s="58" t="str">
        <f t="shared" si="7"/>
        <v>a</v>
      </c>
      <c r="AE4" s="58" t="str">
        <f t="shared" si="7"/>
        <v>ǎ</v>
      </c>
      <c r="AF4" s="58" t="str">
        <f t="shared" si="7"/>
        <v>á</v>
      </c>
      <c r="AG4" s="58" t="str">
        <f t="shared" si="7"/>
        <v>ā</v>
      </c>
      <c r="AH4" s="58" t="str">
        <f t="shared" si="7"/>
        <v>a̍</v>
      </c>
      <c r="AI4" s="58" t="str">
        <f t="shared" si="7"/>
        <v>a̋</v>
      </c>
      <c r="AJ4" s="58" t="str">
        <f t="shared" si="7"/>
        <v>å</v>
      </c>
      <c r="AL4" s="60" t="str">
        <f xml:space="preserve"> _xlfn.CONCAT("    - xform/》", $Z4, 【調】韻母標調!AJ$1, "/", AA4, "/")</f>
        <v xml:space="preserve">    - xform/》a1/a/</v>
      </c>
      <c r="AM4" s="60" t="str">
        <f xml:space="preserve"> _xlfn.CONCAT("    - xform/》", $Z4, 【調】韻母標調!AK$1, "/", AB4, "/")</f>
        <v xml:space="preserve">    - xform/》a2/á/</v>
      </c>
      <c r="AN4" s="60" t="str">
        <f xml:space="preserve"> _xlfn.CONCAT("    - xform/》", $Z4, 【調】韻母標調!AL$1, "/", AC4, "/")</f>
        <v xml:space="preserve">    - xform/》a3/à/</v>
      </c>
      <c r="AO4" s="60" t="str">
        <f xml:space="preserve"> _xlfn.CONCAT("    - xform/》", $Z4, 【調】韻母標調!AM$1, "/", AD4, "/")</f>
        <v xml:space="preserve">    - xform/》a4/a/</v>
      </c>
      <c r="AP4" s="60" t="str">
        <f xml:space="preserve"> _xlfn.CONCAT("    - xform/》", $Z4, 【調】韻母標調!AN$1, "/", AE4, "/")</f>
        <v xml:space="preserve">    - xform/》a5/ǎ/</v>
      </c>
      <c r="AQ4" s="60" t="str">
        <f xml:space="preserve"> _xlfn.CONCAT("    - xform/》", $Z4, 【調】韻母標調!AO$1, "/", AF4, "/")</f>
        <v xml:space="preserve">    - xform/》a6/á/</v>
      </c>
      <c r="AR4" s="60" t="str">
        <f xml:space="preserve"> _xlfn.CONCAT("    - xform/》", $Z4, 【調】韻母標調!AP$1, "/", AG4, "/")</f>
        <v xml:space="preserve">    - xform/》a7/ā/</v>
      </c>
      <c r="AS4" s="60" t="str">
        <f xml:space="preserve"> _xlfn.CONCAT("    - xform/》", $Z4, 【調】韻母標調!AQ$1, "/", AH4, "/")</f>
        <v xml:space="preserve">    - xform/》a8/a̍/</v>
      </c>
      <c r="AT4" s="60" t="str">
        <f xml:space="preserve"> _xlfn.CONCAT("    - xform/》", $Z4, 【調】韻母標調!AR$1, "/", AI4, "/")</f>
        <v xml:space="preserve">    - xform/》a9/a̋/</v>
      </c>
      <c r="AU4" s="60" t="str">
        <f xml:space="preserve"> _xlfn.CONCAT("    - xform/》", $Z4, 【調】韻母標調!AS$1, "/", AJ4, "/")</f>
        <v xml:space="preserve">    - xform/》a9/å/</v>
      </c>
      <c r="AV4" s="58"/>
      <c r="AW4" s="58"/>
      <c r="AX4" s="55"/>
    </row>
    <row r="5" spans="1:50" ht="27.75" thickBot="1">
      <c r="A5" s="101">
        <f t="shared" ref="A5:A89" si="8" xml:space="preserve"> ROW() - 3</f>
        <v>2</v>
      </c>
      <c r="B5" s="63" t="s">
        <v>2124</v>
      </c>
      <c r="C5" s="65" t="s">
        <v>321</v>
      </c>
      <c r="D5" s="21" t="s">
        <v>321</v>
      </c>
      <c r="E5" s="21" t="s">
        <v>321</v>
      </c>
      <c r="F5" s="21" t="s">
        <v>321</v>
      </c>
      <c r="G5" s="23" t="s">
        <v>321</v>
      </c>
      <c r="H5" s="21" t="s">
        <v>1082</v>
      </c>
      <c r="I5" s="21" t="s">
        <v>2012</v>
      </c>
      <c r="J5" s="18" t="str">
        <f xml:space="preserve"> LEFT(韻母對照表[[#This Row],[十五音識別碼]],1)</f>
        <v>膠</v>
      </c>
      <c r="K5" s="18" t="s">
        <v>320</v>
      </c>
      <c r="L5" s="18" t="s">
        <v>322</v>
      </c>
      <c r="M5" s="21"/>
      <c r="N5" s="18">
        <f t="shared" ref="N5:N13" si="9" xml:space="preserve"> LEN(D5)</f>
        <v>2</v>
      </c>
      <c r="O5" s="26"/>
      <c r="P5" s="21" t="str">
        <f t="shared" ref="P5:P13" si="10">C5</f>
        <v>ah</v>
      </c>
      <c r="Q5" s="21" t="str">
        <f t="shared" si="2"/>
        <v>ah</v>
      </c>
      <c r="S5" s="47" t="str">
        <f t="shared" si="3"/>
        <v>ah(\d)</v>
      </c>
      <c r="T5" s="50" t="s">
        <v>1028</v>
      </c>
      <c r="U5" s="50">
        <f t="shared" si="4"/>
        <v>1</v>
      </c>
      <c r="V5" s="47" t="str">
        <f t="shared" si="5"/>
        <v>》a${1}h</v>
      </c>
      <c r="W5" s="19"/>
      <c r="X5" s="20" t="str">
        <f t="shared" si="6"/>
        <v xml:space="preserve">    - xform/》ah(\d)/》a${1}h/</v>
      </c>
      <c r="Z5" s="55" t="s">
        <v>1027</v>
      </c>
      <c r="AA5" s="58" t="str">
        <f xml:space="preserve"> _xlfn.CONCAT($Z5, IF(AA$3="", "", _xlfn.UNICHAR( HEX2DEC( RIGHT(AA$3,4)))))</f>
        <v>u</v>
      </c>
      <c r="AB5" s="58" t="str">
        <f t="shared" ref="AB5:AJ5" si="11" xml:space="preserve"> _xlfn.CONCAT($Z5, IF(AB$3="", "", _xlfn.UNICHAR( HEX2DEC( RIGHT(AB$3,4)))))</f>
        <v>ú</v>
      </c>
      <c r="AC5" s="58" t="str">
        <f t="shared" si="11"/>
        <v>ù</v>
      </c>
      <c r="AD5" s="58" t="str">
        <f t="shared" si="11"/>
        <v>u</v>
      </c>
      <c r="AE5" s="58" t="str">
        <f t="shared" si="11"/>
        <v>ǔ</v>
      </c>
      <c r="AF5" s="58" t="str">
        <f t="shared" si="11"/>
        <v>ú</v>
      </c>
      <c r="AG5" s="58" t="str">
        <f t="shared" si="11"/>
        <v>ū</v>
      </c>
      <c r="AH5" s="58" t="str">
        <f t="shared" si="11"/>
        <v>u̍</v>
      </c>
      <c r="AI5" s="58" t="str">
        <f t="shared" si="11"/>
        <v>ű</v>
      </c>
      <c r="AJ5" s="58" t="str">
        <f t="shared" si="11"/>
        <v>ů</v>
      </c>
      <c r="AL5" s="60" t="str">
        <f xml:space="preserve"> _xlfn.CONCAT("    - xform/》", $Z5, 【調】韻母標調!AJ$1, "/", AA5, "/")</f>
        <v xml:space="preserve">    - xform/》u1/u/</v>
      </c>
      <c r="AM5" s="60" t="str">
        <f xml:space="preserve"> _xlfn.CONCAT("    - xform/》", $Z5, 【調】韻母標調!AK$1, "/", AB5, "/")</f>
        <v xml:space="preserve">    - xform/》u2/ú/</v>
      </c>
      <c r="AN5" s="60" t="str">
        <f xml:space="preserve"> _xlfn.CONCAT("    - xform/》", $Z5, 【調】韻母標調!AL$1, "/", AC5, "/")</f>
        <v xml:space="preserve">    - xform/》u3/ù/</v>
      </c>
      <c r="AO5" s="60" t="str">
        <f xml:space="preserve"> _xlfn.CONCAT("    - xform/》", $Z5, 【調】韻母標調!AM$1, "/", AD5, "/")</f>
        <v xml:space="preserve">    - xform/》u4/u/</v>
      </c>
      <c r="AP5" s="60" t="str">
        <f xml:space="preserve"> _xlfn.CONCAT("    - xform/》", $Z5, 【調】韻母標調!AN$1, "/", AE5, "/")</f>
        <v xml:space="preserve">    - xform/》u5/ǔ/</v>
      </c>
      <c r="AQ5" s="60" t="str">
        <f xml:space="preserve"> _xlfn.CONCAT("    - xform/》", $Z5, 【調】韻母標調!AO$1, "/", AF5, "/")</f>
        <v xml:space="preserve">    - xform/》u6/ú/</v>
      </c>
      <c r="AR5" s="60" t="str">
        <f xml:space="preserve"> _xlfn.CONCAT("    - xform/》", $Z5, 【調】韻母標調!AP$1, "/", AG5, "/")</f>
        <v xml:space="preserve">    - xform/》u7/ū/</v>
      </c>
      <c r="AS5" s="60" t="str">
        <f xml:space="preserve"> _xlfn.CONCAT("    - xform/》", $Z5, 【調】韻母標調!AQ$1, "/", AH5, "/")</f>
        <v xml:space="preserve">    - xform/》u8/u̍/</v>
      </c>
      <c r="AT5" s="60" t="str">
        <f xml:space="preserve"> _xlfn.CONCAT("    - xform/》", $Z5, 【調】韻母標調!AR$1, "/", AI5, "/")</f>
        <v xml:space="preserve">    - xform/》u9/ű/</v>
      </c>
      <c r="AU5" s="60" t="str">
        <f xml:space="preserve"> _xlfn.CONCAT("    - xform/》", $Z5, 【調】韻母標調!AS$1, "/", AJ5, "/")</f>
        <v xml:space="preserve">    - xform/》u9/ů/</v>
      </c>
      <c r="AV5" s="58"/>
      <c r="AW5" s="58"/>
      <c r="AX5" s="55"/>
    </row>
    <row r="6" spans="1:50" ht="27.75" thickBot="1">
      <c r="A6" s="101">
        <f t="shared" si="8"/>
        <v>3</v>
      </c>
      <c r="B6" s="63" t="s">
        <v>2129</v>
      </c>
      <c r="C6" s="65" t="s">
        <v>183</v>
      </c>
      <c r="D6" s="21" t="s">
        <v>183</v>
      </c>
      <c r="E6" s="21" t="s">
        <v>183</v>
      </c>
      <c r="F6" s="21" t="s">
        <v>183</v>
      </c>
      <c r="G6" s="23" t="s">
        <v>183</v>
      </c>
      <c r="H6" s="21" t="s">
        <v>185</v>
      </c>
      <c r="I6" s="21" t="s">
        <v>185</v>
      </c>
      <c r="J6" s="18" t="str">
        <f xml:space="preserve"> LEFT(韻母對照表[[#This Row],[十五音識別碼]],1)</f>
        <v>皆</v>
      </c>
      <c r="K6" s="18" t="s">
        <v>182</v>
      </c>
      <c r="L6" s="18" t="s">
        <v>186</v>
      </c>
      <c r="M6" s="21"/>
      <c r="N6" s="18">
        <f t="shared" si="9"/>
        <v>2</v>
      </c>
      <c r="O6" s="26"/>
      <c r="P6" s="21" t="str">
        <f t="shared" si="10"/>
        <v>ai</v>
      </c>
      <c r="Q6" s="21" t="str">
        <f t="shared" si="2"/>
        <v>ai</v>
      </c>
      <c r="S6" s="47" t="str">
        <f t="shared" si="3"/>
        <v>ai(\d)</v>
      </c>
      <c r="T6" s="50" t="s">
        <v>1016</v>
      </c>
      <c r="U6" s="50" t="str">
        <f t="shared" si="4"/>
        <v/>
      </c>
      <c r="V6" s="47" t="str">
        <f t="shared" si="5"/>
        <v/>
      </c>
      <c r="W6" s="19"/>
      <c r="X6" s="20" t="str">
        <f t="shared" si="6"/>
        <v xml:space="preserve">    - xform/》ai(\d)//</v>
      </c>
    </row>
    <row r="7" spans="1:50" ht="30.75" thickBot="1">
      <c r="A7" s="101">
        <f t="shared" si="8"/>
        <v>4</v>
      </c>
      <c r="B7" s="63" t="s">
        <v>2131</v>
      </c>
      <c r="C7" s="65" t="s">
        <v>1246</v>
      </c>
      <c r="D7" s="27" t="s">
        <v>1925</v>
      </c>
      <c r="E7" s="27" t="s">
        <v>1925</v>
      </c>
      <c r="F7" s="27" t="s">
        <v>1925</v>
      </c>
      <c r="G7" s="27" t="s">
        <v>1246</v>
      </c>
      <c r="H7" s="67" t="s">
        <v>1926</v>
      </c>
      <c r="I7" s="67" t="s">
        <v>2198</v>
      </c>
      <c r="J7" s="18" t="str">
        <f xml:space="preserve"> LEFT(韻母對照表[[#This Row],[十五音識別碼]],1)</f>
        <v>皆</v>
      </c>
      <c r="K7" s="18" t="s">
        <v>2071</v>
      </c>
      <c r="L7" s="70" t="s">
        <v>1948</v>
      </c>
      <c r="M7" s="21"/>
      <c r="N7" s="18">
        <f t="shared" si="9"/>
        <v>3</v>
      </c>
      <c r="O7" s="26"/>
      <c r="P7" s="21" t="str">
        <f t="shared" si="10"/>
        <v>aih</v>
      </c>
      <c r="Q7" s="21" t="str">
        <f t="shared" si="2"/>
        <v>aih</v>
      </c>
      <c r="S7" s="47" t="str">
        <f t="shared" si="3"/>
        <v>aih(\d)</v>
      </c>
      <c r="T7" s="50" t="s">
        <v>1028</v>
      </c>
      <c r="U7" s="50">
        <f t="shared" si="4"/>
        <v>1</v>
      </c>
      <c r="V7" s="47" t="str">
        <f t="shared" si="5"/>
        <v>》a${1}ih</v>
      </c>
      <c r="W7" s="19"/>
      <c r="X7" s="20" t="str">
        <f t="shared" si="6"/>
        <v xml:space="preserve">    - xform/》aih(\d)/》a${1}ih/</v>
      </c>
    </row>
    <row r="8" spans="1:50" ht="27.75" thickBot="1">
      <c r="A8" s="101">
        <f t="shared" si="8"/>
        <v>5</v>
      </c>
      <c r="B8" s="63" t="s">
        <v>2130</v>
      </c>
      <c r="C8" s="65" t="s">
        <v>417</v>
      </c>
      <c r="D8" s="21" t="s">
        <v>417</v>
      </c>
      <c r="E8" s="21" t="s">
        <v>417</v>
      </c>
      <c r="F8" s="21" t="s">
        <v>419</v>
      </c>
      <c r="G8" s="23" t="s">
        <v>2335</v>
      </c>
      <c r="H8" s="21" t="s">
        <v>416</v>
      </c>
      <c r="I8" s="21" t="s">
        <v>2023</v>
      </c>
      <c r="J8" s="18" t="str">
        <f xml:space="preserve"> LEFT(韻母對照表[[#This Row],[十五音識別碼]],1)</f>
        <v>閒</v>
      </c>
      <c r="K8" s="18" t="s">
        <v>414</v>
      </c>
      <c r="L8" s="18" t="s">
        <v>420</v>
      </c>
      <c r="M8" s="61" t="s">
        <v>1091</v>
      </c>
      <c r="N8" s="18">
        <f t="shared" si="9"/>
        <v>4</v>
      </c>
      <c r="O8" s="26"/>
      <c r="P8" s="21" t="str">
        <f t="shared" si="10"/>
        <v>ainn</v>
      </c>
      <c r="Q8" s="21" t="str">
        <f t="shared" si="2"/>
        <v>ainn</v>
      </c>
      <c r="S8" s="47" t="str">
        <f t="shared" si="3"/>
        <v>ainn(\d)</v>
      </c>
      <c r="T8" s="50" t="s">
        <v>1028</v>
      </c>
      <c r="U8" s="50">
        <f t="shared" si="4"/>
        <v>1</v>
      </c>
      <c r="V8" s="47" t="str">
        <f t="shared" si="5"/>
        <v>》a${1}inn</v>
      </c>
      <c r="W8" s="19"/>
      <c r="X8" s="20" t="str">
        <f t="shared" si="6"/>
        <v xml:space="preserve">    - xform/》ainn(\d)/》a${1}inn/</v>
      </c>
    </row>
    <row r="9" spans="1:50" ht="30.75" thickBot="1">
      <c r="A9" s="101">
        <f t="shared" si="8"/>
        <v>6</v>
      </c>
      <c r="B9" s="63" t="str">
        <f>_xlfn.CONCAT("a","k",_xlfn.UNICHAR(794))</f>
        <v>ak̚</v>
      </c>
      <c r="C9" s="65" t="s">
        <v>243</v>
      </c>
      <c r="D9" s="21" t="s">
        <v>243</v>
      </c>
      <c r="E9" s="21" t="s">
        <v>243</v>
      </c>
      <c r="F9" s="21" t="s">
        <v>243</v>
      </c>
      <c r="G9" s="23" t="s">
        <v>243</v>
      </c>
      <c r="H9" s="104" t="s">
        <v>2195</v>
      </c>
      <c r="I9" s="104" t="s">
        <v>2002</v>
      </c>
      <c r="J9" s="18" t="str">
        <f xml:space="preserve"> LEFT(韻母對照表[[#This Row],[十五音識別碼]],1)</f>
        <v>江</v>
      </c>
      <c r="K9" s="18" t="s">
        <v>240</v>
      </c>
      <c r="L9" s="18" t="s">
        <v>244</v>
      </c>
      <c r="M9" s="21"/>
      <c r="N9" s="18">
        <f t="shared" si="9"/>
        <v>2</v>
      </c>
      <c r="O9" s="26"/>
      <c r="P9" s="21" t="str">
        <f t="shared" si="10"/>
        <v>ak</v>
      </c>
      <c r="Q9" s="21" t="str">
        <f t="shared" si="2"/>
        <v>ak</v>
      </c>
      <c r="S9" s="47" t="str">
        <f t="shared" si="3"/>
        <v>ak(\d)</v>
      </c>
      <c r="T9" s="50" t="s">
        <v>981</v>
      </c>
      <c r="U9" s="50" t="str">
        <f t="shared" si="4"/>
        <v/>
      </c>
      <c r="V9" s="47" t="str">
        <f t="shared" si="5"/>
        <v/>
      </c>
      <c r="W9" s="19"/>
      <c r="X9" s="20" t="str">
        <f t="shared" si="6"/>
        <v xml:space="preserve">    - xform/》ak(\d)//</v>
      </c>
    </row>
    <row r="10" spans="1:50" ht="27.75" thickBot="1">
      <c r="A10" s="101">
        <f t="shared" si="8"/>
        <v>7</v>
      </c>
      <c r="B10" s="63" t="s">
        <v>2126</v>
      </c>
      <c r="C10" s="65" t="s">
        <v>211</v>
      </c>
      <c r="D10" s="21" t="s">
        <v>211</v>
      </c>
      <c r="E10" s="21" t="s">
        <v>211</v>
      </c>
      <c r="F10" s="21" t="s">
        <v>211</v>
      </c>
      <c r="G10" s="23" t="s">
        <v>211</v>
      </c>
      <c r="H10" s="21" t="s">
        <v>213</v>
      </c>
      <c r="I10" s="21" t="s">
        <v>1999</v>
      </c>
      <c r="J10" s="18" t="str">
        <f xml:space="preserve"> LEFT(韻母對照表[[#This Row],[十五音識別碼]],1)</f>
        <v>甘</v>
      </c>
      <c r="K10" s="18" t="s">
        <v>210</v>
      </c>
      <c r="L10" s="18" t="s">
        <v>214</v>
      </c>
      <c r="M10" s="21"/>
      <c r="N10" s="18">
        <f t="shared" si="9"/>
        <v>2</v>
      </c>
      <c r="O10" s="26"/>
      <c r="P10" s="21" t="str">
        <f t="shared" si="10"/>
        <v>am</v>
      </c>
      <c r="Q10" s="21" t="str">
        <f t="shared" si="2"/>
        <v>am</v>
      </c>
      <c r="S10" s="47" t="str">
        <f t="shared" si="3"/>
        <v>am(\d)</v>
      </c>
      <c r="T10" s="50" t="s">
        <v>1028</v>
      </c>
      <c r="U10" s="50">
        <f t="shared" si="4"/>
        <v>1</v>
      </c>
      <c r="V10" s="47" t="str">
        <f t="shared" si="5"/>
        <v>》a${1}m</v>
      </c>
      <c r="W10" s="19"/>
      <c r="X10" s="20" t="str">
        <f t="shared" si="6"/>
        <v xml:space="preserve">    - xform/》am(\d)/》a${1}m/</v>
      </c>
      <c r="Z10" s="55" t="s">
        <v>1016</v>
      </c>
      <c r="AA10" s="58" t="str">
        <f t="shared" ref="AA10:AJ13" si="12" xml:space="preserve"> _xlfn.CONCAT($Z10, IF(AA$3="", "", _xlfn.UNICHAR( HEX2DEC( RIGHT(AA$3,4)))))</f>
        <v>o</v>
      </c>
      <c r="AB10" s="58" t="str">
        <f t="shared" si="12"/>
        <v>ó</v>
      </c>
      <c r="AC10" s="58" t="str">
        <f t="shared" si="12"/>
        <v>ò</v>
      </c>
      <c r="AD10" s="58" t="str">
        <f t="shared" si="12"/>
        <v>o</v>
      </c>
      <c r="AE10" s="58" t="str">
        <f t="shared" si="12"/>
        <v>ǒ</v>
      </c>
      <c r="AF10" s="58" t="str">
        <f t="shared" si="12"/>
        <v>ó</v>
      </c>
      <c r="AG10" s="58" t="str">
        <f t="shared" si="12"/>
        <v>ō</v>
      </c>
      <c r="AH10" s="58" t="str">
        <f t="shared" si="12"/>
        <v>o̍</v>
      </c>
      <c r="AI10" s="58" t="str">
        <f t="shared" si="12"/>
        <v>ő</v>
      </c>
      <c r="AJ10" s="58" t="str">
        <f t="shared" si="12"/>
        <v>o̊</v>
      </c>
      <c r="AL10" s="60" t="str">
        <f xml:space="preserve"> _xlfn.CONCAT("    - xform/》", $Z10, 【調】韻母標調!AJ$1, "/", AA10, "/")</f>
        <v xml:space="preserve">    - xform/》o1/o/</v>
      </c>
      <c r="AM10" s="60" t="str">
        <f xml:space="preserve"> _xlfn.CONCAT("    - xform/》", $Z10, 【調】韻母標調!AK$1, "/", AB10, "/")</f>
        <v xml:space="preserve">    - xform/》o2/ó/</v>
      </c>
      <c r="AN10" s="60" t="str">
        <f xml:space="preserve"> _xlfn.CONCAT("    - xform/》", $Z10, 【調】韻母標調!AL$1, "/", AC10, "/")</f>
        <v xml:space="preserve">    - xform/》o3/ò/</v>
      </c>
      <c r="AO10" s="60" t="str">
        <f xml:space="preserve"> _xlfn.CONCAT("    - xform/》", $Z10, 【調】韻母標調!AM$1, "/", AD10, "/")</f>
        <v xml:space="preserve">    - xform/》o4/o/</v>
      </c>
      <c r="AP10" s="60" t="str">
        <f xml:space="preserve"> _xlfn.CONCAT("    - xform/》", $Z10, 【調】韻母標調!AN$1, "/", AE10, "/")</f>
        <v xml:space="preserve">    - xform/》o5/ǒ/</v>
      </c>
      <c r="AQ10" s="60" t="str">
        <f xml:space="preserve"> _xlfn.CONCAT("    - xform/》", $Z10, 【調】韻母標調!AO$1, "/", AF10, "/")</f>
        <v xml:space="preserve">    - xform/》o6/ó/</v>
      </c>
      <c r="AR10" s="60" t="str">
        <f xml:space="preserve"> _xlfn.CONCAT("    - xform/》", $Z10, 【調】韻母標調!AP$1, "/", AG10, "/")</f>
        <v xml:space="preserve">    - xform/》o7/ō/</v>
      </c>
      <c r="AS10" s="60" t="str">
        <f xml:space="preserve"> _xlfn.CONCAT("    - xform/》", $Z10, 【調】韻母標調!AQ$1, "/", AH10, "/")</f>
        <v xml:space="preserve">    - xform/》o8/o̍/</v>
      </c>
      <c r="AT10" s="60" t="str">
        <f xml:space="preserve"> _xlfn.CONCAT("    - xform/》", $Z10, 【調】韻母標調!AR$1, "/", AI10, "/")</f>
        <v xml:space="preserve">    - xform/》o9/ő/</v>
      </c>
      <c r="AU10" s="60" t="str">
        <f xml:space="preserve"> _xlfn.CONCAT("    - xform/》", $Z10, 【調】韻母標調!AS$1, "/", AJ10, "/")</f>
        <v xml:space="preserve">    - xform/》o9/o̊/</v>
      </c>
      <c r="AV10" s="58"/>
      <c r="AW10" s="58"/>
      <c r="AX10" s="55"/>
    </row>
    <row r="11" spans="1:50" ht="27.75" thickBot="1">
      <c r="A11" s="101">
        <f t="shared" si="8"/>
        <v>8</v>
      </c>
      <c r="B11" s="63" t="s">
        <v>2127</v>
      </c>
      <c r="C11" s="65" t="s">
        <v>69</v>
      </c>
      <c r="D11" s="21" t="s">
        <v>69</v>
      </c>
      <c r="E11" s="21" t="s">
        <v>69</v>
      </c>
      <c r="F11" s="21" t="s">
        <v>69</v>
      </c>
      <c r="G11" s="23" t="s">
        <v>69</v>
      </c>
      <c r="H11" s="21" t="s">
        <v>71</v>
      </c>
      <c r="I11" s="21" t="s">
        <v>71</v>
      </c>
      <c r="J11" s="18" t="str">
        <f xml:space="preserve"> LEFT(韻母對照表[[#This Row],[十五音識別碼]],1)</f>
        <v>干</v>
      </c>
      <c r="K11" s="18" t="s">
        <v>68</v>
      </c>
      <c r="L11" s="18" t="s">
        <v>72</v>
      </c>
      <c r="M11" s="21"/>
      <c r="N11" s="18">
        <f t="shared" si="9"/>
        <v>2</v>
      </c>
      <c r="O11" s="26"/>
      <c r="P11" s="21" t="str">
        <f t="shared" si="10"/>
        <v>an</v>
      </c>
      <c r="Q11" s="21" t="str">
        <f t="shared" si="2"/>
        <v>an</v>
      </c>
      <c r="S11" s="47" t="str">
        <f t="shared" si="3"/>
        <v>an(\d)</v>
      </c>
      <c r="T11" s="50" t="s">
        <v>1028</v>
      </c>
      <c r="U11" s="50">
        <f t="shared" si="4"/>
        <v>1</v>
      </c>
      <c r="V11" s="47" t="str">
        <f t="shared" si="5"/>
        <v>》a${1}n</v>
      </c>
      <c r="W11" s="19"/>
      <c r="X11" s="20" t="str">
        <f t="shared" si="6"/>
        <v xml:space="preserve">    - xform/》an(\d)/》a${1}n/</v>
      </c>
      <c r="Z11" s="55" t="s">
        <v>1087</v>
      </c>
      <c r="AA11" s="58" t="str">
        <f t="shared" si="12"/>
        <v>m</v>
      </c>
      <c r="AB11" s="58" t="str">
        <f t="shared" si="12"/>
        <v>ḿ</v>
      </c>
      <c r="AC11" s="58" t="str">
        <f t="shared" si="12"/>
        <v>m̀</v>
      </c>
      <c r="AD11" s="58" t="str">
        <f t="shared" si="12"/>
        <v>m</v>
      </c>
      <c r="AE11" s="58" t="str">
        <f t="shared" si="12"/>
        <v>m̌</v>
      </c>
      <c r="AF11" s="58" t="str">
        <f t="shared" si="12"/>
        <v>ḿ</v>
      </c>
      <c r="AG11" s="58" t="str">
        <f t="shared" si="12"/>
        <v>m̄</v>
      </c>
      <c r="AH11" s="58" t="str">
        <f t="shared" si="12"/>
        <v>m̍</v>
      </c>
      <c r="AI11" s="58" t="str">
        <f t="shared" si="12"/>
        <v>m̋</v>
      </c>
      <c r="AJ11" s="58" t="str">
        <f t="shared" si="12"/>
        <v>m̊</v>
      </c>
      <c r="AL11" s="60" t="str">
        <f xml:space="preserve"> _xlfn.CONCAT("    - xform/》", $Z11, 【調】韻母標調!AJ$1, "/", AA11, "/")</f>
        <v xml:space="preserve">    - xform/》m1/m/</v>
      </c>
      <c r="AM11" s="60" t="str">
        <f xml:space="preserve"> _xlfn.CONCAT("    - xform/》", $Z11, 【調】韻母標調!AK$1, "/", AB11, "/")</f>
        <v xml:space="preserve">    - xform/》m2/ḿ/</v>
      </c>
      <c r="AN11" s="60" t="str">
        <f xml:space="preserve"> _xlfn.CONCAT("    - xform/》", $Z11, 【調】韻母標調!AL$1, "/", AC11, "/")</f>
        <v xml:space="preserve">    - xform/》m3/m̀/</v>
      </c>
      <c r="AO11" s="60" t="str">
        <f xml:space="preserve"> _xlfn.CONCAT("    - xform/》", $Z11, 【調】韻母標調!AM$1, "/", AD11, "/")</f>
        <v xml:space="preserve">    - xform/》m4/m/</v>
      </c>
      <c r="AP11" s="60" t="str">
        <f xml:space="preserve"> _xlfn.CONCAT("    - xform/》", $Z11, 【調】韻母標調!AN$1, "/", AE11, "/")</f>
        <v xml:space="preserve">    - xform/》m5/m̌/</v>
      </c>
      <c r="AQ11" s="60" t="str">
        <f xml:space="preserve"> _xlfn.CONCAT("    - xform/》", $Z11, 【調】韻母標調!AO$1, "/", AF11, "/")</f>
        <v xml:space="preserve">    - xform/》m6/ḿ/</v>
      </c>
      <c r="AR11" s="60" t="str">
        <f xml:space="preserve"> _xlfn.CONCAT("    - xform/》", $Z11, 【調】韻母標調!AP$1, "/", AG11, "/")</f>
        <v xml:space="preserve">    - xform/》m7/m̄/</v>
      </c>
      <c r="AS11" s="60" t="str">
        <f xml:space="preserve"> _xlfn.CONCAT("    - xform/》", $Z11, 【調】韻母標調!AQ$1, "/", AH11, "/")</f>
        <v xml:space="preserve">    - xform/》m8/m̍/</v>
      </c>
      <c r="AT11" s="60" t="str">
        <f xml:space="preserve"> _xlfn.CONCAT("    - xform/》", $Z11, 【調】韻母標調!AR$1, "/", AI11, "/")</f>
        <v xml:space="preserve">    - xform/》m9/m̋/</v>
      </c>
      <c r="AU11" s="60" t="str">
        <f xml:space="preserve"> _xlfn.CONCAT("    - xform/》", $Z11, 【調】韻母標調!AS$1, "/", AJ11, "/")</f>
        <v xml:space="preserve">    - xform/》m9/m̊/</v>
      </c>
      <c r="AV11" s="58"/>
      <c r="AW11" s="58"/>
      <c r="AX11" s="55"/>
    </row>
    <row r="12" spans="1:50" ht="27.75" thickBot="1">
      <c r="A12" s="101">
        <f t="shared" si="8"/>
        <v>9</v>
      </c>
      <c r="B12" s="63" t="s">
        <v>2128</v>
      </c>
      <c r="C12" s="65" t="s">
        <v>237</v>
      </c>
      <c r="D12" s="21" t="s">
        <v>237</v>
      </c>
      <c r="E12" s="21" t="s">
        <v>237</v>
      </c>
      <c r="F12" s="21" t="s">
        <v>237</v>
      </c>
      <c r="G12" s="23" t="s">
        <v>237</v>
      </c>
      <c r="H12" s="21" t="s">
        <v>1949</v>
      </c>
      <c r="I12" s="21" t="s">
        <v>1949</v>
      </c>
      <c r="J12" s="18" t="str">
        <f xml:space="preserve"> LEFT(韻母對照表[[#This Row],[十五音識別碼]],1)</f>
        <v>江</v>
      </c>
      <c r="K12" s="18" t="s">
        <v>234</v>
      </c>
      <c r="L12" s="18" t="s">
        <v>238</v>
      </c>
      <c r="M12" s="21"/>
      <c r="N12" s="18">
        <f t="shared" si="9"/>
        <v>3</v>
      </c>
      <c r="O12" s="26"/>
      <c r="P12" s="21" t="str">
        <f t="shared" si="10"/>
        <v>ang</v>
      </c>
      <c r="Q12" s="21" t="str">
        <f t="shared" si="2"/>
        <v>ang</v>
      </c>
      <c r="S12" s="47" t="str">
        <f t="shared" si="3"/>
        <v>ang(\d)</v>
      </c>
      <c r="T12" s="50" t="s">
        <v>1028</v>
      </c>
      <c r="U12" s="50">
        <f t="shared" si="4"/>
        <v>1</v>
      </c>
      <c r="V12" s="47" t="str">
        <f t="shared" si="5"/>
        <v>》a${1}ng</v>
      </c>
      <c r="W12" s="19"/>
      <c r="X12" s="20" t="str">
        <f t="shared" si="6"/>
        <v xml:space="preserve">    - xform/》ang(\d)/》a${1}ng/</v>
      </c>
      <c r="Z12" s="55" t="s">
        <v>1086</v>
      </c>
      <c r="AA12" s="58" t="str">
        <f t="shared" si="12"/>
        <v>n</v>
      </c>
      <c r="AB12" s="58" t="str">
        <f t="shared" si="12"/>
        <v>ń</v>
      </c>
      <c r="AC12" s="58" t="str">
        <f t="shared" si="12"/>
        <v>ǹ</v>
      </c>
      <c r="AD12" s="58" t="str">
        <f t="shared" si="12"/>
        <v>n</v>
      </c>
      <c r="AE12" s="58" t="str">
        <f t="shared" si="12"/>
        <v>ň</v>
      </c>
      <c r="AF12" s="58" t="str">
        <f t="shared" si="12"/>
        <v>ń</v>
      </c>
      <c r="AG12" s="58" t="str">
        <f t="shared" si="12"/>
        <v>n̄</v>
      </c>
      <c r="AH12" s="58" t="str">
        <f t="shared" si="12"/>
        <v>n̍</v>
      </c>
      <c r="AI12" s="58" t="str">
        <f t="shared" si="12"/>
        <v>n̋</v>
      </c>
      <c r="AJ12" s="58" t="str">
        <f t="shared" si="12"/>
        <v>n̊</v>
      </c>
      <c r="AL12" s="60" t="str">
        <f xml:space="preserve"> _xlfn.CONCAT("    - xform/》", $Z12, 【調】韻母標調!AJ$1, "/", AA12, "/")</f>
        <v xml:space="preserve">    - xform/》n1/n/</v>
      </c>
      <c r="AM12" s="60" t="str">
        <f xml:space="preserve"> _xlfn.CONCAT("    - xform/》", $Z12, 【調】韻母標調!AK$1, "/", AB12, "/")</f>
        <v xml:space="preserve">    - xform/》n2/ń/</v>
      </c>
      <c r="AN12" s="60" t="str">
        <f xml:space="preserve"> _xlfn.CONCAT("    - xform/》", $Z12, 【調】韻母標調!AL$1, "/", AC12, "/")</f>
        <v xml:space="preserve">    - xform/》n3/ǹ/</v>
      </c>
      <c r="AO12" s="60" t="str">
        <f xml:space="preserve"> _xlfn.CONCAT("    - xform/》", $Z12, 【調】韻母標調!AM$1, "/", AD12, "/")</f>
        <v xml:space="preserve">    - xform/》n4/n/</v>
      </c>
      <c r="AP12" s="60" t="str">
        <f xml:space="preserve"> _xlfn.CONCAT("    - xform/》", $Z12, 【調】韻母標調!AN$1, "/", AE12, "/")</f>
        <v xml:space="preserve">    - xform/》n5/ň/</v>
      </c>
      <c r="AQ12" s="60" t="str">
        <f xml:space="preserve"> _xlfn.CONCAT("    - xform/》", $Z12, 【調】韻母標調!AO$1, "/", AF12, "/")</f>
        <v xml:space="preserve">    - xform/》n6/ń/</v>
      </c>
      <c r="AR12" s="60" t="str">
        <f xml:space="preserve"> _xlfn.CONCAT("    - xform/》", $Z12, 【調】韻母標調!AP$1, "/", AG12, "/")</f>
        <v xml:space="preserve">    - xform/》n7/n̄/</v>
      </c>
      <c r="AS12" s="60" t="str">
        <f xml:space="preserve"> _xlfn.CONCAT("    - xform/》", $Z12, 【調】韻母標調!AQ$1, "/", AH12, "/")</f>
        <v xml:space="preserve">    - xform/》n8/n̍/</v>
      </c>
      <c r="AT12" s="60" t="str">
        <f xml:space="preserve"> _xlfn.CONCAT("    - xform/》", $Z12, 【調】韻母標調!AR$1, "/", AI12, "/")</f>
        <v xml:space="preserve">    - xform/》n9/n̋/</v>
      </c>
      <c r="AU12" s="60" t="str">
        <f xml:space="preserve"> _xlfn.CONCAT("    - xform/》", $Z12, 【調】韻母標調!AS$1, "/", AJ12, "/")</f>
        <v xml:space="preserve">    - xform/》n9/n̊/</v>
      </c>
      <c r="AV12" s="58"/>
      <c r="AW12" s="58"/>
      <c r="AX12" s="55"/>
    </row>
    <row r="13" spans="1:50" ht="27.75" thickBot="1">
      <c r="A13" s="101">
        <f t="shared" si="8"/>
        <v>10</v>
      </c>
      <c r="B13" s="63" t="s">
        <v>2123</v>
      </c>
      <c r="C13" s="65" t="s">
        <v>297</v>
      </c>
      <c r="D13" s="21" t="s">
        <v>297</v>
      </c>
      <c r="E13" s="21" t="s">
        <v>297</v>
      </c>
      <c r="F13" s="21" t="s">
        <v>299</v>
      </c>
      <c r="G13" s="23" t="s">
        <v>298</v>
      </c>
      <c r="H13" s="21" t="s">
        <v>296</v>
      </c>
      <c r="I13" s="21" t="s">
        <v>2009</v>
      </c>
      <c r="J13" s="18" t="str">
        <f xml:space="preserve"> LEFT(韻母對照表[[#This Row],[十五音識別碼]],1)</f>
        <v>監</v>
      </c>
      <c r="K13" s="18" t="s">
        <v>293</v>
      </c>
      <c r="L13" s="18" t="s">
        <v>300</v>
      </c>
      <c r="M13" s="61" t="s">
        <v>1091</v>
      </c>
      <c r="N13" s="18">
        <f t="shared" si="9"/>
        <v>3</v>
      </c>
      <c r="O13" s="26"/>
      <c r="P13" s="21" t="str">
        <f t="shared" si="10"/>
        <v>ann</v>
      </c>
      <c r="Q13" s="21" t="str">
        <f t="shared" si="2"/>
        <v>ann</v>
      </c>
      <c r="S13" s="47" t="str">
        <f t="shared" si="3"/>
        <v>ann(\d)</v>
      </c>
      <c r="T13" s="52" t="s">
        <v>1028</v>
      </c>
      <c r="U13" s="50">
        <f t="shared" si="4"/>
        <v>1</v>
      </c>
      <c r="V13" s="47" t="str">
        <f t="shared" si="5"/>
        <v>》a${1}nn</v>
      </c>
      <c r="W13" s="19"/>
      <c r="X13" s="20" t="str">
        <f t="shared" si="6"/>
        <v xml:space="preserve">    - xform/》ann(\d)/》a${1}nn/</v>
      </c>
      <c r="Z13" s="55" t="s">
        <v>1029</v>
      </c>
      <c r="AA13" s="58" t="str">
        <f t="shared" si="12"/>
        <v>i</v>
      </c>
      <c r="AB13" s="58" t="str">
        <f t="shared" si="12"/>
        <v>í</v>
      </c>
      <c r="AC13" s="58" t="str">
        <f t="shared" si="12"/>
        <v>ì</v>
      </c>
      <c r="AD13" s="58" t="str">
        <f t="shared" si="12"/>
        <v>i</v>
      </c>
      <c r="AE13" s="58" t="str">
        <f t="shared" si="12"/>
        <v>ǐ</v>
      </c>
      <c r="AF13" s="58" t="str">
        <f t="shared" si="12"/>
        <v>í</v>
      </c>
      <c r="AG13" s="58" t="str">
        <f t="shared" si="12"/>
        <v>ī</v>
      </c>
      <c r="AH13" s="58" t="str">
        <f t="shared" si="12"/>
        <v>i̍</v>
      </c>
      <c r="AI13" s="58" t="str">
        <f t="shared" si="12"/>
        <v>i̋</v>
      </c>
      <c r="AJ13" s="58" t="str">
        <f t="shared" si="12"/>
        <v>i̊</v>
      </c>
      <c r="AL13" s="60" t="str">
        <f xml:space="preserve"> _xlfn.CONCAT("    - xform/》", $Z13, 【調】韻母標調!AJ$1, "/", AA13, "/")</f>
        <v xml:space="preserve">    - xform/》i1/i/</v>
      </c>
      <c r="AM13" s="60" t="str">
        <f xml:space="preserve"> _xlfn.CONCAT("    - xform/》", $Z13, 【調】韻母標調!AK$1, "/", AB13, "/")</f>
        <v xml:space="preserve">    - xform/》i2/í/</v>
      </c>
      <c r="AN13" s="60" t="str">
        <f xml:space="preserve"> _xlfn.CONCAT("    - xform/》", $Z13, 【調】韻母標調!AL$1, "/", AC13, "/")</f>
        <v xml:space="preserve">    - xform/》i3/ì/</v>
      </c>
      <c r="AO13" s="60" t="str">
        <f xml:space="preserve"> _xlfn.CONCAT("    - xform/》", $Z13, 【調】韻母標調!AM$1, "/", AD13, "/")</f>
        <v xml:space="preserve">    - xform/》i4/i/</v>
      </c>
      <c r="AP13" s="60" t="str">
        <f xml:space="preserve"> _xlfn.CONCAT("    - xform/》", $Z13, 【調】韻母標調!AN$1, "/", AE13, "/")</f>
        <v xml:space="preserve">    - xform/》i5/ǐ/</v>
      </c>
      <c r="AQ13" s="60" t="str">
        <f xml:space="preserve"> _xlfn.CONCAT("    - xform/》", $Z13, 【調】韻母標調!AO$1, "/", AF13, "/")</f>
        <v xml:space="preserve">    - xform/》i6/í/</v>
      </c>
      <c r="AR13" s="60" t="str">
        <f xml:space="preserve"> _xlfn.CONCAT("    - xform/》", $Z13, 【調】韻母標調!AP$1, "/", AG13, "/")</f>
        <v xml:space="preserve">    - xform/》i7/ī/</v>
      </c>
      <c r="AS13" s="60" t="str">
        <f xml:space="preserve"> _xlfn.CONCAT("    - xform/》", $Z13, 【調】韻母標調!AQ$1, "/", AH13, "/")</f>
        <v xml:space="preserve">    - xform/》i8/i̍/</v>
      </c>
      <c r="AT13" s="60" t="str">
        <f xml:space="preserve"> _xlfn.CONCAT("    - xform/》", $Z13, 【調】韻母標調!AR$1, "/", AI13, "/")</f>
        <v xml:space="preserve">    - xform/》i9/i̋/</v>
      </c>
      <c r="AU13" s="60" t="str">
        <f xml:space="preserve"> _xlfn.CONCAT("    - xform/》", $Z13, 【調】韻母標調!AS$1, "/", AJ13, "/")</f>
        <v xml:space="preserve">    - xform/》i9/i̊/</v>
      </c>
      <c r="AV13" s="58"/>
      <c r="AW13" s="58"/>
      <c r="AX13" s="55"/>
    </row>
    <row r="14" spans="1:50" ht="27.75" thickBot="1">
      <c r="A14" s="101">
        <f t="shared" si="8"/>
        <v>11</v>
      </c>
      <c r="B14" s="63" t="s">
        <v>2125</v>
      </c>
      <c r="C14" s="65" t="s">
        <v>304</v>
      </c>
      <c r="D14" s="21" t="s">
        <v>1044</v>
      </c>
      <c r="E14" s="21" t="s">
        <v>304</v>
      </c>
      <c r="F14" s="27" t="s">
        <v>1001</v>
      </c>
      <c r="G14" s="23" t="s">
        <v>705</v>
      </c>
      <c r="H14" s="21" t="s">
        <v>1098</v>
      </c>
      <c r="I14" s="21" t="s">
        <v>2010</v>
      </c>
      <c r="J14" s="18" t="str">
        <f xml:space="preserve"> LEFT(韻母對照表[[#This Row],[十五音識別碼]],1)</f>
        <v>監</v>
      </c>
      <c r="K14" s="18" t="s">
        <v>302</v>
      </c>
      <c r="L14" s="18" t="s">
        <v>306</v>
      </c>
      <c r="M14" s="61" t="s">
        <v>1091</v>
      </c>
      <c r="N14" s="18">
        <f t="shared" si="0"/>
        <v>4</v>
      </c>
      <c r="O14" s="26"/>
      <c r="P14" s="21" t="str">
        <f t="shared" si="1"/>
        <v>annh</v>
      </c>
      <c r="Q14" s="21" t="str">
        <f t="shared" si="2"/>
        <v>annh</v>
      </c>
      <c r="S14" s="47" t="str">
        <f t="shared" ref="S14:S84" si="13" xml:space="preserve"> _xlfn.CONCAT(P14, "(\d)")</f>
        <v>annh(\d)</v>
      </c>
      <c r="T14" s="50" t="s">
        <v>1028</v>
      </c>
      <c r="U14" s="50">
        <f t="shared" ref="U14:U84" si="14" xml:space="preserve"> IFERROR( IF(T14="", "", SEARCH(T14, $P14)), "")</f>
        <v>1</v>
      </c>
      <c r="V14" s="47" t="str">
        <f t="shared" ref="V14:V88" si="15" xml:space="preserve"> IFERROR( _xlfn.CONCAT(LEFT(P14,U14-1), "》", MID(P14,U14,1), "${1}", RIGHT(P14, LEN(P14)-U14)), "" )</f>
        <v>》a${1}nnh</v>
      </c>
      <c r="W14" s="19"/>
      <c r="X14" s="20" t="str">
        <f t="shared" ref="X14:X84" si="16" xml:space="preserve"> IF(AND(Q14&lt;&gt;"", P14&lt;&gt;""), "    - xform/》" &amp; S14 &amp;  "/"  &amp; V14 &amp;  "/", "")</f>
        <v xml:space="preserve">    - xform/》annh(\d)/》a${1}nnh/</v>
      </c>
      <c r="Z14" s="55" t="s">
        <v>981</v>
      </c>
      <c r="AA14" s="58" t="str">
        <f t="shared" ref="AA14:AJ14" si="17" xml:space="preserve"> _xlfn.CONCAT($Z14, IF(AA$3="", "", _xlfn.UNICHAR( HEX2DEC( RIGHT(AA$3,4)))))</f>
        <v>e</v>
      </c>
      <c r="AB14" s="58" t="str">
        <f t="shared" si="17"/>
        <v>é</v>
      </c>
      <c r="AC14" s="58" t="str">
        <f t="shared" si="17"/>
        <v>è</v>
      </c>
      <c r="AD14" s="58" t="str">
        <f t="shared" si="17"/>
        <v>e</v>
      </c>
      <c r="AE14" s="58" t="str">
        <f t="shared" si="17"/>
        <v>ě</v>
      </c>
      <c r="AF14" s="58" t="str">
        <f t="shared" si="17"/>
        <v>é</v>
      </c>
      <c r="AG14" s="58" t="str">
        <f t="shared" si="17"/>
        <v>ē</v>
      </c>
      <c r="AH14" s="58" t="str">
        <f t="shared" si="17"/>
        <v>e̍</v>
      </c>
      <c r="AI14" s="58" t="str">
        <f t="shared" si="17"/>
        <v>e̋</v>
      </c>
      <c r="AJ14" s="58" t="str">
        <f t="shared" si="17"/>
        <v>e̊</v>
      </c>
      <c r="AL14" s="60" t="str">
        <f xml:space="preserve"> _xlfn.CONCAT("    - xform/》", $Z14, 【調】韻母標調!AJ$1, "/", AA14, "/")</f>
        <v xml:space="preserve">    - xform/》e1/e/</v>
      </c>
      <c r="AM14" s="60" t="str">
        <f xml:space="preserve"> _xlfn.CONCAT("    - xform/》", $Z14, 【調】韻母標調!AK$1, "/", AB14, "/")</f>
        <v xml:space="preserve">    - xform/》e2/é/</v>
      </c>
      <c r="AN14" s="60" t="str">
        <f xml:space="preserve"> _xlfn.CONCAT("    - xform/》", $Z14, 【調】韻母標調!AL$1, "/", AC14, "/")</f>
        <v xml:space="preserve">    - xform/》e3/è/</v>
      </c>
      <c r="AO14" s="60" t="str">
        <f xml:space="preserve"> _xlfn.CONCAT("    - xform/》", $Z14, 【調】韻母標調!AM$1, "/", AD14, "/")</f>
        <v xml:space="preserve">    - xform/》e4/e/</v>
      </c>
      <c r="AP14" s="60" t="str">
        <f xml:space="preserve"> _xlfn.CONCAT("    - xform/》", $Z14, 【調】韻母標調!AN$1, "/", AE14, "/")</f>
        <v xml:space="preserve">    - xform/》e5/ě/</v>
      </c>
      <c r="AQ14" s="60" t="str">
        <f xml:space="preserve"> _xlfn.CONCAT("    - xform/》", $Z14, 【調】韻母標調!AO$1, "/", AF14, "/")</f>
        <v xml:space="preserve">    - xform/》e6/é/</v>
      </c>
      <c r="AR14" s="60" t="str">
        <f xml:space="preserve"> _xlfn.CONCAT("    - xform/》", $Z14, 【調】韻母標調!AP$1, "/", AG14, "/")</f>
        <v xml:space="preserve">    - xform/》e7/ē/</v>
      </c>
      <c r="AS14" s="60" t="str">
        <f xml:space="preserve"> _xlfn.CONCAT("    - xform/》", $Z14, 【調】韻母標調!AQ$1, "/", AH14, "/")</f>
        <v xml:space="preserve">    - xform/》e8/e̍/</v>
      </c>
      <c r="AT14" s="60" t="str">
        <f xml:space="preserve"> _xlfn.CONCAT("    - xform/》", $Z14, 【調】韻母標調!AR$1, "/", AI14, "/")</f>
        <v xml:space="preserve">    - xform/》e9/e̋/</v>
      </c>
      <c r="AU14" s="60" t="str">
        <f xml:space="preserve"> _xlfn.CONCAT("    - xform/》", $Z14, 【調】韻母標調!AS$1, "/", AJ14, "/")</f>
        <v xml:space="preserve">    - xform/》e9/e̊/</v>
      </c>
      <c r="AV14" s="58"/>
      <c r="AW14" s="58"/>
      <c r="AX14" s="55"/>
    </row>
    <row r="15" spans="1:50" ht="27.75" thickBot="1">
      <c r="A15" s="101">
        <f t="shared" si="8"/>
        <v>12</v>
      </c>
      <c r="B15" s="63" t="str">
        <f>_xlfn.CONCAT("a","p",_xlfn.UNICHAR(794))</f>
        <v>ap̚</v>
      </c>
      <c r="C15" s="65" t="s">
        <v>219</v>
      </c>
      <c r="D15" s="21" t="s">
        <v>219</v>
      </c>
      <c r="E15" s="21" t="s">
        <v>219</v>
      </c>
      <c r="F15" s="21" t="s">
        <v>219</v>
      </c>
      <c r="G15" s="23" t="s">
        <v>219</v>
      </c>
      <c r="H15" s="21" t="s">
        <v>218</v>
      </c>
      <c r="I15" s="21" t="s">
        <v>2000</v>
      </c>
      <c r="J15" s="18" t="str">
        <f xml:space="preserve"> LEFT(韻母對照表[[#This Row],[十五音識別碼]],1)</f>
        <v>甘</v>
      </c>
      <c r="K15" s="18" t="s">
        <v>216</v>
      </c>
      <c r="L15" s="18" t="s">
        <v>220</v>
      </c>
      <c r="M15" s="21"/>
      <c r="N15" s="18">
        <f xml:space="preserve"> LEN(D15)</f>
        <v>2</v>
      </c>
      <c r="O15" s="26"/>
      <c r="P15" s="21" t="str">
        <f t="shared" ref="P15:Q18" si="18">C15</f>
        <v>ap</v>
      </c>
      <c r="Q15" s="21" t="str">
        <f t="shared" si="18"/>
        <v>ap</v>
      </c>
      <c r="S15" s="47" t="str">
        <f xml:space="preserve"> _xlfn.CONCAT(P15, "(\d)")</f>
        <v>ap(\d)</v>
      </c>
      <c r="T15" s="50" t="s">
        <v>1028</v>
      </c>
      <c r="U15" s="50">
        <f xml:space="preserve"> IFERROR( IF(T15="", "", SEARCH(T15, $P15)), "")</f>
        <v>1</v>
      </c>
      <c r="V15" s="47" t="str">
        <f xml:space="preserve"> IFERROR( _xlfn.CONCAT(LEFT(P15,U15-1), "》", MID(P15,U15,1), "${1}", RIGHT(P15, LEN(P15)-U15)), "" )</f>
        <v>》a${1}p</v>
      </c>
      <c r="W15" s="19"/>
      <c r="X15" s="20" t="str">
        <f xml:space="preserve"> IF(AND(Q15&lt;&gt;"", P15&lt;&gt;""), "    - xform/》" &amp; S15 &amp;  "/"  &amp; V15 &amp;  "/", "")</f>
        <v xml:space="preserve">    - xform/》ap(\d)/》a${1}p/</v>
      </c>
    </row>
    <row r="16" spans="1:50" ht="27.75" thickBot="1">
      <c r="A16" s="101">
        <f t="shared" si="8"/>
        <v>13</v>
      </c>
      <c r="B16" s="63" t="str">
        <f>_xlfn.CONCAT("a","t",_xlfn.UNICHAR(794))</f>
        <v>at̚</v>
      </c>
      <c r="C16" s="65" t="s">
        <v>77</v>
      </c>
      <c r="D16" s="21" t="s">
        <v>77</v>
      </c>
      <c r="E16" s="21" t="s">
        <v>77</v>
      </c>
      <c r="F16" s="21" t="s">
        <v>77</v>
      </c>
      <c r="G16" s="23" t="s">
        <v>77</v>
      </c>
      <c r="H16" s="21" t="s">
        <v>76</v>
      </c>
      <c r="I16" s="21" t="s">
        <v>1986</v>
      </c>
      <c r="J16" s="18" t="str">
        <f xml:space="preserve"> LEFT(韻母對照表[[#This Row],[十五音識別碼]],1)</f>
        <v>干</v>
      </c>
      <c r="K16" s="18" t="s">
        <v>74</v>
      </c>
      <c r="L16" s="18" t="s">
        <v>78</v>
      </c>
      <c r="M16" s="21"/>
      <c r="N16" s="18">
        <f xml:space="preserve"> LEN(D16)</f>
        <v>2</v>
      </c>
      <c r="O16" s="26"/>
      <c r="P16" s="21" t="str">
        <f t="shared" si="18"/>
        <v>at</v>
      </c>
      <c r="Q16" s="21" t="str">
        <f t="shared" si="18"/>
        <v>at</v>
      </c>
      <c r="S16" s="47" t="str">
        <f xml:space="preserve"> _xlfn.CONCAT(P16, "(\d)")</f>
        <v>at(\d)</v>
      </c>
      <c r="T16" s="50" t="s">
        <v>1016</v>
      </c>
      <c r="U16" s="50" t="str">
        <f xml:space="preserve"> IFERROR( IF(T16="", "", SEARCH(T16, $P16)), "")</f>
        <v/>
      </c>
      <c r="V16" s="47" t="str">
        <f xml:space="preserve"> IFERROR( _xlfn.CONCAT(LEFT(P16,U16-1), "》", MID(P16,U16,1), "${1}", RIGHT(P16, LEN(P16)-U16)), "" )</f>
        <v/>
      </c>
      <c r="W16" s="19"/>
      <c r="X16" s="20" t="str">
        <f xml:space="preserve"> IF(AND(Q16&lt;&gt;"", P16&lt;&gt;""), "    - xform/》" &amp; S16 &amp;  "/"  &amp; V16 &amp;  "/", "")</f>
        <v xml:space="preserve">    - xform/》at(\d)//</v>
      </c>
    </row>
    <row r="17" spans="1:24" ht="27.75" thickBot="1">
      <c r="A17" s="101">
        <f t="shared" si="8"/>
        <v>14</v>
      </c>
      <c r="B17" s="63" t="s">
        <v>2087</v>
      </c>
      <c r="C17" s="65" t="s">
        <v>260</v>
      </c>
      <c r="D17" s="21" t="s">
        <v>260</v>
      </c>
      <c r="E17" s="21" t="s">
        <v>260</v>
      </c>
      <c r="F17" s="21" t="s">
        <v>263</v>
      </c>
      <c r="G17" s="23" t="s">
        <v>260</v>
      </c>
      <c r="H17" s="21" t="s">
        <v>262</v>
      </c>
      <c r="I17" s="21" t="s">
        <v>262</v>
      </c>
      <c r="J17" s="18" t="str">
        <f xml:space="preserve"> LEFT(韻母對照表[[#This Row],[十五音識別碼]],1)</f>
        <v>交</v>
      </c>
      <c r="K17" s="18" t="s">
        <v>259</v>
      </c>
      <c r="L17" s="18" t="s">
        <v>264</v>
      </c>
      <c r="M17" s="21"/>
      <c r="N17" s="18">
        <f xml:space="preserve"> LEN(D17)</f>
        <v>2</v>
      </c>
      <c r="O17" s="26"/>
      <c r="P17" s="21" t="str">
        <f t="shared" si="18"/>
        <v>au</v>
      </c>
      <c r="Q17" s="21" t="str">
        <f t="shared" si="18"/>
        <v>au</v>
      </c>
      <c r="S17" s="47" t="str">
        <f xml:space="preserve"> _xlfn.CONCAT(P17, "(\d)")</f>
        <v>au(\d)</v>
      </c>
      <c r="T17" s="50" t="s">
        <v>1028</v>
      </c>
      <c r="U17" s="50">
        <f xml:space="preserve"> IFERROR( IF(T17="", "", SEARCH(T17, $P17)), "")</f>
        <v>1</v>
      </c>
      <c r="V17" s="47" t="str">
        <f xml:space="preserve"> IFERROR( _xlfn.CONCAT(LEFT(P17,U17-1), "》", MID(P17,U17,1), "${1}", RIGHT(P17, LEN(P17)-U17)), "" )</f>
        <v>》a${1}u</v>
      </c>
      <c r="W17" s="19"/>
      <c r="X17" s="20" t="str">
        <f xml:space="preserve"> IF(AND(Q17&lt;&gt;"", P17&lt;&gt;""), "    - xform/》" &amp; S17 &amp;  "/"  &amp; V17 &amp;  "/", "")</f>
        <v xml:space="preserve">    - xform/》au(\d)/》a${1}u/</v>
      </c>
    </row>
    <row r="18" spans="1:24" ht="30.75" thickBot="1">
      <c r="A18" s="101">
        <f t="shared" si="8"/>
        <v>15</v>
      </c>
      <c r="B18" s="63" t="s">
        <v>2132</v>
      </c>
      <c r="C18" s="65" t="s">
        <v>267</v>
      </c>
      <c r="D18" s="21" t="s">
        <v>267</v>
      </c>
      <c r="E18" s="21" t="s">
        <v>267</v>
      </c>
      <c r="F18" s="21" t="s">
        <v>268</v>
      </c>
      <c r="G18" s="23" t="s">
        <v>267</v>
      </c>
      <c r="H18" s="104" t="s">
        <v>2192</v>
      </c>
      <c r="I18" s="104" t="s">
        <v>2005</v>
      </c>
      <c r="J18" s="18" t="str">
        <f xml:space="preserve"> LEFT(韻母對照表[[#This Row],[十五音識別碼]],1)</f>
        <v>交</v>
      </c>
      <c r="K18" s="18" t="s">
        <v>266</v>
      </c>
      <c r="L18" s="18" t="s">
        <v>269</v>
      </c>
      <c r="M18" s="21"/>
      <c r="N18" s="18">
        <f xml:space="preserve"> LEN(D18)</f>
        <v>3</v>
      </c>
      <c r="O18" s="26"/>
      <c r="P18" s="21" t="str">
        <f t="shared" si="18"/>
        <v>auh</v>
      </c>
      <c r="Q18" s="21" t="str">
        <f t="shared" si="18"/>
        <v>auh</v>
      </c>
      <c r="S18" s="47" t="str">
        <f xml:space="preserve"> _xlfn.CONCAT(P18, "(\d)")</f>
        <v>auh(\d)</v>
      </c>
      <c r="T18" s="50" t="s">
        <v>1028</v>
      </c>
      <c r="U18" s="50">
        <f xml:space="preserve"> IFERROR( IF(T18="", "", SEARCH(T18, $P18)), "")</f>
        <v>1</v>
      </c>
      <c r="V18" s="47" t="str">
        <f xml:space="preserve"> IFERROR( _xlfn.CONCAT(LEFT(P18,U18-1), "》", MID(P18,U18,1), "${1}", RIGHT(P18, LEN(P18)-U18)), "" )</f>
        <v>》a${1}uh</v>
      </c>
      <c r="W18" s="19"/>
      <c r="X18" s="20" t="str">
        <f xml:space="preserve"> IF(AND(Q18&lt;&gt;"", P18&lt;&gt;""), "    - xform/》" &amp; S18 &amp;  "/"  &amp; V18 &amp;  "/", "")</f>
        <v xml:space="preserve">    - xform/》auh(\d)/》a${1}uh/</v>
      </c>
    </row>
    <row r="19" spans="1:24" ht="27.75" thickBot="1">
      <c r="A19" s="101">
        <f t="shared" si="8"/>
        <v>16</v>
      </c>
      <c r="B19" s="63" t="s">
        <v>2089</v>
      </c>
      <c r="C19" s="65" t="s">
        <v>60</v>
      </c>
      <c r="D19" s="21" t="s">
        <v>153</v>
      </c>
      <c r="E19" s="21" t="s">
        <v>60</v>
      </c>
      <c r="F19" s="21" t="s">
        <v>60</v>
      </c>
      <c r="G19" s="23" t="s">
        <v>1969</v>
      </c>
      <c r="H19" s="21" t="s">
        <v>155</v>
      </c>
      <c r="I19" s="21" t="s">
        <v>58</v>
      </c>
      <c r="J19" s="18" t="str">
        <f xml:space="preserve"> LEFT(韻母對照表[[#This Row],[十五音識別碼]],1)</f>
        <v>稽</v>
      </c>
      <c r="K19" s="18" t="s">
        <v>152</v>
      </c>
      <c r="L19" s="18" t="s">
        <v>156</v>
      </c>
      <c r="M19" s="21"/>
      <c r="N19" s="18">
        <f t="shared" si="0"/>
        <v>2</v>
      </c>
      <c r="O19" s="26"/>
      <c r="P19" s="21" t="str">
        <f>C27</f>
        <v>i</v>
      </c>
      <c r="Q19" s="21" t="str">
        <f>D27</f>
        <v>i</v>
      </c>
      <c r="S19" s="47" t="str">
        <f t="shared" si="13"/>
        <v>i(\d)</v>
      </c>
      <c r="T19" s="50" t="s">
        <v>1016</v>
      </c>
      <c r="U19" s="50" t="str">
        <f t="shared" si="14"/>
        <v/>
      </c>
      <c r="V19" s="47" t="str">
        <f t="shared" si="15"/>
        <v/>
      </c>
      <c r="W19" s="19"/>
      <c r="X19" s="20" t="str">
        <f t="shared" si="16"/>
        <v xml:space="preserve">    - xform/》i(\d)//</v>
      </c>
    </row>
    <row r="20" spans="1:24" ht="27.75" thickBot="1">
      <c r="A20" s="101">
        <f t="shared" ref="A20:A21" si="19" xml:space="preserve"> ROW() - 3</f>
        <v>17</v>
      </c>
      <c r="B20" s="63" t="s">
        <v>2154</v>
      </c>
      <c r="C20" s="65" t="s">
        <v>2183</v>
      </c>
      <c r="D20" s="27" t="s">
        <v>2183</v>
      </c>
      <c r="E20" s="105"/>
      <c r="F20" s="105"/>
      <c r="G20" s="105"/>
      <c r="H20" s="102" t="s">
        <v>2191</v>
      </c>
      <c r="I20" s="102" t="s">
        <v>58</v>
      </c>
      <c r="J20" s="18" t="str">
        <f xml:space="preserve"> LEFT(韻母對照表[[#This Row],[十五音識別碼]],1)</f>
        <v>嘉</v>
      </c>
      <c r="K20" s="18" t="s">
        <v>55</v>
      </c>
      <c r="L20" s="69" t="s">
        <v>61</v>
      </c>
      <c r="M20" s="21"/>
      <c r="N20" s="18">
        <f t="shared" ref="N20:N21" si="20" xml:space="preserve"> LEN(D20)</f>
        <v>2</v>
      </c>
      <c r="O20" s="26"/>
      <c r="P20" s="21" t="str">
        <f>C19</f>
        <v>e</v>
      </c>
      <c r="Q20" s="21" t="str">
        <f>D19</f>
        <v>ei</v>
      </c>
      <c r="S20" s="47" t="str">
        <f xml:space="preserve"> _xlfn.CONCAT(P20, "(\d)")</f>
        <v>e(\d)</v>
      </c>
      <c r="T20" s="50" t="s">
        <v>1029</v>
      </c>
      <c r="U20" s="50" t="str">
        <f xml:space="preserve"> IFERROR( IF(T20="", "", SEARCH(T20, $P20)), "")</f>
        <v/>
      </c>
      <c r="V20" s="47" t="str">
        <f xml:space="preserve"> IFERROR( _xlfn.CONCAT(LEFT(P20,U20-1), "》", MID(P20,U20,1), "${1}", RIGHT(P20, LEN(P20)-U20)), "" )</f>
        <v/>
      </c>
      <c r="W20" s="19"/>
      <c r="X20" s="20" t="str">
        <f xml:space="preserve"> IF(AND(Q20&lt;&gt;"", P20&lt;&gt;""), "    - xform/》" &amp; S20 &amp;  "/"  &amp; V20 &amp;  "/", "")</f>
        <v xml:space="preserve">    - xform/》e(\d)//</v>
      </c>
    </row>
    <row r="21" spans="1:24" ht="27.75" thickBot="1">
      <c r="A21" s="101">
        <f t="shared" si="19"/>
        <v>18</v>
      </c>
      <c r="B21" s="63" t="str">
        <f xml:space="preserve"> _xlfn.CONCAT(B20, "ʔ")</f>
        <v>ɛʔ</v>
      </c>
      <c r="C21" s="65" t="s">
        <v>2184</v>
      </c>
      <c r="D21" s="27" t="s">
        <v>2184</v>
      </c>
      <c r="E21" s="105"/>
      <c r="F21" s="105"/>
      <c r="G21" s="105"/>
      <c r="H21" s="102" t="s">
        <v>2193</v>
      </c>
      <c r="I21" s="102" t="s">
        <v>1985</v>
      </c>
      <c r="J21" s="18" t="str">
        <f xml:space="preserve"> LEFT(韻母對照表[[#This Row],[十五音識別碼]],1)</f>
        <v>嘉</v>
      </c>
      <c r="K21" s="18" t="s">
        <v>63</v>
      </c>
      <c r="L21" s="69" t="s">
        <v>66</v>
      </c>
      <c r="M21" s="21"/>
      <c r="N21" s="18">
        <f t="shared" si="20"/>
        <v>3</v>
      </c>
      <c r="O21" s="26"/>
      <c r="P21" s="21" t="str">
        <f>C25</f>
        <v>enn</v>
      </c>
      <c r="Q21" s="21" t="str">
        <f>D25</f>
        <v>enn</v>
      </c>
      <c r="S21" s="47" t="str">
        <f xml:space="preserve"> _xlfn.CONCAT(P21, "(\d)")</f>
        <v>enn(\d)</v>
      </c>
      <c r="T21" s="50" t="s">
        <v>1029</v>
      </c>
      <c r="U21" s="50" t="str">
        <f xml:space="preserve"> IFERROR( IF(T21="", "", SEARCH(T21, $P21)), "")</f>
        <v/>
      </c>
      <c r="V21" s="47" t="str">
        <f xml:space="preserve"> IFERROR( _xlfn.CONCAT(LEFT(P21,U21-1), "》", MID(P21,U21,1), "${1}", RIGHT(P21, LEN(P21)-U21)), "" )</f>
        <v/>
      </c>
      <c r="W21" s="19"/>
      <c r="X21" s="20" t="str">
        <f xml:space="preserve"> IF(AND(Q21&lt;&gt;"", P21&lt;&gt;""), "    - xform/》" &amp; S21 &amp;  "/"  &amp; V21 &amp;  "/", "")</f>
        <v xml:space="preserve">    - xform/》enn(\d)//</v>
      </c>
    </row>
    <row r="22" spans="1:24" ht="27.75" thickBot="1">
      <c r="A22" s="101">
        <f t="shared" si="8"/>
        <v>19</v>
      </c>
      <c r="B22" s="63" t="s">
        <v>2091</v>
      </c>
      <c r="C22" s="65" t="s">
        <v>65</v>
      </c>
      <c r="D22" s="21" t="s">
        <v>65</v>
      </c>
      <c r="E22" s="21" t="s">
        <v>65</v>
      </c>
      <c r="F22" s="21" t="s">
        <v>65</v>
      </c>
      <c r="G22" s="23" t="s">
        <v>65</v>
      </c>
      <c r="H22" s="21" t="s">
        <v>1952</v>
      </c>
      <c r="I22" s="21" t="s">
        <v>1985</v>
      </c>
      <c r="J22" s="18" t="str">
        <f xml:space="preserve"> LEFT(韻母對照表[[#This Row],[十五音識別碼]],1)</f>
        <v>伽</v>
      </c>
      <c r="K22" s="18" t="s">
        <v>412</v>
      </c>
      <c r="L22" s="18" t="s">
        <v>413</v>
      </c>
      <c r="M22" s="21"/>
      <c r="N22" s="18">
        <f xml:space="preserve"> LEN(D22)</f>
        <v>2</v>
      </c>
      <c r="O22" s="26"/>
      <c r="P22" s="21" t="str">
        <f>C41</f>
        <v>ih</v>
      </c>
      <c r="Q22" s="21" t="str">
        <f>D41</f>
        <v>ih</v>
      </c>
      <c r="S22" s="47" t="str">
        <f xml:space="preserve"> _xlfn.CONCAT(P22, "(\d)")</f>
        <v>ih(\d)</v>
      </c>
      <c r="T22" s="50" t="s">
        <v>1028</v>
      </c>
      <c r="U22" s="50" t="str">
        <f xml:space="preserve"> IFERROR( IF(T22="", "", SEARCH(T22, $P22)), "")</f>
        <v/>
      </c>
      <c r="V22" s="47" t="str">
        <f xml:space="preserve"> IFERROR( _xlfn.CONCAT(LEFT(P22,U22-1), "》", MID(P22,U22,1), "${1}", RIGHT(P22, LEN(P22)-U22)), "" )</f>
        <v/>
      </c>
      <c r="W22" s="19"/>
      <c r="X22" s="20" t="str">
        <f xml:space="preserve"> IF(AND(Q22&lt;&gt;"", P22&lt;&gt;""), "    - xform/》" &amp; S22 &amp;  "/"  &amp; V22 &amp;  "/", "")</f>
        <v xml:space="preserve">    - xform/》ih(\d)//</v>
      </c>
    </row>
    <row r="23" spans="1:24" ht="27.75" thickBot="1">
      <c r="A23" s="101">
        <f t="shared" ref="A23:A24" si="21" xml:space="preserve"> ROW() - 3</f>
        <v>20</v>
      </c>
      <c r="B23" s="63" t="str">
        <f xml:space="preserve"> _xlfn.CONCAT("ɪ",, "k")</f>
        <v>ɪk</v>
      </c>
      <c r="C23" s="65" t="s">
        <v>2186</v>
      </c>
      <c r="D23" s="27" t="s">
        <v>2186</v>
      </c>
      <c r="E23" s="105"/>
      <c r="F23" s="105"/>
      <c r="G23" s="105"/>
      <c r="H23" s="103" t="s">
        <v>2196</v>
      </c>
      <c r="I23" s="103" t="s">
        <v>2200</v>
      </c>
      <c r="J23" s="18" t="str">
        <f xml:space="preserve"> LEFT(韻母對照表[[#This Row],[十五音識別碼]],1)</f>
        <v>經</v>
      </c>
      <c r="K23" s="18" t="s">
        <v>2071</v>
      </c>
      <c r="L23" s="69" t="s">
        <v>117</v>
      </c>
      <c r="M23" s="21"/>
      <c r="N23" s="18">
        <f xml:space="preserve"> LEN(D23)</f>
        <v>2</v>
      </c>
      <c r="O23" s="26"/>
      <c r="P23" s="21" t="str">
        <f>C26</f>
        <v>ennh</v>
      </c>
      <c r="Q23" s="21" t="str">
        <f>D26</f>
        <v>ennh</v>
      </c>
      <c r="S23" s="47" t="str">
        <f xml:space="preserve"> _xlfn.CONCAT(P23, "(\d)")</f>
        <v>ennh(\d)</v>
      </c>
      <c r="T23" s="50" t="s">
        <v>1029</v>
      </c>
      <c r="U23" s="50" t="str">
        <f xml:space="preserve"> IFERROR( IF(T23="", "", SEARCH(T23, $P23)), "")</f>
        <v/>
      </c>
      <c r="V23" s="47" t="str">
        <f xml:space="preserve"> IFERROR( _xlfn.CONCAT(LEFT(P23,U23-1), "》", MID(P23,U23,1), "${1}", RIGHT(P23, LEN(P23)-U23)), "" )</f>
        <v/>
      </c>
      <c r="W23" s="19"/>
      <c r="X23" s="20" t="str">
        <f xml:space="preserve"> IF(AND(Q23&lt;&gt;"", P23&lt;&gt;""), "    - xform/》" &amp; S23 &amp;  "/"  &amp; V23 &amp;  "/", "")</f>
        <v xml:space="preserve">    - xform/》ennh(\d)//</v>
      </c>
    </row>
    <row r="24" spans="1:24" ht="27.75" thickBot="1">
      <c r="A24" s="101">
        <f t="shared" si="21"/>
        <v>21</v>
      </c>
      <c r="B24" s="63" t="str">
        <f xml:space="preserve"> _xlfn.CONCAT("ɪ", "ŋ")</f>
        <v>ɪŋ</v>
      </c>
      <c r="C24" s="65" t="s">
        <v>2185</v>
      </c>
      <c r="D24" s="27" t="s">
        <v>2185</v>
      </c>
      <c r="E24" s="105"/>
      <c r="F24" s="105"/>
      <c r="G24" s="105"/>
      <c r="H24" s="103" t="s">
        <v>2194</v>
      </c>
      <c r="I24" s="103" t="s">
        <v>2199</v>
      </c>
      <c r="J24" s="18" t="str">
        <f xml:space="preserve"> LEFT(韻母對照表[[#This Row],[十五音識別碼]],1)</f>
        <v>經</v>
      </c>
      <c r="K24" s="18" t="s">
        <v>2071</v>
      </c>
      <c r="L24" s="69" t="s">
        <v>111</v>
      </c>
      <c r="M24" s="21"/>
      <c r="N24" s="18">
        <f t="shared" ref="N24" si="22" xml:space="preserve"> LEN(D24)</f>
        <v>3</v>
      </c>
      <c r="O24" s="26"/>
      <c r="P24" s="21" t="str">
        <f>C22</f>
        <v>eh</v>
      </c>
      <c r="Q24" s="21" t="str">
        <f>D22</f>
        <v>eh</v>
      </c>
      <c r="S24" s="47" t="str">
        <f xml:space="preserve"> _xlfn.CONCAT(P24, "(\d)")</f>
        <v>eh(\d)</v>
      </c>
      <c r="T24" s="50" t="s">
        <v>1028</v>
      </c>
      <c r="U24" s="50" t="str">
        <f xml:space="preserve"> IFERROR( IF(T24="", "", SEARCH(T24, $P24)), "")</f>
        <v/>
      </c>
      <c r="V24" s="47" t="str">
        <f xml:space="preserve"> IFERROR( _xlfn.CONCAT(LEFT(P24,U24-1), "》", MID(P24,U24,1), "${1}", RIGHT(P24, LEN(P24)-U24)), "" )</f>
        <v/>
      </c>
      <c r="W24" s="19"/>
      <c r="X24" s="20" t="str">
        <f xml:space="preserve"> IF(AND(Q24&lt;&gt;"", P24&lt;&gt;""), "    - xform/》" &amp; S24 &amp;  "/"  &amp; V24 &amp;  "/", "")</f>
        <v xml:space="preserve">    - xform/》eh(\d)//</v>
      </c>
    </row>
    <row r="25" spans="1:24" ht="27.75" thickBot="1">
      <c r="A25" s="101">
        <f t="shared" si="8"/>
        <v>22</v>
      </c>
      <c r="B25" s="63" t="s">
        <v>2090</v>
      </c>
      <c r="C25" s="65" t="s">
        <v>340</v>
      </c>
      <c r="D25" s="21" t="s">
        <v>340</v>
      </c>
      <c r="E25" s="21" t="s">
        <v>340</v>
      </c>
      <c r="F25" s="21" t="s">
        <v>342</v>
      </c>
      <c r="G25" s="23" t="s">
        <v>341</v>
      </c>
      <c r="H25" s="21" t="s">
        <v>339</v>
      </c>
      <c r="I25" s="21" t="s">
        <v>2014</v>
      </c>
      <c r="J25" s="18" t="str">
        <f xml:space="preserve"> LEFT(韻母對照表[[#This Row],[十五音識別碼]],1)</f>
        <v>更</v>
      </c>
      <c r="K25" s="18" t="s">
        <v>336</v>
      </c>
      <c r="L25" s="18" t="s">
        <v>343</v>
      </c>
      <c r="M25" s="61" t="s">
        <v>1091</v>
      </c>
      <c r="N25" s="18">
        <f t="shared" si="0"/>
        <v>3</v>
      </c>
      <c r="O25" s="26"/>
      <c r="P25" s="21" t="str">
        <f>C46</f>
        <v>inn</v>
      </c>
      <c r="Q25" s="21" t="str">
        <f>D46</f>
        <v>inn</v>
      </c>
      <c r="S25" s="47" t="str">
        <f t="shared" si="13"/>
        <v>inn(\d)</v>
      </c>
      <c r="T25" s="50" t="s">
        <v>1016</v>
      </c>
      <c r="U25" s="50" t="str">
        <f t="shared" si="14"/>
        <v/>
      </c>
      <c r="V25" s="47" t="str">
        <f t="shared" si="15"/>
        <v/>
      </c>
      <c r="W25" s="19"/>
      <c r="X25" s="20" t="str">
        <f t="shared" si="16"/>
        <v xml:space="preserve">    - xform/》inn(\d)//</v>
      </c>
    </row>
    <row r="26" spans="1:24" ht="30.75" thickBot="1">
      <c r="A26" s="101">
        <f t="shared" si="8"/>
        <v>23</v>
      </c>
      <c r="B26" s="63" t="s">
        <v>2092</v>
      </c>
      <c r="C26" s="65" t="s">
        <v>346</v>
      </c>
      <c r="D26" s="27" t="s">
        <v>1927</v>
      </c>
      <c r="E26" s="27" t="s">
        <v>1927</v>
      </c>
      <c r="F26" s="27" t="s">
        <v>1927</v>
      </c>
      <c r="G26" s="27" t="s">
        <v>1970</v>
      </c>
      <c r="H26" s="68" t="s">
        <v>727</v>
      </c>
      <c r="I26" s="106" t="s">
        <v>2015</v>
      </c>
      <c r="J26" s="18" t="str">
        <f xml:space="preserve"> LEFT(韻母對照表[[#This Row],[十五音識別碼]],1)</f>
        <v>更</v>
      </c>
      <c r="K26" s="18" t="s">
        <v>344</v>
      </c>
      <c r="L26" s="70" t="s">
        <v>347</v>
      </c>
      <c r="M26" s="61" t="s">
        <v>1091</v>
      </c>
      <c r="N26" s="18">
        <f t="shared" si="0"/>
        <v>4</v>
      </c>
      <c r="O26" s="26"/>
      <c r="P26" s="21" t="str">
        <f>C43</f>
        <v>im</v>
      </c>
      <c r="Q26" s="21" t="str">
        <f>D43</f>
        <v>im</v>
      </c>
      <c r="S26" s="47" t="str">
        <f t="shared" si="13"/>
        <v>im(\d)</v>
      </c>
      <c r="T26" s="50" t="s">
        <v>981</v>
      </c>
      <c r="U26" s="50" t="str">
        <f t="shared" si="14"/>
        <v/>
      </c>
      <c r="V26" s="47" t="str">
        <f t="shared" si="15"/>
        <v/>
      </c>
      <c r="W26" s="19"/>
      <c r="X26" s="20" t="str">
        <f t="shared" si="16"/>
        <v xml:space="preserve">    - xform/》im(\d)//</v>
      </c>
    </row>
    <row r="27" spans="1:24" ht="27.75" thickBot="1">
      <c r="A27" s="101">
        <f t="shared" si="8"/>
        <v>24</v>
      </c>
      <c r="B27" s="63" t="s">
        <v>2093</v>
      </c>
      <c r="C27" s="65" t="s">
        <v>324</v>
      </c>
      <c r="D27" s="21" t="s">
        <v>324</v>
      </c>
      <c r="E27" s="21" t="s">
        <v>324</v>
      </c>
      <c r="F27" s="21" t="s">
        <v>324</v>
      </c>
      <c r="G27" s="23" t="s">
        <v>324</v>
      </c>
      <c r="H27" s="21" t="s">
        <v>326</v>
      </c>
      <c r="I27" s="21" t="s">
        <v>326</v>
      </c>
      <c r="J27" s="18" t="str">
        <f xml:space="preserve"> LEFT(韻母對照表[[#This Row],[十五音識別碼]],1)</f>
        <v>居</v>
      </c>
      <c r="K27" s="18" t="s">
        <v>323</v>
      </c>
      <c r="L27" s="18" t="s">
        <v>327</v>
      </c>
      <c r="M27" s="21"/>
      <c r="N27" s="18">
        <f t="shared" si="0"/>
        <v>1</v>
      </c>
      <c r="O27" s="26"/>
      <c r="P27" s="21" t="str">
        <f>C44</f>
        <v>in</v>
      </c>
      <c r="Q27" s="21" t="str">
        <f>D44</f>
        <v>in</v>
      </c>
      <c r="S27" s="47" t="str">
        <f t="shared" si="13"/>
        <v>in(\d)</v>
      </c>
      <c r="T27" s="50" t="s">
        <v>1028</v>
      </c>
      <c r="U27" s="50" t="str">
        <f t="shared" si="14"/>
        <v/>
      </c>
      <c r="V27" s="47" t="str">
        <f t="shared" si="15"/>
        <v/>
      </c>
      <c r="W27" s="19"/>
      <c r="X27" s="20" t="str">
        <f t="shared" si="16"/>
        <v xml:space="preserve">    - xform/》in(\d)//</v>
      </c>
    </row>
    <row r="28" spans="1:24" ht="27.75" thickBot="1">
      <c r="A28" s="101">
        <f t="shared" si="8"/>
        <v>25</v>
      </c>
      <c r="B28" s="63" t="s">
        <v>2133</v>
      </c>
      <c r="C28" s="65" t="s">
        <v>272</v>
      </c>
      <c r="D28" s="21" t="s">
        <v>272</v>
      </c>
      <c r="E28" s="21" t="s">
        <v>272</v>
      </c>
      <c r="F28" s="21" t="s">
        <v>272</v>
      </c>
      <c r="G28" s="23" t="s">
        <v>272</v>
      </c>
      <c r="H28" s="21" t="s">
        <v>274</v>
      </c>
      <c r="I28" s="21" t="s">
        <v>274</v>
      </c>
      <c r="J28" s="18" t="str">
        <f xml:space="preserve"> LEFT(韻母對照表[[#This Row],[十五音識別碼]],1)</f>
        <v>迦</v>
      </c>
      <c r="K28" s="18" t="s">
        <v>271</v>
      </c>
      <c r="L28" s="18" t="s">
        <v>275</v>
      </c>
      <c r="M28" s="21"/>
      <c r="N28" s="18">
        <f t="shared" ref="N28:N42" si="23" xml:space="preserve"> LEN(D28)</f>
        <v>2</v>
      </c>
      <c r="O28" s="26"/>
      <c r="P28" s="21" t="str">
        <f>C31</f>
        <v>iam</v>
      </c>
      <c r="Q28" s="21" t="str">
        <f>D31</f>
        <v>iam</v>
      </c>
      <c r="S28" s="47" t="str">
        <f t="shared" ref="S28:S42" si="24" xml:space="preserve"> _xlfn.CONCAT(P28, "(\d)")</f>
        <v>iam(\d)</v>
      </c>
      <c r="T28" s="50" t="s">
        <v>1029</v>
      </c>
      <c r="U28" s="50">
        <f t="shared" ref="U28:U42" si="25" xml:space="preserve"> IFERROR( IF(T28="", "", SEARCH(T28, $P28)), "")</f>
        <v>1</v>
      </c>
      <c r="V28" s="47" t="str">
        <f t="shared" ref="V28:V42" si="26" xml:space="preserve"> IFERROR( _xlfn.CONCAT(LEFT(P28,U28-1), "》", MID(P28,U28,1), "${1}", RIGHT(P28, LEN(P28)-U28)), "" )</f>
        <v>》i${1}am</v>
      </c>
      <c r="W28" s="19"/>
      <c r="X28" s="20" t="str">
        <f t="shared" ref="X28:X42" si="27" xml:space="preserve"> IF(AND(Q28&lt;&gt;"", P28&lt;&gt;""), "    - xform/》" &amp; S28 &amp;  "/"  &amp; V28 &amp;  "/", "")</f>
        <v xml:space="preserve">    - xform/》iam(\d)/》i${1}am/</v>
      </c>
    </row>
    <row r="29" spans="1:24" ht="27.75" thickBot="1">
      <c r="A29" s="101">
        <f t="shared" si="8"/>
        <v>26</v>
      </c>
      <c r="B29" s="63" t="str">
        <f xml:space="preserve"> _xlfn.CONCAT(B28, "ʔ")</f>
        <v>ɪaʔ</v>
      </c>
      <c r="C29" s="65" t="s">
        <v>278</v>
      </c>
      <c r="D29" s="21" t="s">
        <v>278</v>
      </c>
      <c r="E29" s="21" t="s">
        <v>278</v>
      </c>
      <c r="F29" s="21" t="s">
        <v>278</v>
      </c>
      <c r="G29" s="23" t="s">
        <v>278</v>
      </c>
      <c r="H29" s="21" t="s">
        <v>1954</v>
      </c>
      <c r="I29" s="21" t="s">
        <v>2006</v>
      </c>
      <c r="J29" s="18" t="str">
        <f xml:space="preserve"> LEFT(韻母對照表[[#This Row],[十五音識別碼]],1)</f>
        <v>迦</v>
      </c>
      <c r="K29" s="18" t="s">
        <v>277</v>
      </c>
      <c r="L29" s="18" t="s">
        <v>279</v>
      </c>
      <c r="M29" s="21"/>
      <c r="N29" s="18">
        <f t="shared" si="23"/>
        <v>3</v>
      </c>
      <c r="O29" s="26"/>
      <c r="P29" s="21" t="str">
        <f>C33</f>
        <v>iang</v>
      </c>
      <c r="Q29" s="21" t="str">
        <f>D33</f>
        <v>iang</v>
      </c>
      <c r="S29" s="47" t="str">
        <f t="shared" si="24"/>
        <v>iang(\d)</v>
      </c>
      <c r="T29" s="50" t="s">
        <v>1029</v>
      </c>
      <c r="U29" s="50">
        <f t="shared" si="25"/>
        <v>1</v>
      </c>
      <c r="V29" s="47" t="str">
        <f t="shared" si="26"/>
        <v>》i${1}ang</v>
      </c>
      <c r="W29" s="19"/>
      <c r="X29" s="20" t="str">
        <f t="shared" si="27"/>
        <v xml:space="preserve">    - xform/》iang(\d)/》i${1}ang/</v>
      </c>
    </row>
    <row r="30" spans="1:24" ht="27.75" thickBot="1">
      <c r="A30" s="101">
        <f t="shared" si="8"/>
        <v>27</v>
      </c>
      <c r="B30" s="63" t="s">
        <v>2137</v>
      </c>
      <c r="C30" s="65" t="s">
        <v>207</v>
      </c>
      <c r="D30" s="21" t="s">
        <v>207</v>
      </c>
      <c r="E30" s="21" t="s">
        <v>207</v>
      </c>
      <c r="F30" s="21" t="s">
        <v>207</v>
      </c>
      <c r="G30" s="23" t="s">
        <v>207</v>
      </c>
      <c r="H30" s="21" t="s">
        <v>1957</v>
      </c>
      <c r="I30" s="21" t="s">
        <v>1998</v>
      </c>
      <c r="J30" s="18" t="str">
        <f xml:space="preserve"> LEFT(韻母對照表[[#This Row],[十五音識別碼]],1)</f>
        <v>姜</v>
      </c>
      <c r="K30" s="18" t="s">
        <v>206</v>
      </c>
      <c r="L30" s="18" t="s">
        <v>208</v>
      </c>
      <c r="M30" s="21"/>
      <c r="N30" s="18">
        <f t="shared" si="23"/>
        <v>3</v>
      </c>
      <c r="O30" s="26"/>
      <c r="P30" s="21" t="str">
        <f>C47</f>
        <v>io</v>
      </c>
      <c r="Q30" s="21" t="str">
        <f>D47</f>
        <v>io</v>
      </c>
      <c r="S30" s="47" t="str">
        <f t="shared" si="24"/>
        <v>io(\d)</v>
      </c>
      <c r="T30" s="50" t="s">
        <v>1028</v>
      </c>
      <c r="U30" s="50" t="str">
        <f t="shared" si="25"/>
        <v/>
      </c>
      <c r="V30" s="47" t="str">
        <f t="shared" si="26"/>
        <v/>
      </c>
      <c r="W30" s="19"/>
      <c r="X30" s="20" t="str">
        <f t="shared" si="27"/>
        <v xml:space="preserve">    - xform/》io(\d)//</v>
      </c>
    </row>
    <row r="31" spans="1:24" ht="27.75" thickBot="1">
      <c r="A31" s="101">
        <f t="shared" si="8"/>
        <v>28</v>
      </c>
      <c r="B31" s="63" t="s">
        <v>2134</v>
      </c>
      <c r="C31" s="65" t="s">
        <v>247</v>
      </c>
      <c r="D31" s="21" t="s">
        <v>247</v>
      </c>
      <c r="E31" s="21" t="s">
        <v>247</v>
      </c>
      <c r="F31" s="21" t="s">
        <v>247</v>
      </c>
      <c r="G31" s="23" t="s">
        <v>247</v>
      </c>
      <c r="H31" s="21" t="s">
        <v>249</v>
      </c>
      <c r="I31" s="21" t="s">
        <v>2003</v>
      </c>
      <c r="J31" s="18" t="str">
        <f xml:space="preserve"> LEFT(韻母對照表[[#This Row],[十五音識別碼]],1)</f>
        <v>兼</v>
      </c>
      <c r="K31" s="18" t="s">
        <v>246</v>
      </c>
      <c r="L31" s="18" t="s">
        <v>250</v>
      </c>
      <c r="M31" s="21"/>
      <c r="N31" s="18">
        <f t="shared" si="23"/>
        <v>3</v>
      </c>
      <c r="O31" s="26"/>
      <c r="P31" s="21" t="str">
        <f>C37</f>
        <v>iat</v>
      </c>
      <c r="Q31" s="21" t="str">
        <f>D37</f>
        <v>iat</v>
      </c>
      <c r="S31" s="47" t="str">
        <f t="shared" si="24"/>
        <v>iat(\d)</v>
      </c>
      <c r="T31" s="50" t="s">
        <v>981</v>
      </c>
      <c r="U31" s="50" t="str">
        <f t="shared" si="25"/>
        <v/>
      </c>
      <c r="V31" s="47" t="str">
        <f t="shared" si="26"/>
        <v/>
      </c>
      <c r="W31" s="19"/>
      <c r="X31" s="20" t="str">
        <f t="shared" si="27"/>
        <v xml:space="preserve">    - xform/》iat(\d)//</v>
      </c>
    </row>
    <row r="32" spans="1:24" ht="27.75" thickBot="1">
      <c r="A32" s="101">
        <f t="shared" si="8"/>
        <v>29</v>
      </c>
      <c r="B32" s="63" t="s">
        <v>2176</v>
      </c>
      <c r="C32" s="65" t="s">
        <v>27</v>
      </c>
      <c r="D32" s="21" t="s">
        <v>27</v>
      </c>
      <c r="E32" s="21" t="s">
        <v>27</v>
      </c>
      <c r="F32" s="21" t="s">
        <v>27</v>
      </c>
      <c r="G32" s="23" t="s">
        <v>27</v>
      </c>
      <c r="H32" s="21" t="s">
        <v>29</v>
      </c>
      <c r="I32" s="21" t="s">
        <v>29</v>
      </c>
      <c r="J32" s="18" t="str">
        <f xml:space="preserve"> LEFT(韻母對照表[[#This Row],[十五音識別碼]],1)</f>
        <v>堅</v>
      </c>
      <c r="K32" s="18" t="s">
        <v>26</v>
      </c>
      <c r="L32" s="18" t="s">
        <v>30</v>
      </c>
      <c r="M32" s="21"/>
      <c r="N32" s="18">
        <f t="shared" si="23"/>
        <v>3</v>
      </c>
      <c r="O32" s="26"/>
      <c r="P32" s="21" t="str">
        <f>C30</f>
        <v>iak</v>
      </c>
      <c r="Q32" s="21" t="str">
        <f>D30</f>
        <v>iak</v>
      </c>
      <c r="S32" s="47" t="str">
        <f t="shared" si="24"/>
        <v>iak(\d)</v>
      </c>
      <c r="T32" s="50" t="s">
        <v>1086</v>
      </c>
      <c r="U32" s="50" t="str">
        <f t="shared" si="25"/>
        <v/>
      </c>
      <c r="V32" s="47" t="str">
        <f t="shared" si="26"/>
        <v/>
      </c>
      <c r="W32" s="19"/>
      <c r="X32" s="20" t="str">
        <f t="shared" si="27"/>
        <v xml:space="preserve">    - xform/》iak(\d)//</v>
      </c>
    </row>
    <row r="33" spans="1:24" ht="27.75" thickBot="1">
      <c r="A33" s="101">
        <f t="shared" si="8"/>
        <v>30</v>
      </c>
      <c r="B33" s="63" t="s">
        <v>2135</v>
      </c>
      <c r="C33" s="65" t="s">
        <v>203</v>
      </c>
      <c r="D33" s="21" t="s">
        <v>203</v>
      </c>
      <c r="E33" s="21" t="s">
        <v>203</v>
      </c>
      <c r="F33" s="21" t="s">
        <v>203</v>
      </c>
      <c r="G33" s="23" t="s">
        <v>203</v>
      </c>
      <c r="H33" s="21" t="s">
        <v>1956</v>
      </c>
      <c r="I33" s="21" t="s">
        <v>1956</v>
      </c>
      <c r="J33" s="18" t="str">
        <f xml:space="preserve"> LEFT(韻母對照表[[#This Row],[十五音識別碼]],1)</f>
        <v>姜</v>
      </c>
      <c r="K33" s="18" t="s">
        <v>200</v>
      </c>
      <c r="L33" s="18" t="s">
        <v>204</v>
      </c>
      <c r="M33" s="21"/>
      <c r="N33" s="18">
        <f t="shared" si="23"/>
        <v>4</v>
      </c>
      <c r="O33" s="26"/>
      <c r="P33" s="21" t="str">
        <f>C38</f>
        <v>iau</v>
      </c>
      <c r="Q33" s="21" t="str">
        <f>D38</f>
        <v>iau</v>
      </c>
      <c r="S33" s="47" t="str">
        <f t="shared" si="24"/>
        <v>iau(\d)</v>
      </c>
      <c r="T33" s="50" t="s">
        <v>1016</v>
      </c>
      <c r="U33" s="50" t="str">
        <f t="shared" si="25"/>
        <v/>
      </c>
      <c r="V33" s="47" t="str">
        <f t="shared" si="26"/>
        <v/>
      </c>
      <c r="W33" s="19"/>
      <c r="X33" s="20" t="str">
        <f t="shared" si="27"/>
        <v xml:space="preserve">    - xform/》iau(\d)//</v>
      </c>
    </row>
    <row r="34" spans="1:24" ht="27.75" thickBot="1">
      <c r="A34" s="101">
        <f t="shared" si="8"/>
        <v>31</v>
      </c>
      <c r="B34" s="63" t="str">
        <f>_xlfn.CONCAT("ɪ", "a", _xlfn.UNICHAR(771), "")</f>
        <v>ɪã</v>
      </c>
      <c r="C34" s="65" t="s">
        <v>391</v>
      </c>
      <c r="D34" s="21" t="s">
        <v>391</v>
      </c>
      <c r="E34" s="21" t="s">
        <v>391</v>
      </c>
      <c r="F34" s="21" t="s">
        <v>394</v>
      </c>
      <c r="G34" s="23" t="s">
        <v>393</v>
      </c>
      <c r="H34" s="21" t="s">
        <v>390</v>
      </c>
      <c r="I34" s="21" t="s">
        <v>2021</v>
      </c>
      <c r="J34" s="18" t="str">
        <f xml:space="preserve"> LEFT(韻母對照表[[#This Row],[十五音識別碼]],1)</f>
        <v>驚</v>
      </c>
      <c r="K34" s="18" t="s">
        <v>2071</v>
      </c>
      <c r="L34" s="18" t="s">
        <v>395</v>
      </c>
      <c r="M34" s="61" t="s">
        <v>1091</v>
      </c>
      <c r="N34" s="18">
        <f t="shared" si="23"/>
        <v>4</v>
      </c>
      <c r="O34" s="26"/>
      <c r="P34" s="21" t="str">
        <f>C32</f>
        <v>ian</v>
      </c>
      <c r="Q34" s="21" t="str">
        <f>D32</f>
        <v>ian</v>
      </c>
      <c r="S34" s="47" t="str">
        <f t="shared" si="24"/>
        <v>ian(\d)</v>
      </c>
      <c r="T34" s="50" t="s">
        <v>1029</v>
      </c>
      <c r="U34" s="50">
        <f t="shared" si="25"/>
        <v>1</v>
      </c>
      <c r="V34" s="47" t="str">
        <f t="shared" si="26"/>
        <v>》i${1}an</v>
      </c>
      <c r="W34" s="19"/>
      <c r="X34" s="20" t="str">
        <f t="shared" si="27"/>
        <v xml:space="preserve">    - xform/》ian(\d)/》i${1}an/</v>
      </c>
    </row>
    <row r="35" spans="1:24" ht="30.75" thickBot="1">
      <c r="A35" s="101">
        <f t="shared" si="8"/>
        <v>32</v>
      </c>
      <c r="B35" s="63" t="str">
        <f xml:space="preserve"> _xlfn.CONCAT(B34, "ʔ")</f>
        <v>ɪãʔ</v>
      </c>
      <c r="C35" s="65" t="s">
        <v>392</v>
      </c>
      <c r="D35" s="27" t="s">
        <v>1928</v>
      </c>
      <c r="E35" s="27" t="s">
        <v>1928</v>
      </c>
      <c r="F35" s="27" t="s">
        <v>1928</v>
      </c>
      <c r="G35" s="27" t="s">
        <v>1971</v>
      </c>
      <c r="H35" s="67" t="s">
        <v>1929</v>
      </c>
      <c r="I35" s="67" t="s">
        <v>2201</v>
      </c>
      <c r="J35" s="18" t="str">
        <f xml:space="preserve"> LEFT(韻母對照表[[#This Row],[十五音識別碼]],1)</f>
        <v>迦</v>
      </c>
      <c r="K35" s="18" t="s">
        <v>388</v>
      </c>
      <c r="L35" s="70" t="s">
        <v>279</v>
      </c>
      <c r="M35" s="61" t="s">
        <v>1091</v>
      </c>
      <c r="N35" s="18">
        <f t="shared" si="23"/>
        <v>5</v>
      </c>
      <c r="O35" s="26"/>
      <c r="P35" s="21" t="str">
        <f>C36</f>
        <v>iap</v>
      </c>
      <c r="Q35" s="21" t="str">
        <f>D36</f>
        <v>iap</v>
      </c>
      <c r="S35" s="47" t="str">
        <f t="shared" si="24"/>
        <v>iap(\d)</v>
      </c>
      <c r="T35" s="50" t="s">
        <v>1029</v>
      </c>
      <c r="U35" s="50">
        <f t="shared" si="25"/>
        <v>1</v>
      </c>
      <c r="V35" s="47" t="str">
        <f t="shared" si="26"/>
        <v>》i${1}ap</v>
      </c>
      <c r="W35" s="19"/>
      <c r="X35" s="20" t="str">
        <f t="shared" si="27"/>
        <v xml:space="preserve">    - xform/》iap(\d)/》i${1}ap/</v>
      </c>
    </row>
    <row r="36" spans="1:24" ht="27.75" thickBot="1">
      <c r="A36" s="101">
        <f t="shared" si="8"/>
        <v>33</v>
      </c>
      <c r="B36" s="63" t="s">
        <v>2136</v>
      </c>
      <c r="C36" s="65" t="s">
        <v>256</v>
      </c>
      <c r="D36" s="21" t="s">
        <v>256</v>
      </c>
      <c r="E36" s="21" t="s">
        <v>256</v>
      </c>
      <c r="F36" s="21" t="s">
        <v>256</v>
      </c>
      <c r="G36" s="23" t="s">
        <v>256</v>
      </c>
      <c r="H36" s="21" t="s">
        <v>255</v>
      </c>
      <c r="I36" s="21" t="s">
        <v>2004</v>
      </c>
      <c r="J36" s="18" t="str">
        <f xml:space="preserve"> LEFT(韻母對照表[[#This Row],[十五音識別碼]],1)</f>
        <v>兼</v>
      </c>
      <c r="K36" s="18" t="s">
        <v>253</v>
      </c>
      <c r="L36" s="18" t="s">
        <v>257</v>
      </c>
      <c r="M36" s="21"/>
      <c r="N36" s="18">
        <f t="shared" si="23"/>
        <v>3</v>
      </c>
      <c r="O36" s="26"/>
      <c r="P36" s="21" t="str">
        <f>C40</f>
        <v>iaunn</v>
      </c>
      <c r="Q36" s="21" t="str">
        <f>D40</f>
        <v>iaunn</v>
      </c>
      <c r="S36" s="47" t="str">
        <f t="shared" si="24"/>
        <v>iaunn(\d)</v>
      </c>
      <c r="T36" s="50" t="s">
        <v>1016</v>
      </c>
      <c r="U36" s="50" t="str">
        <f t="shared" si="25"/>
        <v/>
      </c>
      <c r="V36" s="47" t="str">
        <f t="shared" si="26"/>
        <v/>
      </c>
      <c r="W36" s="19"/>
      <c r="X36" s="20" t="str">
        <f t="shared" si="27"/>
        <v xml:space="preserve">    - xform/》iaunn(\d)//</v>
      </c>
    </row>
    <row r="37" spans="1:24" ht="27.75" thickBot="1">
      <c r="A37" s="101">
        <f t="shared" si="8"/>
        <v>34</v>
      </c>
      <c r="B37" s="63" t="s">
        <v>2177</v>
      </c>
      <c r="C37" s="65" t="s">
        <v>34</v>
      </c>
      <c r="D37" s="21" t="s">
        <v>34</v>
      </c>
      <c r="E37" s="21" t="s">
        <v>34</v>
      </c>
      <c r="F37" s="21" t="s">
        <v>34</v>
      </c>
      <c r="G37" s="23" t="s">
        <v>34</v>
      </c>
      <c r="H37" s="21" t="s">
        <v>33</v>
      </c>
      <c r="I37" s="21" t="s">
        <v>1982</v>
      </c>
      <c r="J37" s="18" t="str">
        <f xml:space="preserve"> LEFT(韻母對照表[[#This Row],[十五音識別碼]],1)</f>
        <v>堅</v>
      </c>
      <c r="K37" s="18" t="s">
        <v>32</v>
      </c>
      <c r="L37" s="18" t="s">
        <v>35</v>
      </c>
      <c r="M37" s="21"/>
      <c r="N37" s="18">
        <f t="shared" si="23"/>
        <v>3</v>
      </c>
      <c r="O37" s="26"/>
      <c r="P37" s="21" t="str">
        <f>C39</f>
        <v>iauh</v>
      </c>
      <c r="Q37" s="21" t="str">
        <f>D39</f>
        <v>iauh</v>
      </c>
      <c r="S37" s="47" t="str">
        <f t="shared" si="24"/>
        <v>iauh(\d)</v>
      </c>
      <c r="T37" s="50" t="s">
        <v>1016</v>
      </c>
      <c r="U37" s="50" t="str">
        <f t="shared" si="25"/>
        <v/>
      </c>
      <c r="V37" s="47" t="str">
        <f t="shared" si="26"/>
        <v/>
      </c>
      <c r="W37" s="19"/>
      <c r="X37" s="20" t="str">
        <f t="shared" si="27"/>
        <v xml:space="preserve">    - xform/》iauh(\d)//</v>
      </c>
    </row>
    <row r="38" spans="1:24" ht="27.75" thickBot="1">
      <c r="A38" s="101">
        <f t="shared" si="8"/>
        <v>35</v>
      </c>
      <c r="B38" s="63" t="s">
        <v>2088</v>
      </c>
      <c r="C38" s="65" t="s">
        <v>141</v>
      </c>
      <c r="D38" s="21" t="s">
        <v>141</v>
      </c>
      <c r="E38" s="21" t="s">
        <v>141</v>
      </c>
      <c r="F38" s="21" t="s">
        <v>144</v>
      </c>
      <c r="G38" s="23" t="s">
        <v>141</v>
      </c>
      <c r="H38" s="21" t="s">
        <v>143</v>
      </c>
      <c r="I38" s="21" t="s">
        <v>143</v>
      </c>
      <c r="J38" s="18" t="str">
        <f xml:space="preserve"> LEFT(韻母對照表[[#This Row],[十五音識別碼]],1)</f>
        <v>嬌</v>
      </c>
      <c r="K38" s="18" t="s">
        <v>140</v>
      </c>
      <c r="L38" s="18" t="s">
        <v>145</v>
      </c>
      <c r="M38" s="21"/>
      <c r="N38" s="18">
        <f t="shared" si="23"/>
        <v>3</v>
      </c>
      <c r="O38" s="26"/>
      <c r="P38" s="21" t="str">
        <f>C53</f>
        <v>ionn</v>
      </c>
      <c r="Q38" s="21" t="str">
        <f>D53</f>
        <v>ionn</v>
      </c>
      <c r="S38" s="47" t="str">
        <f t="shared" si="24"/>
        <v>ionn(\d)</v>
      </c>
      <c r="T38" s="50" t="s">
        <v>1028</v>
      </c>
      <c r="U38" s="50" t="str">
        <f t="shared" si="25"/>
        <v/>
      </c>
      <c r="V38" s="47" t="str">
        <f t="shared" si="26"/>
        <v/>
      </c>
      <c r="W38" s="19"/>
      <c r="X38" s="20" t="str">
        <f t="shared" si="27"/>
        <v xml:space="preserve">    - xform/》ionn(\d)//</v>
      </c>
    </row>
    <row r="39" spans="1:24" ht="27.75" thickBot="1">
      <c r="A39" s="101">
        <f t="shared" si="8"/>
        <v>36</v>
      </c>
      <c r="B39" s="63" t="str">
        <f xml:space="preserve"> _xlfn.CONCAT(B38, "ʔ")</f>
        <v>ɪaʊʔ</v>
      </c>
      <c r="C39" s="65" t="s">
        <v>148</v>
      </c>
      <c r="D39" s="21" t="s">
        <v>148</v>
      </c>
      <c r="E39" s="21" t="s">
        <v>148</v>
      </c>
      <c r="F39" s="21" t="s">
        <v>149</v>
      </c>
      <c r="G39" s="23" t="s">
        <v>148</v>
      </c>
      <c r="H39" s="21" t="s">
        <v>1958</v>
      </c>
      <c r="I39" s="21" t="s">
        <v>1993</v>
      </c>
      <c r="J39" s="18" t="str">
        <f xml:space="preserve"> LEFT(韻母對照表[[#This Row],[十五音識別碼]],1)</f>
        <v>嬌</v>
      </c>
      <c r="K39" s="18" t="s">
        <v>147</v>
      </c>
      <c r="L39" s="18" t="s">
        <v>150</v>
      </c>
      <c r="M39" s="21"/>
      <c r="N39" s="18">
        <f t="shared" si="23"/>
        <v>4</v>
      </c>
      <c r="O39" s="26"/>
      <c r="P39" s="21" t="str">
        <f>C50</f>
        <v>iong</v>
      </c>
      <c r="Q39" s="21" t="str">
        <f>D50</f>
        <v>iong</v>
      </c>
      <c r="S39" s="47" t="str">
        <f t="shared" si="24"/>
        <v>iong(\d)</v>
      </c>
      <c r="T39" s="50" t="s">
        <v>1028</v>
      </c>
      <c r="U39" s="50" t="str">
        <f t="shared" si="25"/>
        <v/>
      </c>
      <c r="V39" s="47" t="str">
        <f t="shared" si="26"/>
        <v/>
      </c>
      <c r="W39" s="19"/>
      <c r="X39" s="20" t="str">
        <f t="shared" si="27"/>
        <v xml:space="preserve">    - xform/》iong(\d)//</v>
      </c>
    </row>
    <row r="40" spans="1:24" ht="27.75" thickBot="1">
      <c r="A40" s="101">
        <f t="shared" si="8"/>
        <v>37</v>
      </c>
      <c r="B40" s="63" t="str">
        <f>_xlfn.CONCAT("ɪ", "a", _xlfn.UNICHAR(771), "ʊ")</f>
        <v>ɪãʊ</v>
      </c>
      <c r="C40" s="65" t="s">
        <v>465</v>
      </c>
      <c r="D40" s="21" t="s">
        <v>465</v>
      </c>
      <c r="E40" s="21" t="s">
        <v>465</v>
      </c>
      <c r="F40" s="21" t="s">
        <v>467</v>
      </c>
      <c r="G40" s="23" t="s">
        <v>466</v>
      </c>
      <c r="H40" s="21" t="s">
        <v>464</v>
      </c>
      <c r="I40" s="21" t="s">
        <v>2029</v>
      </c>
      <c r="J40" s="18" t="str">
        <f xml:space="preserve"> LEFT(韻母對照表[[#This Row],[十五音識別碼]],1)</f>
        <v>嘄</v>
      </c>
      <c r="K40" s="18" t="s">
        <v>462</v>
      </c>
      <c r="L40" s="18" t="s">
        <v>468</v>
      </c>
      <c r="M40" s="61" t="s">
        <v>1091</v>
      </c>
      <c r="N40" s="18">
        <f t="shared" si="23"/>
        <v>5</v>
      </c>
      <c r="O40" s="26"/>
      <c r="P40" s="21" t="str">
        <f>C48</f>
        <v>ioh</v>
      </c>
      <c r="Q40" s="21" t="str">
        <f>D48</f>
        <v>ioh</v>
      </c>
      <c r="S40" s="47" t="str">
        <f t="shared" si="24"/>
        <v>ioh(\d)</v>
      </c>
      <c r="T40" s="50" t="s">
        <v>1028</v>
      </c>
      <c r="U40" s="50" t="str">
        <f t="shared" si="25"/>
        <v/>
      </c>
      <c r="V40" s="47" t="str">
        <f t="shared" si="26"/>
        <v/>
      </c>
      <c r="W40" s="19"/>
      <c r="X40" s="20" t="str">
        <f t="shared" si="27"/>
        <v xml:space="preserve">    - xform/》ioh(\d)//</v>
      </c>
    </row>
    <row r="41" spans="1:24" ht="27.75" thickBot="1">
      <c r="A41" s="101">
        <f t="shared" si="8"/>
        <v>38</v>
      </c>
      <c r="B41" s="63" t="s">
        <v>2095</v>
      </c>
      <c r="C41" s="65" t="s">
        <v>329</v>
      </c>
      <c r="D41" s="21" t="s">
        <v>329</v>
      </c>
      <c r="E41" s="21" t="s">
        <v>329</v>
      </c>
      <c r="F41" s="21" t="s">
        <v>329</v>
      </c>
      <c r="G41" s="23" t="s">
        <v>329</v>
      </c>
      <c r="H41" s="21" t="s">
        <v>1953</v>
      </c>
      <c r="I41" s="21" t="s">
        <v>2013</v>
      </c>
      <c r="J41" s="18" t="str">
        <f xml:space="preserve"> LEFT(韻母對照表[[#This Row],[十五音識別碼]],1)</f>
        <v>居</v>
      </c>
      <c r="K41" s="18" t="s">
        <v>328</v>
      </c>
      <c r="L41" s="18" t="s">
        <v>330</v>
      </c>
      <c r="M41" s="21"/>
      <c r="N41" s="18">
        <f t="shared" si="23"/>
        <v>2</v>
      </c>
      <c r="O41" s="26"/>
      <c r="P41" s="21" t="str">
        <f>C51</f>
        <v>ip</v>
      </c>
      <c r="Q41" s="21" t="str">
        <f>D51</f>
        <v>ip</v>
      </c>
      <c r="S41" s="47" t="str">
        <f t="shared" si="24"/>
        <v>ip(\d)</v>
      </c>
      <c r="T41" s="50" t="s">
        <v>1028</v>
      </c>
      <c r="U41" s="50" t="str">
        <f t="shared" si="25"/>
        <v/>
      </c>
      <c r="V41" s="47" t="str">
        <f t="shared" si="26"/>
        <v/>
      </c>
      <c r="W41" s="19"/>
      <c r="X41" s="20" t="str">
        <f t="shared" si="27"/>
        <v xml:space="preserve">    - xform/》ip(\d)//</v>
      </c>
    </row>
    <row r="42" spans="1:24" ht="27.75" thickBot="1">
      <c r="A42" s="101">
        <f t="shared" si="8"/>
        <v>39</v>
      </c>
      <c r="B42" s="63" t="s">
        <v>2175</v>
      </c>
      <c r="C42" s="65" t="s">
        <v>115</v>
      </c>
      <c r="D42" s="21" t="s">
        <v>115</v>
      </c>
      <c r="E42" s="21" t="s">
        <v>2308</v>
      </c>
      <c r="F42" s="21" t="s">
        <v>115</v>
      </c>
      <c r="G42" s="23" t="s">
        <v>116</v>
      </c>
      <c r="H42" s="21" t="s">
        <v>114</v>
      </c>
      <c r="I42" s="21" t="s">
        <v>1990</v>
      </c>
      <c r="J42" s="18" t="str">
        <f xml:space="preserve"> LEFT(韻母對照表[[#This Row],[十五音識別碼]],1)</f>
        <v>經</v>
      </c>
      <c r="K42" s="18" t="s">
        <v>113</v>
      </c>
      <c r="L42" s="18" t="s">
        <v>117</v>
      </c>
      <c r="M42" s="21"/>
      <c r="N42" s="18">
        <f t="shared" si="23"/>
        <v>2</v>
      </c>
      <c r="O42" s="26"/>
      <c r="P42" s="21" t="str">
        <f>C35</f>
        <v>iannh</v>
      </c>
      <c r="Q42" s="21" t="str">
        <f>D35</f>
        <v>iannh</v>
      </c>
      <c r="S42" s="47" t="str">
        <f t="shared" si="24"/>
        <v>iannh(\d)</v>
      </c>
      <c r="T42" s="50" t="s">
        <v>1028</v>
      </c>
      <c r="U42" s="50">
        <f t="shared" si="25"/>
        <v>2</v>
      </c>
      <c r="V42" s="47" t="str">
        <f t="shared" si="26"/>
        <v>i》a${1}nnh</v>
      </c>
      <c r="W42" s="19"/>
      <c r="X42" s="20" t="str">
        <f t="shared" si="27"/>
        <v xml:space="preserve">    - xform/》iannh(\d)/i》a${1}nnh/</v>
      </c>
    </row>
    <row r="43" spans="1:24" ht="27.75" thickBot="1">
      <c r="A43" s="101">
        <f t="shared" si="8"/>
        <v>40</v>
      </c>
      <c r="B43" s="63" t="s">
        <v>2096</v>
      </c>
      <c r="C43" s="65" t="s">
        <v>38</v>
      </c>
      <c r="D43" s="21" t="s">
        <v>38</v>
      </c>
      <c r="E43" s="21" t="s">
        <v>38</v>
      </c>
      <c r="F43" s="21" t="s">
        <v>38</v>
      </c>
      <c r="G43" s="23" t="s">
        <v>38</v>
      </c>
      <c r="H43" s="21" t="s">
        <v>40</v>
      </c>
      <c r="I43" s="21" t="s">
        <v>1983</v>
      </c>
      <c r="J43" s="18" t="str">
        <f xml:space="preserve"> LEFT(韻母對照表[[#This Row],[十五音識別碼]],1)</f>
        <v>金</v>
      </c>
      <c r="K43" s="18" t="s">
        <v>37</v>
      </c>
      <c r="L43" s="18" t="s">
        <v>41</v>
      </c>
      <c r="M43" s="21"/>
      <c r="N43" s="18">
        <f t="shared" si="0"/>
        <v>2</v>
      </c>
      <c r="O43" s="26"/>
      <c r="P43" s="21" t="str">
        <f t="shared" ref="P43" si="28">C52</f>
        <v>it</v>
      </c>
      <c r="Q43" s="21" t="str">
        <f t="shared" ref="Q43" si="29">D52</f>
        <v>it</v>
      </c>
      <c r="S43" s="47" t="str">
        <f t="shared" si="13"/>
        <v>it(\d)</v>
      </c>
      <c r="T43" s="50" t="s">
        <v>1028</v>
      </c>
      <c r="U43" s="50" t="str">
        <f t="shared" si="14"/>
        <v/>
      </c>
      <c r="V43" s="47" t="str">
        <f t="shared" si="15"/>
        <v/>
      </c>
      <c r="W43" s="19"/>
      <c r="X43" s="20" t="str">
        <f t="shared" si="16"/>
        <v xml:space="preserve">    - xform/》it(\d)//</v>
      </c>
    </row>
    <row r="44" spans="1:24" ht="27.75" thickBot="1">
      <c r="A44" s="101">
        <f t="shared" si="8"/>
        <v>41</v>
      </c>
      <c r="B44" s="63" t="s">
        <v>2097</v>
      </c>
      <c r="C44" s="65" t="s">
        <v>189</v>
      </c>
      <c r="D44" s="21" t="s">
        <v>189</v>
      </c>
      <c r="E44" s="21" t="s">
        <v>189</v>
      </c>
      <c r="F44" s="21" t="s">
        <v>189</v>
      </c>
      <c r="G44" s="23" t="s">
        <v>189</v>
      </c>
      <c r="H44" s="21" t="s">
        <v>191</v>
      </c>
      <c r="I44" s="21" t="s">
        <v>191</v>
      </c>
      <c r="J44" s="18" t="str">
        <f xml:space="preserve"> LEFT(韻母對照表[[#This Row],[十五音識別碼]],1)</f>
        <v>巾</v>
      </c>
      <c r="K44" s="18" t="s">
        <v>188</v>
      </c>
      <c r="L44" s="18" t="s">
        <v>192</v>
      </c>
      <c r="M44" s="21"/>
      <c r="N44" s="18">
        <f t="shared" si="0"/>
        <v>2</v>
      </c>
      <c r="O44" s="26"/>
      <c r="P44" s="21" t="str">
        <f>C42</f>
        <v>ik</v>
      </c>
      <c r="Q44" s="21" t="str">
        <f>D42</f>
        <v>ik</v>
      </c>
      <c r="S44" s="47" t="str">
        <f t="shared" si="13"/>
        <v>ik(\d)</v>
      </c>
      <c r="T44" s="50" t="s">
        <v>1028</v>
      </c>
      <c r="U44" s="50" t="str">
        <f t="shared" si="14"/>
        <v/>
      </c>
      <c r="V44" s="47" t="str">
        <f t="shared" si="15"/>
        <v/>
      </c>
      <c r="W44" s="19"/>
      <c r="X44" s="20" t="str">
        <f t="shared" si="16"/>
        <v xml:space="preserve">    - xform/》ik(\d)//</v>
      </c>
    </row>
    <row r="45" spans="1:24" ht="27.75" thickBot="1">
      <c r="A45" s="101">
        <f t="shared" si="8"/>
        <v>42</v>
      </c>
      <c r="B45" s="63" t="s">
        <v>2098</v>
      </c>
      <c r="C45" s="65" t="s">
        <v>109</v>
      </c>
      <c r="D45" s="21" t="s">
        <v>109</v>
      </c>
      <c r="E45" s="21" t="s">
        <v>109</v>
      </c>
      <c r="F45" s="21" t="s">
        <v>109</v>
      </c>
      <c r="G45" s="23" t="s">
        <v>110</v>
      </c>
      <c r="H45" s="21" t="s">
        <v>108</v>
      </c>
      <c r="I45" s="21" t="s">
        <v>108</v>
      </c>
      <c r="J45" s="18" t="str">
        <f xml:space="preserve"> LEFT(韻母對照表[[#This Row],[十五音識別碼]],1)</f>
        <v>經</v>
      </c>
      <c r="K45" s="18" t="s">
        <v>105</v>
      </c>
      <c r="L45" s="18" t="s">
        <v>111</v>
      </c>
      <c r="M45" s="21"/>
      <c r="N45" s="18">
        <f t="shared" si="0"/>
        <v>3</v>
      </c>
      <c r="O45" s="26"/>
      <c r="P45" s="21" t="str">
        <f>C28</f>
        <v>ia</v>
      </c>
      <c r="Q45" s="21" t="str">
        <f>D28</f>
        <v>ia</v>
      </c>
      <c r="S45" s="47" t="str">
        <f t="shared" si="13"/>
        <v>ia(\d)</v>
      </c>
      <c r="T45" s="50" t="s">
        <v>1028</v>
      </c>
      <c r="U45" s="50">
        <f t="shared" si="14"/>
        <v>2</v>
      </c>
      <c r="V45" s="47" t="str">
        <f t="shared" si="15"/>
        <v>i》a${1}</v>
      </c>
      <c r="W45" s="19"/>
      <c r="X45" s="20" t="str">
        <f t="shared" si="16"/>
        <v xml:space="preserve">    - xform/》ia(\d)/i》a${1}/</v>
      </c>
    </row>
    <row r="46" spans="1:24" ht="27.75" thickBot="1">
      <c r="A46" s="101">
        <f t="shared" si="8"/>
        <v>43</v>
      </c>
      <c r="B46" s="63" t="s">
        <v>2094</v>
      </c>
      <c r="C46" s="65" t="s">
        <v>370</v>
      </c>
      <c r="D46" s="21" t="s">
        <v>370</v>
      </c>
      <c r="E46" s="21" t="s">
        <v>370</v>
      </c>
      <c r="F46" s="21" t="s">
        <v>372</v>
      </c>
      <c r="G46" s="23" t="s">
        <v>371</v>
      </c>
      <c r="H46" s="21" t="s">
        <v>369</v>
      </c>
      <c r="I46" s="21" t="s">
        <v>2018</v>
      </c>
      <c r="J46" s="18" t="str">
        <f xml:space="preserve"> LEFT(韻母對照表[[#This Row],[十五音識別碼]],1)</f>
        <v>梔</v>
      </c>
      <c r="K46" s="18" t="s">
        <v>366</v>
      </c>
      <c r="L46" s="18" t="s">
        <v>373</v>
      </c>
      <c r="M46" s="61" t="s">
        <v>1091</v>
      </c>
      <c r="N46" s="18">
        <f xml:space="preserve"> LEN(D46)</f>
        <v>3</v>
      </c>
      <c r="O46" s="26"/>
      <c r="P46" s="21" t="str">
        <f>C45</f>
        <v>ing</v>
      </c>
      <c r="Q46" s="21" t="str">
        <f>D45</f>
        <v>ing</v>
      </c>
      <c r="S46" s="47" t="str">
        <f xml:space="preserve"> _xlfn.CONCAT(P46, "(\d)")</f>
        <v>ing(\d)</v>
      </c>
      <c r="T46" s="50" t="s">
        <v>1028</v>
      </c>
      <c r="U46" s="50" t="str">
        <f xml:space="preserve"> IFERROR( IF(T46="", "", SEARCH(T46, $P46)), "")</f>
        <v/>
      </c>
      <c r="V46" s="47" t="str">
        <f xml:space="preserve"> IFERROR( _xlfn.CONCAT(LEFT(P46,U46-1), "》", MID(P46,U46,1), "${1}", RIGHT(P46, LEN(P46)-U46)), "" )</f>
        <v/>
      </c>
      <c r="W46" s="19"/>
      <c r="X46" s="20" t="str">
        <f xml:space="preserve"> IF(AND(Q46&lt;&gt;"", P46&lt;&gt;""), "    - xform/》" &amp; S46 &amp;  "/"  &amp; V46 &amp;  "/", "")</f>
        <v xml:space="preserve">    - xform/》ing(\d)//</v>
      </c>
    </row>
    <row r="47" spans="1:24" ht="27.75" thickBot="1">
      <c r="A47" s="101">
        <f t="shared" si="8"/>
        <v>44</v>
      </c>
      <c r="B47" s="63" t="s">
        <v>2180</v>
      </c>
      <c r="C47" s="65" t="s">
        <v>357</v>
      </c>
      <c r="D47" s="21" t="s">
        <v>357</v>
      </c>
      <c r="E47" s="21" t="s">
        <v>360</v>
      </c>
      <c r="F47" s="21" t="s">
        <v>357</v>
      </c>
      <c r="G47" s="23" t="s">
        <v>357</v>
      </c>
      <c r="H47" s="21" t="s">
        <v>359</v>
      </c>
      <c r="I47" s="21" t="s">
        <v>359</v>
      </c>
      <c r="J47" s="18" t="str">
        <f xml:space="preserve"> LEFT(韻母對照表[[#This Row],[十五音識別碼]],1)</f>
        <v>茄</v>
      </c>
      <c r="K47" s="18" t="s">
        <v>356</v>
      </c>
      <c r="L47" s="18" t="s">
        <v>361</v>
      </c>
      <c r="M47" s="21"/>
      <c r="N47" s="18">
        <f xml:space="preserve"> LEN(D47)</f>
        <v>2</v>
      </c>
      <c r="O47" s="26"/>
      <c r="P47" s="21" t="str">
        <f>C49</f>
        <v>iok</v>
      </c>
      <c r="Q47" s="21" t="str">
        <f>D49</f>
        <v>iok</v>
      </c>
      <c r="S47" s="47" t="str">
        <f xml:space="preserve"> _xlfn.CONCAT(P47, "(\d)")</f>
        <v>iok(\d)</v>
      </c>
      <c r="T47" s="50" t="s">
        <v>981</v>
      </c>
      <c r="U47" s="50" t="str">
        <f xml:space="preserve"> IFERROR( IF(T47="", "", SEARCH(T47, $P47)), "")</f>
        <v/>
      </c>
      <c r="V47" s="47" t="str">
        <f xml:space="preserve"> IFERROR( _xlfn.CONCAT(LEFT(P47,U47-1), "》", MID(P47,U47,1), "${1}", RIGHT(P47, LEN(P47)-U47)), "" )</f>
        <v/>
      </c>
      <c r="W47" s="19"/>
      <c r="X47" s="20" t="str">
        <f xml:space="preserve"> IF(AND(Q47&lt;&gt;"", P47&lt;&gt;""), "    - xform/》" &amp; S47 &amp;  "/"  &amp; V47 &amp;  "/", "")</f>
        <v xml:space="preserve">    - xform/》iok(\d)//</v>
      </c>
    </row>
    <row r="48" spans="1:24" ht="27.75" thickBot="1">
      <c r="A48" s="101">
        <f t="shared" si="8"/>
        <v>45</v>
      </c>
      <c r="B48" s="63" t="s">
        <v>2181</v>
      </c>
      <c r="C48" s="65" t="s">
        <v>363</v>
      </c>
      <c r="D48" s="21" t="s">
        <v>363</v>
      </c>
      <c r="E48" s="21" t="s">
        <v>364</v>
      </c>
      <c r="F48" s="21" t="s">
        <v>363</v>
      </c>
      <c r="G48" s="23" t="s">
        <v>363</v>
      </c>
      <c r="H48" s="21" t="s">
        <v>1959</v>
      </c>
      <c r="I48" s="21" t="s">
        <v>2017</v>
      </c>
      <c r="J48" s="18" t="str">
        <f xml:space="preserve"> LEFT(韻母對照表[[#This Row],[十五音識別碼]],1)</f>
        <v>茄</v>
      </c>
      <c r="K48" s="18" t="s">
        <v>362</v>
      </c>
      <c r="L48" s="18" t="s">
        <v>365</v>
      </c>
      <c r="M48" s="21"/>
      <c r="N48" s="18">
        <f xml:space="preserve"> LEN(D48)</f>
        <v>3</v>
      </c>
      <c r="O48" s="26"/>
      <c r="P48" s="21" t="str">
        <f>C55</f>
        <v>iunn</v>
      </c>
      <c r="Q48" s="21" t="str">
        <f>D55</f>
        <v>iunn</v>
      </c>
      <c r="S48" s="47" t="str">
        <f xml:space="preserve"> _xlfn.CONCAT(P48, "(\d)")</f>
        <v>iunn(\d)</v>
      </c>
      <c r="T48" s="50" t="s">
        <v>1029</v>
      </c>
      <c r="U48" s="50">
        <f xml:space="preserve"> IFERROR( IF(T48="", "", SEARCH(T48, $P48)), "")</f>
        <v>1</v>
      </c>
      <c r="V48" s="47" t="str">
        <f xml:space="preserve"> IFERROR( _xlfn.CONCAT(LEFT(P48,U48-1), "》", MID(P48,U48,1), "${1}", RIGHT(P48, LEN(P48)-U48)), "" )</f>
        <v>》i${1}unn</v>
      </c>
      <c r="W48" s="19"/>
      <c r="X48" s="20" t="str">
        <f xml:space="preserve"> IF(AND(Q48&lt;&gt;"", P48&lt;&gt;""), "    - xform/》" &amp; S48 &amp;  "/"  &amp; V48 &amp;  "/", "")</f>
        <v xml:space="preserve">    - xform/》iunn(\d)/》i${1}unn/</v>
      </c>
    </row>
    <row r="49" spans="1:24" ht="27.75" thickBot="1">
      <c r="A49" s="101">
        <f t="shared" si="8"/>
        <v>46</v>
      </c>
      <c r="B49" s="63" t="s">
        <v>2103</v>
      </c>
      <c r="C49" s="65" t="s">
        <v>167</v>
      </c>
      <c r="D49" s="21" t="s">
        <v>167</v>
      </c>
      <c r="E49" s="21" t="s">
        <v>700</v>
      </c>
      <c r="F49" s="21" t="s">
        <v>167</v>
      </c>
      <c r="G49" s="23" t="s">
        <v>167</v>
      </c>
      <c r="H49" s="21" t="s">
        <v>166</v>
      </c>
      <c r="I49" s="21" t="s">
        <v>1995</v>
      </c>
      <c r="J49" s="18" t="str">
        <f xml:space="preserve"> LEFT(韻母對照表[[#This Row],[十五音識別碼]],1)</f>
        <v>恭</v>
      </c>
      <c r="K49" s="18" t="s">
        <v>165</v>
      </c>
      <c r="L49" s="18" t="s">
        <v>168</v>
      </c>
      <c r="M49" s="21"/>
      <c r="N49" s="18">
        <f xml:space="preserve"> LEN(D49)</f>
        <v>3</v>
      </c>
      <c r="O49" s="26"/>
      <c r="P49" s="21" t="str">
        <f>C61</f>
        <v>o</v>
      </c>
      <c r="Q49" s="21" t="str">
        <f>D61</f>
        <v>o</v>
      </c>
      <c r="S49" s="47" t="str">
        <f xml:space="preserve"> _xlfn.CONCAT(P49, "(\d)")</f>
        <v>o(\d)</v>
      </c>
      <c r="T49" s="50" t="s">
        <v>1029</v>
      </c>
      <c r="U49" s="50" t="str">
        <f xml:space="preserve"> IFERROR( IF(T49="", "", SEARCH(T49, $P49)), "")</f>
        <v/>
      </c>
      <c r="V49" s="47" t="str">
        <f xml:space="preserve"> IFERROR( _xlfn.CONCAT(LEFT(P49,U49-1), "》", MID(P49,U49,1), "${1}", RIGHT(P49, LEN(P49)-U49)), "" )</f>
        <v/>
      </c>
      <c r="W49" s="19"/>
      <c r="X49" s="20" t="str">
        <f xml:space="preserve"> IF(AND(Q49&lt;&gt;"", P49&lt;&gt;""), "    - xform/》" &amp; S49 &amp;  "/"  &amp; V49 &amp;  "/", "")</f>
        <v xml:space="preserve">    - xform/》o(\d)//</v>
      </c>
    </row>
    <row r="50" spans="1:24" ht="27.75" thickBot="1">
      <c r="A50" s="101">
        <f t="shared" si="8"/>
        <v>47</v>
      </c>
      <c r="B50" s="63" t="s">
        <v>2102</v>
      </c>
      <c r="C50" s="65" t="s">
        <v>162</v>
      </c>
      <c r="D50" s="21" t="s">
        <v>162</v>
      </c>
      <c r="E50" s="21" t="s">
        <v>162</v>
      </c>
      <c r="F50" s="21" t="s">
        <v>162</v>
      </c>
      <c r="G50" s="23" t="s">
        <v>162</v>
      </c>
      <c r="H50" s="21" t="s">
        <v>161</v>
      </c>
      <c r="I50" s="21" t="s">
        <v>1994</v>
      </c>
      <c r="J50" s="18" t="str">
        <f xml:space="preserve"> LEFT(韻母對照表[[#This Row],[十五音識別碼]],1)</f>
        <v>恭</v>
      </c>
      <c r="K50" s="18" t="s">
        <v>158</v>
      </c>
      <c r="L50" s="18" t="s">
        <v>163</v>
      </c>
      <c r="M50" s="21"/>
      <c r="N50" s="18">
        <f xml:space="preserve"> LEN(D50)</f>
        <v>4</v>
      </c>
      <c r="O50" s="26"/>
      <c r="P50" s="21" t="str">
        <f>C56</f>
        <v>iunnh</v>
      </c>
      <c r="Q50" s="21" t="str">
        <f>D56</f>
        <v>iunnh</v>
      </c>
      <c r="S50" s="47" t="str">
        <f xml:space="preserve"> _xlfn.CONCAT(P50, "(\d)")</f>
        <v>iunnh(\d)</v>
      </c>
      <c r="T50" s="50" t="s">
        <v>1028</v>
      </c>
      <c r="U50" s="50" t="str">
        <f xml:space="preserve"> IFERROR( IF(T50="", "", SEARCH(T50, $P50)), "")</f>
        <v/>
      </c>
      <c r="V50" s="47" t="str">
        <f xml:space="preserve"> IFERROR( _xlfn.CONCAT(LEFT(P50,U50-1), "》", MID(P50,U50,1), "${1}", RIGHT(P50, LEN(P50)-U50)), "" )</f>
        <v/>
      </c>
      <c r="W50" s="19"/>
      <c r="X50" s="20" t="str">
        <f xml:space="preserve"> IF(AND(Q50&lt;&gt;"", P50&lt;&gt;""), "    - xform/》" &amp; S50 &amp;  "/"  &amp; V50 &amp;  "/", "")</f>
        <v xml:space="preserve">    - xform/》iunnh(\d)//</v>
      </c>
    </row>
    <row r="51" spans="1:24" ht="27.75" thickBot="1">
      <c r="A51" s="101">
        <f t="shared" si="8"/>
        <v>48</v>
      </c>
      <c r="B51" s="63" t="s">
        <v>2099</v>
      </c>
      <c r="C51" s="65" t="s">
        <v>46</v>
      </c>
      <c r="D51" s="21" t="s">
        <v>46</v>
      </c>
      <c r="E51" s="21" t="s">
        <v>46</v>
      </c>
      <c r="F51" s="21" t="s">
        <v>46</v>
      </c>
      <c r="G51" s="23" t="s">
        <v>46</v>
      </c>
      <c r="H51" s="21" t="s">
        <v>45</v>
      </c>
      <c r="I51" s="21" t="s">
        <v>1984</v>
      </c>
      <c r="J51" s="18" t="str">
        <f xml:space="preserve"> LEFT(韻母對照表[[#This Row],[十五音識別碼]],1)</f>
        <v>金</v>
      </c>
      <c r="K51" s="18" t="s">
        <v>43</v>
      </c>
      <c r="L51" s="18" t="s">
        <v>47</v>
      </c>
      <c r="M51" s="21"/>
      <c r="N51" s="18">
        <f t="shared" si="0"/>
        <v>2</v>
      </c>
      <c r="O51" s="26"/>
      <c r="P51" s="21" t="str">
        <f>C34</f>
        <v>iann</v>
      </c>
      <c r="Q51" s="21" t="str">
        <f>D34</f>
        <v>iann</v>
      </c>
      <c r="S51" s="47" t="str">
        <f t="shared" si="13"/>
        <v>iann(\d)</v>
      </c>
      <c r="T51" s="50" t="s">
        <v>1028</v>
      </c>
      <c r="U51" s="50">
        <f t="shared" si="14"/>
        <v>2</v>
      </c>
      <c r="V51" s="47" t="str">
        <f t="shared" si="15"/>
        <v>i》a${1}nn</v>
      </c>
      <c r="W51" s="19"/>
      <c r="X51" s="20" t="str">
        <f t="shared" si="16"/>
        <v xml:space="preserve">    - xform/》iann(\d)/i》a${1}nn/</v>
      </c>
    </row>
    <row r="52" spans="1:24" ht="27.75" thickBot="1">
      <c r="A52" s="101">
        <f t="shared" si="8"/>
        <v>49</v>
      </c>
      <c r="B52" s="63" t="s">
        <v>2100</v>
      </c>
      <c r="C52" s="65" t="s">
        <v>197</v>
      </c>
      <c r="D52" s="21" t="s">
        <v>197</v>
      </c>
      <c r="E52" s="21" t="s">
        <v>197</v>
      </c>
      <c r="F52" s="21" t="s">
        <v>197</v>
      </c>
      <c r="G52" s="23" t="s">
        <v>197</v>
      </c>
      <c r="H52" s="21" t="s">
        <v>196</v>
      </c>
      <c r="I52" s="21" t="s">
        <v>1997</v>
      </c>
      <c r="J52" s="18" t="str">
        <f xml:space="preserve"> LEFT(韻母對照表[[#This Row],[十五音識別碼]],1)</f>
        <v>巾</v>
      </c>
      <c r="K52" s="18" t="s">
        <v>194</v>
      </c>
      <c r="L52" s="18" t="s">
        <v>198</v>
      </c>
      <c r="M52" s="21"/>
      <c r="N52" s="18">
        <f t="shared" si="0"/>
        <v>2</v>
      </c>
      <c r="O52" s="26"/>
      <c r="P52" s="21" t="str">
        <f>C29</f>
        <v>iah</v>
      </c>
      <c r="Q52" s="21" t="str">
        <f>D29</f>
        <v>iah</v>
      </c>
      <c r="S52" s="47" t="str">
        <f t="shared" si="13"/>
        <v>iah(\d)</v>
      </c>
      <c r="T52" s="50" t="s">
        <v>1028</v>
      </c>
      <c r="U52" s="50">
        <f t="shared" si="14"/>
        <v>2</v>
      </c>
      <c r="V52" s="47" t="str">
        <f t="shared" si="15"/>
        <v>i》a${1}h</v>
      </c>
      <c r="W52" s="19"/>
      <c r="X52" s="20" t="str">
        <f t="shared" si="16"/>
        <v xml:space="preserve">    - xform/》iah(\d)/i》a${1}h/</v>
      </c>
    </row>
    <row r="53" spans="1:24" ht="27.75" thickBot="1">
      <c r="A53" s="101">
        <f t="shared" si="8"/>
        <v>50</v>
      </c>
      <c r="B53" s="63" t="s">
        <v>2101</v>
      </c>
      <c r="C53" s="65" t="s">
        <v>383</v>
      </c>
      <c r="D53" s="21" t="s">
        <v>383</v>
      </c>
      <c r="E53" s="21" t="s">
        <v>386</v>
      </c>
      <c r="F53" s="21" t="s">
        <v>385</v>
      </c>
      <c r="G53" s="23" t="s">
        <v>384</v>
      </c>
      <c r="H53" s="21" t="s">
        <v>382</v>
      </c>
      <c r="I53" s="21" t="s">
        <v>2020</v>
      </c>
      <c r="J53" s="18" t="str">
        <f xml:space="preserve"> LEFT(韻母對照表[[#This Row],[十五音識別碼]],1)</f>
        <v>薑</v>
      </c>
      <c r="K53" s="18" t="s">
        <v>379</v>
      </c>
      <c r="L53" s="18" t="s">
        <v>387</v>
      </c>
      <c r="M53" s="61" t="s">
        <v>1091</v>
      </c>
      <c r="N53" s="18">
        <f xml:space="preserve"> LEN(D53)</f>
        <v>4</v>
      </c>
      <c r="O53" s="26"/>
      <c r="P53" s="21" t="str">
        <f>C54</f>
        <v>iu</v>
      </c>
      <c r="Q53" s="21" t="str">
        <f>D54</f>
        <v>iu</v>
      </c>
      <c r="S53" s="47" t="str">
        <f xml:space="preserve"> _xlfn.CONCAT(P53, "(\d)")</f>
        <v>iu(\d)</v>
      </c>
      <c r="T53" s="50" t="s">
        <v>1028</v>
      </c>
      <c r="U53" s="50" t="str">
        <f xml:space="preserve"> IFERROR( IF(T53="", "", SEARCH(T53, $P53)), "")</f>
        <v/>
      </c>
      <c r="V53" s="47" t="str">
        <f xml:space="preserve"> IFERROR( _xlfn.CONCAT(LEFT(P53,U53-1), "》", MID(P53,U53,1), "${1}", RIGHT(P53, LEN(P53)-U53)), "" )</f>
        <v/>
      </c>
      <c r="W53" s="19"/>
      <c r="X53" s="20" t="str">
        <f xml:space="preserve"> IF(AND(Q53&lt;&gt;"", P53&lt;&gt;""), "    - xform/》" &amp; S53 &amp;  "/"  &amp; V53 &amp;  "/", "")</f>
        <v xml:space="preserve">    - xform/》iu(\d)//</v>
      </c>
    </row>
    <row r="54" spans="1:24" ht="27.75" thickBot="1">
      <c r="A54" s="101">
        <f t="shared" si="8"/>
        <v>51</v>
      </c>
      <c r="B54" s="63" t="str">
        <f>_xlfn.CONCAT("ɪ", "u")</f>
        <v>ɪu</v>
      </c>
      <c r="C54" s="65" t="s">
        <v>332</v>
      </c>
      <c r="D54" s="21" t="s">
        <v>332</v>
      </c>
      <c r="E54" s="21" t="s">
        <v>332</v>
      </c>
      <c r="F54" s="21" t="s">
        <v>332</v>
      </c>
      <c r="G54" s="23" t="s">
        <v>332</v>
      </c>
      <c r="H54" s="21" t="s">
        <v>334</v>
      </c>
      <c r="I54" s="21" t="s">
        <v>334</v>
      </c>
      <c r="J54" s="18" t="str">
        <f xml:space="preserve"> LEFT(韻母對照表[[#This Row],[十五音識別碼]],1)</f>
        <v>丩</v>
      </c>
      <c r="K54" s="18" t="s">
        <v>331</v>
      </c>
      <c r="L54" s="18" t="s">
        <v>335</v>
      </c>
      <c r="M54" s="21"/>
      <c r="N54" s="18">
        <f t="shared" ref="N54:N89" si="30" xml:space="preserve"> LEN(D54)</f>
        <v>2</v>
      </c>
      <c r="O54" s="26"/>
      <c r="P54" s="21" t="str">
        <f>C68</f>
        <v>oo</v>
      </c>
      <c r="Q54" s="21" t="str">
        <f>D68</f>
        <v>oo</v>
      </c>
      <c r="S54" s="47" t="str">
        <f t="shared" si="13"/>
        <v>oo(\d)</v>
      </c>
      <c r="T54" s="50" t="s">
        <v>981</v>
      </c>
      <c r="U54" s="50" t="str">
        <f t="shared" si="14"/>
        <v/>
      </c>
      <c r="V54" s="47" t="str">
        <f t="shared" si="15"/>
        <v/>
      </c>
      <c r="W54" s="19"/>
      <c r="X54" s="20" t="str">
        <f t="shared" si="16"/>
        <v xml:space="preserve">    - xform/》oo(\d)//</v>
      </c>
    </row>
    <row r="55" spans="1:24" ht="27.75" thickBot="1">
      <c r="A55" s="101">
        <f t="shared" si="8"/>
        <v>52</v>
      </c>
      <c r="B55" s="63" t="str">
        <f>_xlfn.CONCAT("ɪ", "u", _xlfn.UNICHAR(771), "")</f>
        <v>ɪũ</v>
      </c>
      <c r="C55" s="65" t="s">
        <v>504</v>
      </c>
      <c r="D55" s="21" t="s">
        <v>504</v>
      </c>
      <c r="E55" s="21" t="s">
        <v>504</v>
      </c>
      <c r="F55" s="21" t="s">
        <v>506</v>
      </c>
      <c r="G55" s="23" t="s">
        <v>505</v>
      </c>
      <c r="H55" s="21" t="s">
        <v>503</v>
      </c>
      <c r="I55" s="21" t="s">
        <v>2202</v>
      </c>
      <c r="J55" s="18" t="str">
        <f xml:space="preserve"> LEFT(韻母對照表[[#This Row],[十五音識別碼]],1)</f>
        <v>牛</v>
      </c>
      <c r="K55" s="18" t="s">
        <v>501</v>
      </c>
      <c r="L55" s="18" t="s">
        <v>507</v>
      </c>
      <c r="M55" s="61" t="s">
        <v>1091</v>
      </c>
      <c r="N55" s="18">
        <f t="shared" si="30"/>
        <v>4</v>
      </c>
      <c r="O55" s="26"/>
      <c r="P55" s="21" t="str">
        <f>C66</f>
        <v>onn</v>
      </c>
      <c r="Q55" s="21" t="str">
        <f>D66</f>
        <v>onn</v>
      </c>
      <c r="S55" s="47" t="str">
        <f t="shared" si="13"/>
        <v>onn(\d)</v>
      </c>
      <c r="T55" s="50" t="s">
        <v>981</v>
      </c>
      <c r="U55" s="50" t="str">
        <f t="shared" si="14"/>
        <v/>
      </c>
      <c r="V55" s="47" t="str">
        <f t="shared" si="15"/>
        <v/>
      </c>
      <c r="W55" s="19"/>
      <c r="X55" s="20" t="str">
        <f t="shared" si="16"/>
        <v xml:space="preserve">    - xform/》onn(\d)//</v>
      </c>
    </row>
    <row r="56" spans="1:24" ht="30.75" thickBot="1">
      <c r="A56" s="101">
        <f t="shared" si="8"/>
        <v>53</v>
      </c>
      <c r="B56" s="63" t="str">
        <f xml:space="preserve"> _xlfn.CONCAT(LEFT(B55,1), MID(B55,2,1), _xlfn.UNICHAR(771), "ʔ")</f>
        <v>ɪũʔ</v>
      </c>
      <c r="C56" s="65" t="s">
        <v>1637</v>
      </c>
      <c r="D56" s="27" t="s">
        <v>1935</v>
      </c>
      <c r="E56" s="27" t="s">
        <v>1935</v>
      </c>
      <c r="F56" s="27" t="s">
        <v>1937</v>
      </c>
      <c r="G56" s="27" t="s">
        <v>1972</v>
      </c>
      <c r="H56" s="67" t="s">
        <v>1930</v>
      </c>
      <c r="I56" s="67" t="s">
        <v>2203</v>
      </c>
      <c r="J56" s="18" t="str">
        <f xml:space="preserve"> LEFT(韻母對照表[[#This Row],[十五音識別碼]],1)</f>
        <v>牛</v>
      </c>
      <c r="K56" s="18" t="s">
        <v>2071</v>
      </c>
      <c r="L56" s="70" t="s">
        <v>1947</v>
      </c>
      <c r="M56" s="61" t="s">
        <v>1091</v>
      </c>
      <c r="N56" s="18">
        <f t="shared" si="30"/>
        <v>5</v>
      </c>
      <c r="O56" s="26"/>
      <c r="P56" s="21" t="str">
        <f>C62</f>
        <v>oh</v>
      </c>
      <c r="Q56" s="21" t="str">
        <f>D62</f>
        <v>oh</v>
      </c>
      <c r="S56" s="47" t="str">
        <f t="shared" si="13"/>
        <v>oh(\d)</v>
      </c>
      <c r="T56" s="50" t="s">
        <v>1028</v>
      </c>
      <c r="U56" s="50" t="str">
        <f t="shared" si="14"/>
        <v/>
      </c>
      <c r="V56" s="47" t="str">
        <f t="shared" si="15"/>
        <v/>
      </c>
      <c r="W56" s="19"/>
      <c r="X56" s="20" t="str">
        <f t="shared" si="16"/>
        <v xml:space="preserve">    - xform/》oh(\d)//</v>
      </c>
    </row>
    <row r="57" spans="1:24" ht="27.75" thickBot="1">
      <c r="A57" s="101">
        <f t="shared" ref="A57:A87" si="31" xml:space="preserve"> ROW() - 3</f>
        <v>54</v>
      </c>
      <c r="B57" s="63" t="s">
        <v>2121</v>
      </c>
      <c r="C57" s="65" t="s">
        <v>431</v>
      </c>
      <c r="D57" s="21" t="s">
        <v>431</v>
      </c>
      <c r="E57" s="21" t="s">
        <v>431</v>
      </c>
      <c r="F57" s="21" t="s">
        <v>431</v>
      </c>
      <c r="G57" s="23" t="s">
        <v>431</v>
      </c>
      <c r="H57" s="21" t="s">
        <v>430</v>
      </c>
      <c r="I57" s="21" t="s">
        <v>583</v>
      </c>
      <c r="J57" s="18" t="str">
        <f xml:space="preserve"> LEFT(韻母對照表[[#This Row],[十五音識別碼]],1)</f>
        <v>姆</v>
      </c>
      <c r="K57" s="18" t="s">
        <v>428</v>
      </c>
      <c r="L57" s="18" t="s">
        <v>432</v>
      </c>
      <c r="M57" s="21"/>
      <c r="N57" s="18">
        <f xml:space="preserve"> LEN(D57)</f>
        <v>1</v>
      </c>
    </row>
    <row r="58" spans="1:24" ht="27.75" thickBot="1">
      <c r="A58" s="101">
        <f t="shared" si="31"/>
        <v>55</v>
      </c>
      <c r="B58" s="63" t="s">
        <v>678</v>
      </c>
      <c r="C58" s="65" t="s">
        <v>679</v>
      </c>
      <c r="D58" s="27" t="s">
        <v>1941</v>
      </c>
      <c r="E58" s="27" t="s">
        <v>1941</v>
      </c>
      <c r="F58" s="27" t="s">
        <v>1941</v>
      </c>
      <c r="G58" s="27" t="s">
        <v>679</v>
      </c>
      <c r="H58" s="68" t="s">
        <v>1934</v>
      </c>
      <c r="I58" s="68" t="s">
        <v>2206</v>
      </c>
      <c r="J58" s="18" t="str">
        <f xml:space="preserve"> LEFT(韻母對照表[[#This Row],[十五音識別碼]],1)</f>
        <v>姆</v>
      </c>
      <c r="K58" s="18" t="s">
        <v>2071</v>
      </c>
      <c r="L58" s="69" t="s">
        <v>1942</v>
      </c>
      <c r="M58" s="21"/>
      <c r="N58" s="18">
        <f xml:space="preserve"> LEN(D58)</f>
        <v>2</v>
      </c>
    </row>
    <row r="59" spans="1:24" ht="27.75" thickBot="1">
      <c r="A59" s="101">
        <f t="shared" si="31"/>
        <v>56</v>
      </c>
      <c r="B59" s="63" t="s">
        <v>404</v>
      </c>
      <c r="C59" s="65" t="s">
        <v>407</v>
      </c>
      <c r="D59" s="21" t="s">
        <v>407</v>
      </c>
      <c r="E59" s="21" t="s">
        <v>407</v>
      </c>
      <c r="F59" s="21" t="s">
        <v>407</v>
      </c>
      <c r="G59" s="23" t="s">
        <v>407</v>
      </c>
      <c r="H59" s="21" t="s">
        <v>406</v>
      </c>
      <c r="I59" s="21" t="s">
        <v>1104</v>
      </c>
      <c r="J59" s="18" t="str">
        <f xml:space="preserve"> LEFT(韻母對照表[[#This Row],[十五音識別碼]],1)</f>
        <v>鋼</v>
      </c>
      <c r="K59" s="18" t="s">
        <v>403</v>
      </c>
      <c r="L59" s="18" t="s">
        <v>408</v>
      </c>
      <c r="M59" s="21"/>
      <c r="N59" s="18">
        <f xml:space="preserve"> LEN(D59)</f>
        <v>2</v>
      </c>
    </row>
    <row r="60" spans="1:24" ht="27.75" thickBot="1">
      <c r="A60" s="101">
        <f t="shared" si="31"/>
        <v>57</v>
      </c>
      <c r="B60" s="63" t="s">
        <v>665</v>
      </c>
      <c r="C60" s="65" t="s">
        <v>666</v>
      </c>
      <c r="D60" s="27" t="s">
        <v>1945</v>
      </c>
      <c r="E60" s="27" t="s">
        <v>1945</v>
      </c>
      <c r="F60" s="27" t="s">
        <v>1945</v>
      </c>
      <c r="G60" s="27" t="s">
        <v>666</v>
      </c>
      <c r="H60" s="68" t="s">
        <v>1101</v>
      </c>
      <c r="I60" s="68" t="s">
        <v>2207</v>
      </c>
      <c r="J60" s="18" t="str">
        <f xml:space="preserve"> LEFT(韻母對照表[[#This Row],[十五音識別碼]],1)</f>
        <v>鋼</v>
      </c>
      <c r="K60" s="18" t="s">
        <v>2071</v>
      </c>
      <c r="L60" s="69" t="s">
        <v>1944</v>
      </c>
      <c r="M60" s="21"/>
      <c r="N60" s="18">
        <f xml:space="preserve"> LEN(D60)</f>
        <v>3</v>
      </c>
    </row>
    <row r="61" spans="1:24" ht="27.75" thickBot="1">
      <c r="A61" s="101">
        <f t="shared" si="8"/>
        <v>58</v>
      </c>
      <c r="B61" s="63" t="s">
        <v>2178</v>
      </c>
      <c r="C61" s="65" t="s">
        <v>171</v>
      </c>
      <c r="D61" s="21" t="s">
        <v>171</v>
      </c>
      <c r="E61" s="21" t="s">
        <v>174</v>
      </c>
      <c r="F61" s="21" t="s">
        <v>171</v>
      </c>
      <c r="G61" s="23" t="s">
        <v>171</v>
      </c>
      <c r="H61" s="21" t="s">
        <v>173</v>
      </c>
      <c r="I61" s="21" t="s">
        <v>173</v>
      </c>
      <c r="J61" s="18" t="str">
        <f xml:space="preserve"> LEFT(韻母對照表[[#This Row],[十五音識別碼]],1)</f>
        <v>高</v>
      </c>
      <c r="K61" s="18" t="s">
        <v>170</v>
      </c>
      <c r="L61" s="18" t="s">
        <v>175</v>
      </c>
      <c r="M61" s="21"/>
      <c r="N61" s="18">
        <f t="shared" si="30"/>
        <v>1</v>
      </c>
      <c r="O61" s="26"/>
      <c r="P61" s="21" t="str">
        <f>C69</f>
        <v>ooh</v>
      </c>
      <c r="Q61" s="21" t="str">
        <f>D69</f>
        <v>ooh</v>
      </c>
      <c r="S61" s="47" t="str">
        <f t="shared" si="13"/>
        <v>ooh(\d)</v>
      </c>
      <c r="T61" s="50" t="s">
        <v>1028</v>
      </c>
      <c r="U61" s="50" t="str">
        <f t="shared" si="14"/>
        <v/>
      </c>
      <c r="V61" s="47" t="str">
        <f t="shared" si="15"/>
        <v/>
      </c>
      <c r="W61" s="19"/>
      <c r="X61" s="20" t="str">
        <f t="shared" si="16"/>
        <v xml:space="preserve">    - xform/》ooh(\d)//</v>
      </c>
    </row>
    <row r="62" spans="1:24" ht="27.75" thickBot="1">
      <c r="A62" s="101">
        <f t="shared" si="8"/>
        <v>59</v>
      </c>
      <c r="B62" s="63" t="s">
        <v>2179</v>
      </c>
      <c r="C62" s="65" t="s">
        <v>178</v>
      </c>
      <c r="D62" s="21" t="s">
        <v>178</v>
      </c>
      <c r="E62" s="21" t="s">
        <v>179</v>
      </c>
      <c r="F62" s="21" t="s">
        <v>178</v>
      </c>
      <c r="G62" s="23" t="s">
        <v>178</v>
      </c>
      <c r="H62" s="21" t="s">
        <v>1961</v>
      </c>
      <c r="I62" s="21" t="s">
        <v>1996</v>
      </c>
      <c r="J62" s="18" t="str">
        <f xml:space="preserve"> LEFT(韻母對照表[[#This Row],[十五音識別碼]],1)</f>
        <v>高</v>
      </c>
      <c r="K62" s="18" t="s">
        <v>177</v>
      </c>
      <c r="L62" s="18" t="s">
        <v>180</v>
      </c>
      <c r="M62" s="21"/>
      <c r="N62" s="18">
        <f t="shared" ref="N62:N67" si="32" xml:space="preserve"> LEN(D62)</f>
        <v>2</v>
      </c>
      <c r="O62" s="26"/>
      <c r="P62" s="21" t="str">
        <f>C65</f>
        <v>ong</v>
      </c>
      <c r="Q62" s="21" t="str">
        <f>D65</f>
        <v>ong</v>
      </c>
      <c r="S62" s="47" t="str">
        <f t="shared" ref="S62:S67" si="33" xml:space="preserve"> _xlfn.CONCAT(P62, "(\d)")</f>
        <v>ong(\d)</v>
      </c>
      <c r="T62" s="50" t="s">
        <v>1028</v>
      </c>
      <c r="U62" s="50" t="str">
        <f t="shared" ref="U62:U67" si="34" xml:space="preserve"> IFERROR( IF(T62="", "", SEARCH(T62, $P62)), "")</f>
        <v/>
      </c>
      <c r="V62" s="47" t="str">
        <f t="shared" ref="V62:V67" si="35" xml:space="preserve"> IFERROR( _xlfn.CONCAT(LEFT(P62,U62-1), "》", MID(P62,U62,1), "${1}", RIGHT(P62, LEN(P62)-U62)), "" )</f>
        <v/>
      </c>
      <c r="W62" s="19"/>
      <c r="X62" s="20" t="str">
        <f t="shared" ref="X62:X67" si="36" xml:space="preserve"> IF(AND(Q62&lt;&gt;"", P62&lt;&gt;""), "    - xform/》" &amp; S62 &amp;  "/"  &amp; V62 &amp;  "/", "")</f>
        <v xml:space="preserve">    - xform/》ong(\d)//</v>
      </c>
    </row>
    <row r="63" spans="1:24" ht="27.75" thickBot="1">
      <c r="A63" s="101">
        <f t="shared" si="8"/>
        <v>60</v>
      </c>
      <c r="B63" s="63" t="s">
        <v>2111</v>
      </c>
      <c r="C63" s="65" t="s">
        <v>90</v>
      </c>
      <c r="D63" s="21" t="s">
        <v>90</v>
      </c>
      <c r="E63" s="21" t="s">
        <v>90</v>
      </c>
      <c r="F63" s="21" t="s">
        <v>90</v>
      </c>
      <c r="G63" s="23" t="s">
        <v>90</v>
      </c>
      <c r="H63" s="21" t="s">
        <v>89</v>
      </c>
      <c r="I63" s="21" t="s">
        <v>1988</v>
      </c>
      <c r="J63" s="18" t="str">
        <f xml:space="preserve"> LEFT(韻母對照表[[#This Row],[十五音識別碼]],1)</f>
        <v>公</v>
      </c>
      <c r="K63" s="18" t="s">
        <v>87</v>
      </c>
      <c r="L63" s="18" t="s">
        <v>91</v>
      </c>
      <c r="M63" s="21"/>
      <c r="N63" s="18">
        <f t="shared" si="32"/>
        <v>2</v>
      </c>
      <c r="O63" s="26"/>
      <c r="P63" s="21" t="str">
        <f>C89</f>
        <v>ut</v>
      </c>
      <c r="Q63" s="21" t="str">
        <f>D89</f>
        <v>ut</v>
      </c>
      <c r="S63" s="47" t="str">
        <f t="shared" si="33"/>
        <v>ut(\d)</v>
      </c>
      <c r="T63" s="50" t="s">
        <v>1028</v>
      </c>
      <c r="U63" s="50" t="str">
        <f t="shared" si="34"/>
        <v/>
      </c>
      <c r="V63" s="47" t="str">
        <f t="shared" si="35"/>
        <v/>
      </c>
      <c r="W63" s="19"/>
      <c r="X63" s="20" t="str">
        <f t="shared" si="36"/>
        <v xml:space="preserve">    - xform/》ut(\d)//</v>
      </c>
    </row>
    <row r="64" spans="1:24" ht="27.75" thickBot="1">
      <c r="A64" s="101">
        <f t="shared" si="8"/>
        <v>61</v>
      </c>
      <c r="B64" s="63" t="s">
        <v>2108</v>
      </c>
      <c r="C64" s="65" t="s">
        <v>477</v>
      </c>
      <c r="D64" s="21" t="s">
        <v>477</v>
      </c>
      <c r="E64" s="21" t="s">
        <v>478</v>
      </c>
      <c r="F64" s="21" t="s">
        <v>477</v>
      </c>
      <c r="G64" s="23" t="s">
        <v>477</v>
      </c>
      <c r="H64" s="21" t="s">
        <v>476</v>
      </c>
      <c r="I64" s="21" t="s">
        <v>2031</v>
      </c>
      <c r="J64" s="18" t="str">
        <f xml:space="preserve"> LEFT(韻母對照表[[#This Row],[十五音識別碼]],1)</f>
        <v>箴</v>
      </c>
      <c r="K64" s="18" t="s">
        <v>473</v>
      </c>
      <c r="L64" s="18" t="s">
        <v>479</v>
      </c>
      <c r="M64" s="21"/>
      <c r="N64" s="18">
        <f t="shared" si="32"/>
        <v>2</v>
      </c>
      <c r="O64" s="26"/>
      <c r="P64" s="21" t="str">
        <f>C71</f>
        <v>u</v>
      </c>
      <c r="Q64" s="21" t="str">
        <f>D71</f>
        <v>u</v>
      </c>
      <c r="S64" s="47" t="str">
        <f t="shared" si="33"/>
        <v>u(\d)</v>
      </c>
      <c r="T64" s="50" t="s">
        <v>1028</v>
      </c>
      <c r="U64" s="50" t="str">
        <f t="shared" si="34"/>
        <v/>
      </c>
      <c r="V64" s="47" t="str">
        <f t="shared" si="35"/>
        <v/>
      </c>
      <c r="W64" s="19"/>
      <c r="X64" s="20" t="str">
        <f t="shared" si="36"/>
        <v xml:space="preserve">    - xform/》u(\d)//</v>
      </c>
    </row>
    <row r="65" spans="1:24" ht="27.75" thickBot="1">
      <c r="A65" s="101">
        <f t="shared" si="8"/>
        <v>62</v>
      </c>
      <c r="B65" s="63" t="s">
        <v>2109</v>
      </c>
      <c r="C65" s="65" t="s">
        <v>84</v>
      </c>
      <c r="D65" s="21" t="s">
        <v>84</v>
      </c>
      <c r="E65" s="21" t="s">
        <v>84</v>
      </c>
      <c r="F65" s="21" t="s">
        <v>84</v>
      </c>
      <c r="G65" s="23" t="s">
        <v>84</v>
      </c>
      <c r="H65" s="21" t="s">
        <v>83</v>
      </c>
      <c r="I65" s="21" t="s">
        <v>1987</v>
      </c>
      <c r="J65" s="18" t="str">
        <f xml:space="preserve"> LEFT(韻母對照表[[#This Row],[十五音識別碼]],1)</f>
        <v>公</v>
      </c>
      <c r="K65" s="18" t="s">
        <v>80</v>
      </c>
      <c r="L65" s="18" t="s">
        <v>85</v>
      </c>
      <c r="M65" s="21"/>
      <c r="N65" s="18">
        <f t="shared" si="32"/>
        <v>3</v>
      </c>
      <c r="O65" s="26"/>
      <c r="P65" s="21" t="str">
        <f>C84</f>
        <v>uh</v>
      </c>
      <c r="Q65" s="21" t="str">
        <f>D84</f>
        <v>uh</v>
      </c>
      <c r="S65" s="47" t="str">
        <f t="shared" si="33"/>
        <v>uh(\d)</v>
      </c>
      <c r="T65" s="50" t="s">
        <v>981</v>
      </c>
      <c r="U65" s="50" t="str">
        <f t="shared" si="34"/>
        <v/>
      </c>
      <c r="V65" s="47" t="str">
        <f t="shared" si="35"/>
        <v/>
      </c>
      <c r="W65" s="19"/>
      <c r="X65" s="20" t="str">
        <f t="shared" si="36"/>
        <v xml:space="preserve">    - xform/》uh(\d)//</v>
      </c>
    </row>
    <row r="66" spans="1:24" ht="27.75" thickBot="1">
      <c r="A66" s="101">
        <f t="shared" si="8"/>
        <v>63</v>
      </c>
      <c r="B66" s="63" t="s">
        <v>2105</v>
      </c>
      <c r="C66" s="65" t="s">
        <v>425</v>
      </c>
      <c r="D66" s="21" t="s">
        <v>425</v>
      </c>
      <c r="E66" s="21" t="s">
        <v>424</v>
      </c>
      <c r="F66" s="21" t="s">
        <v>426</v>
      </c>
      <c r="G66" s="23" t="s">
        <v>1973</v>
      </c>
      <c r="H66" s="21" t="s">
        <v>423</v>
      </c>
      <c r="I66" s="21" t="s">
        <v>2024</v>
      </c>
      <c r="J66" s="18" t="str">
        <f xml:space="preserve"> LEFT(韻母對照表[[#This Row],[十五音識別碼]],1)</f>
        <v>姑</v>
      </c>
      <c r="K66" s="18" t="s">
        <v>421</v>
      </c>
      <c r="L66" s="18" t="s">
        <v>427</v>
      </c>
      <c r="M66" s="21"/>
      <c r="N66" s="18">
        <f t="shared" si="32"/>
        <v>3</v>
      </c>
      <c r="O66" s="26"/>
      <c r="P66" s="21" t="str">
        <f>C64</f>
        <v>om</v>
      </c>
      <c r="Q66" s="21" t="str">
        <f>D64</f>
        <v>om</v>
      </c>
      <c r="S66" s="47" t="str">
        <f t="shared" si="33"/>
        <v>om(\d)</v>
      </c>
      <c r="T66" s="50" t="s">
        <v>1028</v>
      </c>
      <c r="U66" s="50" t="str">
        <f t="shared" si="34"/>
        <v/>
      </c>
      <c r="V66" s="47" t="str">
        <f t="shared" si="35"/>
        <v/>
      </c>
      <c r="W66" s="19"/>
      <c r="X66" s="20" t="str">
        <f t="shared" si="36"/>
        <v xml:space="preserve">    - xform/》om(\d)//</v>
      </c>
    </row>
    <row r="67" spans="1:24" ht="27.75" thickBot="1">
      <c r="A67" s="101">
        <f t="shared" si="8"/>
        <v>64</v>
      </c>
      <c r="B67" s="63" t="s">
        <v>2107</v>
      </c>
      <c r="C67" s="65" t="s">
        <v>498</v>
      </c>
      <c r="D67" s="21" t="s">
        <v>497</v>
      </c>
      <c r="E67" s="21" t="s">
        <v>498</v>
      </c>
      <c r="F67" s="21" t="s">
        <v>1936</v>
      </c>
      <c r="G67" s="23" t="s">
        <v>707</v>
      </c>
      <c r="H67" s="21" t="s">
        <v>1962</v>
      </c>
      <c r="I67" s="21" t="s">
        <v>2034</v>
      </c>
      <c r="J67" s="18" t="str">
        <f xml:space="preserve"> LEFT(韻母對照表[[#This Row],[十五音識別碼]],1)</f>
        <v>扛</v>
      </c>
      <c r="K67" s="18" t="s">
        <v>2071</v>
      </c>
      <c r="L67" s="18" t="s">
        <v>500</v>
      </c>
      <c r="M67" s="61" t="s">
        <v>1091</v>
      </c>
      <c r="N67" s="18">
        <f t="shared" si="32"/>
        <v>4</v>
      </c>
      <c r="O67" s="26"/>
      <c r="P67" s="21" t="str">
        <f>C63</f>
        <v>ok</v>
      </c>
      <c r="Q67" s="21" t="str">
        <f>D63</f>
        <v>ok</v>
      </c>
      <c r="S67" s="47" t="str">
        <f t="shared" si="33"/>
        <v>ok(\d)</v>
      </c>
      <c r="T67" s="50" t="s">
        <v>1028</v>
      </c>
      <c r="U67" s="50" t="str">
        <f t="shared" si="34"/>
        <v/>
      </c>
      <c r="V67" s="47" t="str">
        <f t="shared" si="35"/>
        <v/>
      </c>
      <c r="W67" s="19"/>
      <c r="X67" s="20" t="str">
        <f t="shared" si="36"/>
        <v xml:space="preserve">    - xform/》ok(\d)//</v>
      </c>
    </row>
    <row r="68" spans="1:24" ht="27.75" thickBot="1">
      <c r="A68" s="101">
        <f t="shared" si="8"/>
        <v>65</v>
      </c>
      <c r="B68" s="63" t="s">
        <v>2104</v>
      </c>
      <c r="C68" s="65" t="s">
        <v>136</v>
      </c>
      <c r="D68" s="21" t="s">
        <v>136</v>
      </c>
      <c r="E68" s="21" t="s">
        <v>136</v>
      </c>
      <c r="F68" s="21" t="s">
        <v>136</v>
      </c>
      <c r="G68" s="23" t="s">
        <v>137</v>
      </c>
      <c r="H68" s="21" t="s">
        <v>1108</v>
      </c>
      <c r="I68" s="21" t="s">
        <v>1992</v>
      </c>
      <c r="J68" s="18" t="str">
        <f xml:space="preserve"> LEFT(韻母對照表[[#This Row],[十五音識別碼]],1)</f>
        <v>沽</v>
      </c>
      <c r="K68" s="18" t="s">
        <v>133</v>
      </c>
      <c r="L68" s="18" t="s">
        <v>138</v>
      </c>
      <c r="M68" s="21"/>
      <c r="N68" s="18">
        <f t="shared" si="30"/>
        <v>2</v>
      </c>
      <c r="O68" s="26"/>
      <c r="P68" s="21" t="str">
        <f>C67</f>
        <v>onnh</v>
      </c>
      <c r="Q68" s="21" t="str">
        <f>D67</f>
        <v>ohnn</v>
      </c>
      <c r="S68" s="47" t="str">
        <f t="shared" si="13"/>
        <v>onnh(\d)</v>
      </c>
      <c r="T68" s="50" t="s">
        <v>1028</v>
      </c>
      <c r="U68" s="50" t="str">
        <f t="shared" si="14"/>
        <v/>
      </c>
      <c r="V68" s="47" t="str">
        <f t="shared" si="15"/>
        <v/>
      </c>
      <c r="W68" s="19"/>
      <c r="X68" s="20" t="str">
        <f t="shared" si="16"/>
        <v xml:space="preserve">    - xform/》onnh(\d)//</v>
      </c>
    </row>
    <row r="69" spans="1:24" ht="30.75" thickBot="1">
      <c r="A69" s="101">
        <f t="shared" si="8"/>
        <v>66</v>
      </c>
      <c r="B69" s="63" t="s">
        <v>2106</v>
      </c>
      <c r="C69" s="65" t="s">
        <v>669</v>
      </c>
      <c r="D69" s="27" t="s">
        <v>1938</v>
      </c>
      <c r="E69" s="27" t="s">
        <v>1938</v>
      </c>
      <c r="F69" s="27" t="s">
        <v>1938</v>
      </c>
      <c r="G69" s="27" t="s">
        <v>1939</v>
      </c>
      <c r="H69" s="68" t="s">
        <v>1103</v>
      </c>
      <c r="I69" s="68" t="s">
        <v>2204</v>
      </c>
      <c r="J69" s="18" t="str">
        <f xml:space="preserve"> LEFT(韻母對照表[[#This Row],[十五音識別碼]],1)</f>
        <v>沽</v>
      </c>
      <c r="K69" s="18" t="s">
        <v>2071</v>
      </c>
      <c r="L69" s="70" t="s">
        <v>1946</v>
      </c>
      <c r="M69" s="21"/>
      <c r="N69" s="18">
        <f t="shared" si="30"/>
        <v>3</v>
      </c>
      <c r="O69" s="26"/>
      <c r="P69" s="21" t="str">
        <f>C70</f>
        <v>op</v>
      </c>
      <c r="Q69" s="21" t="str">
        <f>D70</f>
        <v>op</v>
      </c>
      <c r="S69" s="47" t="str">
        <f t="shared" si="13"/>
        <v>op(\d)</v>
      </c>
      <c r="T69" s="50" t="s">
        <v>1028</v>
      </c>
      <c r="U69" s="50" t="str">
        <f t="shared" si="14"/>
        <v/>
      </c>
      <c r="V69" s="47" t="str">
        <f t="shared" si="15"/>
        <v/>
      </c>
      <c r="W69" s="19"/>
      <c r="X69" s="20" t="str">
        <f t="shared" si="16"/>
        <v xml:space="preserve">    - xform/》op(\d)//</v>
      </c>
    </row>
    <row r="70" spans="1:24" ht="27.75" thickBot="1">
      <c r="A70" s="101">
        <f t="shared" si="8"/>
        <v>67</v>
      </c>
      <c r="B70" s="63" t="s">
        <v>2110</v>
      </c>
      <c r="C70" s="65" t="s">
        <v>483</v>
      </c>
      <c r="D70" s="21" t="s">
        <v>483</v>
      </c>
      <c r="E70" s="21" t="s">
        <v>484</v>
      </c>
      <c r="F70" s="21" t="s">
        <v>483</v>
      </c>
      <c r="G70" s="23" t="s">
        <v>483</v>
      </c>
      <c r="H70" s="21" t="s">
        <v>482</v>
      </c>
      <c r="I70" s="21" t="s">
        <v>2032</v>
      </c>
      <c r="J70" s="18" t="str">
        <f xml:space="preserve"> LEFT(韻母對照表[[#This Row],[十五音識別碼]],1)</f>
        <v>箴</v>
      </c>
      <c r="K70" s="18" t="s">
        <v>480</v>
      </c>
      <c r="L70" s="18" t="s">
        <v>485</v>
      </c>
      <c r="M70" s="21"/>
      <c r="N70" s="18">
        <f t="shared" si="30"/>
        <v>2</v>
      </c>
      <c r="O70" s="26"/>
      <c r="P70" s="21" t="str">
        <f>C88</f>
        <v>un</v>
      </c>
      <c r="Q70" s="21" t="str">
        <f>D88</f>
        <v>un</v>
      </c>
      <c r="S70" s="47" t="str">
        <f t="shared" si="13"/>
        <v>un(\d)</v>
      </c>
      <c r="T70" s="50" t="s">
        <v>1029</v>
      </c>
      <c r="U70" s="50" t="str">
        <f t="shared" si="14"/>
        <v/>
      </c>
      <c r="V70" s="47" t="str">
        <f t="shared" si="15"/>
        <v/>
      </c>
      <c r="W70" s="19"/>
      <c r="X70" s="20" t="str">
        <f t="shared" si="16"/>
        <v xml:space="preserve">    - xform/》un(\d)//</v>
      </c>
    </row>
    <row r="71" spans="1:24" ht="27.75" thickBot="1">
      <c r="A71" s="101">
        <f t="shared" si="8"/>
        <v>68</v>
      </c>
      <c r="B71" s="63" t="s">
        <v>2112</v>
      </c>
      <c r="C71" s="65" t="s">
        <v>308</v>
      </c>
      <c r="D71" s="21" t="s">
        <v>308</v>
      </c>
      <c r="E71" s="21" t="s">
        <v>308</v>
      </c>
      <c r="F71" s="21" t="s">
        <v>308</v>
      </c>
      <c r="G71" s="23" t="s">
        <v>308</v>
      </c>
      <c r="H71" s="21" t="s">
        <v>310</v>
      </c>
      <c r="I71" s="21" t="s">
        <v>310</v>
      </c>
      <c r="J71" s="18" t="str">
        <f xml:space="preserve"> LEFT(韻母對照表[[#This Row],[十五音識別碼]],1)</f>
        <v>艍</v>
      </c>
      <c r="K71" s="18" t="s">
        <v>307</v>
      </c>
      <c r="L71" s="18" t="s">
        <v>311</v>
      </c>
      <c r="M71" s="21"/>
      <c r="N71" s="18">
        <f t="shared" si="30"/>
        <v>1</v>
      </c>
      <c r="O71" s="26"/>
      <c r="P71" s="21" t="str">
        <f>C72</f>
        <v>ua</v>
      </c>
      <c r="Q71" s="21" t="str">
        <f>D72</f>
        <v>ua</v>
      </c>
      <c r="S71" s="47" t="str">
        <f t="shared" si="13"/>
        <v>ua(\d)</v>
      </c>
      <c r="T71" s="50" t="s">
        <v>981</v>
      </c>
      <c r="U71" s="50" t="str">
        <f t="shared" si="14"/>
        <v/>
      </c>
      <c r="V71" s="47" t="str">
        <f t="shared" si="15"/>
        <v/>
      </c>
      <c r="W71" s="19"/>
      <c r="X71" s="20" t="str">
        <f t="shared" si="16"/>
        <v xml:space="preserve">    - xform/》ua(\d)//</v>
      </c>
    </row>
    <row r="72" spans="1:24" ht="27.75" thickBot="1">
      <c r="A72" s="101">
        <f t="shared" si="8"/>
        <v>69</v>
      </c>
      <c r="B72" s="63" t="s">
        <v>2138</v>
      </c>
      <c r="C72" s="65" t="s">
        <v>223</v>
      </c>
      <c r="D72" s="21" t="s">
        <v>223</v>
      </c>
      <c r="E72" s="21" t="s">
        <v>223</v>
      </c>
      <c r="F72" s="21" t="s">
        <v>223</v>
      </c>
      <c r="G72" s="23" t="s">
        <v>226</v>
      </c>
      <c r="H72" s="21" t="s">
        <v>225</v>
      </c>
      <c r="I72" s="21" t="s">
        <v>225</v>
      </c>
      <c r="J72" s="18" t="str">
        <f xml:space="preserve"> LEFT(韻母對照表[[#This Row],[十五音識別碼]],1)</f>
        <v>瓜</v>
      </c>
      <c r="K72" s="18" t="s">
        <v>222</v>
      </c>
      <c r="L72" s="18" t="s">
        <v>227</v>
      </c>
      <c r="M72" s="21"/>
      <c r="N72" s="18">
        <f t="shared" ref="N72:N83" si="37" xml:space="preserve"> LEN(D72)</f>
        <v>2</v>
      </c>
      <c r="O72" s="26"/>
      <c r="P72" s="21" t="str">
        <f>C79</f>
        <v>uang</v>
      </c>
      <c r="Q72" s="21" t="str">
        <f>D79</f>
        <v>uang</v>
      </c>
      <c r="S72" s="47" t="str">
        <f t="shared" ref="S72:S83" si="38" xml:space="preserve"> _xlfn.CONCAT(P72, "(\d)")</f>
        <v>uang(\d)</v>
      </c>
      <c r="T72" s="50" t="s">
        <v>1029</v>
      </c>
      <c r="U72" s="50" t="str">
        <f t="shared" ref="U72:U83" si="39" xml:space="preserve"> IFERROR( IF(T72="", "", SEARCH(T72, $P72)), "")</f>
        <v/>
      </c>
      <c r="V72" s="47" t="str">
        <f t="shared" ref="V72:V83" si="40" xml:space="preserve"> IFERROR( _xlfn.CONCAT(LEFT(P72,U72-1), "》", MID(P72,U72,1), "${1}", RIGHT(P72, LEN(P72)-U72)), "" )</f>
        <v/>
      </c>
      <c r="W72" s="19"/>
      <c r="X72" s="20" t="str">
        <f t="shared" ref="X72:X83" si="41" xml:space="preserve"> IF(AND(Q72&lt;&gt;"", P72&lt;&gt;""), "    - xform/》" &amp; S72 &amp;  "/"  &amp; V72 &amp;  "/", "")</f>
        <v xml:space="preserve">    - xform/》uang(\d)//</v>
      </c>
    </row>
    <row r="73" spans="1:24" ht="27.75" thickBot="1">
      <c r="A73" s="101">
        <f t="shared" si="31"/>
        <v>70</v>
      </c>
      <c r="B73" s="63" t="s">
        <v>2140</v>
      </c>
      <c r="C73" s="65" t="s">
        <v>230</v>
      </c>
      <c r="D73" s="21" t="s">
        <v>230</v>
      </c>
      <c r="E73" s="21" t="s">
        <v>230</v>
      </c>
      <c r="F73" s="21" t="s">
        <v>230</v>
      </c>
      <c r="G73" s="23" t="s">
        <v>231</v>
      </c>
      <c r="H73" s="21" t="s">
        <v>1964</v>
      </c>
      <c r="I73" s="21" t="s">
        <v>2001</v>
      </c>
      <c r="J73" s="18" t="str">
        <f xml:space="preserve"> LEFT(韻母對照表[[#This Row],[十五音識別碼]],1)</f>
        <v>瓜</v>
      </c>
      <c r="K73" s="18" t="s">
        <v>229</v>
      </c>
      <c r="L73" s="18" t="s">
        <v>232</v>
      </c>
      <c r="M73" s="21"/>
      <c r="N73" s="18">
        <f t="shared" si="37"/>
        <v>3</v>
      </c>
      <c r="O73" s="26"/>
      <c r="P73" s="21" t="str">
        <f>C74</f>
        <v>uai</v>
      </c>
      <c r="Q73" s="21" t="str">
        <f>D74</f>
        <v>uai</v>
      </c>
      <c r="S73" s="47" t="str">
        <f t="shared" si="38"/>
        <v>uai(\d)</v>
      </c>
      <c r="T73" s="50" t="s">
        <v>1029</v>
      </c>
      <c r="U73" s="50">
        <f t="shared" si="39"/>
        <v>3</v>
      </c>
      <c r="V73" s="47" t="str">
        <f t="shared" si="40"/>
        <v>ua》i${1}</v>
      </c>
      <c r="W73" s="19"/>
      <c r="X73" s="20" t="str">
        <f t="shared" si="41"/>
        <v xml:space="preserve">    - xform/》uai(\d)/ua》i${1}/</v>
      </c>
    </row>
    <row r="74" spans="1:24" ht="27.75" thickBot="1">
      <c r="A74" s="101">
        <f t="shared" si="31"/>
        <v>71</v>
      </c>
      <c r="B74" s="63" t="s">
        <v>2144</v>
      </c>
      <c r="C74" s="65" t="s">
        <v>94</v>
      </c>
      <c r="D74" s="21" t="s">
        <v>94</v>
      </c>
      <c r="E74" s="21" t="s">
        <v>94</v>
      </c>
      <c r="F74" s="21" t="s">
        <v>94</v>
      </c>
      <c r="G74" s="23" t="s">
        <v>97</v>
      </c>
      <c r="H74" s="21" t="s">
        <v>96</v>
      </c>
      <c r="I74" s="21" t="s">
        <v>96</v>
      </c>
      <c r="J74" s="18" t="str">
        <f xml:space="preserve"> LEFT(韻母對照表[[#This Row],[十五音識別碼]],1)</f>
        <v>乖</v>
      </c>
      <c r="K74" s="18" t="s">
        <v>93</v>
      </c>
      <c r="L74" s="18" t="s">
        <v>98</v>
      </c>
      <c r="M74" s="21"/>
      <c r="N74" s="18">
        <f t="shared" si="37"/>
        <v>3</v>
      </c>
      <c r="O74" s="26"/>
      <c r="P74" s="21" t="str">
        <f>C82</f>
        <v>ue</v>
      </c>
      <c r="Q74" s="21" t="str">
        <f>D82</f>
        <v>ue</v>
      </c>
      <c r="S74" s="47" t="str">
        <f t="shared" si="38"/>
        <v>ue(\d)</v>
      </c>
      <c r="T74" s="50" t="s">
        <v>1086</v>
      </c>
      <c r="U74" s="50" t="str">
        <f t="shared" si="39"/>
        <v/>
      </c>
      <c r="V74" s="47" t="str">
        <f t="shared" si="40"/>
        <v/>
      </c>
      <c r="W74" s="19"/>
      <c r="X74" s="20" t="str">
        <f t="shared" si="41"/>
        <v xml:space="preserve">    - xform/》ue(\d)//</v>
      </c>
    </row>
    <row r="75" spans="1:24" ht="27.75" thickBot="1">
      <c r="A75" s="101">
        <f t="shared" si="31"/>
        <v>72</v>
      </c>
      <c r="B75" s="63" t="s">
        <v>2145</v>
      </c>
      <c r="C75" s="65" t="s">
        <v>448</v>
      </c>
      <c r="D75" s="21" t="s">
        <v>448</v>
      </c>
      <c r="E75" s="21" t="s">
        <v>448</v>
      </c>
      <c r="F75" s="21" t="s">
        <v>450</v>
      </c>
      <c r="G75" s="23" t="s">
        <v>449</v>
      </c>
      <c r="H75" s="21" t="s">
        <v>447</v>
      </c>
      <c r="I75" s="21" t="s">
        <v>2026</v>
      </c>
      <c r="J75" s="18" t="str">
        <f xml:space="preserve"> LEFT(韻母對照表[[#This Row],[十五音識別碼]],1)</f>
        <v>閂</v>
      </c>
      <c r="K75" s="18" t="s">
        <v>445</v>
      </c>
      <c r="L75" s="18" t="s">
        <v>451</v>
      </c>
      <c r="M75" s="61" t="s">
        <v>1091</v>
      </c>
      <c r="N75" s="18">
        <f t="shared" si="37"/>
        <v>5</v>
      </c>
      <c r="O75" s="26"/>
      <c r="P75" s="21" t="str">
        <f>C83</f>
        <v>ueh</v>
      </c>
      <c r="Q75" s="21" t="str">
        <f>D83</f>
        <v>ueh</v>
      </c>
      <c r="S75" s="47" t="str">
        <f t="shared" si="38"/>
        <v>ueh(\d)</v>
      </c>
      <c r="T75" s="50" t="s">
        <v>1016</v>
      </c>
      <c r="U75" s="50" t="str">
        <f t="shared" si="39"/>
        <v/>
      </c>
      <c r="V75" s="47" t="str">
        <f t="shared" si="40"/>
        <v/>
      </c>
      <c r="W75" s="19"/>
      <c r="X75" s="20" t="str">
        <f t="shared" si="41"/>
        <v xml:space="preserve">    - xform/》ueh(\d)//</v>
      </c>
    </row>
    <row r="76" spans="1:24" ht="27.75" thickBot="1">
      <c r="A76" s="101">
        <f t="shared" si="31"/>
        <v>73</v>
      </c>
      <c r="B76" s="63" t="s">
        <v>2146</v>
      </c>
      <c r="C76" s="65" t="s">
        <v>101</v>
      </c>
      <c r="D76" s="21" t="s">
        <v>101</v>
      </c>
      <c r="E76" s="21" t="s">
        <v>101</v>
      </c>
      <c r="F76" s="21" t="s">
        <v>101</v>
      </c>
      <c r="G76" s="23" t="s">
        <v>102</v>
      </c>
      <c r="H76" s="21" t="s">
        <v>1966</v>
      </c>
      <c r="I76" s="21" t="s">
        <v>1989</v>
      </c>
      <c r="J76" s="18" t="str">
        <f xml:space="preserve"> LEFT(韻母對照表[[#This Row],[十五音識別碼]],1)</f>
        <v>乖</v>
      </c>
      <c r="K76" s="18" t="s">
        <v>2071</v>
      </c>
      <c r="L76" s="18" t="s">
        <v>103</v>
      </c>
      <c r="M76" s="21"/>
      <c r="N76" s="18">
        <f t="shared" si="37"/>
        <v>4</v>
      </c>
      <c r="O76" s="26"/>
      <c r="P76" s="21" t="str">
        <f>C85</f>
        <v>ui</v>
      </c>
      <c r="Q76" s="21" t="str">
        <f>D85</f>
        <v>ui</v>
      </c>
      <c r="S76" s="47" t="str">
        <f t="shared" si="38"/>
        <v>ui(\d)</v>
      </c>
      <c r="T76" s="50" t="s">
        <v>1016</v>
      </c>
      <c r="U76" s="50" t="str">
        <f t="shared" si="39"/>
        <v/>
      </c>
      <c r="V76" s="47" t="str">
        <f t="shared" si="40"/>
        <v/>
      </c>
      <c r="W76" s="19"/>
      <c r="X76" s="20" t="str">
        <f t="shared" si="41"/>
        <v xml:space="preserve">    - xform/》ui(\d)//</v>
      </c>
    </row>
    <row r="77" spans="1:24" ht="27.75" thickBot="1">
      <c r="A77" s="101">
        <f t="shared" si="31"/>
        <v>74</v>
      </c>
      <c r="B77" s="63" t="s">
        <v>2147</v>
      </c>
      <c r="C77" s="65" t="s">
        <v>454</v>
      </c>
      <c r="D77" s="21" t="s">
        <v>453</v>
      </c>
      <c r="E77" s="21" t="s">
        <v>454</v>
      </c>
      <c r="F77" s="27" t="s">
        <v>1048</v>
      </c>
      <c r="G77" s="23" t="s">
        <v>706</v>
      </c>
      <c r="H77" s="21" t="s">
        <v>1967</v>
      </c>
      <c r="I77" s="21" t="s">
        <v>2027</v>
      </c>
      <c r="J77" s="18" t="str">
        <f xml:space="preserve"> LEFT(韻母對照表[[#This Row],[十五音識別碼]],1)</f>
        <v>閂</v>
      </c>
      <c r="K77" s="18" t="s">
        <v>452</v>
      </c>
      <c r="L77" s="18" t="s">
        <v>456</v>
      </c>
      <c r="M77" s="61" t="s">
        <v>1091</v>
      </c>
      <c r="N77" s="18">
        <f t="shared" si="37"/>
        <v>6</v>
      </c>
      <c r="O77" s="26"/>
      <c r="P77" s="21" t="str">
        <f>C87</f>
        <v>uinn</v>
      </c>
      <c r="Q77" s="21" t="str">
        <f>D87</f>
        <v>uinn</v>
      </c>
      <c r="S77" s="47" t="str">
        <f t="shared" si="38"/>
        <v>uinn(\d)</v>
      </c>
      <c r="T77" s="50" t="s">
        <v>1016</v>
      </c>
      <c r="U77" s="50" t="str">
        <f t="shared" si="39"/>
        <v/>
      </c>
      <c r="V77" s="47" t="str">
        <f t="shared" si="40"/>
        <v/>
      </c>
      <c r="W77" s="19"/>
      <c r="X77" s="20" t="str">
        <f t="shared" si="41"/>
        <v xml:space="preserve">    - xform/》uinn(\d)//</v>
      </c>
    </row>
    <row r="78" spans="1:24" ht="27.75" thickBot="1">
      <c r="A78" s="101">
        <f t="shared" si="31"/>
        <v>75</v>
      </c>
      <c r="B78" s="63" t="s">
        <v>2141</v>
      </c>
      <c r="C78" s="65" t="s">
        <v>120</v>
      </c>
      <c r="D78" s="21" t="s">
        <v>120</v>
      </c>
      <c r="E78" s="21" t="s">
        <v>120</v>
      </c>
      <c r="F78" s="21" t="s">
        <v>120</v>
      </c>
      <c r="G78" s="23" t="s">
        <v>123</v>
      </c>
      <c r="H78" s="21" t="s">
        <v>122</v>
      </c>
      <c r="I78" s="21" t="s">
        <v>122</v>
      </c>
      <c r="J78" s="18" t="str">
        <f xml:space="preserve"> LEFT(韻母對照表[[#This Row],[十五音識別碼]],1)</f>
        <v>觀</v>
      </c>
      <c r="K78" s="18" t="s">
        <v>119</v>
      </c>
      <c r="L78" s="18" t="s">
        <v>124</v>
      </c>
      <c r="M78" s="21"/>
      <c r="N78" s="18">
        <f t="shared" si="37"/>
        <v>3</v>
      </c>
      <c r="O78" s="26"/>
      <c r="P78" s="21" t="str">
        <f>C75</f>
        <v>uainn</v>
      </c>
      <c r="Q78" s="21" t="str">
        <f>D75</f>
        <v>uainn</v>
      </c>
      <c r="S78" s="47" t="str">
        <f t="shared" si="38"/>
        <v>uainn(\d)</v>
      </c>
      <c r="T78" s="50" t="s">
        <v>1029</v>
      </c>
      <c r="U78" s="50">
        <f t="shared" si="39"/>
        <v>3</v>
      </c>
      <c r="V78" s="47" t="str">
        <f t="shared" si="40"/>
        <v>ua》i${1}nn</v>
      </c>
      <c r="W78" s="19"/>
      <c r="X78" s="20" t="str">
        <f t="shared" si="41"/>
        <v xml:space="preserve">    - xform/》uainn(\d)/ua》i${1}nn/</v>
      </c>
    </row>
    <row r="79" spans="1:24" ht="27.75" thickBot="1">
      <c r="A79" s="101">
        <f t="shared" si="31"/>
        <v>76</v>
      </c>
      <c r="B79" s="63" t="s">
        <v>2142</v>
      </c>
      <c r="C79" s="65" t="s">
        <v>436</v>
      </c>
      <c r="D79" s="21" t="s">
        <v>436</v>
      </c>
      <c r="E79" s="21" t="s">
        <v>436</v>
      </c>
      <c r="F79" s="21" t="s">
        <v>436</v>
      </c>
      <c r="G79" s="23" t="s">
        <v>437</v>
      </c>
      <c r="H79" s="21" t="s">
        <v>1965</v>
      </c>
      <c r="I79" s="21" t="s">
        <v>1965</v>
      </c>
      <c r="J79" s="18" t="str">
        <f xml:space="preserve"> LEFT(韻母對照表[[#This Row],[十五音識別碼]],1)</f>
        <v>光</v>
      </c>
      <c r="K79" s="18" t="s">
        <v>433</v>
      </c>
      <c r="L79" s="18" t="s">
        <v>438</v>
      </c>
      <c r="M79" s="21"/>
      <c r="N79" s="18">
        <f t="shared" si="37"/>
        <v>4</v>
      </c>
      <c r="O79" s="26"/>
      <c r="P79" s="21" t="str">
        <f>C76</f>
        <v>uaih</v>
      </c>
      <c r="Q79" s="21" t="str">
        <f>D76</f>
        <v>uaih</v>
      </c>
      <c r="S79" s="47" t="str">
        <f t="shared" si="38"/>
        <v>uaih(\d)</v>
      </c>
      <c r="T79" s="50" t="s">
        <v>1029</v>
      </c>
      <c r="U79" s="50">
        <f t="shared" si="39"/>
        <v>3</v>
      </c>
      <c r="V79" s="47" t="str">
        <f t="shared" si="40"/>
        <v>ua》i${1}h</v>
      </c>
      <c r="W79" s="19"/>
      <c r="X79" s="20" t="str">
        <f t="shared" si="41"/>
        <v xml:space="preserve">    - xform/》uaih(\d)/ua》i${1}h/</v>
      </c>
    </row>
    <row r="80" spans="1:24" ht="27.75" thickBot="1">
      <c r="A80" s="101">
        <f t="shared" si="8"/>
        <v>77</v>
      </c>
      <c r="B80" s="63" t="s">
        <v>2139</v>
      </c>
      <c r="C80" s="65" t="s">
        <v>399</v>
      </c>
      <c r="D80" s="21" t="s">
        <v>399</v>
      </c>
      <c r="E80" s="21" t="s">
        <v>399</v>
      </c>
      <c r="F80" s="21" t="s">
        <v>401</v>
      </c>
      <c r="G80" s="23" t="s">
        <v>400</v>
      </c>
      <c r="H80" s="21" t="s">
        <v>398</v>
      </c>
      <c r="I80" s="21" t="s">
        <v>2022</v>
      </c>
      <c r="J80" s="18" t="str">
        <f xml:space="preserve"> LEFT(韻母對照表[[#This Row],[十五音識別碼]],1)</f>
        <v>官</v>
      </c>
      <c r="K80" s="18" t="s">
        <v>396</v>
      </c>
      <c r="L80" s="18" t="s">
        <v>402</v>
      </c>
      <c r="M80" s="21"/>
      <c r="N80" s="18">
        <f t="shared" si="37"/>
        <v>4</v>
      </c>
      <c r="O80" s="26"/>
      <c r="P80" s="21" t="str">
        <f>C81</f>
        <v>uat</v>
      </c>
      <c r="Q80" s="21" t="str">
        <f>D81</f>
        <v>uat</v>
      </c>
      <c r="S80" s="47" t="str">
        <f t="shared" si="38"/>
        <v>uat(\d)</v>
      </c>
      <c r="T80" s="50" t="s">
        <v>1029</v>
      </c>
      <c r="U80" s="50" t="str">
        <f t="shared" si="39"/>
        <v/>
      </c>
      <c r="V80" s="47" t="str">
        <f t="shared" si="40"/>
        <v/>
      </c>
      <c r="W80" s="19"/>
      <c r="X80" s="20" t="str">
        <f t="shared" si="41"/>
        <v xml:space="preserve">    - xform/》uat(\d)//</v>
      </c>
    </row>
    <row r="81" spans="1:24" ht="27.75" thickBot="1">
      <c r="A81" s="101">
        <f t="shared" si="31"/>
        <v>78</v>
      </c>
      <c r="B81" s="63" t="s">
        <v>2143</v>
      </c>
      <c r="C81" s="65" t="s">
        <v>129</v>
      </c>
      <c r="D81" s="21" t="s">
        <v>129</v>
      </c>
      <c r="E81" s="21" t="s">
        <v>129</v>
      </c>
      <c r="F81" s="21" t="s">
        <v>129</v>
      </c>
      <c r="G81" s="23" t="s">
        <v>130</v>
      </c>
      <c r="H81" s="21" t="s">
        <v>128</v>
      </c>
      <c r="I81" s="21" t="s">
        <v>1991</v>
      </c>
      <c r="J81" s="18" t="str">
        <f xml:space="preserve"> LEFT(韻母對照表[[#This Row],[十五音識別碼]],1)</f>
        <v>觀</v>
      </c>
      <c r="K81" s="18" t="s">
        <v>126</v>
      </c>
      <c r="L81" s="18" t="s">
        <v>131</v>
      </c>
      <c r="M81" s="21"/>
      <c r="N81" s="18">
        <f t="shared" si="37"/>
        <v>3</v>
      </c>
      <c r="O81" s="26"/>
      <c r="P81" s="21" t="str">
        <f>C77</f>
        <v>uainnh</v>
      </c>
      <c r="Q81" s="21" t="str">
        <f>D77</f>
        <v>uaihnn</v>
      </c>
      <c r="S81" s="47" t="str">
        <f t="shared" si="38"/>
        <v>uainnh(\d)</v>
      </c>
      <c r="T81" s="50" t="s">
        <v>1087</v>
      </c>
      <c r="U81" s="50" t="str">
        <f t="shared" si="39"/>
        <v/>
      </c>
      <c r="V81" s="47" t="str">
        <f t="shared" si="40"/>
        <v/>
      </c>
      <c r="W81" s="19"/>
      <c r="X81" s="20" t="str">
        <f t="shared" si="41"/>
        <v xml:space="preserve">    - xform/》uainnh(\d)//</v>
      </c>
    </row>
    <row r="82" spans="1:24" ht="27.75" thickBot="1">
      <c r="A82" s="101">
        <f t="shared" si="31"/>
        <v>79</v>
      </c>
      <c r="B82" s="63" t="s">
        <v>2116</v>
      </c>
      <c r="C82" s="65" t="s">
        <v>285</v>
      </c>
      <c r="D82" s="21" t="s">
        <v>285</v>
      </c>
      <c r="E82" s="21" t="s">
        <v>285</v>
      </c>
      <c r="F82" s="21" t="s">
        <v>285</v>
      </c>
      <c r="G82" s="23" t="s">
        <v>286</v>
      </c>
      <c r="H82" s="21" t="s">
        <v>284</v>
      </c>
      <c r="I82" s="21" t="s">
        <v>2007</v>
      </c>
      <c r="J82" s="18" t="str">
        <f xml:space="preserve"> LEFT(韻母對照表[[#This Row],[十五音識別碼]],1)</f>
        <v>檜</v>
      </c>
      <c r="K82" s="18" t="s">
        <v>281</v>
      </c>
      <c r="L82" s="18" t="s">
        <v>287</v>
      </c>
      <c r="M82" s="21"/>
      <c r="N82" s="18">
        <f t="shared" si="37"/>
        <v>2</v>
      </c>
      <c r="O82" s="26"/>
      <c r="P82" s="21" t="str">
        <f>C86</f>
        <v>uih</v>
      </c>
      <c r="Q82" s="21" t="str">
        <f>D86</f>
        <v>uih</v>
      </c>
      <c r="S82" s="47" t="str">
        <f t="shared" si="38"/>
        <v>uih(\d)</v>
      </c>
      <c r="T82" s="50" t="s">
        <v>1016</v>
      </c>
      <c r="U82" s="50" t="str">
        <f t="shared" si="39"/>
        <v/>
      </c>
      <c r="V82" s="47" t="str">
        <f t="shared" si="40"/>
        <v/>
      </c>
      <c r="W82" s="19"/>
      <c r="X82" s="20" t="str">
        <f t="shared" si="41"/>
        <v xml:space="preserve">    - xform/》uih(\d)//</v>
      </c>
    </row>
    <row r="83" spans="1:24" ht="27.75" thickBot="1">
      <c r="A83" s="101">
        <f t="shared" si="31"/>
        <v>80</v>
      </c>
      <c r="B83" s="63" t="s">
        <v>2117</v>
      </c>
      <c r="C83" s="65" t="s">
        <v>290</v>
      </c>
      <c r="D83" s="21" t="s">
        <v>290</v>
      </c>
      <c r="E83" s="21" t="s">
        <v>290</v>
      </c>
      <c r="F83" s="21" t="s">
        <v>290</v>
      </c>
      <c r="G83" s="23" t="s">
        <v>291</v>
      </c>
      <c r="H83" s="21" t="s">
        <v>1968</v>
      </c>
      <c r="I83" s="21" t="s">
        <v>2008</v>
      </c>
      <c r="J83" s="18" t="str">
        <f xml:space="preserve"> LEFT(韻母對照表[[#This Row],[十五音識別碼]],1)</f>
        <v>檜</v>
      </c>
      <c r="K83" s="18" t="s">
        <v>289</v>
      </c>
      <c r="L83" s="18" t="s">
        <v>292</v>
      </c>
      <c r="M83" s="21"/>
      <c r="N83" s="18">
        <f t="shared" si="37"/>
        <v>3</v>
      </c>
      <c r="O83" s="26"/>
      <c r="P83" s="21" t="str">
        <f>C57</f>
        <v>m</v>
      </c>
      <c r="Q83" s="21" t="str">
        <f>D57</f>
        <v>m</v>
      </c>
      <c r="S83" s="47" t="str">
        <f t="shared" si="38"/>
        <v>m(\d)</v>
      </c>
      <c r="T83" s="50" t="s">
        <v>1027</v>
      </c>
      <c r="U83" s="50" t="str">
        <f t="shared" si="39"/>
        <v/>
      </c>
      <c r="V83" s="47" t="str">
        <f t="shared" si="40"/>
        <v/>
      </c>
      <c r="W83" s="19"/>
      <c r="X83" s="20" t="str">
        <f t="shared" si="41"/>
        <v xml:space="preserve">    - xform/》m(\d)//</v>
      </c>
    </row>
    <row r="84" spans="1:24" ht="27.75" thickBot="1">
      <c r="A84" s="101">
        <f t="shared" si="8"/>
        <v>81</v>
      </c>
      <c r="B84" s="63" t="s">
        <v>2113</v>
      </c>
      <c r="C84" s="65" t="s">
        <v>313</v>
      </c>
      <c r="D84" s="21" t="s">
        <v>313</v>
      </c>
      <c r="E84" s="21" t="s">
        <v>313</v>
      </c>
      <c r="F84" s="21" t="s">
        <v>313</v>
      </c>
      <c r="G84" s="23" t="s">
        <v>313</v>
      </c>
      <c r="H84" s="21" t="s">
        <v>1963</v>
      </c>
      <c r="I84" s="21" t="s">
        <v>2011</v>
      </c>
      <c r="J84" s="18" t="str">
        <f xml:space="preserve"> LEFT(韻母對照表[[#This Row],[十五音識別碼]],1)</f>
        <v>艍</v>
      </c>
      <c r="K84" s="18" t="s">
        <v>312</v>
      </c>
      <c r="L84" s="18" t="s">
        <v>314</v>
      </c>
      <c r="M84" s="21"/>
      <c r="N84" s="18">
        <f t="shared" si="30"/>
        <v>2</v>
      </c>
      <c r="O84" s="26"/>
      <c r="P84" s="21" t="str">
        <f>C80</f>
        <v>uann</v>
      </c>
      <c r="Q84" s="21" t="str">
        <f>D80</f>
        <v>uann</v>
      </c>
      <c r="S84" s="47" t="str">
        <f t="shared" si="13"/>
        <v>uann(\d)</v>
      </c>
      <c r="T84" s="50" t="s">
        <v>1029</v>
      </c>
      <c r="U84" s="50" t="str">
        <f t="shared" si="14"/>
        <v/>
      </c>
      <c r="V84" s="47" t="str">
        <f t="shared" si="15"/>
        <v/>
      </c>
      <c r="W84" s="19"/>
      <c r="X84" s="20" t="str">
        <f t="shared" si="16"/>
        <v xml:space="preserve">    - xform/》uann(\d)//</v>
      </c>
    </row>
    <row r="85" spans="1:24" ht="27.75" thickBot="1">
      <c r="A85" s="101">
        <f t="shared" si="31"/>
        <v>82</v>
      </c>
      <c r="B85" s="63" t="s">
        <v>2118</v>
      </c>
      <c r="C85" s="65" t="s">
        <v>50</v>
      </c>
      <c r="D85" s="21" t="s">
        <v>50</v>
      </c>
      <c r="E85" s="21" t="s">
        <v>50</v>
      </c>
      <c r="F85" s="21" t="s">
        <v>50</v>
      </c>
      <c r="G85" s="23" t="s">
        <v>50</v>
      </c>
      <c r="H85" s="21" t="s">
        <v>52</v>
      </c>
      <c r="I85" s="21" t="s">
        <v>52</v>
      </c>
      <c r="J85" s="18" t="str">
        <f xml:space="preserve"> LEFT(韻母對照表[[#This Row],[十五音識別碼]],1)</f>
        <v>規</v>
      </c>
      <c r="K85" s="18" t="s">
        <v>49</v>
      </c>
      <c r="L85" s="18" t="s">
        <v>53</v>
      </c>
      <c r="M85" s="21"/>
      <c r="N85" s="18">
        <f xml:space="preserve"> LEN(D85)</f>
        <v>2</v>
      </c>
      <c r="O85" s="26"/>
      <c r="P85" s="21" t="str">
        <f>C58</f>
        <v>mh</v>
      </c>
      <c r="Q85" s="21" t="str">
        <f>D58</f>
        <v>mh</v>
      </c>
      <c r="S85" s="47" t="str">
        <f xml:space="preserve"> _xlfn.CONCAT(P85, "(\d)")</f>
        <v>mh(\d)</v>
      </c>
      <c r="T85" s="50" t="s">
        <v>1027</v>
      </c>
      <c r="U85" s="50" t="str">
        <f xml:space="preserve"> IFERROR( IF(T85="", "", SEARCH(T85, $P85)), "")</f>
        <v/>
      </c>
      <c r="V85" s="47" t="str">
        <f xml:space="preserve"> IFERROR( _xlfn.CONCAT(LEFT(P85,U85-1), "》", MID(P85,U85,1), "${1}", RIGHT(P85, LEN(P85)-U85)), "" )</f>
        <v/>
      </c>
      <c r="W85" s="19"/>
      <c r="X85" s="20" t="str">
        <f xml:space="preserve"> IF(AND(Q85&lt;&gt;"", P85&lt;&gt;""), "    - xform/》" &amp; S85 &amp;  "/"  &amp; V85 &amp;  "/", "")</f>
        <v xml:space="preserve">    - xform/》mh(\d)//</v>
      </c>
    </row>
    <row r="86" spans="1:24" ht="27.75" thickBot="1">
      <c r="A86" s="101">
        <f t="shared" si="31"/>
        <v>83</v>
      </c>
      <c r="B86" s="63" t="s">
        <v>2120</v>
      </c>
      <c r="C86" s="65" t="s">
        <v>1901</v>
      </c>
      <c r="D86" s="27" t="s">
        <v>1940</v>
      </c>
      <c r="E86" s="27" t="s">
        <v>1940</v>
      </c>
      <c r="F86" s="27" t="s">
        <v>1940</v>
      </c>
      <c r="G86" s="27" t="s">
        <v>1901</v>
      </c>
      <c r="H86" s="67" t="s">
        <v>1932</v>
      </c>
      <c r="I86" s="67" t="s">
        <v>2205</v>
      </c>
      <c r="J86" s="18" t="str">
        <f xml:space="preserve"> LEFT(韻母對照表[[#This Row],[十五音識別碼]],1)</f>
        <v>褌</v>
      </c>
      <c r="K86" s="18" t="s">
        <v>2071</v>
      </c>
      <c r="L86" s="69" t="s">
        <v>1943</v>
      </c>
      <c r="M86" s="61" t="s">
        <v>1091</v>
      </c>
      <c r="N86" s="18">
        <f xml:space="preserve"> LEN(D86)</f>
        <v>3</v>
      </c>
      <c r="O86" s="26"/>
      <c r="P86" s="21" t="str">
        <f>C60</f>
        <v>ngh</v>
      </c>
      <c r="Q86" s="21" t="str">
        <f>D60</f>
        <v>ngh</v>
      </c>
      <c r="S86" s="47" t="str">
        <f xml:space="preserve"> _xlfn.CONCAT(P86, "(\d)")</f>
        <v>ngh(\d)</v>
      </c>
      <c r="T86" s="50" t="s">
        <v>1027</v>
      </c>
      <c r="U86" s="50" t="str">
        <f xml:space="preserve"> IFERROR( IF(T86="", "", SEARCH(T86, $P86)), "")</f>
        <v/>
      </c>
      <c r="V86" s="47" t="str">
        <f xml:space="preserve"> IFERROR( _xlfn.CONCAT(LEFT(P86,U86-1), "》", MID(P86,U86,1), "${1}", RIGHT(P86, LEN(P86)-U86)), "" )</f>
        <v/>
      </c>
      <c r="W86" s="19"/>
      <c r="X86" s="20" t="str">
        <f xml:space="preserve"> IF(AND(Q86&lt;&gt;"", P86&lt;&gt;""), "    - xform/》" &amp; S86 &amp;  "/"  &amp; V86 &amp;  "/", "")</f>
        <v xml:space="preserve">    - xform/》ngh(\d)//</v>
      </c>
    </row>
    <row r="87" spans="1:24" ht="27.75" thickBot="1">
      <c r="A87" s="101">
        <f t="shared" si="31"/>
        <v>84</v>
      </c>
      <c r="B87" s="63" t="s">
        <v>2119</v>
      </c>
      <c r="C87" s="65" t="s">
        <v>351</v>
      </c>
      <c r="D87" s="21" t="s">
        <v>351</v>
      </c>
      <c r="E87" s="21" t="s">
        <v>351</v>
      </c>
      <c r="F87" s="21" t="s">
        <v>353</v>
      </c>
      <c r="G87" s="23" t="s">
        <v>352</v>
      </c>
      <c r="H87" s="21" t="s">
        <v>350</v>
      </c>
      <c r="I87" s="21" t="s">
        <v>2016</v>
      </c>
      <c r="J87" s="18" t="str">
        <f xml:space="preserve"> LEFT(韻母對照表[[#This Row],[十五音識別碼]],1)</f>
        <v>褌</v>
      </c>
      <c r="K87" s="18" t="s">
        <v>348</v>
      </c>
      <c r="L87" s="18" t="s">
        <v>354</v>
      </c>
      <c r="M87" s="21"/>
      <c r="N87" s="18">
        <f t="shared" ref="N87" si="42" xml:space="preserve"> LEN(D87)</f>
        <v>4</v>
      </c>
      <c r="O87" s="26"/>
      <c r="P87" s="21" t="str">
        <f>C59</f>
        <v>ng</v>
      </c>
      <c r="Q87" s="21" t="str">
        <f>D59</f>
        <v>ng</v>
      </c>
      <c r="S87" s="47" t="str">
        <f xml:space="preserve"> _xlfn.CONCAT(P87, "(\d)")</f>
        <v>ng(\d)</v>
      </c>
      <c r="T87" s="50" t="s">
        <v>1027</v>
      </c>
      <c r="U87" s="50" t="str">
        <f xml:space="preserve"> IFERROR( IF(T87="", "", SEARCH(T87, $P87)), "")</f>
        <v/>
      </c>
      <c r="V87" s="47" t="str">
        <f xml:space="preserve"> IFERROR( _xlfn.CONCAT(LEFT(P87,U87-1), "》", MID(P87,U87,1), "${1}", RIGHT(P87, LEN(P87)-U87)), "" )</f>
        <v/>
      </c>
      <c r="W87" s="19"/>
      <c r="X87" s="20" t="str">
        <f xml:space="preserve"> IF(AND(Q87&lt;&gt;"", P87&lt;&gt;""), "    - xform/》" &amp; S87 &amp;  "/"  &amp; V87 &amp;  "/", "")</f>
        <v xml:space="preserve">    - xform/》ng(\d)//</v>
      </c>
    </row>
    <row r="88" spans="1:24" ht="27.75" thickBot="1">
      <c r="A88" s="101">
        <f t="shared" si="8"/>
        <v>85</v>
      </c>
      <c r="B88" s="63" t="s">
        <v>2114</v>
      </c>
      <c r="C88" s="65" t="s">
        <v>14</v>
      </c>
      <c r="D88" s="21" t="s">
        <v>14</v>
      </c>
      <c r="E88" s="21" t="s">
        <v>14</v>
      </c>
      <c r="F88" s="21" t="s">
        <v>14</v>
      </c>
      <c r="G88" s="23" t="s">
        <v>14</v>
      </c>
      <c r="H88" s="21" t="s">
        <v>16</v>
      </c>
      <c r="I88" s="21" t="s">
        <v>16</v>
      </c>
      <c r="J88" s="18" t="str">
        <f xml:space="preserve"> LEFT(韻母對照表[[#This Row],[十五音識別碼]],1)</f>
        <v>君</v>
      </c>
      <c r="K88" s="18" t="s">
        <v>13</v>
      </c>
      <c r="L88" s="18" t="s">
        <v>18</v>
      </c>
      <c r="M88" s="21"/>
      <c r="N88" s="18">
        <f t="shared" si="30"/>
        <v>2</v>
      </c>
      <c r="O88" s="26"/>
      <c r="P88" s="21" t="str">
        <f>C73</f>
        <v>uah</v>
      </c>
      <c r="Q88" s="21" t="str">
        <f>D73</f>
        <v>uah</v>
      </c>
      <c r="S88" s="47" t="str">
        <f t="shared" ref="S88:S89" si="43" xml:space="preserve"> _xlfn.CONCAT(P88, "(\d)")</f>
        <v>uah(\d)</v>
      </c>
      <c r="T88" s="50" t="s">
        <v>1029</v>
      </c>
      <c r="U88" s="50" t="str">
        <f t="shared" ref="U88:U89" si="44" xml:space="preserve"> IFERROR( IF(T88="", "", SEARCH(T88, $P88)), "")</f>
        <v/>
      </c>
      <c r="V88" s="47" t="str">
        <f t="shared" si="15"/>
        <v/>
      </c>
      <c r="W88" s="19"/>
      <c r="X88" s="20" t="str">
        <f t="shared" ref="X88:X89" si="45" xml:space="preserve"> IF(AND(Q88&lt;&gt;"", P88&lt;&gt;""), "    - xform/》" &amp; S88 &amp;  "/"  &amp; V88 &amp;  "/", "")</f>
        <v xml:space="preserve">    - xform/》uah(\d)//</v>
      </c>
    </row>
    <row r="89" spans="1:24" ht="27.75" thickBot="1">
      <c r="A89" s="101">
        <f t="shared" si="8"/>
        <v>86</v>
      </c>
      <c r="B89" s="63" t="s">
        <v>2115</v>
      </c>
      <c r="C89" s="65" t="s">
        <v>22</v>
      </c>
      <c r="D89" s="21" t="s">
        <v>22</v>
      </c>
      <c r="E89" s="21" t="s">
        <v>22</v>
      </c>
      <c r="F89" s="21" t="s">
        <v>22</v>
      </c>
      <c r="G89" s="23" t="s">
        <v>22</v>
      </c>
      <c r="H89" s="21" t="s">
        <v>21</v>
      </c>
      <c r="I89" s="21" t="s">
        <v>1981</v>
      </c>
      <c r="J89" s="18" t="str">
        <f xml:space="preserve"> LEFT(韻母對照表[[#This Row],[十五音識別碼]],1)</f>
        <v>君</v>
      </c>
      <c r="K89" s="18" t="s">
        <v>20</v>
      </c>
      <c r="L89" s="18" t="s">
        <v>24</v>
      </c>
      <c r="M89" s="21"/>
      <c r="N89" s="18">
        <f t="shared" si="30"/>
        <v>2</v>
      </c>
      <c r="O89" s="26"/>
      <c r="P89" s="21" t="str">
        <f>C78</f>
        <v>uan</v>
      </c>
      <c r="Q89" s="21" t="str">
        <f>D78</f>
        <v>uan</v>
      </c>
      <c r="S89" s="47" t="str">
        <f t="shared" si="43"/>
        <v>uan(\d)</v>
      </c>
      <c r="T89" s="50" t="s">
        <v>1029</v>
      </c>
      <c r="U89" s="50" t="str">
        <f t="shared" si="44"/>
        <v/>
      </c>
      <c r="V89" s="47" t="str">
        <f t="shared" ref="V89" si="46" xml:space="preserve"> IFERROR( _xlfn.CONCAT(LEFT(P89,U89-1), "》", MID(P89,U89,1), "${1}", RIGHT(P89, LEN(P89)-U89)), "" )</f>
        <v/>
      </c>
      <c r="W89" s="19"/>
      <c r="X89" s="20" t="str">
        <f t="shared" si="45"/>
        <v xml:space="preserve">    - xform/》uan(\d)//</v>
      </c>
    </row>
    <row r="90" spans="1:24" ht="27" thickBot="1"/>
    <row r="91" spans="1:24" ht="48.75" thickBot="1">
      <c r="B91" s="22" t="s">
        <v>1092</v>
      </c>
      <c r="C91" s="22" t="s">
        <v>1097</v>
      </c>
      <c r="D91" s="22" t="s">
        <v>1097</v>
      </c>
    </row>
    <row r="92" spans="1:24" ht="27.75" thickBot="1">
      <c r="B92" s="21" t="s">
        <v>1093</v>
      </c>
      <c r="C92" s="21">
        <f xml:space="preserve"> HEX2DEC(VALUE(RIGHT(B92,4)))</f>
        <v>771</v>
      </c>
      <c r="D92" s="21" t="str">
        <f xml:space="preserve"> _xlfn.CONCAT("a", _xlfn.UNICHAR(HEX2DEC(RIGHT(B92,4))))</f>
        <v>ã</v>
      </c>
    </row>
    <row r="93" spans="1:24" ht="27.75" thickBot="1">
      <c r="B93" s="21" t="s">
        <v>1094</v>
      </c>
      <c r="C93" s="21">
        <f xml:space="preserve"> HEX2DEC(VALUE(RIGHT(B93,4)))</f>
        <v>660</v>
      </c>
      <c r="D93" s="21" t="str">
        <f xml:space="preserve"> _xlfn.CONCAT("a", _xlfn.UNICHAR(HEX2DEC(RIGHT(B93,4))))</f>
        <v>aʔ</v>
      </c>
    </row>
    <row r="94" spans="1:24" ht="27" thickBot="1"/>
    <row r="95" spans="1:24" ht="27" thickBot="1">
      <c r="B95" s="22" t="s">
        <v>1096</v>
      </c>
      <c r="C95" s="22">
        <f xml:space="preserve"> HEX2DEC(VALUE(RIGHT(B95,4)))</f>
        <v>2134</v>
      </c>
      <c r="D95" s="22" t="str">
        <f xml:space="preserve"> _xlfn.CONCAT("o", _xlfn.UNICHAR( RIGHT(B95,4)))</f>
        <v>o͘</v>
      </c>
    </row>
    <row r="96" spans="1:24" ht="27" thickBot="1">
      <c r="B96" s="22" t="s">
        <v>1095</v>
      </c>
      <c r="C96" s="22">
        <f xml:space="preserve"> _xlfn.UNICODE( RIGHT(B96,1) )</f>
        <v>856</v>
      </c>
      <c r="D96" s="22" t="str">
        <f xml:space="preserve"> _xlfn.CONCAT("o", _xlfn.UNICHAR(C96))</f>
        <v>o͘</v>
      </c>
    </row>
    <row r="97" spans="1:3" ht="27" thickBot="1"/>
    <row r="98" spans="1:3" ht="27" thickBot="1">
      <c r="B98" s="22" t="s">
        <v>1105</v>
      </c>
      <c r="C98" s="22" t="s">
        <v>1924</v>
      </c>
    </row>
    <row r="99" spans="1:3" ht="27" thickBot="1">
      <c r="B99" s="22" t="s">
        <v>1107</v>
      </c>
      <c r="C99" s="22" t="s">
        <v>1106</v>
      </c>
    </row>
    <row r="101" spans="1:3">
      <c r="A101" s="14" t="str">
        <f xml:space="preserve"> "(""" &amp; _xlfn.TEXTJOIN(""",""",TRUE,F4:F89) &amp; """)"</f>
        <v>("a","ah","ai","aih","nai","ak","am","an","ang","na","nah","ap","at","ao","aoh","e","eh","ne","ennh","i","ia","iah","iak","iam","ian","iang","nia","iannh","iap","iat","iao","iaoh","niao","ih","ik","im","in","ing","ni","io","ioh","iok","iong","ip","it","nioo","iu","niu","niuh","m","mh","ng","ngh","o","oh","ok","om","ong","noo","niuh","oo","ooh","op","u","ua","uah","uai","nuai","uaih","uainnh","uan","uang","nua","uat","ue","ueh","uh","ui","uih","nui","un","ut")</v>
      </c>
    </row>
  </sheetData>
  <phoneticPr fontId="3" type="noConversion"/>
  <pageMargins left="0.7" right="0.7" top="0.75" bottom="0.75" header="0.3" footer="0.3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8C6B9-E1AD-4791-BA27-C166B65963CB}">
  <dimension ref="B1:BC39"/>
  <sheetViews>
    <sheetView topLeftCell="A8" workbookViewId="0">
      <selection activeCell="I17" sqref="I17"/>
    </sheetView>
  </sheetViews>
  <sheetFormatPr defaultRowHeight="25.5"/>
  <cols>
    <col min="1" max="1" width="1.58203125" customWidth="1"/>
    <col min="2" max="3" width="7.33203125" customWidth="1"/>
    <col min="4" max="4" width="8.1640625" bestFit="1" customWidth="1"/>
    <col min="5" max="5" width="11.83203125" bestFit="1" customWidth="1"/>
    <col min="6" max="6" width="8.1640625" bestFit="1" customWidth="1"/>
    <col min="7" max="7" width="5.58203125" customWidth="1"/>
    <col min="8" max="8" width="9.1640625" style="12" customWidth="1"/>
    <col min="9" max="9" width="8.1640625" style="12" bestFit="1" customWidth="1"/>
    <col min="10" max="11" width="8.1640625" style="12" customWidth="1"/>
    <col min="12" max="12" width="9.1640625" style="12" customWidth="1"/>
    <col min="13" max="13" width="12.83203125" style="12" customWidth="1"/>
    <col min="14" max="14" width="9.1640625" style="12" customWidth="1"/>
    <col min="15" max="15" width="12.83203125" style="12" customWidth="1"/>
    <col min="16" max="17" width="9.1640625" style="12" customWidth="1"/>
    <col min="18" max="18" width="8.1640625" style="12" customWidth="1"/>
    <col min="19" max="19" width="2.1640625" bestFit="1" customWidth="1"/>
    <col min="20" max="28" width="7.08203125" customWidth="1"/>
  </cols>
  <sheetData>
    <row r="1" spans="2:55" s="15" customFormat="1" ht="30" customHeight="1">
      <c r="B1" s="66" t="s">
        <v>1084</v>
      </c>
      <c r="D1" s="14"/>
      <c r="E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07"/>
      <c r="T1" s="107"/>
      <c r="U1" s="107"/>
      <c r="V1" s="14"/>
      <c r="W1" s="14"/>
      <c r="AB1" s="47"/>
      <c r="AC1" s="50"/>
      <c r="AD1" s="50"/>
      <c r="AE1" s="47"/>
      <c r="AG1" s="51"/>
      <c r="AI1" s="55"/>
      <c r="AJ1" s="55">
        <v>1</v>
      </c>
      <c r="AK1" s="55">
        <v>2</v>
      </c>
      <c r="AL1" s="55">
        <v>3</v>
      </c>
      <c r="AM1" s="55">
        <v>4</v>
      </c>
      <c r="AN1" s="55">
        <v>5</v>
      </c>
      <c r="AO1" s="55">
        <v>6</v>
      </c>
      <c r="AP1" s="55">
        <v>7</v>
      </c>
      <c r="AQ1" s="55">
        <v>8</v>
      </c>
      <c r="AR1" s="55">
        <v>9</v>
      </c>
      <c r="AS1" s="55">
        <v>9</v>
      </c>
      <c r="AT1" s="55"/>
      <c r="AU1" s="59"/>
      <c r="AV1" s="59"/>
      <c r="AW1" s="59"/>
      <c r="AX1" s="59"/>
      <c r="AY1" s="59"/>
      <c r="AZ1" s="59"/>
      <c r="BA1" s="59"/>
      <c r="BB1" s="59"/>
      <c r="BC1" s="59"/>
    </row>
    <row r="3" spans="2:55" ht="30">
      <c r="B3" s="13" t="s">
        <v>632</v>
      </c>
      <c r="C3" s="13" t="s">
        <v>653</v>
      </c>
      <c r="D3" s="13" t="s">
        <v>622</v>
      </c>
      <c r="E3" s="13" t="s">
        <v>651</v>
      </c>
      <c r="F3" s="13" t="s">
        <v>637</v>
      </c>
      <c r="H3" s="182" t="s">
        <v>2349</v>
      </c>
      <c r="I3" s="183" t="s">
        <v>653</v>
      </c>
      <c r="J3" s="183" t="s">
        <v>2359</v>
      </c>
      <c r="K3" s="183" t="s">
        <v>2354</v>
      </c>
      <c r="L3" s="183" t="s">
        <v>622</v>
      </c>
      <c r="M3" s="183" t="s">
        <v>651</v>
      </c>
      <c r="N3" s="183" t="s">
        <v>637</v>
      </c>
      <c r="O3" s="183" t="s">
        <v>652</v>
      </c>
      <c r="P3" s="183" t="s">
        <v>639</v>
      </c>
      <c r="Q3" s="184" t="s">
        <v>627</v>
      </c>
      <c r="T3" s="77" t="str">
        <f xml:space="preserve"> _xlfn.CONCAT("o", _xlfn.UNICHAR(HEX2DEC(RIGHT("U+0358",4))))</f>
        <v>o͘</v>
      </c>
      <c r="U3" s="13" t="s">
        <v>1028</v>
      </c>
      <c r="V3" s="13" t="s">
        <v>1029</v>
      </c>
      <c r="W3" s="13" t="s">
        <v>1027</v>
      </c>
      <c r="X3" s="13" t="s">
        <v>981</v>
      </c>
      <c r="Y3" s="13" t="s">
        <v>1016</v>
      </c>
      <c r="Z3" s="13" t="s">
        <v>1087</v>
      </c>
      <c r="AA3" s="13" t="s">
        <v>1086</v>
      </c>
    </row>
    <row r="4" spans="2:55" ht="34.5">
      <c r="B4" s="6">
        <v>1</v>
      </c>
      <c r="C4" s="6" t="s">
        <v>643</v>
      </c>
      <c r="D4" s="43" t="s">
        <v>1077</v>
      </c>
      <c r="E4" s="72"/>
      <c r="F4" s="42" t="str">
        <f xml:space="preserve"> IFERROR( _xlfn.CONCAT("a"), "")</f>
        <v>a</v>
      </c>
      <c r="H4" s="171">
        <v>1</v>
      </c>
      <c r="I4" s="6" t="s">
        <v>643</v>
      </c>
      <c r="J4" s="6">
        <v>44</v>
      </c>
      <c r="K4" s="6" t="s">
        <v>2351</v>
      </c>
      <c r="L4" s="43" t="s">
        <v>1077</v>
      </c>
      <c r="M4" s="72"/>
      <c r="N4" s="168" t="str">
        <f xml:space="preserve"> IFERROR( _xlfn.CONCAT("a", IF($M4="", "", _xlfn.UNICHAR(HEX2DEC(RIGHT($M4,4))))), "")</f>
        <v>a</v>
      </c>
      <c r="O4" s="74" t="s">
        <v>630</v>
      </c>
      <c r="P4" s="169" t="str">
        <f xml:space="preserve"> IFERROR( _xlfn.CONCAT("a", _xlfn.UNICHAR(HEX2DEC(RIGHT(O4,4)))), "")</f>
        <v>ā</v>
      </c>
      <c r="Q4" s="173">
        <v>1</v>
      </c>
      <c r="S4">
        <v>1</v>
      </c>
      <c r="T4" s="71" t="str">
        <f>IFERROR( _xlfn.CONCAT("o", _xlfn.UNICHAR(HEX2DEC(RIGHT("U+0358",4))), _xlfn.UNICHAR(HEX2DEC(RIGHT(E4,4)))), $T$3)</f>
        <v>o͘</v>
      </c>
      <c r="U4" s="71" t="str">
        <f>IFERROR( _xlfn.CONCAT(U$3, IF($E4="", "", _xlfn.UNICHAR(HEX2DEC(RIGHT($E4,4))))), "")</f>
        <v>a</v>
      </c>
      <c r="V4" s="71" t="str">
        <f t="shared" ref="V4:AA4" si="0">IFERROR( _xlfn.CONCAT(V$3, IF($E4="", "", _xlfn.UNICHAR(HEX2DEC(RIGHT($E4,4))))), "")</f>
        <v>i</v>
      </c>
      <c r="W4" s="71" t="str">
        <f t="shared" si="0"/>
        <v>u</v>
      </c>
      <c r="X4" s="71" t="str">
        <f t="shared" si="0"/>
        <v>e</v>
      </c>
      <c r="Y4" s="71" t="str">
        <f t="shared" si="0"/>
        <v>o</v>
      </c>
      <c r="Z4" s="71" t="str">
        <f t="shared" si="0"/>
        <v>m</v>
      </c>
      <c r="AA4" s="71" t="str">
        <f t="shared" si="0"/>
        <v>n</v>
      </c>
    </row>
    <row r="5" spans="2:55" ht="34.5">
      <c r="B5" s="6">
        <v>2</v>
      </c>
      <c r="C5" s="6" t="s">
        <v>644</v>
      </c>
      <c r="D5" s="44" t="s">
        <v>1078</v>
      </c>
      <c r="E5" s="72" t="s">
        <v>631</v>
      </c>
      <c r="F5" s="42" t="str">
        <f xml:space="preserve"> IFERROR( _xlfn.CONCAT("a", _xlfn.UNICHAR(HEX2DEC(RIGHT($E5,4)))), "")</f>
        <v>á</v>
      </c>
      <c r="H5" s="171">
        <v>7</v>
      </c>
      <c r="I5" s="6" t="s">
        <v>649</v>
      </c>
      <c r="J5" s="6">
        <v>22</v>
      </c>
      <c r="K5" s="6" t="s">
        <v>2352</v>
      </c>
      <c r="L5" s="43" t="s">
        <v>1080</v>
      </c>
      <c r="M5" s="72" t="s">
        <v>630</v>
      </c>
      <c r="N5" s="168" t="str">
        <f xml:space="preserve"> IFERROR( _xlfn.CONCAT("a", IF($M5="", "", _xlfn.UNICHAR(HEX2DEC(RIGHT($M5,4))))), "")</f>
        <v>ā</v>
      </c>
      <c r="O5" s="74" t="s">
        <v>640</v>
      </c>
      <c r="P5" s="169" t="str">
        <f xml:space="preserve"> IFERROR( _xlfn.CONCAT("a", _xlfn.UNICHAR(HEX2DEC(RIGHT(O5,4)))), "")</f>
        <v>â</v>
      </c>
      <c r="Q5" s="173">
        <v>6</v>
      </c>
      <c r="S5">
        <v>2</v>
      </c>
      <c r="T5" s="71" t="str">
        <f>IFERROR( _xlfn.CONCAT("o", _xlfn.UNICHAR(HEX2DEC(RIGHT("U+0358",4))), _xlfn.UNICHAR(HEX2DEC(RIGHT(E5,4)))), $T$3)</f>
        <v>ó͘</v>
      </c>
      <c r="U5" s="71" t="str">
        <f t="shared" ref="U5:AA13" si="1">IFERROR( _xlfn.CONCAT(U$3, IF($E5="", "", _xlfn.UNICHAR(HEX2DEC(RIGHT($E5,4))))), "")</f>
        <v>á</v>
      </c>
      <c r="V5" s="71" t="str">
        <f t="shared" si="1"/>
        <v>í</v>
      </c>
      <c r="W5" s="71" t="str">
        <f t="shared" si="1"/>
        <v>ú</v>
      </c>
      <c r="X5" s="71" t="str">
        <f t="shared" si="1"/>
        <v>é</v>
      </c>
      <c r="Y5" s="71" t="str">
        <f t="shared" si="1"/>
        <v>ó</v>
      </c>
      <c r="Z5" s="71" t="str">
        <f t="shared" si="1"/>
        <v>ḿ</v>
      </c>
      <c r="AA5" s="71" t="str">
        <f t="shared" si="1"/>
        <v>ń</v>
      </c>
    </row>
    <row r="6" spans="2:55" ht="34.5">
      <c r="B6" s="6">
        <v>3</v>
      </c>
      <c r="C6" s="6" t="s">
        <v>645</v>
      </c>
      <c r="D6" s="44" t="s">
        <v>624</v>
      </c>
      <c r="E6" s="72" t="s">
        <v>635</v>
      </c>
      <c r="F6" s="42" t="str">
        <f t="shared" ref="F6:F13" si="2" xml:space="preserve"> IFERROR( _xlfn.CONCAT("a", _xlfn.UNICHAR(HEX2DEC(RIGHT($E6,4)))), "")</f>
        <v>à</v>
      </c>
      <c r="H6" s="171">
        <v>3</v>
      </c>
      <c r="I6" s="6" t="s">
        <v>645</v>
      </c>
      <c r="J6" s="6">
        <v>21</v>
      </c>
      <c r="K6" s="6" t="s">
        <v>2353</v>
      </c>
      <c r="L6" s="44" t="s">
        <v>624</v>
      </c>
      <c r="M6" s="72" t="s">
        <v>631</v>
      </c>
      <c r="N6" s="168" t="str">
        <f xml:space="preserve"> IFERROR( _xlfn.CONCAT("a", IF($M7="", "", _xlfn.UNICHAR(HEX2DEC(RIGHT($M7,4))))), "")</f>
        <v>à</v>
      </c>
      <c r="O6" s="74" t="s">
        <v>635</v>
      </c>
      <c r="P6" s="169" t="str">
        <f xml:space="preserve"> IFERROR( _xlfn.CONCAT("a", _xlfn.UNICHAR(HEX2DEC(RIGHT(O6,4)))), "")</f>
        <v>à</v>
      </c>
      <c r="Q6" s="173">
        <v>5</v>
      </c>
      <c r="S6">
        <v>3</v>
      </c>
      <c r="T6" s="71" t="str">
        <f>IFERROR( _xlfn.CONCAT("o", _xlfn.UNICHAR(HEX2DEC(RIGHT("U+0358",4))), _xlfn.UNICHAR(HEX2DEC(RIGHT(E6,4)))), $T$3)</f>
        <v>ò͘</v>
      </c>
      <c r="U6" s="71" t="str">
        <f t="shared" si="1"/>
        <v>à</v>
      </c>
      <c r="V6" s="71" t="str">
        <f t="shared" si="1"/>
        <v>ì</v>
      </c>
      <c r="W6" s="71" t="str">
        <f t="shared" si="1"/>
        <v>ù</v>
      </c>
      <c r="X6" s="71" t="str">
        <f t="shared" si="1"/>
        <v>è</v>
      </c>
      <c r="Y6" s="71" t="str">
        <f t="shared" si="1"/>
        <v>ò</v>
      </c>
      <c r="Z6" s="71" t="str">
        <f t="shared" si="1"/>
        <v>m̀</v>
      </c>
      <c r="AA6" s="71" t="str">
        <f t="shared" si="1"/>
        <v>ǹ</v>
      </c>
    </row>
    <row r="7" spans="2:55" ht="34.5">
      <c r="B7" s="6">
        <v>4</v>
      </c>
      <c r="C7" s="6" t="s">
        <v>646</v>
      </c>
      <c r="D7" s="44" t="s">
        <v>1079</v>
      </c>
      <c r="E7" s="72"/>
      <c r="F7" s="42" t="str">
        <f t="shared" si="2"/>
        <v/>
      </c>
      <c r="H7" s="171">
        <v>2</v>
      </c>
      <c r="I7" s="6" t="s">
        <v>644</v>
      </c>
      <c r="J7" s="6">
        <v>53</v>
      </c>
      <c r="K7" s="6" t="s">
        <v>2355</v>
      </c>
      <c r="L7" s="44" t="s">
        <v>1078</v>
      </c>
      <c r="M7" s="72" t="s">
        <v>635</v>
      </c>
      <c r="N7" s="168" t="str">
        <f xml:space="preserve"> IFERROR( _xlfn.CONCAT("a", IF($M6="", "", _xlfn.UNICHAR(HEX2DEC(RIGHT($M6,4))))), "")</f>
        <v>á</v>
      </c>
      <c r="O7" s="74" t="s">
        <v>641</v>
      </c>
      <c r="P7" s="169" t="str">
        <f xml:space="preserve"> IFERROR( _xlfn.CONCAT("a", _xlfn.UNICHAR(HEX2DEC(RIGHT(O7,4)))), "")</f>
        <v>ǎ</v>
      </c>
      <c r="Q7" s="173">
        <v>3</v>
      </c>
      <c r="S7">
        <v>4</v>
      </c>
      <c r="T7" s="71" t="str">
        <f>IFERROR( _xlfn.CONCAT("o", _xlfn.UNICHAR(HEX2DEC(RIGHT("U+0358",4))), _xlfn.UNICHAR(HEX2DEC(RIGHT(E7,4)))), $T$3)</f>
        <v>o͘</v>
      </c>
      <c r="U7" s="71" t="str">
        <f t="shared" si="1"/>
        <v>a</v>
      </c>
      <c r="V7" s="71" t="str">
        <f t="shared" si="1"/>
        <v>i</v>
      </c>
      <c r="W7" s="71" t="str">
        <f t="shared" si="1"/>
        <v>u</v>
      </c>
      <c r="X7" s="71" t="str">
        <f t="shared" si="1"/>
        <v>e</v>
      </c>
      <c r="Y7" s="71" t="str">
        <f t="shared" si="1"/>
        <v>o</v>
      </c>
      <c r="Z7" s="71" t="str">
        <f t="shared" si="1"/>
        <v>m</v>
      </c>
      <c r="AA7" s="71" t="str">
        <f t="shared" si="1"/>
        <v>n</v>
      </c>
    </row>
    <row r="8" spans="2:55" ht="34.5">
      <c r="B8" s="6">
        <v>5</v>
      </c>
      <c r="C8" s="6" t="s">
        <v>647</v>
      </c>
      <c r="D8" s="44" t="s">
        <v>625</v>
      </c>
      <c r="E8" s="72" t="s">
        <v>641</v>
      </c>
      <c r="F8" s="42" t="str">
        <f t="shared" si="2"/>
        <v>ǎ</v>
      </c>
      <c r="H8" s="171">
        <v>5</v>
      </c>
      <c r="I8" s="6" t="s">
        <v>647</v>
      </c>
      <c r="J8" s="6">
        <v>24</v>
      </c>
      <c r="K8" s="6" t="s">
        <v>2356</v>
      </c>
      <c r="L8" s="44" t="s">
        <v>625</v>
      </c>
      <c r="M8" s="72" t="s">
        <v>636</v>
      </c>
      <c r="N8" s="168" t="str">
        <f xml:space="preserve"> IFERROR( _xlfn.CONCAT("a", IF($M8="", "", _xlfn.UNICHAR(HEX2DEC(RIGHT($M8,4))))), "")</f>
        <v>á</v>
      </c>
      <c r="O8" s="74" t="s">
        <v>636</v>
      </c>
      <c r="P8" s="169" t="str">
        <f xml:space="preserve"> IFERROR( _xlfn.CONCAT("a", _xlfn.UNICHAR(HEX2DEC(RIGHT(O8,4)))), "")</f>
        <v>á</v>
      </c>
      <c r="Q8" s="173">
        <v>2</v>
      </c>
      <c r="S8">
        <v>5</v>
      </c>
      <c r="T8" s="71" t="str">
        <f t="shared" ref="T8:T13" si="3">IFERROR( _xlfn.CONCAT("o", _xlfn.UNICHAR(HEX2DEC(RIGHT("U+0358",4))), _xlfn.UNICHAR(HEX2DEC(RIGHT(E8,4)))), "")</f>
        <v>ǒ͘</v>
      </c>
      <c r="U8" s="71" t="str">
        <f t="shared" si="1"/>
        <v>ǎ</v>
      </c>
      <c r="V8" s="71" t="str">
        <f t="shared" si="1"/>
        <v>ǐ</v>
      </c>
      <c r="W8" s="71" t="str">
        <f t="shared" si="1"/>
        <v>ǔ</v>
      </c>
      <c r="X8" s="71" t="str">
        <f t="shared" si="1"/>
        <v>ě</v>
      </c>
      <c r="Y8" s="71" t="str">
        <f t="shared" si="1"/>
        <v>ǒ</v>
      </c>
      <c r="Z8" s="71" t="str">
        <f t="shared" si="1"/>
        <v>m̌</v>
      </c>
      <c r="AA8" s="71" t="str">
        <f t="shared" si="1"/>
        <v>ň</v>
      </c>
    </row>
    <row r="9" spans="2:55" ht="34.5">
      <c r="B9" s="45">
        <v>6</v>
      </c>
      <c r="C9" s="6" t="s">
        <v>644</v>
      </c>
      <c r="D9" s="44"/>
      <c r="E9" s="73" t="s">
        <v>636</v>
      </c>
      <c r="F9" s="42" t="str">
        <f t="shared" si="2"/>
        <v>á</v>
      </c>
      <c r="H9" s="171">
        <v>7</v>
      </c>
      <c r="I9" s="6" t="s">
        <v>646</v>
      </c>
      <c r="J9" s="170">
        <v>320</v>
      </c>
      <c r="K9" s="6" t="s">
        <v>2358</v>
      </c>
      <c r="L9" s="44" t="s">
        <v>1079</v>
      </c>
      <c r="M9" s="72" t="s">
        <v>641</v>
      </c>
      <c r="N9" s="168" t="str">
        <f xml:space="preserve"> IFERROR( _xlfn.CONCAT("a", IF($M9="", "", _xlfn.UNICHAR(HEX2DEC(RIGHT($M9,4))))), "")</f>
        <v>ǎ</v>
      </c>
      <c r="O9" s="74" t="s">
        <v>650</v>
      </c>
      <c r="P9" s="169" t="str">
        <f xml:space="preserve"> IFERROR( _xlfn.CONCAT("a", _xlfn.UNICHAR(HEX2DEC(RIGHT(O9,4))), "h"), "")</f>
        <v>āh</v>
      </c>
      <c r="Q9" s="173">
        <v>7</v>
      </c>
      <c r="S9">
        <v>6</v>
      </c>
      <c r="T9" s="71" t="str">
        <f t="shared" si="3"/>
        <v>ó͘</v>
      </c>
      <c r="U9" s="71" t="str">
        <f t="shared" si="1"/>
        <v>á</v>
      </c>
      <c r="V9" s="71" t="str">
        <f t="shared" si="1"/>
        <v>í</v>
      </c>
      <c r="W9" s="71" t="str">
        <f t="shared" si="1"/>
        <v>ú</v>
      </c>
      <c r="X9" s="71" t="str">
        <f t="shared" si="1"/>
        <v>é</v>
      </c>
      <c r="Y9" s="71" t="str">
        <f t="shared" si="1"/>
        <v>ó</v>
      </c>
      <c r="Z9" s="71" t="str">
        <f t="shared" si="1"/>
        <v>ḿ</v>
      </c>
      <c r="AA9" s="71" t="str">
        <f t="shared" si="1"/>
        <v>ń</v>
      </c>
    </row>
    <row r="10" spans="2:55" ht="34.5">
      <c r="B10" s="6">
        <v>7</v>
      </c>
      <c r="C10" s="6" t="s">
        <v>649</v>
      </c>
      <c r="D10" s="43" t="s">
        <v>1080</v>
      </c>
      <c r="E10" s="72" t="s">
        <v>630</v>
      </c>
      <c r="F10" s="42" t="str">
        <f t="shared" si="2"/>
        <v>ā</v>
      </c>
      <c r="H10" s="171">
        <v>8</v>
      </c>
      <c r="I10" s="6" t="s">
        <v>648</v>
      </c>
      <c r="J10" s="170">
        <v>40</v>
      </c>
      <c r="K10" s="6" t="s">
        <v>2357</v>
      </c>
      <c r="L10" s="44" t="s">
        <v>626</v>
      </c>
      <c r="M10" s="72" t="s">
        <v>655</v>
      </c>
      <c r="N10" s="168" t="str">
        <f xml:space="preserve"> IFERROR( _xlfn.CONCAT("a", IF($M10="", "", _xlfn.UNICHAR(HEX2DEC(RIGHT($M10,4))))), "")</f>
        <v>a̍</v>
      </c>
      <c r="O10" s="74" t="s">
        <v>636</v>
      </c>
      <c r="P10" s="169" t="str">
        <f xml:space="preserve"> IFERROR( _xlfn.CONCAT("a", _xlfn.UNICHAR(HEX2DEC(RIGHT(O10,4))), "h"), "")</f>
        <v>áh</v>
      </c>
      <c r="Q10" s="173">
        <v>8</v>
      </c>
      <c r="S10">
        <v>7</v>
      </c>
      <c r="T10" s="71" t="str">
        <f t="shared" si="3"/>
        <v>ō͘</v>
      </c>
      <c r="U10" s="71" t="str">
        <f t="shared" si="1"/>
        <v>ā</v>
      </c>
      <c r="V10" s="71" t="str">
        <f t="shared" si="1"/>
        <v>ī</v>
      </c>
      <c r="W10" s="71" t="str">
        <f t="shared" si="1"/>
        <v>ū</v>
      </c>
      <c r="X10" s="71" t="str">
        <f t="shared" si="1"/>
        <v>ē</v>
      </c>
      <c r="Y10" s="71" t="str">
        <f t="shared" si="1"/>
        <v>ō</v>
      </c>
      <c r="Z10" s="71" t="str">
        <f t="shared" si="1"/>
        <v>m̄</v>
      </c>
      <c r="AA10" s="71" t="str">
        <f t="shared" si="1"/>
        <v>n̄</v>
      </c>
    </row>
    <row r="11" spans="2:55" ht="34.5">
      <c r="B11" s="6">
        <v>8</v>
      </c>
      <c r="C11" s="6" t="s">
        <v>648</v>
      </c>
      <c r="D11" s="44" t="s">
        <v>626</v>
      </c>
      <c r="E11" s="72" t="s">
        <v>655</v>
      </c>
      <c r="F11" s="42" t="str">
        <f t="shared" si="2"/>
        <v>a̍</v>
      </c>
      <c r="H11" s="174">
        <v>6</v>
      </c>
      <c r="I11" s="175" t="s">
        <v>2350</v>
      </c>
      <c r="J11" s="175"/>
      <c r="K11" s="175"/>
      <c r="L11" s="176"/>
      <c r="M11" s="177" t="s">
        <v>636</v>
      </c>
      <c r="N11" s="178" t="str">
        <f xml:space="preserve"> IFERROR( _xlfn.CONCAT("a", IF($M11="", "", _xlfn.UNICHAR(HEX2DEC(RIGHT($M11,4))))), "")</f>
        <v>á</v>
      </c>
      <c r="O11" s="179" t="s">
        <v>641</v>
      </c>
      <c r="P11" s="180" t="str">
        <f xml:space="preserve"> IFERROR( _xlfn.CONCAT("a", _xlfn.UNICHAR(HEX2DEC(RIGHT(O11,4)))), "")</f>
        <v>ǎ</v>
      </c>
      <c r="Q11" s="181" t="str">
        <f xml:space="preserve"> IFERROR( _xlfn.CONCAT("a", _xlfn.UNICHAR(HEX2DEC(RIGHT(P11,4)))), "")</f>
        <v/>
      </c>
      <c r="S11">
        <v>8</v>
      </c>
      <c r="T11" s="71" t="str">
        <f t="shared" si="3"/>
        <v>o̍͘</v>
      </c>
      <c r="U11" s="71" t="str">
        <f t="shared" si="1"/>
        <v>a̍</v>
      </c>
      <c r="V11" s="71" t="str">
        <f t="shared" si="1"/>
        <v>i̍</v>
      </c>
      <c r="W11" s="71" t="str">
        <f t="shared" si="1"/>
        <v>u̍</v>
      </c>
      <c r="X11" s="71" t="str">
        <f t="shared" si="1"/>
        <v>e̍</v>
      </c>
      <c r="Y11" s="71" t="str">
        <f t="shared" si="1"/>
        <v>o̍</v>
      </c>
      <c r="Z11" s="71" t="str">
        <f t="shared" si="1"/>
        <v>m̍</v>
      </c>
      <c r="AA11" s="71" t="str">
        <f t="shared" si="1"/>
        <v>n̍</v>
      </c>
    </row>
    <row r="12" spans="2:55" ht="30">
      <c r="B12" s="6">
        <v>9</v>
      </c>
      <c r="C12" s="6" t="s">
        <v>642</v>
      </c>
      <c r="D12" s="44"/>
      <c r="E12" s="72" t="s">
        <v>634</v>
      </c>
      <c r="F12" s="42" t="str">
        <f t="shared" si="2"/>
        <v>a̋</v>
      </c>
      <c r="S12">
        <v>9</v>
      </c>
      <c r="T12" s="71" t="str">
        <f t="shared" si="3"/>
        <v>ő͘</v>
      </c>
      <c r="U12" s="71" t="str">
        <f t="shared" si="1"/>
        <v>a̋</v>
      </c>
      <c r="V12" s="71" t="str">
        <f t="shared" si="1"/>
        <v>i̋</v>
      </c>
      <c r="W12" s="71" t="str">
        <f t="shared" si="1"/>
        <v>ű</v>
      </c>
      <c r="X12" s="71" t="str">
        <f t="shared" si="1"/>
        <v>e̋</v>
      </c>
      <c r="Y12" s="71" t="str">
        <f t="shared" si="1"/>
        <v>ő</v>
      </c>
      <c r="Z12" s="71" t="str">
        <f t="shared" si="1"/>
        <v>m̋</v>
      </c>
      <c r="AA12" s="71" t="str">
        <f t="shared" si="1"/>
        <v>n̋</v>
      </c>
    </row>
    <row r="13" spans="2:55" ht="30">
      <c r="B13" s="6">
        <v>0</v>
      </c>
      <c r="C13" s="6" t="s">
        <v>642</v>
      </c>
      <c r="D13" s="44"/>
      <c r="E13" s="72" t="s">
        <v>633</v>
      </c>
      <c r="F13" s="42" t="str">
        <f t="shared" si="2"/>
        <v>å</v>
      </c>
      <c r="H13" s="182" t="s">
        <v>632</v>
      </c>
      <c r="I13" s="184" t="s">
        <v>2361</v>
      </c>
      <c r="S13">
        <v>0</v>
      </c>
      <c r="T13" s="71" t="str">
        <f t="shared" si="3"/>
        <v>o̊͘</v>
      </c>
      <c r="U13" s="71" t="str">
        <f t="shared" si="1"/>
        <v>å</v>
      </c>
      <c r="V13" s="71" t="str">
        <f t="shared" si="1"/>
        <v>i̊</v>
      </c>
      <c r="W13" s="71" t="str">
        <f t="shared" si="1"/>
        <v>ů</v>
      </c>
      <c r="X13" s="71" t="str">
        <f t="shared" si="1"/>
        <v>e̊</v>
      </c>
      <c r="Y13" s="71" t="str">
        <f t="shared" si="1"/>
        <v>o̊</v>
      </c>
      <c r="Z13" s="71" t="str">
        <f t="shared" si="1"/>
        <v>m̊</v>
      </c>
      <c r="AA13" s="71" t="str">
        <f t="shared" si="1"/>
        <v>n̊</v>
      </c>
    </row>
    <row r="14" spans="2:55">
      <c r="H14" s="171">
        <v>1</v>
      </c>
      <c r="I14" s="188" t="str">
        <f>IFERROR(_xlfn.UNICHAR(CHOOSE($H14+1,8304,185,178,179,8308,8309,8310,8311,8312,8313)),"")</f>
        <v>¹</v>
      </c>
    </row>
    <row r="15" spans="2:55">
      <c r="H15" s="171">
        <v>2</v>
      </c>
      <c r="I15" s="188" t="str">
        <f t="shared" ref="I15:I23" si="4">IFERROR(_xlfn.UNICHAR(CHOOSE($H15+1,8304,185,178,179,8308,8309,8310,8311,8312,8313)),"")</f>
        <v>²</v>
      </c>
    </row>
    <row r="16" spans="2:55">
      <c r="B16" s="13" t="s">
        <v>632</v>
      </c>
      <c r="C16" s="13" t="s">
        <v>653</v>
      </c>
      <c r="D16" s="13" t="s">
        <v>622</v>
      </c>
      <c r="E16" s="13" t="s">
        <v>1974</v>
      </c>
      <c r="F16" s="13" t="s">
        <v>8</v>
      </c>
      <c r="H16" s="171">
        <v>3</v>
      </c>
      <c r="I16" s="188" t="str">
        <f t="shared" si="4"/>
        <v>³</v>
      </c>
      <c r="J16"/>
      <c r="K16"/>
      <c r="L16"/>
      <c r="M16"/>
      <c r="N16"/>
      <c r="O16"/>
      <c r="P16"/>
      <c r="Q16"/>
      <c r="R16"/>
      <c r="T16" s="13" t="s">
        <v>1028</v>
      </c>
      <c r="U16" s="13" t="s">
        <v>1029</v>
      </c>
      <c r="V16" s="13" t="s">
        <v>1027</v>
      </c>
      <c r="W16" s="13" t="s">
        <v>981</v>
      </c>
      <c r="X16" s="13" t="s">
        <v>1016</v>
      </c>
      <c r="Y16" s="13" t="s">
        <v>1087</v>
      </c>
      <c r="Z16" s="13" t="s">
        <v>1086</v>
      </c>
      <c r="AC16" t="str">
        <f xml:space="preserve"> IFERROR( _xlfn.CONCAT("l", "u", _xlfn.UNICHAR(HEX2DEC(RIGHT($O4,4))), "n"), "")</f>
        <v>lūn</v>
      </c>
      <c r="AD16" t="str">
        <f xml:space="preserve"> IFERROR( _xlfn.CONCAT("n", "g", "o", _xlfn.UNICHAR(HEX2DEC(RIGHT($O4,4))), "o"), "")</f>
        <v>ngōo</v>
      </c>
    </row>
    <row r="17" spans="2:30" ht="30">
      <c r="B17" s="6">
        <v>1</v>
      </c>
      <c r="C17" s="6" t="s">
        <v>643</v>
      </c>
      <c r="D17" s="43" t="s">
        <v>1077</v>
      </c>
      <c r="E17" s="74" t="s">
        <v>630</v>
      </c>
      <c r="F17" s="46" t="str">
        <f t="shared" ref="F17:F19" si="5" xml:space="preserve"> IFERROR( _xlfn.CONCAT("a", _xlfn.UNICHAR(HEX2DEC(RIGHT(E17,4)))), "")</f>
        <v>ā</v>
      </c>
      <c r="H17" s="171">
        <v>4</v>
      </c>
      <c r="I17" s="188" t="str">
        <f t="shared" si="4"/>
        <v>⁴</v>
      </c>
      <c r="S17">
        <v>1</v>
      </c>
      <c r="T17" s="71" t="str">
        <f t="shared" ref="T17:Z20" si="6">IFERROR( _xlfn.CONCAT(U$3, IF($E17="", "", _xlfn.UNICHAR(HEX2DEC(RIGHT($E17,4))))), "")</f>
        <v>ā</v>
      </c>
      <c r="U17" s="71" t="str">
        <f t="shared" si="6"/>
        <v>ī</v>
      </c>
      <c r="V17" s="71" t="str">
        <f t="shared" si="6"/>
        <v>ū</v>
      </c>
      <c r="W17" s="71" t="str">
        <f t="shared" si="6"/>
        <v>ē</v>
      </c>
      <c r="X17" s="71" t="str">
        <f t="shared" si="6"/>
        <v>ō</v>
      </c>
      <c r="Y17" s="71" t="str">
        <f t="shared" si="6"/>
        <v>m̄</v>
      </c>
      <c r="Z17" s="71" t="str">
        <f t="shared" si="6"/>
        <v>n̄</v>
      </c>
      <c r="AC17" t="str">
        <f xml:space="preserve"> IFERROR( _xlfn.CONCAT("l", "u", _xlfn.UNICHAR(HEX2DEC(RIGHT($O7,4))), "n"), "")</f>
        <v>lǔn</v>
      </c>
      <c r="AD17" t="str">
        <f xml:space="preserve"> IFERROR( _xlfn.CONCAT("n", "g", "o", _xlfn.UNICHAR(HEX2DEC(RIGHT($O7,4))), "o"), "")</f>
        <v>ngǒo</v>
      </c>
    </row>
    <row r="18" spans="2:30" ht="30">
      <c r="B18" s="6">
        <v>2</v>
      </c>
      <c r="C18" s="6" t="s">
        <v>647</v>
      </c>
      <c r="D18" s="44" t="s">
        <v>625</v>
      </c>
      <c r="E18" s="74" t="s">
        <v>636</v>
      </c>
      <c r="F18" s="46" t="str">
        <f xml:space="preserve"> IFERROR( _xlfn.CONCAT("a", _xlfn.UNICHAR(HEX2DEC(RIGHT(E18,4)))), "")</f>
        <v>á</v>
      </c>
      <c r="H18" s="171">
        <v>5</v>
      </c>
      <c r="I18" s="188" t="str">
        <f t="shared" si="4"/>
        <v>⁵</v>
      </c>
      <c r="S18">
        <v>2</v>
      </c>
      <c r="T18" s="71" t="str">
        <f t="shared" si="6"/>
        <v>á</v>
      </c>
      <c r="U18" s="71" t="str">
        <f t="shared" si="6"/>
        <v>í</v>
      </c>
      <c r="V18" s="71" t="str">
        <f t="shared" si="6"/>
        <v>ú</v>
      </c>
      <c r="W18" s="71" t="str">
        <f t="shared" si="6"/>
        <v>é</v>
      </c>
      <c r="X18" s="71" t="str">
        <f t="shared" si="6"/>
        <v>ó</v>
      </c>
      <c r="Y18" s="71" t="str">
        <f t="shared" si="6"/>
        <v>ḿ</v>
      </c>
      <c r="Z18" s="71" t="str">
        <f t="shared" si="6"/>
        <v>ń</v>
      </c>
      <c r="AC18" t="str">
        <f xml:space="preserve"> IFERROR( _xlfn.CONCAT("l", "u", _xlfn.UNICHAR(HEX2DEC(RIGHT($O6,4))), "n"), "")</f>
        <v>lùn</v>
      </c>
      <c r="AD18" t="str">
        <f xml:space="preserve"> IFERROR( _xlfn.CONCAT("n", "g", "o", _xlfn.UNICHAR(HEX2DEC(RIGHT($O6,4))), "o"), "")</f>
        <v>ngòo</v>
      </c>
    </row>
    <row r="19" spans="2:30" ht="30">
      <c r="B19" s="6">
        <v>3</v>
      </c>
      <c r="C19" s="6" t="s">
        <v>644</v>
      </c>
      <c r="D19" s="44" t="s">
        <v>1078</v>
      </c>
      <c r="E19" s="74" t="s">
        <v>641</v>
      </c>
      <c r="F19" s="46" t="str">
        <f t="shared" si="5"/>
        <v>ǎ</v>
      </c>
      <c r="H19" s="172">
        <v>6</v>
      </c>
      <c r="I19" s="188" t="str">
        <f t="shared" si="4"/>
        <v>⁶</v>
      </c>
      <c r="S19">
        <v>3</v>
      </c>
      <c r="T19" s="71" t="str">
        <f t="shared" si="6"/>
        <v>ǎ</v>
      </c>
      <c r="U19" s="71" t="str">
        <f t="shared" si="6"/>
        <v>ǐ</v>
      </c>
      <c r="V19" s="71" t="str">
        <f t="shared" si="6"/>
        <v>ǔ</v>
      </c>
      <c r="W19" s="71" t="str">
        <f t="shared" si="6"/>
        <v>ě</v>
      </c>
      <c r="X19" s="71" t="str">
        <f t="shared" si="6"/>
        <v>ǒ</v>
      </c>
      <c r="Y19" s="71" t="str">
        <f t="shared" si="6"/>
        <v>m̌</v>
      </c>
      <c r="Z19" s="71" t="str">
        <f t="shared" si="6"/>
        <v>ň</v>
      </c>
      <c r="AC19" t="str">
        <f xml:space="preserve"> IFERROR( _xlfn.CONCAT("l", "u", _xlfn.UNICHAR(HEX2DEC(RIGHT($O9,4))), "n"), "")</f>
        <v>lūn</v>
      </c>
      <c r="AD19" t="str">
        <f xml:space="preserve"> IFERROR( _xlfn.CONCAT("n", "g", "o", _xlfn.UNICHAR(HEX2DEC(RIGHT($O9,4))), "o"), "")</f>
        <v>ngōo</v>
      </c>
    </row>
    <row r="20" spans="2:30" ht="30">
      <c r="B20" s="45">
        <v>4</v>
      </c>
      <c r="C20" s="45" t="s">
        <v>644</v>
      </c>
      <c r="D20" s="44"/>
      <c r="E20" s="75" t="s">
        <v>641</v>
      </c>
      <c r="F20" s="76" t="str">
        <f xml:space="preserve"> IFERROR( _xlfn.CONCAT("a", _xlfn.UNICHAR(HEX2DEC(RIGHT(E20,4)))), "")</f>
        <v>ǎ</v>
      </c>
      <c r="H20" s="171">
        <v>7</v>
      </c>
      <c r="I20" s="188" t="str">
        <f t="shared" si="4"/>
        <v>⁷</v>
      </c>
      <c r="S20">
        <v>4</v>
      </c>
      <c r="T20" s="71" t="str">
        <f t="shared" si="6"/>
        <v>ǎ</v>
      </c>
      <c r="U20" s="71" t="str">
        <f t="shared" si="6"/>
        <v>ǐ</v>
      </c>
      <c r="V20" s="71" t="str">
        <f t="shared" si="6"/>
        <v>ǔ</v>
      </c>
      <c r="W20" s="71" t="str">
        <f t="shared" si="6"/>
        <v>ě</v>
      </c>
      <c r="X20" s="71" t="str">
        <f t="shared" si="6"/>
        <v>ǒ</v>
      </c>
      <c r="Y20" s="71" t="str">
        <f t="shared" si="6"/>
        <v>m̌</v>
      </c>
      <c r="Z20" s="71" t="str">
        <f t="shared" si="6"/>
        <v>ň</v>
      </c>
      <c r="AC20" t="str">
        <f xml:space="preserve"> IFERROR( _xlfn.CONCAT("l", "u", _xlfn.UNICHAR(HEX2DEC(RIGHT($O8,4))), "n"), "")</f>
        <v>lún</v>
      </c>
      <c r="AD20" t="str">
        <f xml:space="preserve"> IFERROR( _xlfn.CONCAT("n", "g", "o", _xlfn.UNICHAR(HEX2DEC(RIGHT($O8,4))), "o"), "")</f>
        <v>ngóo</v>
      </c>
    </row>
    <row r="21" spans="2:30" ht="30">
      <c r="B21" s="6">
        <v>5</v>
      </c>
      <c r="C21" s="6" t="s">
        <v>645</v>
      </c>
      <c r="D21" s="44" t="s">
        <v>624</v>
      </c>
      <c r="E21" s="74" t="s">
        <v>635</v>
      </c>
      <c r="F21" s="46" t="str">
        <f xml:space="preserve"> IFERROR( _xlfn.CONCAT("a", _xlfn.UNICHAR(HEX2DEC(RIGHT(E21,4)))), "")</f>
        <v>à</v>
      </c>
      <c r="H21" s="171">
        <v>8</v>
      </c>
      <c r="I21" s="188" t="str">
        <f t="shared" si="4"/>
        <v>⁸</v>
      </c>
      <c r="S21">
        <v>5</v>
      </c>
      <c r="T21" s="71" t="str">
        <f t="shared" ref="T21:Z24" si="7">IFERROR( _xlfn.CONCAT(U$3, IF($E21="", "", _xlfn.UNICHAR(HEX2DEC(RIGHT($E21,4))))), "")</f>
        <v>à</v>
      </c>
      <c r="U21" s="71" t="str">
        <f t="shared" si="7"/>
        <v>ì</v>
      </c>
      <c r="V21" s="71" t="str">
        <f t="shared" si="7"/>
        <v>ù</v>
      </c>
      <c r="W21" s="71" t="str">
        <f t="shared" si="7"/>
        <v>è</v>
      </c>
      <c r="X21" s="71" t="str">
        <f t="shared" si="7"/>
        <v>ò</v>
      </c>
      <c r="Y21" s="71" t="str">
        <f t="shared" si="7"/>
        <v>m̀</v>
      </c>
      <c r="Z21" s="71" t="str">
        <f t="shared" si="7"/>
        <v>ǹ</v>
      </c>
      <c r="AC21" t="str">
        <f xml:space="preserve"> IFERROR( _xlfn.CONCAT("l", "u", _xlfn.UNICHAR(HEX2DEC(RIGHT($O11,4))), "n"), "")</f>
        <v>lǔn</v>
      </c>
      <c r="AD21" t="str">
        <f xml:space="preserve"> IFERROR( _xlfn.CONCAT("n", "g", "o", _xlfn.UNICHAR(HEX2DEC(RIGHT($O11,4))), "o"), "")</f>
        <v>ngǒo</v>
      </c>
    </row>
    <row r="22" spans="2:30" ht="30">
      <c r="B22" s="6">
        <v>6</v>
      </c>
      <c r="C22" s="6" t="s">
        <v>649</v>
      </c>
      <c r="D22" s="43" t="s">
        <v>1080</v>
      </c>
      <c r="E22" s="74" t="s">
        <v>640</v>
      </c>
      <c r="F22" s="46" t="str">
        <f t="shared" ref="F22" si="8" xml:space="preserve"> IFERROR( _xlfn.CONCAT("a", _xlfn.UNICHAR(HEX2DEC(RIGHT(E22,4)))), "")</f>
        <v>â</v>
      </c>
      <c r="H22" s="171">
        <v>9</v>
      </c>
      <c r="I22" s="188" t="str">
        <f t="shared" si="4"/>
        <v>⁹</v>
      </c>
      <c r="S22">
        <v>6</v>
      </c>
      <c r="T22" s="71" t="str">
        <f t="shared" si="7"/>
        <v>â</v>
      </c>
      <c r="U22" s="71" t="str">
        <f t="shared" si="7"/>
        <v>î</v>
      </c>
      <c r="V22" s="71" t="str">
        <f t="shared" si="7"/>
        <v>û</v>
      </c>
      <c r="W22" s="71" t="str">
        <f t="shared" si="7"/>
        <v>ê</v>
      </c>
      <c r="X22" s="71" t="str">
        <f t="shared" si="7"/>
        <v>ô</v>
      </c>
      <c r="Y22" s="71" t="str">
        <f t="shared" si="7"/>
        <v>m̂</v>
      </c>
      <c r="Z22" s="71" t="str">
        <f t="shared" si="7"/>
        <v>n̂</v>
      </c>
      <c r="AC22" t="str">
        <f xml:space="preserve"> IFERROR( _xlfn.CONCAT("l", "u", _xlfn.UNICHAR(HEX2DEC(RIGHT($O5,4))), "n"), "")</f>
        <v>lûn</v>
      </c>
      <c r="AD22" t="str">
        <f xml:space="preserve"> IFERROR( _xlfn.CONCAT("n", "g", "o", _xlfn.UNICHAR(HEX2DEC(RIGHT($O5,4))), "o"), "")</f>
        <v>ngôo</v>
      </c>
    </row>
    <row r="23" spans="2:30" ht="30">
      <c r="B23" s="6">
        <v>7</v>
      </c>
      <c r="C23" s="6" t="s">
        <v>646</v>
      </c>
      <c r="D23" s="44" t="s">
        <v>1079</v>
      </c>
      <c r="E23" s="74" t="s">
        <v>650</v>
      </c>
      <c r="F23" s="46" t="str">
        <f xml:space="preserve"> IFERROR( _xlfn.CONCAT("a", _xlfn.UNICHAR(HEX2DEC(RIGHT(E23,4))), "h"), "")</f>
        <v>āh</v>
      </c>
      <c r="H23" s="189">
        <v>0</v>
      </c>
      <c r="I23" s="190" t="str">
        <f t="shared" si="4"/>
        <v>⁰</v>
      </c>
      <c r="S23">
        <v>7</v>
      </c>
      <c r="T23" s="71" t="str">
        <f t="shared" si="7"/>
        <v>ā</v>
      </c>
      <c r="U23" s="71" t="str">
        <f t="shared" si="7"/>
        <v>ī</v>
      </c>
      <c r="V23" s="71" t="str">
        <f t="shared" si="7"/>
        <v>ū</v>
      </c>
      <c r="W23" s="71" t="str">
        <f t="shared" si="7"/>
        <v>ē</v>
      </c>
      <c r="X23" s="71" t="str">
        <f t="shared" si="7"/>
        <v>ō</v>
      </c>
      <c r="Y23" s="71" t="str">
        <f t="shared" si="7"/>
        <v>m̄</v>
      </c>
      <c r="Z23" s="71" t="str">
        <f t="shared" si="7"/>
        <v>n̄</v>
      </c>
      <c r="AC23" t="str">
        <f xml:space="preserve"> IFERROR( _xlfn.CONCAT("l", "u", _xlfn.UNICHAR(HEX2DEC(RIGHT($O10,4))), "n"), "")</f>
        <v>lún</v>
      </c>
      <c r="AD23" t="str">
        <f xml:space="preserve"> IFERROR( _xlfn.CONCAT("n", "g", "o", _xlfn.UNICHAR(HEX2DEC(RIGHT($O10,4))), "o"), "")</f>
        <v>ngóo</v>
      </c>
    </row>
    <row r="24" spans="2:30" ht="30">
      <c r="B24" s="6">
        <v>8</v>
      </c>
      <c r="C24" s="6" t="s">
        <v>648</v>
      </c>
      <c r="D24" s="44" t="s">
        <v>626</v>
      </c>
      <c r="E24" s="74" t="s">
        <v>636</v>
      </c>
      <c r="F24" s="46" t="str">
        <f xml:space="preserve"> IFERROR( _xlfn.CONCAT("a", _xlfn.UNICHAR(HEX2DEC(RIGHT(E24,4))), "h"), "")</f>
        <v>áh</v>
      </c>
      <c r="H24"/>
      <c r="S24">
        <v>8</v>
      </c>
      <c r="T24" s="71" t="str">
        <f t="shared" si="7"/>
        <v>á</v>
      </c>
      <c r="U24" s="71" t="str">
        <f t="shared" si="7"/>
        <v>í</v>
      </c>
      <c r="V24" s="71" t="str">
        <f t="shared" si="7"/>
        <v>ú</v>
      </c>
      <c r="W24" s="71" t="str">
        <f t="shared" si="7"/>
        <v>é</v>
      </c>
      <c r="X24" s="71" t="str">
        <f t="shared" si="7"/>
        <v>ó</v>
      </c>
      <c r="Y24" s="71" t="str">
        <f t="shared" si="7"/>
        <v>ḿ</v>
      </c>
      <c r="Z24" s="71" t="str">
        <f t="shared" si="7"/>
        <v>ń</v>
      </c>
    </row>
    <row r="25" spans="2:30" ht="30">
      <c r="B25" s="6">
        <v>9</v>
      </c>
      <c r="C25" s="6" t="s">
        <v>642</v>
      </c>
      <c r="D25" s="44"/>
      <c r="E25" s="74"/>
      <c r="F25" s="46"/>
      <c r="H25"/>
      <c r="I25" t="str">
        <f xml:space="preserve"> IFERROR( _xlfn.CONCAT("l", "u", _xlfn.UNICHAR(HEX2DEC(RIGHT(G38,4))), "n"), "")</f>
        <v/>
      </c>
      <c r="J25"/>
      <c r="K25"/>
      <c r="L25"/>
      <c r="M25"/>
      <c r="N25"/>
      <c r="O25"/>
      <c r="P25"/>
      <c r="Q25"/>
      <c r="R25"/>
    </row>
    <row r="26" spans="2:30" ht="30">
      <c r="B26" s="6">
        <v>0</v>
      </c>
      <c r="C26" s="6" t="s">
        <v>642</v>
      </c>
      <c r="D26" s="44"/>
      <c r="E26" s="74"/>
      <c r="F26" s="46"/>
      <c r="H26"/>
      <c r="I26" t="str">
        <f xml:space="preserve"> IFERROR( _xlfn.CONCAT("l", "u", _xlfn.UNICHAR(HEX2DEC(RIGHT(G39,4))), "n"), "")</f>
        <v/>
      </c>
      <c r="J26"/>
      <c r="K26"/>
      <c r="L26"/>
      <c r="M26"/>
      <c r="N26"/>
      <c r="O26"/>
      <c r="P26"/>
      <c r="Q26"/>
      <c r="R26"/>
    </row>
    <row r="29" spans="2:30">
      <c r="T29" s="13" t="s">
        <v>1028</v>
      </c>
      <c r="U29" s="13" t="s">
        <v>1029</v>
      </c>
      <c r="V29" s="13" t="s">
        <v>1027</v>
      </c>
      <c r="W29" s="13" t="s">
        <v>981</v>
      </c>
      <c r="X29" s="13" t="s">
        <v>1016</v>
      </c>
      <c r="Y29" s="13" t="s">
        <v>1087</v>
      </c>
      <c r="Z29" s="13" t="s">
        <v>1086</v>
      </c>
      <c r="AC29" t="s">
        <v>1016</v>
      </c>
      <c r="AD29" t="s">
        <v>1016</v>
      </c>
    </row>
    <row r="30" spans="2:30" ht="30">
      <c r="S30">
        <v>1</v>
      </c>
      <c r="T30" s="71" t="str">
        <f t="shared" ref="T30:Z30" si="9">IFERROR( _xlfn.CONCAT(U$3, IF($E28="", "", _xlfn.UNICHAR(HEX2DEC(RIGHT($E28,4))))), "")</f>
        <v>a</v>
      </c>
      <c r="U30" s="71" t="str">
        <f t="shared" si="9"/>
        <v>i</v>
      </c>
      <c r="V30" s="71" t="str">
        <f t="shared" si="9"/>
        <v>u</v>
      </c>
      <c r="W30" s="71" t="str">
        <f t="shared" si="9"/>
        <v>e</v>
      </c>
      <c r="X30" s="71" t="str">
        <f t="shared" si="9"/>
        <v>o</v>
      </c>
      <c r="Y30" s="71" t="str">
        <f t="shared" si="9"/>
        <v>m</v>
      </c>
      <c r="Z30" s="71" t="str">
        <f t="shared" si="9"/>
        <v>n</v>
      </c>
      <c r="AC30" s="78" t="str">
        <f>IFERROR( _xlfn.CONCAT("l", "o", IF($M4="", "", _xlfn.UNICHAR(HEX2DEC(RIGHT($M4,4))))), "")</f>
        <v>lo</v>
      </c>
      <c r="AD30" s="78" t="str">
        <f>IFERROR( _xlfn.CONCAT("l", "o", IF($M4="", "", _xlfn.UNICHAR(HEX2DEC(RIGHT($M4,4)))), "r", IF(OR(S30=4, S30=8), "k", "")), "")</f>
        <v>lor</v>
      </c>
    </row>
    <row r="31" spans="2:30" ht="30">
      <c r="S31">
        <v>2</v>
      </c>
      <c r="T31" s="71" t="str">
        <f t="shared" ref="T31:Z32" si="10">IFERROR( _xlfn.CONCAT(U$3, IF($M3="", "", _xlfn.UNICHAR(HEX2DEC(RIGHT($M3,4))))), "")</f>
        <v/>
      </c>
      <c r="U31" s="71" t="str">
        <f t="shared" si="10"/>
        <v/>
      </c>
      <c r="V31" s="71" t="str">
        <f t="shared" si="10"/>
        <v/>
      </c>
      <c r="W31" s="71" t="str">
        <f t="shared" si="10"/>
        <v/>
      </c>
      <c r="X31" s="71" t="str">
        <f t="shared" si="10"/>
        <v/>
      </c>
      <c r="Y31" s="71" t="str">
        <f t="shared" si="10"/>
        <v/>
      </c>
      <c r="Z31" s="71" t="str">
        <f t="shared" si="10"/>
        <v/>
      </c>
      <c r="AC31" s="78" t="str">
        <f>IFERROR( _xlfn.CONCAT("l", "o", IF($M6="", "", _xlfn.UNICHAR(HEX2DEC(RIGHT($M6,4))))), "")</f>
        <v>ló</v>
      </c>
      <c r="AD31" s="78" t="str">
        <f>IFERROR( _xlfn.CONCAT("l", "o", IF($M6="", "", _xlfn.UNICHAR(HEX2DEC(RIGHT($M6,4)))), "r", IF(OR(S31=4, S31=8), "k", "")), "")</f>
        <v>lór</v>
      </c>
    </row>
    <row r="32" spans="2:30" ht="30">
      <c r="S32">
        <v>3</v>
      </c>
      <c r="T32" s="71" t="str">
        <f t="shared" si="10"/>
        <v>a</v>
      </c>
      <c r="U32" s="71" t="str">
        <f t="shared" si="10"/>
        <v>i</v>
      </c>
      <c r="V32" s="71" t="str">
        <f t="shared" si="10"/>
        <v>u</v>
      </c>
      <c r="W32" s="71" t="str">
        <f t="shared" si="10"/>
        <v>e</v>
      </c>
      <c r="X32" s="71" t="str">
        <f t="shared" si="10"/>
        <v>o</v>
      </c>
      <c r="Y32" s="71" t="str">
        <f t="shared" si="10"/>
        <v>m</v>
      </c>
      <c r="Z32" s="71" t="str">
        <f t="shared" si="10"/>
        <v>n</v>
      </c>
      <c r="AC32" s="78" t="str">
        <f>IFERROR( _xlfn.CONCAT("l", "o", IF($M7="", "", _xlfn.UNICHAR(HEX2DEC(RIGHT($M7,4))))), "")</f>
        <v>lò</v>
      </c>
      <c r="AD32" s="78" t="str">
        <f>IFERROR( _xlfn.CONCAT("l", "o", IF($M7="", "", _xlfn.UNICHAR(HEX2DEC(RIGHT($M7,4)))), "r", IF(OR(S32=4, S32=8), "k", "")), "")</f>
        <v>lòr</v>
      </c>
    </row>
    <row r="33" spans="6:30" ht="30">
      <c r="S33">
        <v>4</v>
      </c>
      <c r="T33" s="71" t="str">
        <f t="shared" ref="T33:Z36" si="11">IFERROR( _xlfn.CONCAT(U$3, IF($M6="", "", _xlfn.UNICHAR(HEX2DEC(RIGHT($M6,4))))), "")</f>
        <v>á</v>
      </c>
      <c r="U33" s="71" t="str">
        <f t="shared" si="11"/>
        <v>í</v>
      </c>
      <c r="V33" s="71" t="str">
        <f t="shared" si="11"/>
        <v>ú</v>
      </c>
      <c r="W33" s="71" t="str">
        <f t="shared" si="11"/>
        <v>é</v>
      </c>
      <c r="X33" s="71" t="str">
        <f t="shared" si="11"/>
        <v>ó</v>
      </c>
      <c r="Y33" s="71" t="str">
        <f t="shared" si="11"/>
        <v>ḿ</v>
      </c>
      <c r="Z33" s="71" t="str">
        <f t="shared" si="11"/>
        <v>ń</v>
      </c>
      <c r="AC33" s="78" t="str">
        <f>IFERROR( _xlfn.CONCAT("l", "o", IF($M8="", "", _xlfn.UNICHAR(HEX2DEC(RIGHT($M8,4)))), "k"), "")</f>
        <v>lók</v>
      </c>
      <c r="AD33" s="78" t="str">
        <f>IFERROR( _xlfn.CONCAT("l", "o", IF($M8="", "", _xlfn.UNICHAR(HEX2DEC(RIGHT($M8,4)))), "r", IF(OR(S33=4, S33=8), "k", "")), "")</f>
        <v>lórk</v>
      </c>
    </row>
    <row r="34" spans="6:30" ht="30">
      <c r="S34">
        <v>5</v>
      </c>
      <c r="T34" s="71" t="str">
        <f t="shared" si="11"/>
        <v>à</v>
      </c>
      <c r="U34" s="71" t="str">
        <f t="shared" si="11"/>
        <v>ì</v>
      </c>
      <c r="V34" s="71" t="str">
        <f t="shared" si="11"/>
        <v>ù</v>
      </c>
      <c r="W34" s="71" t="str">
        <f t="shared" si="11"/>
        <v>è</v>
      </c>
      <c r="X34" s="71" t="str">
        <f t="shared" si="11"/>
        <v>ò</v>
      </c>
      <c r="Y34" s="71" t="str">
        <f t="shared" si="11"/>
        <v>m̀</v>
      </c>
      <c r="Z34" s="71" t="str">
        <f t="shared" si="11"/>
        <v>ǹ</v>
      </c>
      <c r="AC34" s="78" t="str">
        <f>IFERROR( _xlfn.CONCAT("l", "o", IF($M9="", "", _xlfn.UNICHAR(HEX2DEC(RIGHT($M9,4))))), "")</f>
        <v>lǒ</v>
      </c>
      <c r="AD34" s="78" t="str">
        <f>IFERROR( _xlfn.CONCAT("l", "o", IF($M9="", "", _xlfn.UNICHAR(HEX2DEC(RIGHT($M9,4)))), "r", IF(OR(S34=4, S34=8), "k", "")), "")</f>
        <v>lǒr</v>
      </c>
    </row>
    <row r="35" spans="6:30" ht="30">
      <c r="S35">
        <v>6</v>
      </c>
      <c r="T35" s="71" t="str">
        <f t="shared" si="11"/>
        <v>á</v>
      </c>
      <c r="U35" s="71" t="str">
        <f t="shared" si="11"/>
        <v>í</v>
      </c>
      <c r="V35" s="71" t="str">
        <f t="shared" si="11"/>
        <v>ú</v>
      </c>
      <c r="W35" s="71" t="str">
        <f t="shared" si="11"/>
        <v>é</v>
      </c>
      <c r="X35" s="71" t="str">
        <f t="shared" si="11"/>
        <v>ó</v>
      </c>
      <c r="Y35" s="71" t="str">
        <f t="shared" si="11"/>
        <v>ḿ</v>
      </c>
      <c r="Z35" s="71" t="str">
        <f t="shared" si="11"/>
        <v>ń</v>
      </c>
      <c r="AC35" s="78" t="str">
        <f>IFERROR( _xlfn.CONCAT("l", "o", IF($M11="", "", _xlfn.UNICHAR(HEX2DEC(RIGHT($M11,4))))), "")</f>
        <v>ló</v>
      </c>
      <c r="AD35" s="78" t="str">
        <f>IFERROR( _xlfn.CONCAT("l", "o", IF($M11="", "", _xlfn.UNICHAR(HEX2DEC(RIGHT($M11,4)))), "r", IF(OR(S35=4, S35=8), "k", "")), "")</f>
        <v>lór</v>
      </c>
    </row>
    <row r="36" spans="6:30" ht="30">
      <c r="S36">
        <v>7</v>
      </c>
      <c r="T36" s="71" t="str">
        <f t="shared" si="11"/>
        <v>ǎ</v>
      </c>
      <c r="U36" s="71" t="str">
        <f t="shared" si="11"/>
        <v>ǐ</v>
      </c>
      <c r="V36" s="71" t="str">
        <f t="shared" si="11"/>
        <v>ǔ</v>
      </c>
      <c r="W36" s="71" t="str">
        <f t="shared" si="11"/>
        <v>ě</v>
      </c>
      <c r="X36" s="71" t="str">
        <f t="shared" si="11"/>
        <v>ǒ</v>
      </c>
      <c r="Y36" s="71" t="str">
        <f t="shared" si="11"/>
        <v>m̌</v>
      </c>
      <c r="Z36" s="71" t="str">
        <f t="shared" si="11"/>
        <v>ň</v>
      </c>
      <c r="AC36" s="78" t="str">
        <f>IFERROR( _xlfn.CONCAT("l", "o", IF($M5="", "", _xlfn.UNICHAR(HEX2DEC(RIGHT($M5,4))))), "")</f>
        <v>lō</v>
      </c>
      <c r="AD36" s="78" t="str">
        <f>IFERROR( _xlfn.CONCAT("l", "o", IF($M5="", "", _xlfn.UNICHAR(HEX2DEC(RIGHT($M5,4)))), "r", IF(OR(S36=4, S36=8), "k", "")), "")</f>
        <v>lōr</v>
      </c>
    </row>
    <row r="37" spans="6:30" ht="30">
      <c r="S37">
        <v>8</v>
      </c>
      <c r="T37" s="71" t="str">
        <f t="shared" ref="T37:Z37" si="12">IFERROR( _xlfn.CONCAT(U$3, IF($M11="", "", _xlfn.UNICHAR(HEX2DEC(RIGHT($M11,4))))), "")</f>
        <v>á</v>
      </c>
      <c r="U37" s="71" t="str">
        <f t="shared" si="12"/>
        <v>í</v>
      </c>
      <c r="V37" s="71" t="str">
        <f t="shared" si="12"/>
        <v>ú</v>
      </c>
      <c r="W37" s="71" t="str">
        <f t="shared" si="12"/>
        <v>é</v>
      </c>
      <c r="X37" s="71" t="str">
        <f t="shared" si="12"/>
        <v>ó</v>
      </c>
      <c r="Y37" s="71" t="str">
        <f t="shared" si="12"/>
        <v>ḿ</v>
      </c>
      <c r="Z37" s="71" t="str">
        <f t="shared" si="12"/>
        <v>ń</v>
      </c>
      <c r="AC37" s="78" t="str">
        <f>IFERROR( _xlfn.CONCAT("l", "o", IF($M10="", "", _xlfn.UNICHAR(HEX2DEC(RIGHT($M10,4)))), "k"), "")</f>
        <v>lo̍k</v>
      </c>
      <c r="AD37" s="78" t="str">
        <f>IFERROR( _xlfn.CONCAT("l", "o", IF($M10="", "", _xlfn.UNICHAR(HEX2DEC(RIGHT($M10,4)))), "r", IF(OR(S37=4, S37=8), "k", "")), "")</f>
        <v>lo̍rk</v>
      </c>
    </row>
    <row r="38" spans="6:30">
      <c r="F38" s="12"/>
      <c r="G38" s="12"/>
    </row>
    <row r="39" spans="6:30">
      <c r="F39" s="12"/>
      <c r="G39" s="12"/>
    </row>
  </sheetData>
  <phoneticPr fontId="3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D9F1-DD5F-429F-8F70-B42990D3F146}">
  <dimension ref="A1:AU101"/>
  <sheetViews>
    <sheetView showGridLines="0" workbookViewId="0">
      <pane ySplit="3" topLeftCell="A15" activePane="bottomLeft" state="frozen"/>
      <selection pane="bottomLeft" activeCell="J19" sqref="J19:J22"/>
    </sheetView>
  </sheetViews>
  <sheetFormatPr defaultRowHeight="26.25" outlineLevelCol="1"/>
  <cols>
    <col min="1" max="1" width="5.58203125" style="15" customWidth="1"/>
    <col min="2" max="4" width="10.25" style="15" customWidth="1"/>
    <col min="5" max="8" width="10.25" style="15" customWidth="1" outlineLevel="1"/>
    <col min="9" max="10" width="10.25" style="15" customWidth="1"/>
    <col min="11" max="11" width="3.5" style="15" customWidth="1"/>
    <col min="12" max="12" width="5.1640625" style="15" customWidth="1"/>
    <col min="13" max="14" width="10.08203125" style="15" customWidth="1"/>
    <col min="15" max="15" width="1.9140625" style="15" customWidth="1"/>
    <col min="16" max="16" width="9.1640625" style="47" bestFit="1" customWidth="1"/>
    <col min="17" max="17" width="6" style="50" customWidth="1" outlineLevel="1"/>
    <col min="18" max="18" width="6.1640625" style="50" customWidth="1" outlineLevel="1"/>
    <col min="19" max="19" width="11.1640625" style="47" customWidth="1"/>
    <col min="20" max="20" width="3" style="15" customWidth="1"/>
    <col min="21" max="21" width="34.5" style="48" customWidth="1"/>
    <col min="22" max="22" width="8.6640625" style="15"/>
    <col min="23" max="34" width="5" style="55" customWidth="1"/>
    <col min="35" max="40" width="12.9140625" style="59" bestFit="1" customWidth="1"/>
    <col min="41" max="43" width="13.25" style="59" customWidth="1"/>
    <col min="44" max="44" width="13.25" style="15" customWidth="1"/>
    <col min="45" max="16384" width="8.6640625" style="15"/>
  </cols>
  <sheetData>
    <row r="1" spans="1:47">
      <c r="A1" s="14" t="s">
        <v>2224</v>
      </c>
      <c r="C1" s="14"/>
      <c r="D1" s="14"/>
      <c r="H1" s="14"/>
      <c r="I1" s="14"/>
      <c r="J1" s="14"/>
      <c r="L1" s="14"/>
      <c r="Q1" s="49"/>
    </row>
    <row r="2" spans="1:47" ht="16.5" customHeight="1" thickBot="1">
      <c r="A2" s="66"/>
      <c r="C2" s="14"/>
      <c r="D2" s="14"/>
      <c r="H2" s="14"/>
      <c r="I2" s="14"/>
      <c r="J2" s="14"/>
      <c r="L2" s="14"/>
      <c r="U2" s="51"/>
      <c r="X2" s="55">
        <v>1</v>
      </c>
      <c r="Y2" s="55">
        <v>2</v>
      </c>
      <c r="Z2" s="55">
        <v>3</v>
      </c>
      <c r="AA2" s="55">
        <v>4</v>
      </c>
      <c r="AB2" s="55">
        <v>5</v>
      </c>
      <c r="AC2" s="55">
        <v>6</v>
      </c>
      <c r="AD2" s="55">
        <v>7</v>
      </c>
      <c r="AE2" s="55">
        <v>8</v>
      </c>
      <c r="AF2" s="55">
        <v>9</v>
      </c>
      <c r="AG2" s="55">
        <v>9</v>
      </c>
    </row>
    <row r="3" spans="1:47" ht="54.75" thickBot="1">
      <c r="A3" s="22" t="s">
        <v>702</v>
      </c>
      <c r="B3" s="64" t="s">
        <v>697</v>
      </c>
      <c r="C3" s="64" t="s">
        <v>637</v>
      </c>
      <c r="D3" s="22" t="s">
        <v>629</v>
      </c>
      <c r="E3" s="22" t="s">
        <v>695</v>
      </c>
      <c r="F3" s="22" t="s">
        <v>639</v>
      </c>
      <c r="G3" s="22" t="s">
        <v>692</v>
      </c>
      <c r="H3" s="22" t="s">
        <v>696</v>
      </c>
      <c r="I3" s="22" t="s">
        <v>638</v>
      </c>
      <c r="J3" s="22" t="s">
        <v>1090</v>
      </c>
      <c r="K3" s="17"/>
      <c r="L3" s="22" t="s">
        <v>703</v>
      </c>
      <c r="M3" s="22" t="str">
        <f t="shared" ref="M3:M18" si="0">E3</f>
        <v>台語注音二式</v>
      </c>
      <c r="N3" s="22" t="str">
        <f t="shared" ref="N3:N18" si="1">I3</f>
        <v>方音符號</v>
      </c>
      <c r="P3" s="22" t="s">
        <v>637</v>
      </c>
      <c r="Q3" s="16" t="s">
        <v>1085</v>
      </c>
      <c r="R3" s="53" t="s">
        <v>1083</v>
      </c>
      <c r="S3" s="22" t="s">
        <v>629</v>
      </c>
      <c r="U3" s="16"/>
      <c r="W3" s="54"/>
      <c r="Y3" s="57" t="s">
        <v>631</v>
      </c>
      <c r="Z3" s="57" t="s">
        <v>1088</v>
      </c>
      <c r="AA3" s="57"/>
      <c r="AB3" s="57" t="s">
        <v>641</v>
      </c>
      <c r="AC3" s="57" t="s">
        <v>636</v>
      </c>
      <c r="AD3" s="57" t="s">
        <v>630</v>
      </c>
      <c r="AE3" s="57" t="s">
        <v>1089</v>
      </c>
      <c r="AF3" s="57" t="s">
        <v>634</v>
      </c>
      <c r="AG3" s="57" t="s">
        <v>633</v>
      </c>
      <c r="AH3" s="56"/>
    </row>
    <row r="4" spans="1:47" ht="27.75" thickBot="1">
      <c r="A4" s="21">
        <v>1</v>
      </c>
      <c r="B4" s="63" t="s">
        <v>316</v>
      </c>
      <c r="C4" s="65" t="s">
        <v>316</v>
      </c>
      <c r="D4" s="21" t="s">
        <v>316</v>
      </c>
      <c r="E4" s="21" t="s">
        <v>316</v>
      </c>
      <c r="F4" s="21" t="s">
        <v>316</v>
      </c>
      <c r="G4" s="23" t="s">
        <v>316</v>
      </c>
      <c r="H4" s="18" t="s">
        <v>319</v>
      </c>
      <c r="I4" s="21" t="s">
        <v>318</v>
      </c>
      <c r="J4" s="21"/>
      <c r="K4" s="26"/>
      <c r="L4" s="18">
        <f t="shared" ref="L4:L35" si="2" xml:space="preserve"> LEN(M4)</f>
        <v>1</v>
      </c>
      <c r="M4" s="21" t="str">
        <f t="shared" si="0"/>
        <v>a</v>
      </c>
      <c r="N4" s="21" t="str">
        <f t="shared" si="1"/>
        <v>ㄚ</v>
      </c>
      <c r="P4" s="47" t="str">
        <f xml:space="preserve"> _xlfn.CONCAT(M4, "(\d)")</f>
        <v>a(\d)</v>
      </c>
      <c r="Q4" s="50" t="s">
        <v>316</v>
      </c>
      <c r="R4" s="50">
        <f xml:space="preserve"> IFERROR( IF(Q4="", "", SEARCH(Q4, $M4)), "")</f>
        <v>1</v>
      </c>
      <c r="S4" s="47" t="str">
        <f xml:space="preserve"> IFERROR( _xlfn.CONCAT(LEFT(M4,R4-1), "》", MID(M4,R4,1), "${1}", RIGHT(M4, LEN(M4)-R4)), "" )</f>
        <v>》a${1}</v>
      </c>
      <c r="T4" s="19"/>
      <c r="U4" s="20" t="str">
        <f xml:space="preserve"> IF(AND(N4&lt;&gt;"", M4&lt;&gt;""), "    - xform/》" &amp; P4 &amp;  "/"  &amp; S4 &amp;  "/", "")</f>
        <v xml:space="preserve">    - xform/》a(\d)/》a${1}/</v>
      </c>
      <c r="W4" s="55" t="s">
        <v>1028</v>
      </c>
      <c r="X4" s="58" t="str">
        <f xml:space="preserve"> _xlfn.CONCAT($W4, IF(X$3="", "", _xlfn.UNICHAR( HEX2DEC( RIGHT(X$3,4)))))</f>
        <v>a</v>
      </c>
      <c r="Y4" s="58" t="str">
        <f t="shared" ref="Y4:AG4" si="3" xml:space="preserve"> _xlfn.CONCAT($W4, IF(Y$3="", "", _xlfn.UNICHAR( HEX2DEC( RIGHT(Y$3,4)))))</f>
        <v>á</v>
      </c>
      <c r="Z4" s="58" t="str">
        <f t="shared" si="3"/>
        <v>à</v>
      </c>
      <c r="AA4" s="58" t="str">
        <f t="shared" si="3"/>
        <v>a</v>
      </c>
      <c r="AB4" s="58" t="str">
        <f t="shared" si="3"/>
        <v>ǎ</v>
      </c>
      <c r="AC4" s="58" t="str">
        <f t="shared" si="3"/>
        <v>á</v>
      </c>
      <c r="AD4" s="58" t="str">
        <f t="shared" si="3"/>
        <v>ā</v>
      </c>
      <c r="AE4" s="58" t="str">
        <f t="shared" si="3"/>
        <v>a̍</v>
      </c>
      <c r="AF4" s="58" t="str">
        <f t="shared" si="3"/>
        <v>a̋</v>
      </c>
      <c r="AG4" s="58" t="str">
        <f t="shared" si="3"/>
        <v>å</v>
      </c>
      <c r="AI4" s="60" t="str">
        <f xml:space="preserve"> _xlfn.CONCAT("    - xform/》", $W4, X$2, "/", X4, "/")</f>
        <v xml:space="preserve">    - xform/》a1/a/</v>
      </c>
      <c r="AJ4" s="60" t="str">
        <f xml:space="preserve"> _xlfn.CONCAT("    - xform/》", $W4, Y$2, "/", Y4, "/")</f>
        <v xml:space="preserve">    - xform/》a2/á/</v>
      </c>
      <c r="AK4" s="60" t="str">
        <f t="shared" ref="AK4:AP10" si="4" xml:space="preserve"> _xlfn.CONCAT("    - xform/》", $W4, Z$2, "/", Z4, "/")</f>
        <v xml:space="preserve">    - xform/》a3/à/</v>
      </c>
      <c r="AL4" s="60" t="str">
        <f t="shared" si="4"/>
        <v xml:space="preserve">    - xform/》a4/a/</v>
      </c>
      <c r="AM4" s="60" t="str">
        <f t="shared" si="4"/>
        <v xml:space="preserve">    - xform/》a5/ǎ/</v>
      </c>
      <c r="AN4" s="60" t="str">
        <f t="shared" si="4"/>
        <v xml:space="preserve">    - xform/》a6/á/</v>
      </c>
      <c r="AO4" s="60" t="str">
        <f t="shared" si="4"/>
        <v xml:space="preserve">    - xform/》a7/ā/</v>
      </c>
      <c r="AP4" s="60" t="str">
        <f xml:space="preserve"> _xlfn.CONCAT("    - xform/》", $W4, AE$2, "/", AE4, "/")</f>
        <v xml:space="preserve">    - xform/》a8/a̍/</v>
      </c>
      <c r="AQ4" s="60" t="str">
        <f t="shared" ref="AQ4:AR10" si="5" xml:space="preserve"> _xlfn.CONCAT("    - xform/》", $W4, AF$2, "/", AF4, "/")</f>
        <v xml:space="preserve">    - xform/》a9/a̋/</v>
      </c>
      <c r="AR4" s="60" t="str">
        <f t="shared" si="5"/>
        <v xml:space="preserve">    - xform/》a9/å/</v>
      </c>
      <c r="AS4" s="58"/>
      <c r="AT4" s="58"/>
      <c r="AU4" s="55"/>
    </row>
    <row r="5" spans="1:47" ht="27.75" thickBot="1">
      <c r="A5" s="21">
        <v>2</v>
      </c>
      <c r="B5" s="63" t="s">
        <v>294</v>
      </c>
      <c r="C5" s="65" t="s">
        <v>297</v>
      </c>
      <c r="D5" s="21" t="s">
        <v>297</v>
      </c>
      <c r="E5" s="21" t="s">
        <v>297</v>
      </c>
      <c r="F5" s="21" t="s">
        <v>299</v>
      </c>
      <c r="G5" s="23" t="s">
        <v>298</v>
      </c>
      <c r="H5" s="18" t="s">
        <v>300</v>
      </c>
      <c r="I5" s="21" t="s">
        <v>296</v>
      </c>
      <c r="J5" s="61" t="s">
        <v>1091</v>
      </c>
      <c r="K5" s="26"/>
      <c r="L5" s="18">
        <f t="shared" si="2"/>
        <v>3</v>
      </c>
      <c r="M5" s="21" t="str">
        <f t="shared" si="0"/>
        <v>ann</v>
      </c>
      <c r="N5" s="21" t="str">
        <f t="shared" si="1"/>
        <v>ㆩ</v>
      </c>
      <c r="P5" s="47" t="str">
        <f t="shared" ref="P5:P68" si="6" xml:space="preserve"> _xlfn.CONCAT(M5, "(\d)")</f>
        <v>ann(\d)</v>
      </c>
      <c r="Q5" s="52" t="s">
        <v>316</v>
      </c>
      <c r="R5" s="50">
        <f t="shared" ref="R5:R68" si="7" xml:space="preserve"> IFERROR( IF(Q5="", "", SEARCH(Q5, $M5)), "")</f>
        <v>1</v>
      </c>
      <c r="S5" s="47" t="str">
        <f xml:space="preserve"> IFERROR( _xlfn.CONCAT(LEFT(M5,R5-1), "》", MID(M5,R5,1), "${1}", RIGHT(M5, LEN(M5)-R5)), "" )</f>
        <v>》a${1}nn</v>
      </c>
      <c r="T5" s="19"/>
      <c r="U5" s="20" t="str">
        <f t="shared" ref="U5:U68" si="8" xml:space="preserve"> IF(AND(N5&lt;&gt;"", M5&lt;&gt;""), "    - xform/》" &amp; P5 &amp;  "/"  &amp; S5 &amp;  "/", "")</f>
        <v xml:space="preserve">    - xform/》ann(\d)/》a${1}nn/</v>
      </c>
      <c r="W5" s="55" t="s">
        <v>1029</v>
      </c>
      <c r="X5" s="58" t="str">
        <f t="shared" ref="X5:AG10" si="9" xml:space="preserve"> _xlfn.CONCAT($W5, IF(X$3="", "", _xlfn.UNICHAR( HEX2DEC( RIGHT(X$3,4)))))</f>
        <v>i</v>
      </c>
      <c r="Y5" s="58" t="str">
        <f t="shared" si="9"/>
        <v>í</v>
      </c>
      <c r="Z5" s="58" t="str">
        <f t="shared" si="9"/>
        <v>ì</v>
      </c>
      <c r="AA5" s="58" t="str">
        <f t="shared" si="9"/>
        <v>i</v>
      </c>
      <c r="AB5" s="58" t="str">
        <f t="shared" si="9"/>
        <v>ǐ</v>
      </c>
      <c r="AC5" s="58" t="str">
        <f t="shared" si="9"/>
        <v>í</v>
      </c>
      <c r="AD5" s="58" t="str">
        <f t="shared" si="9"/>
        <v>ī</v>
      </c>
      <c r="AE5" s="58" t="str">
        <f t="shared" si="9"/>
        <v>i̍</v>
      </c>
      <c r="AF5" s="58" t="str">
        <f t="shared" si="9"/>
        <v>i̋</v>
      </c>
      <c r="AG5" s="58" t="str">
        <f t="shared" si="9"/>
        <v>i̊</v>
      </c>
      <c r="AI5" s="60" t="str">
        <f t="shared" ref="AI5:AJ10" si="10" xml:space="preserve"> _xlfn.CONCAT("    - xform/》", $W5, X$2, "/", X5, "/")</f>
        <v xml:space="preserve">    - xform/》i1/i/</v>
      </c>
      <c r="AJ5" s="60" t="str">
        <f t="shared" si="10"/>
        <v xml:space="preserve">    - xform/》i2/í/</v>
      </c>
      <c r="AK5" s="60" t="str">
        <f t="shared" si="4"/>
        <v xml:space="preserve">    - xform/》i3/ì/</v>
      </c>
      <c r="AL5" s="60" t="str">
        <f t="shared" si="4"/>
        <v xml:space="preserve">    - xform/》i4/i/</v>
      </c>
      <c r="AM5" s="60" t="str">
        <f t="shared" si="4"/>
        <v xml:space="preserve">    - xform/》i5/ǐ/</v>
      </c>
      <c r="AN5" s="60" t="str">
        <f t="shared" si="4"/>
        <v xml:space="preserve">    - xform/》i6/í/</v>
      </c>
      <c r="AO5" s="60" t="str">
        <f t="shared" si="4"/>
        <v xml:space="preserve">    - xform/》i7/ī/</v>
      </c>
      <c r="AP5" s="60" t="str">
        <f t="shared" si="4"/>
        <v xml:space="preserve">    - xform/》i8/i̍/</v>
      </c>
      <c r="AQ5" s="60" t="str">
        <f t="shared" si="5"/>
        <v xml:space="preserve">    - xform/》i9/i̋/</v>
      </c>
      <c r="AR5" s="60" t="str">
        <f t="shared" si="5"/>
        <v xml:space="preserve">    - xform/》i9/i̊/</v>
      </c>
      <c r="AS5" s="58"/>
      <c r="AT5" s="58"/>
      <c r="AU5" s="55"/>
    </row>
    <row r="6" spans="1:47" ht="27.75" thickBot="1">
      <c r="A6" s="21">
        <v>3</v>
      </c>
      <c r="B6" s="63" t="s">
        <v>672</v>
      </c>
      <c r="C6" s="65" t="s">
        <v>321</v>
      </c>
      <c r="D6" s="21" t="s">
        <v>321</v>
      </c>
      <c r="E6" s="21" t="s">
        <v>321</v>
      </c>
      <c r="F6" s="21" t="s">
        <v>321</v>
      </c>
      <c r="G6" s="23" t="s">
        <v>321</v>
      </c>
      <c r="H6" s="18" t="s">
        <v>322</v>
      </c>
      <c r="I6" s="21" t="s">
        <v>1082</v>
      </c>
      <c r="J6" s="21"/>
      <c r="K6" s="26"/>
      <c r="L6" s="18">
        <f t="shared" si="2"/>
        <v>2</v>
      </c>
      <c r="M6" s="21" t="str">
        <f t="shared" si="0"/>
        <v>ah</v>
      </c>
      <c r="N6" s="21" t="str">
        <f t="shared" si="1"/>
        <v>ㄚㆷ</v>
      </c>
      <c r="P6" s="47" t="str">
        <f t="shared" si="6"/>
        <v>ah(\d)</v>
      </c>
      <c r="Q6" s="50" t="s">
        <v>316</v>
      </c>
      <c r="R6" s="50">
        <f t="shared" si="7"/>
        <v>1</v>
      </c>
      <c r="S6" s="47" t="str">
        <f t="shared" ref="S6:S69" si="11" xml:space="preserve"> IFERROR( _xlfn.CONCAT(LEFT(M6,R6-1), "》", MID(M6,R6,1), "${1}", RIGHT(M6, LEN(M6)-R6)), "" )</f>
        <v>》a${1}h</v>
      </c>
      <c r="T6" s="19"/>
      <c r="U6" s="20" t="str">
        <f t="shared" si="8"/>
        <v xml:space="preserve">    - xform/》ah(\d)/》a${1}h/</v>
      </c>
      <c r="W6" s="55" t="s">
        <v>1027</v>
      </c>
      <c r="X6" s="58" t="str">
        <f t="shared" si="9"/>
        <v>u</v>
      </c>
      <c r="Y6" s="58" t="str">
        <f t="shared" si="9"/>
        <v>ú</v>
      </c>
      <c r="Z6" s="58" t="str">
        <f t="shared" si="9"/>
        <v>ù</v>
      </c>
      <c r="AA6" s="58" t="str">
        <f t="shared" si="9"/>
        <v>u</v>
      </c>
      <c r="AB6" s="58" t="str">
        <f t="shared" si="9"/>
        <v>ǔ</v>
      </c>
      <c r="AC6" s="58" t="str">
        <f t="shared" si="9"/>
        <v>ú</v>
      </c>
      <c r="AD6" s="58" t="str">
        <f t="shared" si="9"/>
        <v>ū</v>
      </c>
      <c r="AE6" s="58" t="str">
        <f t="shared" si="9"/>
        <v>u̍</v>
      </c>
      <c r="AF6" s="58" t="str">
        <f t="shared" si="9"/>
        <v>ű</v>
      </c>
      <c r="AG6" s="58" t="str">
        <f t="shared" si="9"/>
        <v>ů</v>
      </c>
      <c r="AI6" s="60" t="str">
        <f t="shared" si="10"/>
        <v xml:space="preserve">    - xform/》u1/u/</v>
      </c>
      <c r="AJ6" s="60" t="str">
        <f t="shared" si="10"/>
        <v xml:space="preserve">    - xform/》u2/ú/</v>
      </c>
      <c r="AK6" s="60" t="str">
        <f t="shared" si="4"/>
        <v xml:space="preserve">    - xform/》u3/ù/</v>
      </c>
      <c r="AL6" s="60" t="str">
        <f t="shared" si="4"/>
        <v xml:space="preserve">    - xform/》u4/u/</v>
      </c>
      <c r="AM6" s="60" t="str">
        <f t="shared" si="4"/>
        <v xml:space="preserve">    - xform/》u5/ǔ/</v>
      </c>
      <c r="AN6" s="60" t="str">
        <f t="shared" si="4"/>
        <v xml:space="preserve">    - xform/》u6/ú/</v>
      </c>
      <c r="AO6" s="60" t="str">
        <f t="shared" si="4"/>
        <v xml:space="preserve">    - xform/》u7/ū/</v>
      </c>
      <c r="AP6" s="60" t="str">
        <f t="shared" si="4"/>
        <v xml:space="preserve">    - xform/》u8/u̍/</v>
      </c>
      <c r="AQ6" s="60" t="str">
        <f t="shared" si="5"/>
        <v xml:space="preserve">    - xform/》u9/ű/</v>
      </c>
      <c r="AR6" s="60" t="str">
        <f t="shared" si="5"/>
        <v xml:space="preserve">    - xform/》u9/ů/</v>
      </c>
      <c r="AS6" s="58"/>
      <c r="AT6" s="58"/>
      <c r="AU6" s="55"/>
    </row>
    <row r="7" spans="1:47" ht="27.75" thickBot="1">
      <c r="A7" s="21">
        <v>4</v>
      </c>
      <c r="B7" s="63" t="s">
        <v>2208</v>
      </c>
      <c r="C7" s="65" t="s">
        <v>304</v>
      </c>
      <c r="D7" s="21" t="s">
        <v>303</v>
      </c>
      <c r="E7" s="21" t="s">
        <v>304</v>
      </c>
      <c r="F7" s="27" t="s">
        <v>305</v>
      </c>
      <c r="G7" s="23" t="s">
        <v>705</v>
      </c>
      <c r="H7" s="18" t="s">
        <v>306</v>
      </c>
      <c r="I7" s="21" t="s">
        <v>1098</v>
      </c>
      <c r="J7" s="61" t="s">
        <v>1091</v>
      </c>
      <c r="K7" s="26"/>
      <c r="L7" s="18">
        <f t="shared" si="2"/>
        <v>4</v>
      </c>
      <c r="M7" s="21" t="str">
        <f t="shared" si="0"/>
        <v>annh</v>
      </c>
      <c r="N7" s="21" t="str">
        <f t="shared" si="1"/>
        <v>ㆩㆷ</v>
      </c>
      <c r="P7" s="47" t="str">
        <f t="shared" si="6"/>
        <v>annh(\d)</v>
      </c>
      <c r="Q7" s="50" t="s">
        <v>316</v>
      </c>
      <c r="R7" s="50">
        <f t="shared" si="7"/>
        <v>1</v>
      </c>
      <c r="S7" s="47" t="str">
        <f t="shared" si="11"/>
        <v>》a${1}nnh</v>
      </c>
      <c r="T7" s="19"/>
      <c r="U7" s="20" t="str">
        <f t="shared" si="8"/>
        <v xml:space="preserve">    - xform/》annh(\d)/》a${1}nnh/</v>
      </c>
      <c r="W7" s="55" t="s">
        <v>981</v>
      </c>
      <c r="X7" s="58" t="str">
        <f t="shared" si="9"/>
        <v>e</v>
      </c>
      <c r="Y7" s="58" t="str">
        <f t="shared" si="9"/>
        <v>é</v>
      </c>
      <c r="Z7" s="58" t="str">
        <f t="shared" si="9"/>
        <v>è</v>
      </c>
      <c r="AA7" s="58" t="str">
        <f t="shared" si="9"/>
        <v>e</v>
      </c>
      <c r="AB7" s="58" t="str">
        <f t="shared" si="9"/>
        <v>ě</v>
      </c>
      <c r="AC7" s="58" t="str">
        <f t="shared" si="9"/>
        <v>é</v>
      </c>
      <c r="AD7" s="58" t="str">
        <f t="shared" si="9"/>
        <v>ē</v>
      </c>
      <c r="AE7" s="58" t="str">
        <f t="shared" si="9"/>
        <v>e̍</v>
      </c>
      <c r="AF7" s="58" t="str">
        <f t="shared" si="9"/>
        <v>e̋</v>
      </c>
      <c r="AG7" s="58" t="str">
        <f t="shared" si="9"/>
        <v>e̊</v>
      </c>
      <c r="AI7" s="60" t="str">
        <f t="shared" si="10"/>
        <v xml:space="preserve">    - xform/》e1/e/</v>
      </c>
      <c r="AJ7" s="60" t="str">
        <f t="shared" si="10"/>
        <v xml:space="preserve">    - xform/》e2/é/</v>
      </c>
      <c r="AK7" s="60" t="str">
        <f t="shared" si="4"/>
        <v xml:space="preserve">    - xform/》e3/è/</v>
      </c>
      <c r="AL7" s="60" t="str">
        <f t="shared" si="4"/>
        <v xml:space="preserve">    - xform/》e4/e/</v>
      </c>
      <c r="AM7" s="60" t="str">
        <f t="shared" si="4"/>
        <v xml:space="preserve">    - xform/》e5/ě/</v>
      </c>
      <c r="AN7" s="60" t="str">
        <f t="shared" si="4"/>
        <v xml:space="preserve">    - xform/》e6/é/</v>
      </c>
      <c r="AO7" s="60" t="str">
        <f t="shared" si="4"/>
        <v xml:space="preserve">    - xform/》e7/ē/</v>
      </c>
      <c r="AP7" s="60" t="str">
        <f t="shared" si="4"/>
        <v xml:space="preserve">    - xform/》e8/e̍/</v>
      </c>
      <c r="AQ7" s="60" t="str">
        <f t="shared" si="5"/>
        <v xml:space="preserve">    - xform/》e9/e̋/</v>
      </c>
      <c r="AR7" s="60" t="str">
        <f t="shared" si="5"/>
        <v xml:space="preserve">    - xform/》e9/e̊/</v>
      </c>
      <c r="AS7" s="58"/>
      <c r="AT7" s="58"/>
      <c r="AU7" s="55"/>
    </row>
    <row r="8" spans="1:47" ht="27.75" thickBot="1">
      <c r="A8" s="21">
        <v>5</v>
      </c>
      <c r="B8" s="63" t="s">
        <v>211</v>
      </c>
      <c r="C8" s="65" t="s">
        <v>211</v>
      </c>
      <c r="D8" s="21" t="s">
        <v>211</v>
      </c>
      <c r="E8" s="21" t="s">
        <v>211</v>
      </c>
      <c r="F8" s="21" t="s">
        <v>211</v>
      </c>
      <c r="G8" s="23" t="s">
        <v>211</v>
      </c>
      <c r="H8" s="18" t="s">
        <v>214</v>
      </c>
      <c r="I8" s="21" t="s">
        <v>213</v>
      </c>
      <c r="J8" s="21"/>
      <c r="K8" s="26"/>
      <c r="L8" s="18">
        <f t="shared" si="2"/>
        <v>2</v>
      </c>
      <c r="M8" s="21" t="str">
        <f t="shared" si="0"/>
        <v>am</v>
      </c>
      <c r="N8" s="21" t="str">
        <f t="shared" si="1"/>
        <v>ㆰ</v>
      </c>
      <c r="P8" s="47" t="str">
        <f t="shared" si="6"/>
        <v>am(\d)</v>
      </c>
      <c r="Q8" s="50" t="s">
        <v>316</v>
      </c>
      <c r="R8" s="50">
        <f t="shared" si="7"/>
        <v>1</v>
      </c>
      <c r="S8" s="47" t="str">
        <f t="shared" si="11"/>
        <v>》a${1}m</v>
      </c>
      <c r="T8" s="19"/>
      <c r="U8" s="20" t="str">
        <f t="shared" si="8"/>
        <v xml:space="preserve">    - xform/》am(\d)/》a${1}m/</v>
      </c>
      <c r="W8" s="55" t="s">
        <v>1016</v>
      </c>
      <c r="X8" s="58" t="str">
        <f t="shared" si="9"/>
        <v>o</v>
      </c>
      <c r="Y8" s="58" t="str">
        <f t="shared" si="9"/>
        <v>ó</v>
      </c>
      <c r="Z8" s="58" t="str">
        <f t="shared" si="9"/>
        <v>ò</v>
      </c>
      <c r="AA8" s="58" t="str">
        <f t="shared" si="9"/>
        <v>o</v>
      </c>
      <c r="AB8" s="58" t="str">
        <f t="shared" si="9"/>
        <v>ǒ</v>
      </c>
      <c r="AC8" s="58" t="str">
        <f t="shared" si="9"/>
        <v>ó</v>
      </c>
      <c r="AD8" s="58" t="str">
        <f t="shared" si="9"/>
        <v>ō</v>
      </c>
      <c r="AE8" s="58" t="str">
        <f t="shared" si="9"/>
        <v>o̍</v>
      </c>
      <c r="AF8" s="58" t="str">
        <f t="shared" si="9"/>
        <v>ő</v>
      </c>
      <c r="AG8" s="58" t="str">
        <f t="shared" si="9"/>
        <v>o̊</v>
      </c>
      <c r="AI8" s="60" t="str">
        <f t="shared" si="10"/>
        <v xml:space="preserve">    - xform/》o1/o/</v>
      </c>
      <c r="AJ8" s="60" t="str">
        <f t="shared" si="10"/>
        <v xml:space="preserve">    - xform/》o2/ó/</v>
      </c>
      <c r="AK8" s="60" t="str">
        <f t="shared" si="4"/>
        <v xml:space="preserve">    - xform/》o3/ò/</v>
      </c>
      <c r="AL8" s="60" t="str">
        <f t="shared" si="4"/>
        <v xml:space="preserve">    - xform/》o4/o/</v>
      </c>
      <c r="AM8" s="60" t="str">
        <f t="shared" si="4"/>
        <v xml:space="preserve">    - xform/》o5/ǒ/</v>
      </c>
      <c r="AN8" s="60" t="str">
        <f t="shared" si="4"/>
        <v xml:space="preserve">    - xform/》o6/ó/</v>
      </c>
      <c r="AO8" s="60" t="str">
        <f t="shared" si="4"/>
        <v xml:space="preserve">    - xform/》o7/ō/</v>
      </c>
      <c r="AP8" s="60" t="str">
        <f t="shared" si="4"/>
        <v xml:space="preserve">    - xform/》o8/o̍/</v>
      </c>
      <c r="AQ8" s="60" t="str">
        <f t="shared" si="5"/>
        <v xml:space="preserve">    - xform/》o9/ő/</v>
      </c>
      <c r="AR8" s="60" t="str">
        <f t="shared" si="5"/>
        <v xml:space="preserve">    - xform/》o9/o̊/</v>
      </c>
      <c r="AS8" s="58"/>
      <c r="AT8" s="58"/>
      <c r="AU8" s="55"/>
    </row>
    <row r="9" spans="1:47" ht="27.75" thickBot="1">
      <c r="A9" s="21">
        <v>6</v>
      </c>
      <c r="B9" s="63" t="s">
        <v>69</v>
      </c>
      <c r="C9" s="65" t="s">
        <v>69</v>
      </c>
      <c r="D9" s="21" t="s">
        <v>69</v>
      </c>
      <c r="E9" s="21" t="s">
        <v>69</v>
      </c>
      <c r="F9" s="21" t="s">
        <v>69</v>
      </c>
      <c r="G9" s="23" t="s">
        <v>69</v>
      </c>
      <c r="H9" s="18" t="s">
        <v>72</v>
      </c>
      <c r="I9" s="21" t="s">
        <v>71</v>
      </c>
      <c r="J9" s="21"/>
      <c r="K9" s="26"/>
      <c r="L9" s="18">
        <f t="shared" si="2"/>
        <v>2</v>
      </c>
      <c r="M9" s="21" t="str">
        <f t="shared" si="0"/>
        <v>an</v>
      </c>
      <c r="N9" s="21" t="str">
        <f t="shared" si="1"/>
        <v>ㄢ</v>
      </c>
      <c r="P9" s="47" t="str">
        <f t="shared" si="6"/>
        <v>an(\d)</v>
      </c>
      <c r="Q9" s="50" t="s">
        <v>316</v>
      </c>
      <c r="R9" s="50">
        <f t="shared" si="7"/>
        <v>1</v>
      </c>
      <c r="S9" s="47" t="str">
        <f t="shared" si="11"/>
        <v>》a${1}n</v>
      </c>
      <c r="T9" s="19"/>
      <c r="U9" s="20" t="str">
        <f t="shared" si="8"/>
        <v xml:space="preserve">    - xform/》an(\d)/》a${1}n/</v>
      </c>
      <c r="W9" s="55" t="s">
        <v>1087</v>
      </c>
      <c r="X9" s="58" t="str">
        <f t="shared" si="9"/>
        <v>m</v>
      </c>
      <c r="Y9" s="58" t="str">
        <f t="shared" si="9"/>
        <v>ḿ</v>
      </c>
      <c r="Z9" s="58" t="str">
        <f t="shared" si="9"/>
        <v>m̀</v>
      </c>
      <c r="AA9" s="58" t="str">
        <f t="shared" si="9"/>
        <v>m</v>
      </c>
      <c r="AB9" s="58" t="str">
        <f t="shared" si="9"/>
        <v>m̌</v>
      </c>
      <c r="AC9" s="58" t="str">
        <f t="shared" si="9"/>
        <v>ḿ</v>
      </c>
      <c r="AD9" s="58" t="str">
        <f t="shared" si="9"/>
        <v>m̄</v>
      </c>
      <c r="AE9" s="58" t="str">
        <f t="shared" si="9"/>
        <v>m̍</v>
      </c>
      <c r="AF9" s="58" t="str">
        <f t="shared" si="9"/>
        <v>m̋</v>
      </c>
      <c r="AG9" s="58" t="str">
        <f t="shared" si="9"/>
        <v>m̊</v>
      </c>
      <c r="AI9" s="60" t="str">
        <f t="shared" si="10"/>
        <v xml:space="preserve">    - xform/》m1/m/</v>
      </c>
      <c r="AJ9" s="60" t="str">
        <f t="shared" si="10"/>
        <v xml:space="preserve">    - xform/》m2/ḿ/</v>
      </c>
      <c r="AK9" s="60" t="str">
        <f t="shared" si="4"/>
        <v xml:space="preserve">    - xform/》m3/m̀/</v>
      </c>
      <c r="AL9" s="60" t="str">
        <f t="shared" si="4"/>
        <v xml:space="preserve">    - xform/》m4/m/</v>
      </c>
      <c r="AM9" s="60" t="str">
        <f t="shared" si="4"/>
        <v xml:space="preserve">    - xform/》m5/m̌/</v>
      </c>
      <c r="AN9" s="60" t="str">
        <f t="shared" si="4"/>
        <v xml:space="preserve">    - xform/》m6/ḿ/</v>
      </c>
      <c r="AO9" s="60" t="str">
        <f t="shared" si="4"/>
        <v xml:space="preserve">    - xform/》m7/m̄/</v>
      </c>
      <c r="AP9" s="60" t="str">
        <f t="shared" si="4"/>
        <v xml:space="preserve">    - xform/》m8/m̍/</v>
      </c>
      <c r="AQ9" s="60" t="str">
        <f t="shared" si="5"/>
        <v xml:space="preserve">    - xform/》m9/m̋/</v>
      </c>
      <c r="AR9" s="60" t="str">
        <f t="shared" si="5"/>
        <v xml:space="preserve">    - xform/》m9/m̊/</v>
      </c>
      <c r="AS9" s="58"/>
      <c r="AT9" s="58"/>
      <c r="AU9" s="55"/>
    </row>
    <row r="10" spans="1:47" ht="27.75" thickBot="1">
      <c r="A10" s="21">
        <v>7</v>
      </c>
      <c r="B10" s="63" t="s">
        <v>235</v>
      </c>
      <c r="C10" s="65" t="s">
        <v>237</v>
      </c>
      <c r="D10" s="21" t="s">
        <v>237</v>
      </c>
      <c r="E10" s="21" t="s">
        <v>237</v>
      </c>
      <c r="F10" s="21" t="s">
        <v>237</v>
      </c>
      <c r="G10" s="23" t="s">
        <v>237</v>
      </c>
      <c r="H10" s="18" t="s">
        <v>238</v>
      </c>
      <c r="I10" s="21" t="s">
        <v>1949</v>
      </c>
      <c r="J10" s="21"/>
      <c r="K10" s="26"/>
      <c r="L10" s="18">
        <f t="shared" si="2"/>
        <v>3</v>
      </c>
      <c r="M10" s="21" t="str">
        <f t="shared" si="0"/>
        <v>ang</v>
      </c>
      <c r="N10" s="21" t="str">
        <f t="shared" si="1"/>
        <v>ㄤ</v>
      </c>
      <c r="P10" s="47" t="str">
        <f t="shared" si="6"/>
        <v>ang(\d)</v>
      </c>
      <c r="Q10" s="50" t="s">
        <v>316</v>
      </c>
      <c r="R10" s="50">
        <f t="shared" si="7"/>
        <v>1</v>
      </c>
      <c r="S10" s="47" t="str">
        <f t="shared" si="11"/>
        <v>》a${1}ng</v>
      </c>
      <c r="T10" s="19"/>
      <c r="U10" s="20" t="str">
        <f t="shared" si="8"/>
        <v xml:space="preserve">    - xform/》ang(\d)/》a${1}ng/</v>
      </c>
      <c r="W10" s="55" t="s">
        <v>1086</v>
      </c>
      <c r="X10" s="58" t="str">
        <f t="shared" si="9"/>
        <v>n</v>
      </c>
      <c r="Y10" s="58" t="str">
        <f t="shared" si="9"/>
        <v>ń</v>
      </c>
      <c r="Z10" s="58" t="str">
        <f t="shared" si="9"/>
        <v>ǹ</v>
      </c>
      <c r="AA10" s="58" t="str">
        <f t="shared" si="9"/>
        <v>n</v>
      </c>
      <c r="AB10" s="58" t="str">
        <f t="shared" si="9"/>
        <v>ň</v>
      </c>
      <c r="AC10" s="58" t="str">
        <f t="shared" si="9"/>
        <v>ń</v>
      </c>
      <c r="AD10" s="58" t="str">
        <f t="shared" si="9"/>
        <v>n̄</v>
      </c>
      <c r="AE10" s="58" t="str">
        <f t="shared" si="9"/>
        <v>n̍</v>
      </c>
      <c r="AF10" s="58" t="str">
        <f t="shared" si="9"/>
        <v>n̋</v>
      </c>
      <c r="AG10" s="58" t="str">
        <f t="shared" si="9"/>
        <v>n̊</v>
      </c>
      <c r="AI10" s="60" t="str">
        <f t="shared" si="10"/>
        <v xml:space="preserve">    - xform/》n1/n/</v>
      </c>
      <c r="AJ10" s="60" t="str">
        <f t="shared" si="10"/>
        <v xml:space="preserve">    - xform/》n2/ń/</v>
      </c>
      <c r="AK10" s="60" t="str">
        <f t="shared" si="4"/>
        <v xml:space="preserve">    - xform/》n3/ǹ/</v>
      </c>
      <c r="AL10" s="60" t="str">
        <f t="shared" si="4"/>
        <v xml:space="preserve">    - xform/》n4/n/</v>
      </c>
      <c r="AM10" s="60" t="str">
        <f t="shared" si="4"/>
        <v xml:space="preserve">    - xform/》n5/ň/</v>
      </c>
      <c r="AN10" s="60" t="str">
        <f t="shared" si="4"/>
        <v xml:space="preserve">    - xform/》n6/ń/</v>
      </c>
      <c r="AO10" s="60" t="str">
        <f t="shared" si="4"/>
        <v xml:space="preserve">    - xform/》n7/n̄/</v>
      </c>
      <c r="AP10" s="60" t="str">
        <f t="shared" si="4"/>
        <v xml:space="preserve">    - xform/》n8/n̍/</v>
      </c>
      <c r="AQ10" s="60" t="str">
        <f t="shared" si="5"/>
        <v xml:space="preserve">    - xform/》n9/n̋/</v>
      </c>
      <c r="AR10" s="60" t="str">
        <f t="shared" si="5"/>
        <v xml:space="preserve">    - xform/》n9/n̊/</v>
      </c>
      <c r="AS10" s="58"/>
      <c r="AT10" s="58"/>
      <c r="AU10" s="55"/>
    </row>
    <row r="11" spans="1:47" ht="27.75" thickBot="1">
      <c r="A11" s="21">
        <v>8</v>
      </c>
      <c r="B11" s="63" t="s">
        <v>217</v>
      </c>
      <c r="C11" s="65" t="s">
        <v>219</v>
      </c>
      <c r="D11" s="21" t="s">
        <v>219</v>
      </c>
      <c r="E11" s="21" t="s">
        <v>219</v>
      </c>
      <c r="F11" s="21" t="s">
        <v>219</v>
      </c>
      <c r="G11" s="23" t="s">
        <v>219</v>
      </c>
      <c r="H11" s="18" t="s">
        <v>220</v>
      </c>
      <c r="I11" s="21" t="s">
        <v>218</v>
      </c>
      <c r="J11" s="21"/>
      <c r="K11" s="26"/>
      <c r="L11" s="18">
        <f t="shared" si="2"/>
        <v>2</v>
      </c>
      <c r="M11" s="21" t="str">
        <f t="shared" si="0"/>
        <v>ap</v>
      </c>
      <c r="N11" s="21" t="str">
        <f t="shared" si="1"/>
        <v>ㄚㆴ</v>
      </c>
      <c r="P11" s="47" t="str">
        <f t="shared" si="6"/>
        <v>ap(\d)</v>
      </c>
      <c r="Q11" s="50" t="s">
        <v>316</v>
      </c>
      <c r="R11" s="50">
        <f t="shared" si="7"/>
        <v>1</v>
      </c>
      <c r="S11" s="47" t="str">
        <f t="shared" si="11"/>
        <v>》a${1}p</v>
      </c>
      <c r="T11" s="19"/>
      <c r="U11" s="20" t="str">
        <f t="shared" si="8"/>
        <v xml:space="preserve">    - xform/》ap(\d)/》a${1}p/</v>
      </c>
    </row>
    <row r="12" spans="1:47" ht="27.75" thickBot="1">
      <c r="A12" s="21">
        <v>9</v>
      </c>
      <c r="B12" s="63" t="s">
        <v>75</v>
      </c>
      <c r="C12" s="65" t="s">
        <v>77</v>
      </c>
      <c r="D12" s="21" t="s">
        <v>77</v>
      </c>
      <c r="E12" s="21" t="s">
        <v>77</v>
      </c>
      <c r="F12" s="21" t="s">
        <v>77</v>
      </c>
      <c r="G12" s="23" t="s">
        <v>77</v>
      </c>
      <c r="H12" s="18" t="s">
        <v>78</v>
      </c>
      <c r="I12" s="21" t="s">
        <v>76</v>
      </c>
      <c r="J12" s="21"/>
      <c r="K12" s="26"/>
      <c r="L12" s="18">
        <f t="shared" si="2"/>
        <v>2</v>
      </c>
      <c r="M12" s="21" t="str">
        <f t="shared" si="0"/>
        <v>at</v>
      </c>
      <c r="N12" s="21" t="str">
        <f t="shared" si="1"/>
        <v>ㄚㆵ</v>
      </c>
      <c r="P12" s="47" t="str">
        <f t="shared" si="6"/>
        <v>at(\d)</v>
      </c>
      <c r="Q12" s="50" t="s">
        <v>316</v>
      </c>
      <c r="R12" s="50">
        <f t="shared" si="7"/>
        <v>1</v>
      </c>
      <c r="S12" s="47" t="str">
        <f t="shared" si="11"/>
        <v>》a${1}t</v>
      </c>
      <c r="T12" s="19"/>
      <c r="U12" s="20" t="str">
        <f t="shared" si="8"/>
        <v xml:space="preserve">    - xform/》at(\d)/》a${1}t/</v>
      </c>
    </row>
    <row r="13" spans="1:47" ht="27.75" thickBot="1">
      <c r="A13" s="21">
        <v>10</v>
      </c>
      <c r="B13" s="63" t="s">
        <v>241</v>
      </c>
      <c r="C13" s="65" t="s">
        <v>243</v>
      </c>
      <c r="D13" s="21" t="s">
        <v>243</v>
      </c>
      <c r="E13" s="21" t="s">
        <v>243</v>
      </c>
      <c r="F13" s="21" t="s">
        <v>243</v>
      </c>
      <c r="G13" s="23" t="s">
        <v>243</v>
      </c>
      <c r="H13" s="18" t="s">
        <v>244</v>
      </c>
      <c r="I13" s="21" t="s">
        <v>242</v>
      </c>
      <c r="J13" s="21"/>
      <c r="K13" s="26"/>
      <c r="L13" s="18">
        <f t="shared" si="2"/>
        <v>2</v>
      </c>
      <c r="M13" s="21" t="str">
        <f t="shared" si="0"/>
        <v>ak</v>
      </c>
      <c r="N13" s="21" t="str">
        <f t="shared" si="1"/>
        <v>ㄚㆻ</v>
      </c>
      <c r="P13" s="47" t="str">
        <f t="shared" si="6"/>
        <v>ak(\d)</v>
      </c>
      <c r="Q13" s="50" t="s">
        <v>316</v>
      </c>
      <c r="R13" s="50">
        <f t="shared" si="7"/>
        <v>1</v>
      </c>
      <c r="S13" s="47" t="str">
        <f t="shared" si="11"/>
        <v>》a${1}k</v>
      </c>
      <c r="T13" s="19"/>
      <c r="U13" s="20" t="str">
        <f t="shared" si="8"/>
        <v xml:space="preserve">    - xform/》ak(\d)/》a${1}k/</v>
      </c>
    </row>
    <row r="14" spans="1:47" ht="27.75" thickBot="1">
      <c r="A14" s="21">
        <v>11</v>
      </c>
      <c r="B14" s="63" t="s">
        <v>945</v>
      </c>
      <c r="C14" s="65" t="s">
        <v>183</v>
      </c>
      <c r="D14" s="21" t="s">
        <v>183</v>
      </c>
      <c r="E14" s="21" t="s">
        <v>183</v>
      </c>
      <c r="F14" s="21" t="s">
        <v>183</v>
      </c>
      <c r="G14" s="23" t="s">
        <v>183</v>
      </c>
      <c r="H14" s="18" t="s">
        <v>186</v>
      </c>
      <c r="I14" s="21" t="s">
        <v>185</v>
      </c>
      <c r="J14" s="21"/>
      <c r="K14" s="26"/>
      <c r="L14" s="18">
        <f t="shared" si="2"/>
        <v>2</v>
      </c>
      <c r="M14" s="21" t="str">
        <f t="shared" si="0"/>
        <v>ai</v>
      </c>
      <c r="N14" s="21" t="str">
        <f t="shared" si="1"/>
        <v>ㄞ</v>
      </c>
      <c r="P14" s="47" t="str">
        <f t="shared" si="6"/>
        <v>ai(\d)</v>
      </c>
      <c r="Q14" s="50" t="s">
        <v>316</v>
      </c>
      <c r="R14" s="50">
        <f t="shared" si="7"/>
        <v>1</v>
      </c>
      <c r="S14" s="47" t="str">
        <f t="shared" si="11"/>
        <v>》a${1}i</v>
      </c>
      <c r="T14" s="19"/>
      <c r="U14" s="20" t="str">
        <f t="shared" si="8"/>
        <v xml:space="preserve">    - xform/》ai(\d)/》a${1}i/</v>
      </c>
    </row>
    <row r="15" spans="1:47" ht="27.75" thickBot="1">
      <c r="A15" s="21">
        <v>12</v>
      </c>
      <c r="B15" s="63" t="s">
        <v>2209</v>
      </c>
      <c r="C15" s="65" t="s">
        <v>417</v>
      </c>
      <c r="D15" s="21" t="s">
        <v>417</v>
      </c>
      <c r="E15" s="21" t="s">
        <v>417</v>
      </c>
      <c r="F15" s="21" t="s">
        <v>419</v>
      </c>
      <c r="G15" s="23" t="s">
        <v>418</v>
      </c>
      <c r="H15" s="18" t="s">
        <v>420</v>
      </c>
      <c r="I15" s="21" t="s">
        <v>416</v>
      </c>
      <c r="J15" s="61" t="s">
        <v>1091</v>
      </c>
      <c r="K15" s="26"/>
      <c r="L15" s="18">
        <f t="shared" si="2"/>
        <v>4</v>
      </c>
      <c r="M15" s="21" t="str">
        <f t="shared" si="0"/>
        <v>ainn</v>
      </c>
      <c r="N15" s="21" t="str">
        <f t="shared" si="1"/>
        <v>ㆮ</v>
      </c>
      <c r="P15" s="47" t="str">
        <f t="shared" si="6"/>
        <v>ainn(\d)</v>
      </c>
      <c r="Q15" s="50" t="s">
        <v>316</v>
      </c>
      <c r="R15" s="50">
        <f t="shared" si="7"/>
        <v>1</v>
      </c>
      <c r="S15" s="47" t="str">
        <f t="shared" si="11"/>
        <v>》a${1}inn</v>
      </c>
      <c r="T15" s="19"/>
      <c r="U15" s="20" t="str">
        <f t="shared" si="8"/>
        <v xml:space="preserve">    - xform/》ainn(\d)/》a${1}inn/</v>
      </c>
    </row>
    <row r="16" spans="1:47" ht="30.75" thickBot="1">
      <c r="A16" s="21">
        <v>13</v>
      </c>
      <c r="B16" s="63" t="s">
        <v>1245</v>
      </c>
      <c r="C16" s="65" t="s">
        <v>1246</v>
      </c>
      <c r="D16" s="27" t="s">
        <v>1246</v>
      </c>
      <c r="E16" s="27" t="s">
        <v>1246</v>
      </c>
      <c r="F16" s="27" t="s">
        <v>1246</v>
      </c>
      <c r="G16" s="27" t="s">
        <v>1246</v>
      </c>
      <c r="H16" s="70" t="s">
        <v>1948</v>
      </c>
      <c r="I16" s="67" t="s">
        <v>1950</v>
      </c>
      <c r="J16" s="21"/>
      <c r="K16" s="26"/>
      <c r="L16" s="18">
        <f t="shared" si="2"/>
        <v>3</v>
      </c>
      <c r="M16" s="21" t="str">
        <f t="shared" si="0"/>
        <v>aih</v>
      </c>
      <c r="N16" s="21" t="str">
        <f t="shared" si="1"/>
        <v>ㄞㆷ</v>
      </c>
      <c r="P16" s="47" t="str">
        <f t="shared" si="6"/>
        <v>aih(\d)</v>
      </c>
      <c r="Q16" s="50" t="s">
        <v>316</v>
      </c>
      <c r="R16" s="50">
        <f t="shared" si="7"/>
        <v>1</v>
      </c>
      <c r="S16" s="47" t="str">
        <f t="shared" si="11"/>
        <v>》a${1}ih</v>
      </c>
      <c r="T16" s="19"/>
      <c r="U16" s="20" t="str">
        <f t="shared" si="8"/>
        <v xml:space="preserve">    - xform/》aih(\d)/》a${1}ih/</v>
      </c>
    </row>
    <row r="17" spans="1:21" ht="27.75" thickBot="1">
      <c r="A17" s="21">
        <v>14</v>
      </c>
      <c r="B17" s="63" t="s">
        <v>972</v>
      </c>
      <c r="C17" s="65" t="s">
        <v>260</v>
      </c>
      <c r="D17" s="21" t="s">
        <v>260</v>
      </c>
      <c r="E17" s="21" t="s">
        <v>260</v>
      </c>
      <c r="F17" s="21" t="s">
        <v>263</v>
      </c>
      <c r="G17" s="23" t="s">
        <v>260</v>
      </c>
      <c r="H17" s="18" t="s">
        <v>264</v>
      </c>
      <c r="I17" s="21" t="s">
        <v>262</v>
      </c>
      <c r="J17" s="21"/>
      <c r="K17" s="26"/>
      <c r="L17" s="18">
        <f t="shared" si="2"/>
        <v>2</v>
      </c>
      <c r="M17" s="21" t="str">
        <f t="shared" si="0"/>
        <v>au</v>
      </c>
      <c r="N17" s="21" t="str">
        <f t="shared" si="1"/>
        <v>ㄠ</v>
      </c>
      <c r="P17" s="47" t="str">
        <f t="shared" si="6"/>
        <v>au(\d)</v>
      </c>
      <c r="Q17" s="50" t="s">
        <v>316</v>
      </c>
      <c r="R17" s="50">
        <f t="shared" si="7"/>
        <v>1</v>
      </c>
      <c r="S17" s="47" t="str">
        <f t="shared" si="11"/>
        <v>》a${1}u</v>
      </c>
      <c r="T17" s="19"/>
      <c r="U17" s="20" t="str">
        <f t="shared" si="8"/>
        <v xml:space="preserve">    - xform/》au(\d)/》a${1}u/</v>
      </c>
    </row>
    <row r="18" spans="1:21" ht="27.75" thickBot="1">
      <c r="A18" s="21">
        <v>15</v>
      </c>
      <c r="B18" s="63" t="s">
        <v>660</v>
      </c>
      <c r="C18" s="65" t="s">
        <v>267</v>
      </c>
      <c r="D18" s="21" t="s">
        <v>267</v>
      </c>
      <c r="E18" s="21" t="s">
        <v>267</v>
      </c>
      <c r="F18" s="21" t="s">
        <v>268</v>
      </c>
      <c r="G18" s="23" t="s">
        <v>267</v>
      </c>
      <c r="H18" s="18" t="s">
        <v>269</v>
      </c>
      <c r="I18" s="21" t="s">
        <v>1951</v>
      </c>
      <c r="J18" s="21"/>
      <c r="K18" s="26"/>
      <c r="L18" s="18">
        <f t="shared" si="2"/>
        <v>3</v>
      </c>
      <c r="M18" s="21" t="str">
        <f t="shared" si="0"/>
        <v>auh</v>
      </c>
      <c r="N18" s="21" t="str">
        <f t="shared" si="1"/>
        <v>ㄠㆷ</v>
      </c>
      <c r="P18" s="47" t="str">
        <f t="shared" si="6"/>
        <v>auh(\d)</v>
      </c>
      <c r="Q18" s="50" t="s">
        <v>316</v>
      </c>
      <c r="R18" s="50">
        <f t="shared" si="7"/>
        <v>1</v>
      </c>
      <c r="S18" s="47" t="str">
        <f t="shared" si="11"/>
        <v>》a${1}uh</v>
      </c>
      <c r="T18" s="19"/>
      <c r="U18" s="20" t="str">
        <f t="shared" si="8"/>
        <v xml:space="preserve">    - xform/》auh(\d)/》a${1}uh/</v>
      </c>
    </row>
    <row r="19" spans="1:21" ht="27.75" thickBot="1">
      <c r="A19" s="21">
        <v>16</v>
      </c>
      <c r="B19" s="63" t="s">
        <v>2182</v>
      </c>
      <c r="C19" s="65" t="s">
        <v>2183</v>
      </c>
      <c r="D19" s="27" t="s">
        <v>2183</v>
      </c>
      <c r="E19" s="105"/>
      <c r="F19" s="105"/>
      <c r="G19" s="105"/>
      <c r="H19" s="69" t="s">
        <v>2187</v>
      </c>
      <c r="I19" s="102" t="s">
        <v>2191</v>
      </c>
      <c r="J19" s="102"/>
      <c r="K19" s="26"/>
      <c r="L19" s="18">
        <f t="shared" si="2"/>
        <v>1</v>
      </c>
      <c r="M19" s="21" t="str">
        <f t="shared" ref="M19:M50" si="12">E23</f>
        <v>e</v>
      </c>
      <c r="N19" s="21" t="str">
        <f t="shared" ref="N19:N50" si="13">I23</f>
        <v>ㆤ</v>
      </c>
      <c r="P19" s="47" t="str">
        <f t="shared" si="6"/>
        <v>e(\d)</v>
      </c>
      <c r="Q19" s="50" t="s">
        <v>316</v>
      </c>
      <c r="R19" s="50" t="str">
        <f xml:space="preserve"> IFERROR( IF(Q19="", "", SEARCH(Q19, $M19)), "")</f>
        <v/>
      </c>
      <c r="S19" s="47" t="str">
        <f t="shared" si="11"/>
        <v/>
      </c>
      <c r="T19" s="19"/>
      <c r="U19" s="20" t="str">
        <f t="shared" si="8"/>
        <v xml:space="preserve">    - xform/》e(\d)//</v>
      </c>
    </row>
    <row r="20" spans="1:21" ht="27.75" thickBot="1">
      <c r="A20" s="21">
        <v>17</v>
      </c>
      <c r="B20" s="63" t="str">
        <f xml:space="preserve"> _xlfn.CONCAT(B19, "ʔ")</f>
        <v>ɛʔ</v>
      </c>
      <c r="C20" s="65" t="s">
        <v>2184</v>
      </c>
      <c r="D20" s="27" t="s">
        <v>2184</v>
      </c>
      <c r="E20" s="105"/>
      <c r="F20" s="105"/>
      <c r="G20" s="105"/>
      <c r="H20" s="69" t="s">
        <v>2188</v>
      </c>
      <c r="I20" s="102" t="s">
        <v>2193</v>
      </c>
      <c r="J20" s="102"/>
      <c r="K20" s="26"/>
      <c r="L20" s="18">
        <f t="shared" si="2"/>
        <v>3</v>
      </c>
      <c r="M20" s="21" t="str">
        <f t="shared" si="12"/>
        <v>enn</v>
      </c>
      <c r="N20" s="21" t="str">
        <f t="shared" si="13"/>
        <v>ㆥ</v>
      </c>
      <c r="P20" s="47" t="str">
        <f t="shared" si="6"/>
        <v>enn(\d)</v>
      </c>
      <c r="Q20" s="50" t="s">
        <v>60</v>
      </c>
      <c r="R20" s="50">
        <f xml:space="preserve"> IFERROR( IF(Q20="", "", SEARCH(Q20, $M20)), "")</f>
        <v>1</v>
      </c>
      <c r="S20" s="47" t="str">
        <f t="shared" si="11"/>
        <v>》e${1}nn</v>
      </c>
      <c r="T20" s="19"/>
      <c r="U20" s="20" t="str">
        <f t="shared" si="8"/>
        <v xml:space="preserve">    - xform/》enn(\d)/》e${1}nn/</v>
      </c>
    </row>
    <row r="21" spans="1:21" ht="27.75" thickBot="1">
      <c r="A21" s="21">
        <v>18</v>
      </c>
      <c r="B21" s="63" t="str">
        <f xml:space="preserve"> _xlfn.CONCAT(B19, "ŋ")</f>
        <v>ɛŋ</v>
      </c>
      <c r="C21" s="65" t="s">
        <v>2185</v>
      </c>
      <c r="D21" s="27" t="s">
        <v>2185</v>
      </c>
      <c r="E21" s="105"/>
      <c r="F21" s="105"/>
      <c r="G21" s="105"/>
      <c r="H21" s="69" t="s">
        <v>2189</v>
      </c>
      <c r="I21" s="103" t="s">
        <v>2194</v>
      </c>
      <c r="J21" s="103"/>
      <c r="K21" s="26"/>
      <c r="L21" s="18">
        <f t="shared" si="2"/>
        <v>2</v>
      </c>
      <c r="M21" s="21" t="str">
        <f t="shared" si="12"/>
        <v>eh</v>
      </c>
      <c r="N21" s="21" t="str">
        <f t="shared" si="13"/>
        <v>ㆤㆷ</v>
      </c>
      <c r="P21" s="47" t="str">
        <f t="shared" si="6"/>
        <v>eh(\d)</v>
      </c>
      <c r="Q21" s="50" t="s">
        <v>60</v>
      </c>
      <c r="R21" s="50">
        <f xml:space="preserve"> IFERROR( IF(Q21="", "", SEARCH(Q21, $M21)), "")</f>
        <v>1</v>
      </c>
      <c r="S21" s="47" t="str">
        <f t="shared" si="11"/>
        <v>》e${1}h</v>
      </c>
      <c r="T21" s="19"/>
      <c r="U21" s="20" t="str">
        <f t="shared" si="8"/>
        <v xml:space="preserve">    - xform/》eh(\d)/》e${1}h/</v>
      </c>
    </row>
    <row r="22" spans="1:21" ht="27.75" thickBot="1">
      <c r="A22" s="21">
        <v>19</v>
      </c>
      <c r="B22" s="63" t="str">
        <f xml:space="preserve"> _xlfn.CONCAT(B19, "k")</f>
        <v>ɛk</v>
      </c>
      <c r="C22" s="65" t="s">
        <v>2186</v>
      </c>
      <c r="D22" s="27" t="s">
        <v>2186</v>
      </c>
      <c r="E22" s="105"/>
      <c r="F22" s="105"/>
      <c r="G22" s="105"/>
      <c r="H22" s="69" t="s">
        <v>2190</v>
      </c>
      <c r="I22" s="103" t="s">
        <v>2196</v>
      </c>
      <c r="J22" s="103"/>
      <c r="K22" s="26"/>
      <c r="L22" s="18">
        <f t="shared" si="2"/>
        <v>4</v>
      </c>
      <c r="M22" s="21" t="str">
        <f t="shared" si="12"/>
        <v>ennh</v>
      </c>
      <c r="N22" s="21" t="str">
        <f t="shared" si="13"/>
        <v>ㆥㆷ</v>
      </c>
      <c r="P22" s="47" t="str">
        <f t="shared" si="6"/>
        <v>ennh(\d)</v>
      </c>
      <c r="Q22" s="50" t="s">
        <v>60</v>
      </c>
      <c r="R22" s="50">
        <f xml:space="preserve"> IFERROR( IF(Q22="", "", SEARCH(Q22, $M22)), "")</f>
        <v>1</v>
      </c>
      <c r="S22" s="47" t="str">
        <f t="shared" si="11"/>
        <v>》e${1}nnh</v>
      </c>
      <c r="T22" s="19"/>
      <c r="U22" s="20" t="str">
        <f t="shared" si="8"/>
        <v xml:space="preserve">    - xform/》ennh(\d)/》e${1}nnh/</v>
      </c>
    </row>
    <row r="23" spans="1:21" ht="27.75" thickBot="1">
      <c r="A23" s="21">
        <v>20</v>
      </c>
      <c r="B23" s="63" t="s">
        <v>60</v>
      </c>
      <c r="C23" s="65" t="s">
        <v>60</v>
      </c>
      <c r="D23" s="21" t="s">
        <v>153</v>
      </c>
      <c r="E23" s="21" t="s">
        <v>60</v>
      </c>
      <c r="F23" s="21" t="s">
        <v>60</v>
      </c>
      <c r="G23" s="23" t="s">
        <v>1969</v>
      </c>
      <c r="H23" s="18" t="s">
        <v>156</v>
      </c>
      <c r="I23" s="21" t="s">
        <v>155</v>
      </c>
      <c r="J23" s="21"/>
      <c r="K23" s="26"/>
      <c r="L23" s="18">
        <f t="shared" si="2"/>
        <v>1</v>
      </c>
      <c r="M23" s="21" t="str">
        <f t="shared" si="12"/>
        <v>i</v>
      </c>
      <c r="N23" s="21" t="str">
        <f t="shared" si="13"/>
        <v>ㄧ</v>
      </c>
      <c r="P23" s="47" t="str">
        <f t="shared" si="6"/>
        <v>i(\d)</v>
      </c>
      <c r="Q23" s="50" t="s">
        <v>324</v>
      </c>
      <c r="R23" s="50">
        <f t="shared" si="7"/>
        <v>1</v>
      </c>
      <c r="S23" s="47" t="str">
        <f t="shared" si="11"/>
        <v>》i${1}</v>
      </c>
      <c r="T23" s="19"/>
      <c r="U23" s="20" t="str">
        <f t="shared" si="8"/>
        <v xml:space="preserve">    - xform/》i(\d)/》i${1}/</v>
      </c>
    </row>
    <row r="24" spans="1:21" ht="27.75" thickBot="1">
      <c r="A24" s="21">
        <v>21</v>
      </c>
      <c r="B24" s="63" t="s">
        <v>954</v>
      </c>
      <c r="C24" s="65" t="s">
        <v>340</v>
      </c>
      <c r="D24" s="21" t="s">
        <v>340</v>
      </c>
      <c r="E24" s="21" t="s">
        <v>340</v>
      </c>
      <c r="F24" s="21" t="s">
        <v>342</v>
      </c>
      <c r="G24" s="23" t="s">
        <v>341</v>
      </c>
      <c r="H24" s="18" t="s">
        <v>343</v>
      </c>
      <c r="I24" s="21" t="s">
        <v>339</v>
      </c>
      <c r="J24" s="61" t="s">
        <v>1091</v>
      </c>
      <c r="K24" s="26"/>
      <c r="L24" s="18">
        <f t="shared" si="2"/>
        <v>3</v>
      </c>
      <c r="M24" s="21" t="str">
        <f t="shared" si="12"/>
        <v>inn</v>
      </c>
      <c r="N24" s="21" t="str">
        <f t="shared" si="13"/>
        <v>ㆪ</v>
      </c>
      <c r="P24" s="47" t="str">
        <f t="shared" si="6"/>
        <v>inn(\d)</v>
      </c>
      <c r="Q24" s="50" t="s">
        <v>324</v>
      </c>
      <c r="R24" s="50">
        <f t="shared" si="7"/>
        <v>1</v>
      </c>
      <c r="S24" s="47" t="str">
        <f t="shared" si="11"/>
        <v>》i${1}nn</v>
      </c>
      <c r="T24" s="19"/>
      <c r="U24" s="20" t="str">
        <f t="shared" si="8"/>
        <v xml:space="preserve">    - xform/》inn(\d)/》i${1}nn/</v>
      </c>
    </row>
    <row r="25" spans="1:21" ht="27.75" thickBot="1">
      <c r="A25" s="21">
        <v>22</v>
      </c>
      <c r="B25" s="63" t="s">
        <v>673</v>
      </c>
      <c r="C25" s="65" t="s">
        <v>65</v>
      </c>
      <c r="D25" s="21" t="s">
        <v>65</v>
      </c>
      <c r="E25" s="21" t="s">
        <v>65</v>
      </c>
      <c r="F25" s="21" t="s">
        <v>65</v>
      </c>
      <c r="G25" s="23" t="s">
        <v>65</v>
      </c>
      <c r="H25" s="18" t="s">
        <v>413</v>
      </c>
      <c r="I25" s="21" t="s">
        <v>1952</v>
      </c>
      <c r="J25" s="21"/>
      <c r="K25" s="26"/>
      <c r="L25" s="18">
        <f t="shared" si="2"/>
        <v>2</v>
      </c>
      <c r="M25" s="21" t="str">
        <f t="shared" si="12"/>
        <v>ih</v>
      </c>
      <c r="N25" s="21" t="str">
        <f t="shared" si="13"/>
        <v>ㄧㆷ</v>
      </c>
      <c r="P25" s="47" t="str">
        <f t="shared" si="6"/>
        <v>ih(\d)</v>
      </c>
      <c r="Q25" s="50" t="s">
        <v>324</v>
      </c>
      <c r="R25" s="50">
        <f t="shared" si="7"/>
        <v>1</v>
      </c>
      <c r="S25" s="47" t="str">
        <f t="shared" si="11"/>
        <v>》i${1}h</v>
      </c>
      <c r="T25" s="19"/>
      <c r="U25" s="20" t="str">
        <f t="shared" si="8"/>
        <v xml:space="preserve">    - xform/》ih(\d)/》i${1}h/</v>
      </c>
    </row>
    <row r="26" spans="1:21" ht="30.75" thickBot="1">
      <c r="A26" s="21">
        <v>23</v>
      </c>
      <c r="B26" s="63" t="s">
        <v>1315</v>
      </c>
      <c r="C26" s="65" t="s">
        <v>346</v>
      </c>
      <c r="D26" s="27" t="s">
        <v>346</v>
      </c>
      <c r="E26" s="27" t="s">
        <v>346</v>
      </c>
      <c r="F26" s="27" t="s">
        <v>346</v>
      </c>
      <c r="G26" s="27" t="s">
        <v>1970</v>
      </c>
      <c r="H26" s="70" t="s">
        <v>347</v>
      </c>
      <c r="I26" s="68" t="s">
        <v>1099</v>
      </c>
      <c r="J26" s="61" t="s">
        <v>1091</v>
      </c>
      <c r="K26" s="26"/>
      <c r="L26" s="18">
        <f t="shared" si="2"/>
        <v>2</v>
      </c>
      <c r="M26" s="21" t="str">
        <f t="shared" si="12"/>
        <v>im</v>
      </c>
      <c r="N26" s="21" t="str">
        <f t="shared" si="13"/>
        <v>ㄧㆬ</v>
      </c>
      <c r="P26" s="47" t="str">
        <f t="shared" si="6"/>
        <v>im(\d)</v>
      </c>
      <c r="Q26" s="50" t="s">
        <v>324</v>
      </c>
      <c r="R26" s="50">
        <f t="shared" si="7"/>
        <v>1</v>
      </c>
      <c r="S26" s="47" t="str">
        <f t="shared" si="11"/>
        <v>》i${1}m</v>
      </c>
      <c r="T26" s="19"/>
      <c r="U26" s="20" t="str">
        <f t="shared" si="8"/>
        <v xml:space="preserve">    - xform/》im(\d)/》i${1}m/</v>
      </c>
    </row>
    <row r="27" spans="1:21" ht="27.75" thickBot="1">
      <c r="A27" s="21">
        <v>24</v>
      </c>
      <c r="B27" s="63" t="s">
        <v>324</v>
      </c>
      <c r="C27" s="65" t="s">
        <v>324</v>
      </c>
      <c r="D27" s="21" t="s">
        <v>324</v>
      </c>
      <c r="E27" s="21" t="s">
        <v>324</v>
      </c>
      <c r="F27" s="21" t="s">
        <v>324</v>
      </c>
      <c r="G27" s="23" t="s">
        <v>324</v>
      </c>
      <c r="H27" s="18" t="s">
        <v>327</v>
      </c>
      <c r="I27" s="21" t="s">
        <v>326</v>
      </c>
      <c r="J27" s="21"/>
      <c r="K27" s="26"/>
      <c r="L27" s="18">
        <f t="shared" si="2"/>
        <v>2</v>
      </c>
      <c r="M27" s="21" t="str">
        <f t="shared" si="12"/>
        <v>in</v>
      </c>
      <c r="N27" s="21" t="str">
        <f t="shared" si="13"/>
        <v>ㄧㄣ</v>
      </c>
      <c r="P27" s="47" t="str">
        <f t="shared" si="6"/>
        <v>in(\d)</v>
      </c>
      <c r="Q27" s="50" t="s">
        <v>324</v>
      </c>
      <c r="R27" s="50">
        <f t="shared" si="7"/>
        <v>1</v>
      </c>
      <c r="S27" s="47" t="str">
        <f t="shared" si="11"/>
        <v>》i${1}n</v>
      </c>
      <c r="T27" s="19"/>
      <c r="U27" s="20" t="str">
        <f t="shared" si="8"/>
        <v xml:space="preserve">    - xform/》in(\d)/》i${1}n/</v>
      </c>
    </row>
    <row r="28" spans="1:21" ht="27.75" thickBot="1">
      <c r="A28" s="21">
        <v>25</v>
      </c>
      <c r="B28" s="63" t="s">
        <v>367</v>
      </c>
      <c r="C28" s="65" t="s">
        <v>370</v>
      </c>
      <c r="D28" s="21" t="s">
        <v>370</v>
      </c>
      <c r="E28" s="21" t="s">
        <v>370</v>
      </c>
      <c r="F28" s="21" t="s">
        <v>372</v>
      </c>
      <c r="G28" s="23" t="s">
        <v>371</v>
      </c>
      <c r="H28" s="18" t="s">
        <v>373</v>
      </c>
      <c r="I28" s="21" t="s">
        <v>369</v>
      </c>
      <c r="J28" s="61" t="s">
        <v>1091</v>
      </c>
      <c r="K28" s="26"/>
      <c r="L28" s="18">
        <f t="shared" si="2"/>
        <v>3</v>
      </c>
      <c r="M28" s="21" t="str">
        <f t="shared" si="12"/>
        <v>ing</v>
      </c>
      <c r="N28" s="21" t="str">
        <f t="shared" si="13"/>
        <v>ㄧㄥ</v>
      </c>
      <c r="P28" s="47" t="str">
        <f t="shared" si="6"/>
        <v>ing(\d)</v>
      </c>
      <c r="Q28" s="50" t="s">
        <v>324</v>
      </c>
      <c r="R28" s="50">
        <f t="shared" si="7"/>
        <v>1</v>
      </c>
      <c r="S28" s="47" t="str">
        <f t="shared" si="11"/>
        <v>》i${1}ng</v>
      </c>
      <c r="T28" s="19"/>
      <c r="U28" s="20" t="str">
        <f t="shared" si="8"/>
        <v xml:space="preserve">    - xform/》ing(\d)/》i${1}ng/</v>
      </c>
    </row>
    <row r="29" spans="1:21" ht="27.75" thickBot="1">
      <c r="A29" s="21">
        <v>26</v>
      </c>
      <c r="B29" s="63" t="s">
        <v>677</v>
      </c>
      <c r="C29" s="65" t="s">
        <v>329</v>
      </c>
      <c r="D29" s="21" t="s">
        <v>329</v>
      </c>
      <c r="E29" s="21" t="s">
        <v>329</v>
      </c>
      <c r="F29" s="21" t="s">
        <v>329</v>
      </c>
      <c r="G29" s="23" t="s">
        <v>329</v>
      </c>
      <c r="H29" s="18" t="s">
        <v>330</v>
      </c>
      <c r="I29" s="21" t="s">
        <v>1953</v>
      </c>
      <c r="J29" s="21"/>
      <c r="K29" s="26"/>
      <c r="L29" s="18">
        <f t="shared" si="2"/>
        <v>2</v>
      </c>
      <c r="M29" s="21" t="str">
        <f t="shared" si="12"/>
        <v>ip</v>
      </c>
      <c r="N29" s="21" t="str">
        <f t="shared" si="13"/>
        <v>一ㆴ</v>
      </c>
      <c r="P29" s="47" t="str">
        <f t="shared" si="6"/>
        <v>ip(\d)</v>
      </c>
      <c r="Q29" s="50" t="s">
        <v>324</v>
      </c>
      <c r="R29" s="50">
        <f t="shared" si="7"/>
        <v>1</v>
      </c>
      <c r="S29" s="47" t="str">
        <f t="shared" si="11"/>
        <v>》i${1}p</v>
      </c>
      <c r="T29" s="19"/>
      <c r="U29" s="20" t="str">
        <f t="shared" si="8"/>
        <v xml:space="preserve">    - xform/》ip(\d)/》i${1}p/</v>
      </c>
    </row>
    <row r="30" spans="1:21" ht="27.75" thickBot="1">
      <c r="A30" s="21">
        <v>27</v>
      </c>
      <c r="B30" s="63" t="s">
        <v>38</v>
      </c>
      <c r="C30" s="65" t="s">
        <v>38</v>
      </c>
      <c r="D30" s="21" t="s">
        <v>38</v>
      </c>
      <c r="E30" s="21" t="s">
        <v>38</v>
      </c>
      <c r="F30" s="21" t="s">
        <v>38</v>
      </c>
      <c r="G30" s="23" t="s">
        <v>38</v>
      </c>
      <c r="H30" s="18" t="s">
        <v>41</v>
      </c>
      <c r="I30" s="21" t="s">
        <v>40</v>
      </c>
      <c r="J30" s="21"/>
      <c r="K30" s="26"/>
      <c r="L30" s="18">
        <f t="shared" si="2"/>
        <v>2</v>
      </c>
      <c r="M30" s="21" t="str">
        <f t="shared" si="12"/>
        <v>it</v>
      </c>
      <c r="N30" s="21" t="str">
        <f t="shared" si="13"/>
        <v>ㄧㆵ</v>
      </c>
      <c r="P30" s="47" t="str">
        <f t="shared" si="6"/>
        <v>it(\d)</v>
      </c>
      <c r="Q30" s="50" t="s">
        <v>324</v>
      </c>
      <c r="R30" s="50">
        <f t="shared" si="7"/>
        <v>1</v>
      </c>
      <c r="S30" s="47" t="str">
        <f t="shared" si="11"/>
        <v>》i${1}t</v>
      </c>
      <c r="T30" s="19"/>
      <c r="U30" s="20" t="str">
        <f t="shared" si="8"/>
        <v xml:space="preserve">    - xform/》it(\d)/》i${1}t/</v>
      </c>
    </row>
    <row r="31" spans="1:21" ht="27.75" thickBot="1">
      <c r="A31" s="21">
        <v>28</v>
      </c>
      <c r="B31" s="63" t="s">
        <v>189</v>
      </c>
      <c r="C31" s="65" t="s">
        <v>189</v>
      </c>
      <c r="D31" s="21" t="s">
        <v>189</v>
      </c>
      <c r="E31" s="21" t="s">
        <v>189</v>
      </c>
      <c r="F31" s="21" t="s">
        <v>189</v>
      </c>
      <c r="G31" s="23" t="s">
        <v>189</v>
      </c>
      <c r="H31" s="18" t="s">
        <v>192</v>
      </c>
      <c r="I31" s="21" t="s">
        <v>191</v>
      </c>
      <c r="J31" s="21"/>
      <c r="K31" s="26"/>
      <c r="L31" s="18">
        <f t="shared" si="2"/>
        <v>2</v>
      </c>
      <c r="M31" s="21" t="str">
        <f t="shared" si="12"/>
        <v>ik</v>
      </c>
      <c r="N31" s="21" t="str">
        <f t="shared" si="13"/>
        <v>ㄧㆻ</v>
      </c>
      <c r="P31" s="47" t="str">
        <f t="shared" si="6"/>
        <v>ik(\d)</v>
      </c>
      <c r="Q31" s="50" t="s">
        <v>324</v>
      </c>
      <c r="R31" s="50">
        <f t="shared" si="7"/>
        <v>1</v>
      </c>
      <c r="S31" s="47" t="str">
        <f t="shared" si="11"/>
        <v>》i${1}k</v>
      </c>
      <c r="T31" s="19"/>
      <c r="U31" s="20" t="str">
        <f t="shared" si="8"/>
        <v xml:space="preserve">    - xform/》ik(\d)/》i${1}k/</v>
      </c>
    </row>
    <row r="32" spans="1:21" ht="27.75" thickBot="1">
      <c r="A32" s="21">
        <v>29</v>
      </c>
      <c r="B32" s="63" t="s">
        <v>106</v>
      </c>
      <c r="C32" s="65" t="s">
        <v>109</v>
      </c>
      <c r="D32" s="21" t="s">
        <v>109</v>
      </c>
      <c r="E32" s="21" t="s">
        <v>109</v>
      </c>
      <c r="F32" s="21" t="s">
        <v>109</v>
      </c>
      <c r="G32" s="23" t="s">
        <v>110</v>
      </c>
      <c r="H32" s="18" t="s">
        <v>111</v>
      </c>
      <c r="I32" s="21" t="s">
        <v>108</v>
      </c>
      <c r="J32" s="21"/>
      <c r="K32" s="26"/>
      <c r="L32" s="18">
        <f t="shared" si="2"/>
        <v>2</v>
      </c>
      <c r="M32" s="21" t="str">
        <f t="shared" si="12"/>
        <v>ia</v>
      </c>
      <c r="N32" s="21" t="str">
        <f t="shared" si="13"/>
        <v>ㄧㄚ</v>
      </c>
      <c r="P32" s="47" t="str">
        <f t="shared" si="6"/>
        <v>ia(\d)</v>
      </c>
      <c r="Q32" s="50" t="s">
        <v>316</v>
      </c>
      <c r="R32" s="50">
        <f t="shared" si="7"/>
        <v>2</v>
      </c>
      <c r="S32" s="47" t="str">
        <f t="shared" si="11"/>
        <v>i》a${1}</v>
      </c>
      <c r="T32" s="19"/>
      <c r="U32" s="20" t="str">
        <f t="shared" si="8"/>
        <v xml:space="preserve">    - xform/》ia(\d)/i》a${1}/</v>
      </c>
    </row>
    <row r="33" spans="1:21" ht="27.75" thickBot="1">
      <c r="A33" s="21">
        <v>30</v>
      </c>
      <c r="B33" s="63" t="s">
        <v>44</v>
      </c>
      <c r="C33" s="65" t="s">
        <v>46</v>
      </c>
      <c r="D33" s="21" t="s">
        <v>46</v>
      </c>
      <c r="E33" s="21" t="s">
        <v>46</v>
      </c>
      <c r="F33" s="21" t="s">
        <v>46</v>
      </c>
      <c r="G33" s="23" t="s">
        <v>46</v>
      </c>
      <c r="H33" s="18" t="s">
        <v>47</v>
      </c>
      <c r="I33" s="21" t="s">
        <v>45</v>
      </c>
      <c r="J33" s="21"/>
      <c r="K33" s="26"/>
      <c r="L33" s="18">
        <f t="shared" si="2"/>
        <v>4</v>
      </c>
      <c r="M33" s="21" t="str">
        <f t="shared" si="12"/>
        <v>iann</v>
      </c>
      <c r="N33" s="21" t="str">
        <f t="shared" si="13"/>
        <v>ㄧㆩ</v>
      </c>
      <c r="P33" s="47" t="str">
        <f t="shared" si="6"/>
        <v>iann(\d)</v>
      </c>
      <c r="Q33" s="50" t="s">
        <v>316</v>
      </c>
      <c r="R33" s="50">
        <f t="shared" si="7"/>
        <v>2</v>
      </c>
      <c r="S33" s="47" t="str">
        <f t="shared" si="11"/>
        <v>i》a${1}nn</v>
      </c>
      <c r="T33" s="19"/>
      <c r="U33" s="20" t="str">
        <f t="shared" si="8"/>
        <v xml:space="preserve">    - xform/》iann(\d)/i》a${1}nn/</v>
      </c>
    </row>
    <row r="34" spans="1:21" ht="27.75" thickBot="1">
      <c r="A34" s="21">
        <v>31</v>
      </c>
      <c r="B34" s="63" t="s">
        <v>195</v>
      </c>
      <c r="C34" s="65" t="s">
        <v>197</v>
      </c>
      <c r="D34" s="21" t="s">
        <v>197</v>
      </c>
      <c r="E34" s="21" t="s">
        <v>197</v>
      </c>
      <c r="F34" s="21" t="s">
        <v>197</v>
      </c>
      <c r="G34" s="23" t="s">
        <v>197</v>
      </c>
      <c r="H34" s="18" t="s">
        <v>198</v>
      </c>
      <c r="I34" s="21" t="s">
        <v>196</v>
      </c>
      <c r="J34" s="21"/>
      <c r="K34" s="26"/>
      <c r="L34" s="18">
        <f t="shared" si="2"/>
        <v>3</v>
      </c>
      <c r="M34" s="21" t="str">
        <f t="shared" si="12"/>
        <v>iah</v>
      </c>
      <c r="N34" s="21" t="str">
        <f t="shared" si="13"/>
        <v>ㄧㄚㆷ</v>
      </c>
      <c r="P34" s="47" t="str">
        <f t="shared" si="6"/>
        <v>iah(\d)</v>
      </c>
      <c r="Q34" s="50" t="s">
        <v>316</v>
      </c>
      <c r="R34" s="50">
        <f t="shared" si="7"/>
        <v>2</v>
      </c>
      <c r="S34" s="47" t="str">
        <f t="shared" si="11"/>
        <v>i》a${1}h</v>
      </c>
      <c r="T34" s="19"/>
      <c r="U34" s="20" t="str">
        <f t="shared" si="8"/>
        <v xml:space="preserve">    - xform/》iah(\d)/i》a${1}h/</v>
      </c>
    </row>
    <row r="35" spans="1:21" ht="27.75" thickBot="1">
      <c r="A35" s="21">
        <v>32</v>
      </c>
      <c r="B35" s="63" t="s">
        <v>2210</v>
      </c>
      <c r="C35" s="65" t="s">
        <v>115</v>
      </c>
      <c r="D35" s="21" t="s">
        <v>115</v>
      </c>
      <c r="E35" s="21" t="s">
        <v>115</v>
      </c>
      <c r="F35" s="21" t="s">
        <v>115</v>
      </c>
      <c r="G35" s="23" t="s">
        <v>116</v>
      </c>
      <c r="H35" s="18" t="s">
        <v>117</v>
      </c>
      <c r="I35" s="21" t="s">
        <v>114</v>
      </c>
      <c r="J35" s="21"/>
      <c r="K35" s="26"/>
      <c r="L35" s="18">
        <f t="shared" si="2"/>
        <v>5</v>
      </c>
      <c r="M35" s="21" t="str">
        <f t="shared" si="12"/>
        <v>iannh</v>
      </c>
      <c r="N35" s="21" t="str">
        <f t="shared" si="13"/>
        <v>ㄧㆩㆷ</v>
      </c>
      <c r="P35" s="47" t="str">
        <f t="shared" si="6"/>
        <v>iannh(\d)</v>
      </c>
      <c r="Q35" s="50" t="s">
        <v>316</v>
      </c>
      <c r="R35" s="50">
        <f t="shared" si="7"/>
        <v>2</v>
      </c>
      <c r="S35" s="47" t="str">
        <f t="shared" si="11"/>
        <v>i》a${1}nnh</v>
      </c>
      <c r="T35" s="19"/>
      <c r="U35" s="20" t="str">
        <f t="shared" si="8"/>
        <v xml:space="preserve">    - xform/》iannh(\d)/i》a${1}nnh/</v>
      </c>
    </row>
    <row r="36" spans="1:21" ht="27.75" thickBot="1">
      <c r="A36" s="21">
        <v>33</v>
      </c>
      <c r="B36" s="63" t="s">
        <v>974</v>
      </c>
      <c r="C36" s="65" t="s">
        <v>272</v>
      </c>
      <c r="D36" s="21" t="s">
        <v>272</v>
      </c>
      <c r="E36" s="21" t="s">
        <v>272</v>
      </c>
      <c r="F36" s="21" t="s">
        <v>272</v>
      </c>
      <c r="G36" s="23" t="s">
        <v>272</v>
      </c>
      <c r="H36" s="18" t="s">
        <v>275</v>
      </c>
      <c r="I36" s="21" t="s">
        <v>274</v>
      </c>
      <c r="J36" s="21"/>
      <c r="K36" s="26"/>
      <c r="L36" s="18">
        <f t="shared" ref="L36:L67" si="14" xml:space="preserve"> LEN(M36)</f>
        <v>3</v>
      </c>
      <c r="M36" s="21" t="str">
        <f t="shared" si="12"/>
        <v>iam</v>
      </c>
      <c r="N36" s="21" t="str">
        <f t="shared" si="13"/>
        <v>ㄧㆰ</v>
      </c>
      <c r="P36" s="47" t="str">
        <f t="shared" si="6"/>
        <v>iam(\d)</v>
      </c>
      <c r="Q36" s="50" t="s">
        <v>316</v>
      </c>
      <c r="R36" s="50">
        <f t="shared" si="7"/>
        <v>2</v>
      </c>
      <c r="S36" s="47" t="str">
        <f t="shared" si="11"/>
        <v>i》a${1}m</v>
      </c>
      <c r="T36" s="19"/>
      <c r="U36" s="20" t="str">
        <f t="shared" si="8"/>
        <v xml:space="preserve">    - xform/》iam(\d)/i》a${1}m/</v>
      </c>
    </row>
    <row r="37" spans="1:21" ht="27.75" thickBot="1">
      <c r="A37" s="21">
        <v>34</v>
      </c>
      <c r="B37" s="63" t="s">
        <v>2211</v>
      </c>
      <c r="C37" s="65" t="s">
        <v>391</v>
      </c>
      <c r="D37" s="21" t="s">
        <v>391</v>
      </c>
      <c r="E37" s="21" t="s">
        <v>391</v>
      </c>
      <c r="F37" s="21" t="s">
        <v>394</v>
      </c>
      <c r="G37" s="23" t="s">
        <v>393</v>
      </c>
      <c r="H37" s="18" t="s">
        <v>395</v>
      </c>
      <c r="I37" s="21" t="s">
        <v>390</v>
      </c>
      <c r="J37" s="61" t="s">
        <v>1091</v>
      </c>
      <c r="K37" s="26"/>
      <c r="L37" s="18">
        <f t="shared" si="14"/>
        <v>3</v>
      </c>
      <c r="M37" s="21" t="str">
        <f t="shared" si="12"/>
        <v>ian</v>
      </c>
      <c r="N37" s="21" t="str">
        <f t="shared" si="13"/>
        <v>ㄧㄢ</v>
      </c>
      <c r="P37" s="47" t="str">
        <f t="shared" si="6"/>
        <v>ian(\d)</v>
      </c>
      <c r="Q37" s="50" t="s">
        <v>316</v>
      </c>
      <c r="R37" s="50">
        <f t="shared" si="7"/>
        <v>2</v>
      </c>
      <c r="S37" s="47" t="str">
        <f t="shared" si="11"/>
        <v>i》a${1}n</v>
      </c>
      <c r="T37" s="19"/>
      <c r="U37" s="20" t="str">
        <f t="shared" si="8"/>
        <v xml:space="preserve">    - xform/》ian(\d)/i》a${1}n/</v>
      </c>
    </row>
    <row r="38" spans="1:21" ht="27.75" thickBot="1">
      <c r="A38" s="21">
        <v>35</v>
      </c>
      <c r="B38" s="63" t="s">
        <v>1449</v>
      </c>
      <c r="C38" s="65" t="s">
        <v>278</v>
      </c>
      <c r="D38" s="21" t="s">
        <v>278</v>
      </c>
      <c r="E38" s="21" t="s">
        <v>278</v>
      </c>
      <c r="F38" s="21" t="s">
        <v>278</v>
      </c>
      <c r="G38" s="23" t="s">
        <v>278</v>
      </c>
      <c r="H38" s="18" t="s">
        <v>279</v>
      </c>
      <c r="I38" s="21" t="s">
        <v>1954</v>
      </c>
      <c r="J38" s="21"/>
      <c r="K38" s="26"/>
      <c r="L38" s="18">
        <f t="shared" si="14"/>
        <v>4</v>
      </c>
      <c r="M38" s="21" t="str">
        <f t="shared" si="12"/>
        <v>iang</v>
      </c>
      <c r="N38" s="21" t="str">
        <f t="shared" si="13"/>
        <v>ㄧㄤ</v>
      </c>
      <c r="P38" s="47" t="str">
        <f t="shared" si="6"/>
        <v>iang(\d)</v>
      </c>
      <c r="Q38" s="50" t="s">
        <v>316</v>
      </c>
      <c r="R38" s="50">
        <f t="shared" si="7"/>
        <v>2</v>
      </c>
      <c r="S38" s="47" t="str">
        <f t="shared" si="11"/>
        <v>i》a${1}ng</v>
      </c>
      <c r="T38" s="19"/>
      <c r="U38" s="20" t="str">
        <f t="shared" si="8"/>
        <v xml:space="preserve">    - xform/》iang(\d)/i》a${1}ng/</v>
      </c>
    </row>
    <row r="39" spans="1:21" ht="30.75" thickBot="1">
      <c r="A39" s="21">
        <v>36</v>
      </c>
      <c r="B39" s="63" t="s">
        <v>2212</v>
      </c>
      <c r="C39" s="65" t="s">
        <v>392</v>
      </c>
      <c r="D39" s="27" t="s">
        <v>392</v>
      </c>
      <c r="E39" s="27" t="s">
        <v>392</v>
      </c>
      <c r="F39" s="27" t="s">
        <v>392</v>
      </c>
      <c r="G39" s="27" t="s">
        <v>1971</v>
      </c>
      <c r="H39" s="70" t="s">
        <v>279</v>
      </c>
      <c r="I39" s="67" t="s">
        <v>1955</v>
      </c>
      <c r="J39" s="61" t="s">
        <v>1091</v>
      </c>
      <c r="K39" s="26"/>
      <c r="L39" s="18">
        <f t="shared" si="14"/>
        <v>3</v>
      </c>
      <c r="M39" s="21" t="str">
        <f t="shared" si="12"/>
        <v>iap</v>
      </c>
      <c r="N39" s="21" t="str">
        <f t="shared" si="13"/>
        <v>ㄧㄚㆴ</v>
      </c>
      <c r="P39" s="47" t="str">
        <f t="shared" si="6"/>
        <v>iap(\d)</v>
      </c>
      <c r="Q39" s="50" t="s">
        <v>316</v>
      </c>
      <c r="R39" s="50">
        <f t="shared" si="7"/>
        <v>2</v>
      </c>
      <c r="S39" s="47" t="str">
        <f t="shared" si="11"/>
        <v>i》a${1}p</v>
      </c>
      <c r="T39" s="19"/>
      <c r="U39" s="20" t="str">
        <f t="shared" si="8"/>
        <v xml:space="preserve">    - xform/》iap(\d)/i》a${1}p/</v>
      </c>
    </row>
    <row r="40" spans="1:21" ht="27.75" thickBot="1">
      <c r="A40" s="21">
        <v>37</v>
      </c>
      <c r="B40" s="63" t="s">
        <v>1465</v>
      </c>
      <c r="C40" s="65" t="s">
        <v>247</v>
      </c>
      <c r="D40" s="21" t="s">
        <v>247</v>
      </c>
      <c r="E40" s="21" t="s">
        <v>247</v>
      </c>
      <c r="F40" s="21" t="s">
        <v>247</v>
      </c>
      <c r="G40" s="23" t="s">
        <v>247</v>
      </c>
      <c r="H40" s="18" t="s">
        <v>250</v>
      </c>
      <c r="I40" s="21" t="s">
        <v>249</v>
      </c>
      <c r="J40" s="21"/>
      <c r="K40" s="26"/>
      <c r="L40" s="18">
        <f t="shared" si="14"/>
        <v>3</v>
      </c>
      <c r="M40" s="21" t="str">
        <f t="shared" si="12"/>
        <v>iat</v>
      </c>
      <c r="N40" s="21" t="str">
        <f t="shared" si="13"/>
        <v>ㄧㄚㆵ</v>
      </c>
      <c r="P40" s="47" t="str">
        <f t="shared" si="6"/>
        <v>iat(\d)</v>
      </c>
      <c r="Q40" s="50" t="s">
        <v>316</v>
      </c>
      <c r="R40" s="50">
        <f t="shared" si="7"/>
        <v>2</v>
      </c>
      <c r="S40" s="47" t="str">
        <f t="shared" si="11"/>
        <v>i》a${1}t</v>
      </c>
      <c r="T40" s="19"/>
      <c r="U40" s="20" t="str">
        <f t="shared" si="8"/>
        <v xml:space="preserve">    - xform/》iat(\d)/i》a${1}t/</v>
      </c>
    </row>
    <row r="41" spans="1:21" ht="27.75" thickBot="1">
      <c r="A41" s="21">
        <v>38</v>
      </c>
      <c r="B41" s="63" t="s">
        <v>962</v>
      </c>
      <c r="C41" s="65" t="s">
        <v>27</v>
      </c>
      <c r="D41" s="21" t="s">
        <v>27</v>
      </c>
      <c r="E41" s="21" t="s">
        <v>27</v>
      </c>
      <c r="F41" s="21" t="s">
        <v>27</v>
      </c>
      <c r="G41" s="23" t="s">
        <v>27</v>
      </c>
      <c r="H41" s="18" t="s">
        <v>30</v>
      </c>
      <c r="I41" s="21" t="s">
        <v>29</v>
      </c>
      <c r="J41" s="21"/>
      <c r="K41" s="26"/>
      <c r="L41" s="18">
        <f t="shared" si="14"/>
        <v>3</v>
      </c>
      <c r="M41" s="21" t="str">
        <f t="shared" si="12"/>
        <v>iak</v>
      </c>
      <c r="N41" s="21" t="str">
        <f t="shared" si="13"/>
        <v>ㄧㄚㆻ</v>
      </c>
      <c r="P41" s="47" t="str">
        <f t="shared" si="6"/>
        <v>iak(\d)</v>
      </c>
      <c r="Q41" s="50" t="s">
        <v>316</v>
      </c>
      <c r="R41" s="50">
        <f t="shared" si="7"/>
        <v>2</v>
      </c>
      <c r="S41" s="47" t="str">
        <f t="shared" si="11"/>
        <v>i》a${1}k</v>
      </c>
      <c r="T41" s="19"/>
      <c r="U41" s="20" t="str">
        <f t="shared" si="8"/>
        <v xml:space="preserve">    - xform/》iak(\d)/i》a${1}k/</v>
      </c>
    </row>
    <row r="42" spans="1:21" ht="27.75" thickBot="1">
      <c r="A42" s="21">
        <v>39</v>
      </c>
      <c r="B42" s="63" t="s">
        <v>970</v>
      </c>
      <c r="C42" s="65" t="s">
        <v>203</v>
      </c>
      <c r="D42" s="21" t="s">
        <v>203</v>
      </c>
      <c r="E42" s="21" t="s">
        <v>203</v>
      </c>
      <c r="F42" s="21" t="s">
        <v>203</v>
      </c>
      <c r="G42" s="23" t="s">
        <v>203</v>
      </c>
      <c r="H42" s="18" t="s">
        <v>204</v>
      </c>
      <c r="I42" s="21" t="s">
        <v>1956</v>
      </c>
      <c r="J42" s="21"/>
      <c r="K42" s="26"/>
      <c r="L42" s="18">
        <f t="shared" si="14"/>
        <v>3</v>
      </c>
      <c r="M42" s="21" t="str">
        <f t="shared" si="12"/>
        <v>iau</v>
      </c>
      <c r="N42" s="21" t="str">
        <f t="shared" si="13"/>
        <v>ㄧㄠ</v>
      </c>
      <c r="P42" s="47" t="str">
        <f t="shared" si="6"/>
        <v>iau(\d)</v>
      </c>
      <c r="Q42" s="50" t="s">
        <v>316</v>
      </c>
      <c r="R42" s="50">
        <f t="shared" si="7"/>
        <v>2</v>
      </c>
      <c r="S42" s="47" t="str">
        <f t="shared" si="11"/>
        <v>i》a${1}u</v>
      </c>
      <c r="T42" s="19"/>
      <c r="U42" s="20" t="str">
        <f t="shared" si="8"/>
        <v xml:space="preserve">    - xform/》iau(\d)/i》a${1}u/</v>
      </c>
    </row>
    <row r="43" spans="1:21" ht="27.75" thickBot="1">
      <c r="A43" s="21">
        <v>40</v>
      </c>
      <c r="B43" s="63" t="s">
        <v>1503</v>
      </c>
      <c r="C43" s="65" t="s">
        <v>256</v>
      </c>
      <c r="D43" s="21" t="s">
        <v>256</v>
      </c>
      <c r="E43" s="21" t="s">
        <v>256</v>
      </c>
      <c r="F43" s="21" t="s">
        <v>256</v>
      </c>
      <c r="G43" s="23" t="s">
        <v>256</v>
      </c>
      <c r="H43" s="18" t="s">
        <v>257</v>
      </c>
      <c r="I43" s="21" t="s">
        <v>255</v>
      </c>
      <c r="J43" s="21"/>
      <c r="K43" s="26"/>
      <c r="L43" s="18">
        <f t="shared" si="14"/>
        <v>5</v>
      </c>
      <c r="M43" s="21" t="str">
        <f t="shared" si="12"/>
        <v>iaunn</v>
      </c>
      <c r="N43" s="21" t="str">
        <f t="shared" si="13"/>
        <v>ㄧㆯ</v>
      </c>
      <c r="P43" s="47" t="str">
        <f t="shared" si="6"/>
        <v>iaunn(\d)</v>
      </c>
      <c r="Q43" s="50" t="s">
        <v>316</v>
      </c>
      <c r="R43" s="50">
        <f t="shared" si="7"/>
        <v>2</v>
      </c>
      <c r="S43" s="47" t="str">
        <f t="shared" si="11"/>
        <v>i》a${1}unn</v>
      </c>
      <c r="T43" s="19"/>
      <c r="U43" s="20" t="str">
        <f t="shared" si="8"/>
        <v xml:space="preserve">    - xform/》iaunn(\d)/i》a${1}unn/</v>
      </c>
    </row>
    <row r="44" spans="1:21" ht="27.75" thickBot="1">
      <c r="A44" s="21">
        <v>41</v>
      </c>
      <c r="B44" s="63" t="s">
        <v>963</v>
      </c>
      <c r="C44" s="65" t="s">
        <v>34</v>
      </c>
      <c r="D44" s="21" t="s">
        <v>34</v>
      </c>
      <c r="E44" s="21" t="s">
        <v>34</v>
      </c>
      <c r="F44" s="21" t="s">
        <v>34</v>
      </c>
      <c r="G44" s="23" t="s">
        <v>34</v>
      </c>
      <c r="H44" s="18" t="s">
        <v>35</v>
      </c>
      <c r="I44" s="21" t="s">
        <v>33</v>
      </c>
      <c r="J44" s="21"/>
      <c r="K44" s="26"/>
      <c r="L44" s="18">
        <f t="shared" si="14"/>
        <v>4</v>
      </c>
      <c r="M44" s="21" t="str">
        <f t="shared" si="12"/>
        <v>iauh</v>
      </c>
      <c r="N44" s="21" t="str">
        <f t="shared" si="13"/>
        <v>ㄧㄠㆷ</v>
      </c>
      <c r="P44" s="47" t="str">
        <f t="shared" si="6"/>
        <v>iauh(\d)</v>
      </c>
      <c r="Q44" s="50" t="s">
        <v>316</v>
      </c>
      <c r="R44" s="50">
        <f t="shared" si="7"/>
        <v>2</v>
      </c>
      <c r="S44" s="47" t="str">
        <f t="shared" si="11"/>
        <v>i》a${1}uh</v>
      </c>
      <c r="T44" s="19"/>
      <c r="U44" s="20" t="str">
        <f t="shared" si="8"/>
        <v xml:space="preserve">    - xform/》iauh(\d)/i》a${1}uh/</v>
      </c>
    </row>
    <row r="45" spans="1:21" ht="27.75" thickBot="1">
      <c r="A45" s="21">
        <v>42</v>
      </c>
      <c r="B45" s="63" t="s">
        <v>971</v>
      </c>
      <c r="C45" s="65" t="s">
        <v>207</v>
      </c>
      <c r="D45" s="21" t="s">
        <v>207</v>
      </c>
      <c r="E45" s="21" t="s">
        <v>207</v>
      </c>
      <c r="F45" s="21" t="s">
        <v>207</v>
      </c>
      <c r="G45" s="23" t="s">
        <v>207</v>
      </c>
      <c r="H45" s="18" t="s">
        <v>208</v>
      </c>
      <c r="I45" s="21" t="s">
        <v>1957</v>
      </c>
      <c r="J45" s="21"/>
      <c r="K45" s="26"/>
      <c r="L45" s="18">
        <f t="shared" si="14"/>
        <v>3</v>
      </c>
      <c r="M45" s="21" t="str">
        <f t="shared" si="12"/>
        <v>ior</v>
      </c>
      <c r="N45" s="21" t="str">
        <f t="shared" si="13"/>
        <v>ㄧㄜ</v>
      </c>
      <c r="P45" s="47" t="str">
        <f t="shared" si="6"/>
        <v>ior(\d)</v>
      </c>
      <c r="Q45" s="50" t="s">
        <v>171</v>
      </c>
      <c r="R45" s="50">
        <f t="shared" si="7"/>
        <v>2</v>
      </c>
      <c r="S45" s="47" t="str">
        <f t="shared" si="11"/>
        <v>i》o${1}r</v>
      </c>
      <c r="T45" s="19"/>
      <c r="U45" s="20" t="str">
        <f t="shared" si="8"/>
        <v xml:space="preserve">    - xform/》ior(\d)/i》o${1}r/</v>
      </c>
    </row>
    <row r="46" spans="1:21" ht="27.75" thickBot="1">
      <c r="A46" s="21">
        <v>43</v>
      </c>
      <c r="B46" s="63" t="s">
        <v>966</v>
      </c>
      <c r="C46" s="65" t="s">
        <v>141</v>
      </c>
      <c r="D46" s="21" t="s">
        <v>141</v>
      </c>
      <c r="E46" s="21" t="s">
        <v>141</v>
      </c>
      <c r="F46" s="21" t="s">
        <v>144</v>
      </c>
      <c r="G46" s="23" t="s">
        <v>141</v>
      </c>
      <c r="H46" s="18" t="s">
        <v>145</v>
      </c>
      <c r="I46" s="21" t="s">
        <v>143</v>
      </c>
      <c r="J46" s="21"/>
      <c r="K46" s="26"/>
      <c r="L46" s="18">
        <f t="shared" si="14"/>
        <v>5</v>
      </c>
      <c r="M46" s="21" t="str">
        <f t="shared" si="12"/>
        <v>ioonn</v>
      </c>
      <c r="N46" s="21" t="str">
        <f t="shared" si="13"/>
        <v>ㄧㆧ</v>
      </c>
      <c r="P46" s="47" t="str">
        <f t="shared" si="6"/>
        <v>ioonn(\d)</v>
      </c>
      <c r="Q46" s="50" t="s">
        <v>171</v>
      </c>
      <c r="R46" s="50">
        <f t="shared" si="7"/>
        <v>2</v>
      </c>
      <c r="S46" s="47" t="str">
        <f t="shared" si="11"/>
        <v>i》o${1}onn</v>
      </c>
      <c r="T46" s="19"/>
      <c r="U46" s="20" t="str">
        <f t="shared" si="8"/>
        <v xml:space="preserve">    - xform/》ioonn(\d)/i》o${1}onn/</v>
      </c>
    </row>
    <row r="47" spans="1:21" ht="27.75" thickBot="1">
      <c r="A47" s="21">
        <v>44</v>
      </c>
      <c r="B47" s="63" t="s">
        <v>2213</v>
      </c>
      <c r="C47" s="65" t="s">
        <v>465</v>
      </c>
      <c r="D47" s="21" t="s">
        <v>465</v>
      </c>
      <c r="E47" s="21" t="s">
        <v>465</v>
      </c>
      <c r="F47" s="21" t="s">
        <v>467</v>
      </c>
      <c r="G47" s="23" t="s">
        <v>466</v>
      </c>
      <c r="H47" s="18" t="s">
        <v>468</v>
      </c>
      <c r="I47" s="21" t="s">
        <v>464</v>
      </c>
      <c r="J47" s="61" t="s">
        <v>1091</v>
      </c>
      <c r="K47" s="26"/>
      <c r="L47" s="18">
        <f t="shared" si="14"/>
        <v>4</v>
      </c>
      <c r="M47" s="21" t="str">
        <f t="shared" si="12"/>
        <v>iorh</v>
      </c>
      <c r="N47" s="21" t="str">
        <f t="shared" si="13"/>
        <v>ㄧㄜㆷ</v>
      </c>
      <c r="P47" s="47" t="str">
        <f t="shared" si="6"/>
        <v>iorh(\d)</v>
      </c>
      <c r="Q47" s="50" t="s">
        <v>171</v>
      </c>
      <c r="R47" s="50">
        <f t="shared" si="7"/>
        <v>2</v>
      </c>
      <c r="S47" s="47" t="str">
        <f t="shared" si="11"/>
        <v>i》o${1}rh</v>
      </c>
      <c r="T47" s="19"/>
      <c r="U47" s="20" t="str">
        <f t="shared" si="8"/>
        <v xml:space="preserve">    - xform/》iorh(\d)/i》o${1}rh/</v>
      </c>
    </row>
    <row r="48" spans="1:21" ht="27.75" thickBot="1">
      <c r="A48" s="21">
        <v>45</v>
      </c>
      <c r="B48" s="63" t="s">
        <v>967</v>
      </c>
      <c r="C48" s="65" t="s">
        <v>148</v>
      </c>
      <c r="D48" s="21" t="s">
        <v>148</v>
      </c>
      <c r="E48" s="21" t="s">
        <v>148</v>
      </c>
      <c r="F48" s="21" t="s">
        <v>149</v>
      </c>
      <c r="G48" s="23" t="s">
        <v>148</v>
      </c>
      <c r="H48" s="18" t="s">
        <v>150</v>
      </c>
      <c r="I48" s="21" t="s">
        <v>1958</v>
      </c>
      <c r="J48" s="21"/>
      <c r="K48" s="26"/>
      <c r="L48" s="18">
        <f t="shared" si="14"/>
        <v>4</v>
      </c>
      <c r="M48" s="21" t="str">
        <f t="shared" si="12"/>
        <v>iong</v>
      </c>
      <c r="N48" s="21" t="str">
        <f t="shared" si="13"/>
        <v>ㄧㆲ</v>
      </c>
      <c r="P48" s="47" t="str">
        <f t="shared" si="6"/>
        <v>iong(\d)</v>
      </c>
      <c r="Q48" s="50" t="s">
        <v>171</v>
      </c>
      <c r="R48" s="50">
        <f t="shared" si="7"/>
        <v>2</v>
      </c>
      <c r="S48" s="47" t="str">
        <f t="shared" si="11"/>
        <v>i》o${1}ng</v>
      </c>
      <c r="T48" s="19"/>
      <c r="U48" s="20" t="str">
        <f t="shared" si="8"/>
        <v xml:space="preserve">    - xform/》iong(\d)/i》o${1}ng/</v>
      </c>
    </row>
    <row r="49" spans="1:21" ht="27.75" thickBot="1">
      <c r="A49" s="21">
        <v>46</v>
      </c>
      <c r="B49" s="63" t="s">
        <v>2214</v>
      </c>
      <c r="C49" s="65" t="s">
        <v>357</v>
      </c>
      <c r="D49" s="21" t="s">
        <v>357</v>
      </c>
      <c r="E49" s="21" t="s">
        <v>360</v>
      </c>
      <c r="F49" s="21" t="s">
        <v>357</v>
      </c>
      <c r="G49" s="23" t="s">
        <v>357</v>
      </c>
      <c r="H49" s="18" t="s">
        <v>361</v>
      </c>
      <c r="I49" s="21" t="s">
        <v>359</v>
      </c>
      <c r="J49" s="21"/>
      <c r="K49" s="26"/>
      <c r="L49" s="18">
        <f t="shared" si="14"/>
        <v>4</v>
      </c>
      <c r="M49" s="21" t="str">
        <f t="shared" si="12"/>
        <v>iook</v>
      </c>
      <c r="N49" s="21" t="str">
        <f t="shared" si="13"/>
        <v>ㄧㆦㆻ</v>
      </c>
      <c r="P49" s="47" t="str">
        <f t="shared" si="6"/>
        <v>iook(\d)</v>
      </c>
      <c r="Q49" s="50" t="s">
        <v>171</v>
      </c>
      <c r="R49" s="50">
        <f t="shared" si="7"/>
        <v>2</v>
      </c>
      <c r="S49" s="47" t="str">
        <f t="shared" si="11"/>
        <v>i》o${1}ok</v>
      </c>
      <c r="T49" s="19"/>
      <c r="U49" s="20" t="str">
        <f t="shared" si="8"/>
        <v xml:space="preserve">    - xform/》iook(\d)/i》o${1}ok/</v>
      </c>
    </row>
    <row r="50" spans="1:21" ht="27.75" thickBot="1">
      <c r="A50" s="21">
        <v>47</v>
      </c>
      <c r="B50" s="63" t="s">
        <v>1574</v>
      </c>
      <c r="C50" s="65" t="s">
        <v>383</v>
      </c>
      <c r="D50" s="21" t="s">
        <v>383</v>
      </c>
      <c r="E50" s="21" t="s">
        <v>386</v>
      </c>
      <c r="F50" s="21" t="s">
        <v>385</v>
      </c>
      <c r="G50" s="23" t="s">
        <v>384</v>
      </c>
      <c r="H50" s="18" t="s">
        <v>387</v>
      </c>
      <c r="I50" s="21" t="s">
        <v>382</v>
      </c>
      <c r="J50" s="61" t="s">
        <v>1091</v>
      </c>
      <c r="K50" s="26"/>
      <c r="L50" s="18">
        <f t="shared" si="14"/>
        <v>2</v>
      </c>
      <c r="M50" s="21" t="str">
        <f t="shared" si="12"/>
        <v>iu</v>
      </c>
      <c r="N50" s="21" t="str">
        <f t="shared" si="13"/>
        <v>ㄧㄨ</v>
      </c>
      <c r="P50" s="47" t="str">
        <f t="shared" si="6"/>
        <v>iu(\d)</v>
      </c>
      <c r="Q50" s="50" t="s">
        <v>324</v>
      </c>
      <c r="R50" s="50">
        <f t="shared" si="7"/>
        <v>1</v>
      </c>
      <c r="S50" s="47" t="str">
        <f t="shared" si="11"/>
        <v>》i${1}u</v>
      </c>
      <c r="T50" s="19"/>
      <c r="U50" s="20" t="str">
        <f t="shared" si="8"/>
        <v xml:space="preserve">    - xform/》iu(\d)/》i${1}u/</v>
      </c>
    </row>
    <row r="51" spans="1:21" ht="27.75" thickBot="1">
      <c r="A51" s="21">
        <v>48</v>
      </c>
      <c r="B51" s="63" t="s">
        <v>2215</v>
      </c>
      <c r="C51" s="65" t="s">
        <v>363</v>
      </c>
      <c r="D51" s="21" t="s">
        <v>363</v>
      </c>
      <c r="E51" s="21" t="s">
        <v>364</v>
      </c>
      <c r="F51" s="21" t="s">
        <v>363</v>
      </c>
      <c r="G51" s="23" t="s">
        <v>363</v>
      </c>
      <c r="H51" s="18" t="s">
        <v>365</v>
      </c>
      <c r="I51" s="21" t="s">
        <v>1959</v>
      </c>
      <c r="J51" s="21"/>
      <c r="K51" s="26"/>
      <c r="L51" s="18">
        <f t="shared" si="14"/>
        <v>4</v>
      </c>
      <c r="M51" s="21" t="str">
        <f t="shared" ref="M51:M82" si="15">E55</f>
        <v>iunn</v>
      </c>
      <c r="N51" s="21" t="str">
        <f t="shared" ref="N51:N82" si="16">I55</f>
        <v>ㄧㆫ</v>
      </c>
      <c r="P51" s="47" t="str">
        <f t="shared" si="6"/>
        <v>iunn(\d)</v>
      </c>
      <c r="Q51" s="50" t="s">
        <v>324</v>
      </c>
      <c r="R51" s="50">
        <f t="shared" si="7"/>
        <v>1</v>
      </c>
      <c r="S51" s="47" t="str">
        <f t="shared" si="11"/>
        <v>》i${1}unn</v>
      </c>
      <c r="T51" s="19"/>
      <c r="U51" s="20" t="str">
        <f t="shared" si="8"/>
        <v xml:space="preserve">    - xform/》iunn(\d)/》i${1}unn/</v>
      </c>
    </row>
    <row r="52" spans="1:21" ht="27.75" thickBot="1">
      <c r="A52" s="21">
        <v>49</v>
      </c>
      <c r="B52" s="63" t="s">
        <v>968</v>
      </c>
      <c r="C52" s="65" t="s">
        <v>162</v>
      </c>
      <c r="D52" s="21" t="s">
        <v>162</v>
      </c>
      <c r="E52" s="21" t="s">
        <v>162</v>
      </c>
      <c r="F52" s="21" t="s">
        <v>162</v>
      </c>
      <c r="G52" s="23" t="s">
        <v>162</v>
      </c>
      <c r="H52" s="18" t="s">
        <v>163</v>
      </c>
      <c r="I52" s="21" t="s">
        <v>161</v>
      </c>
      <c r="J52" s="21"/>
      <c r="K52" s="26"/>
      <c r="L52" s="18">
        <f t="shared" si="14"/>
        <v>5</v>
      </c>
      <c r="M52" s="21" t="str">
        <f t="shared" si="15"/>
        <v>iunnh</v>
      </c>
      <c r="N52" s="21" t="str">
        <f t="shared" si="16"/>
        <v>ㄧㆫㆷ</v>
      </c>
      <c r="P52" s="47" t="str">
        <f t="shared" si="6"/>
        <v>iunnh(\d)</v>
      </c>
      <c r="Q52" s="50" t="s">
        <v>324</v>
      </c>
      <c r="R52" s="50">
        <f t="shared" si="7"/>
        <v>1</v>
      </c>
      <c r="S52" s="47" t="str">
        <f t="shared" si="11"/>
        <v>》i${1}unnh</v>
      </c>
      <c r="T52" s="19"/>
      <c r="U52" s="20" t="str">
        <f t="shared" si="8"/>
        <v xml:space="preserve">    - xform/》iunnh(\d)/》i${1}unnh/</v>
      </c>
    </row>
    <row r="53" spans="1:21" ht="27.75" thickBot="1">
      <c r="A53" s="21">
        <v>50</v>
      </c>
      <c r="B53" s="63" t="s">
        <v>969</v>
      </c>
      <c r="C53" s="65" t="s">
        <v>167</v>
      </c>
      <c r="D53" s="21" t="s">
        <v>167</v>
      </c>
      <c r="E53" s="21" t="s">
        <v>700</v>
      </c>
      <c r="F53" s="21" t="s">
        <v>167</v>
      </c>
      <c r="G53" s="23" t="s">
        <v>167</v>
      </c>
      <c r="H53" s="18" t="s">
        <v>168</v>
      </c>
      <c r="I53" s="21" t="s">
        <v>166</v>
      </c>
      <c r="J53" s="21"/>
      <c r="K53" s="26"/>
      <c r="L53" s="18">
        <f t="shared" si="14"/>
        <v>2</v>
      </c>
      <c r="M53" s="21" t="str">
        <f t="shared" si="15"/>
        <v>or</v>
      </c>
      <c r="N53" s="21" t="str">
        <f t="shared" si="16"/>
        <v>ㄜ</v>
      </c>
      <c r="P53" s="47" t="str">
        <f t="shared" si="6"/>
        <v>or(\d)</v>
      </c>
      <c r="Q53" s="50" t="s">
        <v>171</v>
      </c>
      <c r="R53" s="50">
        <f t="shared" si="7"/>
        <v>1</v>
      </c>
      <c r="S53" s="47" t="str">
        <f t="shared" si="11"/>
        <v>》o${1}r</v>
      </c>
      <c r="T53" s="19"/>
      <c r="U53" s="20" t="str">
        <f t="shared" si="8"/>
        <v xml:space="preserve">    - xform/》or(\d)/》o${1}r/</v>
      </c>
    </row>
    <row r="54" spans="1:21" ht="27.75" thickBot="1">
      <c r="A54" s="21">
        <v>51</v>
      </c>
      <c r="B54" s="63" t="s">
        <v>2216</v>
      </c>
      <c r="C54" s="65" t="s">
        <v>332</v>
      </c>
      <c r="D54" s="21" t="s">
        <v>332</v>
      </c>
      <c r="E54" s="21" t="s">
        <v>332</v>
      </c>
      <c r="F54" s="21" t="s">
        <v>332</v>
      </c>
      <c r="G54" s="23" t="s">
        <v>332</v>
      </c>
      <c r="H54" s="18" t="s">
        <v>335</v>
      </c>
      <c r="I54" s="21" t="s">
        <v>334</v>
      </c>
      <c r="J54" s="21"/>
      <c r="K54" s="26"/>
      <c r="L54" s="18">
        <f t="shared" si="14"/>
        <v>2</v>
      </c>
      <c r="M54" s="21" t="str">
        <f t="shared" si="15"/>
        <v>oo</v>
      </c>
      <c r="N54" s="21" t="str">
        <f t="shared" si="16"/>
        <v>ㆦ</v>
      </c>
      <c r="P54" s="47" t="str">
        <f t="shared" si="6"/>
        <v>oo(\d)</v>
      </c>
      <c r="Q54" s="50" t="s">
        <v>171</v>
      </c>
      <c r="R54" s="50">
        <f t="shared" si="7"/>
        <v>1</v>
      </c>
      <c r="S54" s="47" t="str">
        <f t="shared" si="11"/>
        <v>》o${1}o</v>
      </c>
      <c r="T54" s="19"/>
      <c r="U54" s="20" t="str">
        <f t="shared" si="8"/>
        <v xml:space="preserve">    - xform/》oo(\d)/》o${1}o/</v>
      </c>
    </row>
    <row r="55" spans="1:21" ht="27.75" thickBot="1">
      <c r="A55" s="21">
        <v>52</v>
      </c>
      <c r="B55" s="63" t="s">
        <v>2217</v>
      </c>
      <c r="C55" s="65" t="s">
        <v>504</v>
      </c>
      <c r="D55" s="21" t="s">
        <v>504</v>
      </c>
      <c r="E55" s="21" t="s">
        <v>504</v>
      </c>
      <c r="F55" s="21" t="s">
        <v>506</v>
      </c>
      <c r="G55" s="23" t="s">
        <v>505</v>
      </c>
      <c r="H55" s="18" t="s">
        <v>507</v>
      </c>
      <c r="I55" s="21" t="s">
        <v>503</v>
      </c>
      <c r="J55" s="61" t="s">
        <v>1091</v>
      </c>
      <c r="K55" s="26"/>
      <c r="L55" s="18">
        <f t="shared" si="14"/>
        <v>4</v>
      </c>
      <c r="M55" s="21" t="str">
        <f t="shared" si="15"/>
        <v>oonn</v>
      </c>
      <c r="N55" s="21" t="str">
        <f t="shared" si="16"/>
        <v>ㆧ</v>
      </c>
      <c r="P55" s="47" t="str">
        <f t="shared" si="6"/>
        <v>oonn(\d)</v>
      </c>
      <c r="Q55" s="50" t="s">
        <v>171</v>
      </c>
      <c r="R55" s="50">
        <f t="shared" si="7"/>
        <v>1</v>
      </c>
      <c r="S55" s="47" t="str">
        <f t="shared" si="11"/>
        <v>》o${1}onn</v>
      </c>
      <c r="T55" s="19"/>
      <c r="U55" s="20" t="str">
        <f t="shared" si="8"/>
        <v xml:space="preserve">    - xform/》oonn(\d)/》o${1}onn/</v>
      </c>
    </row>
    <row r="56" spans="1:21" ht="30.75" thickBot="1">
      <c r="A56" s="21">
        <v>53</v>
      </c>
      <c r="B56" s="63" t="s">
        <v>2218</v>
      </c>
      <c r="C56" s="65" t="s">
        <v>1637</v>
      </c>
      <c r="D56" s="27" t="s">
        <v>1637</v>
      </c>
      <c r="E56" s="27" t="s">
        <v>1637</v>
      </c>
      <c r="F56" s="27" t="s">
        <v>1936</v>
      </c>
      <c r="G56" s="27" t="s">
        <v>1972</v>
      </c>
      <c r="H56" s="70" t="s">
        <v>1947</v>
      </c>
      <c r="I56" s="67" t="s">
        <v>1960</v>
      </c>
      <c r="J56" s="61" t="s">
        <v>1091</v>
      </c>
      <c r="K56" s="26"/>
      <c r="L56" s="18">
        <f t="shared" si="14"/>
        <v>3</v>
      </c>
      <c r="M56" s="21" t="str">
        <f t="shared" si="15"/>
        <v>orh</v>
      </c>
      <c r="N56" s="21" t="str">
        <f t="shared" si="16"/>
        <v>ㄜㆷ</v>
      </c>
      <c r="P56" s="47" t="str">
        <f t="shared" si="6"/>
        <v>orh(\d)</v>
      </c>
      <c r="Q56" s="50" t="s">
        <v>171</v>
      </c>
      <c r="R56" s="50">
        <f t="shared" si="7"/>
        <v>1</v>
      </c>
      <c r="S56" s="47" t="str">
        <f t="shared" si="11"/>
        <v>》o${1}rh</v>
      </c>
      <c r="T56" s="19"/>
      <c r="U56" s="20" t="str">
        <f t="shared" si="8"/>
        <v xml:space="preserve">    - xform/》orh(\d)/》o${1}rh/</v>
      </c>
    </row>
    <row r="57" spans="1:21" ht="27.75" thickBot="1">
      <c r="A57" s="21">
        <v>54</v>
      </c>
      <c r="B57" s="63" t="s">
        <v>2219</v>
      </c>
      <c r="C57" s="65" t="s">
        <v>171</v>
      </c>
      <c r="D57" s="21" t="s">
        <v>171</v>
      </c>
      <c r="E57" s="21" t="s">
        <v>174</v>
      </c>
      <c r="F57" s="21" t="s">
        <v>171</v>
      </c>
      <c r="G57" s="23" t="s">
        <v>171</v>
      </c>
      <c r="H57" s="18" t="s">
        <v>175</v>
      </c>
      <c r="I57" s="21" t="s">
        <v>173</v>
      </c>
      <c r="J57" s="21"/>
      <c r="K57" s="26"/>
      <c r="L57" s="18">
        <f t="shared" si="14"/>
        <v>3</v>
      </c>
      <c r="M57" s="21" t="str">
        <f t="shared" si="15"/>
        <v>ooh</v>
      </c>
      <c r="N57" s="21" t="str">
        <f t="shared" si="16"/>
        <v>ㆦㆷ</v>
      </c>
      <c r="P57" s="47" t="str">
        <f t="shared" si="6"/>
        <v>ooh(\d)</v>
      </c>
      <c r="Q57" s="50" t="s">
        <v>171</v>
      </c>
      <c r="R57" s="50">
        <f t="shared" si="7"/>
        <v>1</v>
      </c>
      <c r="S57" s="47" t="str">
        <f t="shared" si="11"/>
        <v>》o${1}oh</v>
      </c>
      <c r="T57" s="19"/>
      <c r="U57" s="20" t="str">
        <f t="shared" si="8"/>
        <v xml:space="preserve">    - xform/》ooh(\d)/》o${1}oh/</v>
      </c>
    </row>
    <row r="58" spans="1:21" ht="27.75" thickBot="1">
      <c r="A58" s="21">
        <v>55</v>
      </c>
      <c r="B58" s="63" t="s">
        <v>682</v>
      </c>
      <c r="C58" s="65" t="s">
        <v>136</v>
      </c>
      <c r="D58" s="21" t="s">
        <v>136</v>
      </c>
      <c r="E58" s="21" t="s">
        <v>136</v>
      </c>
      <c r="F58" s="21" t="s">
        <v>136</v>
      </c>
      <c r="G58" s="23" t="s">
        <v>137</v>
      </c>
      <c r="H58" s="18" t="s">
        <v>138</v>
      </c>
      <c r="I58" s="21" t="s">
        <v>1108</v>
      </c>
      <c r="J58" s="21"/>
      <c r="K58" s="26"/>
      <c r="L58" s="18">
        <f t="shared" si="14"/>
        <v>4</v>
      </c>
      <c r="M58" s="21" t="str">
        <f t="shared" si="15"/>
        <v>onnh</v>
      </c>
      <c r="N58" s="21" t="str">
        <f t="shared" si="16"/>
        <v>ㆧㆷ</v>
      </c>
      <c r="P58" s="47" t="str">
        <f t="shared" si="6"/>
        <v>onnh(\d)</v>
      </c>
      <c r="Q58" s="50" t="s">
        <v>171</v>
      </c>
      <c r="R58" s="50">
        <f t="shared" si="7"/>
        <v>1</v>
      </c>
      <c r="S58" s="47" t="str">
        <f t="shared" si="11"/>
        <v>》o${1}nnh</v>
      </c>
      <c r="T58" s="19"/>
      <c r="U58" s="20" t="str">
        <f t="shared" si="8"/>
        <v xml:space="preserve">    - xform/》onnh(\d)/》o${1}nnh/</v>
      </c>
    </row>
    <row r="59" spans="1:21" ht="27.75" thickBot="1">
      <c r="A59" s="21">
        <v>56</v>
      </c>
      <c r="B59" s="63" t="s">
        <v>667</v>
      </c>
      <c r="C59" s="65" t="s">
        <v>425</v>
      </c>
      <c r="D59" s="21" t="s">
        <v>425</v>
      </c>
      <c r="E59" s="21" t="s">
        <v>424</v>
      </c>
      <c r="F59" s="21" t="s">
        <v>426</v>
      </c>
      <c r="G59" s="23" t="s">
        <v>1973</v>
      </c>
      <c r="H59" s="18" t="s">
        <v>427</v>
      </c>
      <c r="I59" s="21" t="s">
        <v>423</v>
      </c>
      <c r="J59" s="21"/>
      <c r="K59" s="26"/>
      <c r="L59" s="18">
        <f t="shared" si="14"/>
        <v>3</v>
      </c>
      <c r="M59" s="21" t="str">
        <f t="shared" si="15"/>
        <v>oom</v>
      </c>
      <c r="N59" s="21" t="str">
        <f t="shared" si="16"/>
        <v>ㆱ</v>
      </c>
      <c r="P59" s="47" t="str">
        <f t="shared" si="6"/>
        <v>oom(\d)</v>
      </c>
      <c r="Q59" s="50" t="s">
        <v>171</v>
      </c>
      <c r="R59" s="50">
        <f t="shared" si="7"/>
        <v>1</v>
      </c>
      <c r="S59" s="47" t="str">
        <f t="shared" si="11"/>
        <v>》o${1}om</v>
      </c>
      <c r="T59" s="19"/>
      <c r="U59" s="20" t="str">
        <f t="shared" si="8"/>
        <v xml:space="preserve">    - xform/》oom(\d)/》o${1}om/</v>
      </c>
    </row>
    <row r="60" spans="1:21" ht="27.75" thickBot="1">
      <c r="A60" s="21">
        <v>57</v>
      </c>
      <c r="B60" s="63" t="s">
        <v>2220</v>
      </c>
      <c r="C60" s="65" t="s">
        <v>178</v>
      </c>
      <c r="D60" s="21" t="s">
        <v>178</v>
      </c>
      <c r="E60" s="21" t="s">
        <v>179</v>
      </c>
      <c r="F60" s="21" t="s">
        <v>178</v>
      </c>
      <c r="G60" s="23" t="s">
        <v>178</v>
      </c>
      <c r="H60" s="18" t="s">
        <v>180</v>
      </c>
      <c r="I60" s="21" t="s">
        <v>1961</v>
      </c>
      <c r="J60" s="21"/>
      <c r="K60" s="26"/>
      <c r="L60" s="18">
        <f t="shared" si="14"/>
        <v>3</v>
      </c>
      <c r="M60" s="21" t="str">
        <f t="shared" si="15"/>
        <v>ong</v>
      </c>
      <c r="N60" s="21" t="str">
        <f t="shared" si="16"/>
        <v>ㆲ</v>
      </c>
      <c r="P60" s="47" t="str">
        <f t="shared" si="6"/>
        <v>ong(\d)</v>
      </c>
      <c r="Q60" s="50" t="s">
        <v>171</v>
      </c>
      <c r="R60" s="50">
        <f t="shared" si="7"/>
        <v>1</v>
      </c>
      <c r="S60" s="47" t="str">
        <f t="shared" si="11"/>
        <v>》o${1}ng</v>
      </c>
      <c r="T60" s="19"/>
      <c r="U60" s="20" t="str">
        <f t="shared" si="8"/>
        <v xml:space="preserve">    - xform/》ong(\d)/》o${1}ng/</v>
      </c>
    </row>
    <row r="61" spans="1:21" ht="30.75" thickBot="1">
      <c r="A61" s="21">
        <v>58</v>
      </c>
      <c r="B61" s="63" t="s">
        <v>668</v>
      </c>
      <c r="C61" s="65" t="s">
        <v>669</v>
      </c>
      <c r="D61" s="27" t="s">
        <v>669</v>
      </c>
      <c r="E61" s="27" t="s">
        <v>669</v>
      </c>
      <c r="F61" s="27" t="s">
        <v>669</v>
      </c>
      <c r="G61" s="27" t="s">
        <v>1939</v>
      </c>
      <c r="H61" s="70" t="s">
        <v>1946</v>
      </c>
      <c r="I61" s="68" t="s">
        <v>1102</v>
      </c>
      <c r="J61" s="21"/>
      <c r="K61" s="26"/>
      <c r="L61" s="18">
        <f t="shared" si="14"/>
        <v>3</v>
      </c>
      <c r="M61" s="21" t="str">
        <f t="shared" si="15"/>
        <v>oop</v>
      </c>
      <c r="N61" s="21" t="str">
        <f t="shared" si="16"/>
        <v>ㆦㆴ</v>
      </c>
      <c r="P61" s="47" t="str">
        <f t="shared" si="6"/>
        <v>oop(\d)</v>
      </c>
      <c r="Q61" s="50" t="s">
        <v>171</v>
      </c>
      <c r="R61" s="50">
        <f t="shared" si="7"/>
        <v>1</v>
      </c>
      <c r="S61" s="47" t="str">
        <f t="shared" si="11"/>
        <v>》o${1}op</v>
      </c>
      <c r="T61" s="19"/>
      <c r="U61" s="20" t="str">
        <f t="shared" si="8"/>
        <v xml:space="preserve">    - xform/》oop(\d)/》o${1}op/</v>
      </c>
    </row>
    <row r="62" spans="1:21" ht="27.75" thickBot="1">
      <c r="A62" s="21">
        <v>59</v>
      </c>
      <c r="B62" s="63" t="s">
        <v>659</v>
      </c>
      <c r="C62" s="65" t="s">
        <v>498</v>
      </c>
      <c r="D62" s="21" t="s">
        <v>497</v>
      </c>
      <c r="E62" s="21" t="s">
        <v>498</v>
      </c>
      <c r="F62" s="21" t="s">
        <v>1936</v>
      </c>
      <c r="G62" s="23" t="s">
        <v>707</v>
      </c>
      <c r="H62" s="18" t="s">
        <v>500</v>
      </c>
      <c r="I62" s="21" t="s">
        <v>1962</v>
      </c>
      <c r="J62" s="61" t="s">
        <v>1091</v>
      </c>
      <c r="K62" s="26"/>
      <c r="L62" s="18">
        <f t="shared" si="14"/>
        <v>2</v>
      </c>
      <c r="M62" s="21" t="str">
        <f t="shared" si="15"/>
        <v>ok</v>
      </c>
      <c r="N62" s="21" t="str">
        <f t="shared" si="16"/>
        <v>ㆦㆻ</v>
      </c>
      <c r="P62" s="47" t="str">
        <f t="shared" si="6"/>
        <v>ok(\d)</v>
      </c>
      <c r="Q62" s="50" t="s">
        <v>171</v>
      </c>
      <c r="R62" s="50">
        <f t="shared" si="7"/>
        <v>1</v>
      </c>
      <c r="S62" s="47" t="str">
        <f t="shared" si="11"/>
        <v>》o${1}k</v>
      </c>
      <c r="T62" s="19"/>
      <c r="U62" s="20" t="str">
        <f t="shared" si="8"/>
        <v xml:space="preserve">    - xform/》ok(\d)/》o${1}k/</v>
      </c>
    </row>
    <row r="63" spans="1:21" ht="27.75" thickBot="1">
      <c r="A63" s="21">
        <v>60</v>
      </c>
      <c r="B63" s="63" t="s">
        <v>474</v>
      </c>
      <c r="C63" s="65" t="s">
        <v>477</v>
      </c>
      <c r="D63" s="21" t="s">
        <v>477</v>
      </c>
      <c r="E63" s="21" t="s">
        <v>478</v>
      </c>
      <c r="F63" s="21" t="s">
        <v>477</v>
      </c>
      <c r="G63" s="23" t="s">
        <v>477</v>
      </c>
      <c r="H63" s="18" t="s">
        <v>479</v>
      </c>
      <c r="I63" s="21" t="s">
        <v>476</v>
      </c>
      <c r="J63" s="21"/>
      <c r="K63" s="26"/>
      <c r="L63" s="18">
        <f t="shared" si="14"/>
        <v>1</v>
      </c>
      <c r="M63" s="21" t="str">
        <f t="shared" si="15"/>
        <v>u</v>
      </c>
      <c r="N63" s="21" t="str">
        <f t="shared" si="16"/>
        <v>ㄨ</v>
      </c>
      <c r="P63" s="47" t="str">
        <f t="shared" si="6"/>
        <v>u(\d)</v>
      </c>
      <c r="Q63" s="50" t="s">
        <v>308</v>
      </c>
      <c r="R63" s="50">
        <f t="shared" si="7"/>
        <v>1</v>
      </c>
      <c r="S63" s="47" t="str">
        <f t="shared" si="11"/>
        <v>》u${1}</v>
      </c>
      <c r="T63" s="19"/>
      <c r="U63" s="20" t="str">
        <f t="shared" si="8"/>
        <v xml:space="preserve">    - xform/》u(\d)/》u${1}/</v>
      </c>
    </row>
    <row r="64" spans="1:21" ht="27.75" thickBot="1">
      <c r="A64" s="21">
        <v>61</v>
      </c>
      <c r="B64" s="63" t="s">
        <v>81</v>
      </c>
      <c r="C64" s="65" t="s">
        <v>84</v>
      </c>
      <c r="D64" s="21" t="s">
        <v>84</v>
      </c>
      <c r="E64" s="21" t="s">
        <v>84</v>
      </c>
      <c r="F64" s="21" t="s">
        <v>84</v>
      </c>
      <c r="G64" s="23" t="s">
        <v>84</v>
      </c>
      <c r="H64" s="18" t="s">
        <v>85</v>
      </c>
      <c r="I64" s="21" t="s">
        <v>83</v>
      </c>
      <c r="J64" s="21"/>
      <c r="K64" s="26"/>
      <c r="L64" s="18">
        <f t="shared" si="14"/>
        <v>2</v>
      </c>
      <c r="M64" s="21" t="str">
        <f t="shared" si="15"/>
        <v>uh</v>
      </c>
      <c r="N64" s="21" t="str">
        <f t="shared" si="16"/>
        <v>ㄨㆷ</v>
      </c>
      <c r="P64" s="47" t="str">
        <f t="shared" si="6"/>
        <v>uh(\d)</v>
      </c>
      <c r="Q64" s="50" t="s">
        <v>308</v>
      </c>
      <c r="R64" s="50">
        <f t="shared" si="7"/>
        <v>1</v>
      </c>
      <c r="S64" s="47" t="str">
        <f t="shared" si="11"/>
        <v>》u${1}h</v>
      </c>
      <c r="T64" s="19"/>
      <c r="U64" s="20" t="str">
        <f t="shared" si="8"/>
        <v xml:space="preserve">    - xform/》uh(\d)/》u${1}h/</v>
      </c>
    </row>
    <row r="65" spans="1:21" ht="27.75" thickBot="1">
      <c r="A65" s="21">
        <v>62</v>
      </c>
      <c r="B65" s="63" t="s">
        <v>481</v>
      </c>
      <c r="C65" s="65" t="s">
        <v>483</v>
      </c>
      <c r="D65" s="21" t="s">
        <v>483</v>
      </c>
      <c r="E65" s="21" t="s">
        <v>484</v>
      </c>
      <c r="F65" s="21" t="s">
        <v>483</v>
      </c>
      <c r="G65" s="23" t="s">
        <v>483</v>
      </c>
      <c r="H65" s="18" t="s">
        <v>485</v>
      </c>
      <c r="I65" s="21" t="s">
        <v>482</v>
      </c>
      <c r="J65" s="21"/>
      <c r="K65" s="26"/>
      <c r="L65" s="18">
        <f t="shared" si="14"/>
        <v>2</v>
      </c>
      <c r="M65" s="21" t="str">
        <f t="shared" si="15"/>
        <v>un</v>
      </c>
      <c r="N65" s="21" t="str">
        <f t="shared" si="16"/>
        <v>ㄨㄣ</v>
      </c>
      <c r="P65" s="47" t="str">
        <f t="shared" si="6"/>
        <v>un(\d)</v>
      </c>
      <c r="Q65" s="50" t="s">
        <v>308</v>
      </c>
      <c r="R65" s="50">
        <f t="shared" si="7"/>
        <v>1</v>
      </c>
      <c r="S65" s="47" t="str">
        <f t="shared" si="11"/>
        <v>》u${1}n</v>
      </c>
      <c r="T65" s="19"/>
      <c r="U65" s="20" t="str">
        <f t="shared" si="8"/>
        <v xml:space="preserve">    - xform/》un(\d)/》u${1}n/</v>
      </c>
    </row>
    <row r="66" spans="1:21" ht="27.75" thickBot="1">
      <c r="A66" s="21">
        <v>63</v>
      </c>
      <c r="B66" s="63" t="s">
        <v>88</v>
      </c>
      <c r="C66" s="65" t="s">
        <v>90</v>
      </c>
      <c r="D66" s="21" t="s">
        <v>90</v>
      </c>
      <c r="E66" s="21" t="s">
        <v>90</v>
      </c>
      <c r="F66" s="21" t="s">
        <v>90</v>
      </c>
      <c r="G66" s="23" t="s">
        <v>90</v>
      </c>
      <c r="H66" s="18" t="s">
        <v>91</v>
      </c>
      <c r="I66" s="21" t="s">
        <v>89</v>
      </c>
      <c r="J66" s="21"/>
      <c r="K66" s="26"/>
      <c r="L66" s="18">
        <f t="shared" si="14"/>
        <v>2</v>
      </c>
      <c r="M66" s="21" t="str">
        <f t="shared" si="15"/>
        <v>ut</v>
      </c>
      <c r="N66" s="21" t="str">
        <f t="shared" si="16"/>
        <v>ㄨㆵ</v>
      </c>
      <c r="P66" s="47" t="str">
        <f t="shared" si="6"/>
        <v>ut(\d)</v>
      </c>
      <c r="Q66" s="50" t="s">
        <v>308</v>
      </c>
      <c r="R66" s="50">
        <f t="shared" si="7"/>
        <v>1</v>
      </c>
      <c r="S66" s="47" t="str">
        <f t="shared" si="11"/>
        <v>》u${1}t</v>
      </c>
      <c r="T66" s="19"/>
      <c r="U66" s="20" t="str">
        <f t="shared" si="8"/>
        <v xml:space="preserve">    - xform/》ut(\d)/》u${1}t/</v>
      </c>
    </row>
    <row r="67" spans="1:21" ht="27.75" thickBot="1">
      <c r="A67" s="21">
        <v>64</v>
      </c>
      <c r="B67" s="63" t="s">
        <v>308</v>
      </c>
      <c r="C67" s="65" t="s">
        <v>308</v>
      </c>
      <c r="D67" s="21" t="s">
        <v>308</v>
      </c>
      <c r="E67" s="21" t="s">
        <v>308</v>
      </c>
      <c r="F67" s="21" t="s">
        <v>308</v>
      </c>
      <c r="G67" s="23" t="s">
        <v>308</v>
      </c>
      <c r="H67" s="18" t="s">
        <v>311</v>
      </c>
      <c r="I67" s="21" t="s">
        <v>310</v>
      </c>
      <c r="J67" s="21"/>
      <c r="K67" s="26"/>
      <c r="L67" s="18">
        <f t="shared" si="14"/>
        <v>2</v>
      </c>
      <c r="M67" s="21" t="str">
        <f t="shared" si="15"/>
        <v>ua</v>
      </c>
      <c r="N67" s="21" t="str">
        <f t="shared" si="16"/>
        <v>ㄨㄚ</v>
      </c>
      <c r="P67" s="47" t="str">
        <f t="shared" si="6"/>
        <v>ua(\d)</v>
      </c>
      <c r="Q67" s="50" t="s">
        <v>316</v>
      </c>
      <c r="R67" s="50">
        <f t="shared" si="7"/>
        <v>2</v>
      </c>
      <c r="S67" s="47" t="str">
        <f t="shared" si="11"/>
        <v>u》a${1}</v>
      </c>
      <c r="T67" s="19"/>
      <c r="U67" s="20" t="str">
        <f t="shared" si="8"/>
        <v xml:space="preserve">    - xform/》ua(\d)/u》a${1}/</v>
      </c>
    </row>
    <row r="68" spans="1:21" ht="27.75" thickBot="1">
      <c r="A68" s="21">
        <v>65</v>
      </c>
      <c r="B68" s="63" t="s">
        <v>684</v>
      </c>
      <c r="C68" s="65" t="s">
        <v>313</v>
      </c>
      <c r="D68" s="21" t="s">
        <v>313</v>
      </c>
      <c r="E68" s="21" t="s">
        <v>313</v>
      </c>
      <c r="F68" s="21" t="s">
        <v>313</v>
      </c>
      <c r="G68" s="23" t="s">
        <v>313</v>
      </c>
      <c r="H68" s="18" t="s">
        <v>314</v>
      </c>
      <c r="I68" s="21" t="s">
        <v>1963</v>
      </c>
      <c r="J68" s="21"/>
      <c r="K68" s="26"/>
      <c r="L68" s="18">
        <f t="shared" ref="L68:L85" si="17" xml:space="preserve"> LEN(M68)</f>
        <v>4</v>
      </c>
      <c r="M68" s="21" t="str">
        <f t="shared" si="15"/>
        <v>uann</v>
      </c>
      <c r="N68" s="21" t="str">
        <f t="shared" si="16"/>
        <v>ㄨㆩ</v>
      </c>
      <c r="P68" s="47" t="str">
        <f t="shared" si="6"/>
        <v>uann(\d)</v>
      </c>
      <c r="Q68" s="50" t="s">
        <v>316</v>
      </c>
      <c r="R68" s="50">
        <f t="shared" si="7"/>
        <v>2</v>
      </c>
      <c r="S68" s="47" t="str">
        <f t="shared" si="11"/>
        <v>u》a${1}nn</v>
      </c>
      <c r="T68" s="19"/>
      <c r="U68" s="20" t="str">
        <f t="shared" si="8"/>
        <v xml:space="preserve">    - xform/》uann(\d)/u》a${1}nn/</v>
      </c>
    </row>
    <row r="69" spans="1:21" ht="27.75" thickBot="1">
      <c r="A69" s="21">
        <v>66</v>
      </c>
      <c r="B69" s="63" t="s">
        <v>14</v>
      </c>
      <c r="C69" s="65" t="s">
        <v>14</v>
      </c>
      <c r="D69" s="21" t="s">
        <v>14</v>
      </c>
      <c r="E69" s="21" t="s">
        <v>14</v>
      </c>
      <c r="F69" s="21" t="s">
        <v>14</v>
      </c>
      <c r="G69" s="23" t="s">
        <v>14</v>
      </c>
      <c r="H69" s="18" t="s">
        <v>18</v>
      </c>
      <c r="I69" s="21" t="s">
        <v>16</v>
      </c>
      <c r="J69" s="21"/>
      <c r="K69" s="26"/>
      <c r="L69" s="18">
        <f t="shared" si="17"/>
        <v>3</v>
      </c>
      <c r="M69" s="21" t="str">
        <f t="shared" si="15"/>
        <v>uah</v>
      </c>
      <c r="N69" s="21" t="str">
        <f t="shared" si="16"/>
        <v>ㄨㄚㆷ</v>
      </c>
      <c r="P69" s="47" t="str">
        <f t="shared" ref="P69:P85" si="18" xml:space="preserve"> _xlfn.CONCAT(M69, "(\d)")</f>
        <v>uah(\d)</v>
      </c>
      <c r="Q69" s="50" t="s">
        <v>316</v>
      </c>
      <c r="R69" s="50">
        <f t="shared" ref="R69:R85" si="19" xml:space="preserve"> IFERROR( IF(Q69="", "", SEARCH(Q69, $M69)), "")</f>
        <v>2</v>
      </c>
      <c r="S69" s="47" t="str">
        <f t="shared" si="11"/>
        <v>u》a${1}h</v>
      </c>
      <c r="T69" s="19"/>
      <c r="U69" s="20" t="str">
        <f t="shared" ref="U69:U85" si="20" xml:space="preserve"> IF(AND(N69&lt;&gt;"", M69&lt;&gt;""), "    - xform/》" &amp; P69 &amp;  "/"  &amp; S69 &amp;  "/", "")</f>
        <v xml:space="preserve">    - xform/》uah(\d)/u》a${1}h/</v>
      </c>
    </row>
    <row r="70" spans="1:21" ht="27.75" thickBot="1">
      <c r="A70" s="21">
        <v>67</v>
      </c>
      <c r="B70" s="63" t="s">
        <v>1757</v>
      </c>
      <c r="C70" s="65" t="s">
        <v>22</v>
      </c>
      <c r="D70" s="21" t="s">
        <v>22</v>
      </c>
      <c r="E70" s="21" t="s">
        <v>22</v>
      </c>
      <c r="F70" s="21" t="s">
        <v>22</v>
      </c>
      <c r="G70" s="23" t="s">
        <v>22</v>
      </c>
      <c r="H70" s="18" t="s">
        <v>24</v>
      </c>
      <c r="I70" s="21" t="s">
        <v>21</v>
      </c>
      <c r="J70" s="21"/>
      <c r="K70" s="26"/>
      <c r="L70" s="18">
        <f t="shared" si="17"/>
        <v>3</v>
      </c>
      <c r="M70" s="21" t="str">
        <f t="shared" si="15"/>
        <v>uan</v>
      </c>
      <c r="N70" s="21" t="str">
        <f t="shared" si="16"/>
        <v>ㄨㄢ</v>
      </c>
      <c r="P70" s="47" t="str">
        <f t="shared" si="18"/>
        <v>uan(\d)</v>
      </c>
      <c r="Q70" s="50" t="s">
        <v>316</v>
      </c>
      <c r="R70" s="50">
        <f t="shared" si="19"/>
        <v>2</v>
      </c>
      <c r="S70" s="47" t="str">
        <f t="shared" ref="S70:S85" si="21" xml:space="preserve"> IFERROR( _xlfn.CONCAT(LEFT(M70,R70-1), "》", MID(M70,R70,1), "${1}", RIGHT(M70, LEN(M70)-R70)), "" )</f>
        <v>u》a${1}n</v>
      </c>
      <c r="T70" s="19"/>
      <c r="U70" s="20" t="str">
        <f t="shared" si="20"/>
        <v xml:space="preserve">    - xform/》uan(\d)/u》a${1}n/</v>
      </c>
    </row>
    <row r="71" spans="1:21" ht="27.75" thickBot="1">
      <c r="A71" s="21">
        <v>68</v>
      </c>
      <c r="B71" s="63" t="s">
        <v>223</v>
      </c>
      <c r="C71" s="65" t="s">
        <v>223</v>
      </c>
      <c r="D71" s="21" t="s">
        <v>223</v>
      </c>
      <c r="E71" s="21" t="s">
        <v>223</v>
      </c>
      <c r="F71" s="21" t="s">
        <v>223</v>
      </c>
      <c r="G71" s="23" t="s">
        <v>226</v>
      </c>
      <c r="H71" s="18" t="s">
        <v>227</v>
      </c>
      <c r="I71" s="21" t="s">
        <v>225</v>
      </c>
      <c r="J71" s="21"/>
      <c r="K71" s="26"/>
      <c r="L71" s="18">
        <f t="shared" si="17"/>
        <v>4</v>
      </c>
      <c r="M71" s="21" t="str">
        <f t="shared" si="15"/>
        <v>uang</v>
      </c>
      <c r="N71" s="21" t="str">
        <f t="shared" si="16"/>
        <v>ㄨㄤ</v>
      </c>
      <c r="P71" s="47" t="str">
        <f t="shared" si="18"/>
        <v>uang(\d)</v>
      </c>
      <c r="Q71" s="50" t="s">
        <v>316</v>
      </c>
      <c r="R71" s="50">
        <f t="shared" si="19"/>
        <v>2</v>
      </c>
      <c r="S71" s="47" t="str">
        <f t="shared" si="21"/>
        <v>u》a${1}ng</v>
      </c>
      <c r="T71" s="19"/>
      <c r="U71" s="20" t="str">
        <f t="shared" si="20"/>
        <v xml:space="preserve">    - xform/》uang(\d)/u》a${1}ng/</v>
      </c>
    </row>
    <row r="72" spans="1:21" ht="27.75" thickBot="1">
      <c r="A72" s="21">
        <v>69</v>
      </c>
      <c r="B72" s="63" t="s">
        <v>2221</v>
      </c>
      <c r="C72" s="65" t="s">
        <v>399</v>
      </c>
      <c r="D72" s="21" t="s">
        <v>399</v>
      </c>
      <c r="E72" s="21" t="s">
        <v>399</v>
      </c>
      <c r="F72" s="21" t="s">
        <v>401</v>
      </c>
      <c r="G72" s="23" t="s">
        <v>400</v>
      </c>
      <c r="H72" s="18" t="s">
        <v>402</v>
      </c>
      <c r="I72" s="21" t="s">
        <v>398</v>
      </c>
      <c r="J72" s="21"/>
      <c r="K72" s="26"/>
      <c r="L72" s="18">
        <f t="shared" si="17"/>
        <v>3</v>
      </c>
      <c r="M72" s="21" t="str">
        <f t="shared" si="15"/>
        <v>uat</v>
      </c>
      <c r="N72" s="21" t="str">
        <f t="shared" si="16"/>
        <v>ㄨㄚㆵ</v>
      </c>
      <c r="P72" s="47" t="str">
        <f t="shared" si="18"/>
        <v>uat(\d)</v>
      </c>
      <c r="Q72" s="50" t="s">
        <v>316</v>
      </c>
      <c r="R72" s="50">
        <f t="shared" si="19"/>
        <v>2</v>
      </c>
      <c r="S72" s="47" t="str">
        <f t="shared" si="21"/>
        <v>u》a${1}t</v>
      </c>
      <c r="T72" s="19"/>
      <c r="U72" s="20" t="str">
        <f t="shared" si="20"/>
        <v xml:space="preserve">    - xform/》uat(\d)/u》a${1}t/</v>
      </c>
    </row>
    <row r="73" spans="1:21" ht="27.75" thickBot="1">
      <c r="A73" s="21">
        <v>70</v>
      </c>
      <c r="B73" s="63" t="s">
        <v>670</v>
      </c>
      <c r="C73" s="65" t="s">
        <v>230</v>
      </c>
      <c r="D73" s="21" t="s">
        <v>230</v>
      </c>
      <c r="E73" s="21" t="s">
        <v>230</v>
      </c>
      <c r="F73" s="21" t="s">
        <v>230</v>
      </c>
      <c r="G73" s="23" t="s">
        <v>231</v>
      </c>
      <c r="H73" s="18" t="s">
        <v>232</v>
      </c>
      <c r="I73" s="21" t="s">
        <v>1964</v>
      </c>
      <c r="J73" s="21"/>
      <c r="K73" s="26"/>
      <c r="L73" s="18">
        <f t="shared" si="17"/>
        <v>3</v>
      </c>
      <c r="M73" s="21" t="str">
        <f t="shared" si="15"/>
        <v>uai</v>
      </c>
      <c r="N73" s="21" t="str">
        <f t="shared" si="16"/>
        <v>ㄨㄞ</v>
      </c>
      <c r="P73" s="47" t="str">
        <f t="shared" si="18"/>
        <v>uai(\d)</v>
      </c>
      <c r="Q73" s="50" t="s">
        <v>316</v>
      </c>
      <c r="R73" s="50">
        <f t="shared" si="19"/>
        <v>2</v>
      </c>
      <c r="S73" s="47" t="str">
        <f t="shared" si="21"/>
        <v>u》a${1}i</v>
      </c>
      <c r="T73" s="19"/>
      <c r="U73" s="20" t="str">
        <f t="shared" si="20"/>
        <v xml:space="preserve">    - xform/》uai(\d)/u》a${1}i/</v>
      </c>
    </row>
    <row r="74" spans="1:21" ht="27.75" thickBot="1">
      <c r="A74" s="21">
        <v>71</v>
      </c>
      <c r="B74" s="63" t="s">
        <v>120</v>
      </c>
      <c r="C74" s="65" t="s">
        <v>120</v>
      </c>
      <c r="D74" s="21" t="s">
        <v>120</v>
      </c>
      <c r="E74" s="21" t="s">
        <v>120</v>
      </c>
      <c r="F74" s="21" t="s">
        <v>120</v>
      </c>
      <c r="G74" s="23" t="s">
        <v>123</v>
      </c>
      <c r="H74" s="18" t="s">
        <v>124</v>
      </c>
      <c r="I74" s="21" t="s">
        <v>122</v>
      </c>
      <c r="J74" s="21"/>
      <c r="K74" s="26"/>
      <c r="L74" s="18">
        <f t="shared" si="17"/>
        <v>5</v>
      </c>
      <c r="M74" s="21" t="str">
        <f t="shared" si="15"/>
        <v>uainn</v>
      </c>
      <c r="N74" s="21" t="str">
        <f t="shared" si="16"/>
        <v>ㄨㆮ</v>
      </c>
      <c r="P74" s="47" t="str">
        <f t="shared" si="18"/>
        <v>uainn(\d)</v>
      </c>
      <c r="Q74" s="50" t="s">
        <v>316</v>
      </c>
      <c r="R74" s="50">
        <f t="shared" si="19"/>
        <v>2</v>
      </c>
      <c r="S74" s="47" t="str">
        <f t="shared" si="21"/>
        <v>u》a${1}inn</v>
      </c>
      <c r="T74" s="19"/>
      <c r="U74" s="20" t="str">
        <f t="shared" si="20"/>
        <v xml:space="preserve">    - xform/》uainn(\d)/u》a${1}inn/</v>
      </c>
    </row>
    <row r="75" spans="1:21" ht="27.75" thickBot="1">
      <c r="A75" s="21">
        <v>72</v>
      </c>
      <c r="B75" s="63" t="s">
        <v>434</v>
      </c>
      <c r="C75" s="65" t="s">
        <v>436</v>
      </c>
      <c r="D75" s="21" t="s">
        <v>436</v>
      </c>
      <c r="E75" s="21" t="s">
        <v>436</v>
      </c>
      <c r="F75" s="21" t="s">
        <v>436</v>
      </c>
      <c r="G75" s="23" t="s">
        <v>437</v>
      </c>
      <c r="H75" s="18" t="s">
        <v>438</v>
      </c>
      <c r="I75" s="21" t="s">
        <v>1965</v>
      </c>
      <c r="J75" s="21"/>
      <c r="K75" s="26"/>
      <c r="L75" s="18">
        <f t="shared" si="17"/>
        <v>4</v>
      </c>
      <c r="M75" s="21" t="str">
        <f t="shared" si="15"/>
        <v>uaih</v>
      </c>
      <c r="N75" s="21" t="str">
        <f t="shared" si="16"/>
        <v>ㄨㄞㆷ</v>
      </c>
      <c r="P75" s="47" t="str">
        <f t="shared" si="18"/>
        <v>uaih(\d)</v>
      </c>
      <c r="Q75" s="50" t="s">
        <v>316</v>
      </c>
      <c r="R75" s="50">
        <f t="shared" si="19"/>
        <v>2</v>
      </c>
      <c r="S75" s="47" t="str">
        <f t="shared" si="21"/>
        <v>u》a${1}ih</v>
      </c>
      <c r="T75" s="19"/>
      <c r="U75" s="20" t="str">
        <f t="shared" si="20"/>
        <v xml:space="preserve">    - xform/》uaih(\d)/u》a${1}ih/</v>
      </c>
    </row>
    <row r="76" spans="1:21" ht="27.75" thickBot="1">
      <c r="A76" s="21">
        <v>73</v>
      </c>
      <c r="B76" s="63" t="s">
        <v>127</v>
      </c>
      <c r="C76" s="65" t="s">
        <v>129</v>
      </c>
      <c r="D76" s="21" t="s">
        <v>129</v>
      </c>
      <c r="E76" s="21" t="s">
        <v>129</v>
      </c>
      <c r="F76" s="21" t="s">
        <v>129</v>
      </c>
      <c r="G76" s="23" t="s">
        <v>130</v>
      </c>
      <c r="H76" s="18" t="s">
        <v>131</v>
      </c>
      <c r="I76" s="21" t="s">
        <v>128</v>
      </c>
      <c r="J76" s="21"/>
      <c r="K76" s="26"/>
      <c r="L76" s="18">
        <f t="shared" si="17"/>
        <v>6</v>
      </c>
      <c r="M76" s="21" t="str">
        <f t="shared" si="15"/>
        <v>uainnh</v>
      </c>
      <c r="N76" s="21" t="str">
        <f t="shared" si="16"/>
        <v>ㄨㆮㆷ</v>
      </c>
      <c r="P76" s="47" t="str">
        <f t="shared" si="18"/>
        <v>uainnh(\d)</v>
      </c>
      <c r="Q76" s="50" t="s">
        <v>316</v>
      </c>
      <c r="R76" s="50">
        <f t="shared" si="19"/>
        <v>2</v>
      </c>
      <c r="S76" s="47" t="str">
        <f t="shared" si="21"/>
        <v>u》a${1}innh</v>
      </c>
      <c r="T76" s="19"/>
      <c r="U76" s="20" t="str">
        <f t="shared" si="20"/>
        <v xml:space="preserve">    - xform/》uainnh(\d)/u》a${1}innh/</v>
      </c>
    </row>
    <row r="77" spans="1:21" ht="27.75" thickBot="1">
      <c r="A77" s="21">
        <v>74</v>
      </c>
      <c r="B77" s="63" t="s">
        <v>94</v>
      </c>
      <c r="C77" s="65" t="s">
        <v>94</v>
      </c>
      <c r="D77" s="21" t="s">
        <v>94</v>
      </c>
      <c r="E77" s="21" t="s">
        <v>94</v>
      </c>
      <c r="F77" s="21" t="s">
        <v>94</v>
      </c>
      <c r="G77" s="23" t="s">
        <v>97</v>
      </c>
      <c r="H77" s="18" t="s">
        <v>98</v>
      </c>
      <c r="I77" s="21" t="s">
        <v>96</v>
      </c>
      <c r="J77" s="21"/>
      <c r="K77" s="26"/>
      <c r="L77" s="18">
        <f t="shared" si="17"/>
        <v>2</v>
      </c>
      <c r="M77" s="21" t="str">
        <f t="shared" si="15"/>
        <v>ue</v>
      </c>
      <c r="N77" s="21" t="str">
        <f t="shared" si="16"/>
        <v>ㄨㆤ</v>
      </c>
      <c r="P77" s="47" t="str">
        <f t="shared" si="18"/>
        <v>ue(\d)</v>
      </c>
      <c r="Q77" s="50" t="s">
        <v>308</v>
      </c>
      <c r="R77" s="50">
        <f t="shared" si="19"/>
        <v>1</v>
      </c>
      <c r="S77" s="47" t="str">
        <f t="shared" si="21"/>
        <v>》u${1}e</v>
      </c>
      <c r="T77" s="19"/>
      <c r="U77" s="20" t="str">
        <f t="shared" si="20"/>
        <v xml:space="preserve">    - xform/》ue(\d)/》u${1}e/</v>
      </c>
    </row>
    <row r="78" spans="1:21" ht="27.75" thickBot="1">
      <c r="A78" s="21">
        <v>75</v>
      </c>
      <c r="B78" s="63" t="s">
        <v>2222</v>
      </c>
      <c r="C78" s="65" t="s">
        <v>448</v>
      </c>
      <c r="D78" s="21" t="s">
        <v>448</v>
      </c>
      <c r="E78" s="21" t="s">
        <v>448</v>
      </c>
      <c r="F78" s="21" t="s">
        <v>450</v>
      </c>
      <c r="G78" s="23" t="s">
        <v>449</v>
      </c>
      <c r="H78" s="18" t="s">
        <v>451</v>
      </c>
      <c r="I78" s="21" t="s">
        <v>447</v>
      </c>
      <c r="J78" s="61" t="s">
        <v>1091</v>
      </c>
      <c r="K78" s="26"/>
      <c r="L78" s="18">
        <f t="shared" si="17"/>
        <v>3</v>
      </c>
      <c r="M78" s="21" t="str">
        <f t="shared" si="15"/>
        <v>ueh</v>
      </c>
      <c r="N78" s="21" t="str">
        <f t="shared" si="16"/>
        <v>ㄨㆤㆷ</v>
      </c>
      <c r="P78" s="47" t="str">
        <f t="shared" si="18"/>
        <v>ueh(\d)</v>
      </c>
      <c r="Q78" s="50" t="s">
        <v>308</v>
      </c>
      <c r="R78" s="50">
        <f t="shared" si="19"/>
        <v>1</v>
      </c>
      <c r="S78" s="47" t="str">
        <f t="shared" si="21"/>
        <v>》u${1}eh</v>
      </c>
      <c r="T78" s="19"/>
      <c r="U78" s="20" t="str">
        <f t="shared" si="20"/>
        <v xml:space="preserve">    - xform/》ueh(\d)/》u${1}eh/</v>
      </c>
    </row>
    <row r="79" spans="1:21" ht="27.75" thickBot="1">
      <c r="A79" s="21">
        <v>76</v>
      </c>
      <c r="B79" s="63" t="s">
        <v>921</v>
      </c>
      <c r="C79" s="65" t="s">
        <v>101</v>
      </c>
      <c r="D79" s="21" t="s">
        <v>101</v>
      </c>
      <c r="E79" s="21" t="s">
        <v>101</v>
      </c>
      <c r="F79" s="21" t="s">
        <v>101</v>
      </c>
      <c r="G79" s="23" t="s">
        <v>102</v>
      </c>
      <c r="H79" s="18" t="s">
        <v>103</v>
      </c>
      <c r="I79" s="21" t="s">
        <v>1966</v>
      </c>
      <c r="J79" s="21"/>
      <c r="K79" s="26"/>
      <c r="L79" s="18">
        <f t="shared" si="17"/>
        <v>2</v>
      </c>
      <c r="M79" s="21" t="str">
        <f t="shared" si="15"/>
        <v>ui</v>
      </c>
      <c r="N79" s="21" t="str">
        <f t="shared" si="16"/>
        <v>ㄨㄧ</v>
      </c>
      <c r="P79" s="47" t="str">
        <f t="shared" si="18"/>
        <v>ui(\d)</v>
      </c>
      <c r="Q79" s="50" t="s">
        <v>308</v>
      </c>
      <c r="R79" s="50">
        <f t="shared" si="19"/>
        <v>1</v>
      </c>
      <c r="S79" s="47" t="str">
        <f t="shared" si="21"/>
        <v>》u${1}i</v>
      </c>
      <c r="T79" s="19"/>
      <c r="U79" s="20" t="str">
        <f t="shared" si="20"/>
        <v xml:space="preserve">    - xform/》ui(\d)/》u${1}i/</v>
      </c>
    </row>
    <row r="80" spans="1:21" ht="27.75" thickBot="1">
      <c r="A80" s="21">
        <v>77</v>
      </c>
      <c r="B80" s="63" t="s">
        <v>2223</v>
      </c>
      <c r="C80" s="65" t="s">
        <v>454</v>
      </c>
      <c r="D80" s="21" t="s">
        <v>453</v>
      </c>
      <c r="E80" s="21" t="s">
        <v>454</v>
      </c>
      <c r="F80" s="27" t="s">
        <v>454</v>
      </c>
      <c r="G80" s="23" t="s">
        <v>706</v>
      </c>
      <c r="H80" s="18" t="s">
        <v>456</v>
      </c>
      <c r="I80" s="21" t="s">
        <v>1967</v>
      </c>
      <c r="J80" s="61" t="s">
        <v>1091</v>
      </c>
      <c r="K80" s="26"/>
      <c r="L80" s="18">
        <f t="shared" si="17"/>
        <v>4</v>
      </c>
      <c r="M80" s="21" t="str">
        <f t="shared" si="15"/>
        <v>uinn</v>
      </c>
      <c r="N80" s="21" t="str">
        <f t="shared" si="16"/>
        <v>ㄨㆪ</v>
      </c>
      <c r="P80" s="47" t="str">
        <f t="shared" si="18"/>
        <v>uinn(\d)</v>
      </c>
      <c r="Q80" s="50" t="s">
        <v>308</v>
      </c>
      <c r="R80" s="50">
        <f t="shared" si="19"/>
        <v>1</v>
      </c>
      <c r="S80" s="47" t="str">
        <f t="shared" si="21"/>
        <v>》u${1}inn</v>
      </c>
      <c r="T80" s="19"/>
      <c r="U80" s="20" t="str">
        <f t="shared" si="20"/>
        <v xml:space="preserve">    - xform/》uinn(\d)/》u${1}inn/</v>
      </c>
    </row>
    <row r="81" spans="1:21" ht="27.75" thickBot="1">
      <c r="A81" s="21">
        <v>78</v>
      </c>
      <c r="B81" s="63" t="s">
        <v>285</v>
      </c>
      <c r="C81" s="65" t="s">
        <v>285</v>
      </c>
      <c r="D81" s="21" t="s">
        <v>285</v>
      </c>
      <c r="E81" s="21" t="s">
        <v>285</v>
      </c>
      <c r="F81" s="21" t="s">
        <v>285</v>
      </c>
      <c r="G81" s="23" t="s">
        <v>286</v>
      </c>
      <c r="H81" s="18" t="s">
        <v>287</v>
      </c>
      <c r="I81" s="21" t="s">
        <v>284</v>
      </c>
      <c r="J81" s="21"/>
      <c r="K81" s="26"/>
      <c r="L81" s="18">
        <f t="shared" si="17"/>
        <v>3</v>
      </c>
      <c r="M81" s="21" t="str">
        <f t="shared" si="15"/>
        <v>uih</v>
      </c>
      <c r="N81" s="21" t="str">
        <f t="shared" si="16"/>
        <v>ㄨㄧㆷ</v>
      </c>
      <c r="P81" s="47" t="str">
        <f t="shared" si="18"/>
        <v>uih(\d)</v>
      </c>
      <c r="Q81" s="50" t="s">
        <v>308</v>
      </c>
      <c r="R81" s="50">
        <f t="shared" si="19"/>
        <v>1</v>
      </c>
      <c r="S81" s="47" t="str">
        <f t="shared" si="21"/>
        <v>》u${1}ih</v>
      </c>
      <c r="T81" s="19"/>
      <c r="U81" s="20" t="str">
        <f t="shared" si="20"/>
        <v xml:space="preserve">    - xform/》uih(\d)/》u${1}ih/</v>
      </c>
    </row>
    <row r="82" spans="1:21" ht="27.75" thickBot="1">
      <c r="A82" s="21">
        <v>79</v>
      </c>
      <c r="B82" s="63" t="s">
        <v>671</v>
      </c>
      <c r="C82" s="65" t="s">
        <v>290</v>
      </c>
      <c r="D82" s="21" t="s">
        <v>290</v>
      </c>
      <c r="E82" s="21" t="s">
        <v>290</v>
      </c>
      <c r="F82" s="21" t="s">
        <v>290</v>
      </c>
      <c r="G82" s="23" t="s">
        <v>291</v>
      </c>
      <c r="H82" s="18" t="s">
        <v>292</v>
      </c>
      <c r="I82" s="21" t="s">
        <v>1968</v>
      </c>
      <c r="J82" s="21"/>
      <c r="K82" s="26"/>
      <c r="L82" s="18">
        <f t="shared" si="17"/>
        <v>1</v>
      </c>
      <c r="M82" s="21" t="str">
        <f t="shared" si="15"/>
        <v>m</v>
      </c>
      <c r="N82" s="21" t="str">
        <f t="shared" si="16"/>
        <v>ㆬ</v>
      </c>
      <c r="P82" s="47" t="str">
        <f t="shared" si="18"/>
        <v>m(\d)</v>
      </c>
      <c r="Q82" s="50" t="s">
        <v>431</v>
      </c>
      <c r="R82" s="50">
        <f t="shared" si="19"/>
        <v>1</v>
      </c>
      <c r="S82" s="47" t="str">
        <f t="shared" si="21"/>
        <v>》m${1}</v>
      </c>
      <c r="T82" s="19"/>
      <c r="U82" s="20" t="str">
        <f t="shared" si="20"/>
        <v xml:space="preserve">    - xform/》m(\d)/》m${1}/</v>
      </c>
    </row>
    <row r="83" spans="1:21" ht="27.75" thickBot="1">
      <c r="A83" s="21">
        <v>80</v>
      </c>
      <c r="B83" s="63" t="s">
        <v>50</v>
      </c>
      <c r="C83" s="65" t="s">
        <v>50</v>
      </c>
      <c r="D83" s="21" t="s">
        <v>50</v>
      </c>
      <c r="E83" s="21" t="s">
        <v>50</v>
      </c>
      <c r="F83" s="21" t="s">
        <v>50</v>
      </c>
      <c r="G83" s="23" t="s">
        <v>50</v>
      </c>
      <c r="H83" s="18" t="s">
        <v>53</v>
      </c>
      <c r="I83" s="21" t="s">
        <v>52</v>
      </c>
      <c r="J83" s="21"/>
      <c r="K83" s="26"/>
      <c r="L83" s="18">
        <f t="shared" si="17"/>
        <v>2</v>
      </c>
      <c r="M83" s="21" t="str">
        <f t="shared" ref="M83:M85" si="22">E87</f>
        <v>mh</v>
      </c>
      <c r="N83" s="21" t="str">
        <f t="shared" ref="N83:N85" si="23">I87</f>
        <v>ㆬㆷ</v>
      </c>
      <c r="P83" s="47" t="str">
        <f t="shared" si="18"/>
        <v>mh(\d)</v>
      </c>
      <c r="Q83" s="50" t="s">
        <v>431</v>
      </c>
      <c r="R83" s="50">
        <f t="shared" si="19"/>
        <v>1</v>
      </c>
      <c r="S83" s="47" t="str">
        <f t="shared" si="21"/>
        <v>》m${1}h</v>
      </c>
      <c r="T83" s="19"/>
      <c r="U83" s="20" t="str">
        <f t="shared" si="20"/>
        <v xml:space="preserve">    - xform/》mh(\d)/》m${1}h/</v>
      </c>
    </row>
    <row r="84" spans="1:21" ht="27.75" thickBot="1">
      <c r="A84" s="21">
        <v>81</v>
      </c>
      <c r="B84" s="63" t="s">
        <v>1893</v>
      </c>
      <c r="C84" s="65" t="s">
        <v>351</v>
      </c>
      <c r="D84" s="21" t="s">
        <v>351</v>
      </c>
      <c r="E84" s="21" t="s">
        <v>351</v>
      </c>
      <c r="F84" s="21" t="s">
        <v>353</v>
      </c>
      <c r="G84" s="23" t="s">
        <v>352</v>
      </c>
      <c r="H84" s="18" t="s">
        <v>354</v>
      </c>
      <c r="I84" s="21" t="s">
        <v>350</v>
      </c>
      <c r="J84" s="21"/>
      <c r="K84" s="26"/>
      <c r="L84" s="18">
        <f t="shared" si="17"/>
        <v>2</v>
      </c>
      <c r="M84" s="21" t="str">
        <f t="shared" si="22"/>
        <v>ng</v>
      </c>
      <c r="N84" s="21" t="str">
        <f t="shared" si="23"/>
        <v>ㆭ</v>
      </c>
      <c r="P84" s="47" t="str">
        <f t="shared" si="18"/>
        <v>ng(\d)</v>
      </c>
      <c r="Q84" s="50" t="s">
        <v>587</v>
      </c>
      <c r="R84" s="50">
        <f t="shared" si="19"/>
        <v>1</v>
      </c>
      <c r="S84" s="47" t="str">
        <f t="shared" si="21"/>
        <v>》n${1}g</v>
      </c>
      <c r="T84" s="19"/>
      <c r="U84" s="20" t="str">
        <f t="shared" si="20"/>
        <v xml:space="preserve">    - xform/》ng(\d)/》n${1}g/</v>
      </c>
    </row>
    <row r="85" spans="1:21" ht="27.75" thickBot="1">
      <c r="A85" s="21">
        <v>82</v>
      </c>
      <c r="B85" s="63" t="s">
        <v>1900</v>
      </c>
      <c r="C85" s="65" t="s">
        <v>1901</v>
      </c>
      <c r="D85" s="27" t="s">
        <v>1901</v>
      </c>
      <c r="E85" s="27" t="s">
        <v>1901</v>
      </c>
      <c r="F85" s="27" t="s">
        <v>1901</v>
      </c>
      <c r="G85" s="27" t="s">
        <v>1901</v>
      </c>
      <c r="H85" s="69" t="s">
        <v>1943</v>
      </c>
      <c r="I85" s="67" t="s">
        <v>1931</v>
      </c>
      <c r="J85" s="61" t="s">
        <v>1091</v>
      </c>
      <c r="K85" s="26"/>
      <c r="L85" s="18">
        <f t="shared" si="17"/>
        <v>3</v>
      </c>
      <c r="M85" s="21" t="str">
        <f t="shared" si="22"/>
        <v>ngh</v>
      </c>
      <c r="N85" s="21" t="str">
        <f t="shared" si="23"/>
        <v>ㆭㆷ</v>
      </c>
      <c r="P85" s="47" t="str">
        <f t="shared" si="18"/>
        <v>ngh(\d)</v>
      </c>
      <c r="Q85" s="50" t="s">
        <v>587</v>
      </c>
      <c r="R85" s="50">
        <f t="shared" si="19"/>
        <v>1</v>
      </c>
      <c r="S85" s="47" t="str">
        <f t="shared" si="21"/>
        <v>》n${1}gh</v>
      </c>
      <c r="T85" s="19"/>
      <c r="U85" s="20" t="str">
        <f t="shared" si="20"/>
        <v xml:space="preserve">    - xform/》ngh(\d)/》n${1}gh/</v>
      </c>
    </row>
    <row r="86" spans="1:21" ht="27.75" thickBot="1">
      <c r="A86" s="21">
        <v>83</v>
      </c>
      <c r="B86" s="63" t="s">
        <v>429</v>
      </c>
      <c r="C86" s="65" t="s">
        <v>431</v>
      </c>
      <c r="D86" s="21" t="s">
        <v>431</v>
      </c>
      <c r="E86" s="21" t="s">
        <v>431</v>
      </c>
      <c r="F86" s="21" t="s">
        <v>431</v>
      </c>
      <c r="G86" s="23" t="s">
        <v>431</v>
      </c>
      <c r="H86" s="18" t="s">
        <v>432</v>
      </c>
      <c r="I86" s="21" t="s">
        <v>430</v>
      </c>
      <c r="J86" s="21"/>
    </row>
    <row r="87" spans="1:21" ht="27.75" thickBot="1">
      <c r="A87" s="21">
        <v>84</v>
      </c>
      <c r="B87" s="63" t="s">
        <v>678</v>
      </c>
      <c r="C87" s="65" t="s">
        <v>679</v>
      </c>
      <c r="D87" s="27" t="s">
        <v>679</v>
      </c>
      <c r="E87" s="27" t="s">
        <v>679</v>
      </c>
      <c r="F87" s="27" t="s">
        <v>679</v>
      </c>
      <c r="G87" s="27" t="s">
        <v>679</v>
      </c>
      <c r="H87" s="69" t="s">
        <v>1942</v>
      </c>
      <c r="I87" s="68" t="s">
        <v>1933</v>
      </c>
      <c r="J87" s="21"/>
    </row>
    <row r="88" spans="1:21" ht="27.75" thickBot="1">
      <c r="A88" s="21">
        <v>85</v>
      </c>
      <c r="B88" s="63" t="s">
        <v>404</v>
      </c>
      <c r="C88" s="65" t="s">
        <v>407</v>
      </c>
      <c r="D88" s="21" t="s">
        <v>407</v>
      </c>
      <c r="E88" s="21" t="s">
        <v>407</v>
      </c>
      <c r="F88" s="21" t="s">
        <v>407</v>
      </c>
      <c r="G88" s="23" t="s">
        <v>407</v>
      </c>
      <c r="H88" s="18" t="s">
        <v>408</v>
      </c>
      <c r="I88" s="21" t="s">
        <v>406</v>
      </c>
      <c r="J88" s="21"/>
    </row>
    <row r="89" spans="1:21" ht="27.75" thickBot="1">
      <c r="A89" s="21">
        <v>86</v>
      </c>
      <c r="B89" s="63" t="s">
        <v>665</v>
      </c>
      <c r="C89" s="65" t="s">
        <v>666</v>
      </c>
      <c r="D89" s="27" t="s">
        <v>666</v>
      </c>
      <c r="E89" s="27" t="s">
        <v>666</v>
      </c>
      <c r="F89" s="27" t="s">
        <v>666</v>
      </c>
      <c r="G89" s="27" t="s">
        <v>666</v>
      </c>
      <c r="H89" s="69" t="s">
        <v>1944</v>
      </c>
      <c r="I89" s="68" t="s">
        <v>1100</v>
      </c>
      <c r="J89" s="21"/>
    </row>
    <row r="90" spans="1:21" ht="27" thickBot="1"/>
    <row r="91" spans="1:21" ht="48.75" thickBot="1">
      <c r="B91" s="22" t="s">
        <v>1092</v>
      </c>
      <c r="C91" s="22" t="s">
        <v>1097</v>
      </c>
      <c r="D91" s="22" t="s">
        <v>1097</v>
      </c>
    </row>
    <row r="92" spans="1:21" ht="27.75" thickBot="1">
      <c r="B92" s="21" t="s">
        <v>1093</v>
      </c>
      <c r="C92" s="21">
        <f xml:space="preserve"> HEX2DEC(VALUE(RIGHT(B92,4)))</f>
        <v>771</v>
      </c>
      <c r="D92" s="21" t="str">
        <f xml:space="preserve"> _xlfn.CONCAT("a", _xlfn.UNICHAR(HEX2DEC(RIGHT(B92,4))))</f>
        <v>ã</v>
      </c>
    </row>
    <row r="93" spans="1:21" ht="27.75" thickBot="1">
      <c r="B93" s="21" t="s">
        <v>1094</v>
      </c>
      <c r="C93" s="21">
        <f xml:space="preserve"> HEX2DEC(VALUE(RIGHT(B93,4)))</f>
        <v>660</v>
      </c>
      <c r="D93" s="21" t="str">
        <f xml:space="preserve"> _xlfn.CONCAT("a", _xlfn.UNICHAR(HEX2DEC(RIGHT(B93,4))))</f>
        <v>aʔ</v>
      </c>
    </row>
    <row r="94" spans="1:21" ht="27" thickBot="1"/>
    <row r="95" spans="1:21" ht="27" thickBot="1">
      <c r="B95" s="22" t="s">
        <v>1096</v>
      </c>
      <c r="C95" s="22">
        <f xml:space="preserve"> HEX2DEC(VALUE(RIGHT(B95,4)))</f>
        <v>2134</v>
      </c>
      <c r="D95" s="22" t="str">
        <f xml:space="preserve"> _xlfn.CONCAT("o", _xlfn.UNICHAR( RIGHT(B95,4)))</f>
        <v>o͘</v>
      </c>
    </row>
    <row r="96" spans="1:21" ht="27" thickBot="1">
      <c r="B96" s="22" t="s">
        <v>1095</v>
      </c>
      <c r="C96" s="22">
        <f xml:space="preserve"> _xlfn.UNICODE( RIGHT(B96,1) )</f>
        <v>856</v>
      </c>
      <c r="D96" s="22" t="str">
        <f xml:space="preserve"> _xlfn.CONCAT("o", _xlfn.UNICHAR(C96))</f>
        <v>o͘</v>
      </c>
    </row>
    <row r="97" spans="1:3" ht="27" thickBot="1"/>
    <row r="98" spans="1:3" ht="27" thickBot="1">
      <c r="B98" s="22" t="s">
        <v>1105</v>
      </c>
      <c r="C98" s="22" t="s">
        <v>1924</v>
      </c>
    </row>
    <row r="99" spans="1:3" ht="27" thickBot="1">
      <c r="B99" s="22" t="s">
        <v>1107</v>
      </c>
      <c r="C99" s="22" t="s">
        <v>1106</v>
      </c>
    </row>
    <row r="101" spans="1:3">
      <c r="A101" s="14" t="str">
        <f xml:space="preserve"> "(""" &amp; _xlfn.TEXTJOIN(""",""",TRUE,F4:F89) &amp; """)"</f>
        <v>("a","na","ah","nah","am","an","ang","ap","at","ak","ai","nai","aih","ao","aoh","e","ne","eh","ennh","i","ni","ih","im","in","ing","ip","it","ik","ia","nia","iah","iannh","iam","ian","iang","iap","iat","iak","iao","niao","iaoh","io","nioo","ioh","iong","iok","iu","niu","niuh","o","oo","noo","oh","ooh","niuh","om","ong","op","ok","u","uh","un","ut","ua","nua","uah","uan","uang","uat","uai","nuai","uaih","uainnh","ue","ueh","ui","nui","uih","m","mh","ng","ngh")</v>
      </c>
    </row>
  </sheetData>
  <sortState xmlns:xlrd2="http://schemas.microsoft.com/office/spreadsheetml/2017/richdata2" ref="L4:N85">
    <sortCondition descending="1" ref="L4:L85"/>
  </sortState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6857-D699-4356-B8D2-76BD25C09201}">
  <dimension ref="A1:F97"/>
  <sheetViews>
    <sheetView workbookViewId="0">
      <selection activeCell="E2" sqref="E2"/>
    </sheetView>
  </sheetViews>
  <sheetFormatPr defaultRowHeight="25.5"/>
  <cols>
    <col min="1" max="1" width="5.33203125" bestFit="1" customWidth="1"/>
    <col min="2" max="2" width="5.33203125" customWidth="1"/>
    <col min="3" max="4" width="10.08203125" style="15" customWidth="1"/>
    <col min="5" max="5" width="29.83203125" style="15" customWidth="1"/>
    <col min="6" max="6" width="7.83203125" style="15" customWidth="1"/>
  </cols>
  <sheetData>
    <row r="1" spans="1:6" ht="48.75" thickBot="1">
      <c r="A1" s="22" t="s">
        <v>702</v>
      </c>
      <c r="B1" s="22" t="s">
        <v>703</v>
      </c>
      <c r="C1" s="22" t="s">
        <v>694</v>
      </c>
      <c r="D1" s="16" t="s">
        <v>5</v>
      </c>
      <c r="E1" s="16" t="s">
        <v>704</v>
      </c>
    </row>
    <row r="2" spans="1:6" ht="27.75" thickBot="1">
      <c r="A2" s="21">
        <v>1</v>
      </c>
      <c r="B2" s="18">
        <f t="shared" ref="B2:B33" si="0" xml:space="preserve"> LEN(C2)</f>
        <v>6</v>
      </c>
      <c r="C2" s="21" t="s">
        <v>470</v>
      </c>
      <c r="D2" s="21" t="s">
        <v>470</v>
      </c>
      <c r="E2" s="21" t="str">
        <f t="shared" ref="E2:E33" si="1" xml:space="preserve"> "xform/" &amp; $C2 &amp;  "/"  &amp; $D2 &amp;  "/"</f>
        <v>xform/iaunnh/iaunnh/</v>
      </c>
    </row>
    <row r="3" spans="1:6" ht="27.75" thickBot="1">
      <c r="A3" s="21">
        <v>2</v>
      </c>
      <c r="B3" s="18">
        <f t="shared" si="0"/>
        <v>6</v>
      </c>
      <c r="C3" s="21" t="s">
        <v>454</v>
      </c>
      <c r="D3" s="21" t="s">
        <v>454</v>
      </c>
      <c r="E3" s="21" t="str">
        <f t="shared" si="1"/>
        <v>xform/uainnh/uainnh/</v>
      </c>
      <c r="F3" s="20"/>
    </row>
    <row r="4" spans="1:6" ht="27.75" thickBot="1">
      <c r="A4" s="21">
        <v>7</v>
      </c>
      <c r="B4" s="18">
        <f t="shared" si="0"/>
        <v>5</v>
      </c>
      <c r="C4" s="21" t="s">
        <v>657</v>
      </c>
      <c r="D4" s="21" t="s">
        <v>657</v>
      </c>
      <c r="E4" s="21" t="str">
        <f t="shared" si="1"/>
        <v>xform/aunnh/aunnh/</v>
      </c>
      <c r="F4" s="20"/>
    </row>
    <row r="5" spans="1:6" ht="27.75" thickBot="1">
      <c r="A5" s="21">
        <v>8</v>
      </c>
      <c r="B5" s="18">
        <f t="shared" si="0"/>
        <v>5</v>
      </c>
      <c r="C5" s="21" t="s">
        <v>392</v>
      </c>
      <c r="D5" s="21" t="s">
        <v>392</v>
      </c>
      <c r="E5" s="21" t="str">
        <f t="shared" si="1"/>
        <v>xform/iannh/iannh/</v>
      </c>
      <c r="F5" s="20"/>
    </row>
    <row r="6" spans="1:6" ht="27.75" thickBot="1">
      <c r="A6" s="21">
        <v>40</v>
      </c>
      <c r="B6" s="18">
        <f t="shared" si="0"/>
        <v>5</v>
      </c>
      <c r="C6" s="21" t="s">
        <v>448</v>
      </c>
      <c r="D6" s="21" t="s">
        <v>448</v>
      </c>
      <c r="E6" s="21" t="str">
        <f t="shared" si="1"/>
        <v>xform/uainn/uainn/</v>
      </c>
      <c r="F6" s="20"/>
    </row>
    <row r="7" spans="1:6" ht="27.75" thickBot="1">
      <c r="A7" s="21">
        <v>86</v>
      </c>
      <c r="B7" s="18">
        <f t="shared" si="0"/>
        <v>5</v>
      </c>
      <c r="C7" s="21" t="s">
        <v>386</v>
      </c>
      <c r="D7" s="21" t="s">
        <v>383</v>
      </c>
      <c r="E7" s="21" t="str">
        <f t="shared" si="1"/>
        <v>xform/ioonn/ionn/</v>
      </c>
      <c r="F7" s="20"/>
    </row>
    <row r="8" spans="1:6" ht="27.75" thickBot="1">
      <c r="A8" s="21">
        <v>3</v>
      </c>
      <c r="B8" s="18">
        <f t="shared" si="0"/>
        <v>4</v>
      </c>
      <c r="C8" s="21" t="s">
        <v>203</v>
      </c>
      <c r="D8" s="21" t="s">
        <v>203</v>
      </c>
      <c r="E8" s="21" t="str">
        <f t="shared" si="1"/>
        <v>xform/iang/iang/</v>
      </c>
      <c r="F8" s="20"/>
    </row>
    <row r="9" spans="1:6" ht="27.75" thickBot="1">
      <c r="A9" s="21">
        <v>4</v>
      </c>
      <c r="B9" s="18">
        <f t="shared" si="0"/>
        <v>4</v>
      </c>
      <c r="C9" s="21" t="s">
        <v>148</v>
      </c>
      <c r="D9" s="21" t="s">
        <v>148</v>
      </c>
      <c r="E9" s="21" t="str">
        <f t="shared" si="1"/>
        <v>xform/iauh/iauh/</v>
      </c>
      <c r="F9" s="20"/>
    </row>
    <row r="10" spans="1:6" ht="27.75" thickBot="1">
      <c r="A10" s="21">
        <v>5</v>
      </c>
      <c r="B10" s="18">
        <f t="shared" si="0"/>
        <v>4</v>
      </c>
      <c r="C10" s="21" t="s">
        <v>162</v>
      </c>
      <c r="D10" s="21" t="s">
        <v>162</v>
      </c>
      <c r="E10" s="21" t="str">
        <f t="shared" si="1"/>
        <v>xform/iong/iong/</v>
      </c>
      <c r="F10" s="20"/>
    </row>
    <row r="11" spans="1:6" ht="27.75" thickBot="1">
      <c r="A11" s="21">
        <v>6</v>
      </c>
      <c r="B11" s="18">
        <f t="shared" si="0"/>
        <v>4</v>
      </c>
      <c r="C11" s="21" t="s">
        <v>346</v>
      </c>
      <c r="D11" s="21" t="s">
        <v>346</v>
      </c>
      <c r="E11" s="21" t="str">
        <f t="shared" si="1"/>
        <v>xform/ennh/ennh/</v>
      </c>
      <c r="F11" s="20"/>
    </row>
    <row r="12" spans="1:6" ht="27.75" thickBot="1">
      <c r="A12" s="21">
        <v>10</v>
      </c>
      <c r="B12" s="18">
        <f t="shared" si="0"/>
        <v>4</v>
      </c>
      <c r="C12" s="21" t="s">
        <v>498</v>
      </c>
      <c r="D12" s="21" t="s">
        <v>498</v>
      </c>
      <c r="E12" s="21" t="str">
        <f t="shared" si="1"/>
        <v>xform/onnh/onnh/</v>
      </c>
      <c r="F12" s="20"/>
    </row>
    <row r="13" spans="1:6" ht="27.75" thickBot="1">
      <c r="A13" s="21">
        <v>22</v>
      </c>
      <c r="B13" s="18">
        <f t="shared" si="0"/>
        <v>4</v>
      </c>
      <c r="C13" s="21" t="s">
        <v>364</v>
      </c>
      <c r="D13" s="21" t="s">
        <v>363</v>
      </c>
      <c r="E13" s="21" t="str">
        <f t="shared" si="1"/>
        <v>xform/iorh/ioh/</v>
      </c>
      <c r="F13" s="20"/>
    </row>
    <row r="14" spans="1:6" ht="27.75" thickBot="1">
      <c r="A14" s="21">
        <v>23</v>
      </c>
      <c r="B14" s="18">
        <f t="shared" si="0"/>
        <v>4</v>
      </c>
      <c r="C14" s="21" t="s">
        <v>700</v>
      </c>
      <c r="D14" s="21" t="s">
        <v>167</v>
      </c>
      <c r="E14" s="21" t="str">
        <f t="shared" si="1"/>
        <v>xform/iook/iok/</v>
      </c>
      <c r="F14" s="20"/>
    </row>
    <row r="15" spans="1:6" ht="27.75" thickBot="1">
      <c r="A15" s="21">
        <v>26</v>
      </c>
      <c r="B15" s="18">
        <f t="shared" si="0"/>
        <v>4</v>
      </c>
      <c r="C15" s="21" t="s">
        <v>304</v>
      </c>
      <c r="D15" s="21" t="s">
        <v>304</v>
      </c>
      <c r="E15" s="21" t="str">
        <f t="shared" si="1"/>
        <v>xform/annh/annh/</v>
      </c>
      <c r="F15" s="20"/>
    </row>
    <row r="16" spans="1:6" ht="27.75" thickBot="1">
      <c r="A16" s="21">
        <v>27</v>
      </c>
      <c r="B16" s="18">
        <f t="shared" si="0"/>
        <v>4</v>
      </c>
      <c r="C16" s="21" t="s">
        <v>417</v>
      </c>
      <c r="D16" s="21" t="s">
        <v>417</v>
      </c>
      <c r="E16" s="21" t="str">
        <f t="shared" si="1"/>
        <v>xform/ainn/ainn/</v>
      </c>
      <c r="F16" s="20"/>
    </row>
    <row r="17" spans="1:6" ht="27.75" thickBot="1">
      <c r="A17" s="21">
        <v>28</v>
      </c>
      <c r="B17" s="18">
        <f t="shared" si="0"/>
        <v>4</v>
      </c>
      <c r="C17" s="21" t="s">
        <v>489</v>
      </c>
      <c r="D17" s="21" t="s">
        <v>489</v>
      </c>
      <c r="E17" s="21" t="str">
        <f t="shared" si="1"/>
        <v>xform/aunn/aunn/</v>
      </c>
      <c r="F17" s="20"/>
    </row>
    <row r="18" spans="1:6" ht="27.75" thickBot="1">
      <c r="A18" s="21">
        <v>30</v>
      </c>
      <c r="B18" s="18">
        <f t="shared" si="0"/>
        <v>4</v>
      </c>
      <c r="C18" s="21" t="s">
        <v>391</v>
      </c>
      <c r="D18" s="21" t="s">
        <v>391</v>
      </c>
      <c r="E18" s="21" t="str">
        <f t="shared" si="1"/>
        <v>xform/iann/iann/</v>
      </c>
      <c r="F18" s="20"/>
    </row>
    <row r="19" spans="1:6" ht="27.75" thickBot="1">
      <c r="A19" s="21">
        <v>31</v>
      </c>
      <c r="B19" s="18">
        <f t="shared" si="0"/>
        <v>4</v>
      </c>
      <c r="C19" s="21" t="s">
        <v>376</v>
      </c>
      <c r="D19" s="21" t="s">
        <v>376</v>
      </c>
      <c r="E19" s="21" t="str">
        <f t="shared" si="1"/>
        <v>xform/innh/innh/</v>
      </c>
      <c r="F19" s="20"/>
    </row>
    <row r="20" spans="1:6" ht="27.75" thickBot="1">
      <c r="A20" s="21">
        <v>32</v>
      </c>
      <c r="B20" s="18">
        <f t="shared" si="0"/>
        <v>4</v>
      </c>
      <c r="C20" s="21" t="s">
        <v>504</v>
      </c>
      <c r="D20" s="21" t="s">
        <v>504</v>
      </c>
      <c r="E20" s="21" t="str">
        <f t="shared" si="1"/>
        <v>xform/iunn/iunn/</v>
      </c>
      <c r="F20" s="20"/>
    </row>
    <row r="21" spans="1:6" ht="27.75" thickBot="1">
      <c r="A21" s="21">
        <v>33</v>
      </c>
      <c r="B21" s="18">
        <f t="shared" si="0"/>
        <v>4</v>
      </c>
      <c r="C21" s="21" t="s">
        <v>424</v>
      </c>
      <c r="D21" s="21" t="s">
        <v>425</v>
      </c>
      <c r="E21" s="21" t="str">
        <f t="shared" si="1"/>
        <v>xform/oonn/onn/</v>
      </c>
      <c r="F21" s="20"/>
    </row>
    <row r="22" spans="1:6" ht="27.75" thickBot="1">
      <c r="A22" s="21">
        <v>34</v>
      </c>
      <c r="B22" s="18">
        <f t="shared" si="0"/>
        <v>4</v>
      </c>
      <c r="C22" s="21" t="s">
        <v>399</v>
      </c>
      <c r="D22" s="21" t="s">
        <v>399</v>
      </c>
      <c r="E22" s="21" t="str">
        <f t="shared" si="1"/>
        <v>xform/uann/uann/</v>
      </c>
      <c r="F22" s="20"/>
    </row>
    <row r="23" spans="1:6" ht="27.75" thickBot="1">
      <c r="A23" s="21">
        <v>35</v>
      </c>
      <c r="B23" s="18">
        <f t="shared" si="0"/>
        <v>4</v>
      </c>
      <c r="C23" s="21" t="s">
        <v>351</v>
      </c>
      <c r="D23" s="21" t="s">
        <v>351</v>
      </c>
      <c r="E23" s="21" t="str">
        <f t="shared" si="1"/>
        <v>xform/uinn/uinn/</v>
      </c>
      <c r="F23" s="20"/>
    </row>
    <row r="24" spans="1:6" ht="27.75" thickBot="1">
      <c r="A24" s="21">
        <v>87</v>
      </c>
      <c r="B24" s="18">
        <f t="shared" si="0"/>
        <v>4</v>
      </c>
      <c r="C24" s="21" t="s">
        <v>685</v>
      </c>
      <c r="D24" s="21" t="s">
        <v>685</v>
      </c>
      <c r="E24" s="21" t="str">
        <f t="shared" si="1"/>
        <v>xform/iooh/iooh/</v>
      </c>
      <c r="F24" s="20"/>
    </row>
    <row r="25" spans="1:6" ht="27.75" thickBot="1">
      <c r="A25" s="21">
        <v>92</v>
      </c>
      <c r="B25" s="18">
        <f t="shared" si="0"/>
        <v>4</v>
      </c>
      <c r="C25" s="21" t="s">
        <v>689</v>
      </c>
      <c r="D25" s="21" t="s">
        <v>689</v>
      </c>
      <c r="E25" s="21" t="str">
        <f t="shared" si="1"/>
        <v>xform/aenn/aenn/</v>
      </c>
      <c r="F25" s="20"/>
    </row>
    <row r="26" spans="1:6" ht="27.75" thickBot="1">
      <c r="A26" s="21">
        <v>9</v>
      </c>
      <c r="B26" s="18">
        <f t="shared" si="0"/>
        <v>3</v>
      </c>
      <c r="C26" s="21" t="s">
        <v>141</v>
      </c>
      <c r="D26" s="21" t="s">
        <v>465</v>
      </c>
      <c r="E26" s="21" t="str">
        <f t="shared" si="1"/>
        <v>xform/iau/iaunn/</v>
      </c>
      <c r="F26" s="20"/>
    </row>
    <row r="27" spans="1:6" ht="27.75" thickBot="1">
      <c r="A27" s="21">
        <v>12</v>
      </c>
      <c r="B27" s="18">
        <f t="shared" si="0"/>
        <v>3</v>
      </c>
      <c r="C27" s="21" t="s">
        <v>237</v>
      </c>
      <c r="D27" s="21" t="s">
        <v>237</v>
      </c>
      <c r="E27" s="21" t="str">
        <f t="shared" si="1"/>
        <v>xform/ang/ang/</v>
      </c>
      <c r="F27" s="20"/>
    </row>
    <row r="28" spans="1:6" ht="27.75" thickBot="1">
      <c r="A28" s="21">
        <v>13</v>
      </c>
      <c r="B28" s="18">
        <f t="shared" si="0"/>
        <v>3</v>
      </c>
      <c r="C28" s="21" t="s">
        <v>267</v>
      </c>
      <c r="D28" s="21" t="s">
        <v>267</v>
      </c>
      <c r="E28" s="21" t="str">
        <f t="shared" si="1"/>
        <v>xform/auh/auh/</v>
      </c>
      <c r="F28" s="20"/>
    </row>
    <row r="29" spans="1:6" ht="27.75" thickBot="1">
      <c r="A29" s="21">
        <v>14</v>
      </c>
      <c r="B29" s="18">
        <f t="shared" si="0"/>
        <v>3</v>
      </c>
      <c r="C29" s="21" t="s">
        <v>278</v>
      </c>
      <c r="D29" s="21" t="s">
        <v>278</v>
      </c>
      <c r="E29" s="21" t="str">
        <f t="shared" si="1"/>
        <v>xform/iah/iah/</v>
      </c>
      <c r="F29" s="20"/>
    </row>
    <row r="30" spans="1:6" ht="27.75" thickBot="1">
      <c r="A30" s="21">
        <v>15</v>
      </c>
      <c r="B30" s="18">
        <f t="shared" si="0"/>
        <v>3</v>
      </c>
      <c r="C30" s="21" t="s">
        <v>207</v>
      </c>
      <c r="D30" s="21" t="s">
        <v>207</v>
      </c>
      <c r="E30" s="21" t="str">
        <f t="shared" si="1"/>
        <v>xform/iak/iak/</v>
      </c>
      <c r="F30" s="20"/>
    </row>
    <row r="31" spans="1:6" ht="27.75" thickBot="1">
      <c r="A31" s="21">
        <v>16</v>
      </c>
      <c r="B31" s="18">
        <f t="shared" si="0"/>
        <v>3</v>
      </c>
      <c r="C31" s="21" t="s">
        <v>247</v>
      </c>
      <c r="D31" s="21" t="s">
        <v>247</v>
      </c>
      <c r="E31" s="21" t="str">
        <f t="shared" si="1"/>
        <v>xform/iam/iam/</v>
      </c>
      <c r="F31" s="20"/>
    </row>
    <row r="32" spans="1:6" ht="27.75" thickBot="1">
      <c r="A32" s="21">
        <v>17</v>
      </c>
      <c r="B32" s="18">
        <f t="shared" si="0"/>
        <v>3</v>
      </c>
      <c r="C32" s="21" t="s">
        <v>27</v>
      </c>
      <c r="D32" s="21" t="s">
        <v>27</v>
      </c>
      <c r="E32" s="21" t="str">
        <f t="shared" si="1"/>
        <v>xform/ian/ian/</v>
      </c>
      <c r="F32" s="20"/>
    </row>
    <row r="33" spans="1:6" ht="27.75" thickBot="1">
      <c r="A33" s="21">
        <v>18</v>
      </c>
      <c r="B33" s="18">
        <f t="shared" si="0"/>
        <v>3</v>
      </c>
      <c r="C33" s="21" t="s">
        <v>141</v>
      </c>
      <c r="D33" s="21" t="s">
        <v>141</v>
      </c>
      <c r="E33" s="21" t="str">
        <f t="shared" si="1"/>
        <v>xform/iau/iau/</v>
      </c>
      <c r="F33" s="20"/>
    </row>
    <row r="34" spans="1:6" ht="27.75" thickBot="1">
      <c r="A34" s="21">
        <v>19</v>
      </c>
      <c r="B34" s="18">
        <f t="shared" ref="B34:B65" si="2" xml:space="preserve"> LEN(C34)</f>
        <v>3</v>
      </c>
      <c r="C34" s="21" t="s">
        <v>256</v>
      </c>
      <c r="D34" s="21" t="s">
        <v>256</v>
      </c>
      <c r="E34" s="21" t="str">
        <f t="shared" ref="E34:E65" si="3" xml:space="preserve"> "xform/" &amp; $C34 &amp;  "/"  &amp; $D34 &amp;  "/"</f>
        <v>xform/iap/iap/</v>
      </c>
      <c r="F34" s="20"/>
    </row>
    <row r="35" spans="1:6" ht="27.75" thickBot="1">
      <c r="A35" s="21">
        <v>20</v>
      </c>
      <c r="B35" s="18">
        <f t="shared" si="2"/>
        <v>3</v>
      </c>
      <c r="C35" s="21" t="s">
        <v>34</v>
      </c>
      <c r="D35" s="21" t="s">
        <v>34</v>
      </c>
      <c r="E35" s="21" t="str">
        <f t="shared" si="3"/>
        <v>xform/iat/iat/</v>
      </c>
      <c r="F35" s="20"/>
    </row>
    <row r="36" spans="1:6" ht="27.75" thickBot="1">
      <c r="A36" s="21">
        <v>21</v>
      </c>
      <c r="B36" s="18">
        <f t="shared" si="2"/>
        <v>3</v>
      </c>
      <c r="C36" s="21" t="s">
        <v>109</v>
      </c>
      <c r="D36" s="21" t="s">
        <v>109</v>
      </c>
      <c r="E36" s="21" t="str">
        <f t="shared" si="3"/>
        <v>xform/ing/ing/</v>
      </c>
      <c r="F36" s="20"/>
    </row>
    <row r="37" spans="1:6" ht="27.75" thickBot="1">
      <c r="A37" s="21">
        <v>24</v>
      </c>
      <c r="B37" s="18">
        <f t="shared" si="2"/>
        <v>3</v>
      </c>
      <c r="C37" s="21" t="s">
        <v>663</v>
      </c>
      <c r="D37" s="21" t="s">
        <v>663</v>
      </c>
      <c r="E37" s="21" t="str">
        <f t="shared" si="3"/>
        <v>xform/iuh/iuh/</v>
      </c>
      <c r="F37" s="20"/>
    </row>
    <row r="38" spans="1:6" ht="27.75" thickBot="1">
      <c r="A38" s="21">
        <v>25</v>
      </c>
      <c r="B38" s="18">
        <f t="shared" si="2"/>
        <v>3</v>
      </c>
      <c r="C38" s="21" t="s">
        <v>340</v>
      </c>
      <c r="D38" s="21" t="s">
        <v>340</v>
      </c>
      <c r="E38" s="21" t="str">
        <f t="shared" si="3"/>
        <v>xform/enn/enn/</v>
      </c>
      <c r="F38" s="20"/>
    </row>
    <row r="39" spans="1:6" ht="27.75" thickBot="1">
      <c r="A39" s="21">
        <v>29</v>
      </c>
      <c r="B39" s="18">
        <f t="shared" si="2"/>
        <v>3</v>
      </c>
      <c r="C39" s="21" t="s">
        <v>666</v>
      </c>
      <c r="D39" s="21" t="s">
        <v>666</v>
      </c>
      <c r="E39" s="21" t="str">
        <f t="shared" si="3"/>
        <v>xform/ngh/ngh/</v>
      </c>
      <c r="F39" s="20"/>
    </row>
    <row r="40" spans="1:6" ht="27.75" thickBot="1">
      <c r="A40" s="21">
        <v>36</v>
      </c>
      <c r="B40" s="18">
        <f t="shared" si="2"/>
        <v>3</v>
      </c>
      <c r="C40" s="21" t="s">
        <v>84</v>
      </c>
      <c r="D40" s="21" t="s">
        <v>84</v>
      </c>
      <c r="E40" s="21" t="str">
        <f t="shared" si="3"/>
        <v>xform/ong/ong/</v>
      </c>
      <c r="F40" s="20"/>
    </row>
    <row r="41" spans="1:6" ht="27.75" thickBot="1">
      <c r="A41" s="21">
        <v>37</v>
      </c>
      <c r="B41" s="18">
        <f t="shared" si="2"/>
        <v>3</v>
      </c>
      <c r="C41" s="21" t="s">
        <v>669</v>
      </c>
      <c r="D41" s="21" t="s">
        <v>669</v>
      </c>
      <c r="E41" s="21" t="str">
        <f t="shared" si="3"/>
        <v>xform/ooh/ooh/</v>
      </c>
      <c r="F41" s="20"/>
    </row>
    <row r="42" spans="1:6" ht="27.75" thickBot="1">
      <c r="A42" s="21">
        <v>38</v>
      </c>
      <c r="B42" s="18">
        <f t="shared" si="2"/>
        <v>3</v>
      </c>
      <c r="C42" s="21" t="s">
        <v>230</v>
      </c>
      <c r="D42" s="21" t="s">
        <v>230</v>
      </c>
      <c r="E42" s="21" t="str">
        <f t="shared" si="3"/>
        <v>xform/uah/uah/</v>
      </c>
      <c r="F42" s="20"/>
    </row>
    <row r="43" spans="1:6" ht="27.75" thickBot="1">
      <c r="A43" s="21">
        <v>39</v>
      </c>
      <c r="B43" s="18">
        <f t="shared" si="2"/>
        <v>3</v>
      </c>
      <c r="C43" s="21" t="s">
        <v>94</v>
      </c>
      <c r="D43" s="21" t="s">
        <v>94</v>
      </c>
      <c r="E43" s="21" t="str">
        <f t="shared" si="3"/>
        <v>xform/uai/uai/</v>
      </c>
      <c r="F43" s="20"/>
    </row>
    <row r="44" spans="1:6" ht="27.75" thickBot="1">
      <c r="A44" s="21">
        <v>41</v>
      </c>
      <c r="B44" s="18">
        <f t="shared" si="2"/>
        <v>3</v>
      </c>
      <c r="C44" s="21" t="s">
        <v>120</v>
      </c>
      <c r="D44" s="21" t="s">
        <v>120</v>
      </c>
      <c r="E44" s="21" t="str">
        <f t="shared" si="3"/>
        <v>xform/uan/uan/</v>
      </c>
      <c r="F44" s="20"/>
    </row>
    <row r="45" spans="1:6" ht="27.75" thickBot="1">
      <c r="A45" s="21">
        <v>42</v>
      </c>
      <c r="B45" s="18">
        <f t="shared" si="2"/>
        <v>3</v>
      </c>
      <c r="C45" s="21" t="s">
        <v>129</v>
      </c>
      <c r="D45" s="21" t="s">
        <v>129</v>
      </c>
      <c r="E45" s="21" t="str">
        <f t="shared" si="3"/>
        <v>xform/uat/uat/</v>
      </c>
      <c r="F45" s="20"/>
    </row>
    <row r="46" spans="1:6" ht="27.75" thickBot="1">
      <c r="A46" s="21">
        <v>43</v>
      </c>
      <c r="B46" s="18">
        <f t="shared" si="2"/>
        <v>3</v>
      </c>
      <c r="C46" s="21" t="s">
        <v>290</v>
      </c>
      <c r="D46" s="21" t="s">
        <v>290</v>
      </c>
      <c r="E46" s="21" t="str">
        <f t="shared" si="3"/>
        <v>xform/ueh/ueh/</v>
      </c>
      <c r="F46" s="20"/>
    </row>
    <row r="47" spans="1:6" ht="27.75" thickBot="1">
      <c r="A47" s="21">
        <v>61</v>
      </c>
      <c r="B47" s="18">
        <f t="shared" si="2"/>
        <v>3</v>
      </c>
      <c r="C47" s="21" t="s">
        <v>360</v>
      </c>
      <c r="D47" s="21" t="s">
        <v>357</v>
      </c>
      <c r="E47" s="21" t="str">
        <f t="shared" si="3"/>
        <v>xform/ior/io/</v>
      </c>
      <c r="F47" s="20"/>
    </row>
    <row r="48" spans="1:6" ht="27.75" thickBot="1">
      <c r="A48" s="21">
        <v>66</v>
      </c>
      <c r="B48" s="18">
        <f t="shared" si="2"/>
        <v>3</v>
      </c>
      <c r="C48" s="21" t="s">
        <v>297</v>
      </c>
      <c r="D48" s="21" t="s">
        <v>297</v>
      </c>
      <c r="E48" s="21" t="str">
        <f t="shared" si="3"/>
        <v>xform/ann/ann/</v>
      </c>
      <c r="F48" s="20"/>
    </row>
    <row r="49" spans="1:6" ht="27.75" thickBot="1">
      <c r="A49" s="21">
        <v>68</v>
      </c>
      <c r="B49" s="18">
        <f t="shared" si="2"/>
        <v>3</v>
      </c>
      <c r="C49" s="21" t="s">
        <v>370</v>
      </c>
      <c r="D49" s="21" t="s">
        <v>370</v>
      </c>
      <c r="E49" s="21" t="str">
        <f t="shared" si="3"/>
        <v>xform/inn/inn/</v>
      </c>
      <c r="F49" s="20"/>
    </row>
    <row r="50" spans="1:6" ht="27.75" thickBot="1">
      <c r="A50" s="21">
        <v>69</v>
      </c>
      <c r="B50" s="18">
        <f t="shared" si="2"/>
        <v>3</v>
      </c>
      <c r="C50" s="21" t="s">
        <v>179</v>
      </c>
      <c r="D50" s="21" t="s">
        <v>178</v>
      </c>
      <c r="E50" s="21" t="str">
        <f t="shared" si="3"/>
        <v>xform/orh/oh/</v>
      </c>
      <c r="F50" s="20"/>
    </row>
    <row r="51" spans="1:6" ht="27.75" thickBot="1">
      <c r="A51" s="21">
        <v>72</v>
      </c>
      <c r="B51" s="18">
        <f t="shared" si="2"/>
        <v>3</v>
      </c>
      <c r="C51" s="21" t="s">
        <v>484</v>
      </c>
      <c r="D51" s="21" t="s">
        <v>483</v>
      </c>
      <c r="E51" s="21" t="str">
        <f t="shared" si="3"/>
        <v>xform/oop/op/</v>
      </c>
      <c r="F51" s="20"/>
    </row>
    <row r="52" spans="1:6" ht="27.75" thickBot="1">
      <c r="A52" s="21">
        <v>85</v>
      </c>
      <c r="B52" s="18">
        <f t="shared" si="2"/>
        <v>3</v>
      </c>
      <c r="C52" s="21" t="s">
        <v>478</v>
      </c>
      <c r="D52" s="21" t="s">
        <v>477</v>
      </c>
      <c r="E52" s="21" t="str">
        <f t="shared" si="3"/>
        <v>xform/oom/om/</v>
      </c>
      <c r="F52" s="20"/>
    </row>
    <row r="53" spans="1:6" ht="27.75" thickBot="1">
      <c r="A53" s="21">
        <v>91</v>
      </c>
      <c r="B53" s="18">
        <f t="shared" si="2"/>
        <v>3</v>
      </c>
      <c r="C53" s="21" t="s">
        <v>688</v>
      </c>
      <c r="D53" s="21" t="s">
        <v>688</v>
      </c>
      <c r="E53" s="21" t="str">
        <f t="shared" si="3"/>
        <v>xform/uae/uae/</v>
      </c>
      <c r="F53" s="20"/>
    </row>
    <row r="54" spans="1:6" ht="27.75" thickBot="1">
      <c r="A54" s="21">
        <v>95</v>
      </c>
      <c r="B54" s="18">
        <f t="shared" si="2"/>
        <v>3</v>
      </c>
      <c r="C54" s="21" t="s">
        <v>110</v>
      </c>
      <c r="D54" s="21" t="s">
        <v>110</v>
      </c>
      <c r="E54" s="21" t="str">
        <f t="shared" si="3"/>
        <v>xform/eng/eng/</v>
      </c>
      <c r="F54" s="20"/>
    </row>
    <row r="55" spans="1:6" ht="27.75" thickBot="1">
      <c r="A55" s="21">
        <v>11</v>
      </c>
      <c r="B55" s="18">
        <f t="shared" si="2"/>
        <v>2</v>
      </c>
      <c r="C55" s="21" t="s">
        <v>65</v>
      </c>
      <c r="D55" s="21" t="s">
        <v>64</v>
      </c>
      <c r="E55" s="21" t="str">
        <f t="shared" si="3"/>
        <v>xform/eh/eeh/</v>
      </c>
      <c r="F55" s="20"/>
    </row>
    <row r="56" spans="1:6" ht="27.75" thickBot="1">
      <c r="A56" s="21">
        <v>45</v>
      </c>
      <c r="B56" s="18">
        <f t="shared" si="2"/>
        <v>2</v>
      </c>
      <c r="C56" s="21" t="s">
        <v>321</v>
      </c>
      <c r="D56" s="21" t="s">
        <v>321</v>
      </c>
      <c r="E56" s="21" t="str">
        <f t="shared" si="3"/>
        <v>xform/ah/ah/</v>
      </c>
      <c r="F56" s="20"/>
    </row>
    <row r="57" spans="1:6" ht="27.75" thickBot="1">
      <c r="A57" s="21">
        <v>46</v>
      </c>
      <c r="B57" s="18">
        <f t="shared" si="2"/>
        <v>2</v>
      </c>
      <c r="C57" s="21" t="s">
        <v>183</v>
      </c>
      <c r="D57" s="21" t="s">
        <v>183</v>
      </c>
      <c r="E57" s="21" t="str">
        <f t="shared" si="3"/>
        <v>xform/ai/ai/</v>
      </c>
      <c r="F57" s="20"/>
    </row>
    <row r="58" spans="1:6" ht="27.75" thickBot="1">
      <c r="A58" s="21">
        <v>47</v>
      </c>
      <c r="B58" s="18">
        <f t="shared" si="2"/>
        <v>2</v>
      </c>
      <c r="C58" s="21" t="s">
        <v>243</v>
      </c>
      <c r="D58" s="21" t="s">
        <v>243</v>
      </c>
      <c r="E58" s="21" t="str">
        <f t="shared" si="3"/>
        <v>xform/ak/ak/</v>
      </c>
      <c r="F58" s="20"/>
    </row>
    <row r="59" spans="1:6" ht="27.75" thickBot="1">
      <c r="A59" s="21">
        <v>48</v>
      </c>
      <c r="B59" s="18">
        <f t="shared" si="2"/>
        <v>2</v>
      </c>
      <c r="C59" s="21" t="s">
        <v>211</v>
      </c>
      <c r="D59" s="21" t="s">
        <v>211</v>
      </c>
      <c r="E59" s="21" t="str">
        <f t="shared" si="3"/>
        <v>xform/am/am/</v>
      </c>
      <c r="F59" s="20"/>
    </row>
    <row r="60" spans="1:6" ht="27.75" thickBot="1">
      <c r="A60" s="21">
        <v>49</v>
      </c>
      <c r="B60" s="18">
        <f t="shared" si="2"/>
        <v>2</v>
      </c>
      <c r="C60" s="21" t="s">
        <v>69</v>
      </c>
      <c r="D60" s="21" t="s">
        <v>69</v>
      </c>
      <c r="E60" s="21" t="str">
        <f t="shared" si="3"/>
        <v>xform/an/an/</v>
      </c>
      <c r="F60" s="20"/>
    </row>
    <row r="61" spans="1:6" ht="27.75" thickBot="1">
      <c r="A61" s="21">
        <v>50</v>
      </c>
      <c r="B61" s="18">
        <f t="shared" si="2"/>
        <v>2</v>
      </c>
      <c r="C61" s="21" t="s">
        <v>260</v>
      </c>
      <c r="D61" s="21" t="s">
        <v>260</v>
      </c>
      <c r="E61" s="21" t="str">
        <f t="shared" si="3"/>
        <v>xform/au/au/</v>
      </c>
      <c r="F61" s="20"/>
    </row>
    <row r="62" spans="1:6" ht="27.75" thickBot="1">
      <c r="A62" s="21">
        <v>51</v>
      </c>
      <c r="B62" s="18">
        <f t="shared" si="2"/>
        <v>2</v>
      </c>
      <c r="C62" s="21" t="s">
        <v>219</v>
      </c>
      <c r="D62" s="21" t="s">
        <v>219</v>
      </c>
      <c r="E62" s="21" t="str">
        <f t="shared" si="3"/>
        <v>xform/ap/ap/</v>
      </c>
      <c r="F62" s="20"/>
    </row>
    <row r="63" spans="1:6" ht="27.75" thickBot="1">
      <c r="A63" s="21">
        <v>52</v>
      </c>
      <c r="B63" s="18">
        <f t="shared" si="2"/>
        <v>2</v>
      </c>
      <c r="C63" s="21" t="s">
        <v>77</v>
      </c>
      <c r="D63" s="21" t="s">
        <v>77</v>
      </c>
      <c r="E63" s="21" t="str">
        <f t="shared" si="3"/>
        <v>xform/at/at/</v>
      </c>
      <c r="F63" s="20"/>
    </row>
    <row r="64" spans="1:6" ht="27.75" thickBot="1">
      <c r="A64" s="21">
        <v>53</v>
      </c>
      <c r="B64" s="18">
        <f t="shared" si="2"/>
        <v>2</v>
      </c>
      <c r="C64" s="21" t="s">
        <v>65</v>
      </c>
      <c r="D64" s="21" t="s">
        <v>65</v>
      </c>
      <c r="E64" s="21" t="str">
        <f t="shared" si="3"/>
        <v>xform/eh/eh/</v>
      </c>
      <c r="F64" s="20"/>
    </row>
    <row r="65" spans="1:6" ht="27.75" thickBot="1">
      <c r="A65" s="21">
        <v>55</v>
      </c>
      <c r="B65" s="18">
        <f t="shared" si="2"/>
        <v>2</v>
      </c>
      <c r="C65" s="21" t="s">
        <v>272</v>
      </c>
      <c r="D65" s="21" t="s">
        <v>272</v>
      </c>
      <c r="E65" s="21" t="str">
        <f t="shared" si="3"/>
        <v>xform/ia/ia/</v>
      </c>
      <c r="F65" s="20"/>
    </row>
    <row r="66" spans="1:6" ht="27.75" thickBot="1">
      <c r="A66" s="21">
        <v>57</v>
      </c>
      <c r="B66" s="18">
        <f t="shared" ref="B66:B97" si="4" xml:space="preserve"> LEN(C66)</f>
        <v>2</v>
      </c>
      <c r="C66" s="21" t="s">
        <v>329</v>
      </c>
      <c r="D66" s="21" t="s">
        <v>329</v>
      </c>
      <c r="E66" s="21" t="str">
        <f t="shared" ref="E66:E97" si="5" xml:space="preserve"> "xform/" &amp; $C66 &amp;  "/"  &amp; $D66 &amp;  "/"</f>
        <v>xform/ih/ih/</v>
      </c>
      <c r="F66" s="20"/>
    </row>
    <row r="67" spans="1:6" ht="27.75" thickBot="1">
      <c r="A67" s="21">
        <v>58</v>
      </c>
      <c r="B67" s="18">
        <f t="shared" si="4"/>
        <v>2</v>
      </c>
      <c r="C67" s="21" t="s">
        <v>115</v>
      </c>
      <c r="D67" s="21" t="s">
        <v>115</v>
      </c>
      <c r="E67" s="21" t="str">
        <f t="shared" si="5"/>
        <v>xform/ik/ik/</v>
      </c>
      <c r="F67" s="20"/>
    </row>
    <row r="68" spans="1:6" ht="27.75" thickBot="1">
      <c r="A68" s="21">
        <v>59</v>
      </c>
      <c r="B68" s="18">
        <f t="shared" si="4"/>
        <v>2</v>
      </c>
      <c r="C68" s="21" t="s">
        <v>38</v>
      </c>
      <c r="D68" s="21" t="s">
        <v>38</v>
      </c>
      <c r="E68" s="21" t="str">
        <f t="shared" si="5"/>
        <v>xform/im/im/</v>
      </c>
      <c r="F68" s="20"/>
    </row>
    <row r="69" spans="1:6" ht="27.75" thickBot="1">
      <c r="A69" s="21">
        <v>60</v>
      </c>
      <c r="B69" s="18">
        <f t="shared" si="4"/>
        <v>2</v>
      </c>
      <c r="C69" s="21" t="s">
        <v>189</v>
      </c>
      <c r="D69" s="21" t="s">
        <v>189</v>
      </c>
      <c r="E69" s="21" t="str">
        <f t="shared" si="5"/>
        <v>xform/in/in/</v>
      </c>
      <c r="F69" s="20"/>
    </row>
    <row r="70" spans="1:6" ht="27.75" thickBot="1">
      <c r="A70" s="21">
        <v>62</v>
      </c>
      <c r="B70" s="18">
        <f t="shared" si="4"/>
        <v>2</v>
      </c>
      <c r="C70" s="21" t="s">
        <v>46</v>
      </c>
      <c r="D70" s="21" t="s">
        <v>46</v>
      </c>
      <c r="E70" s="21" t="str">
        <f t="shared" si="5"/>
        <v>xform/ip/ip/</v>
      </c>
      <c r="F70" s="20"/>
    </row>
    <row r="71" spans="1:6" ht="27.75" thickBot="1">
      <c r="A71" s="21">
        <v>63</v>
      </c>
      <c r="B71" s="18">
        <f t="shared" si="4"/>
        <v>2</v>
      </c>
      <c r="C71" s="21" t="s">
        <v>197</v>
      </c>
      <c r="D71" s="21" t="s">
        <v>197</v>
      </c>
      <c r="E71" s="21" t="str">
        <f t="shared" si="5"/>
        <v>xform/it/it/</v>
      </c>
      <c r="F71" s="20"/>
    </row>
    <row r="72" spans="1:6" ht="27.75" thickBot="1">
      <c r="A72" s="21">
        <v>64</v>
      </c>
      <c r="B72" s="18">
        <f t="shared" si="4"/>
        <v>2</v>
      </c>
      <c r="C72" s="21" t="s">
        <v>332</v>
      </c>
      <c r="D72" s="21" t="s">
        <v>332</v>
      </c>
      <c r="E72" s="21" t="str">
        <f t="shared" si="5"/>
        <v>xform/iu/iu/</v>
      </c>
      <c r="F72" s="20"/>
    </row>
    <row r="73" spans="1:6" ht="27.75" thickBot="1">
      <c r="A73" s="21">
        <v>65</v>
      </c>
      <c r="B73" s="18">
        <f t="shared" si="4"/>
        <v>2</v>
      </c>
      <c r="C73" s="21" t="s">
        <v>679</v>
      </c>
      <c r="D73" s="21" t="s">
        <v>679</v>
      </c>
      <c r="E73" s="21" t="str">
        <f t="shared" si="5"/>
        <v>xform/mh/mh/</v>
      </c>
      <c r="F73" s="20"/>
    </row>
    <row r="74" spans="1:6" ht="27.75" thickBot="1">
      <c r="A74" s="21">
        <v>67</v>
      </c>
      <c r="B74" s="18">
        <f t="shared" si="4"/>
        <v>2</v>
      </c>
      <c r="C74" s="21" t="s">
        <v>407</v>
      </c>
      <c r="D74" s="21" t="s">
        <v>407</v>
      </c>
      <c r="E74" s="21" t="str">
        <f t="shared" si="5"/>
        <v>xform/ng/ng/</v>
      </c>
      <c r="F74" s="20"/>
    </row>
    <row r="75" spans="1:6" ht="27.75" thickBot="1">
      <c r="A75" s="21">
        <v>70</v>
      </c>
      <c r="B75" s="18">
        <f t="shared" si="4"/>
        <v>2</v>
      </c>
      <c r="C75" s="21" t="s">
        <v>90</v>
      </c>
      <c r="D75" s="21" t="s">
        <v>90</v>
      </c>
      <c r="E75" s="21" t="str">
        <f t="shared" si="5"/>
        <v>xform/ok/ok/</v>
      </c>
      <c r="F75" s="20"/>
    </row>
    <row r="76" spans="1:6" ht="27.75" thickBot="1">
      <c r="A76" s="21">
        <v>71</v>
      </c>
      <c r="B76" s="18">
        <f t="shared" si="4"/>
        <v>2</v>
      </c>
      <c r="C76" s="21" t="s">
        <v>136</v>
      </c>
      <c r="D76" s="21" t="s">
        <v>136</v>
      </c>
      <c r="E76" s="21" t="str">
        <f t="shared" si="5"/>
        <v>xform/oo/oo/</v>
      </c>
      <c r="F76" s="20"/>
    </row>
    <row r="77" spans="1:6" ht="27.75" thickBot="1">
      <c r="A77" s="21">
        <v>73</v>
      </c>
      <c r="B77" s="18">
        <f t="shared" si="4"/>
        <v>2</v>
      </c>
      <c r="C77" s="21" t="s">
        <v>223</v>
      </c>
      <c r="D77" s="21" t="s">
        <v>223</v>
      </c>
      <c r="E77" s="21" t="str">
        <f t="shared" si="5"/>
        <v>xform/ua/ua/</v>
      </c>
      <c r="F77" s="20"/>
    </row>
    <row r="78" spans="1:6" ht="27.75" thickBot="1">
      <c r="A78" s="21">
        <v>74</v>
      </c>
      <c r="B78" s="18">
        <f t="shared" si="4"/>
        <v>2</v>
      </c>
      <c r="C78" s="21" t="s">
        <v>285</v>
      </c>
      <c r="D78" s="21" t="s">
        <v>285</v>
      </c>
      <c r="E78" s="21" t="str">
        <f t="shared" si="5"/>
        <v>xform/ue/ue/</v>
      </c>
      <c r="F78" s="20"/>
    </row>
    <row r="79" spans="1:6" ht="27.75" thickBot="1">
      <c r="A79" s="21">
        <v>75</v>
      </c>
      <c r="B79" s="18">
        <f t="shared" si="4"/>
        <v>2</v>
      </c>
      <c r="C79" s="21" t="s">
        <v>313</v>
      </c>
      <c r="D79" s="21" t="s">
        <v>313</v>
      </c>
      <c r="E79" s="21" t="str">
        <f t="shared" si="5"/>
        <v>xform/uh/uh/</v>
      </c>
      <c r="F79" s="20"/>
    </row>
    <row r="80" spans="1:6" ht="27.75" thickBot="1">
      <c r="A80" s="21">
        <v>76</v>
      </c>
      <c r="B80" s="18">
        <f t="shared" si="4"/>
        <v>2</v>
      </c>
      <c r="C80" s="21" t="s">
        <v>50</v>
      </c>
      <c r="D80" s="21" t="s">
        <v>50</v>
      </c>
      <c r="E80" s="21" t="str">
        <f t="shared" si="5"/>
        <v>xform/ui/ui/</v>
      </c>
      <c r="F80" s="20"/>
    </row>
    <row r="81" spans="1:6" ht="27.75" thickBot="1">
      <c r="A81" s="21">
        <v>77</v>
      </c>
      <c r="B81" s="18">
        <f t="shared" si="4"/>
        <v>2</v>
      </c>
      <c r="C81" s="21" t="s">
        <v>14</v>
      </c>
      <c r="D81" s="21" t="s">
        <v>14</v>
      </c>
      <c r="E81" s="21" t="str">
        <f t="shared" si="5"/>
        <v>xform/un/un/</v>
      </c>
      <c r="F81" s="20"/>
    </row>
    <row r="82" spans="1:6" ht="27.75" thickBot="1">
      <c r="A82" s="21">
        <v>78</v>
      </c>
      <c r="B82" s="18">
        <f t="shared" si="4"/>
        <v>2</v>
      </c>
      <c r="C82" s="21" t="s">
        <v>22</v>
      </c>
      <c r="D82" s="21" t="s">
        <v>22</v>
      </c>
      <c r="E82" s="21" t="str">
        <f t="shared" si="5"/>
        <v>xform/ut/ut/</v>
      </c>
      <c r="F82" s="20"/>
    </row>
    <row r="83" spans="1:6" ht="27.75" thickBot="1">
      <c r="A83" s="21">
        <v>83</v>
      </c>
      <c r="B83" s="18">
        <f t="shared" si="4"/>
        <v>2</v>
      </c>
      <c r="C83" s="21" t="s">
        <v>174</v>
      </c>
      <c r="D83" s="21" t="s">
        <v>171</v>
      </c>
      <c r="E83" s="21" t="str">
        <f t="shared" si="5"/>
        <v>xform/or/o/</v>
      </c>
      <c r="F83" s="20"/>
    </row>
    <row r="84" spans="1:6" ht="27.75" thickBot="1">
      <c r="A84" s="21">
        <v>89</v>
      </c>
      <c r="B84" s="18">
        <f t="shared" si="4"/>
        <v>2</v>
      </c>
      <c r="C84" s="21" t="s">
        <v>134</v>
      </c>
      <c r="D84" s="21" t="s">
        <v>134</v>
      </c>
      <c r="E84" s="21" t="str">
        <f t="shared" si="5"/>
        <v>xform/ou/ou/</v>
      </c>
      <c r="F84" s="20"/>
    </row>
    <row r="85" spans="1:6" ht="27.75" thickBot="1">
      <c r="A85" s="21">
        <v>90</v>
      </c>
      <c r="B85" s="18">
        <f t="shared" si="4"/>
        <v>2</v>
      </c>
      <c r="C85" s="21" t="s">
        <v>687</v>
      </c>
      <c r="D85" s="21" t="s">
        <v>687</v>
      </c>
      <c r="E85" s="21" t="str">
        <f t="shared" si="5"/>
        <v>xform/ae/ae/</v>
      </c>
      <c r="F85" s="20"/>
    </row>
    <row r="86" spans="1:6" ht="27.75" thickBot="1">
      <c r="A86" s="21">
        <v>93</v>
      </c>
      <c r="B86" s="18">
        <f t="shared" si="4"/>
        <v>2</v>
      </c>
      <c r="C86" s="21" t="s">
        <v>675</v>
      </c>
      <c r="D86" s="21" t="s">
        <v>675</v>
      </c>
      <c r="E86" s="21" t="str">
        <f t="shared" si="5"/>
        <v>xform/eu/eu/</v>
      </c>
      <c r="F86" s="20"/>
    </row>
    <row r="87" spans="1:6" ht="27.75" thickBot="1">
      <c r="A87" s="21">
        <v>96</v>
      </c>
      <c r="B87" s="18">
        <f t="shared" si="4"/>
        <v>2</v>
      </c>
      <c r="C87" s="21" t="s">
        <v>116</v>
      </c>
      <c r="D87" s="21" t="s">
        <v>116</v>
      </c>
      <c r="E87" s="21" t="str">
        <f t="shared" si="5"/>
        <v>xform/ek/ek/</v>
      </c>
      <c r="F87" s="20"/>
    </row>
    <row r="88" spans="1:6" ht="27.75" thickBot="1">
      <c r="A88" s="21">
        <v>44</v>
      </c>
      <c r="B88" s="18">
        <f t="shared" si="4"/>
        <v>1</v>
      </c>
      <c r="C88" s="21" t="s">
        <v>60</v>
      </c>
      <c r="D88" s="21" t="s">
        <v>59</v>
      </c>
      <c r="E88" s="21" t="str">
        <f t="shared" si="5"/>
        <v>xform/e/ee/</v>
      </c>
      <c r="F88" s="20"/>
    </row>
    <row r="89" spans="1:6" ht="27.75" thickBot="1">
      <c r="A89" s="21">
        <v>54</v>
      </c>
      <c r="B89" s="18">
        <f t="shared" si="4"/>
        <v>1</v>
      </c>
      <c r="C89" s="21">
        <v>0</v>
      </c>
      <c r="D89" s="21" t="s">
        <v>674</v>
      </c>
      <c r="E89" s="21" t="str">
        <f t="shared" si="5"/>
        <v>xform/0/ir/</v>
      </c>
      <c r="F89" s="20"/>
    </row>
    <row r="90" spans="1:6" ht="27.75" thickBot="1">
      <c r="A90" s="21">
        <v>56</v>
      </c>
      <c r="B90" s="18">
        <f t="shared" si="4"/>
        <v>1</v>
      </c>
      <c r="C90" s="21">
        <v>0</v>
      </c>
      <c r="D90" s="21" t="s">
        <v>676</v>
      </c>
      <c r="E90" s="21" t="str">
        <f t="shared" si="5"/>
        <v>xform/0/er/</v>
      </c>
      <c r="F90" s="20"/>
    </row>
    <row r="91" spans="1:6" ht="27.75" thickBot="1">
      <c r="A91" s="21">
        <v>79</v>
      </c>
      <c r="B91" s="18">
        <f t="shared" si="4"/>
        <v>1</v>
      </c>
      <c r="C91" s="21" t="s">
        <v>316</v>
      </c>
      <c r="D91" s="21" t="s">
        <v>316</v>
      </c>
      <c r="E91" s="21" t="str">
        <f t="shared" si="5"/>
        <v>xform/a/a/</v>
      </c>
      <c r="F91" s="20"/>
    </row>
    <row r="92" spans="1:6" ht="27.75" thickBot="1">
      <c r="A92" s="21">
        <v>80</v>
      </c>
      <c r="B92" s="18">
        <f t="shared" si="4"/>
        <v>1</v>
      </c>
      <c r="C92" s="21" t="s">
        <v>60</v>
      </c>
      <c r="D92" s="21" t="s">
        <v>60</v>
      </c>
      <c r="E92" s="21" t="str">
        <f t="shared" si="5"/>
        <v>xform/e/e/</v>
      </c>
      <c r="F92" s="20"/>
    </row>
    <row r="93" spans="1:6" ht="27.75" thickBot="1">
      <c r="A93" s="21">
        <v>81</v>
      </c>
      <c r="B93" s="18">
        <f t="shared" si="4"/>
        <v>1</v>
      </c>
      <c r="C93" s="21" t="s">
        <v>324</v>
      </c>
      <c r="D93" s="21" t="s">
        <v>324</v>
      </c>
      <c r="E93" s="21" t="str">
        <f t="shared" si="5"/>
        <v>xform/i/i/</v>
      </c>
      <c r="F93" s="20"/>
    </row>
    <row r="94" spans="1:6" ht="27.75" thickBot="1">
      <c r="A94" s="21">
        <v>82</v>
      </c>
      <c r="B94" s="18">
        <f t="shared" si="4"/>
        <v>1</v>
      </c>
      <c r="C94" s="21" t="s">
        <v>431</v>
      </c>
      <c r="D94" s="21" t="s">
        <v>431</v>
      </c>
      <c r="E94" s="21" t="str">
        <f t="shared" si="5"/>
        <v>xform/m/m/</v>
      </c>
      <c r="F94" s="20"/>
    </row>
    <row r="95" spans="1:6" ht="27.75" thickBot="1">
      <c r="A95" s="21">
        <v>84</v>
      </c>
      <c r="B95" s="18">
        <f t="shared" si="4"/>
        <v>1</v>
      </c>
      <c r="C95" s="21" t="s">
        <v>308</v>
      </c>
      <c r="D95" s="21" t="s">
        <v>308</v>
      </c>
      <c r="E95" s="21" t="str">
        <f t="shared" si="5"/>
        <v>xform/u/u/</v>
      </c>
      <c r="F95" s="20"/>
    </row>
    <row r="96" spans="1:6" ht="27.75" thickBot="1">
      <c r="A96" s="21">
        <v>88</v>
      </c>
      <c r="B96" s="18">
        <f t="shared" si="4"/>
        <v>1</v>
      </c>
      <c r="C96" s="21" t="s">
        <v>60</v>
      </c>
      <c r="D96" s="21" t="s">
        <v>153</v>
      </c>
      <c r="E96" s="21" t="str">
        <f t="shared" si="5"/>
        <v>xform/e/ei/</v>
      </c>
      <c r="F96" s="20"/>
    </row>
    <row r="97" spans="1:6" ht="27.75" thickBot="1">
      <c r="A97" s="21">
        <v>94</v>
      </c>
      <c r="B97" s="18">
        <f t="shared" si="4"/>
        <v>1</v>
      </c>
      <c r="C97" s="21">
        <v>0</v>
      </c>
      <c r="D97" s="21" t="s">
        <v>690</v>
      </c>
      <c r="E97" s="21" t="str">
        <f t="shared" si="5"/>
        <v>xform/0/ioo/</v>
      </c>
      <c r="F97" s="20"/>
    </row>
  </sheetData>
  <sortState xmlns:xlrd2="http://schemas.microsoft.com/office/spreadsheetml/2017/richdata2" ref="A2:E97">
    <sortCondition descending="1" ref="B2:B97"/>
  </sortState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244F8-C6AC-4FDD-ADA9-DDCEF8FB7AC7}">
  <dimension ref="A1:S84"/>
  <sheetViews>
    <sheetView workbookViewId="0">
      <selection activeCell="A3" sqref="A3:B84"/>
    </sheetView>
  </sheetViews>
  <sheetFormatPr defaultRowHeight="25.5"/>
  <sheetData>
    <row r="1" spans="1:19">
      <c r="A1" t="s">
        <v>1109</v>
      </c>
    </row>
    <row r="2" spans="1:19">
      <c r="B2" t="s">
        <v>563</v>
      </c>
      <c r="C2" t="s">
        <v>580</v>
      </c>
      <c r="D2" t="s">
        <v>516</v>
      </c>
      <c r="E2" t="s">
        <v>536</v>
      </c>
      <c r="F2" t="s">
        <v>519</v>
      </c>
      <c r="G2" t="s">
        <v>431</v>
      </c>
      <c r="H2" t="s">
        <v>531</v>
      </c>
      <c r="I2" t="s">
        <v>541</v>
      </c>
      <c r="J2" t="s">
        <v>587</v>
      </c>
      <c r="K2" t="s">
        <v>512</v>
      </c>
      <c r="L2" t="s">
        <v>1110</v>
      </c>
      <c r="M2" t="s">
        <v>1111</v>
      </c>
      <c r="N2" t="s">
        <v>1112</v>
      </c>
      <c r="O2" t="s">
        <v>1113</v>
      </c>
      <c r="P2" t="s">
        <v>521</v>
      </c>
      <c r="Q2" t="s">
        <v>526</v>
      </c>
      <c r="R2" t="s">
        <v>524</v>
      </c>
      <c r="S2" t="s">
        <v>592</v>
      </c>
    </row>
    <row r="3" spans="1:19">
      <c r="A3" t="s">
        <v>316</v>
      </c>
      <c r="B3" t="s">
        <v>316</v>
      </c>
      <c r="C3" t="s">
        <v>1114</v>
      </c>
      <c r="D3" t="s">
        <v>1115</v>
      </c>
      <c r="E3" t="s">
        <v>1116</v>
      </c>
      <c r="F3" t="s">
        <v>1117</v>
      </c>
      <c r="G3" t="s">
        <v>1118</v>
      </c>
      <c r="H3" t="s">
        <v>1119</v>
      </c>
      <c r="I3" t="s">
        <v>1120</v>
      </c>
      <c r="J3" t="s">
        <v>299</v>
      </c>
      <c r="K3" t="s">
        <v>1121</v>
      </c>
      <c r="L3" t="s">
        <v>1122</v>
      </c>
      <c r="M3" t="s">
        <v>1123</v>
      </c>
      <c r="O3" t="s">
        <v>1124</v>
      </c>
      <c r="P3" t="s">
        <v>1125</v>
      </c>
      <c r="Q3" t="s">
        <v>1126</v>
      </c>
      <c r="R3" t="s">
        <v>1127</v>
      </c>
      <c r="S3" t="s">
        <v>1128</v>
      </c>
    </row>
    <row r="4" spans="1:19">
      <c r="A4" t="s">
        <v>926</v>
      </c>
      <c r="B4" t="s">
        <v>297</v>
      </c>
      <c r="C4" t="s">
        <v>1129</v>
      </c>
      <c r="E4" t="s">
        <v>1130</v>
      </c>
      <c r="H4" t="s">
        <v>1131</v>
      </c>
      <c r="I4" t="s">
        <v>1132</v>
      </c>
      <c r="L4" t="s">
        <v>1133</v>
      </c>
      <c r="M4" t="s">
        <v>1134</v>
      </c>
      <c r="O4" t="s">
        <v>1135</v>
      </c>
      <c r="P4" t="s">
        <v>1136</v>
      </c>
      <c r="Q4" t="s">
        <v>1137</v>
      </c>
    </row>
    <row r="5" spans="1:19">
      <c r="A5" t="s">
        <v>672</v>
      </c>
      <c r="B5" t="s">
        <v>321</v>
      </c>
      <c r="C5" t="s">
        <v>1138</v>
      </c>
      <c r="D5" t="s">
        <v>1139</v>
      </c>
      <c r="E5" t="s">
        <v>1140</v>
      </c>
      <c r="F5" t="s">
        <v>1141</v>
      </c>
      <c r="G5" t="s">
        <v>1142</v>
      </c>
      <c r="H5" t="s">
        <v>1143</v>
      </c>
      <c r="I5" t="s">
        <v>1144</v>
      </c>
      <c r="J5" t="s">
        <v>305</v>
      </c>
      <c r="K5" t="s">
        <v>1145</v>
      </c>
      <c r="L5" t="s">
        <v>1146</v>
      </c>
      <c r="M5" t="s">
        <v>1147</v>
      </c>
      <c r="O5" t="s">
        <v>1148</v>
      </c>
      <c r="P5" t="s">
        <v>1149</v>
      </c>
      <c r="Q5" t="s">
        <v>1150</v>
      </c>
    </row>
    <row r="6" spans="1:19">
      <c r="A6" t="s">
        <v>664</v>
      </c>
      <c r="B6" t="s">
        <v>304</v>
      </c>
      <c r="C6" t="s">
        <v>1151</v>
      </c>
      <c r="O6" t="s">
        <v>1152</v>
      </c>
    </row>
    <row r="7" spans="1:19">
      <c r="A7" t="s">
        <v>211</v>
      </c>
      <c r="B7" t="s">
        <v>211</v>
      </c>
      <c r="C7" t="s">
        <v>1153</v>
      </c>
      <c r="H7" t="s">
        <v>1154</v>
      </c>
      <c r="I7" t="s">
        <v>1155</v>
      </c>
      <c r="K7" t="s">
        <v>1156</v>
      </c>
      <c r="L7" t="s">
        <v>1157</v>
      </c>
      <c r="M7" t="s">
        <v>1158</v>
      </c>
      <c r="O7" t="s">
        <v>1159</v>
      </c>
      <c r="P7" t="s">
        <v>1160</v>
      </c>
      <c r="Q7" t="s">
        <v>1161</v>
      </c>
      <c r="R7" t="s">
        <v>1162</v>
      </c>
    </row>
    <row r="8" spans="1:19">
      <c r="A8" t="s">
        <v>69</v>
      </c>
      <c r="B8" t="s">
        <v>69</v>
      </c>
      <c r="C8" t="s">
        <v>1163</v>
      </c>
      <c r="D8" t="s">
        <v>1164</v>
      </c>
      <c r="E8" t="s">
        <v>1165</v>
      </c>
      <c r="F8" t="s">
        <v>1166</v>
      </c>
      <c r="H8" t="s">
        <v>1167</v>
      </c>
      <c r="I8" t="s">
        <v>1168</v>
      </c>
      <c r="K8" t="s">
        <v>1169</v>
      </c>
      <c r="L8" t="s">
        <v>1170</v>
      </c>
      <c r="M8" t="s">
        <v>1171</v>
      </c>
      <c r="O8" t="s">
        <v>1172</v>
      </c>
      <c r="P8" t="s">
        <v>1173</v>
      </c>
      <c r="Q8" t="s">
        <v>1174</v>
      </c>
      <c r="R8" t="s">
        <v>1175</v>
      </c>
    </row>
    <row r="9" spans="1:19">
      <c r="A9" t="s">
        <v>235</v>
      </c>
      <c r="B9" t="s">
        <v>237</v>
      </c>
      <c r="C9" t="s">
        <v>1176</v>
      </c>
      <c r="D9" t="s">
        <v>1177</v>
      </c>
      <c r="E9" t="s">
        <v>1178</v>
      </c>
      <c r="F9" t="s">
        <v>1179</v>
      </c>
      <c r="H9" t="s">
        <v>1180</v>
      </c>
      <c r="I9" t="s">
        <v>1181</v>
      </c>
      <c r="K9" t="s">
        <v>1182</v>
      </c>
      <c r="L9" t="s">
        <v>1183</v>
      </c>
      <c r="M9" t="s">
        <v>1184</v>
      </c>
      <c r="O9" t="s">
        <v>1185</v>
      </c>
      <c r="P9" t="s">
        <v>1186</v>
      </c>
      <c r="Q9" t="s">
        <v>1187</v>
      </c>
      <c r="R9" t="s">
        <v>1188</v>
      </c>
    </row>
    <row r="10" spans="1:19">
      <c r="A10" t="s">
        <v>217</v>
      </c>
      <c r="B10" t="s">
        <v>219</v>
      </c>
      <c r="C10" t="s">
        <v>1189</v>
      </c>
      <c r="H10" t="s">
        <v>1190</v>
      </c>
      <c r="I10" t="s">
        <v>1191</v>
      </c>
      <c r="K10" t="s">
        <v>1192</v>
      </c>
      <c r="L10" t="s">
        <v>1193</v>
      </c>
      <c r="M10" t="s">
        <v>1194</v>
      </c>
      <c r="O10" t="s">
        <v>1195</v>
      </c>
      <c r="P10" t="s">
        <v>1196</v>
      </c>
      <c r="Q10" t="s">
        <v>1197</v>
      </c>
    </row>
    <row r="11" spans="1:19">
      <c r="A11" t="s">
        <v>75</v>
      </c>
      <c r="B11" t="s">
        <v>77</v>
      </c>
      <c r="C11" t="s">
        <v>1198</v>
      </c>
      <c r="D11" t="s">
        <v>1199</v>
      </c>
      <c r="E11" t="s">
        <v>1200</v>
      </c>
      <c r="F11" t="s">
        <v>1201</v>
      </c>
      <c r="H11" t="s">
        <v>1202</v>
      </c>
      <c r="I11" t="s">
        <v>1203</v>
      </c>
      <c r="K11" t="s">
        <v>1204</v>
      </c>
      <c r="L11" t="s">
        <v>1205</v>
      </c>
      <c r="M11" t="s">
        <v>1206</v>
      </c>
      <c r="O11" t="s">
        <v>1207</v>
      </c>
      <c r="P11" t="s">
        <v>1208</v>
      </c>
      <c r="Q11" t="s">
        <v>1209</v>
      </c>
    </row>
    <row r="12" spans="1:19">
      <c r="A12" t="s">
        <v>241</v>
      </c>
      <c r="B12" t="s">
        <v>243</v>
      </c>
      <c r="C12" t="s">
        <v>1210</v>
      </c>
      <c r="D12" t="s">
        <v>1211</v>
      </c>
      <c r="E12" t="s">
        <v>1212</v>
      </c>
      <c r="F12" t="s">
        <v>1213</v>
      </c>
      <c r="H12" t="s">
        <v>1214</v>
      </c>
      <c r="I12" t="s">
        <v>1215</v>
      </c>
      <c r="K12" t="s">
        <v>1216</v>
      </c>
      <c r="L12" t="s">
        <v>1217</v>
      </c>
      <c r="M12" t="s">
        <v>1218</v>
      </c>
      <c r="O12" t="s">
        <v>1219</v>
      </c>
      <c r="P12" t="s">
        <v>1220</v>
      </c>
      <c r="Q12" t="s">
        <v>1221</v>
      </c>
      <c r="R12" t="s">
        <v>1222</v>
      </c>
    </row>
    <row r="13" spans="1:19">
      <c r="A13" t="s">
        <v>945</v>
      </c>
      <c r="B13" t="s">
        <v>183</v>
      </c>
      <c r="C13" t="s">
        <v>1223</v>
      </c>
      <c r="D13" t="s">
        <v>1224</v>
      </c>
      <c r="E13" t="s">
        <v>1225</v>
      </c>
      <c r="F13" t="s">
        <v>1226</v>
      </c>
      <c r="G13" t="s">
        <v>1227</v>
      </c>
      <c r="H13" t="s">
        <v>1228</v>
      </c>
      <c r="I13" t="s">
        <v>1229</v>
      </c>
      <c r="J13" t="s">
        <v>419</v>
      </c>
      <c r="K13" t="s">
        <v>1230</v>
      </c>
      <c r="L13" t="s">
        <v>1231</v>
      </c>
      <c r="M13" t="s">
        <v>1232</v>
      </c>
      <c r="O13" t="s">
        <v>1233</v>
      </c>
      <c r="P13" t="s">
        <v>1234</v>
      </c>
      <c r="Q13" t="s">
        <v>1235</v>
      </c>
      <c r="R13" t="s">
        <v>1236</v>
      </c>
      <c r="S13" t="s">
        <v>1237</v>
      </c>
    </row>
    <row r="14" spans="1:19">
      <c r="A14" t="s">
        <v>1238</v>
      </c>
      <c r="B14" t="s">
        <v>417</v>
      </c>
      <c r="C14" t="s">
        <v>1239</v>
      </c>
      <c r="E14" t="s">
        <v>1240</v>
      </c>
      <c r="H14" t="s">
        <v>1241</v>
      </c>
      <c r="L14" t="s">
        <v>1242</v>
      </c>
      <c r="P14" t="s">
        <v>1243</v>
      </c>
      <c r="Q14" t="s">
        <v>1244</v>
      </c>
    </row>
    <row r="15" spans="1:19">
      <c r="A15" t="s">
        <v>1245</v>
      </c>
      <c r="B15" t="s">
        <v>1246</v>
      </c>
      <c r="C15" t="s">
        <v>1247</v>
      </c>
      <c r="K15" t="s">
        <v>1248</v>
      </c>
      <c r="O15" t="s">
        <v>1249</v>
      </c>
    </row>
    <row r="16" spans="1:19">
      <c r="A16" t="s">
        <v>260</v>
      </c>
      <c r="B16" t="s">
        <v>260</v>
      </c>
      <c r="C16" t="s">
        <v>1250</v>
      </c>
      <c r="D16" t="s">
        <v>1251</v>
      </c>
      <c r="E16" t="s">
        <v>1252</v>
      </c>
      <c r="F16" t="s">
        <v>1253</v>
      </c>
      <c r="G16" t="s">
        <v>1254</v>
      </c>
      <c r="H16" t="s">
        <v>1255</v>
      </c>
      <c r="I16" t="s">
        <v>1256</v>
      </c>
      <c r="J16" t="s">
        <v>1257</v>
      </c>
      <c r="K16" t="s">
        <v>1258</v>
      </c>
      <c r="L16" t="s">
        <v>1259</v>
      </c>
      <c r="M16" t="s">
        <v>1260</v>
      </c>
      <c r="O16" t="s">
        <v>1261</v>
      </c>
      <c r="P16" t="s">
        <v>1262</v>
      </c>
      <c r="Q16" t="s">
        <v>1263</v>
      </c>
      <c r="R16" t="s">
        <v>1264</v>
      </c>
      <c r="S16" t="s">
        <v>1265</v>
      </c>
    </row>
    <row r="17" spans="1:19">
      <c r="A17" t="s">
        <v>660</v>
      </c>
      <c r="B17" t="s">
        <v>267</v>
      </c>
      <c r="E17" t="s">
        <v>1266</v>
      </c>
      <c r="G17" t="s">
        <v>1267</v>
      </c>
      <c r="H17" t="s">
        <v>1268</v>
      </c>
      <c r="J17" t="s">
        <v>1269</v>
      </c>
      <c r="K17" t="s">
        <v>1270</v>
      </c>
      <c r="M17" t="s">
        <v>1271</v>
      </c>
      <c r="P17" t="s">
        <v>1272</v>
      </c>
      <c r="S17" t="s">
        <v>1273</v>
      </c>
    </row>
    <row r="18" spans="1:19" s="62" customFormat="1">
      <c r="A18" s="62" t="s">
        <v>60</v>
      </c>
      <c r="B18" s="62" t="s">
        <v>60</v>
      </c>
      <c r="C18" s="62" t="s">
        <v>1274</v>
      </c>
      <c r="D18" s="62" t="s">
        <v>1275</v>
      </c>
      <c r="E18" s="62" t="s">
        <v>1276</v>
      </c>
      <c r="F18" s="62" t="s">
        <v>1277</v>
      </c>
      <c r="G18" s="62" t="s">
        <v>1278</v>
      </c>
      <c r="H18" s="62" t="s">
        <v>1279</v>
      </c>
      <c r="I18" s="62" t="s">
        <v>1280</v>
      </c>
      <c r="J18" s="62" t="s">
        <v>342</v>
      </c>
      <c r="K18" s="62" t="s">
        <v>1281</v>
      </c>
      <c r="L18" s="62" t="s">
        <v>1282</v>
      </c>
      <c r="M18" s="62" t="s">
        <v>1283</v>
      </c>
      <c r="O18" s="62" t="s">
        <v>1284</v>
      </c>
      <c r="P18" s="62" t="s">
        <v>1285</v>
      </c>
      <c r="Q18" s="62" t="s">
        <v>1286</v>
      </c>
      <c r="R18" s="62" t="s">
        <v>1287</v>
      </c>
      <c r="S18" s="62" t="s">
        <v>1288</v>
      </c>
    </row>
    <row r="19" spans="1:19" s="62" customFormat="1">
      <c r="A19" s="62" t="s">
        <v>954</v>
      </c>
      <c r="B19" s="62" t="s">
        <v>340</v>
      </c>
      <c r="C19" s="62" t="s">
        <v>1289</v>
      </c>
      <c r="D19" s="62" t="s">
        <v>1290</v>
      </c>
      <c r="E19" s="62" t="s">
        <v>1291</v>
      </c>
      <c r="H19" s="62" t="s">
        <v>1292</v>
      </c>
      <c r="I19" s="62" t="s">
        <v>1293</v>
      </c>
      <c r="L19" s="62" t="s">
        <v>1294</v>
      </c>
      <c r="M19" s="62" t="s">
        <v>1295</v>
      </c>
      <c r="O19" s="62" t="s">
        <v>1296</v>
      </c>
      <c r="P19" s="62" t="s">
        <v>1297</v>
      </c>
      <c r="Q19" s="62" t="s">
        <v>1298</v>
      </c>
    </row>
    <row r="20" spans="1:19" s="62" customFormat="1">
      <c r="A20" s="62" t="s">
        <v>673</v>
      </c>
      <c r="B20" s="62" t="s">
        <v>65</v>
      </c>
      <c r="C20" s="62" t="s">
        <v>1299</v>
      </c>
      <c r="D20" s="62" t="s">
        <v>1300</v>
      </c>
      <c r="E20" s="62" t="s">
        <v>1301</v>
      </c>
      <c r="F20" s="62" t="s">
        <v>1302</v>
      </c>
      <c r="G20" s="62" t="s">
        <v>1303</v>
      </c>
      <c r="H20" s="62" t="s">
        <v>1304</v>
      </c>
      <c r="I20" s="62" t="s">
        <v>1305</v>
      </c>
      <c r="J20" s="62" t="s">
        <v>1306</v>
      </c>
      <c r="K20" s="62" t="s">
        <v>1307</v>
      </c>
      <c r="L20" s="62" t="s">
        <v>1308</v>
      </c>
      <c r="M20" s="62" t="s">
        <v>1309</v>
      </c>
      <c r="O20" s="62" t="s">
        <v>1310</v>
      </c>
      <c r="P20" s="62" t="s">
        <v>1311</v>
      </c>
      <c r="Q20" s="62" t="s">
        <v>1312</v>
      </c>
      <c r="R20" s="62" t="s">
        <v>1313</v>
      </c>
      <c r="S20" s="62" t="s">
        <v>1314</v>
      </c>
    </row>
    <row r="21" spans="1:19" s="62" customFormat="1">
      <c r="A21" s="62" t="s">
        <v>1315</v>
      </c>
      <c r="B21" s="62" t="s">
        <v>346</v>
      </c>
      <c r="C21" s="62" t="s">
        <v>1316</v>
      </c>
      <c r="Q21" s="62" t="s">
        <v>1317</v>
      </c>
    </row>
    <row r="22" spans="1:19">
      <c r="A22" t="s">
        <v>324</v>
      </c>
      <c r="B22" t="s">
        <v>324</v>
      </c>
      <c r="C22" t="s">
        <v>1318</v>
      </c>
      <c r="D22" t="s">
        <v>1319</v>
      </c>
      <c r="E22" t="s">
        <v>1320</v>
      </c>
      <c r="F22" t="s">
        <v>1321</v>
      </c>
      <c r="G22" t="s">
        <v>1322</v>
      </c>
      <c r="H22" t="s">
        <v>1323</v>
      </c>
      <c r="I22" t="s">
        <v>1324</v>
      </c>
      <c r="J22" t="s">
        <v>372</v>
      </c>
      <c r="K22" t="s">
        <v>1325</v>
      </c>
      <c r="L22" t="s">
        <v>604</v>
      </c>
      <c r="M22" t="s">
        <v>610</v>
      </c>
      <c r="N22" t="s">
        <v>598</v>
      </c>
      <c r="O22" t="s">
        <v>615</v>
      </c>
      <c r="P22" t="s">
        <v>1326</v>
      </c>
      <c r="Q22" t="s">
        <v>1327</v>
      </c>
      <c r="R22" t="s">
        <v>1328</v>
      </c>
      <c r="S22" t="s">
        <v>1329</v>
      </c>
    </row>
    <row r="23" spans="1:19">
      <c r="A23" t="s">
        <v>367</v>
      </c>
      <c r="B23" t="s">
        <v>370</v>
      </c>
      <c r="C23" t="s">
        <v>1330</v>
      </c>
      <c r="D23" t="s">
        <v>1331</v>
      </c>
      <c r="E23" t="s">
        <v>1332</v>
      </c>
      <c r="H23" t="s">
        <v>1333</v>
      </c>
      <c r="I23" t="s">
        <v>1334</v>
      </c>
      <c r="L23" t="s">
        <v>1335</v>
      </c>
      <c r="M23" t="s">
        <v>1336</v>
      </c>
      <c r="O23" t="s">
        <v>1337</v>
      </c>
      <c r="P23" t="s">
        <v>1338</v>
      </c>
      <c r="Q23" t="s">
        <v>1339</v>
      </c>
    </row>
    <row r="24" spans="1:19">
      <c r="A24" t="s">
        <v>677</v>
      </c>
      <c r="B24" t="s">
        <v>329</v>
      </c>
      <c r="D24" t="s">
        <v>1340</v>
      </c>
      <c r="E24" t="s">
        <v>1341</v>
      </c>
      <c r="F24" t="s">
        <v>1342</v>
      </c>
      <c r="G24" t="s">
        <v>1343</v>
      </c>
      <c r="H24" t="s">
        <v>1344</v>
      </c>
      <c r="I24" t="s">
        <v>1345</v>
      </c>
      <c r="J24" t="s">
        <v>377</v>
      </c>
      <c r="K24" t="s">
        <v>1346</v>
      </c>
      <c r="L24" t="s">
        <v>1347</v>
      </c>
      <c r="M24" t="s">
        <v>1348</v>
      </c>
      <c r="O24" t="s">
        <v>1349</v>
      </c>
      <c r="P24" t="s">
        <v>1350</v>
      </c>
      <c r="Q24" t="s">
        <v>1351</v>
      </c>
    </row>
    <row r="25" spans="1:19">
      <c r="A25" t="s">
        <v>38</v>
      </c>
      <c r="B25" t="s">
        <v>38</v>
      </c>
      <c r="C25" t="s">
        <v>1352</v>
      </c>
      <c r="H25" t="s">
        <v>1353</v>
      </c>
      <c r="I25" t="s">
        <v>1354</v>
      </c>
      <c r="K25" t="s">
        <v>1355</v>
      </c>
      <c r="L25" t="s">
        <v>1356</v>
      </c>
      <c r="M25" t="s">
        <v>1357</v>
      </c>
      <c r="N25" t="s">
        <v>1358</v>
      </c>
      <c r="O25" t="s">
        <v>1359</v>
      </c>
      <c r="P25" t="s">
        <v>1360</v>
      </c>
      <c r="Q25" t="s">
        <v>1361</v>
      </c>
      <c r="R25" t="s">
        <v>1362</v>
      </c>
    </row>
    <row r="26" spans="1:19">
      <c r="A26" t="s">
        <v>189</v>
      </c>
      <c r="B26" t="s">
        <v>189</v>
      </c>
      <c r="C26" t="s">
        <v>1363</v>
      </c>
      <c r="D26" t="s">
        <v>1364</v>
      </c>
      <c r="E26" t="s">
        <v>1365</v>
      </c>
      <c r="F26" t="s">
        <v>1366</v>
      </c>
      <c r="H26" t="s">
        <v>1367</v>
      </c>
      <c r="I26" t="s">
        <v>1368</v>
      </c>
      <c r="K26" t="s">
        <v>1369</v>
      </c>
      <c r="L26" t="s">
        <v>1370</v>
      </c>
      <c r="M26" t="s">
        <v>1371</v>
      </c>
      <c r="N26" t="s">
        <v>1372</v>
      </c>
      <c r="O26" t="s">
        <v>1373</v>
      </c>
      <c r="P26" t="s">
        <v>1374</v>
      </c>
      <c r="Q26" t="s">
        <v>1375</v>
      </c>
      <c r="R26" t="s">
        <v>1376</v>
      </c>
    </row>
    <row r="27" spans="1:19">
      <c r="A27" t="s">
        <v>106</v>
      </c>
      <c r="B27" t="s">
        <v>109</v>
      </c>
      <c r="C27" t="s">
        <v>1377</v>
      </c>
      <c r="D27" t="s">
        <v>1378</v>
      </c>
      <c r="E27" t="s">
        <v>1379</v>
      </c>
      <c r="F27" t="s">
        <v>1380</v>
      </c>
      <c r="H27" t="s">
        <v>1381</v>
      </c>
      <c r="I27" t="s">
        <v>1382</v>
      </c>
      <c r="K27" t="s">
        <v>1383</v>
      </c>
      <c r="L27" t="s">
        <v>1384</v>
      </c>
      <c r="M27" t="s">
        <v>1385</v>
      </c>
      <c r="O27" t="s">
        <v>1386</v>
      </c>
      <c r="P27" t="s">
        <v>1387</v>
      </c>
      <c r="Q27" t="s">
        <v>1388</v>
      </c>
      <c r="R27" t="s">
        <v>1389</v>
      </c>
    </row>
    <row r="28" spans="1:19">
      <c r="A28" t="s">
        <v>44</v>
      </c>
      <c r="B28" t="s">
        <v>46</v>
      </c>
      <c r="C28" t="s">
        <v>1390</v>
      </c>
      <c r="K28" t="s">
        <v>1391</v>
      </c>
      <c r="L28" t="s">
        <v>1392</v>
      </c>
      <c r="M28" t="s">
        <v>1393</v>
      </c>
      <c r="N28" t="s">
        <v>1394</v>
      </c>
      <c r="O28" t="s">
        <v>1395</v>
      </c>
      <c r="P28" t="s">
        <v>1396</v>
      </c>
      <c r="Q28" t="s">
        <v>1397</v>
      </c>
    </row>
    <row r="29" spans="1:19">
      <c r="A29" t="s">
        <v>195</v>
      </c>
      <c r="B29" t="s">
        <v>197</v>
      </c>
      <c r="C29" t="s">
        <v>1398</v>
      </c>
      <c r="D29" t="s">
        <v>1399</v>
      </c>
      <c r="E29" t="s">
        <v>1400</v>
      </c>
      <c r="F29" t="s">
        <v>1401</v>
      </c>
      <c r="H29" t="s">
        <v>1402</v>
      </c>
      <c r="I29" t="s">
        <v>1403</v>
      </c>
      <c r="K29" t="s">
        <v>1404</v>
      </c>
      <c r="L29" t="s">
        <v>1405</v>
      </c>
      <c r="M29" t="s">
        <v>1406</v>
      </c>
      <c r="N29" t="s">
        <v>1407</v>
      </c>
      <c r="O29" t="s">
        <v>1408</v>
      </c>
      <c r="P29" t="s">
        <v>1409</v>
      </c>
      <c r="Q29" t="s">
        <v>1410</v>
      </c>
    </row>
    <row r="30" spans="1:19">
      <c r="A30" t="s">
        <v>1411</v>
      </c>
      <c r="B30" t="s">
        <v>115</v>
      </c>
      <c r="C30" t="s">
        <v>1412</v>
      </c>
      <c r="D30" t="s">
        <v>1413</v>
      </c>
      <c r="E30" t="s">
        <v>1414</v>
      </c>
      <c r="F30" t="s">
        <v>1415</v>
      </c>
      <c r="H30" t="s">
        <v>1416</v>
      </c>
      <c r="I30" t="s">
        <v>1417</v>
      </c>
      <c r="K30" t="s">
        <v>1418</v>
      </c>
      <c r="L30" t="s">
        <v>1419</v>
      </c>
      <c r="M30" t="s">
        <v>1420</v>
      </c>
      <c r="N30" t="s">
        <v>1421</v>
      </c>
      <c r="O30" t="s">
        <v>1422</v>
      </c>
      <c r="P30" t="s">
        <v>1423</v>
      </c>
      <c r="Q30" t="s">
        <v>1424</v>
      </c>
      <c r="R30" t="s">
        <v>1425</v>
      </c>
    </row>
    <row r="31" spans="1:19">
      <c r="A31" t="s">
        <v>974</v>
      </c>
      <c r="B31" t="s">
        <v>272</v>
      </c>
      <c r="C31" t="s">
        <v>1426</v>
      </c>
      <c r="G31" t="s">
        <v>1427</v>
      </c>
      <c r="H31" t="s">
        <v>1428</v>
      </c>
      <c r="J31" t="s">
        <v>394</v>
      </c>
      <c r="K31" t="s">
        <v>1429</v>
      </c>
      <c r="L31" t="s">
        <v>1430</v>
      </c>
      <c r="M31" t="s">
        <v>1431</v>
      </c>
      <c r="N31" t="s">
        <v>1432</v>
      </c>
      <c r="O31" t="s">
        <v>1433</v>
      </c>
      <c r="P31" t="s">
        <v>1434</v>
      </c>
      <c r="Q31" t="s">
        <v>1435</v>
      </c>
      <c r="R31" t="s">
        <v>1436</v>
      </c>
      <c r="S31" t="s">
        <v>1437</v>
      </c>
    </row>
    <row r="32" spans="1:19">
      <c r="A32" t="s">
        <v>1438</v>
      </c>
      <c r="B32" t="s">
        <v>391</v>
      </c>
      <c r="C32" t="s">
        <v>1439</v>
      </c>
      <c r="D32" t="s">
        <v>1440</v>
      </c>
      <c r="E32" t="s">
        <v>1441</v>
      </c>
      <c r="H32" t="s">
        <v>1442</v>
      </c>
      <c r="I32" t="s">
        <v>1443</v>
      </c>
      <c r="L32" t="s">
        <v>1444</v>
      </c>
      <c r="M32" t="s">
        <v>1445</v>
      </c>
      <c r="O32" t="s">
        <v>1446</v>
      </c>
      <c r="P32" t="s">
        <v>1447</v>
      </c>
      <c r="Q32" t="s">
        <v>1448</v>
      </c>
    </row>
    <row r="33" spans="1:19">
      <c r="A33" t="s">
        <v>1449</v>
      </c>
      <c r="B33" t="s">
        <v>278</v>
      </c>
      <c r="C33" t="s">
        <v>1450</v>
      </c>
      <c r="D33" t="s">
        <v>1451</v>
      </c>
      <c r="E33" t="s">
        <v>1452</v>
      </c>
      <c r="H33" t="s">
        <v>1453</v>
      </c>
      <c r="I33" t="s">
        <v>1454</v>
      </c>
      <c r="K33" t="s">
        <v>1455</v>
      </c>
      <c r="L33" t="s">
        <v>1456</v>
      </c>
      <c r="M33" t="s">
        <v>1457</v>
      </c>
      <c r="N33" t="s">
        <v>1458</v>
      </c>
      <c r="O33" t="s">
        <v>1459</v>
      </c>
      <c r="P33" t="s">
        <v>1460</v>
      </c>
      <c r="Q33" t="s">
        <v>1461</v>
      </c>
      <c r="R33" t="s">
        <v>1462</v>
      </c>
    </row>
    <row r="34" spans="1:19">
      <c r="A34" t="s">
        <v>658</v>
      </c>
      <c r="B34" t="s">
        <v>392</v>
      </c>
      <c r="C34" t="s">
        <v>1463</v>
      </c>
      <c r="O34" t="s">
        <v>1464</v>
      </c>
    </row>
    <row r="35" spans="1:19">
      <c r="A35" t="s">
        <v>1465</v>
      </c>
      <c r="B35" t="s">
        <v>247</v>
      </c>
      <c r="C35" t="s">
        <v>1466</v>
      </c>
      <c r="H35" t="s">
        <v>1467</v>
      </c>
      <c r="I35" t="s">
        <v>1468</v>
      </c>
      <c r="K35" t="s">
        <v>1469</v>
      </c>
      <c r="L35" t="s">
        <v>1470</v>
      </c>
      <c r="M35" t="s">
        <v>1471</v>
      </c>
      <c r="N35" t="s">
        <v>1472</v>
      </c>
      <c r="O35" t="s">
        <v>1473</v>
      </c>
      <c r="P35" t="s">
        <v>1474</v>
      </c>
      <c r="Q35" t="s">
        <v>1475</v>
      </c>
      <c r="R35" t="s">
        <v>1476</v>
      </c>
    </row>
    <row r="36" spans="1:19">
      <c r="A36" t="s">
        <v>1477</v>
      </c>
      <c r="B36" t="s">
        <v>27</v>
      </c>
      <c r="C36" t="s">
        <v>1478</v>
      </c>
      <c r="D36" t="s">
        <v>1479</v>
      </c>
      <c r="E36" t="s">
        <v>1480</v>
      </c>
      <c r="F36" t="s">
        <v>1481</v>
      </c>
      <c r="H36" t="s">
        <v>1482</v>
      </c>
      <c r="I36" t="s">
        <v>1483</v>
      </c>
      <c r="K36" t="s">
        <v>1484</v>
      </c>
      <c r="L36" t="s">
        <v>1485</v>
      </c>
      <c r="M36" t="s">
        <v>1486</v>
      </c>
      <c r="N36" t="s">
        <v>1487</v>
      </c>
      <c r="O36" t="s">
        <v>1488</v>
      </c>
      <c r="P36" t="s">
        <v>1489</v>
      </c>
      <c r="Q36" t="s">
        <v>1490</v>
      </c>
      <c r="R36" t="s">
        <v>1491</v>
      </c>
    </row>
    <row r="37" spans="1:19" s="62" customFormat="1">
      <c r="A37" s="62" t="s">
        <v>970</v>
      </c>
      <c r="B37" s="62" t="s">
        <v>203</v>
      </c>
      <c r="C37" s="62" t="s">
        <v>1492</v>
      </c>
      <c r="D37" s="62" t="s">
        <v>1493</v>
      </c>
      <c r="E37" s="62" t="s">
        <v>1494</v>
      </c>
      <c r="K37" s="62" t="s">
        <v>1495</v>
      </c>
      <c r="L37" s="62" t="s">
        <v>1496</v>
      </c>
      <c r="M37" s="62" t="s">
        <v>1497</v>
      </c>
      <c r="N37" s="62" t="s">
        <v>1498</v>
      </c>
      <c r="O37" s="62" t="s">
        <v>1499</v>
      </c>
      <c r="P37" s="62" t="s">
        <v>1500</v>
      </c>
      <c r="Q37" s="62" t="s">
        <v>1501</v>
      </c>
      <c r="R37" s="62" t="s">
        <v>1502</v>
      </c>
    </row>
    <row r="38" spans="1:19" s="62" customFormat="1">
      <c r="A38" s="62" t="s">
        <v>1503</v>
      </c>
      <c r="B38" s="62" t="s">
        <v>256</v>
      </c>
      <c r="C38" s="62" t="s">
        <v>1504</v>
      </c>
      <c r="H38" s="62" t="s">
        <v>1505</v>
      </c>
      <c r="I38" s="62" t="s">
        <v>1506</v>
      </c>
      <c r="K38" s="62" t="s">
        <v>1507</v>
      </c>
      <c r="L38" s="62" t="s">
        <v>1508</v>
      </c>
      <c r="M38" s="62" t="s">
        <v>1509</v>
      </c>
      <c r="N38" s="62" t="s">
        <v>1510</v>
      </c>
      <c r="O38" s="62" t="s">
        <v>1511</v>
      </c>
      <c r="P38" s="62" t="s">
        <v>1512</v>
      </c>
      <c r="Q38" s="62" t="s">
        <v>1513</v>
      </c>
      <c r="R38" s="62" t="s">
        <v>1514</v>
      </c>
    </row>
    <row r="39" spans="1:19" s="62" customFormat="1">
      <c r="A39" s="62" t="s">
        <v>1515</v>
      </c>
      <c r="B39" s="62" t="s">
        <v>34</v>
      </c>
      <c r="C39" s="62" t="s">
        <v>1516</v>
      </c>
      <c r="D39" s="62" t="s">
        <v>1517</v>
      </c>
      <c r="E39" s="62" t="s">
        <v>1518</v>
      </c>
      <c r="F39" s="62" t="s">
        <v>1519</v>
      </c>
      <c r="H39" s="62" t="s">
        <v>1520</v>
      </c>
      <c r="I39" s="62" t="s">
        <v>1521</v>
      </c>
      <c r="K39" s="62" t="s">
        <v>1522</v>
      </c>
      <c r="L39" s="62" t="s">
        <v>1523</v>
      </c>
      <c r="M39" s="62" t="s">
        <v>1524</v>
      </c>
      <c r="N39" s="62" t="s">
        <v>1525</v>
      </c>
      <c r="O39" s="62" t="s">
        <v>1526</v>
      </c>
      <c r="P39" s="62" t="s">
        <v>1527</v>
      </c>
      <c r="Q39" s="62" t="s">
        <v>1528</v>
      </c>
      <c r="R39" s="62" t="s">
        <v>1529</v>
      </c>
    </row>
    <row r="40" spans="1:19" s="62" customFormat="1">
      <c r="A40" s="62" t="s">
        <v>971</v>
      </c>
      <c r="B40" s="62" t="s">
        <v>207</v>
      </c>
      <c r="D40" s="62" t="s">
        <v>1530</v>
      </c>
      <c r="E40" s="62" t="s">
        <v>1531</v>
      </c>
      <c r="H40" s="62" t="s">
        <v>1532</v>
      </c>
      <c r="M40" s="62" t="s">
        <v>1533</v>
      </c>
      <c r="O40" s="62" t="s">
        <v>1534</v>
      </c>
      <c r="Q40" s="62" t="s">
        <v>1535</v>
      </c>
    </row>
    <row r="41" spans="1:19" s="62" customFormat="1">
      <c r="A41" s="62" t="s">
        <v>1536</v>
      </c>
      <c r="B41" s="62" t="s">
        <v>141</v>
      </c>
      <c r="C41" s="62" t="s">
        <v>1537</v>
      </c>
      <c r="D41" s="62" t="s">
        <v>1538</v>
      </c>
      <c r="E41" s="62" t="s">
        <v>1539</v>
      </c>
      <c r="F41" s="62" t="s">
        <v>1540</v>
      </c>
      <c r="G41" s="62" t="s">
        <v>1541</v>
      </c>
      <c r="H41" s="62" t="s">
        <v>1542</v>
      </c>
      <c r="I41" s="62" t="s">
        <v>1543</v>
      </c>
      <c r="J41" s="62" t="s">
        <v>1544</v>
      </c>
      <c r="K41" s="62" t="s">
        <v>1545</v>
      </c>
      <c r="L41" s="62" t="s">
        <v>1546</v>
      </c>
      <c r="M41" s="62" t="s">
        <v>1547</v>
      </c>
      <c r="N41" s="62" t="s">
        <v>1548</v>
      </c>
      <c r="O41" s="62" t="s">
        <v>1549</v>
      </c>
      <c r="P41" s="62" t="s">
        <v>1550</v>
      </c>
      <c r="Q41" s="62" t="s">
        <v>1551</v>
      </c>
      <c r="R41" s="62" t="s">
        <v>1552</v>
      </c>
      <c r="S41" s="62" t="s">
        <v>1553</v>
      </c>
    </row>
    <row r="42" spans="1:19" s="62" customFormat="1">
      <c r="A42" s="62" t="s">
        <v>1554</v>
      </c>
      <c r="B42" s="62" t="s">
        <v>465</v>
      </c>
    </row>
    <row r="43" spans="1:19" s="62" customFormat="1">
      <c r="A43" s="62" t="s">
        <v>1555</v>
      </c>
      <c r="B43" s="62" t="s">
        <v>148</v>
      </c>
      <c r="C43" s="62" t="s">
        <v>1556</v>
      </c>
      <c r="Q43" s="62" t="s">
        <v>1557</v>
      </c>
      <c r="S43" s="62" t="s">
        <v>1558</v>
      </c>
    </row>
    <row r="44" spans="1:19" s="62" customFormat="1">
      <c r="A44" s="62" t="s">
        <v>1559</v>
      </c>
      <c r="B44" s="62" t="s">
        <v>357</v>
      </c>
      <c r="C44" s="62" t="s">
        <v>1560</v>
      </c>
      <c r="D44" s="62" t="s">
        <v>1561</v>
      </c>
      <c r="E44" s="62" t="s">
        <v>1562</v>
      </c>
      <c r="F44" s="62" t="s">
        <v>1563</v>
      </c>
      <c r="H44" s="62" t="s">
        <v>1564</v>
      </c>
      <c r="I44" s="62" t="s">
        <v>1565</v>
      </c>
      <c r="K44" s="62" t="s">
        <v>1566</v>
      </c>
      <c r="L44" s="62" t="s">
        <v>1567</v>
      </c>
      <c r="M44" s="62" t="s">
        <v>1568</v>
      </c>
      <c r="N44" s="62" t="s">
        <v>1569</v>
      </c>
      <c r="O44" s="62" t="s">
        <v>1570</v>
      </c>
      <c r="P44" s="62" t="s">
        <v>1571</v>
      </c>
      <c r="Q44" s="62" t="s">
        <v>1572</v>
      </c>
      <c r="R44" s="62" t="s">
        <v>1573</v>
      </c>
    </row>
    <row r="45" spans="1:19" s="62" customFormat="1">
      <c r="A45" s="62" t="s">
        <v>1574</v>
      </c>
      <c r="B45" s="62" t="s">
        <v>383</v>
      </c>
      <c r="C45" s="62" t="s">
        <v>1575</v>
      </c>
      <c r="H45" s="62" t="s">
        <v>1576</v>
      </c>
      <c r="L45" s="62" t="s">
        <v>1577</v>
      </c>
      <c r="M45" s="62" t="s">
        <v>1578</v>
      </c>
      <c r="O45" s="62" t="s">
        <v>1579</v>
      </c>
      <c r="P45" s="62" t="s">
        <v>1580</v>
      </c>
      <c r="Q45" s="62" t="s">
        <v>1581</v>
      </c>
    </row>
    <row r="46" spans="1:19" s="62" customFormat="1">
      <c r="A46" s="62" t="s">
        <v>1582</v>
      </c>
      <c r="B46" s="62" t="s">
        <v>363</v>
      </c>
      <c r="C46" s="62" t="s">
        <v>1583</v>
      </c>
      <c r="H46" s="62" t="s">
        <v>1584</v>
      </c>
      <c r="K46" s="62" t="s">
        <v>1585</v>
      </c>
      <c r="L46" s="62" t="s">
        <v>1586</v>
      </c>
      <c r="M46" s="62" t="s">
        <v>1587</v>
      </c>
      <c r="O46" s="62" t="s">
        <v>1588</v>
      </c>
      <c r="P46" s="62" t="s">
        <v>1589</v>
      </c>
      <c r="Q46" s="62" t="s">
        <v>1590</v>
      </c>
      <c r="R46" s="62" t="s">
        <v>1591</v>
      </c>
    </row>
    <row r="47" spans="1:19" s="62" customFormat="1">
      <c r="A47" s="62" t="s">
        <v>968</v>
      </c>
      <c r="B47" s="62" t="s">
        <v>162</v>
      </c>
      <c r="C47" s="62" t="s">
        <v>1592</v>
      </c>
      <c r="H47" s="62" t="s">
        <v>1593</v>
      </c>
      <c r="I47" s="62" t="s">
        <v>1594</v>
      </c>
      <c r="K47" s="62" t="s">
        <v>1595</v>
      </c>
      <c r="L47" s="62" t="s">
        <v>1596</v>
      </c>
      <c r="M47" s="62" t="s">
        <v>1597</v>
      </c>
      <c r="N47" s="62" t="s">
        <v>1598</v>
      </c>
      <c r="O47" s="62" t="s">
        <v>1599</v>
      </c>
      <c r="P47" s="62" t="s">
        <v>1600</v>
      </c>
      <c r="Q47" s="62" t="s">
        <v>1601</v>
      </c>
      <c r="R47" s="62" t="s">
        <v>1602</v>
      </c>
    </row>
    <row r="48" spans="1:19" s="62" customFormat="1">
      <c r="A48" s="62" t="s">
        <v>969</v>
      </c>
      <c r="B48" s="62" t="s">
        <v>167</v>
      </c>
      <c r="C48" s="62" t="s">
        <v>1603</v>
      </c>
      <c r="H48" s="62" t="s">
        <v>1604</v>
      </c>
      <c r="I48" s="62" t="s">
        <v>1605</v>
      </c>
      <c r="K48" s="62" t="s">
        <v>1606</v>
      </c>
      <c r="L48" s="62" t="s">
        <v>1607</v>
      </c>
      <c r="M48" s="62" t="s">
        <v>1608</v>
      </c>
      <c r="N48" s="62" t="s">
        <v>1609</v>
      </c>
      <c r="O48" s="62" t="s">
        <v>1610</v>
      </c>
      <c r="P48" s="62" t="s">
        <v>1611</v>
      </c>
      <c r="Q48" s="62" t="s">
        <v>1612</v>
      </c>
      <c r="R48" s="62" t="s">
        <v>1613</v>
      </c>
    </row>
    <row r="49" spans="1:19" s="62" customFormat="1">
      <c r="A49" s="62" t="s">
        <v>332</v>
      </c>
      <c r="B49" s="62" t="s">
        <v>332</v>
      </c>
      <c r="C49" s="62" t="s">
        <v>1614</v>
      </c>
      <c r="D49" s="62" t="s">
        <v>1615</v>
      </c>
      <c r="F49" s="62" t="s">
        <v>1616</v>
      </c>
      <c r="H49" s="62" t="s">
        <v>1617</v>
      </c>
      <c r="I49" s="62" t="s">
        <v>1618</v>
      </c>
      <c r="J49" s="62" t="s">
        <v>506</v>
      </c>
      <c r="K49" s="62" t="s">
        <v>1619</v>
      </c>
      <c r="L49" s="62" t="s">
        <v>1620</v>
      </c>
      <c r="M49" s="62" t="s">
        <v>1621</v>
      </c>
      <c r="N49" s="62" t="s">
        <v>1622</v>
      </c>
      <c r="O49" s="62" t="s">
        <v>1623</v>
      </c>
      <c r="P49" s="62" t="s">
        <v>1624</v>
      </c>
      <c r="Q49" s="62" t="s">
        <v>1625</v>
      </c>
      <c r="R49" s="62" t="s">
        <v>1626</v>
      </c>
      <c r="S49" s="62" t="s">
        <v>1627</v>
      </c>
    </row>
    <row r="50" spans="1:19" s="62" customFormat="1">
      <c r="A50" s="62" t="s">
        <v>1628</v>
      </c>
      <c r="B50" s="62" t="s">
        <v>504</v>
      </c>
      <c r="C50" s="62" t="s">
        <v>1629</v>
      </c>
      <c r="H50" s="62" t="s">
        <v>1630</v>
      </c>
      <c r="L50" s="62" t="s">
        <v>1631</v>
      </c>
      <c r="M50" s="62" t="s">
        <v>1632</v>
      </c>
      <c r="O50" s="62" t="s">
        <v>1633</v>
      </c>
      <c r="P50" s="62" t="s">
        <v>1634</v>
      </c>
      <c r="Q50" s="62" t="s">
        <v>1635</v>
      </c>
    </row>
    <row r="51" spans="1:19" s="62" customFormat="1">
      <c r="A51" s="62" t="s">
        <v>1636</v>
      </c>
      <c r="B51" s="62" t="s">
        <v>1637</v>
      </c>
      <c r="C51" s="62" t="s">
        <v>1638</v>
      </c>
    </row>
    <row r="52" spans="1:19">
      <c r="A52" t="s">
        <v>1639</v>
      </c>
      <c r="B52" t="s">
        <v>171</v>
      </c>
      <c r="C52" t="s">
        <v>1640</v>
      </c>
      <c r="D52" t="s">
        <v>1641</v>
      </c>
      <c r="E52" t="s">
        <v>1642</v>
      </c>
      <c r="F52" t="s">
        <v>1643</v>
      </c>
      <c r="H52" t="s">
        <v>1644</v>
      </c>
      <c r="I52" t="s">
        <v>1645</v>
      </c>
      <c r="K52" t="s">
        <v>1646</v>
      </c>
      <c r="L52" t="s">
        <v>1647</v>
      </c>
      <c r="M52" t="s">
        <v>1648</v>
      </c>
      <c r="O52" t="s">
        <v>1649</v>
      </c>
      <c r="P52" t="s">
        <v>1650</v>
      </c>
      <c r="Q52" t="s">
        <v>1651</v>
      </c>
      <c r="R52" t="s">
        <v>1652</v>
      </c>
    </row>
    <row r="53" spans="1:19">
      <c r="A53" t="s">
        <v>682</v>
      </c>
      <c r="B53" t="s">
        <v>136</v>
      </c>
      <c r="C53" t="s">
        <v>1653</v>
      </c>
      <c r="D53" t="s">
        <v>1654</v>
      </c>
      <c r="E53" t="s">
        <v>1655</v>
      </c>
      <c r="F53" t="s">
        <v>1656</v>
      </c>
      <c r="G53" t="s">
        <v>1657</v>
      </c>
      <c r="H53" t="s">
        <v>1658</v>
      </c>
      <c r="I53" t="s">
        <v>1659</v>
      </c>
      <c r="J53" t="s">
        <v>426</v>
      </c>
      <c r="K53" t="s">
        <v>1660</v>
      </c>
      <c r="L53" t="s">
        <v>1661</v>
      </c>
      <c r="M53" t="s">
        <v>1662</v>
      </c>
      <c r="O53" t="s">
        <v>1663</v>
      </c>
      <c r="P53" t="s">
        <v>1664</v>
      </c>
      <c r="Q53" t="s">
        <v>1665</v>
      </c>
      <c r="R53" t="s">
        <v>1666</v>
      </c>
      <c r="S53" t="s">
        <v>1667</v>
      </c>
    </row>
    <row r="54" spans="1:19">
      <c r="A54" t="s">
        <v>667</v>
      </c>
      <c r="B54" t="s">
        <v>425</v>
      </c>
      <c r="C54" t="s">
        <v>1668</v>
      </c>
      <c r="P54" t="s">
        <v>1669</v>
      </c>
    </row>
    <row r="55" spans="1:19">
      <c r="A55" t="s">
        <v>1670</v>
      </c>
      <c r="B55" t="s">
        <v>178</v>
      </c>
      <c r="C55" t="s">
        <v>1671</v>
      </c>
      <c r="D55" t="s">
        <v>1672</v>
      </c>
      <c r="E55" t="s">
        <v>1673</v>
      </c>
      <c r="F55" t="s">
        <v>1674</v>
      </c>
      <c r="H55" t="s">
        <v>1675</v>
      </c>
      <c r="I55" t="s">
        <v>1676</v>
      </c>
      <c r="K55" t="s">
        <v>1677</v>
      </c>
      <c r="L55" t="s">
        <v>1678</v>
      </c>
      <c r="M55" t="s">
        <v>1679</v>
      </c>
      <c r="O55" t="s">
        <v>1680</v>
      </c>
      <c r="P55" t="s">
        <v>1681</v>
      </c>
    </row>
    <row r="56" spans="1:19">
      <c r="A56" t="s">
        <v>668</v>
      </c>
      <c r="B56" t="s">
        <v>669</v>
      </c>
      <c r="C56" t="s">
        <v>1682</v>
      </c>
      <c r="G56" t="s">
        <v>1683</v>
      </c>
      <c r="H56" t="s">
        <v>1684</v>
      </c>
      <c r="K56" t="s">
        <v>1685</v>
      </c>
      <c r="P56" t="s">
        <v>1686</v>
      </c>
    </row>
    <row r="57" spans="1:19">
      <c r="A57" t="s">
        <v>659</v>
      </c>
      <c r="B57" t="s">
        <v>498</v>
      </c>
      <c r="C57" t="s">
        <v>1687</v>
      </c>
    </row>
    <row r="58" spans="1:19">
      <c r="A58" t="s">
        <v>474</v>
      </c>
      <c r="B58" t="s">
        <v>477</v>
      </c>
      <c r="H58" t="s">
        <v>1688</v>
      </c>
      <c r="O58" t="s">
        <v>1689</v>
      </c>
    </row>
    <row r="59" spans="1:19">
      <c r="A59" t="s">
        <v>81</v>
      </c>
      <c r="B59" t="s">
        <v>84</v>
      </c>
      <c r="C59" t="s">
        <v>1690</v>
      </c>
      <c r="D59" t="s">
        <v>1691</v>
      </c>
      <c r="E59" t="s">
        <v>1692</v>
      </c>
      <c r="F59" t="s">
        <v>1693</v>
      </c>
      <c r="H59" t="s">
        <v>1694</v>
      </c>
      <c r="I59" t="s">
        <v>1695</v>
      </c>
      <c r="K59" t="s">
        <v>1696</v>
      </c>
      <c r="L59" t="s">
        <v>1697</v>
      </c>
      <c r="M59" t="s">
        <v>1698</v>
      </c>
      <c r="O59" t="s">
        <v>1699</v>
      </c>
      <c r="P59" t="s">
        <v>1700</v>
      </c>
      <c r="Q59" t="s">
        <v>1701</v>
      </c>
      <c r="R59" t="s">
        <v>1702</v>
      </c>
    </row>
    <row r="60" spans="1:19">
      <c r="A60" t="s">
        <v>481</v>
      </c>
      <c r="B60" t="s">
        <v>483</v>
      </c>
      <c r="C60" t="s">
        <v>1703</v>
      </c>
      <c r="K60" t="s">
        <v>1704</v>
      </c>
      <c r="P60" t="s">
        <v>1705</v>
      </c>
    </row>
    <row r="61" spans="1:19">
      <c r="A61" t="s">
        <v>88</v>
      </c>
      <c r="B61" t="s">
        <v>90</v>
      </c>
      <c r="C61" t="s">
        <v>1706</v>
      </c>
      <c r="D61" t="s">
        <v>1707</v>
      </c>
      <c r="E61" t="s">
        <v>1708</v>
      </c>
      <c r="F61" t="s">
        <v>1709</v>
      </c>
      <c r="H61" t="s">
        <v>1710</v>
      </c>
      <c r="I61" t="s">
        <v>1711</v>
      </c>
      <c r="K61" t="s">
        <v>1712</v>
      </c>
      <c r="L61" t="s">
        <v>1713</v>
      </c>
      <c r="M61" t="s">
        <v>1714</v>
      </c>
      <c r="O61" t="s">
        <v>1715</v>
      </c>
      <c r="P61" t="s">
        <v>1716</v>
      </c>
      <c r="Q61" t="s">
        <v>1717</v>
      </c>
      <c r="R61" t="s">
        <v>1718</v>
      </c>
    </row>
    <row r="62" spans="1:19" s="62" customFormat="1">
      <c r="A62" s="62" t="s">
        <v>308</v>
      </c>
      <c r="B62" s="62" t="s">
        <v>308</v>
      </c>
      <c r="C62" s="62" t="s">
        <v>1719</v>
      </c>
      <c r="D62" s="62" t="s">
        <v>1720</v>
      </c>
      <c r="E62" s="62" t="s">
        <v>1721</v>
      </c>
      <c r="F62" s="62" t="s">
        <v>1722</v>
      </c>
      <c r="H62" s="62" t="s">
        <v>1723</v>
      </c>
      <c r="I62" s="62" t="s">
        <v>1724</v>
      </c>
      <c r="K62" s="62" t="s">
        <v>1725</v>
      </c>
      <c r="L62" s="62" t="s">
        <v>1726</v>
      </c>
      <c r="M62" s="62" t="s">
        <v>1727</v>
      </c>
      <c r="N62" s="62" t="s">
        <v>1728</v>
      </c>
      <c r="O62" s="62" t="s">
        <v>1729</v>
      </c>
      <c r="P62" s="62" t="s">
        <v>1730</v>
      </c>
      <c r="Q62" s="62" t="s">
        <v>1731</v>
      </c>
      <c r="R62" s="62" t="s">
        <v>1732</v>
      </c>
    </row>
    <row r="63" spans="1:19" s="62" customFormat="1">
      <c r="A63" s="62" t="s">
        <v>684</v>
      </c>
      <c r="B63" s="62" t="s">
        <v>313</v>
      </c>
      <c r="D63" s="62" t="s">
        <v>1733</v>
      </c>
      <c r="E63" s="62" t="s">
        <v>1734</v>
      </c>
      <c r="F63" s="62" t="s">
        <v>1735</v>
      </c>
      <c r="H63" s="62" t="s">
        <v>1736</v>
      </c>
      <c r="I63" s="62" t="s">
        <v>1737</v>
      </c>
      <c r="K63" s="62" t="s">
        <v>1738</v>
      </c>
      <c r="L63" s="62" t="s">
        <v>1739</v>
      </c>
      <c r="M63" s="62" t="s">
        <v>1740</v>
      </c>
      <c r="O63" s="62" t="s">
        <v>1741</v>
      </c>
      <c r="Q63" s="62" t="s">
        <v>1742</v>
      </c>
    </row>
    <row r="64" spans="1:19" s="62" customFormat="1">
      <c r="A64" s="62" t="s">
        <v>14</v>
      </c>
      <c r="B64" s="62" t="s">
        <v>14</v>
      </c>
      <c r="C64" s="62" t="s">
        <v>1743</v>
      </c>
      <c r="D64" s="62" t="s">
        <v>1744</v>
      </c>
      <c r="E64" s="62" t="s">
        <v>1745</v>
      </c>
      <c r="F64" s="62" t="s">
        <v>1746</v>
      </c>
      <c r="H64" s="62" t="s">
        <v>1747</v>
      </c>
      <c r="I64" s="62" t="s">
        <v>1748</v>
      </c>
      <c r="K64" s="62" t="s">
        <v>1749</v>
      </c>
      <c r="L64" s="62" t="s">
        <v>1750</v>
      </c>
      <c r="M64" s="62" t="s">
        <v>1751</v>
      </c>
      <c r="N64" s="62" t="s">
        <v>1752</v>
      </c>
      <c r="O64" s="62" t="s">
        <v>1753</v>
      </c>
      <c r="P64" s="62" t="s">
        <v>1754</v>
      </c>
      <c r="Q64" s="62" t="s">
        <v>1755</v>
      </c>
      <c r="R64" s="62" t="s">
        <v>1756</v>
      </c>
    </row>
    <row r="65" spans="1:19" s="62" customFormat="1">
      <c r="A65" s="62" t="s">
        <v>1757</v>
      </c>
      <c r="B65" s="62" t="s">
        <v>22</v>
      </c>
      <c r="C65" s="62" t="s">
        <v>1758</v>
      </c>
      <c r="D65" s="62" t="s">
        <v>1759</v>
      </c>
      <c r="E65" s="62" t="s">
        <v>1760</v>
      </c>
      <c r="F65" s="62" t="s">
        <v>1761</v>
      </c>
      <c r="H65" s="62" t="s">
        <v>1762</v>
      </c>
      <c r="I65" s="62" t="s">
        <v>1763</v>
      </c>
      <c r="K65" s="62" t="s">
        <v>1764</v>
      </c>
      <c r="L65" s="62" t="s">
        <v>1765</v>
      </c>
      <c r="M65" s="62" t="s">
        <v>1766</v>
      </c>
      <c r="O65" s="62" t="s">
        <v>1767</v>
      </c>
      <c r="P65" s="62" t="s">
        <v>1768</v>
      </c>
      <c r="Q65" s="62" t="s">
        <v>1769</v>
      </c>
    </row>
    <row r="66" spans="1:19" s="62" customFormat="1">
      <c r="A66" s="62" t="s">
        <v>223</v>
      </c>
      <c r="B66" s="62" t="s">
        <v>223</v>
      </c>
      <c r="C66" s="62" t="s">
        <v>1770</v>
      </c>
      <c r="D66" s="62" t="s">
        <v>1771</v>
      </c>
      <c r="E66" s="62" t="s">
        <v>1772</v>
      </c>
      <c r="F66" s="62" t="s">
        <v>1773</v>
      </c>
      <c r="G66" s="62" t="s">
        <v>1774</v>
      </c>
      <c r="H66" s="62" t="s">
        <v>1775</v>
      </c>
      <c r="I66" s="62" t="s">
        <v>1776</v>
      </c>
      <c r="J66" s="62" t="s">
        <v>401</v>
      </c>
      <c r="K66" s="62" t="s">
        <v>1777</v>
      </c>
      <c r="L66" s="62" t="s">
        <v>1778</v>
      </c>
      <c r="M66" s="62" t="s">
        <v>1779</v>
      </c>
      <c r="N66" s="62" t="s">
        <v>1780</v>
      </c>
      <c r="O66" s="62" t="s">
        <v>1781</v>
      </c>
      <c r="P66" s="62" t="s">
        <v>1782</v>
      </c>
      <c r="Q66" s="62" t="s">
        <v>1783</v>
      </c>
      <c r="R66" s="62" t="s">
        <v>1784</v>
      </c>
    </row>
    <row r="67" spans="1:19" s="62" customFormat="1">
      <c r="A67" s="62" t="s">
        <v>1785</v>
      </c>
      <c r="B67" s="62" t="s">
        <v>399</v>
      </c>
      <c r="C67" s="62" t="s">
        <v>1786</v>
      </c>
      <c r="D67" s="62" t="s">
        <v>1787</v>
      </c>
      <c r="E67" s="62" t="s">
        <v>1788</v>
      </c>
      <c r="H67" s="62" t="s">
        <v>1789</v>
      </c>
      <c r="I67" s="62" t="s">
        <v>1790</v>
      </c>
      <c r="L67" s="62" t="s">
        <v>1791</v>
      </c>
      <c r="M67" s="62" t="s">
        <v>1792</v>
      </c>
      <c r="O67" s="62" t="s">
        <v>1793</v>
      </c>
      <c r="P67" s="62" t="s">
        <v>1794</v>
      </c>
      <c r="Q67" s="62" t="s">
        <v>1795</v>
      </c>
    </row>
    <row r="68" spans="1:19" s="62" customFormat="1">
      <c r="A68" s="62" t="s">
        <v>670</v>
      </c>
      <c r="B68" s="62" t="s">
        <v>230</v>
      </c>
      <c r="C68" s="62" t="s">
        <v>1796</v>
      </c>
      <c r="D68" s="62" t="s">
        <v>1797</v>
      </c>
      <c r="E68" s="62" t="s">
        <v>1798</v>
      </c>
      <c r="F68" s="62" t="s">
        <v>1799</v>
      </c>
      <c r="H68" s="62" t="s">
        <v>1800</v>
      </c>
      <c r="I68" s="62" t="s">
        <v>1801</v>
      </c>
      <c r="K68" s="62" t="s">
        <v>1802</v>
      </c>
      <c r="L68" s="62" t="s">
        <v>1803</v>
      </c>
      <c r="M68" s="62" t="s">
        <v>1804</v>
      </c>
      <c r="N68" s="62" t="s">
        <v>1805</v>
      </c>
      <c r="O68" s="62" t="s">
        <v>1806</v>
      </c>
      <c r="P68" s="62" t="s">
        <v>1807</v>
      </c>
      <c r="Q68" s="62" t="s">
        <v>1808</v>
      </c>
    </row>
    <row r="69" spans="1:19" s="62" customFormat="1">
      <c r="A69" s="62" t="s">
        <v>120</v>
      </c>
      <c r="B69" s="62" t="s">
        <v>120</v>
      </c>
      <c r="C69" s="62" t="s">
        <v>1809</v>
      </c>
      <c r="D69" s="62" t="s">
        <v>1810</v>
      </c>
      <c r="E69" s="62" t="s">
        <v>1811</v>
      </c>
      <c r="F69" s="62" t="s">
        <v>1812</v>
      </c>
      <c r="H69" s="62" t="s">
        <v>1813</v>
      </c>
      <c r="I69" s="62" t="s">
        <v>1814</v>
      </c>
      <c r="K69" s="62" t="s">
        <v>1815</v>
      </c>
      <c r="L69" s="62" t="s">
        <v>1816</v>
      </c>
      <c r="M69" s="62" t="s">
        <v>1817</v>
      </c>
      <c r="O69" s="62" t="s">
        <v>1818</v>
      </c>
      <c r="P69" s="62" t="s">
        <v>1819</v>
      </c>
      <c r="Q69" s="62" t="s">
        <v>1820</v>
      </c>
      <c r="R69" s="62" t="s">
        <v>1821</v>
      </c>
    </row>
    <row r="70" spans="1:19" s="62" customFormat="1">
      <c r="A70" s="62" t="s">
        <v>434</v>
      </c>
      <c r="B70" s="62" t="s">
        <v>436</v>
      </c>
      <c r="C70" s="62" t="s">
        <v>1822</v>
      </c>
      <c r="M70" s="62" t="s">
        <v>1823</v>
      </c>
    </row>
    <row r="71" spans="1:19" s="62" customFormat="1">
      <c r="A71" s="62" t="s">
        <v>127</v>
      </c>
      <c r="B71" s="62" t="s">
        <v>129</v>
      </c>
      <c r="C71" s="62" t="s">
        <v>1824</v>
      </c>
      <c r="D71" s="62" t="s">
        <v>1825</v>
      </c>
      <c r="E71" s="62" t="s">
        <v>1826</v>
      </c>
      <c r="F71" s="62" t="s">
        <v>1827</v>
      </c>
      <c r="H71" s="62" t="s">
        <v>1828</v>
      </c>
      <c r="I71" s="62" t="s">
        <v>1829</v>
      </c>
      <c r="K71" s="62" t="s">
        <v>1830</v>
      </c>
      <c r="L71" s="62" t="s">
        <v>1831</v>
      </c>
      <c r="O71" s="62" t="s">
        <v>1832</v>
      </c>
      <c r="P71" s="62" t="s">
        <v>1833</v>
      </c>
      <c r="Q71" s="62" t="s">
        <v>1834</v>
      </c>
      <c r="R71" s="62" t="s">
        <v>1835</v>
      </c>
    </row>
    <row r="72" spans="1:19" s="62" customFormat="1">
      <c r="A72" s="62" t="s">
        <v>94</v>
      </c>
      <c r="B72" s="62" t="s">
        <v>94</v>
      </c>
      <c r="C72" s="62" t="s">
        <v>1836</v>
      </c>
      <c r="O72" s="62" t="s">
        <v>1837</v>
      </c>
      <c r="P72" s="62" t="s">
        <v>1838</v>
      </c>
      <c r="Q72" s="62" t="s">
        <v>1839</v>
      </c>
    </row>
    <row r="73" spans="1:19" s="62" customFormat="1">
      <c r="A73" s="62" t="s">
        <v>1840</v>
      </c>
      <c r="B73" s="62" t="s">
        <v>448</v>
      </c>
      <c r="C73" s="62" t="s">
        <v>1841</v>
      </c>
      <c r="L73" s="62" t="s">
        <v>1842</v>
      </c>
      <c r="O73" s="62" t="s">
        <v>1843</v>
      </c>
      <c r="P73" s="62" t="s">
        <v>1844</v>
      </c>
    </row>
    <row r="74" spans="1:19" s="62" customFormat="1">
      <c r="A74" s="62" t="s">
        <v>921</v>
      </c>
      <c r="B74" s="62" t="s">
        <v>101</v>
      </c>
      <c r="F74" s="62" t="s">
        <v>1845</v>
      </c>
      <c r="K74" s="62" t="s">
        <v>1846</v>
      </c>
      <c r="M74" s="62" t="s">
        <v>1847</v>
      </c>
      <c r="P74" s="62" t="s">
        <v>1848</v>
      </c>
    </row>
    <row r="75" spans="1:19" s="62" customFormat="1">
      <c r="A75" s="62" t="s">
        <v>1849</v>
      </c>
      <c r="B75" s="62" t="s">
        <v>454</v>
      </c>
      <c r="P75" s="62" t="s">
        <v>1850</v>
      </c>
    </row>
    <row r="76" spans="1:19" s="62" customFormat="1">
      <c r="A76" s="62" t="s">
        <v>285</v>
      </c>
      <c r="B76" s="62" t="s">
        <v>285</v>
      </c>
      <c r="C76" s="62" t="s">
        <v>1851</v>
      </c>
      <c r="D76" s="62" t="s">
        <v>1852</v>
      </c>
      <c r="E76" s="62" t="s">
        <v>1853</v>
      </c>
      <c r="F76" s="62" t="s">
        <v>1854</v>
      </c>
      <c r="G76" s="62" t="s">
        <v>1855</v>
      </c>
      <c r="H76" s="62" t="s">
        <v>1856</v>
      </c>
      <c r="I76" s="62" t="s">
        <v>1857</v>
      </c>
      <c r="K76" s="62" t="s">
        <v>1858</v>
      </c>
      <c r="L76" s="62" t="s">
        <v>1859</v>
      </c>
      <c r="M76" s="62" t="s">
        <v>1860</v>
      </c>
      <c r="N76" s="62" t="s">
        <v>1861</v>
      </c>
      <c r="O76" s="62" t="s">
        <v>1862</v>
      </c>
      <c r="P76" s="62" t="s">
        <v>1863</v>
      </c>
      <c r="Q76" s="62" t="s">
        <v>1864</v>
      </c>
      <c r="R76" s="62" t="s">
        <v>1865</v>
      </c>
    </row>
    <row r="77" spans="1:19">
      <c r="A77" t="s">
        <v>671</v>
      </c>
      <c r="B77" t="s">
        <v>290</v>
      </c>
      <c r="C77" t="s">
        <v>1866</v>
      </c>
      <c r="D77" t="s">
        <v>1867</v>
      </c>
      <c r="E77" t="s">
        <v>1868</v>
      </c>
      <c r="F77" t="s">
        <v>1869</v>
      </c>
      <c r="I77" t="s">
        <v>1870</v>
      </c>
      <c r="K77" t="s">
        <v>1871</v>
      </c>
      <c r="L77" t="s">
        <v>1872</v>
      </c>
      <c r="M77" t="s">
        <v>1873</v>
      </c>
      <c r="O77" t="s">
        <v>1874</v>
      </c>
      <c r="P77" t="s">
        <v>1875</v>
      </c>
      <c r="Q77" t="s">
        <v>1876</v>
      </c>
      <c r="R77" t="s">
        <v>1877</v>
      </c>
      <c r="S77" t="s">
        <v>1878</v>
      </c>
    </row>
    <row r="78" spans="1:19">
      <c r="A78" t="s">
        <v>50</v>
      </c>
      <c r="B78" t="s">
        <v>50</v>
      </c>
      <c r="C78" t="s">
        <v>1879</v>
      </c>
      <c r="D78" t="s">
        <v>1880</v>
      </c>
      <c r="E78" t="s">
        <v>1881</v>
      </c>
      <c r="F78" t="s">
        <v>1882</v>
      </c>
      <c r="G78" t="s">
        <v>1883</v>
      </c>
      <c r="H78" t="s">
        <v>1884</v>
      </c>
      <c r="I78" t="s">
        <v>1885</v>
      </c>
      <c r="K78" t="s">
        <v>1886</v>
      </c>
      <c r="L78" t="s">
        <v>1887</v>
      </c>
      <c r="M78" t="s">
        <v>1888</v>
      </c>
      <c r="O78" t="s">
        <v>1889</v>
      </c>
      <c r="P78" t="s">
        <v>1890</v>
      </c>
      <c r="Q78" t="s">
        <v>1891</v>
      </c>
      <c r="R78" t="s">
        <v>1892</v>
      </c>
    </row>
    <row r="79" spans="1:19">
      <c r="A79" t="s">
        <v>1893</v>
      </c>
      <c r="B79" t="s">
        <v>351</v>
      </c>
      <c r="C79" t="s">
        <v>1894</v>
      </c>
      <c r="D79" t="s">
        <v>1895</v>
      </c>
      <c r="L79" t="s">
        <v>1896</v>
      </c>
      <c r="M79" t="s">
        <v>1897</v>
      </c>
      <c r="O79" t="s">
        <v>1898</v>
      </c>
      <c r="P79" t="s">
        <v>1899</v>
      </c>
    </row>
    <row r="80" spans="1:19">
      <c r="A80" t="s">
        <v>1900</v>
      </c>
      <c r="B80" t="s">
        <v>1901</v>
      </c>
      <c r="C80" t="s">
        <v>1902</v>
      </c>
      <c r="P80" t="s">
        <v>1903</v>
      </c>
    </row>
    <row r="81" spans="1:17" s="62" customFormat="1">
      <c r="A81" s="62" t="s">
        <v>429</v>
      </c>
      <c r="B81" s="62" t="s">
        <v>431</v>
      </c>
      <c r="C81" s="62" t="s">
        <v>1904</v>
      </c>
    </row>
    <row r="82" spans="1:17" s="62" customFormat="1">
      <c r="A82" s="62" t="s">
        <v>678</v>
      </c>
      <c r="B82" s="62" t="s">
        <v>679</v>
      </c>
      <c r="C82" s="62" t="s">
        <v>1905</v>
      </c>
    </row>
    <row r="83" spans="1:17">
      <c r="A83" t="s">
        <v>404</v>
      </c>
      <c r="B83" t="s">
        <v>407</v>
      </c>
      <c r="C83" t="s">
        <v>1906</v>
      </c>
      <c r="D83" t="s">
        <v>1907</v>
      </c>
      <c r="G83" t="s">
        <v>1908</v>
      </c>
      <c r="H83" t="s">
        <v>1909</v>
      </c>
      <c r="I83" t="s">
        <v>1910</v>
      </c>
      <c r="J83" t="s">
        <v>1911</v>
      </c>
      <c r="L83" t="s">
        <v>1912</v>
      </c>
      <c r="M83" t="s">
        <v>1913</v>
      </c>
      <c r="O83" t="s">
        <v>1914</v>
      </c>
      <c r="P83" t="s">
        <v>1915</v>
      </c>
      <c r="Q83" t="s">
        <v>1916</v>
      </c>
    </row>
    <row r="84" spans="1:17">
      <c r="A84" t="s">
        <v>665</v>
      </c>
      <c r="B84" t="s">
        <v>666</v>
      </c>
      <c r="C84" t="s">
        <v>1917</v>
      </c>
      <c r="E84" t="s">
        <v>1918</v>
      </c>
      <c r="G84" t="s">
        <v>1919</v>
      </c>
      <c r="M84" t="s">
        <v>1920</v>
      </c>
      <c r="O84" t="s">
        <v>1921</v>
      </c>
      <c r="Q84" t="s">
        <v>1922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42B6C-5679-4370-9927-A55154F8A277}">
  <dimension ref="A1:AA102"/>
  <sheetViews>
    <sheetView showGridLines="0" workbookViewId="0">
      <pane ySplit="1" topLeftCell="A2" activePane="bottomLeft" state="frozen"/>
      <selection pane="bottomLeft" activeCell="F7" sqref="F7"/>
    </sheetView>
  </sheetViews>
  <sheetFormatPr defaultRowHeight="26.25"/>
  <cols>
    <col min="1" max="1" width="7.33203125" customWidth="1"/>
    <col min="5" max="6" width="9.1640625" customWidth="1"/>
    <col min="16" max="16" width="13.83203125" bestFit="1" customWidth="1"/>
    <col min="18" max="18" width="6.4140625" bestFit="1" customWidth="1"/>
    <col min="19" max="19" width="7.58203125" style="12" customWidth="1"/>
    <col min="20" max="21" width="7.58203125" style="84" customWidth="1"/>
    <col min="22" max="24" width="7.58203125" customWidth="1"/>
    <col min="26" max="26" width="7.58203125" style="12" customWidth="1"/>
    <col min="27" max="27" width="23.1640625" bestFit="1" customWidth="1"/>
    <col min="29" max="29" width="9.1640625" customWidth="1"/>
    <col min="33" max="34" width="9.1640625" customWidth="1"/>
    <col min="35" max="35" width="7.33203125" customWidth="1"/>
    <col min="36" max="36" width="12.83203125" customWidth="1"/>
  </cols>
  <sheetData>
    <row r="1" spans="1:26" ht="25.5">
      <c r="A1" s="127" t="s">
        <v>0</v>
      </c>
      <c r="B1" s="127" t="s">
        <v>3</v>
      </c>
      <c r="C1" s="127" t="s">
        <v>1</v>
      </c>
      <c r="D1" s="127" t="s">
        <v>2</v>
      </c>
      <c r="E1" s="127" t="s">
        <v>6</v>
      </c>
      <c r="F1" s="127" t="s">
        <v>5</v>
      </c>
      <c r="G1" s="127" t="s">
        <v>9</v>
      </c>
      <c r="H1" s="127" t="s">
        <v>8</v>
      </c>
      <c r="I1" s="127" t="s">
        <v>7</v>
      </c>
      <c r="J1" s="127" t="s">
        <v>4</v>
      </c>
      <c r="K1" s="127" t="s">
        <v>1975</v>
      </c>
      <c r="L1" s="127" t="s">
        <v>508</v>
      </c>
      <c r="M1" s="127" t="s">
        <v>10</v>
      </c>
      <c r="N1" s="128" t="s">
        <v>11</v>
      </c>
      <c r="P1" s="97" t="s">
        <v>0</v>
      </c>
      <c r="Q1" s="97" t="s">
        <v>508</v>
      </c>
      <c r="R1" s="97" t="s">
        <v>3</v>
      </c>
      <c r="S1" s="97" t="s">
        <v>10</v>
      </c>
      <c r="T1" s="97" t="s">
        <v>9</v>
      </c>
      <c r="U1" s="97" t="s">
        <v>8</v>
      </c>
      <c r="V1" s="97" t="s">
        <v>4</v>
      </c>
      <c r="W1" s="97" t="s">
        <v>1</v>
      </c>
      <c r="X1" s="99" t="s">
        <v>2084</v>
      </c>
      <c r="Z1"/>
    </row>
    <row r="2" spans="1:26" ht="29.25">
      <c r="A2" s="129">
        <v>1</v>
      </c>
      <c r="B2" s="130" t="s">
        <v>15</v>
      </c>
      <c r="C2" s="130" t="s">
        <v>13</v>
      </c>
      <c r="D2" s="131" t="str" cm="1">
        <f t="array" ref="D2" xml:space="preserve"> INDEX(【韻】韻母對照表!$B$4:$B$89, MATCH(TRUE, EXACT(【十五音】韻母對照表!$E2, 【韻】韻母對照表!$C$4:$C$89), 0))</f>
        <v>un</v>
      </c>
      <c r="E2" s="132" t="s">
        <v>14</v>
      </c>
      <c r="F2" s="129" t="s">
        <v>14</v>
      </c>
      <c r="G2" s="129" t="s">
        <v>14</v>
      </c>
      <c r="H2" s="129" t="s">
        <v>14</v>
      </c>
      <c r="I2" s="133" t="s">
        <v>14</v>
      </c>
      <c r="J2" s="129" t="s">
        <v>16</v>
      </c>
      <c r="K2" s="129" t="s">
        <v>16</v>
      </c>
      <c r="L2" s="129" t="s">
        <v>12</v>
      </c>
      <c r="M2" s="129" t="s">
        <v>17</v>
      </c>
      <c r="N2" s="134" t="s">
        <v>18</v>
      </c>
      <c r="P2" s="94">
        <v>1</v>
      </c>
      <c r="Q2" s="95" t="s">
        <v>12</v>
      </c>
      <c r="R2" s="95" t="s">
        <v>15</v>
      </c>
      <c r="S2" s="95" t="s">
        <v>17</v>
      </c>
      <c r="T2" s="94" t="str" cm="1">
        <f t="array" ref="T2">IFERROR( INDEX(【十五音】韻母對照表!$G$2:$G$85, MATCH(TRUE, EXACT( _xlfn.CONCAT(R2, LEFT(S2,1)), 【十五音】韻母對照表!$N$2:$N$85),0)), "")</f>
        <v>un</v>
      </c>
      <c r="U2" s="94" t="s">
        <v>14</v>
      </c>
      <c r="V2" s="94" t="s">
        <v>16</v>
      </c>
      <c r="W2" s="96" t="s">
        <v>13</v>
      </c>
      <c r="X2" s="95">
        <f>LEN(T2)</f>
        <v>2</v>
      </c>
      <c r="Y2" t="str">
        <f xml:space="preserve"> _xlfn.CONCAT("      - xform/",T2,"/",U2,"/")</f>
        <v xml:space="preserve">      - xform/un/un/</v>
      </c>
      <c r="Z2"/>
    </row>
    <row r="3" spans="1:26" ht="29.25">
      <c r="A3" s="135">
        <v>2</v>
      </c>
      <c r="B3" s="136" t="s">
        <v>15</v>
      </c>
      <c r="C3" s="136" t="s">
        <v>20</v>
      </c>
      <c r="D3" s="137" t="str" cm="1">
        <f t="array" ref="D3" xml:space="preserve"> INDEX(【韻】韻母對照表!$B$4:$B$89, MATCH(TRUE, EXACT(【十五音】韻母對照表!$E3, 【韻】韻母對照表!$C$4:$C$89), 0))</f>
        <v>ut̚</v>
      </c>
      <c r="E3" s="138" t="s">
        <v>22</v>
      </c>
      <c r="F3" s="135" t="s">
        <v>22</v>
      </c>
      <c r="G3" s="135" t="s">
        <v>22</v>
      </c>
      <c r="H3" s="135" t="s">
        <v>22</v>
      </c>
      <c r="I3" s="139" t="s">
        <v>22</v>
      </c>
      <c r="J3" s="135" t="s">
        <v>21</v>
      </c>
      <c r="K3" s="135" t="s">
        <v>1981</v>
      </c>
      <c r="L3" s="135" t="s">
        <v>12</v>
      </c>
      <c r="M3" s="135" t="s">
        <v>23</v>
      </c>
      <c r="N3" s="25" t="s">
        <v>24</v>
      </c>
      <c r="P3" s="85">
        <v>2</v>
      </c>
      <c r="Q3" s="86" t="s">
        <v>12</v>
      </c>
      <c r="R3" s="86" t="s">
        <v>15</v>
      </c>
      <c r="S3" s="86" t="s">
        <v>23</v>
      </c>
      <c r="T3" s="85" t="str" cm="1">
        <f t="array" ref="T3">IFERROR( INDEX(【十五音】韻母對照表!$G$2:$G$85, MATCH(TRUE, EXACT( _xlfn.CONCAT(R3, LEFT(S3,1)), 【十五音】韻母對照表!$N$2:$N$85),0)), "")</f>
        <v>ut</v>
      </c>
      <c r="U3" s="85" t="s">
        <v>22</v>
      </c>
      <c r="V3" s="85" t="s">
        <v>21</v>
      </c>
      <c r="W3" s="87" t="s">
        <v>20</v>
      </c>
      <c r="X3" s="95">
        <f t="shared" ref="X3:X66" si="0">LEN(T3)</f>
        <v>2</v>
      </c>
      <c r="Y3" t="str">
        <f t="shared" ref="Y3:Y66" si="1" xml:space="preserve"> _xlfn.CONCAT("      - xform/",T3,"/",U3,"/")</f>
        <v xml:space="preserve">      - xform/ut/ut/</v>
      </c>
      <c r="Z3"/>
    </row>
    <row r="4" spans="1:26" ht="29.25">
      <c r="A4" s="129">
        <v>3</v>
      </c>
      <c r="B4" s="130" t="s">
        <v>28</v>
      </c>
      <c r="C4" s="130" t="s">
        <v>26</v>
      </c>
      <c r="D4" s="131" t="str" cm="1">
        <f t="array" ref="D4" xml:space="preserve"> INDEX(【韻】韻母對照表!$B$4:$B$89, MATCH(TRUE, EXACT(【十五音】韻母對照表!$E4, 【韻】韻母對照表!$C$4:$C$89), 0))</f>
        <v>ɪan</v>
      </c>
      <c r="E4" s="132" t="s">
        <v>27</v>
      </c>
      <c r="F4" s="129" t="s">
        <v>27</v>
      </c>
      <c r="G4" s="129" t="s">
        <v>27</v>
      </c>
      <c r="H4" s="129" t="s">
        <v>27</v>
      </c>
      <c r="I4" s="133" t="s">
        <v>27</v>
      </c>
      <c r="J4" s="129" t="s">
        <v>29</v>
      </c>
      <c r="K4" s="129" t="s">
        <v>29</v>
      </c>
      <c r="L4" s="129" t="s">
        <v>19</v>
      </c>
      <c r="M4" s="129" t="s">
        <v>17</v>
      </c>
      <c r="N4" s="134" t="s">
        <v>30</v>
      </c>
      <c r="P4" s="94">
        <v>3</v>
      </c>
      <c r="Q4" s="86" t="s">
        <v>19</v>
      </c>
      <c r="R4" s="86" t="s">
        <v>28</v>
      </c>
      <c r="S4" s="86" t="s">
        <v>17</v>
      </c>
      <c r="T4" s="85" t="str" cm="1">
        <f t="array" ref="T4">IFERROR( INDEX(【十五音】韻母對照表!$G$2:$G$85, MATCH(TRUE, EXACT( _xlfn.CONCAT(R4, LEFT(S4,1)), 【十五音】韻母對照表!$N$2:$N$85),0)), "")</f>
        <v>ian</v>
      </c>
      <c r="U4" s="85" t="s">
        <v>27</v>
      </c>
      <c r="V4" s="85" t="s">
        <v>29</v>
      </c>
      <c r="W4" s="87" t="s">
        <v>26</v>
      </c>
      <c r="X4" s="95">
        <f t="shared" si="0"/>
        <v>3</v>
      </c>
      <c r="Y4" t="str">
        <f t="shared" si="1"/>
        <v xml:space="preserve">      - xform/ian/ian/</v>
      </c>
      <c r="Z4"/>
    </row>
    <row r="5" spans="1:26" ht="29.25">
      <c r="A5" s="135">
        <v>4</v>
      </c>
      <c r="B5" s="136" t="s">
        <v>28</v>
      </c>
      <c r="C5" s="136" t="s">
        <v>32</v>
      </c>
      <c r="D5" s="137" t="str" cm="1">
        <f t="array" ref="D5" xml:space="preserve"> INDEX(【韻】韻母對照表!$B$4:$B$89, MATCH(TRUE, EXACT(【十五音】韻母對照表!$E5, 【韻】韻母對照表!$C$4:$C$89), 0))</f>
        <v>ɪat̚</v>
      </c>
      <c r="E5" s="138" t="s">
        <v>34</v>
      </c>
      <c r="F5" s="135" t="s">
        <v>34</v>
      </c>
      <c r="G5" s="135" t="s">
        <v>34</v>
      </c>
      <c r="H5" s="135" t="s">
        <v>34</v>
      </c>
      <c r="I5" s="139" t="s">
        <v>34</v>
      </c>
      <c r="J5" s="135" t="s">
        <v>33</v>
      </c>
      <c r="K5" s="135" t="s">
        <v>1982</v>
      </c>
      <c r="L5" s="135" t="s">
        <v>19</v>
      </c>
      <c r="M5" s="135" t="s">
        <v>23</v>
      </c>
      <c r="N5" s="25" t="s">
        <v>35</v>
      </c>
      <c r="P5" s="85">
        <v>4</v>
      </c>
      <c r="Q5" s="86" t="s">
        <v>19</v>
      </c>
      <c r="R5" s="86" t="s">
        <v>28</v>
      </c>
      <c r="S5" s="86" t="s">
        <v>23</v>
      </c>
      <c r="T5" s="85" t="str" cm="1">
        <f t="array" ref="T5">IFERROR( INDEX(【十五音】韻母對照表!$G$2:$G$85, MATCH(TRUE, EXACT( _xlfn.CONCAT(R5, LEFT(S5,1)), 【十五音】韻母對照表!$N$2:$N$85),0)), "")</f>
        <v>iat</v>
      </c>
      <c r="U5" s="85" t="s">
        <v>34</v>
      </c>
      <c r="V5" s="85" t="s">
        <v>33</v>
      </c>
      <c r="W5" s="87" t="s">
        <v>32</v>
      </c>
      <c r="X5" s="95">
        <f t="shared" si="0"/>
        <v>3</v>
      </c>
      <c r="Y5" t="str">
        <f t="shared" si="1"/>
        <v xml:space="preserve">      - xform/iat/iat/</v>
      </c>
      <c r="Z5"/>
    </row>
    <row r="6" spans="1:26" ht="29.25">
      <c r="A6" s="129">
        <v>5</v>
      </c>
      <c r="B6" s="130" t="s">
        <v>39</v>
      </c>
      <c r="C6" s="130" t="s">
        <v>37</v>
      </c>
      <c r="D6" s="131" t="str" cm="1">
        <f t="array" ref="D6" xml:space="preserve"> INDEX(【韻】韻母對照表!$B$4:$B$89, MATCH(TRUE, EXACT(【十五音】韻母對照表!$E6, 【韻】韻母對照表!$C$4:$C$89), 0))</f>
        <v>im</v>
      </c>
      <c r="E6" s="132" t="s">
        <v>38</v>
      </c>
      <c r="F6" s="129" t="s">
        <v>38</v>
      </c>
      <c r="G6" s="129" t="s">
        <v>38</v>
      </c>
      <c r="H6" s="129" t="s">
        <v>38</v>
      </c>
      <c r="I6" s="133" t="s">
        <v>38</v>
      </c>
      <c r="J6" s="129" t="s">
        <v>40</v>
      </c>
      <c r="K6" s="129" t="s">
        <v>1983</v>
      </c>
      <c r="L6" s="129" t="s">
        <v>25</v>
      </c>
      <c r="M6" s="129" t="s">
        <v>17</v>
      </c>
      <c r="N6" s="134" t="s">
        <v>41</v>
      </c>
      <c r="P6" s="94">
        <v>5</v>
      </c>
      <c r="Q6" s="86" t="s">
        <v>25</v>
      </c>
      <c r="R6" s="86" t="s">
        <v>39</v>
      </c>
      <c r="S6" s="86" t="s">
        <v>17</v>
      </c>
      <c r="T6" s="85" t="str" cm="1">
        <f t="array" ref="T6">IFERROR( INDEX(【十五音】韻母對照表!$G$2:$G$85, MATCH(TRUE, EXACT( _xlfn.CONCAT(R6, LEFT(S6,1)), 【十五音】韻母對照表!$N$2:$N$85),0)), "")</f>
        <v>im</v>
      </c>
      <c r="U6" s="85" t="s">
        <v>38</v>
      </c>
      <c r="V6" s="85" t="s">
        <v>40</v>
      </c>
      <c r="W6" s="87" t="s">
        <v>37</v>
      </c>
      <c r="X6" s="95">
        <f t="shared" si="0"/>
        <v>2</v>
      </c>
      <c r="Y6" t="str">
        <f t="shared" si="1"/>
        <v xml:space="preserve">      - xform/im/im/</v>
      </c>
      <c r="Z6"/>
    </row>
    <row r="7" spans="1:26" ht="29.25">
      <c r="A7" s="135">
        <v>6</v>
      </c>
      <c r="B7" s="136" t="s">
        <v>39</v>
      </c>
      <c r="C7" s="136" t="s">
        <v>43</v>
      </c>
      <c r="D7" s="137" t="str" cm="1">
        <f t="array" ref="D7" xml:space="preserve"> INDEX(【韻】韻母對照表!$B$4:$B$89, MATCH(TRUE, EXACT(【十五音】韻母對照表!$E7, 【韻】韻母對照表!$C$4:$C$89), 0))</f>
        <v>ip̚</v>
      </c>
      <c r="E7" s="138" t="s">
        <v>46</v>
      </c>
      <c r="F7" s="135" t="s">
        <v>46</v>
      </c>
      <c r="G7" s="135" t="s">
        <v>46</v>
      </c>
      <c r="H7" s="135" t="s">
        <v>46</v>
      </c>
      <c r="I7" s="139" t="s">
        <v>46</v>
      </c>
      <c r="J7" s="135" t="s">
        <v>45</v>
      </c>
      <c r="K7" s="135" t="s">
        <v>1984</v>
      </c>
      <c r="L7" s="135" t="s">
        <v>25</v>
      </c>
      <c r="M7" s="135" t="s">
        <v>23</v>
      </c>
      <c r="N7" s="25" t="s">
        <v>47</v>
      </c>
      <c r="P7" s="85">
        <v>6</v>
      </c>
      <c r="Q7" s="86" t="s">
        <v>25</v>
      </c>
      <c r="R7" s="86" t="s">
        <v>39</v>
      </c>
      <c r="S7" s="86" t="s">
        <v>23</v>
      </c>
      <c r="T7" s="85" t="str" cm="1">
        <f t="array" ref="T7">IFERROR( INDEX(【十五音】韻母對照表!$G$2:$G$85, MATCH(TRUE, EXACT( _xlfn.CONCAT(R7, LEFT(S7,1)), 【十五音】韻母對照表!$N$2:$N$85),0)), "")</f>
        <v>ip</v>
      </c>
      <c r="U7" s="85" t="s">
        <v>46</v>
      </c>
      <c r="V7" s="85" t="s">
        <v>45</v>
      </c>
      <c r="W7" s="87" t="s">
        <v>43</v>
      </c>
      <c r="X7" s="95">
        <f t="shared" si="0"/>
        <v>2</v>
      </c>
      <c r="Y7" t="str">
        <f t="shared" si="1"/>
        <v xml:space="preserve">      - xform/ip/ip/</v>
      </c>
      <c r="Z7"/>
    </row>
    <row r="8" spans="1:26" ht="29.25">
      <c r="A8" s="129">
        <v>7</v>
      </c>
      <c r="B8" s="130" t="s">
        <v>51</v>
      </c>
      <c r="C8" s="130" t="s">
        <v>49</v>
      </c>
      <c r="D8" s="131" t="str" cm="1">
        <f t="array" ref="D8" xml:space="preserve"> INDEX(【韻】韻母對照表!$B$4:$B$89, MATCH(TRUE, EXACT(【十五音】韻母對照表!$E8, 【韻】韻母對照表!$C$4:$C$89), 0))</f>
        <v>ui</v>
      </c>
      <c r="E8" s="132" t="s">
        <v>50</v>
      </c>
      <c r="F8" s="129" t="s">
        <v>50</v>
      </c>
      <c r="G8" s="129" t="s">
        <v>50</v>
      </c>
      <c r="H8" s="129" t="s">
        <v>50</v>
      </c>
      <c r="I8" s="133" t="s">
        <v>50</v>
      </c>
      <c r="J8" s="129" t="s">
        <v>52</v>
      </c>
      <c r="K8" s="129" t="s">
        <v>52</v>
      </c>
      <c r="L8" s="129" t="s">
        <v>31</v>
      </c>
      <c r="M8" s="129" t="s">
        <v>17</v>
      </c>
      <c r="N8" s="134" t="s">
        <v>53</v>
      </c>
      <c r="P8" s="94">
        <v>7</v>
      </c>
      <c r="Q8" s="86" t="s">
        <v>31</v>
      </c>
      <c r="R8" s="86" t="s">
        <v>51</v>
      </c>
      <c r="S8" s="86" t="s">
        <v>17</v>
      </c>
      <c r="T8" s="85" t="str" cm="1">
        <f t="array" ref="T8">IFERROR( INDEX(【十五音】韻母對照表!$G$2:$G$85, MATCH(TRUE, EXACT( _xlfn.CONCAT(R8, LEFT(S8,1)), 【十五音】韻母對照表!$N$2:$N$85),0)), "")</f>
        <v>ui</v>
      </c>
      <c r="U8" s="85" t="s">
        <v>50</v>
      </c>
      <c r="V8" s="85" t="s">
        <v>52</v>
      </c>
      <c r="W8" s="87" t="s">
        <v>49</v>
      </c>
      <c r="X8" s="95">
        <f t="shared" si="0"/>
        <v>2</v>
      </c>
      <c r="Y8" t="str">
        <f t="shared" si="1"/>
        <v xml:space="preserve">      - xform/ui/ui/</v>
      </c>
      <c r="Z8"/>
    </row>
    <row r="9" spans="1:26" ht="29.25">
      <c r="A9" s="135">
        <v>9</v>
      </c>
      <c r="B9" s="140" t="s">
        <v>57</v>
      </c>
      <c r="C9" s="140" t="s">
        <v>55</v>
      </c>
      <c r="D9" s="137" t="s">
        <v>2154</v>
      </c>
      <c r="E9" s="138" t="s">
        <v>59</v>
      </c>
      <c r="F9" s="135" t="s">
        <v>59</v>
      </c>
      <c r="G9" s="135" t="s">
        <v>60</v>
      </c>
      <c r="H9" s="135" t="s">
        <v>60</v>
      </c>
      <c r="I9" s="141"/>
      <c r="J9" s="135" t="s">
        <v>58</v>
      </c>
      <c r="K9" s="135" t="s">
        <v>58</v>
      </c>
      <c r="L9" s="135" t="s">
        <v>36</v>
      </c>
      <c r="M9" s="135" t="s">
        <v>17</v>
      </c>
      <c r="N9" s="25" t="s">
        <v>61</v>
      </c>
      <c r="P9" s="85">
        <v>8</v>
      </c>
      <c r="Q9" s="86">
        <v>4</v>
      </c>
      <c r="R9" s="86" t="s">
        <v>51</v>
      </c>
      <c r="S9" s="86" t="s">
        <v>23</v>
      </c>
      <c r="T9" s="98" t="str">
        <f xml:space="preserve"> _xlfn.CONCAT(T8, "h")</f>
        <v>uih</v>
      </c>
      <c r="U9" s="98" t="s">
        <v>1002</v>
      </c>
      <c r="V9" s="85" t="str">
        <f xml:space="preserve"> _xlfn.CONCAT(V8, "ㆷ")</f>
        <v>ㄨㄧㆷ</v>
      </c>
      <c r="W9" s="87"/>
      <c r="X9" s="95">
        <f t="shared" si="0"/>
        <v>3</v>
      </c>
      <c r="Y9" t="str">
        <f t="shared" si="1"/>
        <v xml:space="preserve">      - xform/uih/uh/</v>
      </c>
      <c r="Z9"/>
    </row>
    <row r="10" spans="1:26" ht="29.25">
      <c r="A10" s="129">
        <v>10</v>
      </c>
      <c r="B10" s="142" t="s">
        <v>57</v>
      </c>
      <c r="C10" s="130" t="s">
        <v>63</v>
      </c>
      <c r="D10" s="131" t="str">
        <f xml:space="preserve"> _xlfn.CONCAT(D9, "ʔ")</f>
        <v>ɛʔ</v>
      </c>
      <c r="E10" s="132" t="s">
        <v>64</v>
      </c>
      <c r="F10" s="129" t="s">
        <v>64</v>
      </c>
      <c r="G10" s="129" t="s">
        <v>65</v>
      </c>
      <c r="H10" s="129" t="s">
        <v>65</v>
      </c>
      <c r="I10" s="141"/>
      <c r="J10" s="129" t="s">
        <v>711</v>
      </c>
      <c r="K10" s="129" t="s">
        <v>1985</v>
      </c>
      <c r="L10" s="129" t="s">
        <v>36</v>
      </c>
      <c r="M10" s="129" t="s">
        <v>23</v>
      </c>
      <c r="N10" s="134" t="s">
        <v>66</v>
      </c>
      <c r="P10" s="94">
        <v>9</v>
      </c>
      <c r="Q10" s="86" t="s">
        <v>36</v>
      </c>
      <c r="R10" s="86" t="s">
        <v>57</v>
      </c>
      <c r="S10" s="86" t="s">
        <v>17</v>
      </c>
      <c r="T10" s="85" t="str" cm="1">
        <f t="array" ref="T10">IFERROR( INDEX(【十五音】韻母對照表!$G$2:$G$85, MATCH(TRUE, EXACT( _xlfn.CONCAT(R10, LEFT(S10,1)), 【十五音】韻母對照表!$N$2:$N$85),0)), "")</f>
        <v>e</v>
      </c>
      <c r="U10" s="85" t="s">
        <v>1039</v>
      </c>
      <c r="V10" s="85" t="s">
        <v>58</v>
      </c>
      <c r="W10" s="88" t="s">
        <v>55</v>
      </c>
      <c r="X10" s="95">
        <f t="shared" si="0"/>
        <v>1</v>
      </c>
      <c r="Y10" t="str">
        <f t="shared" si="1"/>
        <v xml:space="preserve">      - xform/e/ee/</v>
      </c>
      <c r="Z10"/>
    </row>
    <row r="11" spans="1:26" ht="29.25">
      <c r="A11" s="135">
        <v>11</v>
      </c>
      <c r="B11" s="136" t="s">
        <v>70</v>
      </c>
      <c r="C11" s="136" t="s">
        <v>68</v>
      </c>
      <c r="D11" s="137" t="str" cm="1">
        <f t="array" ref="D11" xml:space="preserve"> INDEX(【韻】韻母對照表!$B$4:$B$89, MATCH(TRUE, EXACT(【十五音】韻母對照表!$E11, 【韻】韻母對照表!$C$4:$C$89), 0))</f>
        <v>an</v>
      </c>
      <c r="E11" s="138" t="s">
        <v>69</v>
      </c>
      <c r="F11" s="135" t="s">
        <v>69</v>
      </c>
      <c r="G11" s="135" t="s">
        <v>69</v>
      </c>
      <c r="H11" s="135" t="s">
        <v>69</v>
      </c>
      <c r="I11" s="139" t="s">
        <v>69</v>
      </c>
      <c r="J11" s="135" t="s">
        <v>71</v>
      </c>
      <c r="K11" s="135" t="s">
        <v>71</v>
      </c>
      <c r="L11" s="135" t="s">
        <v>42</v>
      </c>
      <c r="M11" s="135" t="s">
        <v>17</v>
      </c>
      <c r="N11" s="25" t="s">
        <v>72</v>
      </c>
      <c r="P11" s="85">
        <v>10</v>
      </c>
      <c r="Q11" s="86" t="s">
        <v>36</v>
      </c>
      <c r="R11" s="86" t="s">
        <v>57</v>
      </c>
      <c r="S11" s="86" t="s">
        <v>23</v>
      </c>
      <c r="T11" s="98" t="str" cm="1">
        <f t="array" ref="T11">IFERROR( INDEX(【十五音】韻母對照表!$G$2:$G$85, MATCH(TRUE, EXACT( _xlfn.CONCAT(R11, LEFT(S11,1)), 【十五音】韻母對照表!$N$2:$N$85),0)), "")</f>
        <v>eh</v>
      </c>
      <c r="U11" s="98" t="s">
        <v>1038</v>
      </c>
      <c r="V11" s="85" t="s">
        <v>2068</v>
      </c>
      <c r="W11" s="87" t="s">
        <v>63</v>
      </c>
      <c r="X11" s="95">
        <f t="shared" si="0"/>
        <v>2</v>
      </c>
      <c r="Y11" t="str">
        <f t="shared" si="1"/>
        <v xml:space="preserve">      - xform/eh/eeh/</v>
      </c>
      <c r="Z11"/>
    </row>
    <row r="12" spans="1:26" ht="29.25">
      <c r="A12" s="129">
        <v>12</v>
      </c>
      <c r="B12" s="130" t="s">
        <v>70</v>
      </c>
      <c r="C12" s="130" t="s">
        <v>74</v>
      </c>
      <c r="D12" s="131" t="str" cm="1">
        <f t="array" ref="D12" xml:space="preserve"> INDEX(【韻】韻母對照表!$B$4:$B$89, MATCH(TRUE, EXACT(【十五音】韻母對照表!$E12, 【韻】韻母對照表!$C$4:$C$89), 0))</f>
        <v>at̚</v>
      </c>
      <c r="E12" s="132" t="s">
        <v>77</v>
      </c>
      <c r="F12" s="129" t="s">
        <v>77</v>
      </c>
      <c r="G12" s="129" t="s">
        <v>77</v>
      </c>
      <c r="H12" s="129" t="s">
        <v>77</v>
      </c>
      <c r="I12" s="133" t="s">
        <v>77</v>
      </c>
      <c r="J12" s="129" t="s">
        <v>76</v>
      </c>
      <c r="K12" s="129" t="s">
        <v>1986</v>
      </c>
      <c r="L12" s="129" t="s">
        <v>42</v>
      </c>
      <c r="M12" s="129" t="s">
        <v>23</v>
      </c>
      <c r="N12" s="134" t="s">
        <v>78</v>
      </c>
      <c r="P12" s="94">
        <v>11</v>
      </c>
      <c r="Q12" s="86" t="s">
        <v>42</v>
      </c>
      <c r="R12" s="86" t="s">
        <v>70</v>
      </c>
      <c r="S12" s="86" t="s">
        <v>17</v>
      </c>
      <c r="T12" s="85" t="str" cm="1">
        <f t="array" ref="T12">IFERROR( INDEX(【十五音】韻母對照表!$G$2:$G$85, MATCH(TRUE, EXACT( _xlfn.CONCAT(R12, LEFT(S12,1)), 【十五音】韻母對照表!$N$2:$N$85),0)), "")</f>
        <v>an</v>
      </c>
      <c r="U12" s="85" t="s">
        <v>69</v>
      </c>
      <c r="V12" s="85" t="s">
        <v>71</v>
      </c>
      <c r="W12" s="87" t="s">
        <v>68</v>
      </c>
      <c r="X12" s="95">
        <f t="shared" si="0"/>
        <v>2</v>
      </c>
      <c r="Y12" t="str">
        <f t="shared" si="1"/>
        <v xml:space="preserve">      - xform/an/an/</v>
      </c>
      <c r="Z12"/>
    </row>
    <row r="13" spans="1:26" ht="29.25">
      <c r="A13" s="135">
        <v>13</v>
      </c>
      <c r="B13" s="136" t="s">
        <v>82</v>
      </c>
      <c r="C13" s="136" t="s">
        <v>80</v>
      </c>
      <c r="D13" s="137" t="str" cm="1">
        <f t="array" ref="D13" xml:space="preserve"> INDEX(【韻】韻母對照表!$B$4:$B$89, MATCH(TRUE, EXACT(【十五音】韻母對照表!$E13, 【韻】韻母對照表!$C$4:$C$89), 0))</f>
        <v>ɔŋ</v>
      </c>
      <c r="E13" s="138" t="s">
        <v>84</v>
      </c>
      <c r="F13" s="135" t="s">
        <v>84</v>
      </c>
      <c r="G13" s="135" t="s">
        <v>84</v>
      </c>
      <c r="H13" s="135" t="s">
        <v>84</v>
      </c>
      <c r="I13" s="139" t="s">
        <v>84</v>
      </c>
      <c r="J13" s="135" t="s">
        <v>83</v>
      </c>
      <c r="K13" s="135" t="s">
        <v>1987</v>
      </c>
      <c r="L13" s="135" t="s">
        <v>48</v>
      </c>
      <c r="M13" s="135" t="s">
        <v>17</v>
      </c>
      <c r="N13" s="25" t="s">
        <v>85</v>
      </c>
      <c r="P13" s="85">
        <v>12</v>
      </c>
      <c r="Q13" s="86" t="s">
        <v>42</v>
      </c>
      <c r="R13" s="86" t="s">
        <v>70</v>
      </c>
      <c r="S13" s="86" t="s">
        <v>23</v>
      </c>
      <c r="T13" s="85" t="str" cm="1">
        <f t="array" ref="T13">IFERROR( INDEX(【十五音】韻母對照表!$G$2:$G$85, MATCH(TRUE, EXACT( _xlfn.CONCAT(R13, LEFT(S13,1)), 【十五音】韻母對照表!$N$2:$N$85),0)), "")</f>
        <v>at</v>
      </c>
      <c r="U13" s="85" t="s">
        <v>77</v>
      </c>
      <c r="V13" s="85" t="s">
        <v>76</v>
      </c>
      <c r="W13" s="87" t="s">
        <v>74</v>
      </c>
      <c r="X13" s="95">
        <f t="shared" si="0"/>
        <v>2</v>
      </c>
      <c r="Y13" t="str">
        <f t="shared" si="1"/>
        <v xml:space="preserve">      - xform/at/at/</v>
      </c>
      <c r="Z13"/>
    </row>
    <row r="14" spans="1:26" ht="29.25">
      <c r="A14" s="129">
        <v>14</v>
      </c>
      <c r="B14" s="130" t="s">
        <v>82</v>
      </c>
      <c r="C14" s="130" t="s">
        <v>87</v>
      </c>
      <c r="D14" s="131" t="str" cm="1">
        <f t="array" ref="D14" xml:space="preserve"> INDEX(【韻】韻母對照表!$B$4:$B$89, MATCH(TRUE, EXACT(【十五音】韻母對照表!$E14, 【韻】韻母對照表!$C$4:$C$89), 0))</f>
        <v>ɔk̚</v>
      </c>
      <c r="E14" s="132" t="s">
        <v>90</v>
      </c>
      <c r="F14" s="129" t="s">
        <v>90</v>
      </c>
      <c r="G14" s="129" t="s">
        <v>90</v>
      </c>
      <c r="H14" s="129" t="s">
        <v>90</v>
      </c>
      <c r="I14" s="133" t="s">
        <v>90</v>
      </c>
      <c r="J14" s="129" t="s">
        <v>89</v>
      </c>
      <c r="K14" s="129" t="s">
        <v>1988</v>
      </c>
      <c r="L14" s="129" t="s">
        <v>48</v>
      </c>
      <c r="M14" s="129" t="s">
        <v>23</v>
      </c>
      <c r="N14" s="134" t="s">
        <v>91</v>
      </c>
      <c r="P14" s="94">
        <v>13</v>
      </c>
      <c r="Q14" s="86" t="s">
        <v>48</v>
      </c>
      <c r="R14" s="86" t="s">
        <v>82</v>
      </c>
      <c r="S14" s="86" t="s">
        <v>17</v>
      </c>
      <c r="T14" s="85" t="str" cm="1">
        <f t="array" ref="T14">IFERROR( INDEX(【十五音】韻母對照表!$G$2:$G$85, MATCH(TRUE, EXACT( _xlfn.CONCAT(R14, LEFT(S14,1)), 【十五音】韻母對照表!$N$2:$N$85),0)), "")</f>
        <v>ong</v>
      </c>
      <c r="U14" s="85" t="s">
        <v>84</v>
      </c>
      <c r="V14" s="85" t="s">
        <v>83</v>
      </c>
      <c r="W14" s="87" t="s">
        <v>80</v>
      </c>
      <c r="X14" s="95">
        <f t="shared" si="0"/>
        <v>3</v>
      </c>
      <c r="Y14" t="str">
        <f t="shared" si="1"/>
        <v xml:space="preserve">      - xform/ong/ong/</v>
      </c>
      <c r="Z14"/>
    </row>
    <row r="15" spans="1:26" ht="29.25">
      <c r="A15" s="135">
        <v>15</v>
      </c>
      <c r="B15" s="136" t="s">
        <v>95</v>
      </c>
      <c r="C15" s="136" t="s">
        <v>93</v>
      </c>
      <c r="D15" s="137" t="str" cm="1">
        <f t="array" ref="D15" xml:space="preserve"> INDEX(【韻】韻母對照表!$B$4:$B$89, MATCH(TRUE, EXACT(【十五音】韻母對照表!$E15, 【韻】韻母對照表!$C$4:$C$89), 0))</f>
        <v>uai</v>
      </c>
      <c r="E15" s="138" t="s">
        <v>94</v>
      </c>
      <c r="F15" s="135" t="s">
        <v>94</v>
      </c>
      <c r="G15" s="135" t="s">
        <v>94</v>
      </c>
      <c r="H15" s="135" t="s">
        <v>94</v>
      </c>
      <c r="I15" s="143" t="s">
        <v>97</v>
      </c>
      <c r="J15" s="135" t="s">
        <v>96</v>
      </c>
      <c r="K15" s="135" t="s">
        <v>96</v>
      </c>
      <c r="L15" s="135" t="s">
        <v>99</v>
      </c>
      <c r="M15" s="135" t="s">
        <v>17</v>
      </c>
      <c r="N15" s="25" t="s">
        <v>98</v>
      </c>
      <c r="P15" s="85">
        <v>14</v>
      </c>
      <c r="Q15" s="86" t="s">
        <v>48</v>
      </c>
      <c r="R15" s="86" t="s">
        <v>82</v>
      </c>
      <c r="S15" s="86" t="s">
        <v>23</v>
      </c>
      <c r="T15" s="85" t="str" cm="1">
        <f t="array" ref="T15">IFERROR( INDEX(【十五音】韻母對照表!$G$2:$G$85, MATCH(TRUE, EXACT( _xlfn.CONCAT(R15, LEFT(S15,1)), 【十五音】韻母對照表!$N$2:$N$85),0)), "")</f>
        <v>ok</v>
      </c>
      <c r="U15" s="85" t="s">
        <v>90</v>
      </c>
      <c r="V15" s="85" t="s">
        <v>89</v>
      </c>
      <c r="W15" s="87" t="s">
        <v>87</v>
      </c>
      <c r="X15" s="95">
        <f t="shared" si="0"/>
        <v>2</v>
      </c>
      <c r="Y15" t="str">
        <f t="shared" si="1"/>
        <v xml:space="preserve">      - xform/ok/ok/</v>
      </c>
      <c r="Z15"/>
    </row>
    <row r="16" spans="1:26" ht="39">
      <c r="A16" s="129">
        <v>16</v>
      </c>
      <c r="B16" s="130" t="s">
        <v>95</v>
      </c>
      <c r="C16" s="130" t="s">
        <v>509</v>
      </c>
      <c r="D16" s="131" t="str" cm="1">
        <f t="array" ref="D16" xml:space="preserve"> INDEX(【韻】韻母對照表!$B$4:$B$89, MATCH(TRUE, EXACT(【十五音】韻母對照表!$E16, 【韻】韻母對照表!$C$4:$C$89), 0))</f>
        <v>uaiʔ</v>
      </c>
      <c r="E16" s="132" t="s">
        <v>101</v>
      </c>
      <c r="F16" s="129" t="s">
        <v>101</v>
      </c>
      <c r="G16" s="129" t="s">
        <v>101</v>
      </c>
      <c r="H16" s="129" t="s">
        <v>101</v>
      </c>
      <c r="I16" s="144" t="s">
        <v>102</v>
      </c>
      <c r="J16" s="129" t="s">
        <v>712</v>
      </c>
      <c r="K16" s="129" t="s">
        <v>1989</v>
      </c>
      <c r="L16" s="129" t="s">
        <v>99</v>
      </c>
      <c r="M16" s="129" t="s">
        <v>23</v>
      </c>
      <c r="N16" s="134" t="s">
        <v>103</v>
      </c>
      <c r="P16" s="94">
        <v>15</v>
      </c>
      <c r="Q16" s="86" t="s">
        <v>99</v>
      </c>
      <c r="R16" s="86" t="s">
        <v>95</v>
      </c>
      <c r="S16" s="86" t="s">
        <v>17</v>
      </c>
      <c r="T16" s="85" t="str" cm="1">
        <f t="array" ref="T16">IFERROR( INDEX(【十五音】韻母對照表!$G$2:$G$85, MATCH(TRUE, EXACT( _xlfn.CONCAT(R16, LEFT(S16,1)), 【十五音】韻母對照表!$N$2:$N$85),0)), "")</f>
        <v>uai</v>
      </c>
      <c r="U16" s="85" t="s">
        <v>94</v>
      </c>
      <c r="V16" s="85" t="s">
        <v>96</v>
      </c>
      <c r="W16" s="87" t="s">
        <v>93</v>
      </c>
      <c r="X16" s="95">
        <f t="shared" si="0"/>
        <v>3</v>
      </c>
      <c r="Y16" t="str">
        <f t="shared" si="1"/>
        <v xml:space="preserve">      - xform/uai/uai/</v>
      </c>
      <c r="Z16"/>
    </row>
    <row r="17" spans="1:26" ht="29.25">
      <c r="A17" s="135">
        <v>17</v>
      </c>
      <c r="B17" s="136" t="s">
        <v>107</v>
      </c>
      <c r="C17" s="136" t="s">
        <v>105</v>
      </c>
      <c r="D17" s="137" t="str" cm="1">
        <f t="array" ref="D17" xml:space="preserve"> INDEX(【韻】韻母對照表!$B$4:$B$89, MATCH(TRUE, EXACT(【十五音】韻母對照表!$E17, 【韻】韻母對照表!$C$4:$C$89), 0))</f>
        <v>iŋ</v>
      </c>
      <c r="E17" s="138" t="s">
        <v>109</v>
      </c>
      <c r="F17" s="135" t="s">
        <v>109</v>
      </c>
      <c r="G17" s="135" t="s">
        <v>109</v>
      </c>
      <c r="H17" s="135" t="s">
        <v>109</v>
      </c>
      <c r="I17" s="143" t="s">
        <v>110</v>
      </c>
      <c r="J17" s="135" t="s">
        <v>108</v>
      </c>
      <c r="K17" s="135" t="s">
        <v>108</v>
      </c>
      <c r="L17" s="135" t="s">
        <v>54</v>
      </c>
      <c r="M17" s="135" t="s">
        <v>17</v>
      </c>
      <c r="N17" s="25" t="s">
        <v>111</v>
      </c>
      <c r="P17" s="85">
        <v>16</v>
      </c>
      <c r="Q17" s="86" t="s">
        <v>99</v>
      </c>
      <c r="R17" s="86" t="s">
        <v>95</v>
      </c>
      <c r="S17" s="86" t="s">
        <v>23</v>
      </c>
      <c r="T17" s="85" t="str" cm="1">
        <f t="array" ref="T17">IFERROR( INDEX(【十五音】韻母對照表!$G$2:$G$85, MATCH(TRUE, EXACT( _xlfn.CONCAT(R17, LEFT(S17,1)), 【十五音】韻母對照表!$N$2:$N$85),0)), "")</f>
        <v>uaih</v>
      </c>
      <c r="U17" s="85" t="s">
        <v>996</v>
      </c>
      <c r="V17" s="85" t="s">
        <v>1966</v>
      </c>
      <c r="W17" s="87" t="s">
        <v>2071</v>
      </c>
      <c r="X17" s="95">
        <f t="shared" si="0"/>
        <v>4</v>
      </c>
      <c r="Y17" t="str">
        <f t="shared" si="1"/>
        <v xml:space="preserve">      - xform/uaih/uah/</v>
      </c>
      <c r="Z17"/>
    </row>
    <row r="18" spans="1:26" ht="29.25">
      <c r="A18" s="129">
        <v>18</v>
      </c>
      <c r="B18" s="130" t="s">
        <v>107</v>
      </c>
      <c r="C18" s="130" t="s">
        <v>113</v>
      </c>
      <c r="D18" s="131" t="str" cm="1">
        <f t="array" ref="D18" xml:space="preserve"> INDEX(【韻】韻母對照表!$B$4:$B$89, MATCH(TRUE, EXACT(【十五音】韻母對照表!$E18, 【韻】韻母對照表!$C$4:$C$89), 0))</f>
        <v>ik̚</v>
      </c>
      <c r="E18" s="132" t="s">
        <v>115</v>
      </c>
      <c r="F18" s="129" t="s">
        <v>115</v>
      </c>
      <c r="G18" s="129" t="s">
        <v>115</v>
      </c>
      <c r="H18" s="129" t="s">
        <v>115</v>
      </c>
      <c r="I18" s="144" t="s">
        <v>116</v>
      </c>
      <c r="J18" s="129" t="s">
        <v>114</v>
      </c>
      <c r="K18" s="129" t="s">
        <v>1990</v>
      </c>
      <c r="L18" s="129" t="s">
        <v>54</v>
      </c>
      <c r="M18" s="129" t="s">
        <v>23</v>
      </c>
      <c r="N18" s="134" t="s">
        <v>117</v>
      </c>
      <c r="P18" s="94">
        <v>17</v>
      </c>
      <c r="Q18" s="86" t="s">
        <v>54</v>
      </c>
      <c r="R18" s="86" t="s">
        <v>107</v>
      </c>
      <c r="S18" s="86" t="s">
        <v>17</v>
      </c>
      <c r="T18" s="85" t="str" cm="1">
        <f t="array" ref="T18">IFERROR( INDEX(【十五音】韻母對照表!$G$2:$G$85, MATCH(TRUE, EXACT( _xlfn.CONCAT(R18, LEFT(S18,1)), 【十五音】韻母對照表!$N$2:$N$85),0)), "")</f>
        <v>ing</v>
      </c>
      <c r="U18" s="85" t="s">
        <v>1012</v>
      </c>
      <c r="V18" s="85" t="s">
        <v>108</v>
      </c>
      <c r="W18" s="87" t="s">
        <v>105</v>
      </c>
      <c r="X18" s="95">
        <f t="shared" si="0"/>
        <v>3</v>
      </c>
      <c r="Y18" t="str">
        <f t="shared" si="1"/>
        <v xml:space="preserve">      - xform/ing/ing/</v>
      </c>
      <c r="Z18"/>
    </row>
    <row r="19" spans="1:26" ht="29.25">
      <c r="A19" s="135">
        <v>19</v>
      </c>
      <c r="B19" s="136" t="s">
        <v>121</v>
      </c>
      <c r="C19" s="136" t="s">
        <v>119</v>
      </c>
      <c r="D19" s="137" t="str" cm="1">
        <f t="array" ref="D19" xml:space="preserve"> INDEX(【韻】韻母對照表!$B$4:$B$89, MATCH(TRUE, EXACT(【十五音】韻母對照表!$E19, 【韻】韻母對照表!$C$4:$C$89), 0))</f>
        <v>uan</v>
      </c>
      <c r="E19" s="138" t="s">
        <v>120</v>
      </c>
      <c r="F19" s="135" t="s">
        <v>120</v>
      </c>
      <c r="G19" s="135" t="s">
        <v>120</v>
      </c>
      <c r="H19" s="135" t="s">
        <v>120</v>
      </c>
      <c r="I19" s="143" t="s">
        <v>123</v>
      </c>
      <c r="J19" s="135" t="s">
        <v>122</v>
      </c>
      <c r="K19" s="135" t="s">
        <v>122</v>
      </c>
      <c r="L19" s="135" t="s">
        <v>62</v>
      </c>
      <c r="M19" s="135" t="s">
        <v>17</v>
      </c>
      <c r="N19" s="25" t="s">
        <v>124</v>
      </c>
      <c r="P19" s="85">
        <v>18</v>
      </c>
      <c r="Q19" s="86" t="s">
        <v>54</v>
      </c>
      <c r="R19" s="86" t="s">
        <v>107</v>
      </c>
      <c r="S19" s="86" t="s">
        <v>23</v>
      </c>
      <c r="T19" s="85" t="str" cm="1">
        <f t="array" ref="T19">IFERROR( INDEX(【十五音】韻母對照表!$G$2:$G$85, MATCH(TRUE, EXACT( _xlfn.CONCAT(R19, LEFT(S19,1)), 【十五音】韻母對照表!$N$2:$N$85),0)), "")</f>
        <v>ik</v>
      </c>
      <c r="U19" s="85" t="s">
        <v>115</v>
      </c>
      <c r="V19" s="85" t="s">
        <v>114</v>
      </c>
      <c r="W19" s="87" t="s">
        <v>113</v>
      </c>
      <c r="X19" s="95">
        <f t="shared" si="0"/>
        <v>2</v>
      </c>
      <c r="Y19" t="str">
        <f t="shared" si="1"/>
        <v xml:space="preserve">      - xform/ik/ik/</v>
      </c>
      <c r="Z19"/>
    </row>
    <row r="20" spans="1:26" ht="29.25">
      <c r="A20" s="129">
        <v>20</v>
      </c>
      <c r="B20" s="130" t="s">
        <v>121</v>
      </c>
      <c r="C20" s="130" t="s">
        <v>126</v>
      </c>
      <c r="D20" s="131" t="str" cm="1">
        <f t="array" ref="D20" xml:space="preserve"> INDEX(【韻】韻母對照表!$B$4:$B$89, MATCH(TRUE, EXACT(【十五音】韻母對照表!$E20, 【韻】韻母對照表!$C$4:$C$89), 0))</f>
        <v>uat̚</v>
      </c>
      <c r="E20" s="132" t="s">
        <v>129</v>
      </c>
      <c r="F20" s="129" t="s">
        <v>129</v>
      </c>
      <c r="G20" s="129" t="s">
        <v>129</v>
      </c>
      <c r="H20" s="129" t="s">
        <v>129</v>
      </c>
      <c r="I20" s="144" t="s">
        <v>130</v>
      </c>
      <c r="J20" s="129" t="s">
        <v>128</v>
      </c>
      <c r="K20" s="129" t="s">
        <v>1991</v>
      </c>
      <c r="L20" s="129" t="s">
        <v>62</v>
      </c>
      <c r="M20" s="129" t="s">
        <v>23</v>
      </c>
      <c r="N20" s="134" t="s">
        <v>131</v>
      </c>
      <c r="P20" s="94">
        <v>19</v>
      </c>
      <c r="Q20" s="86" t="s">
        <v>62</v>
      </c>
      <c r="R20" s="86" t="s">
        <v>121</v>
      </c>
      <c r="S20" s="86" t="s">
        <v>17</v>
      </c>
      <c r="T20" s="85" t="str" cm="1">
        <f t="array" ref="T20">IFERROR( INDEX(【十五音】韻母對照表!$G$2:$G$85, MATCH(TRUE, EXACT( _xlfn.CONCAT(R20, LEFT(S20,1)), 【十五音】韻母對照表!$N$2:$N$85),0)), "")</f>
        <v>uan</v>
      </c>
      <c r="U20" s="85" t="s">
        <v>120</v>
      </c>
      <c r="V20" s="85" t="s">
        <v>122</v>
      </c>
      <c r="W20" s="87" t="s">
        <v>119</v>
      </c>
      <c r="X20" s="95">
        <f t="shared" si="0"/>
        <v>3</v>
      </c>
      <c r="Y20" t="str">
        <f t="shared" si="1"/>
        <v xml:space="preserve">      - xform/uan/uan/</v>
      </c>
      <c r="Z20"/>
    </row>
    <row r="21" spans="1:26" ht="29.25">
      <c r="A21" s="135">
        <v>21</v>
      </c>
      <c r="B21" s="136" t="s">
        <v>135</v>
      </c>
      <c r="C21" s="136" t="s">
        <v>133</v>
      </c>
      <c r="D21" s="137" t="str" cm="1">
        <f t="array" ref="D21" xml:space="preserve"> INDEX(【韻】韻母對照表!$B$4:$B$89, MATCH(TRUE, EXACT(【十五音】韻母對照表!$E21, 【韻】韻母對照表!$C$4:$C$89), 0))</f>
        <v>ɔ</v>
      </c>
      <c r="E21" s="138" t="s">
        <v>136</v>
      </c>
      <c r="F21" s="135" t="s">
        <v>136</v>
      </c>
      <c r="G21" s="135" t="s">
        <v>136</v>
      </c>
      <c r="H21" s="135" t="s">
        <v>136</v>
      </c>
      <c r="I21" s="143" t="str">
        <f xml:space="preserve"> _xlfn.CONCAT("o", _xlfn.UNICHAR(HEX2DEC(358)))</f>
        <v>o͘</v>
      </c>
      <c r="J21" s="135" t="s">
        <v>713</v>
      </c>
      <c r="K21" s="135" t="s">
        <v>1992</v>
      </c>
      <c r="L21" s="135" t="s">
        <v>67</v>
      </c>
      <c r="M21" s="135" t="s">
        <v>17</v>
      </c>
      <c r="N21" s="25" t="s">
        <v>138</v>
      </c>
      <c r="P21" s="85">
        <v>20</v>
      </c>
      <c r="Q21" s="86" t="s">
        <v>62</v>
      </c>
      <c r="R21" s="86" t="s">
        <v>121</v>
      </c>
      <c r="S21" s="86" t="s">
        <v>17</v>
      </c>
      <c r="T21" s="85" t="str" cm="1">
        <f t="array" ref="T21">IFERROR( INDEX(【十五音】韻母對照表!$G$2:$G$85, MATCH(TRUE, EXACT( _xlfn.CONCAT(R21, LEFT(S21,1)), 【十五音】韻母對照表!$N$2:$N$85),0)), "")</f>
        <v>uan</v>
      </c>
      <c r="U21" s="85" t="s">
        <v>129</v>
      </c>
      <c r="V21" s="85" t="s">
        <v>128</v>
      </c>
      <c r="W21" s="87" t="s">
        <v>126</v>
      </c>
      <c r="X21" s="95">
        <f t="shared" si="0"/>
        <v>3</v>
      </c>
      <c r="Y21" t="str">
        <f t="shared" si="1"/>
        <v xml:space="preserve">      - xform/uan/uat/</v>
      </c>
      <c r="Z21"/>
    </row>
    <row r="22" spans="1:26" ht="29.25">
      <c r="A22" s="129">
        <v>23</v>
      </c>
      <c r="B22" s="130" t="s">
        <v>142</v>
      </c>
      <c r="C22" s="130" t="s">
        <v>140</v>
      </c>
      <c r="D22" s="131" t="str" cm="1">
        <f t="array" ref="D22" xml:space="preserve"> INDEX(【韻】韻母對照表!$B$4:$B$89, MATCH(TRUE, EXACT(【十五音】韻母對照表!$E22, 【韻】韻母對照表!$C$4:$C$89), 0))</f>
        <v>ɪaʊ</v>
      </c>
      <c r="E22" s="132" t="s">
        <v>141</v>
      </c>
      <c r="F22" s="129" t="s">
        <v>141</v>
      </c>
      <c r="G22" s="129" t="s">
        <v>141</v>
      </c>
      <c r="H22" s="132" t="s">
        <v>144</v>
      </c>
      <c r="I22" s="133" t="s">
        <v>141</v>
      </c>
      <c r="J22" s="129" t="s">
        <v>143</v>
      </c>
      <c r="K22" s="129" t="s">
        <v>143</v>
      </c>
      <c r="L22" s="129" t="s">
        <v>73</v>
      </c>
      <c r="M22" s="129" t="s">
        <v>17</v>
      </c>
      <c r="N22" s="134" t="s">
        <v>145</v>
      </c>
      <c r="P22" s="94">
        <v>21</v>
      </c>
      <c r="Q22" s="86" t="s">
        <v>67</v>
      </c>
      <c r="R22" s="86" t="s">
        <v>135</v>
      </c>
      <c r="S22" s="86" t="s">
        <v>17</v>
      </c>
      <c r="T22" s="85" t="str" cm="1">
        <f t="array" ref="T22">IFERROR( INDEX(【十五音】韻母對照表!$G$2:$G$85, MATCH(TRUE, EXACT( _xlfn.CONCAT(R22, LEFT(S22,1)), 【十五音】韻母對照表!$N$2:$N$85),0)), "")</f>
        <v>oo</v>
      </c>
      <c r="U22" s="85" t="s">
        <v>136</v>
      </c>
      <c r="V22" s="85" t="s">
        <v>1108</v>
      </c>
      <c r="W22" s="87" t="s">
        <v>133</v>
      </c>
      <c r="X22" s="95">
        <f t="shared" si="0"/>
        <v>2</v>
      </c>
      <c r="Y22" t="str">
        <f t="shared" si="1"/>
        <v xml:space="preserve">      - xform/oo/oo/</v>
      </c>
      <c r="Z22"/>
    </row>
    <row r="23" spans="1:26" ht="29.25">
      <c r="A23" s="135">
        <v>24</v>
      </c>
      <c r="B23" s="136" t="s">
        <v>142</v>
      </c>
      <c r="C23" s="145" t="s">
        <v>147</v>
      </c>
      <c r="D23" s="137" t="str" cm="1">
        <f t="array" ref="D23" xml:space="preserve"> INDEX(【韻】韻母對照表!$B$4:$B$89, MATCH(TRUE, EXACT(【十五音】韻母對照表!$E23, 【韻】韻母對照表!$C$4:$C$89), 0))</f>
        <v>ɪaʊʔ</v>
      </c>
      <c r="E23" s="138" t="s">
        <v>148</v>
      </c>
      <c r="F23" s="135" t="s">
        <v>148</v>
      </c>
      <c r="G23" s="135" t="s">
        <v>148</v>
      </c>
      <c r="H23" s="135" t="s">
        <v>149</v>
      </c>
      <c r="I23" s="139" t="s">
        <v>148</v>
      </c>
      <c r="J23" s="135" t="s">
        <v>714</v>
      </c>
      <c r="K23" s="135" t="s">
        <v>1993</v>
      </c>
      <c r="L23" s="135" t="s">
        <v>73</v>
      </c>
      <c r="M23" s="135" t="s">
        <v>23</v>
      </c>
      <c r="N23" s="25" t="s">
        <v>150</v>
      </c>
      <c r="P23" s="85">
        <v>22</v>
      </c>
      <c r="Q23" s="86" t="s">
        <v>67</v>
      </c>
      <c r="R23" s="86" t="s">
        <v>135</v>
      </c>
      <c r="S23" s="86" t="s">
        <v>17</v>
      </c>
      <c r="T23" s="85" t="str" cm="1">
        <f t="array" ref="T23">IFERROR( INDEX(【十五音】韻母對照表!$G$2:$G$85, MATCH(TRUE, EXACT( _xlfn.CONCAT(R23, LEFT(S23,1)), 【十五音】韻母對照表!$N$2:$N$85),0)), "")</f>
        <v>oo</v>
      </c>
      <c r="U23" s="85" t="s">
        <v>1938</v>
      </c>
      <c r="V23" s="85" t="s">
        <v>1103</v>
      </c>
      <c r="W23" s="87"/>
      <c r="X23" s="95">
        <f t="shared" si="0"/>
        <v>2</v>
      </c>
      <c r="Y23" t="str">
        <f t="shared" si="1"/>
        <v xml:space="preserve">      - xform/oo/ooh/</v>
      </c>
      <c r="Z23"/>
    </row>
    <row r="24" spans="1:26" ht="29.25">
      <c r="A24" s="129">
        <v>25</v>
      </c>
      <c r="B24" s="130" t="s">
        <v>154</v>
      </c>
      <c r="C24" s="130" t="s">
        <v>152</v>
      </c>
      <c r="D24" s="131" t="str" cm="1">
        <f t="array" ref="D24" xml:space="preserve"> INDEX(【韻】韻母對照表!$B$4:$B$89, MATCH(TRUE, EXACT(【十五音】韻母對照表!$E24, 【韻】韻母對照表!$C$4:$C$89), 0))</f>
        <v>e</v>
      </c>
      <c r="E24" s="132" t="s">
        <v>60</v>
      </c>
      <c r="F24" s="129" t="s">
        <v>153</v>
      </c>
      <c r="G24" s="129" t="s">
        <v>60</v>
      </c>
      <c r="H24" s="129" t="s">
        <v>60</v>
      </c>
      <c r="I24" s="141"/>
      <c r="J24" s="129" t="s">
        <v>155</v>
      </c>
      <c r="K24" s="129" t="s">
        <v>58</v>
      </c>
      <c r="L24" s="129" t="s">
        <v>79</v>
      </c>
      <c r="M24" s="129" t="s">
        <v>17</v>
      </c>
      <c r="N24" s="134" t="s">
        <v>156</v>
      </c>
      <c r="P24" s="94">
        <v>23</v>
      </c>
      <c r="Q24" s="86" t="s">
        <v>73</v>
      </c>
      <c r="R24" s="86" t="s">
        <v>142</v>
      </c>
      <c r="S24" s="86" t="s">
        <v>17</v>
      </c>
      <c r="T24" s="85" t="str" cm="1">
        <f t="array" ref="T24">IFERROR( INDEX(【十五音】韻母對照表!$G$2:$G$85, MATCH(TRUE, EXACT( _xlfn.CONCAT(R24, LEFT(S24,1)), 【十五音】韻母對照表!$N$2:$N$85),0)), "")</f>
        <v>iau</v>
      </c>
      <c r="U24" s="85" t="s">
        <v>144</v>
      </c>
      <c r="V24" s="85" t="s">
        <v>143</v>
      </c>
      <c r="W24" s="87" t="s">
        <v>140</v>
      </c>
      <c r="X24" s="95">
        <f t="shared" si="0"/>
        <v>3</v>
      </c>
      <c r="Y24" t="str">
        <f t="shared" si="1"/>
        <v xml:space="preserve">      - xform/iau/iao/</v>
      </c>
      <c r="Z24"/>
    </row>
    <row r="25" spans="1:26" ht="29.25">
      <c r="A25" s="135">
        <v>27</v>
      </c>
      <c r="B25" s="136" t="s">
        <v>160</v>
      </c>
      <c r="C25" s="136" t="s">
        <v>158</v>
      </c>
      <c r="D25" s="137" t="str" cm="1">
        <f t="array" ref="D25" xml:space="preserve"> INDEX(【韻】韻母對照表!$B$4:$B$89, MATCH(TRUE, EXACT(【十五音】韻母對照表!$E25, 【韻】韻母對照表!$C$4:$C$89), 0))</f>
        <v>ɪɔŋ</v>
      </c>
      <c r="E25" s="138" t="s">
        <v>162</v>
      </c>
      <c r="F25" s="135" t="s">
        <v>162</v>
      </c>
      <c r="G25" s="135" t="s">
        <v>162</v>
      </c>
      <c r="H25" s="135" t="s">
        <v>162</v>
      </c>
      <c r="I25" s="139" t="s">
        <v>162</v>
      </c>
      <c r="J25" s="135" t="s">
        <v>161</v>
      </c>
      <c r="K25" s="135" t="s">
        <v>1994</v>
      </c>
      <c r="L25" s="135" t="s">
        <v>86</v>
      </c>
      <c r="M25" s="135" t="s">
        <v>17</v>
      </c>
      <c r="N25" s="25" t="s">
        <v>163</v>
      </c>
      <c r="P25" s="85">
        <v>24</v>
      </c>
      <c r="Q25" s="86" t="s">
        <v>73</v>
      </c>
      <c r="R25" s="86" t="s">
        <v>142</v>
      </c>
      <c r="S25" s="86" t="s">
        <v>17</v>
      </c>
      <c r="T25" s="85" t="str" cm="1">
        <f t="array" ref="T25">IFERROR( INDEX(【十五音】韻母對照表!$G$2:$G$85, MATCH(TRUE, EXACT( _xlfn.CONCAT(R25, LEFT(S25,1)), 【十五音】韻母對照表!$N$2:$N$85),0)), "")</f>
        <v>iau</v>
      </c>
      <c r="U25" s="85" t="s">
        <v>149</v>
      </c>
      <c r="V25" s="85" t="s">
        <v>1958</v>
      </c>
      <c r="W25" s="89" t="s">
        <v>147</v>
      </c>
      <c r="X25" s="95">
        <f t="shared" si="0"/>
        <v>3</v>
      </c>
      <c r="Y25" t="str">
        <f t="shared" si="1"/>
        <v xml:space="preserve">      - xform/iau/iaoh/</v>
      </c>
      <c r="Z25"/>
    </row>
    <row r="26" spans="1:26" ht="29.25">
      <c r="A26" s="129">
        <v>28</v>
      </c>
      <c r="B26" s="130" t="s">
        <v>160</v>
      </c>
      <c r="C26" s="130" t="s">
        <v>165</v>
      </c>
      <c r="D26" s="131" t="str" cm="1">
        <f t="array" ref="D26" xml:space="preserve"> INDEX(【韻】韻母對照表!$B$4:$B$89, MATCH(TRUE, EXACT(【十五音】韻母對照表!$E26, 【韻】韻母對照表!$C$4:$C$89), 0))</f>
        <v>ɪɔk̚</v>
      </c>
      <c r="E26" s="132" t="s">
        <v>167</v>
      </c>
      <c r="F26" s="129" t="s">
        <v>167</v>
      </c>
      <c r="G26" s="132" t="s">
        <v>701</v>
      </c>
      <c r="H26" s="129" t="s">
        <v>167</v>
      </c>
      <c r="I26" s="133" t="s">
        <v>167</v>
      </c>
      <c r="J26" s="129" t="s">
        <v>166</v>
      </c>
      <c r="K26" s="129" t="s">
        <v>1995</v>
      </c>
      <c r="L26" s="129" t="s">
        <v>86</v>
      </c>
      <c r="M26" s="129" t="s">
        <v>23</v>
      </c>
      <c r="N26" s="134" t="s">
        <v>168</v>
      </c>
      <c r="P26" s="94">
        <v>25</v>
      </c>
      <c r="Q26" s="86" t="s">
        <v>79</v>
      </c>
      <c r="R26" s="86" t="s">
        <v>154</v>
      </c>
      <c r="S26" s="86" t="s">
        <v>17</v>
      </c>
      <c r="T26" s="85" t="str" cm="1">
        <f t="array" ref="T26">IFERROR( INDEX(【十五音】韻母對照表!$G$2:$G$85, MATCH(TRUE, EXACT( _xlfn.CONCAT(R26, LEFT(S26,1)), 【十五音】韻母對照表!$N$2:$N$85),0)), "")</f>
        <v>e</v>
      </c>
      <c r="U26" s="85" t="s">
        <v>60</v>
      </c>
      <c r="V26" s="85" t="s">
        <v>155</v>
      </c>
      <c r="W26" s="87" t="s">
        <v>152</v>
      </c>
      <c r="X26" s="95">
        <f t="shared" si="0"/>
        <v>1</v>
      </c>
      <c r="Y26" t="str">
        <f t="shared" si="1"/>
        <v xml:space="preserve">      - xform/e/e/</v>
      </c>
      <c r="Z26"/>
    </row>
    <row r="27" spans="1:26" ht="29.25">
      <c r="A27" s="135">
        <v>29</v>
      </c>
      <c r="B27" s="136" t="s">
        <v>172</v>
      </c>
      <c r="C27" s="136" t="s">
        <v>170</v>
      </c>
      <c r="D27" s="137" t="str" cm="1">
        <f t="array" ref="D27" xml:space="preserve"> INDEX(【韻】韻母對照表!$B$4:$B$89, MATCH(TRUE, EXACT(【十五音】韻母對照表!$E27, 【韻】韻母對照表!$C$4:$C$89), 0))</f>
        <v>ə</v>
      </c>
      <c r="E27" s="138" t="s">
        <v>171</v>
      </c>
      <c r="F27" s="135" t="s">
        <v>171</v>
      </c>
      <c r="G27" s="138" t="s">
        <v>174</v>
      </c>
      <c r="H27" s="135" t="s">
        <v>171</v>
      </c>
      <c r="I27" s="139" t="s">
        <v>171</v>
      </c>
      <c r="J27" s="135" t="s">
        <v>173</v>
      </c>
      <c r="K27" s="135" t="s">
        <v>173</v>
      </c>
      <c r="L27" s="135" t="s">
        <v>92</v>
      </c>
      <c r="M27" s="135" t="s">
        <v>17</v>
      </c>
      <c r="N27" s="25" t="s">
        <v>175</v>
      </c>
      <c r="P27" s="85">
        <v>26</v>
      </c>
      <c r="Q27" s="86" t="s">
        <v>79</v>
      </c>
      <c r="R27" s="86" t="s">
        <v>154</v>
      </c>
      <c r="S27" s="86" t="s">
        <v>17</v>
      </c>
      <c r="T27" s="85" t="str" cm="1">
        <f t="array" ref="T27">IFERROR( INDEX(【十五音】韻母對照表!$G$2:$G$85, MATCH(TRUE, EXACT( _xlfn.CONCAT(R27, LEFT(S27,1)), 【十五音】韻母對照表!$N$2:$N$85),0)), "")</f>
        <v>e</v>
      </c>
      <c r="U27" s="85" t="s">
        <v>980</v>
      </c>
      <c r="V27" s="85" t="s">
        <v>730</v>
      </c>
      <c r="W27" s="87"/>
      <c r="X27" s="95">
        <f t="shared" si="0"/>
        <v>1</v>
      </c>
      <c r="Y27" t="str">
        <f t="shared" si="1"/>
        <v xml:space="preserve">      - xform/e/eh/</v>
      </c>
      <c r="Z27"/>
    </row>
    <row r="28" spans="1:26" ht="29.25">
      <c r="A28" s="129">
        <v>30</v>
      </c>
      <c r="B28" s="130" t="s">
        <v>172</v>
      </c>
      <c r="C28" s="142" t="s">
        <v>177</v>
      </c>
      <c r="D28" s="131" t="str" cm="1">
        <f t="array" ref="D28" xml:space="preserve"> INDEX(【韻】韻母對照表!$B$4:$B$89, MATCH(TRUE, EXACT(【十五音】韻母對照表!$E28, 【韻】韻母對照表!$C$4:$C$89), 0))</f>
        <v>əʔ</v>
      </c>
      <c r="E28" s="132" t="s">
        <v>178</v>
      </c>
      <c r="F28" s="129" t="s">
        <v>178</v>
      </c>
      <c r="G28" s="132" t="s">
        <v>179</v>
      </c>
      <c r="H28" s="129" t="s">
        <v>178</v>
      </c>
      <c r="I28" s="133" t="s">
        <v>178</v>
      </c>
      <c r="J28" s="129" t="s">
        <v>715</v>
      </c>
      <c r="K28" s="129" t="s">
        <v>1996</v>
      </c>
      <c r="L28" s="129" t="s">
        <v>92</v>
      </c>
      <c r="M28" s="129" t="s">
        <v>23</v>
      </c>
      <c r="N28" s="134" t="s">
        <v>180</v>
      </c>
      <c r="P28" s="94">
        <v>27</v>
      </c>
      <c r="Q28" s="86" t="s">
        <v>86</v>
      </c>
      <c r="R28" s="86" t="s">
        <v>160</v>
      </c>
      <c r="S28" s="86" t="s">
        <v>17</v>
      </c>
      <c r="T28" s="85" t="str" cm="1">
        <f t="array" ref="T28">IFERROR( INDEX(【十五音】韻母對照表!$G$2:$G$85, MATCH(TRUE, EXACT( _xlfn.CONCAT(R28, LEFT(S28,1)), 【十五音】韻母對照表!$N$2:$N$85),0)), "")</f>
        <v>iong</v>
      </c>
      <c r="U28" s="85" t="s">
        <v>162</v>
      </c>
      <c r="V28" s="85" t="s">
        <v>161</v>
      </c>
      <c r="W28" s="87" t="s">
        <v>158</v>
      </c>
      <c r="X28" s="95">
        <f t="shared" si="0"/>
        <v>4</v>
      </c>
      <c r="Y28" t="str">
        <f t="shared" si="1"/>
        <v xml:space="preserve">      - xform/iong/iong/</v>
      </c>
      <c r="Z28"/>
    </row>
    <row r="29" spans="1:26" ht="29.25">
      <c r="A29" s="135">
        <v>31</v>
      </c>
      <c r="B29" s="136" t="s">
        <v>184</v>
      </c>
      <c r="C29" s="136" t="s">
        <v>182</v>
      </c>
      <c r="D29" s="137" t="str" cm="1">
        <f t="array" ref="D29" xml:space="preserve"> INDEX(【韻】韻母對照表!$B$4:$B$89, MATCH(TRUE, EXACT(【十五音】韻母對照表!$E29, 【韻】韻母對照表!$C$4:$C$89), 0))</f>
        <v>aɪ</v>
      </c>
      <c r="E29" s="138" t="s">
        <v>183</v>
      </c>
      <c r="F29" s="135" t="s">
        <v>183</v>
      </c>
      <c r="G29" s="135" t="s">
        <v>183</v>
      </c>
      <c r="H29" s="135" t="s">
        <v>183</v>
      </c>
      <c r="I29" s="139" t="s">
        <v>183</v>
      </c>
      <c r="J29" s="135" t="s">
        <v>185</v>
      </c>
      <c r="K29" s="135" t="s">
        <v>185</v>
      </c>
      <c r="L29" s="135" t="s">
        <v>100</v>
      </c>
      <c r="M29" s="135" t="s">
        <v>17</v>
      </c>
      <c r="N29" s="25" t="s">
        <v>186</v>
      </c>
      <c r="P29" s="85">
        <v>28</v>
      </c>
      <c r="Q29" s="86" t="s">
        <v>86</v>
      </c>
      <c r="R29" s="86" t="s">
        <v>160</v>
      </c>
      <c r="S29" s="86" t="s">
        <v>23</v>
      </c>
      <c r="T29" s="85" t="str" cm="1">
        <f t="array" ref="T29">IFERROR( INDEX(【十五音】韻母對照表!$G$2:$G$85, MATCH(TRUE, EXACT( _xlfn.CONCAT(R29, LEFT(S29,1)), 【十五音】韻母對照表!$N$2:$N$85),0)), "")</f>
        <v>iook</v>
      </c>
      <c r="U29" s="85" t="s">
        <v>167</v>
      </c>
      <c r="V29" s="85" t="s">
        <v>166</v>
      </c>
      <c r="W29" s="87" t="s">
        <v>165</v>
      </c>
      <c r="X29" s="95">
        <f t="shared" si="0"/>
        <v>4</v>
      </c>
      <c r="Y29" t="str">
        <f t="shared" si="1"/>
        <v xml:space="preserve">      - xform/iook/iok/</v>
      </c>
      <c r="Z29"/>
    </row>
    <row r="30" spans="1:26" ht="29.25">
      <c r="A30" s="129">
        <v>33</v>
      </c>
      <c r="B30" s="130" t="s">
        <v>190</v>
      </c>
      <c r="C30" s="130" t="s">
        <v>188</v>
      </c>
      <c r="D30" s="131" t="str" cm="1">
        <f t="array" ref="D30" xml:space="preserve"> INDEX(【韻】韻母對照表!$B$4:$B$89, MATCH(TRUE, EXACT(【十五音】韻母對照表!$E30, 【韻】韻母對照表!$C$4:$C$89), 0))</f>
        <v>in</v>
      </c>
      <c r="E30" s="132" t="s">
        <v>189</v>
      </c>
      <c r="F30" s="129" t="s">
        <v>189</v>
      </c>
      <c r="G30" s="129" t="s">
        <v>189</v>
      </c>
      <c r="H30" s="129" t="s">
        <v>189</v>
      </c>
      <c r="I30" s="133" t="s">
        <v>189</v>
      </c>
      <c r="J30" s="129" t="s">
        <v>191</v>
      </c>
      <c r="K30" s="129" t="s">
        <v>191</v>
      </c>
      <c r="L30" s="129" t="s">
        <v>104</v>
      </c>
      <c r="M30" s="129" t="s">
        <v>17</v>
      </c>
      <c r="N30" s="134" t="s">
        <v>192</v>
      </c>
      <c r="P30" s="94">
        <v>29</v>
      </c>
      <c r="Q30" s="86" t="s">
        <v>92</v>
      </c>
      <c r="R30" s="86" t="s">
        <v>172</v>
      </c>
      <c r="S30" s="86" t="s">
        <v>17</v>
      </c>
      <c r="T30" s="85" t="str" cm="1">
        <f t="array" ref="T30">IFERROR( INDEX(【十五音】韻母對照表!$G$2:$G$85, MATCH(TRUE, EXACT( _xlfn.CONCAT(R30, LEFT(S30,1)), 【十五音】韻母對照表!$N$2:$N$85),0)), "")</f>
        <v>or</v>
      </c>
      <c r="U30" s="85" t="s">
        <v>171</v>
      </c>
      <c r="V30" s="85" t="s">
        <v>173</v>
      </c>
      <c r="W30" s="87" t="s">
        <v>170</v>
      </c>
      <c r="X30" s="95">
        <f t="shared" si="0"/>
        <v>2</v>
      </c>
      <c r="Y30" t="str">
        <f t="shared" si="1"/>
        <v xml:space="preserve">      - xform/or/o/</v>
      </c>
      <c r="Z30"/>
    </row>
    <row r="31" spans="1:26" ht="29.25">
      <c r="A31" s="135">
        <v>34</v>
      </c>
      <c r="B31" s="136" t="s">
        <v>190</v>
      </c>
      <c r="C31" s="136" t="s">
        <v>194</v>
      </c>
      <c r="D31" s="137" t="str" cm="1">
        <f t="array" ref="D31" xml:space="preserve"> INDEX(【韻】韻母對照表!$B$4:$B$89, MATCH(TRUE, EXACT(【十五音】韻母對照表!$E31, 【韻】韻母對照表!$C$4:$C$89), 0))</f>
        <v>it̚</v>
      </c>
      <c r="E31" s="138" t="s">
        <v>197</v>
      </c>
      <c r="F31" s="135" t="s">
        <v>197</v>
      </c>
      <c r="G31" s="135" t="s">
        <v>197</v>
      </c>
      <c r="H31" s="135" t="s">
        <v>197</v>
      </c>
      <c r="I31" s="139" t="s">
        <v>197</v>
      </c>
      <c r="J31" s="135" t="s">
        <v>196</v>
      </c>
      <c r="K31" s="135" t="s">
        <v>1997</v>
      </c>
      <c r="L31" s="135" t="s">
        <v>104</v>
      </c>
      <c r="M31" s="135" t="s">
        <v>23</v>
      </c>
      <c r="N31" s="25" t="s">
        <v>198</v>
      </c>
      <c r="P31" s="85">
        <v>30</v>
      </c>
      <c r="Q31" s="86" t="s">
        <v>92</v>
      </c>
      <c r="R31" s="86" t="s">
        <v>172</v>
      </c>
      <c r="S31" s="86" t="s">
        <v>17</v>
      </c>
      <c r="T31" s="85" t="str" cm="1">
        <f t="array" ref="T31">IFERROR( INDEX(【十五音】韻母對照表!$G$2:$G$85, MATCH(TRUE, EXACT( _xlfn.CONCAT(R31, LEFT(S31,1)), 【十五音】韻母對照表!$N$2:$N$85),0)), "")</f>
        <v>or</v>
      </c>
      <c r="U31" s="85" t="s">
        <v>178</v>
      </c>
      <c r="V31" s="85" t="s">
        <v>1961</v>
      </c>
      <c r="W31" s="88" t="s">
        <v>177</v>
      </c>
      <c r="X31" s="95">
        <f t="shared" si="0"/>
        <v>2</v>
      </c>
      <c r="Y31" t="str">
        <f t="shared" si="1"/>
        <v xml:space="preserve">      - xform/or/oh/</v>
      </c>
      <c r="Z31"/>
    </row>
    <row r="32" spans="1:26" ht="29.25">
      <c r="A32" s="129">
        <v>35</v>
      </c>
      <c r="B32" s="146" t="s">
        <v>202</v>
      </c>
      <c r="C32" s="146" t="s">
        <v>200</v>
      </c>
      <c r="D32" s="131" t="str" cm="1">
        <f t="array" ref="D32" xml:space="preserve"> INDEX(【韻】韻母對照表!$B$4:$B$89, MATCH(TRUE, EXACT(【十五音】韻母對照表!$E32, 【韻】韻母對照表!$C$4:$C$89), 0))</f>
        <v>ɪaŋ</v>
      </c>
      <c r="E32" s="132" t="s">
        <v>203</v>
      </c>
      <c r="F32" s="129" t="s">
        <v>203</v>
      </c>
      <c r="G32" s="129" t="s">
        <v>203</v>
      </c>
      <c r="H32" s="129" t="s">
        <v>203</v>
      </c>
      <c r="I32" s="133" t="s">
        <v>203</v>
      </c>
      <c r="J32" s="129" t="s">
        <v>716</v>
      </c>
      <c r="K32" s="129" t="s">
        <v>1956</v>
      </c>
      <c r="L32" s="129" t="s">
        <v>112</v>
      </c>
      <c r="M32" s="129" t="s">
        <v>17</v>
      </c>
      <c r="N32" s="134" t="s">
        <v>204</v>
      </c>
      <c r="P32" s="94">
        <v>31</v>
      </c>
      <c r="Q32" s="86" t="s">
        <v>100</v>
      </c>
      <c r="R32" s="86" t="s">
        <v>184</v>
      </c>
      <c r="S32" s="86" t="s">
        <v>17</v>
      </c>
      <c r="T32" s="85" t="str" cm="1">
        <f t="array" ref="T32">IFERROR( INDEX(【十五音】韻母對照表!$G$2:$G$85, MATCH(TRUE, EXACT( _xlfn.CONCAT(R32, LEFT(S32,1)), 【十五音】韻母對照表!$N$2:$N$85),0)), "")</f>
        <v>ai</v>
      </c>
      <c r="U32" s="85" t="s">
        <v>183</v>
      </c>
      <c r="V32" s="85" t="s">
        <v>185</v>
      </c>
      <c r="W32" s="87" t="s">
        <v>182</v>
      </c>
      <c r="X32" s="95">
        <f t="shared" si="0"/>
        <v>2</v>
      </c>
      <c r="Y32" t="str">
        <f t="shared" si="1"/>
        <v xml:space="preserve">      - xform/ai/ai/</v>
      </c>
      <c r="Z32"/>
    </row>
    <row r="33" spans="1:26" ht="29.25">
      <c r="A33" s="135">
        <v>36</v>
      </c>
      <c r="B33" s="145" t="s">
        <v>202</v>
      </c>
      <c r="C33" s="140" t="s">
        <v>206</v>
      </c>
      <c r="D33" s="137" t="str" cm="1">
        <f t="array" ref="D33" xml:space="preserve"> INDEX(【韻】韻母對照表!$B$4:$B$89, MATCH(TRUE, EXACT(【十五音】韻母對照表!$E33, 【韻】韻母對照表!$C$4:$C$89), 0))</f>
        <v>ɪak̚</v>
      </c>
      <c r="E33" s="138" t="s">
        <v>207</v>
      </c>
      <c r="F33" s="135" t="s">
        <v>207</v>
      </c>
      <c r="G33" s="135" t="s">
        <v>207</v>
      </c>
      <c r="H33" s="135" t="s">
        <v>207</v>
      </c>
      <c r="I33" s="139" t="s">
        <v>207</v>
      </c>
      <c r="J33" s="135" t="s">
        <v>717</v>
      </c>
      <c r="K33" s="135" t="s">
        <v>1998</v>
      </c>
      <c r="L33" s="135" t="s">
        <v>112</v>
      </c>
      <c r="M33" s="135" t="s">
        <v>23</v>
      </c>
      <c r="N33" s="25" t="s">
        <v>208</v>
      </c>
      <c r="P33" s="85">
        <v>32</v>
      </c>
      <c r="Q33" s="86" t="s">
        <v>100</v>
      </c>
      <c r="R33" s="86" t="s">
        <v>184</v>
      </c>
      <c r="S33" s="86" t="s">
        <v>17</v>
      </c>
      <c r="T33" s="85" t="str" cm="1">
        <f t="array" ref="T33">IFERROR( INDEX(【十五音】韻母對照表!$G$2:$G$85, MATCH(TRUE, EXACT( _xlfn.CONCAT(R33, LEFT(S33,1)), 【十五音】韻母對照表!$N$2:$N$85),0)), "")</f>
        <v>ai</v>
      </c>
      <c r="U33" s="85" t="s">
        <v>1925</v>
      </c>
      <c r="V33" s="85" t="str">
        <f xml:space="preserve"> _xlfn.CONCAT(V32, "ㆷ")</f>
        <v>ㄞㆷ</v>
      </c>
      <c r="W33" s="87"/>
      <c r="X33" s="95">
        <f t="shared" si="0"/>
        <v>2</v>
      </c>
      <c r="Y33" t="str">
        <f t="shared" si="1"/>
        <v xml:space="preserve">      - xform/ai/aih/</v>
      </c>
      <c r="Z33"/>
    </row>
    <row r="34" spans="1:26" ht="29.25">
      <c r="A34" s="129">
        <v>37</v>
      </c>
      <c r="B34" s="130" t="s">
        <v>212</v>
      </c>
      <c r="C34" s="130" t="s">
        <v>210</v>
      </c>
      <c r="D34" s="131" t="str" cm="1">
        <f t="array" ref="D34" xml:space="preserve"> INDEX(【韻】韻母對照表!$B$4:$B$89, MATCH(TRUE, EXACT(【十五音】韻母對照表!$E34, 【韻】韻母對照表!$C$4:$C$89), 0))</f>
        <v>am</v>
      </c>
      <c r="E34" s="132" t="s">
        <v>211</v>
      </c>
      <c r="F34" s="129" t="s">
        <v>211</v>
      </c>
      <c r="G34" s="129" t="s">
        <v>211</v>
      </c>
      <c r="H34" s="129" t="s">
        <v>211</v>
      </c>
      <c r="I34" s="133" t="s">
        <v>211</v>
      </c>
      <c r="J34" s="129" t="s">
        <v>213</v>
      </c>
      <c r="K34" s="129" t="s">
        <v>1999</v>
      </c>
      <c r="L34" s="129" t="s">
        <v>118</v>
      </c>
      <c r="M34" s="129" t="s">
        <v>17</v>
      </c>
      <c r="N34" s="134" t="s">
        <v>214</v>
      </c>
      <c r="P34" s="94">
        <v>33</v>
      </c>
      <c r="Q34" s="86" t="s">
        <v>104</v>
      </c>
      <c r="R34" s="86" t="s">
        <v>190</v>
      </c>
      <c r="S34" s="86" t="s">
        <v>17</v>
      </c>
      <c r="T34" s="85" t="str" cm="1">
        <f t="array" ref="T34">IFERROR( INDEX(【十五音】韻母對照表!$G$2:$G$85, MATCH(TRUE, EXACT( _xlfn.CONCAT(R34, LEFT(S34,1)), 【十五音】韻母對照表!$N$2:$N$85),0)), "")</f>
        <v>in</v>
      </c>
      <c r="U34" s="85" t="s">
        <v>189</v>
      </c>
      <c r="V34" s="85" t="s">
        <v>191</v>
      </c>
      <c r="W34" s="87" t="s">
        <v>188</v>
      </c>
      <c r="X34" s="95">
        <f t="shared" si="0"/>
        <v>2</v>
      </c>
      <c r="Y34" t="str">
        <f t="shared" si="1"/>
        <v xml:space="preserve">      - xform/in/in/</v>
      </c>
      <c r="Z34"/>
    </row>
    <row r="35" spans="1:26" ht="29.25">
      <c r="A35" s="135">
        <v>38</v>
      </c>
      <c r="B35" s="136" t="s">
        <v>212</v>
      </c>
      <c r="C35" s="136" t="s">
        <v>216</v>
      </c>
      <c r="D35" s="137" t="str" cm="1">
        <f t="array" ref="D35" xml:space="preserve"> INDEX(【韻】韻母對照表!$B$4:$B$89, MATCH(TRUE, EXACT(【十五音】韻母對照表!$E35, 【韻】韻母對照表!$C$4:$C$89), 0))</f>
        <v>ap̚</v>
      </c>
      <c r="E35" s="138" t="s">
        <v>219</v>
      </c>
      <c r="F35" s="135" t="s">
        <v>219</v>
      </c>
      <c r="G35" s="135" t="s">
        <v>219</v>
      </c>
      <c r="H35" s="135" t="s">
        <v>219</v>
      </c>
      <c r="I35" s="139" t="s">
        <v>219</v>
      </c>
      <c r="J35" s="135" t="s">
        <v>218</v>
      </c>
      <c r="K35" s="135" t="s">
        <v>2000</v>
      </c>
      <c r="L35" s="135" t="s">
        <v>118</v>
      </c>
      <c r="M35" s="135" t="s">
        <v>23</v>
      </c>
      <c r="N35" s="25" t="s">
        <v>220</v>
      </c>
      <c r="P35" s="85">
        <v>34</v>
      </c>
      <c r="Q35" s="86" t="s">
        <v>104</v>
      </c>
      <c r="R35" s="86" t="s">
        <v>190</v>
      </c>
      <c r="S35" s="86" t="s">
        <v>23</v>
      </c>
      <c r="T35" s="85" t="str" cm="1">
        <f t="array" ref="T35">IFERROR( INDEX(【十五音】韻母對照表!$G$2:$G$85, MATCH(TRUE, EXACT( _xlfn.CONCAT(R35, LEFT(S35,1)), 【十五音】韻母對照表!$N$2:$N$85),0)), "")</f>
        <v>it</v>
      </c>
      <c r="U35" s="85" t="s">
        <v>197</v>
      </c>
      <c r="V35" s="85" t="s">
        <v>196</v>
      </c>
      <c r="W35" s="87" t="s">
        <v>194</v>
      </c>
      <c r="X35" s="95">
        <f t="shared" si="0"/>
        <v>2</v>
      </c>
      <c r="Y35" t="str">
        <f t="shared" si="1"/>
        <v xml:space="preserve">      - xform/it/it/</v>
      </c>
      <c r="Z35"/>
    </row>
    <row r="36" spans="1:26" ht="29.25">
      <c r="A36" s="129">
        <v>39</v>
      </c>
      <c r="B36" s="130" t="s">
        <v>224</v>
      </c>
      <c r="C36" s="130" t="s">
        <v>222</v>
      </c>
      <c r="D36" s="131" t="str" cm="1">
        <f t="array" ref="D36" xml:space="preserve"> INDEX(【韻】韻母對照表!$B$4:$B$89, MATCH(TRUE, EXACT(【十五音】韻母對照表!$E36, 【韻】韻母對照表!$C$4:$C$89), 0))</f>
        <v>ua</v>
      </c>
      <c r="E36" s="132" t="s">
        <v>223</v>
      </c>
      <c r="F36" s="129" t="s">
        <v>223</v>
      </c>
      <c r="G36" s="129" t="s">
        <v>223</v>
      </c>
      <c r="H36" s="129" t="s">
        <v>223</v>
      </c>
      <c r="I36" s="144" t="s">
        <v>226</v>
      </c>
      <c r="J36" s="129" t="s">
        <v>225</v>
      </c>
      <c r="K36" s="129" t="s">
        <v>225</v>
      </c>
      <c r="L36" s="129" t="s">
        <v>125</v>
      </c>
      <c r="M36" s="129" t="s">
        <v>17</v>
      </c>
      <c r="N36" s="134" t="s">
        <v>227</v>
      </c>
      <c r="P36" s="94">
        <v>35</v>
      </c>
      <c r="Q36" s="86" t="s">
        <v>112</v>
      </c>
      <c r="R36" s="86" t="s">
        <v>202</v>
      </c>
      <c r="S36" s="86" t="s">
        <v>17</v>
      </c>
      <c r="T36" s="85" t="str" cm="1">
        <f t="array" ref="T36">IFERROR( INDEX(【十五音】韻母對照表!$G$2:$G$85, MATCH(TRUE, EXACT( _xlfn.CONCAT(R36, LEFT(S36,1)), 【十五音】韻母對照表!$N$2:$N$85),0)), "")</f>
        <v>iang</v>
      </c>
      <c r="U36" s="85" t="s">
        <v>203</v>
      </c>
      <c r="V36" s="85" t="s">
        <v>1956</v>
      </c>
      <c r="W36" s="89" t="s">
        <v>200</v>
      </c>
      <c r="X36" s="95">
        <f t="shared" si="0"/>
        <v>4</v>
      </c>
      <c r="Y36" t="str">
        <f t="shared" si="1"/>
        <v xml:space="preserve">      - xform/iang/iang/</v>
      </c>
      <c r="Z36"/>
    </row>
    <row r="37" spans="1:26" ht="29.25">
      <c r="A37" s="135">
        <v>40</v>
      </c>
      <c r="B37" s="136" t="s">
        <v>224</v>
      </c>
      <c r="C37" s="136" t="s">
        <v>229</v>
      </c>
      <c r="D37" s="137" t="str" cm="1">
        <f t="array" ref="D37" xml:space="preserve"> INDEX(【韻】韻母對照表!$B$4:$B$89, MATCH(TRUE, EXACT(【十五音】韻母對照表!$E37, 【韻】韻母對照表!$C$4:$C$89), 0))</f>
        <v>uaʔ</v>
      </c>
      <c r="E37" s="138" t="s">
        <v>230</v>
      </c>
      <c r="F37" s="135" t="s">
        <v>230</v>
      </c>
      <c r="G37" s="135" t="s">
        <v>230</v>
      </c>
      <c r="H37" s="135" t="s">
        <v>230</v>
      </c>
      <c r="I37" s="143" t="s">
        <v>231</v>
      </c>
      <c r="J37" s="135" t="s">
        <v>718</v>
      </c>
      <c r="K37" s="135" t="s">
        <v>2001</v>
      </c>
      <c r="L37" s="135" t="s">
        <v>125</v>
      </c>
      <c r="M37" s="135" t="s">
        <v>23</v>
      </c>
      <c r="N37" s="25" t="s">
        <v>232</v>
      </c>
      <c r="P37" s="85">
        <v>36</v>
      </c>
      <c r="Q37" s="86" t="s">
        <v>112</v>
      </c>
      <c r="R37" s="86" t="s">
        <v>202</v>
      </c>
      <c r="S37" s="86" t="s">
        <v>23</v>
      </c>
      <c r="T37" s="85" t="str" cm="1">
        <f t="array" ref="T37">IFERROR( INDEX(【十五音】韻母對照表!$G$2:$G$85, MATCH(TRUE, EXACT( _xlfn.CONCAT(R37, LEFT(S37,1)), 【十五音】韻母對照表!$N$2:$N$85),0)), "")</f>
        <v>iak</v>
      </c>
      <c r="U37" s="85" t="s">
        <v>207</v>
      </c>
      <c r="V37" s="85" t="s">
        <v>1957</v>
      </c>
      <c r="W37" s="88" t="s">
        <v>206</v>
      </c>
      <c r="X37" s="95">
        <f t="shared" si="0"/>
        <v>3</v>
      </c>
      <c r="Y37" t="str">
        <f t="shared" si="1"/>
        <v xml:space="preserve">      - xform/iak/iak/</v>
      </c>
      <c r="Z37"/>
    </row>
    <row r="38" spans="1:26" ht="29.25">
      <c r="A38" s="129">
        <v>41</v>
      </c>
      <c r="B38" s="130" t="s">
        <v>236</v>
      </c>
      <c r="C38" s="130" t="s">
        <v>234</v>
      </c>
      <c r="D38" s="131" t="str" cm="1">
        <f t="array" ref="D38" xml:space="preserve"> INDEX(【韻】韻母對照表!$B$4:$B$89, MATCH(TRUE, EXACT(【十五音】韻母對照表!$E38, 【韻】韻母對照表!$C$4:$C$89), 0))</f>
        <v>aŋ</v>
      </c>
      <c r="E38" s="132" t="s">
        <v>237</v>
      </c>
      <c r="F38" s="129" t="s">
        <v>237</v>
      </c>
      <c r="G38" s="129" t="s">
        <v>237</v>
      </c>
      <c r="H38" s="129" t="s">
        <v>237</v>
      </c>
      <c r="I38" s="133" t="s">
        <v>237</v>
      </c>
      <c r="J38" s="129" t="s">
        <v>719</v>
      </c>
      <c r="K38" s="129" t="s">
        <v>1949</v>
      </c>
      <c r="L38" s="129" t="s">
        <v>132</v>
      </c>
      <c r="M38" s="129" t="s">
        <v>17</v>
      </c>
      <c r="N38" s="134" t="s">
        <v>238</v>
      </c>
      <c r="P38" s="94">
        <v>37</v>
      </c>
      <c r="Q38" s="86" t="s">
        <v>118</v>
      </c>
      <c r="R38" s="86" t="s">
        <v>212</v>
      </c>
      <c r="S38" s="86" t="s">
        <v>17</v>
      </c>
      <c r="T38" s="85" t="str" cm="1">
        <f t="array" ref="T38">IFERROR( INDEX(【十五音】韻母對照表!$G$2:$G$85, MATCH(TRUE, EXACT( _xlfn.CONCAT(R38, LEFT(S38,1)), 【十五音】韻母對照表!$N$2:$N$85),0)), "")</f>
        <v>am</v>
      </c>
      <c r="U38" s="85" t="s">
        <v>211</v>
      </c>
      <c r="V38" s="85" t="s">
        <v>213</v>
      </c>
      <c r="W38" s="87" t="s">
        <v>210</v>
      </c>
      <c r="X38" s="95">
        <f t="shared" si="0"/>
        <v>2</v>
      </c>
      <c r="Y38" t="str">
        <f t="shared" si="1"/>
        <v xml:space="preserve">      - xform/am/am/</v>
      </c>
      <c r="Z38"/>
    </row>
    <row r="39" spans="1:26" ht="29.25">
      <c r="A39" s="135">
        <v>42</v>
      </c>
      <c r="B39" s="136" t="s">
        <v>236</v>
      </c>
      <c r="C39" s="136" t="s">
        <v>240</v>
      </c>
      <c r="D39" s="137" t="str" cm="1">
        <f t="array" ref="D39" xml:space="preserve"> INDEX(【韻】韻母對照表!$B$4:$B$89, MATCH(TRUE, EXACT(【十五音】韻母對照表!$E39, 【韻】韻母對照表!$C$4:$C$89), 0))</f>
        <v>ak̚</v>
      </c>
      <c r="E39" s="138" t="s">
        <v>243</v>
      </c>
      <c r="F39" s="135" t="s">
        <v>243</v>
      </c>
      <c r="G39" s="135" t="s">
        <v>243</v>
      </c>
      <c r="H39" s="135" t="s">
        <v>243</v>
      </c>
      <c r="I39" s="139" t="s">
        <v>243</v>
      </c>
      <c r="J39" s="135" t="s">
        <v>242</v>
      </c>
      <c r="K39" s="135" t="s">
        <v>2002</v>
      </c>
      <c r="L39" s="135" t="s">
        <v>132</v>
      </c>
      <c r="M39" s="135" t="s">
        <v>23</v>
      </c>
      <c r="N39" s="25" t="s">
        <v>244</v>
      </c>
      <c r="P39" s="85">
        <v>38</v>
      </c>
      <c r="Q39" s="86" t="s">
        <v>118</v>
      </c>
      <c r="R39" s="86" t="s">
        <v>212</v>
      </c>
      <c r="S39" s="86" t="s">
        <v>23</v>
      </c>
      <c r="T39" s="85" t="str" cm="1">
        <f t="array" ref="T39">IFERROR( INDEX(【十五音】韻母對照表!$G$2:$G$85, MATCH(TRUE, EXACT( _xlfn.CONCAT(R39, LEFT(S39,1)), 【十五音】韻母對照表!$N$2:$N$85),0)), "")</f>
        <v>ap</v>
      </c>
      <c r="U39" s="85" t="s">
        <v>219</v>
      </c>
      <c r="V39" s="85" t="s">
        <v>218</v>
      </c>
      <c r="W39" s="87" t="s">
        <v>216</v>
      </c>
      <c r="X39" s="95">
        <f t="shared" si="0"/>
        <v>2</v>
      </c>
      <c r="Y39" t="str">
        <f t="shared" si="1"/>
        <v xml:space="preserve">      - xform/ap/ap/</v>
      </c>
      <c r="Z39"/>
    </row>
    <row r="40" spans="1:26" ht="29.25">
      <c r="A40" s="129">
        <v>43</v>
      </c>
      <c r="B40" s="130" t="s">
        <v>248</v>
      </c>
      <c r="C40" s="130" t="s">
        <v>246</v>
      </c>
      <c r="D40" s="131" t="str" cm="1">
        <f t="array" ref="D40" xml:space="preserve"> INDEX(【韻】韻母對照表!$B$4:$B$89, MATCH(TRUE, EXACT(【十五音】韻母對照表!$E40, 【韻】韻母對照表!$C$4:$C$89), 0))</f>
        <v>ɪam</v>
      </c>
      <c r="E40" s="132" t="s">
        <v>247</v>
      </c>
      <c r="F40" s="129" t="s">
        <v>247</v>
      </c>
      <c r="G40" s="129" t="s">
        <v>247</v>
      </c>
      <c r="H40" s="129" t="s">
        <v>247</v>
      </c>
      <c r="I40" s="133" t="s">
        <v>247</v>
      </c>
      <c r="J40" s="129" t="s">
        <v>249</v>
      </c>
      <c r="K40" s="129" t="s">
        <v>2003</v>
      </c>
      <c r="L40" s="129" t="s">
        <v>251</v>
      </c>
      <c r="M40" s="129" t="s">
        <v>17</v>
      </c>
      <c r="N40" s="134" t="s">
        <v>250</v>
      </c>
      <c r="P40" s="94">
        <v>39</v>
      </c>
      <c r="Q40" s="86" t="s">
        <v>125</v>
      </c>
      <c r="R40" s="86" t="s">
        <v>224</v>
      </c>
      <c r="S40" s="86" t="s">
        <v>17</v>
      </c>
      <c r="T40" s="85" t="str" cm="1">
        <f t="array" ref="T40">IFERROR( INDEX(【十五音】韻母對照表!$G$2:$G$85, MATCH(TRUE, EXACT( _xlfn.CONCAT(R40, LEFT(S40,1)), 【十五音】韻母對照表!$N$2:$N$85),0)), "")</f>
        <v>ua</v>
      </c>
      <c r="U40" s="85" t="s">
        <v>223</v>
      </c>
      <c r="V40" s="85" t="s">
        <v>225</v>
      </c>
      <c r="W40" s="87" t="s">
        <v>222</v>
      </c>
      <c r="X40" s="95">
        <f t="shared" si="0"/>
        <v>2</v>
      </c>
      <c r="Y40" t="str">
        <f t="shared" si="1"/>
        <v xml:space="preserve">      - xform/ua/ua/</v>
      </c>
      <c r="Z40"/>
    </row>
    <row r="41" spans="1:26" ht="29.25">
      <c r="A41" s="135">
        <v>44</v>
      </c>
      <c r="B41" s="136" t="s">
        <v>248</v>
      </c>
      <c r="C41" s="136" t="s">
        <v>253</v>
      </c>
      <c r="D41" s="137" t="str" cm="1">
        <f t="array" ref="D41" xml:space="preserve"> INDEX(【韻】韻母對照表!$B$4:$B$89, MATCH(TRUE, EXACT(【十五音】韻母對照表!$E41, 【韻】韻母對照表!$C$4:$C$89), 0))</f>
        <v>ɪap̚</v>
      </c>
      <c r="E41" s="138" t="s">
        <v>256</v>
      </c>
      <c r="F41" s="135" t="s">
        <v>256</v>
      </c>
      <c r="G41" s="135" t="s">
        <v>256</v>
      </c>
      <c r="H41" s="135" t="s">
        <v>256</v>
      </c>
      <c r="I41" s="139" t="s">
        <v>256</v>
      </c>
      <c r="J41" s="135" t="s">
        <v>255</v>
      </c>
      <c r="K41" s="135" t="s">
        <v>2004</v>
      </c>
      <c r="L41" s="135" t="s">
        <v>251</v>
      </c>
      <c r="M41" s="135" t="s">
        <v>23</v>
      </c>
      <c r="N41" s="25" t="s">
        <v>257</v>
      </c>
      <c r="P41" s="85">
        <v>40</v>
      </c>
      <c r="Q41" s="86" t="s">
        <v>125</v>
      </c>
      <c r="R41" s="86" t="s">
        <v>224</v>
      </c>
      <c r="S41" s="86" t="s">
        <v>23</v>
      </c>
      <c r="T41" s="85" t="str" cm="1">
        <f t="array" ref="T41">IFERROR( INDEX(【十五音】韻母對照表!$G$2:$G$85, MATCH(TRUE, EXACT( _xlfn.CONCAT(R41, LEFT(S41,1)), 【十五音】韻母對照表!$N$2:$N$85),0)), "")</f>
        <v>uah</v>
      </c>
      <c r="U41" s="85" t="s">
        <v>230</v>
      </c>
      <c r="V41" s="85" t="s">
        <v>1964</v>
      </c>
      <c r="W41" s="87" t="s">
        <v>229</v>
      </c>
      <c r="X41" s="95">
        <f t="shared" si="0"/>
        <v>3</v>
      </c>
      <c r="Y41" t="str">
        <f t="shared" si="1"/>
        <v xml:space="preserve">      - xform/uah/uah/</v>
      </c>
      <c r="Z41"/>
    </row>
    <row r="42" spans="1:26" ht="29.25">
      <c r="A42" s="129">
        <v>45</v>
      </c>
      <c r="B42" s="130" t="s">
        <v>261</v>
      </c>
      <c r="C42" s="130" t="s">
        <v>259</v>
      </c>
      <c r="D42" s="131" t="str" cm="1">
        <f t="array" ref="D42" xml:space="preserve"> INDEX(【韻】韻母對照表!$B$4:$B$89, MATCH(TRUE, EXACT(【十五音】韻母對照表!$E42, 【韻】韻母對照表!$C$4:$C$89), 0))</f>
        <v>aʊ</v>
      </c>
      <c r="E42" s="132" t="s">
        <v>260</v>
      </c>
      <c r="F42" s="129" t="s">
        <v>260</v>
      </c>
      <c r="G42" s="129" t="s">
        <v>260</v>
      </c>
      <c r="H42" s="132" t="s">
        <v>263</v>
      </c>
      <c r="I42" s="133" t="s">
        <v>260</v>
      </c>
      <c r="J42" s="129" t="s">
        <v>262</v>
      </c>
      <c r="K42" s="129" t="s">
        <v>262</v>
      </c>
      <c r="L42" s="129" t="s">
        <v>139</v>
      </c>
      <c r="M42" s="129" t="s">
        <v>17</v>
      </c>
      <c r="N42" s="134" t="s">
        <v>264</v>
      </c>
      <c r="P42" s="94">
        <v>41</v>
      </c>
      <c r="Q42" s="86" t="s">
        <v>132</v>
      </c>
      <c r="R42" s="86" t="s">
        <v>236</v>
      </c>
      <c r="S42" s="86" t="s">
        <v>17</v>
      </c>
      <c r="T42" s="85" t="str" cm="1">
        <f t="array" ref="T42">IFERROR( INDEX(【十五音】韻母對照表!$G$2:$G$85, MATCH(TRUE, EXACT( _xlfn.CONCAT(R42, LEFT(S42,1)), 【十五音】韻母對照表!$N$2:$N$85),0)), "")</f>
        <v>ang</v>
      </c>
      <c r="U42" s="85" t="s">
        <v>237</v>
      </c>
      <c r="V42" s="85" t="s">
        <v>1949</v>
      </c>
      <c r="W42" s="87" t="s">
        <v>234</v>
      </c>
      <c r="X42" s="95">
        <f t="shared" si="0"/>
        <v>3</v>
      </c>
      <c r="Y42" t="str">
        <f t="shared" si="1"/>
        <v xml:space="preserve">      - xform/ang/ang/</v>
      </c>
      <c r="Z42"/>
    </row>
    <row r="43" spans="1:26" ht="29.25">
      <c r="A43" s="135">
        <v>46</v>
      </c>
      <c r="B43" s="136" t="s">
        <v>261</v>
      </c>
      <c r="C43" s="147" t="s">
        <v>266</v>
      </c>
      <c r="D43" s="137" t="str" cm="1">
        <f t="array" ref="D43" xml:space="preserve"> INDEX(【韻】韻母對照表!$B$4:$B$89, MATCH(TRUE, EXACT(【十五音】韻母對照表!$E43, 【韻】韻母對照表!$C$4:$C$89), 0))</f>
        <v>auʔ</v>
      </c>
      <c r="E43" s="138" t="s">
        <v>267</v>
      </c>
      <c r="F43" s="135" t="s">
        <v>267</v>
      </c>
      <c r="G43" s="135" t="s">
        <v>267</v>
      </c>
      <c r="H43" s="138" t="s">
        <v>268</v>
      </c>
      <c r="I43" s="139" t="s">
        <v>267</v>
      </c>
      <c r="J43" s="135" t="s">
        <v>720</v>
      </c>
      <c r="K43" s="135" t="s">
        <v>2005</v>
      </c>
      <c r="L43" s="135" t="s">
        <v>139</v>
      </c>
      <c r="M43" s="135" t="s">
        <v>23</v>
      </c>
      <c r="N43" s="25" t="s">
        <v>269</v>
      </c>
      <c r="P43" s="85">
        <v>42</v>
      </c>
      <c r="Q43" s="86" t="s">
        <v>132</v>
      </c>
      <c r="R43" s="86" t="s">
        <v>236</v>
      </c>
      <c r="S43" s="86" t="s">
        <v>23</v>
      </c>
      <c r="T43" s="85" t="str" cm="1">
        <f t="array" ref="T43">IFERROR( INDEX(【十五音】韻母對照表!$G$2:$G$85, MATCH(TRUE, EXACT( _xlfn.CONCAT(R43, LEFT(S43,1)), 【十五音】韻母對照表!$N$2:$N$85),0)), "")</f>
        <v>ak</v>
      </c>
      <c r="U43" s="85" t="s">
        <v>243</v>
      </c>
      <c r="V43" s="85" t="s">
        <v>242</v>
      </c>
      <c r="W43" s="87" t="s">
        <v>240</v>
      </c>
      <c r="X43" s="95">
        <f t="shared" si="0"/>
        <v>2</v>
      </c>
      <c r="Y43" t="str">
        <f t="shared" si="1"/>
        <v xml:space="preserve">      - xform/ak/ak/</v>
      </c>
      <c r="Z43"/>
    </row>
    <row r="44" spans="1:26" ht="29.25">
      <c r="A44" s="129">
        <v>47</v>
      </c>
      <c r="B44" s="142" t="s">
        <v>273</v>
      </c>
      <c r="C44" s="130" t="s">
        <v>271</v>
      </c>
      <c r="D44" s="131" t="str" cm="1">
        <f t="array" ref="D44" xml:space="preserve"> INDEX(【韻】韻母對照表!$B$4:$B$89, MATCH(TRUE, EXACT(【十五音】韻母對照表!$E44, 【韻】韻母對照表!$C$4:$C$89), 0))</f>
        <v>ɪa</v>
      </c>
      <c r="E44" s="132" t="s">
        <v>272</v>
      </c>
      <c r="F44" s="129" t="s">
        <v>272</v>
      </c>
      <c r="G44" s="129" t="s">
        <v>272</v>
      </c>
      <c r="H44" s="129" t="s">
        <v>272</v>
      </c>
      <c r="I44" s="133" t="s">
        <v>272</v>
      </c>
      <c r="J44" s="129" t="s">
        <v>274</v>
      </c>
      <c r="K44" s="129" t="s">
        <v>274</v>
      </c>
      <c r="L44" s="129" t="s">
        <v>146</v>
      </c>
      <c r="M44" s="129" t="s">
        <v>17</v>
      </c>
      <c r="N44" s="134" t="s">
        <v>275</v>
      </c>
      <c r="P44" s="94">
        <v>43</v>
      </c>
      <c r="Q44" s="86" t="s">
        <v>251</v>
      </c>
      <c r="R44" s="86" t="s">
        <v>248</v>
      </c>
      <c r="S44" s="86" t="s">
        <v>17</v>
      </c>
      <c r="T44" s="85" t="str" cm="1">
        <f t="array" ref="T44">IFERROR( INDEX(【十五音】韻母對照表!$G$2:$G$85, MATCH(TRUE, EXACT( _xlfn.CONCAT(R44, LEFT(S44,1)), 【十五音】韻母對照表!$N$2:$N$85),0)), "")</f>
        <v>iam</v>
      </c>
      <c r="U44" s="85" t="s">
        <v>247</v>
      </c>
      <c r="V44" s="85" t="s">
        <v>249</v>
      </c>
      <c r="W44" s="87" t="s">
        <v>246</v>
      </c>
      <c r="X44" s="95">
        <f t="shared" si="0"/>
        <v>3</v>
      </c>
      <c r="Y44" t="str">
        <f t="shared" si="1"/>
        <v xml:space="preserve">      - xform/iam/iam/</v>
      </c>
      <c r="Z44"/>
    </row>
    <row r="45" spans="1:26" ht="29.25">
      <c r="A45" s="135">
        <v>48</v>
      </c>
      <c r="B45" s="140" t="s">
        <v>273</v>
      </c>
      <c r="C45" s="136" t="s">
        <v>277</v>
      </c>
      <c r="D45" s="137" t="str" cm="1">
        <f t="array" ref="D45" xml:space="preserve"> INDEX(【韻】韻母對照表!$B$4:$B$89, MATCH(TRUE, EXACT(【十五音】韻母對照表!$E45, 【韻】韻母對照表!$C$4:$C$89), 0))</f>
        <v>ɪaʔ</v>
      </c>
      <c r="E45" s="138" t="s">
        <v>278</v>
      </c>
      <c r="F45" s="135" t="s">
        <v>278</v>
      </c>
      <c r="G45" s="135" t="s">
        <v>278</v>
      </c>
      <c r="H45" s="135" t="s">
        <v>278</v>
      </c>
      <c r="I45" s="139" t="s">
        <v>278</v>
      </c>
      <c r="J45" s="135" t="s">
        <v>721</v>
      </c>
      <c r="K45" s="135" t="s">
        <v>2006</v>
      </c>
      <c r="L45" s="135" t="s">
        <v>146</v>
      </c>
      <c r="M45" s="135" t="s">
        <v>23</v>
      </c>
      <c r="N45" s="25" t="s">
        <v>279</v>
      </c>
      <c r="P45" s="85">
        <v>44</v>
      </c>
      <c r="Q45" s="86" t="s">
        <v>251</v>
      </c>
      <c r="R45" s="86" t="s">
        <v>248</v>
      </c>
      <c r="S45" s="86" t="s">
        <v>23</v>
      </c>
      <c r="T45" s="85" t="str" cm="1">
        <f t="array" ref="T45">IFERROR( INDEX(【十五音】韻母對照表!$G$2:$G$85, MATCH(TRUE, EXACT( _xlfn.CONCAT(R45, LEFT(S45,1)), 【十五音】韻母對照表!$N$2:$N$85),0)), "")</f>
        <v>iap</v>
      </c>
      <c r="U45" s="85" t="s">
        <v>256</v>
      </c>
      <c r="V45" s="85" t="s">
        <v>255</v>
      </c>
      <c r="W45" s="87" t="s">
        <v>253</v>
      </c>
      <c r="X45" s="95">
        <f t="shared" si="0"/>
        <v>3</v>
      </c>
      <c r="Y45" t="str">
        <f t="shared" si="1"/>
        <v xml:space="preserve">      - xform/iap/iap/</v>
      </c>
      <c r="Z45"/>
    </row>
    <row r="46" spans="1:26" ht="29.25">
      <c r="A46" s="129">
        <v>49</v>
      </c>
      <c r="B46" s="130" t="s">
        <v>283</v>
      </c>
      <c r="C46" s="130" t="s">
        <v>281</v>
      </c>
      <c r="D46" s="131" t="str" cm="1">
        <f t="array" ref="D46" xml:space="preserve"> INDEX(【韻】韻母對照表!$B$4:$B$89, MATCH(TRUE, EXACT(【十五音】韻母對照表!$E46, 【韻】韻母對照表!$C$4:$C$89), 0))</f>
        <v>ue</v>
      </c>
      <c r="E46" s="132" t="s">
        <v>285</v>
      </c>
      <c r="F46" s="129" t="s">
        <v>285</v>
      </c>
      <c r="G46" s="129" t="s">
        <v>285</v>
      </c>
      <c r="H46" s="129" t="s">
        <v>285</v>
      </c>
      <c r="I46" s="144" t="s">
        <v>286</v>
      </c>
      <c r="J46" s="129" t="s">
        <v>284</v>
      </c>
      <c r="K46" s="129" t="s">
        <v>2007</v>
      </c>
      <c r="L46" s="129" t="s">
        <v>151</v>
      </c>
      <c r="M46" s="129" t="s">
        <v>17</v>
      </c>
      <c r="N46" s="134" t="s">
        <v>287</v>
      </c>
      <c r="P46" s="94">
        <v>45</v>
      </c>
      <c r="Q46" s="86" t="s">
        <v>139</v>
      </c>
      <c r="R46" s="86" t="s">
        <v>261</v>
      </c>
      <c r="S46" s="86" t="s">
        <v>17</v>
      </c>
      <c r="T46" s="85" t="str" cm="1">
        <f t="array" ref="T46">IFERROR( INDEX(【十五音】韻母對照表!$G$2:$G$85, MATCH(TRUE, EXACT( _xlfn.CONCAT(R46, LEFT(S46,1)), 【十五音】韻母對照表!$N$2:$N$85),0)), "")</f>
        <v>au</v>
      </c>
      <c r="U46" s="85" t="s">
        <v>263</v>
      </c>
      <c r="V46" s="85" t="s">
        <v>262</v>
      </c>
      <c r="W46" s="87" t="s">
        <v>259</v>
      </c>
      <c r="X46" s="95">
        <f t="shared" si="0"/>
        <v>2</v>
      </c>
      <c r="Y46" t="str">
        <f t="shared" si="1"/>
        <v xml:space="preserve">      - xform/au/ao/</v>
      </c>
      <c r="Z46"/>
    </row>
    <row r="47" spans="1:26" ht="29.25">
      <c r="A47" s="135">
        <v>50</v>
      </c>
      <c r="B47" s="136" t="s">
        <v>283</v>
      </c>
      <c r="C47" s="140" t="s">
        <v>289</v>
      </c>
      <c r="D47" s="137" t="str" cm="1">
        <f t="array" ref="D47" xml:space="preserve"> INDEX(【韻】韻母對照表!$B$4:$B$89, MATCH(TRUE, EXACT(【十五音】韻母對照表!$E47, 【韻】韻母對照表!$C$4:$C$89), 0))</f>
        <v>ueʔ</v>
      </c>
      <c r="E47" s="138" t="s">
        <v>290</v>
      </c>
      <c r="F47" s="135" t="s">
        <v>290</v>
      </c>
      <c r="G47" s="135" t="s">
        <v>290</v>
      </c>
      <c r="H47" s="135" t="s">
        <v>290</v>
      </c>
      <c r="I47" s="143" t="s">
        <v>291</v>
      </c>
      <c r="J47" s="135" t="s">
        <v>722</v>
      </c>
      <c r="K47" s="135" t="s">
        <v>2008</v>
      </c>
      <c r="L47" s="135" t="s">
        <v>151</v>
      </c>
      <c r="M47" s="135" t="s">
        <v>23</v>
      </c>
      <c r="N47" s="25" t="s">
        <v>292</v>
      </c>
      <c r="P47" s="85">
        <v>46</v>
      </c>
      <c r="Q47" s="86" t="s">
        <v>139</v>
      </c>
      <c r="R47" s="86" t="s">
        <v>261</v>
      </c>
      <c r="S47" s="86" t="s">
        <v>23</v>
      </c>
      <c r="T47" s="85" t="str" cm="1">
        <f t="array" ref="T47">IFERROR( INDEX(【十五音】韻母對照表!$G$2:$G$85, MATCH(TRUE, EXACT( _xlfn.CONCAT(R47, LEFT(S47,1)), 【十五音】韻母對照表!$N$2:$N$85),0)), "")</f>
        <v>auh</v>
      </c>
      <c r="U47" s="85" t="s">
        <v>268</v>
      </c>
      <c r="V47" s="85" t="s">
        <v>1951</v>
      </c>
      <c r="W47" s="90" t="s">
        <v>266</v>
      </c>
      <c r="X47" s="95">
        <f t="shared" si="0"/>
        <v>3</v>
      </c>
      <c r="Y47" t="str">
        <f t="shared" si="1"/>
        <v xml:space="preserve">      - xform/auh/aoh/</v>
      </c>
      <c r="Z47"/>
    </row>
    <row r="48" spans="1:26" ht="29.25">
      <c r="A48" s="129">
        <v>51</v>
      </c>
      <c r="B48" s="130" t="s">
        <v>295</v>
      </c>
      <c r="C48" s="130" t="s">
        <v>293</v>
      </c>
      <c r="D48" s="131" t="str" cm="1">
        <f t="array" ref="D48" xml:space="preserve"> INDEX(【韻】韻母對照表!$B$4:$B$89, MATCH(TRUE, EXACT(【十五音】韻母對照表!$E48, 【韻】韻母對照表!$C$4:$C$89), 0))</f>
        <v>ã</v>
      </c>
      <c r="E48" s="132" t="s">
        <v>297</v>
      </c>
      <c r="F48" s="129" t="s">
        <v>297</v>
      </c>
      <c r="G48" s="129" t="s">
        <v>297</v>
      </c>
      <c r="H48" s="129" t="s">
        <v>299</v>
      </c>
      <c r="I48" s="133" t="s">
        <v>1057</v>
      </c>
      <c r="J48" s="129" t="s">
        <v>296</v>
      </c>
      <c r="K48" s="129" t="s">
        <v>2009</v>
      </c>
      <c r="L48" s="129" t="s">
        <v>301</v>
      </c>
      <c r="M48" s="129" t="s">
        <v>17</v>
      </c>
      <c r="N48" s="134" t="s">
        <v>300</v>
      </c>
      <c r="P48" s="94">
        <v>47</v>
      </c>
      <c r="Q48" s="86" t="s">
        <v>146</v>
      </c>
      <c r="R48" s="86" t="s">
        <v>273</v>
      </c>
      <c r="S48" s="86" t="s">
        <v>17</v>
      </c>
      <c r="T48" s="85" t="str" cm="1">
        <f t="array" ref="T48">IFERROR( INDEX(【十五音】韻母對照表!$G$2:$G$85, MATCH(TRUE, EXACT( _xlfn.CONCAT(R48, LEFT(S48,1)), 【十五音】韻母對照表!$N$2:$N$85),0)), "")</f>
        <v>ia</v>
      </c>
      <c r="U48" s="85" t="s">
        <v>272</v>
      </c>
      <c r="V48" s="85" t="s">
        <v>274</v>
      </c>
      <c r="W48" s="87" t="s">
        <v>271</v>
      </c>
      <c r="X48" s="95">
        <f t="shared" si="0"/>
        <v>2</v>
      </c>
      <c r="Y48" t="str">
        <f t="shared" si="1"/>
        <v xml:space="preserve">      - xform/ia/ia/</v>
      </c>
      <c r="Z48"/>
    </row>
    <row r="49" spans="1:26" ht="29.25">
      <c r="A49" s="135">
        <v>52</v>
      </c>
      <c r="B49" s="136" t="s">
        <v>295</v>
      </c>
      <c r="C49" s="148" t="s">
        <v>302</v>
      </c>
      <c r="D49" s="137" t="str" cm="1">
        <f t="array" ref="D49" xml:space="preserve"> INDEX(【韻】韻母對照表!$B$4:$B$89, MATCH(TRUE, EXACT(【十五音】韻母對照表!$E49, 【韻】韻母對照表!$C$4:$C$89), 0))</f>
        <v>ãʔ</v>
      </c>
      <c r="E49" s="138" t="s">
        <v>304</v>
      </c>
      <c r="F49" s="135" t="s">
        <v>303</v>
      </c>
      <c r="G49" s="135" t="s">
        <v>304</v>
      </c>
      <c r="H49" s="135" t="s">
        <v>305</v>
      </c>
      <c r="I49" s="139" t="s">
        <v>1058</v>
      </c>
      <c r="J49" s="135" t="s">
        <v>723</v>
      </c>
      <c r="K49" s="135" t="s">
        <v>2010</v>
      </c>
      <c r="L49" s="135" t="s">
        <v>301</v>
      </c>
      <c r="M49" s="135" t="s">
        <v>23</v>
      </c>
      <c r="N49" s="25" t="s">
        <v>306</v>
      </c>
      <c r="P49" s="85">
        <v>48</v>
      </c>
      <c r="Q49" s="86" t="s">
        <v>146</v>
      </c>
      <c r="R49" s="86" t="s">
        <v>273</v>
      </c>
      <c r="S49" s="86" t="s">
        <v>23</v>
      </c>
      <c r="T49" s="85" t="str" cm="1">
        <f t="array" ref="T49">IFERROR( INDEX(【十五音】韻母對照表!$G$2:$G$85, MATCH(TRUE, EXACT( _xlfn.CONCAT(R49, LEFT(S49,1)), 【十五音】韻母對照表!$N$2:$N$85),0)), "")</f>
        <v>iah</v>
      </c>
      <c r="U49" s="85" t="s">
        <v>278</v>
      </c>
      <c r="V49" s="85" t="s">
        <v>1954</v>
      </c>
      <c r="W49" s="87" t="s">
        <v>277</v>
      </c>
      <c r="X49" s="95">
        <f t="shared" si="0"/>
        <v>3</v>
      </c>
      <c r="Y49" t="str">
        <f t="shared" si="1"/>
        <v xml:space="preserve">      - xform/iah/iah/</v>
      </c>
      <c r="Z49"/>
    </row>
    <row r="50" spans="1:26" ht="29.25">
      <c r="A50" s="129">
        <v>53</v>
      </c>
      <c r="B50" s="130" t="s">
        <v>309</v>
      </c>
      <c r="C50" s="130" t="s">
        <v>307</v>
      </c>
      <c r="D50" s="131" t="str" cm="1">
        <f t="array" ref="D50" xml:space="preserve"> INDEX(【韻】韻母對照表!$B$4:$B$89, MATCH(TRUE, EXACT(【十五音】韻母對照表!$E50, 【韻】韻母對照表!$C$4:$C$89), 0))</f>
        <v>u</v>
      </c>
      <c r="E50" s="132" t="s">
        <v>308</v>
      </c>
      <c r="F50" s="129" t="s">
        <v>308</v>
      </c>
      <c r="G50" s="129" t="s">
        <v>308</v>
      </c>
      <c r="H50" s="129" t="s">
        <v>308</v>
      </c>
      <c r="I50" s="133" t="s">
        <v>308</v>
      </c>
      <c r="J50" s="129" t="s">
        <v>310</v>
      </c>
      <c r="K50" s="129" t="s">
        <v>310</v>
      </c>
      <c r="L50" s="129" t="s">
        <v>157</v>
      </c>
      <c r="M50" s="129" t="s">
        <v>17</v>
      </c>
      <c r="N50" s="134" t="s">
        <v>311</v>
      </c>
      <c r="P50" s="94">
        <v>49</v>
      </c>
      <c r="Q50" s="86" t="s">
        <v>151</v>
      </c>
      <c r="R50" s="86" t="s">
        <v>283</v>
      </c>
      <c r="S50" s="86" t="s">
        <v>17</v>
      </c>
      <c r="T50" s="85" t="str" cm="1">
        <f t="array" ref="T50">IFERROR( INDEX(【十五音】韻母對照表!$G$2:$G$85, MATCH(TRUE, EXACT( _xlfn.CONCAT(R50, LEFT(S50,1)), 【十五音】韻母對照表!$N$2:$N$85),0)), "")</f>
        <v>ue</v>
      </c>
      <c r="U50" s="85" t="s">
        <v>285</v>
      </c>
      <c r="V50" s="85" t="s">
        <v>284</v>
      </c>
      <c r="W50" s="87" t="s">
        <v>281</v>
      </c>
      <c r="X50" s="95">
        <f t="shared" si="0"/>
        <v>2</v>
      </c>
      <c r="Y50" t="str">
        <f t="shared" si="1"/>
        <v xml:space="preserve">      - xform/ue/ue/</v>
      </c>
      <c r="Z50"/>
    </row>
    <row r="51" spans="1:26" ht="29.25">
      <c r="A51" s="135">
        <v>54</v>
      </c>
      <c r="B51" s="136" t="s">
        <v>309</v>
      </c>
      <c r="C51" s="140" t="s">
        <v>312</v>
      </c>
      <c r="D51" s="137" t="str" cm="1">
        <f t="array" ref="D51" xml:space="preserve"> INDEX(【韻】韻母對照表!$B$4:$B$89, MATCH(TRUE, EXACT(【十五音】韻母對照表!$E51, 【韻】韻母對照表!$C$4:$C$89), 0))</f>
        <v>uʔ</v>
      </c>
      <c r="E51" s="138" t="s">
        <v>313</v>
      </c>
      <c r="F51" s="135" t="s">
        <v>313</v>
      </c>
      <c r="G51" s="135" t="s">
        <v>313</v>
      </c>
      <c r="H51" s="135" t="s">
        <v>313</v>
      </c>
      <c r="I51" s="139" t="s">
        <v>313</v>
      </c>
      <c r="J51" s="135" t="s">
        <v>724</v>
      </c>
      <c r="K51" s="135" t="s">
        <v>2011</v>
      </c>
      <c r="L51" s="135" t="s">
        <v>157</v>
      </c>
      <c r="M51" s="135" t="s">
        <v>23</v>
      </c>
      <c r="N51" s="25" t="s">
        <v>314</v>
      </c>
      <c r="P51" s="85">
        <v>50</v>
      </c>
      <c r="Q51" s="86" t="s">
        <v>151</v>
      </c>
      <c r="R51" s="86" t="s">
        <v>283</v>
      </c>
      <c r="S51" s="86" t="s">
        <v>23</v>
      </c>
      <c r="T51" s="85" t="str" cm="1">
        <f t="array" ref="T51">IFERROR( INDEX(【十五音】韻母對照表!$G$2:$G$85, MATCH(TRUE, EXACT( _xlfn.CONCAT(R51, LEFT(S51,1)), 【十五音】韻母對照表!$N$2:$N$85),0)), "")</f>
        <v>ueh</v>
      </c>
      <c r="U51" s="85" t="s">
        <v>290</v>
      </c>
      <c r="V51" s="85" t="s">
        <v>1968</v>
      </c>
      <c r="W51" s="88" t="s">
        <v>289</v>
      </c>
      <c r="X51" s="95">
        <f t="shared" si="0"/>
        <v>3</v>
      </c>
      <c r="Y51" t="str">
        <f t="shared" si="1"/>
        <v xml:space="preserve">      - xform/ueh/ueh/</v>
      </c>
      <c r="Z51"/>
    </row>
    <row r="52" spans="1:26" ht="29.25">
      <c r="A52" s="129">
        <v>55</v>
      </c>
      <c r="B52" s="130" t="s">
        <v>317</v>
      </c>
      <c r="C52" s="130" t="s">
        <v>315</v>
      </c>
      <c r="D52" s="131" t="str" cm="1">
        <f t="array" ref="D52" xml:space="preserve"> INDEX(【韻】韻母對照表!$B$4:$B$89, MATCH(TRUE, EXACT(【十五音】韻母對照表!$E52, 【韻】韻母對照表!$C$4:$C$89), 0))</f>
        <v>a</v>
      </c>
      <c r="E52" s="132" t="s">
        <v>316</v>
      </c>
      <c r="F52" s="129" t="s">
        <v>316</v>
      </c>
      <c r="G52" s="129" t="s">
        <v>316</v>
      </c>
      <c r="H52" s="129" t="s">
        <v>316</v>
      </c>
      <c r="I52" s="133" t="s">
        <v>316</v>
      </c>
      <c r="J52" s="129" t="s">
        <v>318</v>
      </c>
      <c r="K52" s="129" t="s">
        <v>318</v>
      </c>
      <c r="L52" s="129" t="s">
        <v>164</v>
      </c>
      <c r="M52" s="129" t="s">
        <v>17</v>
      </c>
      <c r="N52" s="134" t="s">
        <v>319</v>
      </c>
      <c r="P52" s="94">
        <v>51</v>
      </c>
      <c r="Q52" s="86" t="s">
        <v>301</v>
      </c>
      <c r="R52" s="86" t="s">
        <v>295</v>
      </c>
      <c r="S52" s="86" t="s">
        <v>17</v>
      </c>
      <c r="T52" s="85" t="str" cm="1">
        <f t="array" ref="T52">IFERROR( INDEX(【十五音】韻母對照表!$G$2:$G$85, MATCH(TRUE, EXACT( _xlfn.CONCAT(R52, LEFT(S52,1)), 【十五音】韻母對照表!$N$2:$N$85),0)), "")</f>
        <v>ann</v>
      </c>
      <c r="U52" s="85" t="s">
        <v>299</v>
      </c>
      <c r="V52" s="85" t="s">
        <v>296</v>
      </c>
      <c r="W52" s="87" t="s">
        <v>293</v>
      </c>
      <c r="X52" s="95">
        <f t="shared" si="0"/>
        <v>3</v>
      </c>
      <c r="Y52" t="str">
        <f t="shared" si="1"/>
        <v xml:space="preserve">      - xform/ann/na/</v>
      </c>
      <c r="Z52"/>
    </row>
    <row r="53" spans="1:26" ht="29.25">
      <c r="A53" s="135">
        <v>56</v>
      </c>
      <c r="B53" s="136" t="s">
        <v>317</v>
      </c>
      <c r="C53" s="136" t="s">
        <v>320</v>
      </c>
      <c r="D53" s="137" t="str" cm="1">
        <f t="array" ref="D53" xml:space="preserve"> INDEX(【韻】韻母對照表!$B$4:$B$89, MATCH(TRUE, EXACT(【十五音】韻母對照表!$E53, 【韻】韻母對照表!$C$4:$C$89), 0))</f>
        <v>aʔ</v>
      </c>
      <c r="E53" s="138" t="s">
        <v>321</v>
      </c>
      <c r="F53" s="135" t="s">
        <v>321</v>
      </c>
      <c r="G53" s="135" t="s">
        <v>321</v>
      </c>
      <c r="H53" s="135" t="s">
        <v>321</v>
      </c>
      <c r="I53" s="139" t="s">
        <v>321</v>
      </c>
      <c r="J53" s="135" t="s">
        <v>725</v>
      </c>
      <c r="K53" s="135" t="s">
        <v>2012</v>
      </c>
      <c r="L53" s="135" t="s">
        <v>164</v>
      </c>
      <c r="M53" s="135" t="s">
        <v>23</v>
      </c>
      <c r="N53" s="25" t="s">
        <v>322</v>
      </c>
      <c r="P53" s="85">
        <v>52</v>
      </c>
      <c r="Q53" s="86" t="s">
        <v>301</v>
      </c>
      <c r="R53" s="86" t="s">
        <v>295</v>
      </c>
      <c r="S53" s="86" t="s">
        <v>23</v>
      </c>
      <c r="T53" s="85" t="str" cm="1">
        <f t="array" ref="T53">IFERROR( INDEX(【十五音】韻母對照表!$G$2:$G$85, MATCH(TRUE, EXACT( _xlfn.CONCAT(R53, LEFT(S53,1)), 【十五音】韻母對照表!$N$2:$N$85),0)), "")</f>
        <v>annh</v>
      </c>
      <c r="U53" s="85" t="s">
        <v>305</v>
      </c>
      <c r="V53" s="85" t="s">
        <v>1098</v>
      </c>
      <c r="W53" s="91" t="s">
        <v>302</v>
      </c>
      <c r="X53" s="95">
        <f t="shared" si="0"/>
        <v>4</v>
      </c>
      <c r="Y53" t="str">
        <f t="shared" si="1"/>
        <v xml:space="preserve">      - xform/annh/nah/</v>
      </c>
      <c r="Z53"/>
    </row>
    <row r="54" spans="1:26" ht="29.25">
      <c r="A54" s="129">
        <v>57</v>
      </c>
      <c r="B54" s="130" t="s">
        <v>325</v>
      </c>
      <c r="C54" s="130" t="s">
        <v>323</v>
      </c>
      <c r="D54" s="131" t="str" cm="1">
        <f t="array" ref="D54" xml:space="preserve"> INDEX(【韻】韻母對照表!$B$4:$B$89, MATCH(TRUE, EXACT(【十五音】韻母對照表!$E54, 【韻】韻母對照表!$C$4:$C$89), 0))</f>
        <v>i</v>
      </c>
      <c r="E54" s="132" t="s">
        <v>324</v>
      </c>
      <c r="F54" s="129" t="s">
        <v>324</v>
      </c>
      <c r="G54" s="129" t="s">
        <v>324</v>
      </c>
      <c r="H54" s="129" t="s">
        <v>324</v>
      </c>
      <c r="I54" s="133" t="s">
        <v>324</v>
      </c>
      <c r="J54" s="129" t="s">
        <v>326</v>
      </c>
      <c r="K54" s="129" t="s">
        <v>326</v>
      </c>
      <c r="L54" s="129" t="s">
        <v>169</v>
      </c>
      <c r="M54" s="129" t="s">
        <v>17</v>
      </c>
      <c r="N54" s="134" t="s">
        <v>327</v>
      </c>
      <c r="P54" s="94">
        <v>53</v>
      </c>
      <c r="Q54" s="86" t="s">
        <v>157</v>
      </c>
      <c r="R54" s="86" t="s">
        <v>309</v>
      </c>
      <c r="S54" s="86" t="s">
        <v>17</v>
      </c>
      <c r="T54" s="85" t="str" cm="1">
        <f t="array" ref="T54">IFERROR( INDEX(【十五音】韻母對照表!$G$2:$G$85, MATCH(TRUE, EXACT( _xlfn.CONCAT(R54, LEFT(S54,1)), 【十五音】韻母對照表!$N$2:$N$85),0)), "")</f>
        <v>u</v>
      </c>
      <c r="U54" s="85" t="s">
        <v>308</v>
      </c>
      <c r="V54" s="85" t="s">
        <v>310</v>
      </c>
      <c r="W54" s="87" t="s">
        <v>307</v>
      </c>
      <c r="X54" s="95">
        <f t="shared" si="0"/>
        <v>1</v>
      </c>
      <c r="Y54" t="str">
        <f t="shared" si="1"/>
        <v xml:space="preserve">      - xform/u/u/</v>
      </c>
      <c r="Z54"/>
    </row>
    <row r="55" spans="1:26" ht="29.25">
      <c r="A55" s="135">
        <v>58</v>
      </c>
      <c r="B55" s="136" t="s">
        <v>325</v>
      </c>
      <c r="C55" s="145" t="s">
        <v>328</v>
      </c>
      <c r="D55" s="137" t="str" cm="1">
        <f t="array" ref="D55" xml:space="preserve"> INDEX(【韻】韻母對照表!$B$4:$B$89, MATCH(TRUE, EXACT(【十五音】韻母對照表!$E55, 【韻】韻母對照表!$C$4:$C$89), 0))</f>
        <v>iʔ</v>
      </c>
      <c r="E55" s="138" t="s">
        <v>329</v>
      </c>
      <c r="F55" s="135" t="s">
        <v>329</v>
      </c>
      <c r="G55" s="135" t="s">
        <v>329</v>
      </c>
      <c r="H55" s="135" t="s">
        <v>329</v>
      </c>
      <c r="I55" s="139" t="s">
        <v>329</v>
      </c>
      <c r="J55" s="135" t="s">
        <v>726</v>
      </c>
      <c r="K55" s="135" t="s">
        <v>2013</v>
      </c>
      <c r="L55" s="135" t="s">
        <v>169</v>
      </c>
      <c r="M55" s="135" t="s">
        <v>23</v>
      </c>
      <c r="N55" s="25" t="s">
        <v>330</v>
      </c>
      <c r="P55" s="85">
        <v>54</v>
      </c>
      <c r="Q55" s="86" t="s">
        <v>157</v>
      </c>
      <c r="R55" s="86" t="s">
        <v>309</v>
      </c>
      <c r="S55" s="86" t="s">
        <v>23</v>
      </c>
      <c r="T55" s="85" t="str" cm="1">
        <f t="array" ref="T55">IFERROR( INDEX(【十五音】韻母對照表!$G$2:$G$85, MATCH(TRUE, EXACT( _xlfn.CONCAT(R55, LEFT(S55,1)), 【十五音】韻母對照表!$N$2:$N$85),0)), "")</f>
        <v>uh</v>
      </c>
      <c r="U55" s="85" t="s">
        <v>313</v>
      </c>
      <c r="V55" s="85" t="s">
        <v>1963</v>
      </c>
      <c r="W55" s="88" t="s">
        <v>312</v>
      </c>
      <c r="X55" s="95">
        <f t="shared" si="0"/>
        <v>2</v>
      </c>
      <c r="Y55" t="str">
        <f t="shared" si="1"/>
        <v xml:space="preserve">      - xform/uh/uh/</v>
      </c>
      <c r="Z55"/>
    </row>
    <row r="56" spans="1:26" ht="29.25">
      <c r="A56" s="129">
        <v>59</v>
      </c>
      <c r="B56" s="130" t="s">
        <v>333</v>
      </c>
      <c r="C56" s="130" t="s">
        <v>331</v>
      </c>
      <c r="D56" s="131" t="str" cm="1">
        <f t="array" ref="D56" xml:space="preserve"> INDEX(【韻】韻母對照表!$B$4:$B$89, MATCH(TRUE, EXACT(【十五音】韻母對照表!$E56, 【韻】韻母對照表!$C$4:$C$89), 0))</f>
        <v>ɪu</v>
      </c>
      <c r="E56" s="132" t="s">
        <v>332</v>
      </c>
      <c r="F56" s="129" t="s">
        <v>332</v>
      </c>
      <c r="G56" s="129" t="s">
        <v>332</v>
      </c>
      <c r="H56" s="129" t="s">
        <v>332</v>
      </c>
      <c r="I56" s="133" t="s">
        <v>332</v>
      </c>
      <c r="J56" s="129" t="s">
        <v>334</v>
      </c>
      <c r="K56" s="129" t="s">
        <v>334</v>
      </c>
      <c r="L56" s="129" t="s">
        <v>176</v>
      </c>
      <c r="M56" s="129" t="s">
        <v>17</v>
      </c>
      <c r="N56" s="134" t="s">
        <v>335</v>
      </c>
      <c r="P56" s="94">
        <v>55</v>
      </c>
      <c r="Q56" s="86" t="s">
        <v>164</v>
      </c>
      <c r="R56" s="86" t="s">
        <v>317</v>
      </c>
      <c r="S56" s="86" t="s">
        <v>17</v>
      </c>
      <c r="T56" s="85" t="str" cm="1">
        <f t="array" ref="T56">IFERROR( INDEX(【十五音】韻母對照表!$G$2:$G$85, MATCH(TRUE, EXACT( _xlfn.CONCAT(R56, LEFT(S56,1)), 【十五音】韻母對照表!$N$2:$N$85),0)), "")</f>
        <v>a</v>
      </c>
      <c r="U56" s="85" t="s">
        <v>316</v>
      </c>
      <c r="V56" s="85" t="s">
        <v>318</v>
      </c>
      <c r="W56" s="87" t="s">
        <v>315</v>
      </c>
      <c r="X56" s="95">
        <f t="shared" si="0"/>
        <v>1</v>
      </c>
      <c r="Y56" t="str">
        <f t="shared" si="1"/>
        <v xml:space="preserve">      - xform/a/a/</v>
      </c>
      <c r="Z56"/>
    </row>
    <row r="57" spans="1:26" ht="29.25">
      <c r="A57" s="135">
        <v>61</v>
      </c>
      <c r="B57" s="149" t="s">
        <v>338</v>
      </c>
      <c r="C57" s="136" t="s">
        <v>336</v>
      </c>
      <c r="D57" s="137" t="str" cm="1">
        <f t="array" ref="D57" xml:space="preserve"> INDEX(【韻】韻母對照表!$B$4:$B$89, MATCH(TRUE, EXACT(【十五音】韻母對照表!$E57, 【韻】韻母對照表!$C$4:$C$89), 0))</f>
        <v>ẽ</v>
      </c>
      <c r="E57" s="138" t="s">
        <v>340</v>
      </c>
      <c r="F57" s="135" t="s">
        <v>340</v>
      </c>
      <c r="G57" s="135" t="s">
        <v>340</v>
      </c>
      <c r="H57" s="135" t="s">
        <v>342</v>
      </c>
      <c r="I57" s="139" t="s">
        <v>1059</v>
      </c>
      <c r="J57" s="135" t="s">
        <v>339</v>
      </c>
      <c r="K57" s="135" t="s">
        <v>2014</v>
      </c>
      <c r="L57" s="135" t="s">
        <v>181</v>
      </c>
      <c r="M57" s="135" t="s">
        <v>17</v>
      </c>
      <c r="N57" s="25" t="s">
        <v>343</v>
      </c>
      <c r="P57" s="85">
        <v>56</v>
      </c>
      <c r="Q57" s="86" t="s">
        <v>164</v>
      </c>
      <c r="R57" s="86" t="s">
        <v>317</v>
      </c>
      <c r="S57" s="86" t="s">
        <v>23</v>
      </c>
      <c r="T57" s="85" t="str" cm="1">
        <f t="array" ref="T57">IFERROR( INDEX(【十五音】韻母對照表!$G$2:$G$85, MATCH(TRUE, EXACT( _xlfn.CONCAT(R57, LEFT(S57,1)), 【十五音】韻母對照表!$N$2:$N$85),0)), "")</f>
        <v>ah</v>
      </c>
      <c r="U57" s="85" t="s">
        <v>321</v>
      </c>
      <c r="V57" s="85" t="s">
        <v>1082</v>
      </c>
      <c r="W57" s="87" t="s">
        <v>320</v>
      </c>
      <c r="X57" s="95">
        <f t="shared" si="0"/>
        <v>2</v>
      </c>
      <c r="Y57" t="str">
        <f t="shared" si="1"/>
        <v xml:space="preserve">      - xform/ah/ah/</v>
      </c>
      <c r="Z57"/>
    </row>
    <row r="58" spans="1:26" ht="29.25">
      <c r="A58" s="129">
        <v>62</v>
      </c>
      <c r="B58" s="150" t="s">
        <v>338</v>
      </c>
      <c r="C58" s="151" t="s">
        <v>344</v>
      </c>
      <c r="D58" s="131" t="str">
        <f>_xlfn.CONCAT("e", _xlfn.UNICHAR(771), "ʔ")</f>
        <v>ẽʔ</v>
      </c>
      <c r="E58" s="132" t="s">
        <v>623</v>
      </c>
      <c r="F58" s="129" t="s">
        <v>345</v>
      </c>
      <c r="G58" s="129" t="s">
        <v>346</v>
      </c>
      <c r="H58" s="129" t="s">
        <v>623</v>
      </c>
      <c r="I58" s="133" t="s">
        <v>1060</v>
      </c>
      <c r="J58" s="129" t="s">
        <v>727</v>
      </c>
      <c r="K58" s="129" t="s">
        <v>2015</v>
      </c>
      <c r="L58" s="129" t="s">
        <v>181</v>
      </c>
      <c r="M58" s="129" t="s">
        <v>23</v>
      </c>
      <c r="N58" s="134" t="s">
        <v>347</v>
      </c>
      <c r="P58" s="94">
        <v>57</v>
      </c>
      <c r="Q58" s="86" t="s">
        <v>169</v>
      </c>
      <c r="R58" s="86" t="s">
        <v>325</v>
      </c>
      <c r="S58" s="86" t="s">
        <v>17</v>
      </c>
      <c r="T58" s="85" t="str" cm="1">
        <f t="array" ref="T58">IFERROR( INDEX(【十五音】韻母對照表!$G$2:$G$85, MATCH(TRUE, EXACT( _xlfn.CONCAT(R58, LEFT(S58,1)), 【十五音】韻母對照表!$N$2:$N$85),0)), "")</f>
        <v>i</v>
      </c>
      <c r="U58" s="85" t="s">
        <v>324</v>
      </c>
      <c r="V58" s="85" t="s">
        <v>326</v>
      </c>
      <c r="W58" s="87" t="s">
        <v>323</v>
      </c>
      <c r="X58" s="95">
        <f t="shared" si="0"/>
        <v>1</v>
      </c>
      <c r="Y58" t="str">
        <f t="shared" si="1"/>
        <v xml:space="preserve">      - xform/i/i/</v>
      </c>
      <c r="Z58"/>
    </row>
    <row r="59" spans="1:26" ht="29.25">
      <c r="A59" s="135">
        <v>63</v>
      </c>
      <c r="B59" s="140" t="s">
        <v>349</v>
      </c>
      <c r="C59" s="145" t="s">
        <v>348</v>
      </c>
      <c r="D59" s="137" t="s">
        <v>2155</v>
      </c>
      <c r="E59" s="138" t="s">
        <v>351</v>
      </c>
      <c r="F59" s="135" t="s">
        <v>351</v>
      </c>
      <c r="G59" s="135" t="s">
        <v>351</v>
      </c>
      <c r="H59" s="135" t="s">
        <v>353</v>
      </c>
      <c r="I59" s="139" t="s">
        <v>1061</v>
      </c>
      <c r="J59" s="135" t="s">
        <v>350</v>
      </c>
      <c r="K59" s="135" t="s">
        <v>2016</v>
      </c>
      <c r="L59" s="135" t="s">
        <v>355</v>
      </c>
      <c r="M59" s="135" t="s">
        <v>17</v>
      </c>
      <c r="N59" s="25" t="s">
        <v>354</v>
      </c>
      <c r="P59" s="85">
        <v>58</v>
      </c>
      <c r="Q59" s="86" t="s">
        <v>169</v>
      </c>
      <c r="R59" s="86" t="s">
        <v>325</v>
      </c>
      <c r="S59" s="86" t="s">
        <v>17</v>
      </c>
      <c r="T59" s="85" t="str" cm="1">
        <f t="array" ref="T59">IFERROR( INDEX(【十五音】韻母對照表!$G$2:$G$85, MATCH(TRUE, EXACT( _xlfn.CONCAT(R59, LEFT(S59,1)), 【十五音】韻母對照表!$N$2:$N$85),0)), "")</f>
        <v>i</v>
      </c>
      <c r="U59" s="85" t="s">
        <v>329</v>
      </c>
      <c r="V59" s="85" t="s">
        <v>1953</v>
      </c>
      <c r="W59" s="89" t="s">
        <v>328</v>
      </c>
      <c r="X59" s="95">
        <f t="shared" si="0"/>
        <v>1</v>
      </c>
      <c r="Y59" t="str">
        <f t="shared" si="1"/>
        <v xml:space="preserve">      - xform/i/ih/</v>
      </c>
      <c r="Z59"/>
    </row>
    <row r="60" spans="1:26" ht="29.25">
      <c r="A60" s="129">
        <v>65</v>
      </c>
      <c r="B60" s="146" t="s">
        <v>358</v>
      </c>
      <c r="C60" s="130" t="s">
        <v>356</v>
      </c>
      <c r="D60" s="131" t="str" cm="1">
        <f t="array" ref="D60" xml:space="preserve"> INDEX(【韻】韻母對照表!$B$4:$B$89, MATCH(TRUE, EXACT(【十五音】韻母對照表!$E60, 【韻】韻母對照表!$C$4:$C$89), 0))</f>
        <v>ɪə</v>
      </c>
      <c r="E60" s="132" t="s">
        <v>357</v>
      </c>
      <c r="F60" s="129" t="s">
        <v>357</v>
      </c>
      <c r="G60" s="132" t="s">
        <v>360</v>
      </c>
      <c r="H60" s="129" t="s">
        <v>357</v>
      </c>
      <c r="I60" s="133" t="s">
        <v>357</v>
      </c>
      <c r="J60" s="129" t="s">
        <v>359</v>
      </c>
      <c r="K60" s="129" t="s">
        <v>359</v>
      </c>
      <c r="L60" s="129" t="s">
        <v>187</v>
      </c>
      <c r="M60" s="129" t="s">
        <v>17</v>
      </c>
      <c r="N60" s="134" t="s">
        <v>361</v>
      </c>
      <c r="P60" s="94">
        <v>59</v>
      </c>
      <c r="Q60" s="86" t="s">
        <v>176</v>
      </c>
      <c r="R60" s="86" t="s">
        <v>333</v>
      </c>
      <c r="S60" s="86" t="s">
        <v>17</v>
      </c>
      <c r="T60" s="85" t="str" cm="1">
        <f t="array" ref="T60">IFERROR( INDEX(【十五音】韻母對照表!$G$2:$G$85, MATCH(TRUE, EXACT( _xlfn.CONCAT(R60, LEFT(S60,1)), 【十五音】韻母對照表!$N$2:$N$85),0)), "")</f>
        <v>iu</v>
      </c>
      <c r="U60" s="85" t="s">
        <v>332</v>
      </c>
      <c r="V60" s="85" t="s">
        <v>334</v>
      </c>
      <c r="W60" s="87" t="s">
        <v>331</v>
      </c>
      <c r="X60" s="95">
        <f t="shared" si="0"/>
        <v>2</v>
      </c>
      <c r="Y60" t="str">
        <f t="shared" si="1"/>
        <v xml:space="preserve">      - xform/iu/iu/</v>
      </c>
      <c r="Z60"/>
    </row>
    <row r="61" spans="1:26" ht="29.25">
      <c r="A61" s="135">
        <v>66</v>
      </c>
      <c r="B61" s="136" t="s">
        <v>358</v>
      </c>
      <c r="C61" s="140" t="s">
        <v>362</v>
      </c>
      <c r="D61" s="137" t="str" cm="1">
        <f t="array" ref="D61" xml:space="preserve"> INDEX(【韻】韻母對照表!$B$4:$B$89, MATCH(TRUE, EXACT(【十五音】韻母對照表!$E61, 【韻】韻母對照表!$C$4:$C$89), 0))</f>
        <v>ɪəʔ</v>
      </c>
      <c r="E61" s="138" t="s">
        <v>363</v>
      </c>
      <c r="F61" s="135" t="s">
        <v>363</v>
      </c>
      <c r="G61" s="138" t="s">
        <v>364</v>
      </c>
      <c r="H61" s="135" t="s">
        <v>363</v>
      </c>
      <c r="I61" s="139" t="s">
        <v>363</v>
      </c>
      <c r="J61" s="135" t="s">
        <v>728</v>
      </c>
      <c r="K61" s="135" t="s">
        <v>2017</v>
      </c>
      <c r="L61" s="135" t="s">
        <v>187</v>
      </c>
      <c r="M61" s="135" t="s">
        <v>23</v>
      </c>
      <c r="N61" s="25" t="s">
        <v>365</v>
      </c>
      <c r="P61" s="85">
        <v>60</v>
      </c>
      <c r="Q61" s="86" t="s">
        <v>176</v>
      </c>
      <c r="R61" s="86" t="s">
        <v>333</v>
      </c>
      <c r="S61" s="86" t="s">
        <v>17</v>
      </c>
      <c r="T61" s="85" t="str" cm="1">
        <f t="array" ref="T61">IFERROR( INDEX(【十五音】韻母對照表!$G$2:$G$85, MATCH(TRUE, EXACT( _xlfn.CONCAT(R61, LEFT(S61,1)), 【十五音】韻母對照表!$N$2:$N$85),0)), "")</f>
        <v>iu</v>
      </c>
      <c r="U61" s="85" t="s">
        <v>2072</v>
      </c>
      <c r="V61" s="85" t="str">
        <f xml:space="preserve"> _xlfn.CONCAT(V60, "ㆷ")</f>
        <v>ㄧㄨㆷ</v>
      </c>
      <c r="W61" s="87"/>
      <c r="X61" s="95">
        <f t="shared" si="0"/>
        <v>2</v>
      </c>
      <c r="Y61" t="str">
        <f t="shared" si="1"/>
        <v xml:space="preserve">      - xform/iu/iuh/</v>
      </c>
      <c r="Z61"/>
    </row>
    <row r="62" spans="1:26" ht="29.25">
      <c r="A62" s="129">
        <v>67</v>
      </c>
      <c r="B62" s="130" t="s">
        <v>368</v>
      </c>
      <c r="C62" s="130" t="s">
        <v>366</v>
      </c>
      <c r="D62" s="131" t="s">
        <v>2156</v>
      </c>
      <c r="E62" s="132" t="s">
        <v>370</v>
      </c>
      <c r="F62" s="129" t="s">
        <v>370</v>
      </c>
      <c r="G62" s="129" t="s">
        <v>370</v>
      </c>
      <c r="H62" s="129" t="s">
        <v>372</v>
      </c>
      <c r="I62" s="133" t="s">
        <v>1062</v>
      </c>
      <c r="J62" s="129" t="s">
        <v>369</v>
      </c>
      <c r="K62" s="129" t="s">
        <v>2018</v>
      </c>
      <c r="L62" s="129" t="s">
        <v>193</v>
      </c>
      <c r="M62" s="129" t="s">
        <v>17</v>
      </c>
      <c r="N62" s="134" t="s">
        <v>373</v>
      </c>
      <c r="P62" s="94">
        <v>61</v>
      </c>
      <c r="Q62" s="86" t="s">
        <v>181</v>
      </c>
      <c r="R62" s="86" t="s">
        <v>338</v>
      </c>
      <c r="S62" s="86" t="s">
        <v>17</v>
      </c>
      <c r="T62" s="85" t="str" cm="1">
        <f t="array" ref="T62">IFERROR( INDEX(【十五音】韻母對照表!$G$2:$G$85, MATCH(TRUE, EXACT( _xlfn.CONCAT(R62, LEFT(S62,1)), 【十五音】韻母對照表!$N$2:$N$85),0)), "")</f>
        <v>enn</v>
      </c>
      <c r="U62" s="85" t="s">
        <v>342</v>
      </c>
      <c r="V62" s="85" t="s">
        <v>339</v>
      </c>
      <c r="W62" s="87" t="s">
        <v>336</v>
      </c>
      <c r="X62" s="95">
        <f t="shared" si="0"/>
        <v>3</v>
      </c>
      <c r="Y62" t="str">
        <f t="shared" si="1"/>
        <v xml:space="preserve">      - xform/enn/ne/</v>
      </c>
      <c r="Z62"/>
    </row>
    <row r="63" spans="1:26" ht="29.25">
      <c r="A63" s="135">
        <v>68</v>
      </c>
      <c r="B63" s="136" t="s">
        <v>368</v>
      </c>
      <c r="C63" s="140" t="s">
        <v>374</v>
      </c>
      <c r="D63" s="137" t="s">
        <v>2157</v>
      </c>
      <c r="E63" s="138" t="s">
        <v>376</v>
      </c>
      <c r="F63" s="135" t="s">
        <v>375</v>
      </c>
      <c r="G63" s="135" t="s">
        <v>376</v>
      </c>
      <c r="H63" s="135" t="s">
        <v>377</v>
      </c>
      <c r="I63" s="139" t="s">
        <v>1063</v>
      </c>
      <c r="J63" s="135" t="s">
        <v>729</v>
      </c>
      <c r="K63" s="135" t="s">
        <v>2019</v>
      </c>
      <c r="L63" s="135" t="s">
        <v>193</v>
      </c>
      <c r="M63" s="135" t="s">
        <v>23</v>
      </c>
      <c r="N63" s="25" t="s">
        <v>378</v>
      </c>
      <c r="P63" s="85">
        <v>62</v>
      </c>
      <c r="Q63" s="86" t="s">
        <v>181</v>
      </c>
      <c r="R63" s="86" t="s">
        <v>338</v>
      </c>
      <c r="S63" s="86" t="s">
        <v>17</v>
      </c>
      <c r="T63" s="85" t="str" cm="1">
        <f t="array" ref="T63">IFERROR( INDEX(【十五音】韻母對照表!$G$2:$G$85, MATCH(TRUE, EXACT( _xlfn.CONCAT(R63, LEFT(S63,1)), 【十五音】韻母對照表!$N$2:$N$85),0)), "")</f>
        <v>enn</v>
      </c>
      <c r="U63" s="85" t="s">
        <v>2073</v>
      </c>
      <c r="V63" s="85" t="s">
        <v>1099</v>
      </c>
      <c r="W63" s="92" t="s">
        <v>344</v>
      </c>
      <c r="X63" s="95">
        <f t="shared" si="0"/>
        <v>3</v>
      </c>
      <c r="Y63" t="str">
        <f t="shared" si="1"/>
        <v xml:space="preserve">      - xform/enn/neh/</v>
      </c>
      <c r="Z63"/>
    </row>
    <row r="64" spans="1:26" ht="29.25">
      <c r="A64" s="129">
        <v>69</v>
      </c>
      <c r="B64" s="152" t="s">
        <v>381</v>
      </c>
      <c r="C64" s="153" t="s">
        <v>379</v>
      </c>
      <c r="D64" s="131" t="s">
        <v>2158</v>
      </c>
      <c r="E64" s="132" t="s">
        <v>383</v>
      </c>
      <c r="F64" s="129" t="s">
        <v>383</v>
      </c>
      <c r="G64" s="129" t="s">
        <v>386</v>
      </c>
      <c r="H64" s="129" t="s">
        <v>385</v>
      </c>
      <c r="I64" s="133" t="s">
        <v>1064</v>
      </c>
      <c r="J64" s="129" t="s">
        <v>382</v>
      </c>
      <c r="K64" s="129" t="s">
        <v>2020</v>
      </c>
      <c r="L64" s="129" t="s">
        <v>199</v>
      </c>
      <c r="M64" s="129" t="s">
        <v>17</v>
      </c>
      <c r="N64" s="134" t="s">
        <v>387</v>
      </c>
      <c r="P64" s="94">
        <v>63</v>
      </c>
      <c r="Q64" s="86" t="s">
        <v>355</v>
      </c>
      <c r="R64" s="86" t="s">
        <v>349</v>
      </c>
      <c r="S64" s="86" t="s">
        <v>17</v>
      </c>
      <c r="T64" s="85" t="str" cm="1">
        <f t="array" ref="T64">IFERROR( INDEX(【十五音】韻母對照表!$G$2:$G$85, MATCH(TRUE, EXACT( _xlfn.CONCAT(R64, LEFT(S64,1)), 【十五音】韻母對照表!$N$2:$N$85),0)), "")</f>
        <v>uinn</v>
      </c>
      <c r="U64" s="85" t="s">
        <v>353</v>
      </c>
      <c r="V64" s="85" t="s">
        <v>350</v>
      </c>
      <c r="W64" s="89" t="s">
        <v>348</v>
      </c>
      <c r="X64" s="95">
        <f t="shared" si="0"/>
        <v>4</v>
      </c>
      <c r="Y64" t="str">
        <f t="shared" si="1"/>
        <v xml:space="preserve">      - xform/uinn/nui/</v>
      </c>
      <c r="Z64"/>
    </row>
    <row r="65" spans="1:26" ht="29.25">
      <c r="A65" s="135">
        <v>71</v>
      </c>
      <c r="B65" s="136" t="s">
        <v>389</v>
      </c>
      <c r="C65" s="136" t="s">
        <v>388</v>
      </c>
      <c r="D65" s="137" t="s">
        <v>2159</v>
      </c>
      <c r="E65" s="138" t="s">
        <v>391</v>
      </c>
      <c r="F65" s="135" t="s">
        <v>391</v>
      </c>
      <c r="G65" s="135" t="s">
        <v>391</v>
      </c>
      <c r="H65" s="135" t="s">
        <v>394</v>
      </c>
      <c r="I65" s="139" t="s">
        <v>1065</v>
      </c>
      <c r="J65" s="135" t="s">
        <v>390</v>
      </c>
      <c r="K65" s="135" t="s">
        <v>2021</v>
      </c>
      <c r="L65" s="135" t="s">
        <v>205</v>
      </c>
      <c r="M65" s="135" t="s">
        <v>17</v>
      </c>
      <c r="N65" s="25" t="s">
        <v>395</v>
      </c>
      <c r="P65" s="85">
        <v>64</v>
      </c>
      <c r="Q65" s="86" t="s">
        <v>355</v>
      </c>
      <c r="R65" s="86" t="s">
        <v>349</v>
      </c>
      <c r="S65" s="86" t="s">
        <v>17</v>
      </c>
      <c r="T65" s="85" t="str" cm="1">
        <f t="array" ref="T65">IFERROR( INDEX(【十五音】韻母對照表!$G$2:$G$85, MATCH(TRUE, EXACT( _xlfn.CONCAT(R65, LEFT(S65,1)), 【十五音】韻母對照表!$N$2:$N$85),0)), "")</f>
        <v>uinn</v>
      </c>
      <c r="U65" s="85" t="s">
        <v>2074</v>
      </c>
      <c r="V65" s="85" t="str">
        <f xml:space="preserve"> _xlfn.CONCAT(V64, "ㆷ")</f>
        <v>ㄨㆪㆷ</v>
      </c>
      <c r="W65" s="89"/>
      <c r="X65" s="95">
        <f t="shared" si="0"/>
        <v>4</v>
      </c>
      <c r="Y65" t="str">
        <f t="shared" si="1"/>
        <v xml:space="preserve">      - xform/uinn/nuih/</v>
      </c>
      <c r="Z65"/>
    </row>
    <row r="66" spans="1:26" ht="29.25">
      <c r="A66" s="129">
        <v>73</v>
      </c>
      <c r="B66" s="130" t="s">
        <v>397</v>
      </c>
      <c r="C66" s="130" t="s">
        <v>396</v>
      </c>
      <c r="D66" s="131" t="s">
        <v>2160</v>
      </c>
      <c r="E66" s="132" t="s">
        <v>399</v>
      </c>
      <c r="F66" s="129" t="s">
        <v>399</v>
      </c>
      <c r="G66" s="129" t="s">
        <v>399</v>
      </c>
      <c r="H66" s="129" t="s">
        <v>401</v>
      </c>
      <c r="I66" s="133" t="s">
        <v>1066</v>
      </c>
      <c r="J66" s="129" t="s">
        <v>398</v>
      </c>
      <c r="K66" s="129" t="s">
        <v>2022</v>
      </c>
      <c r="L66" s="129" t="s">
        <v>209</v>
      </c>
      <c r="M66" s="129" t="s">
        <v>17</v>
      </c>
      <c r="N66" s="134" t="s">
        <v>402</v>
      </c>
      <c r="P66" s="94">
        <v>65</v>
      </c>
      <c r="Q66" s="86" t="s">
        <v>187</v>
      </c>
      <c r="R66" s="86" t="s">
        <v>358</v>
      </c>
      <c r="S66" s="86" t="s">
        <v>17</v>
      </c>
      <c r="T66" s="85" t="str" cm="1">
        <f t="array" ref="T66">IFERROR( INDEX(【十五音】韻母對照表!$G$2:$G$85, MATCH(TRUE, EXACT( _xlfn.CONCAT(R66, LEFT(S66,1)), 【十五音】韻母對照表!$N$2:$N$85),0)), "")</f>
        <v>ior</v>
      </c>
      <c r="U66" s="85" t="s">
        <v>357</v>
      </c>
      <c r="V66" s="85" t="s">
        <v>359</v>
      </c>
      <c r="W66" s="87" t="s">
        <v>356</v>
      </c>
      <c r="X66" s="95">
        <f t="shared" si="0"/>
        <v>3</v>
      </c>
      <c r="Y66" t="str">
        <f t="shared" si="1"/>
        <v xml:space="preserve">      - xform/ior/io/</v>
      </c>
      <c r="Z66"/>
    </row>
    <row r="67" spans="1:26" ht="29.25">
      <c r="A67" s="135">
        <v>75</v>
      </c>
      <c r="B67" s="136" t="s">
        <v>405</v>
      </c>
      <c r="C67" s="136" t="s">
        <v>403</v>
      </c>
      <c r="D67" s="137" t="s">
        <v>2161</v>
      </c>
      <c r="E67" s="138" t="s">
        <v>407</v>
      </c>
      <c r="F67" s="135" t="s">
        <v>407</v>
      </c>
      <c r="G67" s="135" t="s">
        <v>407</v>
      </c>
      <c r="H67" s="135" t="s">
        <v>407</v>
      </c>
      <c r="I67" s="139" t="s">
        <v>407</v>
      </c>
      <c r="J67" s="135" t="s">
        <v>406</v>
      </c>
      <c r="K67" s="135" t="s">
        <v>1104</v>
      </c>
      <c r="L67" s="135" t="s">
        <v>215</v>
      </c>
      <c r="M67" s="135" t="s">
        <v>17</v>
      </c>
      <c r="N67" s="25" t="s">
        <v>408</v>
      </c>
      <c r="P67" s="85">
        <v>66</v>
      </c>
      <c r="Q67" s="86" t="s">
        <v>187</v>
      </c>
      <c r="R67" s="86" t="s">
        <v>358</v>
      </c>
      <c r="S67" s="86" t="s">
        <v>23</v>
      </c>
      <c r="T67" s="85" t="str" cm="1">
        <f t="array" ref="T67">IFERROR( INDEX(【十五音】韻母對照表!$G$2:$G$85, MATCH(TRUE, EXACT( _xlfn.CONCAT(R67, LEFT(S67,1)), 【十五音】韻母對照表!$N$2:$N$85),0)), "")</f>
        <v>iorh</v>
      </c>
      <c r="U67" s="85" t="s">
        <v>363</v>
      </c>
      <c r="V67" s="85" t="s">
        <v>1959</v>
      </c>
      <c r="W67" s="88" t="s">
        <v>362</v>
      </c>
      <c r="X67" s="95">
        <f t="shared" ref="X67:Z101" si="2">LEN(T67)</f>
        <v>4</v>
      </c>
      <c r="Y67" t="str">
        <f t="shared" ref="Y67:AA101" si="3" xml:space="preserve"> _xlfn.CONCAT("      - xform/",T67,"/",U67,"/")</f>
        <v xml:space="preserve">      - xform/iorh/ioh/</v>
      </c>
      <c r="Z67"/>
    </row>
    <row r="68" spans="1:26" ht="29.25">
      <c r="A68" s="129">
        <v>77</v>
      </c>
      <c r="B68" s="130" t="s">
        <v>410</v>
      </c>
      <c r="C68" s="130" t="s">
        <v>409</v>
      </c>
      <c r="D68" s="131" t="s">
        <v>981</v>
      </c>
      <c r="E68" s="132" t="s">
        <v>60</v>
      </c>
      <c r="F68" s="129" t="s">
        <v>60</v>
      </c>
      <c r="G68" s="129" t="s">
        <v>60</v>
      </c>
      <c r="H68" s="129" t="s">
        <v>60</v>
      </c>
      <c r="I68" s="133" t="s">
        <v>60</v>
      </c>
      <c r="J68" s="129" t="s">
        <v>155</v>
      </c>
      <c r="K68" s="129" t="s">
        <v>58</v>
      </c>
      <c r="L68" s="129" t="s">
        <v>221</v>
      </c>
      <c r="M68" s="129" t="s">
        <v>17</v>
      </c>
      <c r="N68" s="134" t="s">
        <v>411</v>
      </c>
      <c r="P68" s="94">
        <v>67</v>
      </c>
      <c r="Q68" s="86" t="s">
        <v>193</v>
      </c>
      <c r="R68" s="86" t="s">
        <v>368</v>
      </c>
      <c r="S68" s="86" t="s">
        <v>17</v>
      </c>
      <c r="T68" s="85" t="str" cm="1">
        <f t="array" ref="T68">IFERROR( INDEX(【十五音】韻母對照表!$G$2:$G$85, MATCH(TRUE, EXACT( _xlfn.CONCAT(R68, LEFT(S68,1)), 【十五音】韻母對照表!$N$2:$N$85),0)), "")</f>
        <v>inn</v>
      </c>
      <c r="U68" s="85" t="s">
        <v>372</v>
      </c>
      <c r="V68" s="85" t="s">
        <v>369</v>
      </c>
      <c r="W68" s="87" t="s">
        <v>366</v>
      </c>
      <c r="X68" s="95">
        <f t="shared" si="2"/>
        <v>3</v>
      </c>
      <c r="Y68" t="str">
        <f t="shared" si="3"/>
        <v xml:space="preserve">      - xform/inn/ni/</v>
      </c>
      <c r="Z68"/>
    </row>
    <row r="69" spans="1:26" ht="29.25">
      <c r="A69" s="135">
        <v>78</v>
      </c>
      <c r="B69" s="136" t="s">
        <v>410</v>
      </c>
      <c r="C69" s="136" t="s">
        <v>412</v>
      </c>
      <c r="D69" s="137" t="s">
        <v>2162</v>
      </c>
      <c r="E69" s="138" t="s">
        <v>65</v>
      </c>
      <c r="F69" s="135" t="s">
        <v>65</v>
      </c>
      <c r="G69" s="135" t="s">
        <v>65</v>
      </c>
      <c r="H69" s="135" t="s">
        <v>65</v>
      </c>
      <c r="I69" s="139" t="s">
        <v>65</v>
      </c>
      <c r="J69" s="135" t="s">
        <v>730</v>
      </c>
      <c r="K69" s="135" t="s">
        <v>1985</v>
      </c>
      <c r="L69" s="135" t="s">
        <v>221</v>
      </c>
      <c r="M69" s="135" t="s">
        <v>23</v>
      </c>
      <c r="N69" s="25" t="s">
        <v>413</v>
      </c>
      <c r="P69" s="85">
        <v>68</v>
      </c>
      <c r="Q69" s="86" t="s">
        <v>193</v>
      </c>
      <c r="R69" s="86" t="s">
        <v>368</v>
      </c>
      <c r="S69" s="86" t="s">
        <v>17</v>
      </c>
      <c r="T69" s="85" t="str" cm="1">
        <f t="array" ref="T69">IFERROR( INDEX(【十五音】韻母對照表!$G$2:$G$85, MATCH(TRUE, EXACT( _xlfn.CONCAT(R69, LEFT(S69,1)), 【十五音】韻母對照表!$N$2:$N$85),0)), "")</f>
        <v>inn</v>
      </c>
      <c r="U69" s="85" t="s">
        <v>377</v>
      </c>
      <c r="V69" s="85" t="s">
        <v>2069</v>
      </c>
      <c r="W69" s="88" t="s">
        <v>374</v>
      </c>
      <c r="X69" s="95">
        <f t="shared" si="2"/>
        <v>3</v>
      </c>
      <c r="Y69" t="str">
        <f t="shared" si="3"/>
        <v xml:space="preserve">      - xform/inn/nih/</v>
      </c>
      <c r="Z69"/>
    </row>
    <row r="70" spans="1:26" ht="29.25">
      <c r="A70" s="129">
        <v>79</v>
      </c>
      <c r="B70" s="152" t="s">
        <v>415</v>
      </c>
      <c r="C70" s="152" t="s">
        <v>414</v>
      </c>
      <c r="D70" s="131" t="s">
        <v>2163</v>
      </c>
      <c r="E70" s="132" t="s">
        <v>417</v>
      </c>
      <c r="F70" s="129" t="s">
        <v>417</v>
      </c>
      <c r="G70" s="129" t="s">
        <v>417</v>
      </c>
      <c r="H70" s="129" t="s">
        <v>419</v>
      </c>
      <c r="I70" s="133" t="s">
        <v>1067</v>
      </c>
      <c r="J70" s="129" t="s">
        <v>416</v>
      </c>
      <c r="K70" s="129" t="s">
        <v>2023</v>
      </c>
      <c r="L70" s="129" t="s">
        <v>228</v>
      </c>
      <c r="M70" s="129" t="s">
        <v>17</v>
      </c>
      <c r="N70" s="134" t="s">
        <v>420</v>
      </c>
      <c r="P70" s="94">
        <v>69</v>
      </c>
      <c r="Q70" s="86" t="s">
        <v>199</v>
      </c>
      <c r="R70" s="86" t="s">
        <v>381</v>
      </c>
      <c r="S70" s="86" t="s">
        <v>17</v>
      </c>
      <c r="T70" s="85" t="str" cm="1">
        <f t="array" ref="T70">IFERROR( INDEX(【十五音】韻母對照表!$G$2:$G$85, MATCH(TRUE, EXACT( _xlfn.CONCAT(R70, LEFT(S70,1)), 【十五音】韻母對照表!$N$2:$N$85),0)), "")</f>
        <v>ioonn</v>
      </c>
      <c r="U70" s="85" t="s">
        <v>2075</v>
      </c>
      <c r="V70" s="85" t="s">
        <v>382</v>
      </c>
      <c r="W70" s="93" t="s">
        <v>379</v>
      </c>
      <c r="X70" s="95">
        <f t="shared" si="2"/>
        <v>5</v>
      </c>
      <c r="Y70" t="str">
        <f t="shared" si="3"/>
        <v xml:space="preserve">      - xform/ioonn/nio/</v>
      </c>
      <c r="Z70"/>
    </row>
    <row r="71" spans="1:26" ht="29.25">
      <c r="A71" s="135">
        <v>81</v>
      </c>
      <c r="B71" s="154" t="s">
        <v>422</v>
      </c>
      <c r="C71" s="147" t="s">
        <v>421</v>
      </c>
      <c r="D71" s="137" t="s">
        <v>710</v>
      </c>
      <c r="E71" s="138" t="s">
        <v>425</v>
      </c>
      <c r="F71" s="135" t="s">
        <v>425</v>
      </c>
      <c r="G71" s="135" t="s">
        <v>424</v>
      </c>
      <c r="H71" s="135" t="s">
        <v>426</v>
      </c>
      <c r="I71" s="139" t="s">
        <v>1068</v>
      </c>
      <c r="J71" s="135" t="s">
        <v>731</v>
      </c>
      <c r="K71" s="135" t="s">
        <v>2024</v>
      </c>
      <c r="L71" s="135" t="s">
        <v>233</v>
      </c>
      <c r="M71" s="135" t="s">
        <v>17</v>
      </c>
      <c r="N71" s="25" t="s">
        <v>427</v>
      </c>
      <c r="P71" s="85">
        <v>70</v>
      </c>
      <c r="Q71" s="86" t="s">
        <v>199</v>
      </c>
      <c r="R71" s="86" t="s">
        <v>381</v>
      </c>
      <c r="S71" s="86" t="s">
        <v>17</v>
      </c>
      <c r="T71" s="85" t="str" cm="1">
        <f t="array" ref="T71">IFERROR( INDEX(【十五音】韻母對照表!$G$2:$G$85, MATCH(TRUE, EXACT( _xlfn.CONCAT(R71, LEFT(S71,1)), 【十五音】韻母對照表!$N$2:$N$85),0)), "")</f>
        <v>ioonn</v>
      </c>
      <c r="U71" s="85" t="s">
        <v>2076</v>
      </c>
      <c r="V71" s="85" t="str">
        <f xml:space="preserve"> _xlfn.CONCAT(V70, "ㆷ")</f>
        <v>ㄧㆧㆷ</v>
      </c>
      <c r="W71" s="93"/>
      <c r="X71" s="95">
        <f t="shared" si="2"/>
        <v>5</v>
      </c>
      <c r="Y71" t="str">
        <f t="shared" si="3"/>
        <v xml:space="preserve">      - xform/ioonn/nioh/</v>
      </c>
      <c r="Z71"/>
    </row>
    <row r="72" spans="1:26" ht="29.25">
      <c r="A72" s="129">
        <v>83</v>
      </c>
      <c r="B72" s="130" t="s">
        <v>428</v>
      </c>
      <c r="C72" s="130" t="s">
        <v>428</v>
      </c>
      <c r="D72" s="131" t="s">
        <v>2164</v>
      </c>
      <c r="E72" s="132" t="s">
        <v>431</v>
      </c>
      <c r="F72" s="129" t="s">
        <v>431</v>
      </c>
      <c r="G72" s="129" t="s">
        <v>431</v>
      </c>
      <c r="H72" s="129" t="s">
        <v>431</v>
      </c>
      <c r="I72" s="133" t="s">
        <v>431</v>
      </c>
      <c r="J72" s="129" t="s">
        <v>430</v>
      </c>
      <c r="K72" s="129" t="s">
        <v>583</v>
      </c>
      <c r="L72" s="129" t="s">
        <v>239</v>
      </c>
      <c r="M72" s="129" t="s">
        <v>17</v>
      </c>
      <c r="N72" s="134" t="s">
        <v>432</v>
      </c>
      <c r="P72" s="94">
        <v>71</v>
      </c>
      <c r="Q72" s="86" t="s">
        <v>205</v>
      </c>
      <c r="R72" s="86" t="s">
        <v>389</v>
      </c>
      <c r="S72" s="86" t="s">
        <v>17</v>
      </c>
      <c r="T72" s="85" t="str" cm="1">
        <f t="array" ref="T72">IFERROR( INDEX(【十五音】韻母對照表!$G$2:$G$85, MATCH(TRUE, EXACT( _xlfn.CONCAT(R72, LEFT(S72,1)), 【十五音】韻母對照表!$N$2:$N$85),0)), "")</f>
        <v>iann</v>
      </c>
      <c r="U72" s="85" t="s">
        <v>394</v>
      </c>
      <c r="V72" s="85" t="s">
        <v>390</v>
      </c>
      <c r="W72" s="87" t="s">
        <v>388</v>
      </c>
      <c r="X72" s="95">
        <f t="shared" si="2"/>
        <v>4</v>
      </c>
      <c r="Y72" t="str">
        <f t="shared" si="3"/>
        <v xml:space="preserve">      - xform/iann/nia/</v>
      </c>
      <c r="Z72"/>
    </row>
    <row r="73" spans="1:26" ht="29.25">
      <c r="A73" s="135">
        <v>85</v>
      </c>
      <c r="B73" s="145" t="s">
        <v>435</v>
      </c>
      <c r="C73" s="147" t="s">
        <v>433</v>
      </c>
      <c r="D73" s="137" t="s">
        <v>2165</v>
      </c>
      <c r="E73" s="138" t="s">
        <v>436</v>
      </c>
      <c r="F73" s="135" t="s">
        <v>436</v>
      </c>
      <c r="G73" s="135" t="s">
        <v>436</v>
      </c>
      <c r="H73" s="135" t="s">
        <v>436</v>
      </c>
      <c r="I73" s="139" t="s">
        <v>437</v>
      </c>
      <c r="J73" s="135" t="s">
        <v>732</v>
      </c>
      <c r="K73" s="135" t="s">
        <v>1965</v>
      </c>
      <c r="L73" s="135" t="s">
        <v>245</v>
      </c>
      <c r="M73" s="135" t="s">
        <v>17</v>
      </c>
      <c r="N73" s="25" t="s">
        <v>438</v>
      </c>
      <c r="P73" s="85">
        <v>72</v>
      </c>
      <c r="Q73" s="86" t="s">
        <v>205</v>
      </c>
      <c r="R73" s="86" t="s">
        <v>389</v>
      </c>
      <c r="S73" s="86" t="s">
        <v>17</v>
      </c>
      <c r="T73" s="85" t="str" cm="1">
        <f t="array" ref="T73">IFERROR( INDEX(【十五音】韻母對照表!$G$2:$G$85, MATCH(TRUE, EXACT( _xlfn.CONCAT(R73, LEFT(S73,1)), 【十五音】韻母對照表!$N$2:$N$85),0)), "")</f>
        <v>iann</v>
      </c>
      <c r="U73" s="85" t="s">
        <v>2077</v>
      </c>
      <c r="V73" s="85" t="str">
        <f xml:space="preserve"> _xlfn.CONCAT(V72, "ㆷ")</f>
        <v>ㄧㆩㆷ</v>
      </c>
      <c r="W73" s="87"/>
      <c r="X73" s="95">
        <f t="shared" si="2"/>
        <v>4</v>
      </c>
      <c r="Y73" t="str">
        <f t="shared" si="3"/>
        <v xml:space="preserve">      - xform/iann/niah/</v>
      </c>
      <c r="Z73"/>
    </row>
    <row r="74" spans="1:26" ht="29.25">
      <c r="A74" s="129">
        <v>86</v>
      </c>
      <c r="B74" s="146" t="s">
        <v>435</v>
      </c>
      <c r="C74" s="152" t="s">
        <v>439</v>
      </c>
      <c r="D74" s="131" t="s">
        <v>2166</v>
      </c>
      <c r="E74" s="132" t="s">
        <v>442</v>
      </c>
      <c r="F74" s="129" t="s">
        <v>442</v>
      </c>
      <c r="G74" s="129" t="s">
        <v>442</v>
      </c>
      <c r="H74" s="129" t="s">
        <v>442</v>
      </c>
      <c r="I74" s="133" t="s">
        <v>443</v>
      </c>
      <c r="J74" s="129" t="s">
        <v>441</v>
      </c>
      <c r="K74" s="129" t="s">
        <v>2025</v>
      </c>
      <c r="L74" s="129" t="s">
        <v>245</v>
      </c>
      <c r="M74" s="129" t="s">
        <v>23</v>
      </c>
      <c r="N74" s="134" t="s">
        <v>444</v>
      </c>
      <c r="P74" s="94">
        <v>73</v>
      </c>
      <c r="Q74" s="86" t="s">
        <v>209</v>
      </c>
      <c r="R74" s="86" t="s">
        <v>397</v>
      </c>
      <c r="S74" s="86" t="s">
        <v>17</v>
      </c>
      <c r="T74" s="85" t="str" cm="1">
        <f t="array" ref="T74">IFERROR( INDEX(【十五音】韻母對照表!$G$2:$G$85, MATCH(TRUE, EXACT( _xlfn.CONCAT(R74, LEFT(S74,1)), 【十五音】韻母對照表!$N$2:$N$85),0)), "")</f>
        <v>uann</v>
      </c>
      <c r="U74" s="85" t="s">
        <v>401</v>
      </c>
      <c r="V74" s="85" t="s">
        <v>398</v>
      </c>
      <c r="W74" s="87" t="s">
        <v>396</v>
      </c>
      <c r="X74" s="95">
        <f t="shared" si="2"/>
        <v>4</v>
      </c>
      <c r="Y74" t="str">
        <f t="shared" si="3"/>
        <v xml:space="preserve">      - xform/uann/nua/</v>
      </c>
      <c r="Z74"/>
    </row>
    <row r="75" spans="1:26" ht="29.25">
      <c r="A75" s="135">
        <v>87</v>
      </c>
      <c r="B75" s="155" t="s">
        <v>446</v>
      </c>
      <c r="C75" s="136" t="s">
        <v>445</v>
      </c>
      <c r="D75" s="137" t="s">
        <v>2167</v>
      </c>
      <c r="E75" s="138" t="s">
        <v>448</v>
      </c>
      <c r="F75" s="135" t="s">
        <v>448</v>
      </c>
      <c r="G75" s="135" t="s">
        <v>448</v>
      </c>
      <c r="H75" s="135" t="s">
        <v>450</v>
      </c>
      <c r="I75" s="139" t="s">
        <v>1069</v>
      </c>
      <c r="J75" s="135" t="s">
        <v>447</v>
      </c>
      <c r="K75" s="135" t="s">
        <v>2026</v>
      </c>
      <c r="L75" s="135" t="s">
        <v>252</v>
      </c>
      <c r="M75" s="135" t="s">
        <v>17</v>
      </c>
      <c r="N75" s="25" t="s">
        <v>451</v>
      </c>
      <c r="P75" s="85">
        <v>74</v>
      </c>
      <c r="Q75" s="86" t="s">
        <v>209</v>
      </c>
      <c r="R75" s="86" t="s">
        <v>397</v>
      </c>
      <c r="S75" s="86" t="s">
        <v>17</v>
      </c>
      <c r="T75" s="85" t="str" cm="1">
        <f t="array" ref="T75">IFERROR( INDEX(【十五音】韻母對照表!$G$2:$G$85, MATCH(TRUE, EXACT( _xlfn.CONCAT(R75, LEFT(S75,1)), 【十五音】韻母對照表!$N$2:$N$85),0)), "")</f>
        <v>uann</v>
      </c>
      <c r="U75" s="85" t="s">
        <v>2078</v>
      </c>
      <c r="V75" s="85" t="str">
        <f xml:space="preserve"> _xlfn.CONCAT(V74, "ㆷ")</f>
        <v>ㄨㆩㆷ</v>
      </c>
      <c r="W75" s="87"/>
      <c r="X75" s="95">
        <f t="shared" si="2"/>
        <v>4</v>
      </c>
      <c r="Y75" t="str">
        <f t="shared" si="3"/>
        <v xml:space="preserve">      - xform/uann/nuah/</v>
      </c>
      <c r="Z75"/>
    </row>
    <row r="76" spans="1:26" ht="29.25">
      <c r="A76" s="129">
        <v>88</v>
      </c>
      <c r="B76" s="153" t="s">
        <v>446</v>
      </c>
      <c r="C76" s="156" t="s">
        <v>452</v>
      </c>
      <c r="D76" s="131" t="s">
        <v>2168</v>
      </c>
      <c r="E76" s="132" t="s">
        <v>454</v>
      </c>
      <c r="F76" s="129" t="s">
        <v>453</v>
      </c>
      <c r="G76" s="129" t="s">
        <v>454</v>
      </c>
      <c r="H76" s="129" t="s">
        <v>455</v>
      </c>
      <c r="I76" s="133" t="s">
        <v>1070</v>
      </c>
      <c r="J76" s="129" t="s">
        <v>733</v>
      </c>
      <c r="K76" s="129" t="s">
        <v>2027</v>
      </c>
      <c r="L76" s="129" t="s">
        <v>252</v>
      </c>
      <c r="M76" s="129" t="s">
        <v>23</v>
      </c>
      <c r="N76" s="134" t="s">
        <v>456</v>
      </c>
      <c r="P76" s="94">
        <v>75</v>
      </c>
      <c r="Q76" s="86" t="s">
        <v>215</v>
      </c>
      <c r="R76" s="86" t="s">
        <v>405</v>
      </c>
      <c r="S76" s="86" t="s">
        <v>17</v>
      </c>
      <c r="T76" s="85" t="str" cm="1">
        <f t="array" ref="T76">IFERROR( INDEX(【十五音】韻母對照表!$G$2:$G$85, MATCH(TRUE, EXACT( _xlfn.CONCAT(R76, LEFT(S76,1)), 【十五音】韻母對照表!$N$2:$N$85),0)), "")</f>
        <v>ng</v>
      </c>
      <c r="U76" s="85" t="s">
        <v>407</v>
      </c>
      <c r="V76" s="85" t="s">
        <v>406</v>
      </c>
      <c r="W76" s="87" t="s">
        <v>403</v>
      </c>
      <c r="X76" s="95">
        <f t="shared" si="2"/>
        <v>2</v>
      </c>
      <c r="Y76" t="str">
        <f t="shared" si="3"/>
        <v xml:space="preserve">      - xform/ng/ng/</v>
      </c>
      <c r="Z76"/>
    </row>
    <row r="77" spans="1:26" ht="39">
      <c r="A77" s="135">
        <v>89</v>
      </c>
      <c r="B77" s="157" t="s">
        <v>457</v>
      </c>
      <c r="C77" s="136" t="s">
        <v>509</v>
      </c>
      <c r="D77" s="137" t="s">
        <v>2169</v>
      </c>
      <c r="E77" s="138" t="s">
        <v>459</v>
      </c>
      <c r="F77" s="135" t="s">
        <v>459</v>
      </c>
      <c r="G77" s="135" t="s">
        <v>459</v>
      </c>
      <c r="H77" s="135" t="s">
        <v>460</v>
      </c>
      <c r="I77" s="139" t="s">
        <v>1071</v>
      </c>
      <c r="J77" s="135" t="s">
        <v>458</v>
      </c>
      <c r="K77" s="135" t="s">
        <v>2028</v>
      </c>
      <c r="L77" s="135" t="s">
        <v>258</v>
      </c>
      <c r="M77" s="135" t="s">
        <v>17</v>
      </c>
      <c r="N77" s="25" t="s">
        <v>461</v>
      </c>
      <c r="P77" s="85">
        <v>76</v>
      </c>
      <c r="Q77" s="86" t="s">
        <v>215</v>
      </c>
      <c r="R77" s="86" t="s">
        <v>405</v>
      </c>
      <c r="S77" s="86" t="s">
        <v>17</v>
      </c>
      <c r="T77" s="85" t="str" cm="1">
        <f t="array" ref="T77">IFERROR( INDEX(【十五音】韻母對照表!$G$2:$G$85, MATCH(TRUE, EXACT( _xlfn.CONCAT(R77, LEFT(S77,1)), 【十五音】韻母對照表!$N$2:$N$85),0)), "")</f>
        <v>ng</v>
      </c>
      <c r="U77" s="85" t="s">
        <v>1945</v>
      </c>
      <c r="V77" s="85" t="str">
        <f xml:space="preserve"> _xlfn.CONCAT(V76, "ㆷ")</f>
        <v>ㆭㆷ</v>
      </c>
      <c r="W77" s="87"/>
      <c r="X77" s="95">
        <f t="shared" si="2"/>
        <v>2</v>
      </c>
      <c r="Y77" t="str">
        <f t="shared" si="3"/>
        <v xml:space="preserve">      - xform/ng/ngh/</v>
      </c>
      <c r="Z77"/>
    </row>
    <row r="78" spans="1:26" ht="29.25">
      <c r="A78" s="129">
        <v>91</v>
      </c>
      <c r="B78" s="158" t="s">
        <v>463</v>
      </c>
      <c r="C78" s="146" t="s">
        <v>462</v>
      </c>
      <c r="D78" s="131" t="s">
        <v>2170</v>
      </c>
      <c r="E78" s="132" t="s">
        <v>465</v>
      </c>
      <c r="F78" s="129" t="s">
        <v>465</v>
      </c>
      <c r="G78" s="129" t="s">
        <v>465</v>
      </c>
      <c r="H78" s="129" t="s">
        <v>467</v>
      </c>
      <c r="I78" s="133" t="s">
        <v>1072</v>
      </c>
      <c r="J78" s="129" t="s">
        <v>464</v>
      </c>
      <c r="K78" s="129" t="s">
        <v>2029</v>
      </c>
      <c r="L78" s="129" t="s">
        <v>265</v>
      </c>
      <c r="M78" s="129" t="s">
        <v>17</v>
      </c>
      <c r="N78" s="134" t="s">
        <v>468</v>
      </c>
      <c r="P78" s="94">
        <v>77</v>
      </c>
      <c r="Q78" s="86" t="s">
        <v>221</v>
      </c>
      <c r="R78" s="86" t="s">
        <v>410</v>
      </c>
      <c r="S78" s="86" t="s">
        <v>17</v>
      </c>
      <c r="T78" s="85" t="str" cm="1">
        <f t="array" ref="T78">IFERROR( INDEX(【十五音】韻母對照表!$G$2:$G$85, MATCH(TRUE, EXACT( _xlfn.CONCAT(R78, LEFT(S78,1)), 【十五音】韻母對照表!$N$2:$N$85),0)), "")</f>
        <v>e</v>
      </c>
      <c r="U78" s="85" t="s">
        <v>60</v>
      </c>
      <c r="V78" s="85" t="s">
        <v>155</v>
      </c>
      <c r="W78" s="87" t="s">
        <v>409</v>
      </c>
      <c r="X78" s="95">
        <f t="shared" si="2"/>
        <v>1</v>
      </c>
      <c r="Y78" t="str">
        <f t="shared" si="3"/>
        <v xml:space="preserve">      - xform/e/e/</v>
      </c>
      <c r="Z78"/>
    </row>
    <row r="79" spans="1:26" ht="39">
      <c r="A79" s="135">
        <v>92</v>
      </c>
      <c r="B79" s="136" t="s">
        <v>463</v>
      </c>
      <c r="C79" s="136" t="s">
        <v>509</v>
      </c>
      <c r="D79" s="137" t="s">
        <v>2171</v>
      </c>
      <c r="E79" s="138" t="s">
        <v>470</v>
      </c>
      <c r="F79" s="135" t="s">
        <v>469</v>
      </c>
      <c r="G79" s="135" t="s">
        <v>470</v>
      </c>
      <c r="H79" s="135" t="s">
        <v>471</v>
      </c>
      <c r="I79" s="139" t="s">
        <v>1073</v>
      </c>
      <c r="J79" s="135" t="s">
        <v>734</v>
      </c>
      <c r="K79" s="135" t="s">
        <v>2030</v>
      </c>
      <c r="L79" s="135" t="s">
        <v>265</v>
      </c>
      <c r="M79" s="135" t="s">
        <v>23</v>
      </c>
      <c r="N79" s="25" t="s">
        <v>472</v>
      </c>
      <c r="P79" s="85">
        <v>78</v>
      </c>
      <c r="Q79" s="86" t="s">
        <v>221</v>
      </c>
      <c r="R79" s="86" t="s">
        <v>410</v>
      </c>
      <c r="S79" s="86" t="s">
        <v>17</v>
      </c>
      <c r="T79" s="85" t="str" cm="1">
        <f t="array" ref="T79">IFERROR( INDEX(【十五音】韻母對照表!$G$2:$G$85, MATCH(TRUE, EXACT( _xlfn.CONCAT(R79, LEFT(S79,1)), 【十五音】韻母對照表!$N$2:$N$85),0)), "")</f>
        <v>e</v>
      </c>
      <c r="U79" s="85" t="s">
        <v>65</v>
      </c>
      <c r="V79" s="85" t="s">
        <v>1952</v>
      </c>
      <c r="W79" s="87" t="s">
        <v>412</v>
      </c>
      <c r="X79" s="95">
        <f t="shared" si="2"/>
        <v>1</v>
      </c>
      <c r="Y79" t="str">
        <f t="shared" si="3"/>
        <v xml:space="preserve">      - xform/e/eh/</v>
      </c>
      <c r="Z79"/>
    </row>
    <row r="80" spans="1:26" ht="29.25">
      <c r="A80" s="129">
        <v>93</v>
      </c>
      <c r="B80" s="159" t="s">
        <v>475</v>
      </c>
      <c r="C80" s="146" t="s">
        <v>473</v>
      </c>
      <c r="D80" s="131" t="s">
        <v>2172</v>
      </c>
      <c r="E80" s="132" t="s">
        <v>1923</v>
      </c>
      <c r="F80" s="129" t="s">
        <v>477</v>
      </c>
      <c r="G80" s="129" t="s">
        <v>478</v>
      </c>
      <c r="H80" s="129" t="s">
        <v>1923</v>
      </c>
      <c r="I80" s="133" t="s">
        <v>477</v>
      </c>
      <c r="J80" s="129" t="s">
        <v>476</v>
      </c>
      <c r="K80" s="129" t="s">
        <v>2031</v>
      </c>
      <c r="L80" s="129" t="s">
        <v>270</v>
      </c>
      <c r="M80" s="129" t="s">
        <v>17</v>
      </c>
      <c r="N80" s="134" t="s">
        <v>479</v>
      </c>
      <c r="P80" s="94">
        <v>79</v>
      </c>
      <c r="Q80" s="86" t="s">
        <v>228</v>
      </c>
      <c r="R80" s="86" t="s">
        <v>415</v>
      </c>
      <c r="S80" s="86" t="s">
        <v>17</v>
      </c>
      <c r="T80" s="85" t="str" cm="1">
        <f t="array" ref="T80">IFERROR( INDEX(【十五音】韻母對照表!$G$2:$G$85, MATCH(TRUE, EXACT( _xlfn.CONCAT(R80, LEFT(S80,1)), 【十五音】韻母對照表!$N$2:$N$85),0)), "")</f>
        <v>ainn</v>
      </c>
      <c r="U80" s="85" t="s">
        <v>419</v>
      </c>
      <c r="V80" s="85" t="s">
        <v>416</v>
      </c>
      <c r="W80" s="90" t="s">
        <v>414</v>
      </c>
      <c r="X80" s="95">
        <f t="shared" si="2"/>
        <v>4</v>
      </c>
      <c r="Y80" t="str">
        <f t="shared" si="3"/>
        <v xml:space="preserve">      - xform/ainn/nai/</v>
      </c>
      <c r="Z80"/>
    </row>
    <row r="81" spans="1:27" ht="29.25">
      <c r="A81" s="135">
        <v>94</v>
      </c>
      <c r="B81" s="160" t="s">
        <v>475</v>
      </c>
      <c r="C81" s="136" t="s">
        <v>480</v>
      </c>
      <c r="D81" s="137" t="s">
        <v>698</v>
      </c>
      <c r="E81" s="138" t="s">
        <v>483</v>
      </c>
      <c r="F81" s="135" t="s">
        <v>483</v>
      </c>
      <c r="G81" s="135" t="s">
        <v>484</v>
      </c>
      <c r="H81" s="135" t="s">
        <v>483</v>
      </c>
      <c r="I81" s="139" t="s">
        <v>483</v>
      </c>
      <c r="J81" s="135" t="s">
        <v>482</v>
      </c>
      <c r="K81" s="135" t="s">
        <v>2032</v>
      </c>
      <c r="L81" s="135" t="s">
        <v>270</v>
      </c>
      <c r="M81" s="135" t="s">
        <v>23</v>
      </c>
      <c r="N81" s="25" t="s">
        <v>485</v>
      </c>
      <c r="P81" s="85">
        <v>80</v>
      </c>
      <c r="Q81" s="86" t="s">
        <v>228</v>
      </c>
      <c r="R81" s="86" t="s">
        <v>415</v>
      </c>
      <c r="S81" s="86" t="s">
        <v>17</v>
      </c>
      <c r="T81" s="85" t="str" cm="1">
        <f t="array" ref="T81">IFERROR( INDEX(【十五音】韻母對照表!$G$2:$G$85, MATCH(TRUE, EXACT( _xlfn.CONCAT(R81, LEFT(S81,1)), 【十五音】韻母對照表!$N$2:$N$85),0)), "")</f>
        <v>ainn</v>
      </c>
      <c r="U81" s="85" t="s">
        <v>2079</v>
      </c>
      <c r="V81" s="85" t="str">
        <f xml:space="preserve"> _xlfn.CONCAT(V80, "ㆷ")</f>
        <v>ㆮㆷ</v>
      </c>
      <c r="W81" s="90"/>
      <c r="X81" s="95">
        <f t="shared" si="2"/>
        <v>4</v>
      </c>
      <c r="Y81" t="str">
        <f t="shared" si="3"/>
        <v xml:space="preserve">      - xform/ainn/naih/</v>
      </c>
      <c r="Z81"/>
    </row>
    <row r="82" spans="1:27" ht="29.25">
      <c r="A82" s="129">
        <v>95</v>
      </c>
      <c r="B82" s="159" t="s">
        <v>487</v>
      </c>
      <c r="C82" s="156" t="s">
        <v>486</v>
      </c>
      <c r="D82" s="131" t="s">
        <v>2173</v>
      </c>
      <c r="E82" s="132" t="s">
        <v>489</v>
      </c>
      <c r="F82" s="129" t="s">
        <v>489</v>
      </c>
      <c r="G82" s="129" t="s">
        <v>489</v>
      </c>
      <c r="H82" s="129" t="s">
        <v>490</v>
      </c>
      <c r="I82" s="133" t="s">
        <v>1074</v>
      </c>
      <c r="J82" s="129" t="s">
        <v>488</v>
      </c>
      <c r="K82" s="129" t="s">
        <v>2033</v>
      </c>
      <c r="L82" s="129" t="s">
        <v>276</v>
      </c>
      <c r="M82" s="129" t="s">
        <v>17</v>
      </c>
      <c r="N82" s="134" t="s">
        <v>491</v>
      </c>
      <c r="P82" s="94">
        <v>81</v>
      </c>
      <c r="Q82" s="86" t="s">
        <v>233</v>
      </c>
      <c r="R82" s="86" t="s">
        <v>422</v>
      </c>
      <c r="S82" s="86" t="s">
        <v>17</v>
      </c>
      <c r="T82" s="85" t="str" cm="1">
        <f t="array" ref="T82">IFERROR( INDEX(【十五音】韻母對照表!$G$2:$G$85, MATCH(TRUE, EXACT( _xlfn.CONCAT(R82, LEFT(S82,1)), 【十五音】韻母對照表!$N$2:$N$85),0)), "")</f>
        <v>oonn</v>
      </c>
      <c r="U82" s="85" t="s">
        <v>426</v>
      </c>
      <c r="V82" s="85" t="s">
        <v>423</v>
      </c>
      <c r="W82" s="90" t="s">
        <v>421</v>
      </c>
      <c r="X82" s="95">
        <f t="shared" si="2"/>
        <v>4</v>
      </c>
      <c r="Y82" t="str">
        <f t="shared" si="3"/>
        <v xml:space="preserve">      - xform/oonn/noo/</v>
      </c>
      <c r="Z82"/>
    </row>
    <row r="83" spans="1:27" ht="29.25">
      <c r="A83" s="135">
        <v>97</v>
      </c>
      <c r="B83" s="157" t="s">
        <v>493</v>
      </c>
      <c r="C83" s="136" t="s">
        <v>492</v>
      </c>
      <c r="D83" s="137" t="s">
        <v>710</v>
      </c>
      <c r="E83" s="138" t="s">
        <v>425</v>
      </c>
      <c r="F83" s="135" t="s">
        <v>425</v>
      </c>
      <c r="G83" s="135" t="s">
        <v>495</v>
      </c>
      <c r="H83" s="135" t="s">
        <v>426</v>
      </c>
      <c r="I83" s="139" t="s">
        <v>494</v>
      </c>
      <c r="J83" s="135" t="s">
        <v>423</v>
      </c>
      <c r="K83" s="135" t="s">
        <v>2024</v>
      </c>
      <c r="L83" s="135" t="s">
        <v>280</v>
      </c>
      <c r="M83" s="135" t="s">
        <v>17</v>
      </c>
      <c r="N83" s="25" t="s">
        <v>496</v>
      </c>
      <c r="P83" s="85">
        <v>82</v>
      </c>
      <c r="Q83" s="86" t="s">
        <v>233</v>
      </c>
      <c r="R83" s="86" t="s">
        <v>422</v>
      </c>
      <c r="S83" s="86" t="s">
        <v>17</v>
      </c>
      <c r="T83" s="85" t="str" cm="1">
        <f t="array" ref="T83">IFERROR( INDEX(【十五音】韻母對照表!$G$2:$G$85, MATCH(TRUE, EXACT( _xlfn.CONCAT(R83, LEFT(S83,1)), 【十五音】韻母對照表!$N$2:$N$85),0)), "")</f>
        <v>oonn</v>
      </c>
      <c r="U83" s="85"/>
      <c r="V83" s="85"/>
      <c r="W83" s="90"/>
      <c r="X83" s="95">
        <f t="shared" si="2"/>
        <v>4</v>
      </c>
      <c r="Y83" t="str">
        <f t="shared" si="3"/>
        <v xml:space="preserve">      - xform/oonn//</v>
      </c>
      <c r="Z83"/>
    </row>
    <row r="84" spans="1:27" ht="39">
      <c r="A84" s="129">
        <v>98</v>
      </c>
      <c r="B84" s="161" t="s">
        <v>493</v>
      </c>
      <c r="C84" s="130" t="s">
        <v>509</v>
      </c>
      <c r="D84" s="131" t="s">
        <v>709</v>
      </c>
      <c r="E84" s="132" t="s">
        <v>498</v>
      </c>
      <c r="F84" s="129" t="s">
        <v>497</v>
      </c>
      <c r="G84" s="129" t="s">
        <v>1050</v>
      </c>
      <c r="H84" s="129" t="s">
        <v>499</v>
      </c>
      <c r="I84" s="133" t="s">
        <v>1075</v>
      </c>
      <c r="J84" s="129" t="s">
        <v>735</v>
      </c>
      <c r="K84" s="129" t="s">
        <v>2034</v>
      </c>
      <c r="L84" s="129" t="s">
        <v>280</v>
      </c>
      <c r="M84" s="129" t="s">
        <v>23</v>
      </c>
      <c r="N84" s="134" t="s">
        <v>500</v>
      </c>
      <c r="P84" s="94">
        <v>83</v>
      </c>
      <c r="Q84" s="86" t="s">
        <v>239</v>
      </c>
      <c r="R84" s="86" t="s">
        <v>428</v>
      </c>
      <c r="S84" s="86" t="s">
        <v>17</v>
      </c>
      <c r="T84" s="85" t="str" cm="1">
        <f t="array" ref="T84">IFERROR( INDEX(【十五音】韻母對照表!$G$2:$G$85, MATCH(TRUE, EXACT( _xlfn.CONCAT(R84, LEFT(S84,1)), 【十五音】韻母對照表!$N$2:$N$85),0)), "")</f>
        <v>m</v>
      </c>
      <c r="U84" s="85" t="s">
        <v>431</v>
      </c>
      <c r="V84" s="85" t="s">
        <v>430</v>
      </c>
      <c r="W84" s="87" t="s">
        <v>428</v>
      </c>
      <c r="X84" s="95">
        <f t="shared" si="2"/>
        <v>1</v>
      </c>
      <c r="Y84" t="str">
        <f t="shared" si="3"/>
        <v xml:space="preserve">      - xform/m/m/</v>
      </c>
      <c r="Z84"/>
    </row>
    <row r="85" spans="1:27" ht="29.25">
      <c r="A85" s="162">
        <v>99</v>
      </c>
      <c r="B85" s="163" t="s">
        <v>502</v>
      </c>
      <c r="C85" s="164" t="s">
        <v>501</v>
      </c>
      <c r="D85" s="165" t="s">
        <v>2174</v>
      </c>
      <c r="E85" s="166" t="s">
        <v>504</v>
      </c>
      <c r="F85" s="162" t="s">
        <v>504</v>
      </c>
      <c r="G85" s="162" t="s">
        <v>504</v>
      </c>
      <c r="H85" s="162" t="s">
        <v>506</v>
      </c>
      <c r="I85" s="167" t="s">
        <v>1076</v>
      </c>
      <c r="J85" s="162" t="s">
        <v>503</v>
      </c>
      <c r="K85" s="162" t="s">
        <v>2035</v>
      </c>
      <c r="L85" s="162" t="s">
        <v>288</v>
      </c>
      <c r="M85" s="162" t="s">
        <v>17</v>
      </c>
      <c r="N85" s="1" t="s">
        <v>507</v>
      </c>
      <c r="P85" s="85">
        <v>84</v>
      </c>
      <c r="Q85" s="86" t="s">
        <v>239</v>
      </c>
      <c r="R85" s="86" t="s">
        <v>428</v>
      </c>
      <c r="S85" s="86" t="s">
        <v>17</v>
      </c>
      <c r="T85" s="85" t="str" cm="1">
        <f t="array" ref="T85">IFERROR( INDEX(【十五音】韻母對照表!$G$2:$G$85, MATCH(TRUE, EXACT( _xlfn.CONCAT(R85, LEFT(S85,1)), 【十五音】韻母對照表!$N$2:$N$85),0)), "")</f>
        <v>m</v>
      </c>
      <c r="U85" s="85"/>
      <c r="V85" s="85"/>
      <c r="W85" s="87"/>
      <c r="X85" s="95">
        <f t="shared" si="2"/>
        <v>1</v>
      </c>
      <c r="Y85" t="str">
        <f t="shared" si="3"/>
        <v xml:space="preserve">      - xform/m//</v>
      </c>
      <c r="Z85"/>
    </row>
    <row r="86" spans="1:27" ht="29.25">
      <c r="R86" s="94">
        <v>85</v>
      </c>
      <c r="S86" s="86" t="s">
        <v>245</v>
      </c>
      <c r="T86" s="86" t="s">
        <v>435</v>
      </c>
      <c r="U86" s="86" t="s">
        <v>17</v>
      </c>
      <c r="V86" s="85" t="str" cm="1">
        <f t="array" ref="V86">IFERROR( INDEX(【十五音】韻母對照表!$G$2:$G$85, MATCH(TRUE, EXACT( _xlfn.CONCAT(T86, LEFT(U86,1)), 【十五音】韻母對照表!$N$2:$N$85),0)), "")</f>
        <v>uang</v>
      </c>
      <c r="W86" s="85" t="s">
        <v>436</v>
      </c>
      <c r="X86" s="85" t="s">
        <v>1965</v>
      </c>
      <c r="Y86" s="90" t="s">
        <v>433</v>
      </c>
      <c r="Z86" s="95">
        <f t="shared" si="2"/>
        <v>4</v>
      </c>
      <c r="AA86" t="str">
        <f t="shared" si="3"/>
        <v xml:space="preserve">      - xform/uang/uang/</v>
      </c>
    </row>
    <row r="87" spans="1:27" ht="29.25">
      <c r="R87" s="85">
        <v>86</v>
      </c>
      <c r="S87" s="86" t="s">
        <v>245</v>
      </c>
      <c r="T87" s="86" t="s">
        <v>435</v>
      </c>
      <c r="U87" s="86" t="s">
        <v>23</v>
      </c>
      <c r="V87" s="85" t="str" cm="1">
        <f t="array" ref="V87">IFERROR( INDEX(【十五音】韻母對照表!$G$2:$G$85, MATCH(TRUE, EXACT( _xlfn.CONCAT(T87, LEFT(U87,1)), 【十五音】韻母對照表!$N$2:$N$85),0)), "")</f>
        <v>uak</v>
      </c>
      <c r="W87" s="85" t="s">
        <v>442</v>
      </c>
      <c r="X87" s="85" t="s">
        <v>441</v>
      </c>
      <c r="Y87" s="90" t="s">
        <v>439</v>
      </c>
      <c r="Z87" s="95">
        <f t="shared" si="2"/>
        <v>3</v>
      </c>
      <c r="AA87" t="str">
        <f t="shared" si="3"/>
        <v xml:space="preserve">      - xform/uak/uak/</v>
      </c>
    </row>
    <row r="88" spans="1:27" ht="29.25">
      <c r="R88" s="94">
        <v>87</v>
      </c>
      <c r="S88" s="86" t="s">
        <v>252</v>
      </c>
      <c r="T88" s="86" t="s">
        <v>446</v>
      </c>
      <c r="U88" s="86" t="s">
        <v>17</v>
      </c>
      <c r="V88" s="85" t="str" cm="1">
        <f t="array" ref="V88">IFERROR( INDEX(【十五音】韻母對照表!$G$2:$G$85, MATCH(TRUE, EXACT( _xlfn.CONCAT(T88, LEFT(U88,1)), 【十五音】韻母對照表!$N$2:$N$85),0)), "")</f>
        <v>uainn</v>
      </c>
      <c r="W88" s="85" t="s">
        <v>450</v>
      </c>
      <c r="X88" s="85" t="s">
        <v>447</v>
      </c>
      <c r="Y88" s="87" t="s">
        <v>445</v>
      </c>
      <c r="Z88" s="95">
        <f t="shared" si="2"/>
        <v>5</v>
      </c>
      <c r="AA88" t="str">
        <f t="shared" si="3"/>
        <v xml:space="preserve">      - xform/uainn/nuai/</v>
      </c>
    </row>
    <row r="89" spans="1:27" ht="29.25">
      <c r="R89" s="85">
        <v>88</v>
      </c>
      <c r="S89" s="86" t="s">
        <v>252</v>
      </c>
      <c r="T89" s="86" t="s">
        <v>446</v>
      </c>
      <c r="U89" s="86" t="s">
        <v>23</v>
      </c>
      <c r="V89" s="85" t="str" cm="1">
        <f t="array" ref="V89">IFERROR( INDEX(【十五音】韻母對照表!$G$2:$G$85, MATCH(TRUE, EXACT( _xlfn.CONCAT(T89, LEFT(U89,1)), 【十五音】韻母對照表!$N$2:$N$85),0)), "")</f>
        <v>uainnh</v>
      </c>
      <c r="W89" s="85" t="s">
        <v>455</v>
      </c>
      <c r="X89" s="85" t="s">
        <v>1967</v>
      </c>
      <c r="Y89" s="91" t="s">
        <v>452</v>
      </c>
      <c r="Z89" s="95">
        <f t="shared" si="2"/>
        <v>6</v>
      </c>
      <c r="AA89" t="str">
        <f t="shared" si="3"/>
        <v xml:space="preserve">      - xform/uainnh/nuaih/</v>
      </c>
    </row>
    <row r="90" spans="1:27" ht="29.25">
      <c r="R90" s="94">
        <v>89</v>
      </c>
      <c r="S90" s="86" t="s">
        <v>258</v>
      </c>
      <c r="T90" s="86" t="s">
        <v>457</v>
      </c>
      <c r="U90" s="86" t="s">
        <v>17</v>
      </c>
      <c r="V90" s="85" t="str" cm="1">
        <f t="array" ref="V90">IFERROR( INDEX(【十五音】韻母對照表!$G$2:$G$85, MATCH(TRUE, EXACT( _xlfn.CONCAT(T90, LEFT(U90,1)), 【十五音】韻母對照表!$N$2:$N$85),0)), "")</f>
        <v>uenn</v>
      </c>
      <c r="W90" s="85" t="s">
        <v>460</v>
      </c>
      <c r="X90" s="85" t="s">
        <v>458</v>
      </c>
      <c r="Y90" s="87" t="s">
        <v>2071</v>
      </c>
      <c r="Z90" s="95">
        <f t="shared" si="2"/>
        <v>4</v>
      </c>
      <c r="AA90" t="str">
        <f t="shared" si="3"/>
        <v xml:space="preserve">      - xform/uenn/nue/</v>
      </c>
    </row>
    <row r="91" spans="1:27" ht="29.25">
      <c r="R91" s="85">
        <v>90</v>
      </c>
      <c r="S91" s="86" t="s">
        <v>258</v>
      </c>
      <c r="T91" s="86"/>
      <c r="U91" s="86"/>
      <c r="V91" s="85" t="str" cm="1">
        <f t="array" ref="V91">IFERROR( INDEX(【十五音】韻母對照表!$G$2:$G$85, MATCH(TRUE, EXACT( _xlfn.CONCAT(T91, LEFT(U91,1)), 【十五音】韻母對照表!$N$2:$N$85),0)), "")</f>
        <v/>
      </c>
      <c r="W91" s="85"/>
      <c r="X91" s="85"/>
      <c r="Y91" s="87"/>
      <c r="Z91" s="95">
        <f t="shared" si="2"/>
        <v>0</v>
      </c>
      <c r="AA91" t="str">
        <f t="shared" si="3"/>
        <v xml:space="preserve">      - xform///</v>
      </c>
    </row>
    <row r="92" spans="1:27" ht="29.25">
      <c r="R92" s="94">
        <v>91</v>
      </c>
      <c r="S92" s="86" t="s">
        <v>265</v>
      </c>
      <c r="T92" s="86" t="s">
        <v>463</v>
      </c>
      <c r="U92" s="86" t="s">
        <v>17</v>
      </c>
      <c r="V92" s="85" t="str" cm="1">
        <f t="array" ref="V92">IFERROR( INDEX(【十五音】韻母對照表!$G$2:$G$85, MATCH(TRUE, EXACT( _xlfn.CONCAT(T92, LEFT(U92,1)), 【十五音】韻母對照表!$N$2:$N$85),0)), "")</f>
        <v>iaunn</v>
      </c>
      <c r="W92" s="85" t="s">
        <v>467</v>
      </c>
      <c r="X92" s="85" t="s">
        <v>464</v>
      </c>
      <c r="Y92" s="89" t="s">
        <v>462</v>
      </c>
      <c r="Z92" s="95">
        <f t="shared" si="2"/>
        <v>5</v>
      </c>
      <c r="AA92" t="str">
        <f t="shared" si="3"/>
        <v xml:space="preserve">      - xform/iaunn/niao/</v>
      </c>
    </row>
    <row r="93" spans="1:27" ht="29.25">
      <c r="R93" s="85">
        <v>92</v>
      </c>
      <c r="S93" s="86" t="s">
        <v>265</v>
      </c>
      <c r="T93" s="86" t="s">
        <v>463</v>
      </c>
      <c r="U93" s="86" t="s">
        <v>23</v>
      </c>
      <c r="V93" s="85" t="str" cm="1">
        <f t="array" ref="V93">IFERROR( INDEX(【十五音】韻母對照表!$G$2:$G$85, MATCH(TRUE, EXACT( _xlfn.CONCAT(T93, LEFT(U93,1)), 【十五音】韻母對照表!$N$2:$N$85),0)), "")</f>
        <v>iaunnh</v>
      </c>
      <c r="W93" s="85" t="s">
        <v>471</v>
      </c>
      <c r="X93" s="85" t="s">
        <v>2070</v>
      </c>
      <c r="Y93" s="87" t="s">
        <v>2071</v>
      </c>
      <c r="Z93" s="95">
        <f t="shared" si="2"/>
        <v>6</v>
      </c>
      <c r="AA93" t="str">
        <f t="shared" si="3"/>
        <v xml:space="preserve">      - xform/iaunnh/niaoh/</v>
      </c>
    </row>
    <row r="94" spans="1:27" ht="29.25">
      <c r="R94" s="94">
        <v>93</v>
      </c>
      <c r="S94" s="86" t="s">
        <v>270</v>
      </c>
      <c r="T94" s="86" t="s">
        <v>475</v>
      </c>
      <c r="U94" s="86" t="s">
        <v>17</v>
      </c>
      <c r="V94" s="85" t="str" cm="1">
        <f t="array" ref="V94">IFERROR( INDEX(【十五音】韻母對照表!$G$2:$G$85, MATCH(TRUE, EXACT( _xlfn.CONCAT(T94, LEFT(U94,1)), 【十五音】韻母對照表!$N$2:$N$85),0)), "")</f>
        <v>oom</v>
      </c>
      <c r="W94" s="85" t="s">
        <v>2080</v>
      </c>
      <c r="X94" s="85" t="s">
        <v>476</v>
      </c>
      <c r="Y94" s="89" t="s">
        <v>473</v>
      </c>
      <c r="Z94" s="95">
        <f t="shared" si="2"/>
        <v>3</v>
      </c>
      <c r="AA94" t="str">
        <f t="shared" si="3"/>
        <v xml:space="preserve">      - xform/oom/oom/</v>
      </c>
    </row>
    <row r="95" spans="1:27" ht="29.25">
      <c r="R95" s="85">
        <v>94</v>
      </c>
      <c r="S95" s="86" t="s">
        <v>270</v>
      </c>
      <c r="T95" s="86" t="s">
        <v>475</v>
      </c>
      <c r="U95" s="86" t="s">
        <v>23</v>
      </c>
      <c r="V95" s="85" t="str" cm="1">
        <f t="array" ref="V95">IFERROR( INDEX(【十五音】韻母對照表!$G$2:$G$85, MATCH(TRUE, EXACT( _xlfn.CONCAT(T95, LEFT(U95,1)), 【十五音】韻母對照表!$N$2:$N$85),0)), "")</f>
        <v>oop</v>
      </c>
      <c r="W95" s="85" t="s">
        <v>2081</v>
      </c>
      <c r="X95" s="85" t="s">
        <v>482</v>
      </c>
      <c r="Y95" s="87" t="s">
        <v>480</v>
      </c>
      <c r="Z95" s="95">
        <f t="shared" si="2"/>
        <v>3</v>
      </c>
      <c r="AA95" t="str">
        <f t="shared" si="3"/>
        <v xml:space="preserve">      - xform/oop/oop/</v>
      </c>
    </row>
    <row r="96" spans="1:27" ht="29.25">
      <c r="R96" s="94">
        <v>95</v>
      </c>
      <c r="S96" s="86" t="s">
        <v>276</v>
      </c>
      <c r="T96" s="86" t="s">
        <v>487</v>
      </c>
      <c r="U96" s="86" t="s">
        <v>17</v>
      </c>
      <c r="V96" s="85" t="str" cm="1">
        <f t="array" ref="V96">IFERROR( INDEX(【十五音】韻母對照表!$G$2:$G$85, MATCH(TRUE, EXACT( _xlfn.CONCAT(T96, LEFT(U96,1)), 【十五音】韻母對照表!$N$2:$N$85),0)), "")</f>
        <v>aunn</v>
      </c>
      <c r="W96" s="85" t="s">
        <v>490</v>
      </c>
      <c r="X96" s="85" t="s">
        <v>488</v>
      </c>
      <c r="Y96" s="91" t="s">
        <v>486</v>
      </c>
      <c r="Z96" s="95">
        <f t="shared" si="2"/>
        <v>4</v>
      </c>
      <c r="AA96" t="str">
        <f t="shared" si="3"/>
        <v xml:space="preserve">      - xform/aunn/nao/</v>
      </c>
    </row>
    <row r="97" spans="15:27" ht="29.25">
      <c r="R97" s="85">
        <v>96</v>
      </c>
      <c r="S97" s="86" t="s">
        <v>276</v>
      </c>
      <c r="T97" s="86"/>
      <c r="U97" s="86"/>
      <c r="V97" s="85" t="str" cm="1">
        <f t="array" ref="V97">IFERROR( INDEX(【十五音】韻母對照表!$G$2:$G$85, MATCH(TRUE, EXACT( _xlfn.CONCAT(T97, LEFT(U97,1)), 【十五音】韻母對照表!$N$2:$N$85),0)), "")</f>
        <v/>
      </c>
      <c r="W97" s="85"/>
      <c r="X97" s="85"/>
      <c r="Y97" s="91"/>
      <c r="Z97" s="95">
        <f t="shared" si="2"/>
        <v>0</v>
      </c>
      <c r="AA97" t="str">
        <f t="shared" si="3"/>
        <v xml:space="preserve">      - xform///</v>
      </c>
    </row>
    <row r="98" spans="15:27" ht="29.25">
      <c r="R98" s="94">
        <v>97</v>
      </c>
      <c r="S98" s="86" t="s">
        <v>280</v>
      </c>
      <c r="T98" s="86" t="s">
        <v>493</v>
      </c>
      <c r="U98" s="86" t="s">
        <v>17</v>
      </c>
      <c r="V98" s="85" t="str" cm="1">
        <f t="array" ref="V98">IFERROR( INDEX(【十五音】韻母對照表!$G$2:$G$85, MATCH(TRUE, EXACT( _xlfn.CONCAT(T98, LEFT(U98,1)), 【十五音】韻母對照表!$N$2:$N$85),0)), "")</f>
        <v>ornn</v>
      </c>
      <c r="W98" s="85" t="s">
        <v>2082</v>
      </c>
      <c r="X98" s="85" t="s">
        <v>423</v>
      </c>
      <c r="Y98" s="87" t="s">
        <v>492</v>
      </c>
      <c r="Z98" s="95">
        <f t="shared" si="2"/>
        <v>4</v>
      </c>
      <c r="AA98" t="str">
        <f t="shared" si="3"/>
        <v xml:space="preserve">      - xform/ornn/no/</v>
      </c>
    </row>
    <row r="99" spans="15:27" ht="29.25">
      <c r="R99" s="85">
        <v>98</v>
      </c>
      <c r="S99" s="86" t="s">
        <v>280</v>
      </c>
      <c r="T99" s="86" t="s">
        <v>493</v>
      </c>
      <c r="U99" s="86" t="s">
        <v>23</v>
      </c>
      <c r="V99" s="85" t="str" cm="1">
        <f t="array" ref="V99">IFERROR( INDEX(【十五音】韻母對照表!$G$2:$G$85, MATCH(TRUE, EXACT( _xlfn.CONCAT(T99, LEFT(U99,1)), 【十五音】韻母對照表!$N$2:$N$85),0)), "")</f>
        <v>onnh</v>
      </c>
      <c r="W99" s="85" t="s">
        <v>2083</v>
      </c>
      <c r="X99" s="85" t="s">
        <v>1962</v>
      </c>
      <c r="Y99" s="87" t="s">
        <v>2071</v>
      </c>
      <c r="Z99" s="95">
        <f t="shared" si="2"/>
        <v>4</v>
      </c>
      <c r="AA99" t="str">
        <f t="shared" si="3"/>
        <v xml:space="preserve">      - xform/onnh/noh/</v>
      </c>
    </row>
    <row r="100" spans="15:27" ht="29.25">
      <c r="R100" s="94">
        <v>99</v>
      </c>
      <c r="S100" s="86" t="s">
        <v>288</v>
      </c>
      <c r="T100" s="86" t="s">
        <v>502</v>
      </c>
      <c r="U100" s="86" t="s">
        <v>17</v>
      </c>
      <c r="V100" s="85" t="str" cm="1">
        <f t="array" ref="V100">IFERROR( INDEX(【十五音】韻母對照表!$G$2:$G$85, MATCH(TRUE, EXACT( _xlfn.CONCAT(T100, LEFT(U100,1)), 【十五音】韻母對照表!$N$2:$N$85),0)), "")</f>
        <v>iunn</v>
      </c>
      <c r="W100" s="85" t="s">
        <v>506</v>
      </c>
      <c r="X100" s="85" t="s">
        <v>503</v>
      </c>
      <c r="Y100" s="87" t="s">
        <v>501</v>
      </c>
      <c r="Z100" s="95">
        <f t="shared" si="2"/>
        <v>4</v>
      </c>
      <c r="AA100" t="str">
        <f t="shared" si="3"/>
        <v xml:space="preserve">      - xform/iunn/niu/</v>
      </c>
    </row>
    <row r="101" spans="15:27" ht="29.25">
      <c r="R101" s="94">
        <v>100</v>
      </c>
      <c r="S101" s="86" t="s">
        <v>288</v>
      </c>
      <c r="T101" s="86"/>
      <c r="U101" s="86"/>
      <c r="V101" s="85" t="str" cm="1">
        <f t="array" ref="V101">IFERROR( INDEX(【十五音】韻母對照表!$G$2:$G$85, MATCH(TRUE, EXACT( _xlfn.CONCAT(T101, LEFT(U101,1)), 【十五音】韻母對照表!$N$2:$N$85),0)), "")</f>
        <v/>
      </c>
      <c r="W101" s="85"/>
      <c r="X101" s="85"/>
      <c r="Y101" s="87"/>
      <c r="Z101" s="95">
        <f t="shared" si="2"/>
        <v>0</v>
      </c>
      <c r="AA101" t="str">
        <f t="shared" si="3"/>
        <v xml:space="preserve">      - xform///</v>
      </c>
    </row>
    <row r="102" spans="15:27">
      <c r="O102" s="84"/>
      <c r="P102" s="84"/>
      <c r="Q102" s="84"/>
      <c r="R102" s="84"/>
      <c r="S102" s="84"/>
      <c r="Z102" s="84"/>
    </row>
  </sheetData>
  <phoneticPr fontId="3" type="noConversion"/>
  <conditionalFormatting sqref="P2:X85">
    <cfRule type="expression" dxfId="3" priority="5">
      <formula xml:space="preserve"> MOD($P2,2)=0</formula>
    </cfRule>
    <cfRule type="expression" dxfId="2" priority="6">
      <formula xml:space="preserve"> MOD($P2,2)=1</formula>
    </cfRule>
  </conditionalFormatting>
  <conditionalFormatting sqref="R86:Z101">
    <cfRule type="expression" dxfId="1" priority="1">
      <formula xml:space="preserve"> MOD($R86,2)=0</formula>
    </cfRule>
    <cfRule type="expression" dxfId="0" priority="2">
      <formula xml:space="preserve"> MOD($R86,2)=1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5F0A9-4D84-4813-9D11-1858F78A91DA}">
  <dimension ref="A1:Y52"/>
  <sheetViews>
    <sheetView workbookViewId="0">
      <selection activeCell="H27" sqref="H27"/>
    </sheetView>
  </sheetViews>
  <sheetFormatPr defaultRowHeight="25.5" outlineLevelCol="1"/>
  <cols>
    <col min="1" max="1" width="4.6640625" customWidth="1"/>
    <col min="3" max="3" width="0" style="37" hidden="1" customWidth="1" outlineLevel="1"/>
    <col min="4" max="4" width="8.6640625" collapsed="1"/>
    <col min="6" max="6" width="0" style="37" hidden="1" customWidth="1" outlineLevel="1"/>
    <col min="7" max="7" width="8.6640625" collapsed="1"/>
  </cols>
  <sheetData>
    <row r="1" spans="1:25" ht="26.25" thickBot="1"/>
    <row r="2" spans="1:25" ht="26.25" thickBot="1">
      <c r="B2" s="28" t="s">
        <v>737</v>
      </c>
      <c r="C2" s="38"/>
      <c r="D2" s="31" t="s">
        <v>883</v>
      </c>
      <c r="E2" s="31"/>
      <c r="F2" s="38"/>
      <c r="G2" s="31" t="s">
        <v>697</v>
      </c>
      <c r="H2" s="31"/>
      <c r="I2" s="31" t="s">
        <v>1037</v>
      </c>
      <c r="J2" s="31"/>
      <c r="K2" s="31" t="s">
        <v>637</v>
      </c>
      <c r="L2" s="31"/>
      <c r="M2" s="32"/>
      <c r="N2" s="32"/>
      <c r="O2" s="32"/>
      <c r="P2" s="32"/>
      <c r="Q2" s="32"/>
      <c r="R2" s="32"/>
      <c r="S2" s="12" t="s">
        <v>936</v>
      </c>
      <c r="T2" s="12" t="s">
        <v>918</v>
      </c>
      <c r="U2" s="12" t="s">
        <v>919</v>
      </c>
      <c r="V2" s="12"/>
      <c r="W2" s="12" t="s">
        <v>920</v>
      </c>
      <c r="X2" t="s">
        <v>918</v>
      </c>
      <c r="Y2" t="s">
        <v>919</v>
      </c>
    </row>
    <row r="3" spans="1:25" ht="33.75" thickBot="1">
      <c r="A3">
        <f xml:space="preserve"> ROW() - 2</f>
        <v>1</v>
      </c>
      <c r="B3" s="41" t="s">
        <v>15</v>
      </c>
      <c r="C3" s="39" t="s">
        <v>760</v>
      </c>
      <c r="D3" s="35" t="s">
        <v>14</v>
      </c>
      <c r="E3" s="35" t="s">
        <v>22</v>
      </c>
      <c r="F3" s="39" t="s">
        <v>14</v>
      </c>
      <c r="G3" s="35" t="s">
        <v>14</v>
      </c>
      <c r="H3" s="35" t="s">
        <v>22</v>
      </c>
      <c r="I3" s="35" t="s">
        <v>14</v>
      </c>
      <c r="J3" s="35" t="s">
        <v>22</v>
      </c>
      <c r="K3" s="35" t="s">
        <v>14</v>
      </c>
      <c r="L3" s="35" t="s">
        <v>22</v>
      </c>
      <c r="M3" s="33"/>
      <c r="N3" s="34" t="str">
        <f t="shared" ref="N3:N52" si="0" xml:space="preserve"> Q3 &amp; T3 &amp; X3</f>
        <v/>
      </c>
      <c r="O3" s="34" t="str">
        <f xml:space="preserve"> U3 &amp; Y3</f>
        <v/>
      </c>
      <c r="P3" s="34"/>
      <c r="Q3" s="33"/>
      <c r="R3" s="33"/>
      <c r="S3" t="str">
        <f xml:space="preserve"> IFERROR( SEARCH($S$2, $I3), "")</f>
        <v/>
      </c>
      <c r="T3" t="str">
        <f xml:space="preserve"> IFERROR(LEFT($F3, S3-1), "")</f>
        <v/>
      </c>
      <c r="U3" t="str">
        <f>IFERROR( _xlfn.CONCAT(LEFT(T3,LEN(T3)-1), RIGHT(C3,1)), "")</f>
        <v/>
      </c>
      <c r="W3" t="str">
        <f xml:space="preserve"> IFERROR( SEARCH($W$2, $F3), "")</f>
        <v/>
      </c>
      <c r="X3" t="str">
        <f xml:space="preserve"> IF(AND(LEN(W3)&gt;0,W3&gt;0), LEFT(F3, LEN(F3)-3), "")</f>
        <v/>
      </c>
      <c r="Y3" t="str">
        <f t="shared" ref="Y3:Y6" si="1">IF(AND(LEN(W3)&gt;0,LEN(X3)&gt;0),_xlfn.CONCAT(X3,MID(C3,W3+1,1)), "")</f>
        <v/>
      </c>
    </row>
    <row r="4" spans="1:25" ht="33.75" thickBot="1">
      <c r="A4">
        <f t="shared" ref="A4:A52" si="2" xml:space="preserve"> ROW() - 2</f>
        <v>2</v>
      </c>
      <c r="B4" s="41" t="s">
        <v>28</v>
      </c>
      <c r="C4" s="39" t="s">
        <v>761</v>
      </c>
      <c r="D4" s="35" t="s">
        <v>27</v>
      </c>
      <c r="E4" s="35" t="s">
        <v>34</v>
      </c>
      <c r="F4" s="39" t="s">
        <v>937</v>
      </c>
      <c r="G4" s="35" t="s">
        <v>962</v>
      </c>
      <c r="H4" s="35" t="s">
        <v>963</v>
      </c>
      <c r="I4" s="35" t="s">
        <v>977</v>
      </c>
      <c r="J4" s="35" t="s">
        <v>978</v>
      </c>
      <c r="K4" s="35" t="s">
        <v>977</v>
      </c>
      <c r="L4" s="35" t="s">
        <v>978</v>
      </c>
      <c r="M4" s="33"/>
      <c r="N4" s="34" t="str">
        <f t="shared" si="0"/>
        <v>ian</v>
      </c>
      <c r="O4" s="34" t="str">
        <f t="shared" ref="O4:O52" si="3" xml:space="preserve"> U4 &amp; Y4</f>
        <v>iat̚</v>
      </c>
      <c r="P4" s="34"/>
      <c r="Q4" s="34" t="str">
        <f xml:space="preserve"> IF( AND(S4="", W4=""), F4, "")</f>
        <v/>
      </c>
      <c r="R4" s="33"/>
      <c r="S4">
        <f t="shared" ref="S4:S52" si="4" xml:space="preserve"> IFERROR( SEARCH($S$2, $F4), "")</f>
        <v>4</v>
      </c>
      <c r="T4" t="str">
        <f xml:space="preserve"> IFERROR(LEFT($I4, S4-1), "")</f>
        <v>ian</v>
      </c>
      <c r="U4" t="str">
        <f>IFERROR( _xlfn.CONCAT(LEFT(T4,LEN(T4)-1), RIGHT(C4,1), _xlfn.UNICHAR(794)), "")</f>
        <v>iat̚</v>
      </c>
      <c r="W4" t="str">
        <f t="shared" ref="W4:W52" si="5" xml:space="preserve"> IFERROR( SEARCH($W$2, $F4), "")</f>
        <v/>
      </c>
      <c r="X4" t="str">
        <f t="shared" ref="X4:X52" si="6" xml:space="preserve"> IF(AND(LEN(W4)&gt;0,W4&gt;0), LEFT(F4, LEN(F4)-3), "")</f>
        <v/>
      </c>
      <c r="Y4" t="str">
        <f t="shared" si="1"/>
        <v/>
      </c>
    </row>
    <row r="5" spans="1:25" ht="33.75" thickBot="1">
      <c r="A5">
        <f t="shared" si="2"/>
        <v>3</v>
      </c>
      <c r="B5" s="41" t="s">
        <v>39</v>
      </c>
      <c r="C5" s="39" t="s">
        <v>762</v>
      </c>
      <c r="D5" s="35" t="s">
        <v>38</v>
      </c>
      <c r="E5" s="35" t="s">
        <v>46</v>
      </c>
      <c r="F5" s="39" t="s">
        <v>938</v>
      </c>
      <c r="G5" s="35" t="s">
        <v>38</v>
      </c>
      <c r="H5" s="35" t="s">
        <v>44</v>
      </c>
      <c r="I5" s="35" t="s">
        <v>38</v>
      </c>
      <c r="J5" s="35" t="s">
        <v>979</v>
      </c>
      <c r="K5" s="35" t="s">
        <v>38</v>
      </c>
      <c r="L5" s="35" t="s">
        <v>979</v>
      </c>
      <c r="M5" s="33"/>
      <c r="N5" s="34" t="str">
        <f t="shared" si="0"/>
        <v>im</v>
      </c>
      <c r="O5" s="34" t="str">
        <f t="shared" si="3"/>
        <v>ip̚</v>
      </c>
      <c r="P5" s="34"/>
      <c r="Q5" s="34" t="str">
        <f t="shared" ref="Q5:Q52" si="7" xml:space="preserve"> IF( AND(S5="", W5=""), F5, "")</f>
        <v/>
      </c>
      <c r="R5" s="33"/>
      <c r="S5">
        <f t="shared" si="4"/>
        <v>3</v>
      </c>
      <c r="T5" t="str">
        <f t="shared" ref="T5:T52" si="8" xml:space="preserve"> IFERROR(LEFT($I5, S5-1), "")</f>
        <v>im</v>
      </c>
      <c r="U5" t="str">
        <f t="shared" ref="U5:U52" si="9">IFERROR( _xlfn.CONCAT(LEFT(T5,LEN(T5)-1), RIGHT(C5,1), _xlfn.UNICHAR(794)), "")</f>
        <v>ip̚</v>
      </c>
      <c r="W5" t="str">
        <f t="shared" si="5"/>
        <v/>
      </c>
      <c r="X5" t="str">
        <f t="shared" si="6"/>
        <v/>
      </c>
      <c r="Y5" t="str">
        <f t="shared" si="1"/>
        <v/>
      </c>
    </row>
    <row r="6" spans="1:25" ht="33.75" thickBot="1">
      <c r="A6">
        <f t="shared" si="2"/>
        <v>4</v>
      </c>
      <c r="B6" s="41" t="s">
        <v>51</v>
      </c>
      <c r="C6" s="39" t="s">
        <v>50</v>
      </c>
      <c r="D6" s="35" t="s">
        <v>50</v>
      </c>
      <c r="E6" s="40" t="s">
        <v>623</v>
      </c>
      <c r="F6" s="39" t="s">
        <v>50</v>
      </c>
      <c r="G6" s="35" t="s">
        <v>50</v>
      </c>
      <c r="H6" s="40" t="s">
        <v>623</v>
      </c>
      <c r="I6" s="35" t="s">
        <v>50</v>
      </c>
      <c r="J6" s="40" t="s">
        <v>623</v>
      </c>
      <c r="K6" s="35" t="s">
        <v>50</v>
      </c>
      <c r="L6" s="40" t="s">
        <v>623</v>
      </c>
      <c r="M6" s="33"/>
      <c r="N6" s="34" t="str">
        <f t="shared" si="0"/>
        <v>ui</v>
      </c>
      <c r="O6" s="34" t="str">
        <f t="shared" si="3"/>
        <v/>
      </c>
      <c r="P6" s="34"/>
      <c r="Q6" s="34" t="str">
        <f t="shared" si="7"/>
        <v>ui</v>
      </c>
      <c r="R6" s="34"/>
      <c r="S6" t="str">
        <f t="shared" si="4"/>
        <v/>
      </c>
      <c r="T6" t="str">
        <f t="shared" si="8"/>
        <v/>
      </c>
      <c r="U6" t="str">
        <f t="shared" si="9"/>
        <v/>
      </c>
      <c r="W6" t="str">
        <f t="shared" si="5"/>
        <v/>
      </c>
      <c r="X6" t="str">
        <f t="shared" si="6"/>
        <v/>
      </c>
      <c r="Y6" t="str">
        <f t="shared" si="1"/>
        <v/>
      </c>
    </row>
    <row r="7" spans="1:25" ht="33.75" thickBot="1">
      <c r="A7">
        <f t="shared" si="2"/>
        <v>5</v>
      </c>
      <c r="B7" s="41" t="s">
        <v>57</v>
      </c>
      <c r="C7" s="39" t="s">
        <v>884</v>
      </c>
      <c r="D7" s="35" t="s">
        <v>56</v>
      </c>
      <c r="E7" s="35" t="s">
        <v>699</v>
      </c>
      <c r="F7" s="39" t="s">
        <v>884</v>
      </c>
      <c r="G7" s="35" t="s">
        <v>56</v>
      </c>
      <c r="H7" s="35" t="s">
        <v>699</v>
      </c>
      <c r="I7" s="35" t="s">
        <v>981</v>
      </c>
      <c r="J7" s="35" t="s">
        <v>980</v>
      </c>
      <c r="K7" s="35" t="s">
        <v>1039</v>
      </c>
      <c r="L7" s="35" t="s">
        <v>1038</v>
      </c>
      <c r="M7" s="33"/>
      <c r="N7" s="34" t="str">
        <f t="shared" si="0"/>
        <v>ɛ</v>
      </c>
      <c r="O7" s="34" t="str">
        <f t="shared" si="3"/>
        <v>ɛʔ</v>
      </c>
      <c r="P7" s="34"/>
      <c r="Q7" s="34" t="str">
        <f t="shared" si="7"/>
        <v/>
      </c>
      <c r="R7" s="33"/>
      <c r="S7" t="str">
        <f t="shared" si="4"/>
        <v/>
      </c>
      <c r="T7" t="str">
        <f t="shared" si="8"/>
        <v/>
      </c>
      <c r="U7" t="str">
        <f t="shared" si="9"/>
        <v/>
      </c>
      <c r="W7">
        <f t="shared" si="5"/>
        <v>2</v>
      </c>
      <c r="X7" t="str">
        <f t="shared" si="6"/>
        <v>ɛ</v>
      </c>
      <c r="Y7" t="str">
        <f t="shared" ref="Y7:Y45" si="10">IF(AND(LEN(W7)&gt;0,LEN(X7)&gt;0),_xlfn.CONCAT(X7,MID(C7,W7+1,1)), "")</f>
        <v>ɛʔ</v>
      </c>
    </row>
    <row r="8" spans="1:25" ht="33.75" thickBot="1">
      <c r="A8">
        <f t="shared" si="2"/>
        <v>6</v>
      </c>
      <c r="B8" s="41" t="s">
        <v>1054</v>
      </c>
      <c r="C8" s="39" t="s">
        <v>764</v>
      </c>
      <c r="D8" s="35" t="s">
        <v>69</v>
      </c>
      <c r="E8" s="35" t="s">
        <v>77</v>
      </c>
      <c r="F8" s="39" t="s">
        <v>939</v>
      </c>
      <c r="G8" s="35" t="s">
        <v>69</v>
      </c>
      <c r="H8" s="35" t="s">
        <v>75</v>
      </c>
      <c r="I8" s="35" t="s">
        <v>982</v>
      </c>
      <c r="J8" s="35" t="s">
        <v>983</v>
      </c>
      <c r="K8" s="35" t="s">
        <v>982</v>
      </c>
      <c r="L8" s="35" t="s">
        <v>983</v>
      </c>
      <c r="M8" s="33"/>
      <c r="N8" s="34" t="str">
        <f t="shared" si="0"/>
        <v>an</v>
      </c>
      <c r="O8" s="34" t="str">
        <f t="shared" si="3"/>
        <v>at̚</v>
      </c>
      <c r="P8" s="34"/>
      <c r="Q8" s="34" t="str">
        <f t="shared" si="7"/>
        <v/>
      </c>
      <c r="R8" s="33"/>
      <c r="S8">
        <f t="shared" si="4"/>
        <v>3</v>
      </c>
      <c r="T8" t="str">
        <f t="shared" si="8"/>
        <v>an</v>
      </c>
      <c r="U8" t="str">
        <f t="shared" si="9"/>
        <v>at̚</v>
      </c>
      <c r="W8" t="str">
        <f t="shared" si="5"/>
        <v/>
      </c>
      <c r="X8" t="str">
        <f t="shared" si="6"/>
        <v/>
      </c>
      <c r="Y8" t="str">
        <f t="shared" si="10"/>
        <v/>
      </c>
    </row>
    <row r="9" spans="1:25" ht="33.75" thickBot="1">
      <c r="A9">
        <f t="shared" si="2"/>
        <v>7</v>
      </c>
      <c r="B9" s="41" t="s">
        <v>82</v>
      </c>
      <c r="C9" s="39" t="s">
        <v>885</v>
      </c>
      <c r="D9" s="35" t="s">
        <v>81</v>
      </c>
      <c r="E9" s="35" t="s">
        <v>681</v>
      </c>
      <c r="F9" s="39" t="s">
        <v>940</v>
      </c>
      <c r="G9" s="35" t="s">
        <v>81</v>
      </c>
      <c r="H9" s="35" t="s">
        <v>88</v>
      </c>
      <c r="I9" s="35" t="s">
        <v>986</v>
      </c>
      <c r="J9" s="35" t="s">
        <v>985</v>
      </c>
      <c r="K9" s="35" t="s">
        <v>986</v>
      </c>
      <c r="L9" s="35" t="s">
        <v>985</v>
      </c>
      <c r="M9" s="33"/>
      <c r="N9" s="34" t="str">
        <f t="shared" si="0"/>
        <v>on</v>
      </c>
      <c r="O9" s="34" t="str">
        <f t="shared" si="3"/>
        <v>ok̚</v>
      </c>
      <c r="P9" s="34"/>
      <c r="Q9" s="34" t="str">
        <f t="shared" si="7"/>
        <v/>
      </c>
      <c r="R9" s="33"/>
      <c r="S9">
        <f t="shared" si="4"/>
        <v>3</v>
      </c>
      <c r="T9" t="str">
        <f t="shared" si="8"/>
        <v>on</v>
      </c>
      <c r="U9" t="str">
        <f t="shared" si="9"/>
        <v>ok̚</v>
      </c>
      <c r="W9" t="str">
        <f t="shared" si="5"/>
        <v/>
      </c>
      <c r="X9" t="str">
        <f t="shared" si="6"/>
        <v/>
      </c>
      <c r="Y9" t="str">
        <f t="shared" si="10"/>
        <v/>
      </c>
    </row>
    <row r="10" spans="1:25" ht="33.75" thickBot="1">
      <c r="A10">
        <f t="shared" si="2"/>
        <v>8</v>
      </c>
      <c r="B10" s="41" t="s">
        <v>95</v>
      </c>
      <c r="C10" s="39" t="s">
        <v>886</v>
      </c>
      <c r="D10" s="35" t="s">
        <v>94</v>
      </c>
      <c r="E10" s="35" t="s">
        <v>921</v>
      </c>
      <c r="F10" s="39" t="s">
        <v>886</v>
      </c>
      <c r="G10" s="35" t="s">
        <v>94</v>
      </c>
      <c r="H10" s="35" t="s">
        <v>921</v>
      </c>
      <c r="I10" s="35" t="s">
        <v>1011</v>
      </c>
      <c r="J10" s="35" t="s">
        <v>987</v>
      </c>
      <c r="K10" s="35" t="s">
        <v>1011</v>
      </c>
      <c r="L10" s="35" t="s">
        <v>987</v>
      </c>
      <c r="M10" s="33"/>
      <c r="N10" s="34" t="str">
        <f t="shared" si="0"/>
        <v>uai</v>
      </c>
      <c r="O10" s="34" t="str">
        <f t="shared" si="3"/>
        <v>uaiʔ</v>
      </c>
      <c r="P10" s="34"/>
      <c r="Q10" s="34" t="str">
        <f t="shared" si="7"/>
        <v/>
      </c>
      <c r="R10" s="33"/>
      <c r="S10" t="str">
        <f t="shared" si="4"/>
        <v/>
      </c>
      <c r="T10" t="str">
        <f t="shared" si="8"/>
        <v/>
      </c>
      <c r="U10" t="str">
        <f t="shared" si="9"/>
        <v/>
      </c>
      <c r="W10">
        <f t="shared" si="5"/>
        <v>4</v>
      </c>
      <c r="X10" t="str">
        <f t="shared" si="6"/>
        <v>uai</v>
      </c>
      <c r="Y10" t="str">
        <f t="shared" si="10"/>
        <v>uaiʔ</v>
      </c>
    </row>
    <row r="11" spans="1:25" ht="33.75" thickBot="1">
      <c r="A11">
        <f t="shared" si="2"/>
        <v>9</v>
      </c>
      <c r="B11" s="41" t="s">
        <v>107</v>
      </c>
      <c r="C11" s="39" t="s">
        <v>887</v>
      </c>
      <c r="D11" s="35" t="s">
        <v>922</v>
      </c>
      <c r="E11" s="35" t="s">
        <v>923</v>
      </c>
      <c r="F11" s="39" t="s">
        <v>941</v>
      </c>
      <c r="G11" s="35" t="s">
        <v>964</v>
      </c>
      <c r="H11" s="35" t="s">
        <v>965</v>
      </c>
      <c r="I11" s="35" t="s">
        <v>1012</v>
      </c>
      <c r="J11" s="35" t="s">
        <v>988</v>
      </c>
      <c r="K11" s="35" t="s">
        <v>1012</v>
      </c>
      <c r="L11" s="35" t="s">
        <v>988</v>
      </c>
      <c r="M11" s="33"/>
      <c r="N11" s="34" t="str">
        <f t="shared" si="0"/>
        <v>in</v>
      </c>
      <c r="O11" s="34" t="str">
        <f t="shared" si="3"/>
        <v>ik̚</v>
      </c>
      <c r="P11" s="34"/>
      <c r="Q11" s="34" t="str">
        <f t="shared" si="7"/>
        <v/>
      </c>
      <c r="R11" s="33"/>
      <c r="S11">
        <f t="shared" si="4"/>
        <v>3</v>
      </c>
      <c r="T11" t="str">
        <f t="shared" si="8"/>
        <v>in</v>
      </c>
      <c r="U11" t="str">
        <f t="shared" si="9"/>
        <v>ik̚</v>
      </c>
      <c r="W11" t="str">
        <f t="shared" si="5"/>
        <v/>
      </c>
      <c r="X11" t="str">
        <f t="shared" si="6"/>
        <v/>
      </c>
      <c r="Y11" t="str">
        <f t="shared" si="10"/>
        <v/>
      </c>
    </row>
    <row r="12" spans="1:25" ht="33.75" thickBot="1">
      <c r="A12">
        <f t="shared" si="2"/>
        <v>10</v>
      </c>
      <c r="B12" s="41" t="s">
        <v>121</v>
      </c>
      <c r="C12" s="39" t="s">
        <v>768</v>
      </c>
      <c r="D12" s="35" t="s">
        <v>120</v>
      </c>
      <c r="E12" s="35" t="s">
        <v>129</v>
      </c>
      <c r="F12" s="39" t="s">
        <v>942</v>
      </c>
      <c r="G12" s="35" t="s">
        <v>120</v>
      </c>
      <c r="H12" s="35" t="s">
        <v>127</v>
      </c>
      <c r="I12" s="35" t="s">
        <v>1013</v>
      </c>
      <c r="J12" s="35" t="s">
        <v>989</v>
      </c>
      <c r="K12" s="35" t="s">
        <v>1013</v>
      </c>
      <c r="L12" s="35" t="s">
        <v>989</v>
      </c>
      <c r="M12" s="33"/>
      <c r="N12" s="34" t="str">
        <f t="shared" si="0"/>
        <v>uan</v>
      </c>
      <c r="O12" s="34" t="str">
        <f t="shared" si="3"/>
        <v>uat̚</v>
      </c>
      <c r="P12" s="34"/>
      <c r="Q12" s="34" t="str">
        <f t="shared" si="7"/>
        <v/>
      </c>
      <c r="R12" s="33"/>
      <c r="S12">
        <f t="shared" si="4"/>
        <v>4</v>
      </c>
      <c r="T12" t="str">
        <f t="shared" si="8"/>
        <v>uan</v>
      </c>
      <c r="U12" t="str">
        <f t="shared" si="9"/>
        <v>uat̚</v>
      </c>
      <c r="W12" t="str">
        <f t="shared" si="5"/>
        <v/>
      </c>
      <c r="X12" t="str">
        <f t="shared" si="6"/>
        <v/>
      </c>
      <c r="Y12" t="str">
        <f t="shared" si="10"/>
        <v/>
      </c>
    </row>
    <row r="13" spans="1:25" ht="33.75" thickBot="1">
      <c r="A13">
        <f t="shared" si="2"/>
        <v>11</v>
      </c>
      <c r="B13" s="41" t="s">
        <v>135</v>
      </c>
      <c r="C13" s="39" t="s">
        <v>686</v>
      </c>
      <c r="D13" s="35" t="s">
        <v>686</v>
      </c>
      <c r="E13" s="40" t="s">
        <v>623</v>
      </c>
      <c r="F13" s="39" t="s">
        <v>682</v>
      </c>
      <c r="G13" s="35" t="s">
        <v>682</v>
      </c>
      <c r="H13" s="40" t="s">
        <v>623</v>
      </c>
      <c r="I13" s="35" t="s">
        <v>136</v>
      </c>
      <c r="J13" s="40" t="s">
        <v>623</v>
      </c>
      <c r="K13" s="35" t="s">
        <v>136</v>
      </c>
      <c r="L13" s="40" t="s">
        <v>623</v>
      </c>
      <c r="M13" s="33"/>
      <c r="N13" s="34" t="str">
        <f t="shared" si="0"/>
        <v>ɔ</v>
      </c>
      <c r="O13" s="34" t="str">
        <f t="shared" si="3"/>
        <v/>
      </c>
      <c r="P13" s="34"/>
      <c r="Q13" s="34" t="str">
        <f t="shared" si="7"/>
        <v>ɔ</v>
      </c>
      <c r="R13" s="33"/>
      <c r="S13" t="str">
        <f t="shared" si="4"/>
        <v/>
      </c>
      <c r="T13" t="str">
        <f t="shared" si="8"/>
        <v/>
      </c>
      <c r="U13" t="str">
        <f t="shared" si="9"/>
        <v/>
      </c>
      <c r="W13" t="str">
        <f t="shared" si="5"/>
        <v/>
      </c>
      <c r="X13" t="str">
        <f t="shared" si="6"/>
        <v/>
      </c>
      <c r="Y13" t="str">
        <f t="shared" si="10"/>
        <v/>
      </c>
    </row>
    <row r="14" spans="1:25" ht="33.75" thickBot="1">
      <c r="A14">
        <f t="shared" si="2"/>
        <v>12</v>
      </c>
      <c r="B14" s="41" t="s">
        <v>142</v>
      </c>
      <c r="C14" s="39" t="s">
        <v>888</v>
      </c>
      <c r="D14" s="35" t="s">
        <v>141</v>
      </c>
      <c r="E14" s="35" t="s">
        <v>656</v>
      </c>
      <c r="F14" s="39" t="s">
        <v>943</v>
      </c>
      <c r="G14" s="35" t="s">
        <v>966</v>
      </c>
      <c r="H14" s="35" t="s">
        <v>967</v>
      </c>
      <c r="I14" s="35" t="s">
        <v>1014</v>
      </c>
      <c r="J14" s="35" t="s">
        <v>990</v>
      </c>
      <c r="K14" s="35" t="s">
        <v>1041</v>
      </c>
      <c r="L14" s="35" t="s">
        <v>1040</v>
      </c>
      <c r="M14" s="33"/>
      <c r="N14" s="34" t="str">
        <f t="shared" si="0"/>
        <v>ɪaʊ</v>
      </c>
      <c r="O14" s="34" t="str">
        <f t="shared" si="3"/>
        <v>ɪaʊʔ</v>
      </c>
      <c r="P14" s="34"/>
      <c r="Q14" s="34" t="str">
        <f t="shared" si="7"/>
        <v/>
      </c>
      <c r="R14" s="33"/>
      <c r="S14" t="str">
        <f t="shared" si="4"/>
        <v/>
      </c>
      <c r="T14" t="str">
        <f t="shared" si="8"/>
        <v/>
      </c>
      <c r="U14" t="str">
        <f t="shared" si="9"/>
        <v/>
      </c>
      <c r="W14">
        <f t="shared" si="5"/>
        <v>4</v>
      </c>
      <c r="X14" t="str">
        <f t="shared" si="6"/>
        <v>ɪaʊ</v>
      </c>
      <c r="Y14" t="str">
        <f t="shared" si="10"/>
        <v>ɪaʊʔ</v>
      </c>
    </row>
    <row r="15" spans="1:25" ht="33.75" thickBot="1">
      <c r="A15">
        <f t="shared" si="2"/>
        <v>13</v>
      </c>
      <c r="B15" s="41" t="s">
        <v>154</v>
      </c>
      <c r="C15" s="39" t="s">
        <v>153</v>
      </c>
      <c r="D15" s="35" t="s">
        <v>153</v>
      </c>
      <c r="E15" s="40" t="s">
        <v>623</v>
      </c>
      <c r="F15" s="39" t="s">
        <v>60</v>
      </c>
      <c r="G15" s="35" t="s">
        <v>60</v>
      </c>
      <c r="H15" s="40" t="s">
        <v>623</v>
      </c>
      <c r="I15" s="35" t="s">
        <v>60</v>
      </c>
      <c r="J15" s="40"/>
      <c r="K15" s="35" t="s">
        <v>60</v>
      </c>
      <c r="L15" s="40"/>
      <c r="M15" s="33"/>
      <c r="N15" s="34" t="str">
        <f t="shared" si="0"/>
        <v>e</v>
      </c>
      <c r="O15" s="34" t="str">
        <f t="shared" si="3"/>
        <v/>
      </c>
      <c r="P15" s="34"/>
      <c r="Q15" s="34" t="str">
        <f t="shared" si="7"/>
        <v>e</v>
      </c>
      <c r="R15" s="33"/>
      <c r="S15" t="str">
        <f t="shared" si="4"/>
        <v/>
      </c>
      <c r="T15" t="str">
        <f t="shared" si="8"/>
        <v/>
      </c>
      <c r="U15" t="str">
        <f t="shared" si="9"/>
        <v/>
      </c>
      <c r="W15" t="str">
        <f t="shared" si="5"/>
        <v/>
      </c>
      <c r="X15" t="str">
        <f t="shared" si="6"/>
        <v/>
      </c>
      <c r="Y15" t="str">
        <f t="shared" si="10"/>
        <v/>
      </c>
    </row>
    <row r="16" spans="1:25" ht="33.75" thickBot="1">
      <c r="A16">
        <f t="shared" si="2"/>
        <v>14</v>
      </c>
      <c r="B16" s="41" t="s">
        <v>160</v>
      </c>
      <c r="C16" s="39" t="s">
        <v>889</v>
      </c>
      <c r="D16" s="35" t="s">
        <v>159</v>
      </c>
      <c r="E16" s="35" t="s">
        <v>924</v>
      </c>
      <c r="F16" s="39" t="s">
        <v>944</v>
      </c>
      <c r="G16" s="35" t="s">
        <v>968</v>
      </c>
      <c r="H16" s="35" t="s">
        <v>969</v>
      </c>
      <c r="I16" s="35" t="s">
        <v>1015</v>
      </c>
      <c r="J16" s="35" t="s">
        <v>991</v>
      </c>
      <c r="K16" s="35" t="s">
        <v>1015</v>
      </c>
      <c r="L16" s="35" t="s">
        <v>991</v>
      </c>
      <c r="M16" s="33"/>
      <c r="N16" s="34" t="str">
        <f t="shared" si="0"/>
        <v>ion</v>
      </c>
      <c r="O16" s="34" t="str">
        <f t="shared" si="3"/>
        <v>iok̚</v>
      </c>
      <c r="P16" s="34"/>
      <c r="Q16" s="34" t="str">
        <f t="shared" si="7"/>
        <v/>
      </c>
      <c r="R16" s="33"/>
      <c r="S16">
        <f t="shared" si="4"/>
        <v>4</v>
      </c>
      <c r="T16" t="str">
        <f t="shared" si="8"/>
        <v>ion</v>
      </c>
      <c r="U16" t="str">
        <f t="shared" si="9"/>
        <v>iok̚</v>
      </c>
      <c r="W16" t="str">
        <f t="shared" si="5"/>
        <v/>
      </c>
      <c r="X16" t="str">
        <f t="shared" si="6"/>
        <v/>
      </c>
      <c r="Y16" t="str">
        <f t="shared" si="10"/>
        <v/>
      </c>
    </row>
    <row r="17" spans="1:25" ht="33.75" thickBot="1">
      <c r="A17">
        <f t="shared" si="2"/>
        <v>15</v>
      </c>
      <c r="B17" s="41" t="s">
        <v>172</v>
      </c>
      <c r="C17" s="39" t="s">
        <v>890</v>
      </c>
      <c r="D17" s="35" t="s">
        <v>171</v>
      </c>
      <c r="E17" s="35" t="s">
        <v>680</v>
      </c>
      <c r="F17" s="39" t="s">
        <v>890</v>
      </c>
      <c r="G17" s="35" t="s">
        <v>171</v>
      </c>
      <c r="H17" s="35" t="s">
        <v>680</v>
      </c>
      <c r="I17" s="35" t="s">
        <v>1016</v>
      </c>
      <c r="J17" s="35" t="s">
        <v>992</v>
      </c>
      <c r="K17" s="35" t="s">
        <v>1016</v>
      </c>
      <c r="L17" s="35" t="s">
        <v>992</v>
      </c>
      <c r="M17" s="33"/>
      <c r="N17" s="34" t="str">
        <f t="shared" si="0"/>
        <v>o</v>
      </c>
      <c r="O17" s="34" t="str">
        <f t="shared" si="3"/>
        <v>oʔ</v>
      </c>
      <c r="P17" s="34"/>
      <c r="Q17" s="34" t="str">
        <f t="shared" si="7"/>
        <v/>
      </c>
      <c r="R17" s="33"/>
      <c r="S17" t="str">
        <f t="shared" si="4"/>
        <v/>
      </c>
      <c r="T17" t="str">
        <f t="shared" si="8"/>
        <v/>
      </c>
      <c r="U17" t="str">
        <f t="shared" si="9"/>
        <v/>
      </c>
      <c r="W17">
        <f t="shared" si="5"/>
        <v>2</v>
      </c>
      <c r="X17" t="str">
        <f t="shared" si="6"/>
        <v>o</v>
      </c>
      <c r="Y17" t="str">
        <f t="shared" si="10"/>
        <v>oʔ</v>
      </c>
    </row>
    <row r="18" spans="1:25" ht="33.75" thickBot="1">
      <c r="A18">
        <f t="shared" si="2"/>
        <v>16</v>
      </c>
      <c r="B18" s="41" t="s">
        <v>184</v>
      </c>
      <c r="C18" s="39" t="s">
        <v>183</v>
      </c>
      <c r="D18" s="35" t="s">
        <v>183</v>
      </c>
      <c r="E18" s="40" t="s">
        <v>623</v>
      </c>
      <c r="F18" s="39" t="s">
        <v>945</v>
      </c>
      <c r="G18" s="35" t="s">
        <v>945</v>
      </c>
      <c r="H18" s="40" t="s">
        <v>623</v>
      </c>
      <c r="I18" s="35" t="s">
        <v>183</v>
      </c>
      <c r="J18" s="40" t="s">
        <v>623</v>
      </c>
      <c r="K18" s="35" t="s">
        <v>183</v>
      </c>
      <c r="L18" s="40" t="s">
        <v>623</v>
      </c>
      <c r="M18" s="33"/>
      <c r="N18" s="34" t="str">
        <f t="shared" si="0"/>
        <v>aɪ</v>
      </c>
      <c r="O18" s="34" t="str">
        <f t="shared" si="3"/>
        <v/>
      </c>
      <c r="P18" s="34"/>
      <c r="Q18" s="34" t="str">
        <f t="shared" si="7"/>
        <v>aɪ</v>
      </c>
      <c r="R18" s="33"/>
      <c r="S18" t="str">
        <f t="shared" si="4"/>
        <v/>
      </c>
      <c r="T18" t="str">
        <f t="shared" si="8"/>
        <v/>
      </c>
      <c r="U18" t="str">
        <f t="shared" si="9"/>
        <v/>
      </c>
      <c r="W18" t="str">
        <f t="shared" si="5"/>
        <v/>
      </c>
      <c r="X18" t="str">
        <f t="shared" si="6"/>
        <v/>
      </c>
      <c r="Y18" t="str">
        <f t="shared" si="10"/>
        <v/>
      </c>
    </row>
    <row r="19" spans="1:25" ht="33.75" thickBot="1">
      <c r="A19">
        <f t="shared" si="2"/>
        <v>17</v>
      </c>
      <c r="B19" s="41" t="s">
        <v>190</v>
      </c>
      <c r="C19" s="39" t="s">
        <v>794</v>
      </c>
      <c r="D19" s="35" t="s">
        <v>189</v>
      </c>
      <c r="E19" s="35" t="s">
        <v>197</v>
      </c>
      <c r="F19" s="39" t="s">
        <v>946</v>
      </c>
      <c r="G19" s="35" t="s">
        <v>189</v>
      </c>
      <c r="H19" s="35" t="s">
        <v>195</v>
      </c>
      <c r="I19" s="35" t="s">
        <v>1017</v>
      </c>
      <c r="J19" s="35" t="s">
        <v>993</v>
      </c>
      <c r="K19" s="35" t="s">
        <v>1017</v>
      </c>
      <c r="L19" s="35" t="s">
        <v>993</v>
      </c>
      <c r="M19" s="33"/>
      <c r="N19" s="34" t="str">
        <f t="shared" si="0"/>
        <v>in</v>
      </c>
      <c r="O19" s="34" t="str">
        <f t="shared" si="3"/>
        <v>it̚</v>
      </c>
      <c r="P19" s="34"/>
      <c r="Q19" s="34" t="str">
        <f t="shared" si="7"/>
        <v/>
      </c>
      <c r="R19" s="33"/>
      <c r="S19">
        <f t="shared" si="4"/>
        <v>3</v>
      </c>
      <c r="T19" t="str">
        <f t="shared" si="8"/>
        <v>in</v>
      </c>
      <c r="U19" t="str">
        <f t="shared" si="9"/>
        <v>it̚</v>
      </c>
      <c r="W19" t="str">
        <f t="shared" si="5"/>
        <v/>
      </c>
      <c r="X19" t="str">
        <f t="shared" si="6"/>
        <v/>
      </c>
      <c r="Y19" t="str">
        <f t="shared" si="10"/>
        <v/>
      </c>
    </row>
    <row r="20" spans="1:25" ht="33.75" thickBot="1">
      <c r="A20">
        <f t="shared" si="2"/>
        <v>18</v>
      </c>
      <c r="B20" s="41" t="s">
        <v>202</v>
      </c>
      <c r="C20" s="39" t="s">
        <v>891</v>
      </c>
      <c r="D20" s="35" t="s">
        <v>201</v>
      </c>
      <c r="E20" s="35" t="s">
        <v>207</v>
      </c>
      <c r="F20" s="39" t="s">
        <v>947</v>
      </c>
      <c r="G20" s="35" t="s">
        <v>970</v>
      </c>
      <c r="H20" s="35" t="s">
        <v>971</v>
      </c>
      <c r="I20" s="35" t="s">
        <v>1018</v>
      </c>
      <c r="J20" s="35" t="s">
        <v>994</v>
      </c>
      <c r="K20" s="35" t="s">
        <v>1018</v>
      </c>
      <c r="L20" s="35" t="s">
        <v>994</v>
      </c>
      <c r="M20" s="33"/>
      <c r="N20" s="34" t="str">
        <f t="shared" si="0"/>
        <v>ian</v>
      </c>
      <c r="O20" s="34" t="str">
        <f t="shared" si="3"/>
        <v>iak̚</v>
      </c>
      <c r="P20" s="34"/>
      <c r="Q20" s="34" t="str">
        <f t="shared" si="7"/>
        <v/>
      </c>
      <c r="R20" s="33"/>
      <c r="S20">
        <f t="shared" si="4"/>
        <v>4</v>
      </c>
      <c r="T20" t="str">
        <f t="shared" si="8"/>
        <v>ian</v>
      </c>
      <c r="U20" t="str">
        <f t="shared" si="9"/>
        <v>iak̚</v>
      </c>
      <c r="W20" t="str">
        <f t="shared" si="5"/>
        <v/>
      </c>
      <c r="X20" t="str">
        <f t="shared" si="6"/>
        <v/>
      </c>
      <c r="Y20" t="str">
        <f t="shared" si="10"/>
        <v/>
      </c>
    </row>
    <row r="21" spans="1:25" ht="33.75" thickBot="1">
      <c r="A21">
        <f t="shared" si="2"/>
        <v>19</v>
      </c>
      <c r="B21" s="41" t="s">
        <v>212</v>
      </c>
      <c r="C21" s="39" t="s">
        <v>796</v>
      </c>
      <c r="D21" s="35" t="s">
        <v>211</v>
      </c>
      <c r="E21" s="35" t="s">
        <v>219</v>
      </c>
      <c r="F21" s="39" t="s">
        <v>948</v>
      </c>
      <c r="G21" s="35" t="s">
        <v>211</v>
      </c>
      <c r="H21" s="35" t="s">
        <v>217</v>
      </c>
      <c r="I21" s="35" t="s">
        <v>1019</v>
      </c>
      <c r="J21" s="35" t="s">
        <v>995</v>
      </c>
      <c r="K21" s="35" t="s">
        <v>1019</v>
      </c>
      <c r="L21" s="35" t="s">
        <v>995</v>
      </c>
      <c r="M21" s="33"/>
      <c r="N21" s="34" t="str">
        <f t="shared" si="0"/>
        <v>am</v>
      </c>
      <c r="O21" s="34" t="str">
        <f t="shared" si="3"/>
        <v>ap̚</v>
      </c>
      <c r="P21" s="34"/>
      <c r="Q21" s="34" t="str">
        <f t="shared" si="7"/>
        <v/>
      </c>
      <c r="R21" s="33"/>
      <c r="S21">
        <f t="shared" si="4"/>
        <v>3</v>
      </c>
      <c r="T21" t="str">
        <f t="shared" si="8"/>
        <v>am</v>
      </c>
      <c r="U21" t="str">
        <f t="shared" si="9"/>
        <v>ap̚</v>
      </c>
      <c r="W21" t="str">
        <f t="shared" si="5"/>
        <v/>
      </c>
      <c r="X21" t="str">
        <f t="shared" si="6"/>
        <v/>
      </c>
      <c r="Y21" t="str">
        <f t="shared" si="10"/>
        <v/>
      </c>
    </row>
    <row r="22" spans="1:25" ht="33.75" thickBot="1">
      <c r="A22">
        <f t="shared" si="2"/>
        <v>20</v>
      </c>
      <c r="B22" s="41" t="s">
        <v>224</v>
      </c>
      <c r="C22" s="39" t="s">
        <v>892</v>
      </c>
      <c r="D22" s="35" t="s">
        <v>223</v>
      </c>
      <c r="E22" s="35" t="s">
        <v>670</v>
      </c>
      <c r="F22" s="39" t="s">
        <v>892</v>
      </c>
      <c r="G22" s="35" t="s">
        <v>223</v>
      </c>
      <c r="H22" s="35" t="s">
        <v>670</v>
      </c>
      <c r="I22" s="35" t="s">
        <v>1020</v>
      </c>
      <c r="J22" s="35" t="s">
        <v>996</v>
      </c>
      <c r="K22" s="35" t="s">
        <v>1020</v>
      </c>
      <c r="L22" s="35" t="s">
        <v>996</v>
      </c>
      <c r="M22" s="33"/>
      <c r="N22" s="34" t="str">
        <f t="shared" si="0"/>
        <v>ua</v>
      </c>
      <c r="O22" s="34" t="str">
        <f t="shared" si="3"/>
        <v>uaʔ</v>
      </c>
      <c r="P22" s="34"/>
      <c r="Q22" s="34" t="str">
        <f t="shared" si="7"/>
        <v/>
      </c>
      <c r="R22" s="33"/>
      <c r="S22" t="str">
        <f t="shared" si="4"/>
        <v/>
      </c>
      <c r="T22" t="str">
        <f t="shared" si="8"/>
        <v/>
      </c>
      <c r="U22" t="str">
        <f t="shared" si="9"/>
        <v/>
      </c>
      <c r="W22">
        <f t="shared" si="5"/>
        <v>3</v>
      </c>
      <c r="X22" t="str">
        <f t="shared" si="6"/>
        <v>ua</v>
      </c>
      <c r="Y22" t="str">
        <f t="shared" si="10"/>
        <v>uaʔ</v>
      </c>
    </row>
    <row r="23" spans="1:25" ht="33.75" thickBot="1">
      <c r="A23">
        <f t="shared" si="2"/>
        <v>21</v>
      </c>
      <c r="B23" s="41" t="s">
        <v>236</v>
      </c>
      <c r="C23" s="39" t="s">
        <v>893</v>
      </c>
      <c r="D23" s="35" t="s">
        <v>235</v>
      </c>
      <c r="E23" s="35" t="s">
        <v>243</v>
      </c>
      <c r="F23" s="39" t="s">
        <v>949</v>
      </c>
      <c r="G23" s="35" t="s">
        <v>235</v>
      </c>
      <c r="H23" s="35" t="s">
        <v>241</v>
      </c>
      <c r="I23" s="35" t="s">
        <v>1021</v>
      </c>
      <c r="J23" s="35" t="s">
        <v>984</v>
      </c>
      <c r="K23" s="35" t="s">
        <v>1021</v>
      </c>
      <c r="L23" s="35" t="s">
        <v>984</v>
      </c>
      <c r="M23" s="33"/>
      <c r="N23" s="34" t="str">
        <f t="shared" si="0"/>
        <v>an</v>
      </c>
      <c r="O23" s="34" t="str">
        <f t="shared" si="3"/>
        <v>ak̚</v>
      </c>
      <c r="P23" s="34"/>
      <c r="Q23" s="34" t="str">
        <f t="shared" si="7"/>
        <v/>
      </c>
      <c r="R23" s="33"/>
      <c r="S23">
        <f t="shared" si="4"/>
        <v>3</v>
      </c>
      <c r="T23" t="str">
        <f t="shared" si="8"/>
        <v>an</v>
      </c>
      <c r="U23" t="str">
        <f t="shared" si="9"/>
        <v>ak̚</v>
      </c>
      <c r="W23" t="str">
        <f t="shared" si="5"/>
        <v/>
      </c>
      <c r="X23" t="str">
        <f t="shared" si="6"/>
        <v/>
      </c>
      <c r="Y23" t="str">
        <f t="shared" si="10"/>
        <v/>
      </c>
    </row>
    <row r="24" spans="1:25" ht="33.75" thickBot="1">
      <c r="A24">
        <f t="shared" si="2"/>
        <v>22</v>
      </c>
      <c r="B24" s="41" t="s">
        <v>248</v>
      </c>
      <c r="C24" s="39" t="s">
        <v>820</v>
      </c>
      <c r="D24" s="35" t="s">
        <v>247</v>
      </c>
      <c r="E24" s="35" t="s">
        <v>256</v>
      </c>
      <c r="F24" s="39" t="s">
        <v>950</v>
      </c>
      <c r="G24" s="35" t="s">
        <v>247</v>
      </c>
      <c r="H24" s="35" t="s">
        <v>254</v>
      </c>
      <c r="I24" s="35" t="s">
        <v>1022</v>
      </c>
      <c r="J24" s="35" t="s">
        <v>997</v>
      </c>
      <c r="K24" s="35" t="s">
        <v>1022</v>
      </c>
      <c r="L24" s="35" t="s">
        <v>997</v>
      </c>
      <c r="M24" s="33"/>
      <c r="N24" s="34" t="str">
        <f t="shared" si="0"/>
        <v>iam</v>
      </c>
      <c r="O24" s="34" t="str">
        <f t="shared" si="3"/>
        <v>iap̚</v>
      </c>
      <c r="P24" s="34"/>
      <c r="Q24" s="34" t="str">
        <f t="shared" si="7"/>
        <v/>
      </c>
      <c r="R24" s="33"/>
      <c r="S24">
        <f t="shared" si="4"/>
        <v>4</v>
      </c>
      <c r="T24" t="str">
        <f t="shared" si="8"/>
        <v>iam</v>
      </c>
      <c r="U24" t="str">
        <f t="shared" si="9"/>
        <v>iap̚</v>
      </c>
      <c r="W24" t="str">
        <f t="shared" si="5"/>
        <v/>
      </c>
      <c r="X24" t="str">
        <f t="shared" si="6"/>
        <v/>
      </c>
      <c r="Y24" t="str">
        <f t="shared" si="10"/>
        <v/>
      </c>
    </row>
    <row r="25" spans="1:25" ht="33.75" thickBot="1">
      <c r="A25">
        <f t="shared" si="2"/>
        <v>23</v>
      </c>
      <c r="B25" s="41" t="s">
        <v>261</v>
      </c>
      <c r="C25" s="39" t="s">
        <v>894</v>
      </c>
      <c r="D25" s="35" t="s">
        <v>260</v>
      </c>
      <c r="E25" s="35" t="s">
        <v>660</v>
      </c>
      <c r="F25" s="39" t="s">
        <v>951</v>
      </c>
      <c r="G25" s="35" t="s">
        <v>972</v>
      </c>
      <c r="H25" s="35" t="s">
        <v>973</v>
      </c>
      <c r="I25" s="35" t="s">
        <v>1023</v>
      </c>
      <c r="J25" s="35" t="s">
        <v>998</v>
      </c>
      <c r="K25" s="35" t="s">
        <v>1043</v>
      </c>
      <c r="L25" s="35" t="s">
        <v>1042</v>
      </c>
      <c r="M25" s="33"/>
      <c r="N25" s="34" t="str">
        <f t="shared" si="0"/>
        <v>aʊ</v>
      </c>
      <c r="O25" s="34" t="str">
        <f t="shared" si="3"/>
        <v>aʊʔ</v>
      </c>
      <c r="P25" s="34"/>
      <c r="Q25" s="34" t="str">
        <f t="shared" si="7"/>
        <v/>
      </c>
      <c r="R25" s="33"/>
      <c r="S25" t="str">
        <f t="shared" si="4"/>
        <v/>
      </c>
      <c r="T25" t="str">
        <f t="shared" si="8"/>
        <v/>
      </c>
      <c r="U25" t="str">
        <f t="shared" si="9"/>
        <v/>
      </c>
      <c r="W25">
        <f t="shared" si="5"/>
        <v>3</v>
      </c>
      <c r="X25" t="str">
        <f t="shared" si="6"/>
        <v>aʊ</v>
      </c>
      <c r="Y25" t="str">
        <f t="shared" si="10"/>
        <v>aʊʔ</v>
      </c>
    </row>
    <row r="26" spans="1:25" ht="33.75" thickBot="1">
      <c r="A26">
        <f t="shared" si="2"/>
        <v>24</v>
      </c>
      <c r="B26" s="41" t="s">
        <v>273</v>
      </c>
      <c r="C26" s="39" t="s">
        <v>895</v>
      </c>
      <c r="D26" s="35" t="s">
        <v>272</v>
      </c>
      <c r="E26" s="35" t="s">
        <v>661</v>
      </c>
      <c r="F26" s="39" t="s">
        <v>952</v>
      </c>
      <c r="G26" s="35" t="s">
        <v>974</v>
      </c>
      <c r="H26" s="35" t="s">
        <v>1055</v>
      </c>
      <c r="I26" s="35" t="s">
        <v>1024</v>
      </c>
      <c r="J26" s="35" t="s">
        <v>999</v>
      </c>
      <c r="K26" s="35" t="s">
        <v>1024</v>
      </c>
      <c r="L26" s="35" t="s">
        <v>999</v>
      </c>
      <c r="M26" s="33"/>
      <c r="N26" s="34" t="str">
        <f t="shared" si="0"/>
        <v>ɪa</v>
      </c>
      <c r="O26" s="34" t="str">
        <f t="shared" si="3"/>
        <v>ɪaʔ</v>
      </c>
      <c r="P26" s="34"/>
      <c r="Q26" s="34" t="str">
        <f t="shared" si="7"/>
        <v/>
      </c>
      <c r="R26" s="33"/>
      <c r="S26" t="str">
        <f t="shared" si="4"/>
        <v/>
      </c>
      <c r="T26" t="str">
        <f t="shared" si="8"/>
        <v/>
      </c>
      <c r="U26" t="str">
        <f t="shared" si="9"/>
        <v/>
      </c>
      <c r="W26">
        <f t="shared" si="5"/>
        <v>3</v>
      </c>
      <c r="X26" t="str">
        <f t="shared" si="6"/>
        <v>ɪa</v>
      </c>
      <c r="Y26" t="str">
        <f t="shared" si="10"/>
        <v>ɪaʔ</v>
      </c>
    </row>
    <row r="27" spans="1:25" ht="33.75" thickBot="1">
      <c r="A27">
        <f t="shared" si="2"/>
        <v>25</v>
      </c>
      <c r="B27" s="41" t="s">
        <v>283</v>
      </c>
      <c r="C27" s="39" t="s">
        <v>896</v>
      </c>
      <c r="D27" s="35" t="s">
        <v>282</v>
      </c>
      <c r="E27" s="35" t="s">
        <v>925</v>
      </c>
      <c r="F27" s="39" t="s">
        <v>953</v>
      </c>
      <c r="G27" s="35" t="s">
        <v>285</v>
      </c>
      <c r="H27" s="35" t="s">
        <v>1056</v>
      </c>
      <c r="I27" s="35" t="s">
        <v>1025</v>
      </c>
      <c r="J27" s="35" t="s">
        <v>1000</v>
      </c>
      <c r="K27" s="35" t="s">
        <v>1025</v>
      </c>
      <c r="L27" s="35" t="s">
        <v>1000</v>
      </c>
      <c r="M27" s="33"/>
      <c r="N27" s="34" t="str">
        <f t="shared" si="0"/>
        <v>ue</v>
      </c>
      <c r="O27" s="34" t="str">
        <f t="shared" si="3"/>
        <v>ue(</v>
      </c>
      <c r="P27" s="34"/>
      <c r="Q27" s="34" t="str">
        <f t="shared" si="7"/>
        <v/>
      </c>
      <c r="R27" s="33"/>
      <c r="S27" t="str">
        <f t="shared" si="4"/>
        <v/>
      </c>
      <c r="T27" t="str">
        <f t="shared" si="8"/>
        <v/>
      </c>
      <c r="U27" t="str">
        <f t="shared" si="9"/>
        <v/>
      </c>
      <c r="W27">
        <f t="shared" si="5"/>
        <v>3</v>
      </c>
      <c r="X27" t="str">
        <f t="shared" si="6"/>
        <v>ue</v>
      </c>
      <c r="Y27" t="str">
        <f t="shared" si="10"/>
        <v>ue(</v>
      </c>
    </row>
    <row r="28" spans="1:25" ht="33.75" thickBot="1">
      <c r="A28">
        <f t="shared" si="2"/>
        <v>26</v>
      </c>
      <c r="B28" s="41" t="s">
        <v>295</v>
      </c>
      <c r="C28" s="39" t="s">
        <v>897</v>
      </c>
      <c r="D28" s="35" t="s">
        <v>926</v>
      </c>
      <c r="E28" s="35" t="s">
        <v>664</v>
      </c>
      <c r="F28" s="39" t="s">
        <v>897</v>
      </c>
      <c r="G28" s="35" t="s">
        <v>926</v>
      </c>
      <c r="H28" s="35" t="s">
        <v>664</v>
      </c>
      <c r="I28" s="35" t="s">
        <v>1026</v>
      </c>
      <c r="J28" s="35" t="s">
        <v>1001</v>
      </c>
      <c r="K28" s="35" t="s">
        <v>1045</v>
      </c>
      <c r="L28" s="35" t="s">
        <v>1044</v>
      </c>
      <c r="M28" s="33"/>
      <c r="N28" s="34" t="str">
        <f t="shared" si="0"/>
        <v>ã</v>
      </c>
      <c r="O28" s="34" t="str">
        <f t="shared" si="3"/>
        <v>ãʔ</v>
      </c>
      <c r="P28" s="34"/>
      <c r="Q28" s="34" t="str">
        <f t="shared" si="7"/>
        <v/>
      </c>
      <c r="R28" s="33"/>
      <c r="S28" t="str">
        <f t="shared" si="4"/>
        <v/>
      </c>
      <c r="T28" t="str">
        <f t="shared" si="8"/>
        <v/>
      </c>
      <c r="U28" t="str">
        <f t="shared" si="9"/>
        <v/>
      </c>
      <c r="W28">
        <f t="shared" si="5"/>
        <v>2</v>
      </c>
      <c r="X28" t="str">
        <f t="shared" si="6"/>
        <v>ã</v>
      </c>
      <c r="Y28" t="str">
        <f t="shared" si="10"/>
        <v>ãʔ</v>
      </c>
    </row>
    <row r="29" spans="1:25" ht="33.75" thickBot="1">
      <c r="A29">
        <f t="shared" si="2"/>
        <v>27</v>
      </c>
      <c r="B29" s="41" t="s">
        <v>309</v>
      </c>
      <c r="C29" s="39" t="s">
        <v>898</v>
      </c>
      <c r="D29" s="35" t="s">
        <v>308</v>
      </c>
      <c r="E29" s="35" t="s">
        <v>684</v>
      </c>
      <c r="F29" s="39" t="s">
        <v>898</v>
      </c>
      <c r="G29" s="35" t="s">
        <v>308</v>
      </c>
      <c r="H29" s="35" t="s">
        <v>684</v>
      </c>
      <c r="I29" s="35" t="s">
        <v>1027</v>
      </c>
      <c r="J29" s="35" t="s">
        <v>1002</v>
      </c>
      <c r="K29" s="35" t="s">
        <v>1027</v>
      </c>
      <c r="L29" s="35" t="s">
        <v>1002</v>
      </c>
      <c r="M29" s="33"/>
      <c r="N29" s="34" t="str">
        <f t="shared" si="0"/>
        <v>u</v>
      </c>
      <c r="O29" s="34" t="str">
        <f t="shared" si="3"/>
        <v>uʔ</v>
      </c>
      <c r="P29" s="34"/>
      <c r="Q29" s="34" t="str">
        <f t="shared" si="7"/>
        <v/>
      </c>
      <c r="R29" s="33"/>
      <c r="S29" t="str">
        <f t="shared" si="4"/>
        <v/>
      </c>
      <c r="T29" t="str">
        <f t="shared" si="8"/>
        <v/>
      </c>
      <c r="U29" t="str">
        <f t="shared" si="9"/>
        <v/>
      </c>
      <c r="W29">
        <f t="shared" si="5"/>
        <v>2</v>
      </c>
      <c r="X29" t="str">
        <f t="shared" si="6"/>
        <v>u</v>
      </c>
      <c r="Y29" t="str">
        <f t="shared" si="10"/>
        <v>uʔ</v>
      </c>
    </row>
    <row r="30" spans="1:25" ht="33.75" thickBot="1">
      <c r="A30">
        <f t="shared" si="2"/>
        <v>28</v>
      </c>
      <c r="B30" s="41" t="s">
        <v>317</v>
      </c>
      <c r="C30" s="39" t="s">
        <v>899</v>
      </c>
      <c r="D30" s="35" t="s">
        <v>316</v>
      </c>
      <c r="E30" s="35" t="s">
        <v>672</v>
      </c>
      <c r="F30" s="39" t="s">
        <v>899</v>
      </c>
      <c r="G30" s="35" t="s">
        <v>316</v>
      </c>
      <c r="H30" s="35" t="s">
        <v>672</v>
      </c>
      <c r="I30" s="35" t="s">
        <v>1028</v>
      </c>
      <c r="J30" s="35" t="s">
        <v>654</v>
      </c>
      <c r="K30" s="35" t="s">
        <v>1028</v>
      </c>
      <c r="L30" s="35" t="s">
        <v>654</v>
      </c>
      <c r="M30" s="33"/>
      <c r="N30" s="34" t="str">
        <f t="shared" si="0"/>
        <v>a</v>
      </c>
      <c r="O30" s="34" t="str">
        <f t="shared" si="3"/>
        <v>aʔ</v>
      </c>
      <c r="P30" s="34"/>
      <c r="Q30" s="34" t="str">
        <f t="shared" si="7"/>
        <v/>
      </c>
      <c r="R30" s="33"/>
      <c r="S30" t="str">
        <f t="shared" si="4"/>
        <v/>
      </c>
      <c r="T30" t="str">
        <f t="shared" si="8"/>
        <v/>
      </c>
      <c r="U30" t="str">
        <f t="shared" si="9"/>
        <v/>
      </c>
      <c r="W30">
        <f t="shared" si="5"/>
        <v>2</v>
      </c>
      <c r="X30" t="str">
        <f t="shared" si="6"/>
        <v>a</v>
      </c>
      <c r="Y30" t="str">
        <f t="shared" si="10"/>
        <v>aʔ</v>
      </c>
    </row>
    <row r="31" spans="1:25" ht="33.75" thickBot="1">
      <c r="A31">
        <f t="shared" si="2"/>
        <v>29</v>
      </c>
      <c r="B31" s="41" t="s">
        <v>325</v>
      </c>
      <c r="C31" s="39" t="s">
        <v>900</v>
      </c>
      <c r="D31" s="35" t="s">
        <v>324</v>
      </c>
      <c r="E31" s="35" t="s">
        <v>677</v>
      </c>
      <c r="F31" s="39" t="s">
        <v>900</v>
      </c>
      <c r="G31" s="35" t="s">
        <v>324</v>
      </c>
      <c r="H31" s="35" t="s">
        <v>677</v>
      </c>
      <c r="I31" s="35" t="s">
        <v>1029</v>
      </c>
      <c r="J31" s="35" t="s">
        <v>1003</v>
      </c>
      <c r="K31" s="35" t="s">
        <v>1029</v>
      </c>
      <c r="L31" s="35" t="s">
        <v>1003</v>
      </c>
      <c r="M31" s="33"/>
      <c r="N31" s="34" t="str">
        <f t="shared" si="0"/>
        <v>i</v>
      </c>
      <c r="O31" s="34" t="str">
        <f t="shared" si="3"/>
        <v>iʔ</v>
      </c>
      <c r="P31" s="34"/>
      <c r="Q31" s="34" t="str">
        <f t="shared" si="7"/>
        <v/>
      </c>
      <c r="R31" s="33"/>
      <c r="S31" t="str">
        <f t="shared" si="4"/>
        <v/>
      </c>
      <c r="T31" t="str">
        <f t="shared" si="8"/>
        <v/>
      </c>
      <c r="U31" t="str">
        <f t="shared" si="9"/>
        <v/>
      </c>
      <c r="W31">
        <f t="shared" si="5"/>
        <v>2</v>
      </c>
      <c r="X31" t="str">
        <f t="shared" si="6"/>
        <v>i</v>
      </c>
      <c r="Y31" t="str">
        <f t="shared" si="10"/>
        <v>iʔ</v>
      </c>
    </row>
    <row r="32" spans="1:25" ht="33.75" thickBot="1">
      <c r="A32">
        <f t="shared" si="2"/>
        <v>30</v>
      </c>
      <c r="B32" s="41" t="s">
        <v>333</v>
      </c>
      <c r="C32" s="39" t="s">
        <v>332</v>
      </c>
      <c r="D32" s="35" t="s">
        <v>332</v>
      </c>
      <c r="E32" s="40" t="s">
        <v>623</v>
      </c>
      <c r="F32" s="39" t="s">
        <v>332</v>
      </c>
      <c r="G32" s="35" t="s">
        <v>332</v>
      </c>
      <c r="H32" s="40" t="s">
        <v>623</v>
      </c>
      <c r="I32" s="35" t="s">
        <v>332</v>
      </c>
      <c r="J32" s="40" t="s">
        <v>623</v>
      </c>
      <c r="K32" s="35" t="s">
        <v>332</v>
      </c>
      <c r="L32" s="40" t="s">
        <v>623</v>
      </c>
      <c r="M32" s="33"/>
      <c r="N32" s="34" t="str">
        <f t="shared" si="0"/>
        <v>iu</v>
      </c>
      <c r="O32" s="34" t="str">
        <f t="shared" si="3"/>
        <v/>
      </c>
      <c r="P32" s="34"/>
      <c r="Q32" s="34" t="str">
        <f t="shared" si="7"/>
        <v>iu</v>
      </c>
      <c r="R32" s="33"/>
      <c r="S32" t="str">
        <f t="shared" si="4"/>
        <v/>
      </c>
      <c r="T32" t="str">
        <f t="shared" si="8"/>
        <v/>
      </c>
      <c r="U32" t="str">
        <f t="shared" si="9"/>
        <v/>
      </c>
      <c r="W32" t="str">
        <f t="shared" si="5"/>
        <v/>
      </c>
      <c r="X32" t="str">
        <f t="shared" si="6"/>
        <v/>
      </c>
      <c r="Y32" t="str">
        <f t="shared" si="10"/>
        <v/>
      </c>
    </row>
    <row r="33" spans="1:25" ht="33.75" thickBot="1">
      <c r="A33">
        <f t="shared" si="2"/>
        <v>31</v>
      </c>
      <c r="B33" s="41" t="s">
        <v>338</v>
      </c>
      <c r="C33" s="39" t="s">
        <v>337</v>
      </c>
      <c r="D33" s="35" t="s">
        <v>337</v>
      </c>
      <c r="E33" s="40" t="s">
        <v>623</v>
      </c>
      <c r="F33" s="39" t="s">
        <v>954</v>
      </c>
      <c r="G33" s="35" t="s">
        <v>954</v>
      </c>
      <c r="H33" s="40" t="s">
        <v>623</v>
      </c>
      <c r="I33" s="35" t="s">
        <v>342</v>
      </c>
      <c r="J33" s="40" t="s">
        <v>623</v>
      </c>
      <c r="K33" s="35" t="s">
        <v>340</v>
      </c>
      <c r="L33" s="40" t="s">
        <v>623</v>
      </c>
      <c r="M33" s="33"/>
      <c r="N33" s="34" t="str">
        <f t="shared" si="0"/>
        <v>ẽ</v>
      </c>
      <c r="O33" s="34" t="str">
        <f t="shared" si="3"/>
        <v/>
      </c>
      <c r="P33" s="34"/>
      <c r="Q33" s="34" t="str">
        <f t="shared" si="7"/>
        <v>ẽ</v>
      </c>
      <c r="R33" s="33"/>
      <c r="S33" t="str">
        <f t="shared" si="4"/>
        <v/>
      </c>
      <c r="T33" t="str">
        <f t="shared" si="8"/>
        <v/>
      </c>
      <c r="U33" t="str">
        <f t="shared" si="9"/>
        <v/>
      </c>
      <c r="W33" t="str">
        <f t="shared" si="5"/>
        <v/>
      </c>
      <c r="X33" t="str">
        <f t="shared" si="6"/>
        <v/>
      </c>
      <c r="Y33" t="str">
        <f t="shared" si="10"/>
        <v/>
      </c>
    </row>
    <row r="34" spans="1:25" ht="33.75" thickBot="1">
      <c r="A34">
        <f t="shared" si="2"/>
        <v>32</v>
      </c>
      <c r="B34" s="41" t="s">
        <v>349</v>
      </c>
      <c r="C34" s="39" t="s">
        <v>901</v>
      </c>
      <c r="D34" s="35" t="s">
        <v>901</v>
      </c>
      <c r="E34" s="40" t="s">
        <v>623</v>
      </c>
      <c r="F34" s="39" t="s">
        <v>901</v>
      </c>
      <c r="G34" s="35" t="s">
        <v>1893</v>
      </c>
      <c r="H34" s="40" t="s">
        <v>623</v>
      </c>
      <c r="I34" s="35" t="s">
        <v>353</v>
      </c>
      <c r="J34" s="40" t="s">
        <v>623</v>
      </c>
      <c r="K34" s="35" t="s">
        <v>351</v>
      </c>
      <c r="L34" s="40" t="s">
        <v>623</v>
      </c>
      <c r="M34" s="33"/>
      <c r="N34" s="34" t="str">
        <f t="shared" si="0"/>
        <v>ũĩ</v>
      </c>
      <c r="O34" s="34" t="str">
        <f t="shared" si="3"/>
        <v/>
      </c>
      <c r="P34" s="34"/>
      <c r="Q34" s="34" t="str">
        <f t="shared" si="7"/>
        <v>ũĩ</v>
      </c>
      <c r="R34" s="33"/>
      <c r="S34" t="str">
        <f t="shared" si="4"/>
        <v/>
      </c>
      <c r="T34" t="str">
        <f t="shared" si="8"/>
        <v/>
      </c>
      <c r="U34" t="str">
        <f t="shared" si="9"/>
        <v/>
      </c>
      <c r="W34" t="str">
        <f t="shared" si="5"/>
        <v/>
      </c>
      <c r="X34" t="str">
        <f t="shared" si="6"/>
        <v/>
      </c>
      <c r="Y34" t="str">
        <f t="shared" si="10"/>
        <v/>
      </c>
    </row>
    <row r="35" spans="1:25" ht="33.75" thickBot="1">
      <c r="A35">
        <f t="shared" si="2"/>
        <v>33</v>
      </c>
      <c r="B35" s="41" t="s">
        <v>358</v>
      </c>
      <c r="C35" s="39" t="s">
        <v>902</v>
      </c>
      <c r="D35" s="35" t="s">
        <v>357</v>
      </c>
      <c r="E35" s="35" t="s">
        <v>662</v>
      </c>
      <c r="F35" s="39" t="s">
        <v>955</v>
      </c>
      <c r="G35" s="35" t="s">
        <v>975</v>
      </c>
      <c r="H35" s="35" t="s">
        <v>976</v>
      </c>
      <c r="I35" s="35" t="s">
        <v>1030</v>
      </c>
      <c r="J35" s="35" t="s">
        <v>693</v>
      </c>
      <c r="K35" s="35" t="s">
        <v>1030</v>
      </c>
      <c r="L35" s="35" t="s">
        <v>693</v>
      </c>
      <c r="M35" s="33"/>
      <c r="N35" s="34" t="str">
        <f t="shared" si="0"/>
        <v>ɪo</v>
      </c>
      <c r="O35" s="34" t="str">
        <f t="shared" si="3"/>
        <v>ɪoʔ</v>
      </c>
      <c r="P35" s="34"/>
      <c r="Q35" s="34" t="str">
        <f t="shared" si="7"/>
        <v/>
      </c>
      <c r="R35" s="33"/>
      <c r="S35" t="str">
        <f t="shared" si="4"/>
        <v/>
      </c>
      <c r="T35" t="str">
        <f t="shared" si="8"/>
        <v/>
      </c>
      <c r="U35" t="str">
        <f t="shared" si="9"/>
        <v/>
      </c>
      <c r="W35">
        <f t="shared" si="5"/>
        <v>3</v>
      </c>
      <c r="X35" t="str">
        <f t="shared" si="6"/>
        <v>ɪo</v>
      </c>
      <c r="Y35" t="str">
        <f t="shared" si="10"/>
        <v>ɪoʔ</v>
      </c>
    </row>
    <row r="36" spans="1:25" ht="33.75" thickBot="1">
      <c r="A36">
        <f t="shared" si="2"/>
        <v>34</v>
      </c>
      <c r="B36" s="41" t="s">
        <v>368</v>
      </c>
      <c r="C36" s="39" t="s">
        <v>903</v>
      </c>
      <c r="D36" s="35" t="s">
        <v>367</v>
      </c>
      <c r="E36" s="35" t="s">
        <v>927</v>
      </c>
      <c r="F36" s="39" t="s">
        <v>903</v>
      </c>
      <c r="G36" s="35" t="s">
        <v>367</v>
      </c>
      <c r="H36" s="35" t="s">
        <v>927</v>
      </c>
      <c r="I36" s="35" t="s">
        <v>1031</v>
      </c>
      <c r="J36" s="35" t="s">
        <v>1004</v>
      </c>
      <c r="K36" s="35" t="s">
        <v>1047</v>
      </c>
      <c r="L36" s="35" t="s">
        <v>1046</v>
      </c>
      <c r="M36" s="33"/>
      <c r="N36" s="34" t="str">
        <f t="shared" si="0"/>
        <v>ĩ</v>
      </c>
      <c r="O36" s="34" t="str">
        <f t="shared" si="3"/>
        <v>ĩʔ</v>
      </c>
      <c r="P36" s="34"/>
      <c r="Q36" s="34" t="str">
        <f t="shared" si="7"/>
        <v/>
      </c>
      <c r="R36" s="33"/>
      <c r="S36" t="str">
        <f t="shared" si="4"/>
        <v/>
      </c>
      <c r="T36" t="str">
        <f t="shared" si="8"/>
        <v/>
      </c>
      <c r="U36" t="str">
        <f t="shared" si="9"/>
        <v/>
      </c>
      <c r="W36">
        <f t="shared" si="5"/>
        <v>2</v>
      </c>
      <c r="X36" t="str">
        <f t="shared" si="6"/>
        <v>ĩ</v>
      </c>
      <c r="Y36" t="str">
        <f t="shared" si="10"/>
        <v>ĩʔ</v>
      </c>
    </row>
    <row r="37" spans="1:25" ht="33.75" thickBot="1">
      <c r="A37">
        <f t="shared" si="2"/>
        <v>35</v>
      </c>
      <c r="B37" s="41" t="s">
        <v>381</v>
      </c>
      <c r="C37" s="39" t="s">
        <v>904</v>
      </c>
      <c r="D37" s="35" t="s">
        <v>904</v>
      </c>
      <c r="E37" s="40" t="s">
        <v>623</v>
      </c>
      <c r="F37" s="39" t="s">
        <v>956</v>
      </c>
      <c r="G37" s="35" t="s">
        <v>380</v>
      </c>
      <c r="H37" s="40" t="s">
        <v>623</v>
      </c>
      <c r="I37" s="35" t="s">
        <v>385</v>
      </c>
      <c r="J37" s="40" t="s">
        <v>623</v>
      </c>
      <c r="K37" s="35" t="s">
        <v>383</v>
      </c>
      <c r="L37" s="40" t="s">
        <v>623</v>
      </c>
      <c r="M37" s="33"/>
      <c r="N37" s="34" t="str">
        <f t="shared" si="0"/>
        <v>ĩɔ̃</v>
      </c>
      <c r="O37" s="34" t="str">
        <f t="shared" si="3"/>
        <v/>
      </c>
      <c r="P37" s="34"/>
      <c r="Q37" s="34" t="str">
        <f t="shared" si="7"/>
        <v>ĩɔ̃</v>
      </c>
      <c r="R37" s="33"/>
      <c r="S37" t="str">
        <f t="shared" si="4"/>
        <v/>
      </c>
      <c r="T37" t="str">
        <f t="shared" si="8"/>
        <v/>
      </c>
      <c r="U37" t="str">
        <f t="shared" si="9"/>
        <v/>
      </c>
      <c r="W37" t="str">
        <f t="shared" si="5"/>
        <v/>
      </c>
      <c r="X37" t="str">
        <f t="shared" si="6"/>
        <v/>
      </c>
      <c r="Y37" t="str">
        <f t="shared" si="10"/>
        <v/>
      </c>
    </row>
    <row r="38" spans="1:25" ht="33.75" thickBot="1">
      <c r="A38">
        <f t="shared" si="2"/>
        <v>36</v>
      </c>
      <c r="B38" s="41" t="s">
        <v>389</v>
      </c>
      <c r="C38" s="39" t="s">
        <v>905</v>
      </c>
      <c r="D38" s="35" t="s">
        <v>905</v>
      </c>
      <c r="E38" s="40" t="s">
        <v>623</v>
      </c>
      <c r="F38" s="39" t="s">
        <v>905</v>
      </c>
      <c r="G38" s="35" t="s">
        <v>1438</v>
      </c>
      <c r="H38" s="40" t="s">
        <v>623</v>
      </c>
      <c r="I38" s="35" t="s">
        <v>394</v>
      </c>
      <c r="J38" s="40" t="s">
        <v>623</v>
      </c>
      <c r="K38" s="35" t="s">
        <v>391</v>
      </c>
      <c r="L38" s="40" t="s">
        <v>623</v>
      </c>
      <c r="M38" s="33"/>
      <c r="N38" s="34" t="str">
        <f t="shared" si="0"/>
        <v>ĩã</v>
      </c>
      <c r="O38" s="34" t="str">
        <f t="shared" si="3"/>
        <v/>
      </c>
      <c r="P38" s="34"/>
      <c r="Q38" s="34" t="str">
        <f t="shared" si="7"/>
        <v>ĩã</v>
      </c>
      <c r="R38" s="33"/>
      <c r="S38" t="str">
        <f t="shared" si="4"/>
        <v/>
      </c>
      <c r="T38" t="str">
        <f t="shared" si="8"/>
        <v/>
      </c>
      <c r="U38" t="str">
        <f t="shared" si="9"/>
        <v/>
      </c>
      <c r="W38" t="str">
        <f t="shared" si="5"/>
        <v/>
      </c>
      <c r="X38" t="str">
        <f t="shared" si="6"/>
        <v/>
      </c>
      <c r="Y38" t="str">
        <f t="shared" si="10"/>
        <v/>
      </c>
    </row>
    <row r="39" spans="1:25" ht="33.75" thickBot="1">
      <c r="A39">
        <f t="shared" si="2"/>
        <v>37</v>
      </c>
      <c r="B39" s="41" t="s">
        <v>397</v>
      </c>
      <c r="C39" s="39" t="s">
        <v>906</v>
      </c>
      <c r="D39" s="35" t="s">
        <v>906</v>
      </c>
      <c r="E39" s="40" t="s">
        <v>623</v>
      </c>
      <c r="F39" s="39" t="s">
        <v>906</v>
      </c>
      <c r="G39" s="35" t="s">
        <v>1785</v>
      </c>
      <c r="H39" s="40" t="s">
        <v>623</v>
      </c>
      <c r="I39" s="35" t="s">
        <v>401</v>
      </c>
      <c r="J39" s="40" t="s">
        <v>623</v>
      </c>
      <c r="K39" s="35" t="s">
        <v>399</v>
      </c>
      <c r="L39" s="40" t="s">
        <v>623</v>
      </c>
      <c r="M39" s="33"/>
      <c r="N39" s="34" t="str">
        <f t="shared" si="0"/>
        <v>ũã</v>
      </c>
      <c r="O39" s="34" t="str">
        <f t="shared" si="3"/>
        <v/>
      </c>
      <c r="P39" s="34"/>
      <c r="Q39" s="34" t="str">
        <f t="shared" si="7"/>
        <v>ũã</v>
      </c>
      <c r="R39" s="33"/>
      <c r="S39" t="str">
        <f t="shared" si="4"/>
        <v/>
      </c>
      <c r="T39" t="str">
        <f t="shared" si="8"/>
        <v/>
      </c>
      <c r="U39" t="str">
        <f t="shared" si="9"/>
        <v/>
      </c>
      <c r="W39" t="str">
        <f t="shared" si="5"/>
        <v/>
      </c>
      <c r="X39" t="str">
        <f t="shared" si="6"/>
        <v/>
      </c>
      <c r="Y39" t="str">
        <f t="shared" si="10"/>
        <v/>
      </c>
    </row>
    <row r="40" spans="1:25" ht="33.75" thickBot="1">
      <c r="A40">
        <f t="shared" si="2"/>
        <v>38</v>
      </c>
      <c r="B40" s="41" t="s">
        <v>405</v>
      </c>
      <c r="C40" s="39" t="s">
        <v>592</v>
      </c>
      <c r="D40" s="35" t="s">
        <v>592</v>
      </c>
      <c r="E40" s="40" t="s">
        <v>623</v>
      </c>
      <c r="F40" s="39" t="s">
        <v>404</v>
      </c>
      <c r="G40" s="35" t="s">
        <v>404</v>
      </c>
      <c r="H40" s="40" t="s">
        <v>623</v>
      </c>
      <c r="I40" s="35" t="s">
        <v>407</v>
      </c>
      <c r="J40" s="40" t="s">
        <v>623</v>
      </c>
      <c r="K40" s="35" t="s">
        <v>407</v>
      </c>
      <c r="L40" s="40" t="s">
        <v>623</v>
      </c>
      <c r="M40" s="33"/>
      <c r="N40" s="34" t="str">
        <f t="shared" si="0"/>
        <v>ŋ̍</v>
      </c>
      <c r="O40" s="34" t="str">
        <f t="shared" si="3"/>
        <v/>
      </c>
      <c r="P40" s="34"/>
      <c r="Q40" s="34" t="str">
        <f t="shared" si="7"/>
        <v>ŋ̍</v>
      </c>
      <c r="R40" s="33"/>
      <c r="S40" t="str">
        <f t="shared" si="4"/>
        <v/>
      </c>
      <c r="T40" t="str">
        <f t="shared" si="8"/>
        <v/>
      </c>
      <c r="U40" t="str">
        <f t="shared" si="9"/>
        <v/>
      </c>
      <c r="W40" t="str">
        <f t="shared" si="5"/>
        <v/>
      </c>
      <c r="X40" t="str">
        <f t="shared" si="6"/>
        <v/>
      </c>
      <c r="Y40" t="str">
        <f t="shared" si="10"/>
        <v/>
      </c>
    </row>
    <row r="41" spans="1:25" ht="33.75" thickBot="1">
      <c r="A41">
        <f t="shared" si="2"/>
        <v>39</v>
      </c>
      <c r="B41" s="41" t="s">
        <v>410</v>
      </c>
      <c r="C41" s="39" t="s">
        <v>907</v>
      </c>
      <c r="D41" s="35" t="s">
        <v>60</v>
      </c>
      <c r="E41" s="35" t="s">
        <v>673</v>
      </c>
      <c r="F41" s="39" t="s">
        <v>907</v>
      </c>
      <c r="G41" s="35" t="s">
        <v>60</v>
      </c>
      <c r="H41" s="35" t="s">
        <v>673</v>
      </c>
      <c r="I41" s="35" t="s">
        <v>981</v>
      </c>
      <c r="J41" s="35" t="s">
        <v>980</v>
      </c>
      <c r="K41" s="35" t="s">
        <v>981</v>
      </c>
      <c r="L41" s="35" t="s">
        <v>980</v>
      </c>
      <c r="M41" s="33"/>
      <c r="N41" s="34" t="str">
        <f t="shared" si="0"/>
        <v>e</v>
      </c>
      <c r="O41" s="34" t="str">
        <f t="shared" si="3"/>
        <v>eʔ</v>
      </c>
      <c r="P41" s="34"/>
      <c r="Q41" s="34" t="str">
        <f t="shared" si="7"/>
        <v/>
      </c>
      <c r="R41" s="33"/>
      <c r="S41" t="str">
        <f t="shared" si="4"/>
        <v/>
      </c>
      <c r="T41" t="str">
        <f t="shared" si="8"/>
        <v/>
      </c>
      <c r="U41" t="str">
        <f t="shared" si="9"/>
        <v/>
      </c>
      <c r="W41">
        <f t="shared" si="5"/>
        <v>2</v>
      </c>
      <c r="X41" t="str">
        <f t="shared" si="6"/>
        <v>e</v>
      </c>
      <c r="Y41" t="str">
        <f t="shared" si="10"/>
        <v>eʔ</v>
      </c>
    </row>
    <row r="42" spans="1:25" ht="33.75" thickBot="1">
      <c r="A42">
        <f t="shared" si="2"/>
        <v>40</v>
      </c>
      <c r="B42" s="41" t="s">
        <v>415</v>
      </c>
      <c r="C42" s="39" t="s">
        <v>908</v>
      </c>
      <c r="D42" s="35" t="s">
        <v>908</v>
      </c>
      <c r="E42" s="40" t="s">
        <v>623</v>
      </c>
      <c r="F42" s="39" t="s">
        <v>908</v>
      </c>
      <c r="G42" s="35" t="s">
        <v>2148</v>
      </c>
      <c r="H42" s="40" t="s">
        <v>623</v>
      </c>
      <c r="I42" s="35" t="s">
        <v>419</v>
      </c>
      <c r="J42" s="40" t="s">
        <v>623</v>
      </c>
      <c r="K42" s="35" t="s">
        <v>417</v>
      </c>
      <c r="L42" s="40" t="s">
        <v>623</v>
      </c>
      <c r="M42" s="33"/>
      <c r="N42" s="34" t="str">
        <f t="shared" si="0"/>
        <v>ãĩ</v>
      </c>
      <c r="O42" s="34" t="str">
        <f t="shared" si="3"/>
        <v/>
      </c>
      <c r="P42" s="34"/>
      <c r="Q42" s="34" t="str">
        <f t="shared" si="7"/>
        <v>ãĩ</v>
      </c>
      <c r="R42" s="33"/>
      <c r="S42" t="str">
        <f t="shared" si="4"/>
        <v/>
      </c>
      <c r="T42" t="str">
        <f t="shared" si="8"/>
        <v/>
      </c>
      <c r="U42" t="str">
        <f t="shared" si="9"/>
        <v/>
      </c>
      <c r="W42" t="str">
        <f t="shared" si="5"/>
        <v/>
      </c>
      <c r="X42" t="str">
        <f t="shared" si="6"/>
        <v/>
      </c>
      <c r="Y42" t="str">
        <f t="shared" si="10"/>
        <v/>
      </c>
    </row>
    <row r="43" spans="1:25" ht="33.75" thickBot="1">
      <c r="A43">
        <f t="shared" si="2"/>
        <v>41</v>
      </c>
      <c r="B43" s="41" t="s">
        <v>422</v>
      </c>
      <c r="C43" s="39" t="s">
        <v>909</v>
      </c>
      <c r="D43" s="35" t="s">
        <v>909</v>
      </c>
      <c r="E43" s="40" t="s">
        <v>623</v>
      </c>
      <c r="F43" s="39" t="s">
        <v>667</v>
      </c>
      <c r="G43" s="35" t="s">
        <v>667</v>
      </c>
      <c r="H43" s="40" t="s">
        <v>623</v>
      </c>
      <c r="I43" s="35" t="s">
        <v>426</v>
      </c>
      <c r="J43" s="40" t="s">
        <v>623</v>
      </c>
      <c r="K43" s="35" t="s">
        <v>425</v>
      </c>
      <c r="L43" s="40" t="s">
        <v>623</v>
      </c>
      <c r="M43" s="33"/>
      <c r="N43" s="34" t="str">
        <f t="shared" si="0"/>
        <v>ɔ̃</v>
      </c>
      <c r="O43" s="34" t="str">
        <f t="shared" si="3"/>
        <v/>
      </c>
      <c r="P43" s="34"/>
      <c r="Q43" s="34" t="str">
        <f t="shared" si="7"/>
        <v>ɔ̃</v>
      </c>
      <c r="R43" s="33"/>
      <c r="S43" t="str">
        <f t="shared" si="4"/>
        <v/>
      </c>
      <c r="T43" t="str">
        <f t="shared" si="8"/>
        <v/>
      </c>
      <c r="U43" t="str">
        <f t="shared" si="9"/>
        <v/>
      </c>
      <c r="W43" t="str">
        <f t="shared" si="5"/>
        <v/>
      </c>
      <c r="X43" t="str">
        <f t="shared" si="6"/>
        <v/>
      </c>
      <c r="Y43" t="str">
        <f t="shared" si="10"/>
        <v/>
      </c>
    </row>
    <row r="44" spans="1:25" ht="33.75" thickBot="1">
      <c r="A44">
        <f t="shared" si="2"/>
        <v>42</v>
      </c>
      <c r="B44" s="41" t="s">
        <v>428</v>
      </c>
      <c r="C44" s="39" t="s">
        <v>431</v>
      </c>
      <c r="D44" s="35" t="s">
        <v>431</v>
      </c>
      <c r="E44" s="40" t="s">
        <v>623</v>
      </c>
      <c r="F44" s="39" t="s">
        <v>429</v>
      </c>
      <c r="G44" s="35" t="s">
        <v>429</v>
      </c>
      <c r="H44" s="40" t="s">
        <v>623</v>
      </c>
      <c r="I44" s="35" t="s">
        <v>431</v>
      </c>
      <c r="J44" s="40" t="s">
        <v>623</v>
      </c>
      <c r="K44" s="35" t="s">
        <v>431</v>
      </c>
      <c r="L44" s="40" t="s">
        <v>623</v>
      </c>
      <c r="M44" s="33"/>
      <c r="N44" s="34" t="str">
        <f t="shared" si="0"/>
        <v>m̩</v>
      </c>
      <c r="O44" s="34" t="str">
        <f t="shared" si="3"/>
        <v/>
      </c>
      <c r="P44" s="34"/>
      <c r="Q44" s="34" t="str">
        <f t="shared" si="7"/>
        <v>m̩</v>
      </c>
      <c r="R44" s="33"/>
      <c r="S44" t="str">
        <f t="shared" si="4"/>
        <v/>
      </c>
      <c r="T44" t="str">
        <f t="shared" si="8"/>
        <v/>
      </c>
      <c r="U44" t="str">
        <f t="shared" si="9"/>
        <v/>
      </c>
      <c r="W44" t="str">
        <f t="shared" si="5"/>
        <v/>
      </c>
      <c r="X44" t="str">
        <f t="shared" si="6"/>
        <v/>
      </c>
      <c r="Y44" t="str">
        <f t="shared" si="10"/>
        <v/>
      </c>
    </row>
    <row r="45" spans="1:25" ht="33.75" thickBot="1">
      <c r="A45">
        <f t="shared" si="2"/>
        <v>43</v>
      </c>
      <c r="B45" s="41" t="s">
        <v>435</v>
      </c>
      <c r="C45" s="39" t="s">
        <v>910</v>
      </c>
      <c r="D45" s="35" t="s">
        <v>434</v>
      </c>
      <c r="E45" s="35" t="s">
        <v>442</v>
      </c>
      <c r="F45" s="39" t="s">
        <v>957</v>
      </c>
      <c r="G45" s="35" t="s">
        <v>434</v>
      </c>
      <c r="H45" s="35" t="s">
        <v>440</v>
      </c>
      <c r="I45" s="35" t="s">
        <v>1032</v>
      </c>
      <c r="J45" s="35" t="s">
        <v>1010</v>
      </c>
      <c r="K45" s="35" t="s">
        <v>1032</v>
      </c>
      <c r="L45" s="35" t="s">
        <v>1010</v>
      </c>
      <c r="M45" s="33"/>
      <c r="N45" s="34" t="str">
        <f t="shared" si="0"/>
        <v>uan</v>
      </c>
      <c r="O45" s="34" t="str">
        <f t="shared" si="3"/>
        <v>uak̚</v>
      </c>
      <c r="P45" s="34"/>
      <c r="Q45" s="34" t="str">
        <f t="shared" si="7"/>
        <v/>
      </c>
      <c r="R45" s="33"/>
      <c r="S45">
        <f t="shared" si="4"/>
        <v>4</v>
      </c>
      <c r="T45" t="str">
        <f t="shared" si="8"/>
        <v>uan</v>
      </c>
      <c r="U45" t="str">
        <f t="shared" si="9"/>
        <v>uak̚</v>
      </c>
      <c r="W45" t="str">
        <f t="shared" si="5"/>
        <v/>
      </c>
      <c r="X45" t="str">
        <f t="shared" si="6"/>
        <v/>
      </c>
      <c r="Y45" t="str">
        <f t="shared" si="10"/>
        <v/>
      </c>
    </row>
    <row r="46" spans="1:25" ht="33.75" thickBot="1">
      <c r="A46">
        <f t="shared" si="2"/>
        <v>44</v>
      </c>
      <c r="B46" s="41" t="s">
        <v>446</v>
      </c>
      <c r="C46" s="39" t="s">
        <v>911</v>
      </c>
      <c r="D46" s="35" t="s">
        <v>928</v>
      </c>
      <c r="E46" s="35" t="s">
        <v>929</v>
      </c>
      <c r="F46" s="39" t="s">
        <v>911</v>
      </c>
      <c r="G46" s="35" t="s">
        <v>1840</v>
      </c>
      <c r="H46" s="35" t="s">
        <v>1849</v>
      </c>
      <c r="I46" s="35" t="s">
        <v>1033</v>
      </c>
      <c r="J46" s="35" t="s">
        <v>1009</v>
      </c>
      <c r="K46" s="35" t="s">
        <v>1051</v>
      </c>
      <c r="L46" s="35" t="s">
        <v>1048</v>
      </c>
      <c r="M46" s="33"/>
      <c r="N46" s="34" t="str">
        <f t="shared" si="0"/>
        <v>ũãĩ</v>
      </c>
      <c r="O46" s="34" t="str">
        <f t="shared" si="3"/>
        <v>ũãĩʔ</v>
      </c>
      <c r="P46" s="34"/>
      <c r="Q46" s="34" t="str">
        <f t="shared" si="7"/>
        <v/>
      </c>
      <c r="R46" s="33"/>
      <c r="S46" t="str">
        <f t="shared" si="4"/>
        <v/>
      </c>
      <c r="T46" t="str">
        <f t="shared" si="8"/>
        <v/>
      </c>
      <c r="U46" t="str">
        <f t="shared" si="9"/>
        <v/>
      </c>
      <c r="W46">
        <f t="shared" si="5"/>
        <v>4</v>
      </c>
      <c r="X46" t="str">
        <f t="shared" si="6"/>
        <v>ũãĩ</v>
      </c>
      <c r="Y46" t="s">
        <v>929</v>
      </c>
    </row>
    <row r="47" spans="1:25" ht="33.75" thickBot="1">
      <c r="A47">
        <f t="shared" si="2"/>
        <v>45</v>
      </c>
      <c r="B47" s="41" t="s">
        <v>457</v>
      </c>
      <c r="C47" s="39" t="s">
        <v>912</v>
      </c>
      <c r="D47" s="35" t="s">
        <v>930</v>
      </c>
      <c r="E47" s="35" t="s">
        <v>931</v>
      </c>
      <c r="F47" s="39" t="s">
        <v>958</v>
      </c>
      <c r="G47" s="35" t="s">
        <v>2149</v>
      </c>
      <c r="H47" s="35" t="s">
        <v>2150</v>
      </c>
      <c r="I47" s="35" t="s">
        <v>1034</v>
      </c>
      <c r="J47" s="35" t="s">
        <v>1008</v>
      </c>
      <c r="K47" s="35" t="s">
        <v>1052</v>
      </c>
      <c r="L47" s="35" t="s">
        <v>1049</v>
      </c>
      <c r="M47" s="33"/>
      <c r="N47" s="34" t="str">
        <f t="shared" si="0"/>
        <v>ũẽ</v>
      </c>
      <c r="O47" s="34" t="str">
        <f t="shared" si="3"/>
        <v>ũẽʔ</v>
      </c>
      <c r="P47" s="34"/>
      <c r="Q47" s="34" t="str">
        <f t="shared" si="7"/>
        <v/>
      </c>
      <c r="R47" s="33"/>
      <c r="S47" t="str">
        <f t="shared" si="4"/>
        <v/>
      </c>
      <c r="T47" t="str">
        <f t="shared" si="8"/>
        <v/>
      </c>
      <c r="U47" t="str">
        <f t="shared" si="9"/>
        <v/>
      </c>
      <c r="W47">
        <f t="shared" si="5"/>
        <v>3</v>
      </c>
      <c r="X47" t="str">
        <f t="shared" si="6"/>
        <v>ũẽ</v>
      </c>
      <c r="Y47" t="s">
        <v>961</v>
      </c>
    </row>
    <row r="48" spans="1:25" ht="33.75" thickBot="1">
      <c r="A48">
        <f t="shared" si="2"/>
        <v>46</v>
      </c>
      <c r="B48" s="41" t="s">
        <v>463</v>
      </c>
      <c r="C48" s="39" t="s">
        <v>913</v>
      </c>
      <c r="D48" s="35" t="s">
        <v>932</v>
      </c>
      <c r="E48" s="35" t="s">
        <v>933</v>
      </c>
      <c r="F48" s="39" t="s">
        <v>913</v>
      </c>
      <c r="G48" s="35" t="s">
        <v>2151</v>
      </c>
      <c r="H48" s="35" t="s">
        <v>2152</v>
      </c>
      <c r="I48" s="35" t="s">
        <v>1035</v>
      </c>
      <c r="J48" s="35" t="s">
        <v>1007</v>
      </c>
      <c r="K48" s="35" t="s">
        <v>1053</v>
      </c>
      <c r="L48" s="35" t="s">
        <v>691</v>
      </c>
      <c r="M48" s="33"/>
      <c r="N48" s="34" t="str">
        <f t="shared" si="0"/>
        <v>ĩãũ</v>
      </c>
      <c r="O48" s="34" t="str">
        <f t="shared" si="3"/>
        <v>ĩãũʔ</v>
      </c>
      <c r="P48" s="34"/>
      <c r="Q48" s="34" t="str">
        <f t="shared" si="7"/>
        <v/>
      </c>
      <c r="R48" s="33"/>
      <c r="S48" t="str">
        <f t="shared" si="4"/>
        <v/>
      </c>
      <c r="T48" t="str">
        <f t="shared" si="8"/>
        <v/>
      </c>
      <c r="U48" t="str">
        <f t="shared" si="9"/>
        <v/>
      </c>
      <c r="W48">
        <f t="shared" si="5"/>
        <v>4</v>
      </c>
      <c r="X48" t="str">
        <f t="shared" si="6"/>
        <v>ĩãũ</v>
      </c>
      <c r="Y48" t="s">
        <v>933</v>
      </c>
    </row>
    <row r="49" spans="1:25" ht="33.75" thickBot="1">
      <c r="A49">
        <f t="shared" si="2"/>
        <v>47</v>
      </c>
      <c r="B49" s="41" t="s">
        <v>475</v>
      </c>
      <c r="C49" s="39" t="s">
        <v>914</v>
      </c>
      <c r="D49" s="35" t="s">
        <v>474</v>
      </c>
      <c r="E49" s="35" t="s">
        <v>683</v>
      </c>
      <c r="F49" s="39" t="s">
        <v>959</v>
      </c>
      <c r="G49" s="35" t="s">
        <v>474</v>
      </c>
      <c r="H49" s="35" t="s">
        <v>481</v>
      </c>
      <c r="I49" s="35" t="s">
        <v>877</v>
      </c>
      <c r="J49" s="35" t="s">
        <v>1006</v>
      </c>
      <c r="K49" s="35" t="s">
        <v>877</v>
      </c>
      <c r="L49" s="35" t="s">
        <v>1006</v>
      </c>
      <c r="M49" s="33"/>
      <c r="N49" s="34" t="str">
        <f t="shared" si="0"/>
        <v>om</v>
      </c>
      <c r="O49" s="34" t="str">
        <f t="shared" si="3"/>
        <v>op̚</v>
      </c>
      <c r="P49" s="34"/>
      <c r="Q49" s="34" t="str">
        <f t="shared" si="7"/>
        <v/>
      </c>
      <c r="R49" s="33"/>
      <c r="S49">
        <f t="shared" si="4"/>
        <v>3</v>
      </c>
      <c r="T49" t="str">
        <f t="shared" si="8"/>
        <v>om</v>
      </c>
      <c r="U49" t="str">
        <f t="shared" si="9"/>
        <v>op̚</v>
      </c>
      <c r="W49" t="str">
        <f t="shared" si="5"/>
        <v/>
      </c>
      <c r="X49" t="str">
        <f t="shared" si="6"/>
        <v/>
      </c>
      <c r="Y49" t="s">
        <v>623</v>
      </c>
    </row>
    <row r="50" spans="1:25" ht="33.75" thickBot="1">
      <c r="A50">
        <f t="shared" si="2"/>
        <v>48</v>
      </c>
      <c r="B50" s="41" t="s">
        <v>487</v>
      </c>
      <c r="C50" s="39" t="s">
        <v>915</v>
      </c>
      <c r="D50" s="35" t="s">
        <v>915</v>
      </c>
      <c r="E50" s="40" t="s">
        <v>623</v>
      </c>
      <c r="F50" s="39" t="s">
        <v>915</v>
      </c>
      <c r="G50" s="35" t="s">
        <v>2153</v>
      </c>
      <c r="H50" s="40" t="s">
        <v>623</v>
      </c>
      <c r="I50" s="35" t="s">
        <v>490</v>
      </c>
      <c r="J50" s="40" t="s">
        <v>623</v>
      </c>
      <c r="K50" s="35" t="s">
        <v>489</v>
      </c>
      <c r="L50" s="40" t="s">
        <v>623</v>
      </c>
      <c r="M50" s="33"/>
      <c r="N50" s="34" t="str">
        <f t="shared" si="0"/>
        <v>ãũ</v>
      </c>
      <c r="O50" s="34" t="str">
        <f t="shared" si="3"/>
        <v/>
      </c>
      <c r="P50" s="34"/>
      <c r="Q50" s="34" t="str">
        <f t="shared" si="7"/>
        <v>ãũ</v>
      </c>
      <c r="R50" s="33"/>
      <c r="S50" t="str">
        <f t="shared" si="4"/>
        <v/>
      </c>
      <c r="T50" t="str">
        <f t="shared" si="8"/>
        <v/>
      </c>
      <c r="U50" t="str">
        <f t="shared" si="9"/>
        <v/>
      </c>
      <c r="W50" t="str">
        <f t="shared" si="5"/>
        <v/>
      </c>
      <c r="X50" t="str">
        <f t="shared" si="6"/>
        <v/>
      </c>
      <c r="Y50" t="s">
        <v>623</v>
      </c>
    </row>
    <row r="51" spans="1:25" ht="33.75" thickBot="1">
      <c r="A51">
        <f t="shared" si="2"/>
        <v>49</v>
      </c>
      <c r="B51" s="41" t="s">
        <v>493</v>
      </c>
      <c r="C51" s="39" t="s">
        <v>916</v>
      </c>
      <c r="D51" s="35" t="s">
        <v>934</v>
      </c>
      <c r="E51" s="35" t="s">
        <v>935</v>
      </c>
      <c r="F51" s="39" t="s">
        <v>960</v>
      </c>
      <c r="G51" s="35" t="s">
        <v>667</v>
      </c>
      <c r="H51" s="35" t="s">
        <v>659</v>
      </c>
      <c r="I51" s="35" t="s">
        <v>1036</v>
      </c>
      <c r="J51" s="35" t="s">
        <v>1005</v>
      </c>
      <c r="K51" s="35" t="s">
        <v>708</v>
      </c>
      <c r="L51" s="35" t="s">
        <v>1050</v>
      </c>
      <c r="M51" s="33"/>
      <c r="N51" s="34" t="str">
        <f t="shared" si="0"/>
        <v>ɔ̃</v>
      </c>
      <c r="O51" s="34" t="str">
        <f t="shared" si="3"/>
        <v>ɔ̃ʔ</v>
      </c>
      <c r="P51" s="34"/>
      <c r="Q51" s="34" t="str">
        <f t="shared" si="7"/>
        <v/>
      </c>
      <c r="R51" s="33"/>
      <c r="S51" t="str">
        <f t="shared" si="4"/>
        <v/>
      </c>
      <c r="T51" t="str">
        <f t="shared" si="8"/>
        <v/>
      </c>
      <c r="U51" t="str">
        <f t="shared" si="9"/>
        <v/>
      </c>
      <c r="W51">
        <f t="shared" si="5"/>
        <v>3</v>
      </c>
      <c r="X51" t="str">
        <f t="shared" si="6"/>
        <v>ɔ̃</v>
      </c>
      <c r="Y51" s="36" t="s">
        <v>709</v>
      </c>
    </row>
    <row r="52" spans="1:25" ht="33.75" thickBot="1">
      <c r="A52">
        <f t="shared" si="2"/>
        <v>50</v>
      </c>
      <c r="B52" s="41" t="s">
        <v>502</v>
      </c>
      <c r="C52" s="39" t="s">
        <v>917</v>
      </c>
      <c r="D52" s="35" t="s">
        <v>917</v>
      </c>
      <c r="E52" s="40" t="s">
        <v>623</v>
      </c>
      <c r="F52" s="39" t="s">
        <v>917</v>
      </c>
      <c r="G52" s="35" t="s">
        <v>1628</v>
      </c>
      <c r="H52" s="40" t="s">
        <v>623</v>
      </c>
      <c r="I52" s="35" t="s">
        <v>506</v>
      </c>
      <c r="J52" s="40" t="s">
        <v>623</v>
      </c>
      <c r="K52" s="35" t="s">
        <v>504</v>
      </c>
      <c r="L52" s="40" t="s">
        <v>623</v>
      </c>
      <c r="M52" s="33"/>
      <c r="N52" s="34" t="str">
        <f t="shared" si="0"/>
        <v>ĩũ</v>
      </c>
      <c r="O52" s="34" t="str">
        <f t="shared" si="3"/>
        <v/>
      </c>
      <c r="P52" s="34"/>
      <c r="Q52" s="34" t="str">
        <f t="shared" si="7"/>
        <v>ĩũ</v>
      </c>
      <c r="R52" s="33"/>
      <c r="S52" t="str">
        <f t="shared" si="4"/>
        <v/>
      </c>
      <c r="T52" t="str">
        <f t="shared" si="8"/>
        <v/>
      </c>
      <c r="U52" t="str">
        <f t="shared" si="9"/>
        <v/>
      </c>
      <c r="W52" t="str">
        <f t="shared" si="5"/>
        <v/>
      </c>
      <c r="X52" t="str">
        <f t="shared" si="6"/>
        <v/>
      </c>
      <c r="Y52" t="str">
        <f>IF(AND(LEN(W52)&gt;0,LEN(X52)&gt;0),_xlfn.CONCAT(X52,MID(C52,W52+1,1)), "")</f>
        <v/>
      </c>
    </row>
  </sheetData>
  <phoneticPr fontId="3" type="noConversion"/>
  <hyperlinks>
    <hyperlink ref="D2" r:id="rId1" location="cite_note-ma2009-2" display="https://zh.wikipedia.org/wiki/%E5%BD%99%E9%9B%86%E9%9B%85%E4%BF%97%E9%80%9A%E5%8D%81%E4%BA%94%E9%9F%B3 - cite_note-ma2009-2" xr:uid="{5FA95AB1-DAED-4975-84FF-284280416D4B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98FF-F9C5-4438-9236-C28AB72EF5D6}">
  <dimension ref="A1:K26"/>
  <sheetViews>
    <sheetView topLeftCell="A3" workbookViewId="0">
      <selection activeCell="A3" sqref="A3"/>
    </sheetView>
  </sheetViews>
  <sheetFormatPr defaultRowHeight="25.5"/>
  <sheetData>
    <row r="1" spans="1:11" ht="26.25" thickBot="1">
      <c r="A1" s="199" t="s">
        <v>736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</row>
    <row r="2" spans="1:11" ht="26.25" thickBot="1">
      <c r="A2" s="28" t="s">
        <v>737</v>
      </c>
      <c r="B2" s="28" t="s">
        <v>15</v>
      </c>
      <c r="C2" s="28" t="s">
        <v>28</v>
      </c>
      <c r="D2" s="28" t="s">
        <v>39</v>
      </c>
      <c r="E2" s="28" t="s">
        <v>51</v>
      </c>
      <c r="F2" s="28" t="s">
        <v>57</v>
      </c>
      <c r="G2" s="28" t="s">
        <v>738</v>
      </c>
      <c r="H2" s="28" t="s">
        <v>82</v>
      </c>
      <c r="I2" s="28" t="s">
        <v>95</v>
      </c>
      <c r="J2" s="28" t="s">
        <v>107</v>
      </c>
      <c r="K2" s="28" t="s">
        <v>121</v>
      </c>
    </row>
    <row r="3" spans="1:11" ht="26.25" thickBot="1">
      <c r="A3" s="28" t="s">
        <v>770</v>
      </c>
      <c r="B3" s="29" t="s">
        <v>739</v>
      </c>
      <c r="C3" s="29" t="s">
        <v>740</v>
      </c>
      <c r="D3" s="29" t="s">
        <v>741</v>
      </c>
      <c r="E3" s="29" t="s">
        <v>742</v>
      </c>
      <c r="F3" s="29" t="s">
        <v>743</v>
      </c>
      <c r="G3" s="29" t="s">
        <v>744</v>
      </c>
      <c r="H3" s="29" t="s">
        <v>745</v>
      </c>
      <c r="I3" s="29" t="s">
        <v>746</v>
      </c>
      <c r="J3" s="29" t="s">
        <v>747</v>
      </c>
      <c r="K3" s="29" t="s">
        <v>748</v>
      </c>
    </row>
    <row r="4" spans="1:11" ht="26.25" thickBot="1">
      <c r="A4" s="28" t="s">
        <v>2</v>
      </c>
      <c r="B4" s="30" t="s">
        <v>749</v>
      </c>
      <c r="C4" s="30" t="s">
        <v>750</v>
      </c>
      <c r="D4" s="30" t="s">
        <v>751</v>
      </c>
      <c r="E4" s="30" t="s">
        <v>752</v>
      </c>
      <c r="F4" s="30" t="s">
        <v>753</v>
      </c>
      <c r="G4" s="30" t="s">
        <v>754</v>
      </c>
      <c r="H4" s="30" t="s">
        <v>755</v>
      </c>
      <c r="I4" s="30" t="s">
        <v>756</v>
      </c>
      <c r="J4" s="30" t="s">
        <v>757</v>
      </c>
      <c r="K4" s="30" t="s">
        <v>758</v>
      </c>
    </row>
    <row r="5" spans="1:11" ht="26.25" thickBot="1">
      <c r="A5" s="28" t="s">
        <v>759</v>
      </c>
      <c r="B5" s="30" t="s">
        <v>760</v>
      </c>
      <c r="C5" s="30" t="s">
        <v>761</v>
      </c>
      <c r="D5" s="30" t="s">
        <v>762</v>
      </c>
      <c r="E5" s="30" t="s">
        <v>50</v>
      </c>
      <c r="F5" s="30" t="s">
        <v>763</v>
      </c>
      <c r="G5" s="30" t="s">
        <v>764</v>
      </c>
      <c r="H5" s="30" t="s">
        <v>765</v>
      </c>
      <c r="I5" s="30" t="s">
        <v>766</v>
      </c>
      <c r="J5" s="30" t="s">
        <v>767</v>
      </c>
      <c r="K5" s="30" t="s">
        <v>768</v>
      </c>
    </row>
    <row r="6" spans="1:11" ht="26.25" thickBot="1">
      <c r="A6" s="28" t="s">
        <v>6</v>
      </c>
      <c r="B6" s="30" t="s">
        <v>760</v>
      </c>
      <c r="C6" s="30" t="s">
        <v>761</v>
      </c>
      <c r="D6" s="30" t="s">
        <v>762</v>
      </c>
      <c r="E6" s="30" t="s">
        <v>50</v>
      </c>
      <c r="F6" s="30" t="s">
        <v>769</v>
      </c>
      <c r="G6" s="30" t="s">
        <v>764</v>
      </c>
      <c r="H6" s="30" t="s">
        <v>765</v>
      </c>
      <c r="I6" s="30" t="s">
        <v>766</v>
      </c>
      <c r="J6" s="30" t="s">
        <v>767</v>
      </c>
      <c r="K6" s="30" t="s">
        <v>768</v>
      </c>
    </row>
    <row r="7" spans="1:11" ht="26.25" thickBot="1">
      <c r="A7" s="28" t="s">
        <v>737</v>
      </c>
      <c r="B7" s="28" t="s">
        <v>135</v>
      </c>
      <c r="C7" s="28" t="s">
        <v>142</v>
      </c>
      <c r="D7" s="28" t="s">
        <v>154</v>
      </c>
      <c r="E7" s="28" t="s">
        <v>160</v>
      </c>
      <c r="F7" s="28" t="s">
        <v>172</v>
      </c>
      <c r="G7" s="28" t="s">
        <v>184</v>
      </c>
      <c r="H7" s="28" t="s">
        <v>190</v>
      </c>
      <c r="I7" s="28" t="s">
        <v>202</v>
      </c>
      <c r="J7" s="28" t="s">
        <v>212</v>
      </c>
      <c r="K7" s="28" t="s">
        <v>224</v>
      </c>
    </row>
    <row r="8" spans="1:11" ht="26.25" thickBot="1">
      <c r="A8" s="28" t="s">
        <v>770</v>
      </c>
      <c r="B8" s="29" t="s">
        <v>771</v>
      </c>
      <c r="C8" s="29" t="s">
        <v>772</v>
      </c>
      <c r="D8" s="29" t="s">
        <v>773</v>
      </c>
      <c r="E8" s="29" t="s">
        <v>774</v>
      </c>
      <c r="F8" s="29" t="s">
        <v>775</v>
      </c>
      <c r="G8" s="29" t="s">
        <v>776</v>
      </c>
      <c r="H8" s="29" t="s">
        <v>777</v>
      </c>
      <c r="I8" s="29" t="s">
        <v>778</v>
      </c>
      <c r="J8" s="29" t="s">
        <v>779</v>
      </c>
      <c r="K8" s="29" t="s">
        <v>780</v>
      </c>
    </row>
    <row r="9" spans="1:11" ht="26.25" thickBot="1">
      <c r="A9" s="28" t="s">
        <v>2</v>
      </c>
      <c r="B9" s="30" t="s">
        <v>781</v>
      </c>
      <c r="C9" s="30" t="s">
        <v>782</v>
      </c>
      <c r="D9" s="30" t="s">
        <v>783</v>
      </c>
      <c r="E9" s="30" t="s">
        <v>784</v>
      </c>
      <c r="F9" s="30" t="s">
        <v>785</v>
      </c>
      <c r="G9" s="30" t="s">
        <v>786</v>
      </c>
      <c r="H9" s="30" t="s">
        <v>787</v>
      </c>
      <c r="I9" s="30" t="s">
        <v>788</v>
      </c>
      <c r="J9" s="30" t="s">
        <v>789</v>
      </c>
      <c r="K9" s="30" t="s">
        <v>790</v>
      </c>
    </row>
    <row r="10" spans="1:11" ht="26.25" thickBot="1">
      <c r="A10" s="28" t="s">
        <v>759</v>
      </c>
      <c r="B10" s="30" t="s">
        <v>136</v>
      </c>
      <c r="C10" s="30" t="s">
        <v>791</v>
      </c>
      <c r="D10" s="30" t="s">
        <v>60</v>
      </c>
      <c r="E10" s="30" t="s">
        <v>792</v>
      </c>
      <c r="F10" s="30" t="s">
        <v>793</v>
      </c>
      <c r="G10" s="30" t="s">
        <v>183</v>
      </c>
      <c r="H10" s="30" t="s">
        <v>794</v>
      </c>
      <c r="I10" s="30" t="s">
        <v>795</v>
      </c>
      <c r="J10" s="30" t="s">
        <v>796</v>
      </c>
      <c r="K10" s="30" t="s">
        <v>797</v>
      </c>
    </row>
    <row r="11" spans="1:11" ht="26.25" thickBot="1">
      <c r="A11" s="28" t="s">
        <v>6</v>
      </c>
      <c r="B11" s="30" t="s">
        <v>136</v>
      </c>
      <c r="C11" s="30" t="s">
        <v>798</v>
      </c>
      <c r="D11" s="30" t="s">
        <v>60</v>
      </c>
      <c r="E11" s="30" t="s">
        <v>792</v>
      </c>
      <c r="F11" s="30" t="s">
        <v>793</v>
      </c>
      <c r="G11" s="30" t="s">
        <v>183</v>
      </c>
      <c r="H11" s="30" t="s">
        <v>794</v>
      </c>
      <c r="I11" s="30" t="s">
        <v>795</v>
      </c>
      <c r="J11" s="30" t="s">
        <v>796</v>
      </c>
      <c r="K11" s="30" t="s">
        <v>797</v>
      </c>
    </row>
    <row r="12" spans="1:11" ht="26.25" thickBot="1">
      <c r="A12" s="28" t="s">
        <v>737</v>
      </c>
      <c r="B12" s="28" t="s">
        <v>236</v>
      </c>
      <c r="C12" s="28" t="s">
        <v>248</v>
      </c>
      <c r="D12" s="28" t="s">
        <v>261</v>
      </c>
      <c r="E12" s="28" t="s">
        <v>273</v>
      </c>
      <c r="F12" s="28" t="s">
        <v>283</v>
      </c>
      <c r="G12" s="28" t="s">
        <v>295</v>
      </c>
      <c r="H12" s="28" t="s">
        <v>309</v>
      </c>
      <c r="I12" s="28" t="s">
        <v>317</v>
      </c>
      <c r="J12" s="28" t="s">
        <v>325</v>
      </c>
      <c r="K12" s="28" t="s">
        <v>333</v>
      </c>
    </row>
    <row r="13" spans="1:11" ht="26.25" thickBot="1">
      <c r="A13" s="28" t="s">
        <v>770</v>
      </c>
      <c r="B13" s="29" t="s">
        <v>799</v>
      </c>
      <c r="C13" s="29" t="s">
        <v>800</v>
      </c>
      <c r="D13" s="29" t="s">
        <v>801</v>
      </c>
      <c r="E13" s="29" t="s">
        <v>802</v>
      </c>
      <c r="F13" s="29" t="s">
        <v>803</v>
      </c>
      <c r="G13" s="29" t="s">
        <v>804</v>
      </c>
      <c r="H13" s="29" t="s">
        <v>805</v>
      </c>
      <c r="I13" s="29" t="s">
        <v>806</v>
      </c>
      <c r="J13" s="29" t="s">
        <v>807</v>
      </c>
      <c r="K13" s="29" t="s">
        <v>808</v>
      </c>
    </row>
    <row r="14" spans="1:11" ht="26.25" thickBot="1">
      <c r="A14" s="28" t="s">
        <v>2</v>
      </c>
      <c r="B14" s="30" t="s">
        <v>809</v>
      </c>
      <c r="C14" s="30" t="s">
        <v>810</v>
      </c>
      <c r="D14" s="30" t="s">
        <v>811</v>
      </c>
      <c r="E14" s="30" t="s">
        <v>812</v>
      </c>
      <c r="F14" s="30" t="s">
        <v>813</v>
      </c>
      <c r="G14" s="30" t="s">
        <v>814</v>
      </c>
      <c r="H14" s="30" t="s">
        <v>815</v>
      </c>
      <c r="I14" s="30" t="s">
        <v>816</v>
      </c>
      <c r="J14" s="30" t="s">
        <v>817</v>
      </c>
      <c r="K14" s="30" t="s">
        <v>818</v>
      </c>
    </row>
    <row r="15" spans="1:11" ht="26.25" thickBot="1">
      <c r="A15" s="28" t="s">
        <v>759</v>
      </c>
      <c r="B15" s="30" t="s">
        <v>819</v>
      </c>
      <c r="C15" s="30" t="s">
        <v>820</v>
      </c>
      <c r="D15" s="30" t="s">
        <v>821</v>
      </c>
      <c r="E15" s="30" t="s">
        <v>822</v>
      </c>
      <c r="F15" s="30" t="s">
        <v>823</v>
      </c>
      <c r="G15" s="30" t="s">
        <v>824</v>
      </c>
      <c r="H15" s="30" t="s">
        <v>825</v>
      </c>
      <c r="I15" s="30" t="s">
        <v>826</v>
      </c>
      <c r="J15" s="30" t="s">
        <v>827</v>
      </c>
      <c r="K15" s="30" t="s">
        <v>332</v>
      </c>
    </row>
    <row r="16" spans="1:11" ht="26.25" thickBot="1">
      <c r="A16" s="28" t="s">
        <v>6</v>
      </c>
      <c r="B16" s="30" t="s">
        <v>819</v>
      </c>
      <c r="C16" s="30" t="s">
        <v>820</v>
      </c>
      <c r="D16" s="30" t="s">
        <v>828</v>
      </c>
      <c r="E16" s="30" t="s">
        <v>822</v>
      </c>
      <c r="F16" s="30" t="s">
        <v>823</v>
      </c>
      <c r="G16" s="30" t="s">
        <v>829</v>
      </c>
      <c r="H16" s="30" t="s">
        <v>825</v>
      </c>
      <c r="I16" s="30" t="s">
        <v>826</v>
      </c>
      <c r="J16" s="30" t="s">
        <v>827</v>
      </c>
      <c r="K16" s="30" t="s">
        <v>332</v>
      </c>
    </row>
    <row r="17" spans="1:11" ht="26.25" thickBot="1">
      <c r="A17" s="28" t="s">
        <v>737</v>
      </c>
      <c r="B17" s="28" t="s">
        <v>338</v>
      </c>
      <c r="C17" s="28" t="s">
        <v>349</v>
      </c>
      <c r="D17" s="28" t="s">
        <v>358</v>
      </c>
      <c r="E17" s="28" t="s">
        <v>368</v>
      </c>
      <c r="F17" s="28" t="s">
        <v>381</v>
      </c>
      <c r="G17" s="28" t="s">
        <v>389</v>
      </c>
      <c r="H17" s="28" t="s">
        <v>397</v>
      </c>
      <c r="I17" s="28" t="s">
        <v>405</v>
      </c>
      <c r="J17" s="28" t="s">
        <v>410</v>
      </c>
      <c r="K17" s="28" t="s">
        <v>415</v>
      </c>
    </row>
    <row r="18" spans="1:11" ht="26.25" thickBot="1">
      <c r="A18" s="28" t="s">
        <v>770</v>
      </c>
      <c r="B18" s="29" t="s">
        <v>830</v>
      </c>
      <c r="C18" s="29" t="s">
        <v>831</v>
      </c>
      <c r="D18" s="29" t="s">
        <v>832</v>
      </c>
      <c r="E18" s="29" t="s">
        <v>833</v>
      </c>
      <c r="F18" s="29" t="s">
        <v>834</v>
      </c>
      <c r="G18" s="29" t="s">
        <v>835</v>
      </c>
      <c r="H18" s="29" t="s">
        <v>836</v>
      </c>
      <c r="I18" s="29" t="s">
        <v>837</v>
      </c>
      <c r="J18" s="29" t="s">
        <v>838</v>
      </c>
      <c r="K18" s="29" t="s">
        <v>839</v>
      </c>
    </row>
    <row r="19" spans="1:11" ht="26.25" thickBot="1">
      <c r="A19" s="28" t="s">
        <v>2</v>
      </c>
      <c r="B19" s="30" t="s">
        <v>840</v>
      </c>
      <c r="C19" s="30" t="s">
        <v>841</v>
      </c>
      <c r="D19" s="30" t="s">
        <v>842</v>
      </c>
      <c r="E19" s="30" t="s">
        <v>843</v>
      </c>
      <c r="F19" s="30" t="s">
        <v>844</v>
      </c>
      <c r="G19" s="30" t="s">
        <v>845</v>
      </c>
      <c r="H19" s="30" t="s">
        <v>846</v>
      </c>
      <c r="I19" s="30" t="s">
        <v>847</v>
      </c>
      <c r="J19" s="30" t="s">
        <v>848</v>
      </c>
      <c r="K19" s="30" t="s">
        <v>849</v>
      </c>
    </row>
    <row r="20" spans="1:11" ht="26.25" thickBot="1">
      <c r="A20" s="28" t="s">
        <v>759</v>
      </c>
      <c r="B20" s="30" t="s">
        <v>342</v>
      </c>
      <c r="C20" s="30" t="s">
        <v>353</v>
      </c>
      <c r="D20" s="30" t="s">
        <v>850</v>
      </c>
      <c r="E20" s="30" t="s">
        <v>851</v>
      </c>
      <c r="F20" s="30" t="s">
        <v>385</v>
      </c>
      <c r="G20" s="30" t="s">
        <v>394</v>
      </c>
      <c r="H20" s="30" t="s">
        <v>401</v>
      </c>
      <c r="I20" s="30" t="s">
        <v>407</v>
      </c>
      <c r="J20" s="30" t="s">
        <v>763</v>
      </c>
      <c r="K20" s="30" t="s">
        <v>419</v>
      </c>
    </row>
    <row r="21" spans="1:11" ht="26.25" thickBot="1">
      <c r="A21" s="28" t="s">
        <v>6</v>
      </c>
      <c r="B21" s="30" t="s">
        <v>340</v>
      </c>
      <c r="C21" s="30" t="s">
        <v>351</v>
      </c>
      <c r="D21" s="30" t="s">
        <v>850</v>
      </c>
      <c r="E21" s="30" t="s">
        <v>852</v>
      </c>
      <c r="F21" s="30" t="s">
        <v>383</v>
      </c>
      <c r="G21" s="30" t="s">
        <v>391</v>
      </c>
      <c r="H21" s="30" t="s">
        <v>399</v>
      </c>
      <c r="I21" s="30" t="s">
        <v>407</v>
      </c>
      <c r="J21" s="30" t="s">
        <v>763</v>
      </c>
      <c r="K21" s="30" t="s">
        <v>417</v>
      </c>
    </row>
    <row r="22" spans="1:11" ht="26.25" thickBot="1">
      <c r="A22" s="28" t="s">
        <v>737</v>
      </c>
      <c r="B22" s="28" t="s">
        <v>422</v>
      </c>
      <c r="C22" s="28" t="s">
        <v>428</v>
      </c>
      <c r="D22" s="28" t="s">
        <v>435</v>
      </c>
      <c r="E22" s="28" t="s">
        <v>446</v>
      </c>
      <c r="F22" s="28" t="s">
        <v>457</v>
      </c>
      <c r="G22" s="28" t="s">
        <v>463</v>
      </c>
      <c r="H22" s="28" t="s">
        <v>475</v>
      </c>
      <c r="I22" s="28" t="s">
        <v>487</v>
      </c>
      <c r="J22" s="28" t="s">
        <v>493</v>
      </c>
      <c r="K22" s="28" t="s">
        <v>502</v>
      </c>
    </row>
    <row r="23" spans="1:11" ht="26.25" thickBot="1">
      <c r="A23" s="28" t="s">
        <v>770</v>
      </c>
      <c r="B23" s="29" t="s">
        <v>853</v>
      </c>
      <c r="C23" s="29" t="s">
        <v>854</v>
      </c>
      <c r="D23" s="29" t="s">
        <v>855</v>
      </c>
      <c r="E23" s="29" t="s">
        <v>856</v>
      </c>
      <c r="F23" s="29" t="s">
        <v>857</v>
      </c>
      <c r="G23" s="29" t="s">
        <v>858</v>
      </c>
      <c r="H23" s="29" t="s">
        <v>859</v>
      </c>
      <c r="I23" s="29" t="s">
        <v>860</v>
      </c>
      <c r="J23" s="29" t="s">
        <v>861</v>
      </c>
      <c r="K23" s="29" t="s">
        <v>862</v>
      </c>
    </row>
    <row r="24" spans="1:11" ht="26.25" thickBot="1">
      <c r="A24" s="28" t="s">
        <v>2</v>
      </c>
      <c r="B24" s="30" t="s">
        <v>863</v>
      </c>
      <c r="C24" s="30" t="s">
        <v>864</v>
      </c>
      <c r="D24" s="30" t="s">
        <v>865</v>
      </c>
      <c r="E24" s="30" t="s">
        <v>866</v>
      </c>
      <c r="F24" s="30" t="s">
        <v>867</v>
      </c>
      <c r="G24" s="30" t="s">
        <v>868</v>
      </c>
      <c r="H24" s="30" t="s">
        <v>869</v>
      </c>
      <c r="I24" s="30" t="s">
        <v>870</v>
      </c>
      <c r="J24" s="30" t="s">
        <v>871</v>
      </c>
      <c r="K24" s="30" t="s">
        <v>872</v>
      </c>
    </row>
    <row r="25" spans="1:11" ht="26.25" thickBot="1">
      <c r="A25" s="28" t="s">
        <v>759</v>
      </c>
      <c r="B25" s="30" t="s">
        <v>426</v>
      </c>
      <c r="C25" s="30" t="s">
        <v>431</v>
      </c>
      <c r="D25" s="30" t="s">
        <v>873</v>
      </c>
      <c r="E25" s="30" t="s">
        <v>874</v>
      </c>
      <c r="F25" s="30" t="s">
        <v>875</v>
      </c>
      <c r="G25" s="30" t="s">
        <v>876</v>
      </c>
      <c r="H25" s="30" t="s">
        <v>877</v>
      </c>
      <c r="I25" s="30" t="s">
        <v>490</v>
      </c>
      <c r="J25" s="30" t="s">
        <v>878</v>
      </c>
      <c r="K25" s="30" t="s">
        <v>506</v>
      </c>
    </row>
    <row r="26" spans="1:11" ht="26.25" thickBot="1">
      <c r="A26" s="28" t="s">
        <v>6</v>
      </c>
      <c r="B26" s="30" t="s">
        <v>425</v>
      </c>
      <c r="C26" s="30" t="s">
        <v>431</v>
      </c>
      <c r="D26" s="30" t="s">
        <v>873</v>
      </c>
      <c r="E26" s="30" t="s">
        <v>879</v>
      </c>
      <c r="F26" s="30" t="s">
        <v>880</v>
      </c>
      <c r="G26" s="30" t="s">
        <v>881</v>
      </c>
      <c r="H26" s="30" t="s">
        <v>877</v>
      </c>
      <c r="I26" s="30" t="s">
        <v>489</v>
      </c>
      <c r="J26" s="30" t="s">
        <v>882</v>
      </c>
      <c r="K26" s="30" t="s">
        <v>504</v>
      </c>
    </row>
  </sheetData>
  <mergeCells count="1">
    <mergeCell ref="A1:K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工作表1</vt:lpstr>
      <vt:lpstr>輸入工具</vt:lpstr>
      <vt:lpstr>輸入工具 (閩拼方案)</vt:lpstr>
      <vt:lpstr>輸入工具 (台語注音二式)</vt:lpstr>
      <vt:lpstr>輸入工具 (台語音標)</vt:lpstr>
      <vt:lpstr>輸入工具 (台羅拼音)</vt:lpstr>
      <vt:lpstr>輸入工具 (白話字)</vt:lpstr>
      <vt:lpstr>【聲】聲母對照表</vt:lpstr>
      <vt:lpstr>【聲】聲母排序表</vt:lpstr>
      <vt:lpstr>【韻】韻母對照表</vt:lpstr>
      <vt:lpstr>【調】韻母標調</vt:lpstr>
      <vt:lpstr>台語注音二式轉方音符號</vt:lpstr>
      <vt:lpstr>台語注音二式轉換</vt:lpstr>
      <vt:lpstr>IPA音節表</vt:lpstr>
      <vt:lpstr>【十五音】韻母對照表</vt:lpstr>
      <vt:lpstr>十五音韻母</vt:lpstr>
      <vt:lpstr>馬重奇韻母50字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2026-03-12T11:06:03Z</dcterms:created>
  <dcterms:modified xsi:type="dcterms:W3CDTF">2026-07-06T13:41:10Z</dcterms:modified>
</cp:coreProperties>
</file>