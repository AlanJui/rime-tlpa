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547A410-1B2C-4FDF-809F-400790E8692E}" xr6:coauthVersionLast="47" xr6:coauthVersionMax="47" xr10:uidLastSave="{00000000-0000-0000-0000-000000000000}"/>
  <bookViews>
    <workbookView xWindow="-120" yWindow="-120" windowWidth="38640" windowHeight="15720" activeTab="3" xr2:uid="{7E808FC4-FD7B-4D2F-8735-FF65DCE8E5C1}"/>
  </bookViews>
  <sheets>
    <sheet name="【聲】聲母對照表" sheetId="1" r:id="rId1"/>
    <sheet name="【韻】韻母對照表" sheetId="2" r:id="rId2"/>
    <sheet name="【韻】韻母對照表 (3)" sheetId="11" r:id="rId3"/>
    <sheet name="台語音標韻母清單【依字長反排序】" sheetId="14" r:id="rId4"/>
    <sheet name="韻母轉換規則" sheetId="6" r:id="rId5"/>
    <sheet name="台語注音二式轉換" sheetId="7" r:id="rId6"/>
    <sheet name="【調】聲調對照表" sheetId="3" r:id="rId7"/>
    <sheet name="工作表1" sheetId="12" r:id="rId8"/>
    <sheet name="工作表2" sheetId="13" r:id="rId9"/>
    <sheet name="十五音韻母" sheetId="9" r:id="rId10"/>
    <sheet name="舊版聲調對照表" sheetId="4" r:id="rId11"/>
    <sheet name="【韻】韻母對照表 (2)" sheetId="10" r:id="rId12"/>
    <sheet name="工作表3" sheetId="8" r:id="rId13"/>
  </sheets>
  <definedNames>
    <definedName name="_xlnm._FilterDatabase" localSheetId="3" hidden="1">台語音標韻母清單【依字長反排序】!$B$3:$K$99</definedName>
    <definedName name="_xlnm._FilterDatabase" localSheetId="4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9" i="14" l="1"/>
  <c r="T90" i="14"/>
  <c r="T91" i="14"/>
  <c r="T5" i="14"/>
  <c r="T6" i="14"/>
  <c r="T7" i="14"/>
  <c r="T8" i="14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65" i="14"/>
  <c r="T66" i="14"/>
  <c r="T67" i="14"/>
  <c r="T68" i="14"/>
  <c r="T69" i="14"/>
  <c r="T70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85" i="14"/>
  <c r="T86" i="14"/>
  <c r="T87" i="14"/>
  <c r="T88" i="14"/>
  <c r="T92" i="14"/>
  <c r="T93" i="14"/>
  <c r="T94" i="14"/>
  <c r="T95" i="14"/>
  <c r="T96" i="14"/>
  <c r="T97" i="14"/>
  <c r="T98" i="14"/>
  <c r="T99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91" i="14"/>
  <c r="R92" i="14"/>
  <c r="R93" i="14"/>
  <c r="R94" i="14"/>
  <c r="R95" i="14"/>
  <c r="R96" i="14"/>
  <c r="R97" i="14"/>
  <c r="R98" i="14"/>
  <c r="R99" i="14"/>
  <c r="R4" i="14"/>
  <c r="T4" i="14" s="1"/>
  <c r="R5" i="14"/>
  <c r="Q17" i="14"/>
  <c r="Q18" i="14"/>
  <c r="Q19" i="14"/>
  <c r="Q20" i="14"/>
  <c r="Q16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6" i="14"/>
  <c r="Q7" i="14"/>
  <c r="Q8" i="14"/>
  <c r="Q9" i="14"/>
  <c r="Q12" i="14"/>
  <c r="Q13" i="14"/>
  <c r="Q14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94" i="14"/>
  <c r="M95" i="14"/>
  <c r="M96" i="14"/>
  <c r="M97" i="14"/>
  <c r="M98" i="14"/>
  <c r="M99" i="14"/>
  <c r="M4" i="14"/>
  <c r="J5" i="14"/>
  <c r="J10" i="14"/>
  <c r="J11" i="14"/>
  <c r="J12" i="14"/>
  <c r="J13" i="14"/>
  <c r="J6" i="14"/>
  <c r="J7" i="14"/>
  <c r="J8" i="14"/>
  <c r="J14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15" i="14"/>
  <c r="J16" i="14"/>
  <c r="J17" i="14"/>
  <c r="J41" i="14"/>
  <c r="J18" i="14"/>
  <c r="J19" i="14"/>
  <c r="J20" i="14"/>
  <c r="J42" i="14"/>
  <c r="J21" i="14"/>
  <c r="J22" i="14"/>
  <c r="J43" i="14"/>
  <c r="J44" i="14"/>
  <c r="J45" i="14"/>
  <c r="J46" i="14"/>
  <c r="J9" i="14"/>
  <c r="J47" i="14"/>
  <c r="J48" i="14"/>
  <c r="J49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50" i="14"/>
  <c r="J77" i="14"/>
  <c r="J51" i="14"/>
  <c r="J78" i="14"/>
  <c r="J79" i="14"/>
  <c r="J80" i="14"/>
  <c r="J81" i="14"/>
  <c r="J82" i="14"/>
  <c r="J83" i="14"/>
  <c r="J84" i="14"/>
  <c r="J85" i="14"/>
  <c r="J86" i="14"/>
  <c r="J87" i="14"/>
  <c r="J94" i="14"/>
  <c r="J95" i="14"/>
  <c r="J96" i="14"/>
  <c r="J97" i="14"/>
  <c r="J98" i="14"/>
  <c r="J99" i="14"/>
  <c r="J88" i="14"/>
  <c r="J23" i="14"/>
  <c r="J24" i="14"/>
  <c r="J89" i="14"/>
  <c r="J90" i="14"/>
  <c r="J91" i="14"/>
  <c r="J52" i="14"/>
  <c r="J25" i="14"/>
  <c r="J92" i="14"/>
  <c r="J53" i="14"/>
  <c r="J54" i="14"/>
  <c r="J93" i="14"/>
  <c r="J4" i="14"/>
  <c r="F103" i="14"/>
  <c r="F104" i="14" s="1"/>
  <c r="L99" i="14"/>
  <c r="O99" i="14" s="1"/>
  <c r="I93" i="14" a="1"/>
  <c r="I93" i="14" s="1"/>
  <c r="H93" i="14" a="1"/>
  <c r="H93" i="14" s="1"/>
  <c r="G93" i="14" a="1"/>
  <c r="G93" i="14" s="1"/>
  <c r="F93" i="14" a="1"/>
  <c r="F93" i="14" s="1"/>
  <c r="M93" i="14" s="1"/>
  <c r="E93" i="14" a="1"/>
  <c r="E93" i="14" s="1"/>
  <c r="A93" i="14"/>
  <c r="L98" i="14"/>
  <c r="O98" i="14" s="1"/>
  <c r="I54" i="14" a="1"/>
  <c r="I54" i="14" s="1"/>
  <c r="H54" i="14" a="1"/>
  <c r="H54" i="14" s="1"/>
  <c r="G54" i="14" a="1"/>
  <c r="G54" i="14" s="1"/>
  <c r="F54" i="14" a="1"/>
  <c r="F54" i="14" s="1"/>
  <c r="M54" i="14" s="1"/>
  <c r="E54" i="14" a="1"/>
  <c r="E54" i="14" s="1"/>
  <c r="A54" i="14"/>
  <c r="L97" i="14"/>
  <c r="O97" i="14" s="1"/>
  <c r="I53" i="14" a="1"/>
  <c r="I53" i="14" s="1"/>
  <c r="H53" i="14" a="1"/>
  <c r="H53" i="14" s="1"/>
  <c r="G53" i="14" a="1"/>
  <c r="G53" i="14" s="1"/>
  <c r="F53" i="14" a="1"/>
  <c r="F53" i="14" s="1"/>
  <c r="M53" i="14" s="1"/>
  <c r="E53" i="14" a="1"/>
  <c r="E53" i="14" s="1"/>
  <c r="A53" i="14"/>
  <c r="L96" i="14"/>
  <c r="O96" i="14" s="1"/>
  <c r="I92" i="14" a="1"/>
  <c r="I92" i="14" s="1"/>
  <c r="H92" i="14" a="1"/>
  <c r="H92" i="14" s="1"/>
  <c r="G92" i="14" a="1"/>
  <c r="G92" i="14" s="1"/>
  <c r="F92" i="14" a="1"/>
  <c r="F92" i="14" s="1"/>
  <c r="M92" i="14" s="1"/>
  <c r="E92" i="14" a="1"/>
  <c r="E92" i="14" s="1"/>
  <c r="A92" i="14"/>
  <c r="L95" i="14"/>
  <c r="O95" i="14" s="1"/>
  <c r="I25" i="14" a="1"/>
  <c r="I25" i="14" s="1"/>
  <c r="H25" i="14" a="1"/>
  <c r="H25" i="14" s="1"/>
  <c r="G25" i="14" a="1"/>
  <c r="G25" i="14" s="1"/>
  <c r="F25" i="14" a="1"/>
  <c r="F25" i="14" s="1"/>
  <c r="M25" i="14" s="1"/>
  <c r="E25" i="14" a="1"/>
  <c r="E25" i="14" s="1"/>
  <c r="A25" i="14"/>
  <c r="L94" i="14"/>
  <c r="O94" i="14" s="1"/>
  <c r="I52" i="14" a="1"/>
  <c r="I52" i="14" s="1"/>
  <c r="H52" i="14" a="1"/>
  <c r="H52" i="14" s="1"/>
  <c r="G52" i="14" a="1"/>
  <c r="G52" i="14" s="1"/>
  <c r="F52" i="14" a="1"/>
  <c r="F52" i="14" s="1"/>
  <c r="M52" i="14" s="1"/>
  <c r="E52" i="14" a="1"/>
  <c r="E52" i="14" s="1"/>
  <c r="A52" i="14"/>
  <c r="L93" i="14"/>
  <c r="O93" i="14" s="1"/>
  <c r="I91" i="14" a="1"/>
  <c r="I91" i="14" s="1"/>
  <c r="H91" i="14" a="1"/>
  <c r="H91" i="14" s="1"/>
  <c r="G91" i="14" a="1"/>
  <c r="G91" i="14" s="1"/>
  <c r="F91" i="14" a="1"/>
  <c r="F91" i="14" s="1"/>
  <c r="M91" i="14" s="1"/>
  <c r="E91" i="14" a="1"/>
  <c r="E91" i="14" s="1"/>
  <c r="A91" i="14"/>
  <c r="L92" i="14"/>
  <c r="O92" i="14" s="1"/>
  <c r="I90" i="14" a="1"/>
  <c r="I90" i="14" s="1"/>
  <c r="H90" i="14" a="1"/>
  <c r="H90" i="14" s="1"/>
  <c r="G90" i="14" a="1"/>
  <c r="G90" i="14" s="1"/>
  <c r="F90" i="14" a="1"/>
  <c r="F90" i="14" s="1"/>
  <c r="M90" i="14" s="1"/>
  <c r="E90" i="14" a="1"/>
  <c r="E90" i="14" s="1"/>
  <c r="A90" i="14"/>
  <c r="L91" i="14"/>
  <c r="O91" i="14" s="1"/>
  <c r="I89" i="14" a="1"/>
  <c r="I89" i="14" s="1"/>
  <c r="H89" i="14" a="1"/>
  <c r="H89" i="14" s="1"/>
  <c r="G89" i="14" a="1"/>
  <c r="G89" i="14" s="1"/>
  <c r="F89" i="14" a="1"/>
  <c r="F89" i="14" s="1"/>
  <c r="M89" i="14" s="1"/>
  <c r="E89" i="14" a="1"/>
  <c r="E89" i="14" s="1"/>
  <c r="A89" i="14"/>
  <c r="L90" i="14"/>
  <c r="O90" i="14" s="1"/>
  <c r="I24" i="14" a="1"/>
  <c r="I24" i="14" s="1"/>
  <c r="H24" i="14" a="1"/>
  <c r="H24" i="14" s="1"/>
  <c r="G24" i="14" a="1"/>
  <c r="G24" i="14" s="1"/>
  <c r="F24" i="14" a="1"/>
  <c r="F24" i="14" s="1"/>
  <c r="M24" i="14" s="1"/>
  <c r="E24" i="14" a="1"/>
  <c r="E24" i="14" s="1"/>
  <c r="A24" i="14"/>
  <c r="L89" i="14"/>
  <c r="O89" i="14" s="1"/>
  <c r="I23" i="14" a="1"/>
  <c r="I23" i="14" s="1"/>
  <c r="H23" i="14" a="1"/>
  <c r="H23" i="14" s="1"/>
  <c r="G23" i="14" a="1"/>
  <c r="G23" i="14" s="1"/>
  <c r="E23" i="14" a="1"/>
  <c r="E23" i="14" s="1"/>
  <c r="A23" i="14"/>
  <c r="L88" i="14"/>
  <c r="O88" i="14" s="1"/>
  <c r="I88" i="14" a="1"/>
  <c r="I88" i="14" s="1"/>
  <c r="H88" i="14" a="1"/>
  <c r="H88" i="14" s="1"/>
  <c r="G88" i="14" a="1"/>
  <c r="G88" i="14" s="1"/>
  <c r="E88" i="14" a="1"/>
  <c r="E88" i="14" s="1"/>
  <c r="A88" i="14"/>
  <c r="L87" i="14"/>
  <c r="O87" i="14" s="1"/>
  <c r="I99" i="14" a="1"/>
  <c r="I99" i="14" s="1"/>
  <c r="H99" i="14" a="1"/>
  <c r="H99" i="14" s="1"/>
  <c r="G99" i="14" a="1"/>
  <c r="G99" i="14" s="1"/>
  <c r="E99" i="14" a="1"/>
  <c r="E99" i="14" s="1"/>
  <c r="A99" i="14"/>
  <c r="L86" i="14"/>
  <c r="O86" i="14" s="1"/>
  <c r="I98" i="14" a="1"/>
  <c r="I98" i="14" s="1"/>
  <c r="H98" i="14" a="1"/>
  <c r="H98" i="14" s="1"/>
  <c r="G98" i="14" a="1"/>
  <c r="G98" i="14" s="1"/>
  <c r="E98" i="14" a="1"/>
  <c r="E98" i="14" s="1"/>
  <c r="A98" i="14"/>
  <c r="L85" i="14"/>
  <c r="O85" i="14" s="1"/>
  <c r="I97" i="14" a="1"/>
  <c r="I97" i="14" s="1"/>
  <c r="H97" i="14" a="1"/>
  <c r="H97" i="14" s="1"/>
  <c r="G97" i="14" a="1"/>
  <c r="G97" i="14" s="1"/>
  <c r="E97" i="14" a="1"/>
  <c r="E97" i="14" s="1"/>
  <c r="A97" i="14"/>
  <c r="L84" i="14"/>
  <c r="O84" i="14" s="1"/>
  <c r="I96" i="14" a="1"/>
  <c r="I96" i="14" s="1"/>
  <c r="H96" i="14" a="1"/>
  <c r="H96" i="14" s="1"/>
  <c r="G96" i="14" a="1"/>
  <c r="G96" i="14" s="1"/>
  <c r="E96" i="14" a="1"/>
  <c r="E96" i="14" s="1"/>
  <c r="A96" i="14"/>
  <c r="L83" i="14"/>
  <c r="O83" i="14" s="1"/>
  <c r="I95" i="14" a="1"/>
  <c r="I95" i="14" s="1"/>
  <c r="H95" i="14" a="1"/>
  <c r="H95" i="14" s="1"/>
  <c r="G95" i="14" a="1"/>
  <c r="G95" i="14" s="1"/>
  <c r="E95" i="14" a="1"/>
  <c r="E95" i="14" s="1"/>
  <c r="A95" i="14"/>
  <c r="L82" i="14"/>
  <c r="O82" i="14" s="1"/>
  <c r="I94" i="14" a="1"/>
  <c r="I94" i="14" s="1"/>
  <c r="H94" i="14" a="1"/>
  <c r="H94" i="14" s="1"/>
  <c r="G94" i="14" a="1"/>
  <c r="G94" i="14" s="1"/>
  <c r="E94" i="14" a="1"/>
  <c r="E94" i="14" s="1"/>
  <c r="A94" i="14"/>
  <c r="L81" i="14"/>
  <c r="O81" i="14" s="1"/>
  <c r="I87" i="14" a="1"/>
  <c r="I87" i="14" s="1"/>
  <c r="H87" i="14" a="1"/>
  <c r="H87" i="14" s="1"/>
  <c r="G87" i="14" a="1"/>
  <c r="G87" i="14" s="1"/>
  <c r="E87" i="14" a="1"/>
  <c r="E87" i="14" s="1"/>
  <c r="A87" i="14"/>
  <c r="L80" i="14"/>
  <c r="O80" i="14" s="1"/>
  <c r="I86" i="14" a="1"/>
  <c r="I86" i="14" s="1"/>
  <c r="H86" i="14" a="1"/>
  <c r="H86" i="14" s="1"/>
  <c r="G86" i="14" a="1"/>
  <c r="G86" i="14" s="1"/>
  <c r="E86" i="14" a="1"/>
  <c r="E86" i="14" s="1"/>
  <c r="A86" i="14"/>
  <c r="L79" i="14"/>
  <c r="O79" i="14" s="1"/>
  <c r="I85" i="14" a="1"/>
  <c r="I85" i="14" s="1"/>
  <c r="H85" i="14" a="1"/>
  <c r="H85" i="14" s="1"/>
  <c r="G85" i="14" a="1"/>
  <c r="G85" i="14" s="1"/>
  <c r="E85" i="14" a="1"/>
  <c r="E85" i="14" s="1"/>
  <c r="A85" i="14"/>
  <c r="L78" i="14"/>
  <c r="O78" i="14" s="1"/>
  <c r="I84" i="14" a="1"/>
  <c r="I84" i="14" s="1"/>
  <c r="H84" i="14" a="1"/>
  <c r="H84" i="14" s="1"/>
  <c r="G84" i="14" a="1"/>
  <c r="G84" i="14" s="1"/>
  <c r="E84" i="14" a="1"/>
  <c r="E84" i="14" s="1"/>
  <c r="A84" i="14"/>
  <c r="L77" i="14"/>
  <c r="O77" i="14" s="1"/>
  <c r="I83" i="14" a="1"/>
  <c r="I83" i="14" s="1"/>
  <c r="H83" i="14" a="1"/>
  <c r="H83" i="14" s="1"/>
  <c r="G83" i="14" a="1"/>
  <c r="G83" i="14" s="1"/>
  <c r="E83" i="14" a="1"/>
  <c r="E83" i="14" s="1"/>
  <c r="A83" i="14"/>
  <c r="L76" i="14"/>
  <c r="O76" i="14" s="1"/>
  <c r="I82" i="14" a="1"/>
  <c r="I82" i="14" s="1"/>
  <c r="H82" i="14" a="1"/>
  <c r="H82" i="14" s="1"/>
  <c r="G82" i="14" a="1"/>
  <c r="G82" i="14" s="1"/>
  <c r="E82" i="14" a="1"/>
  <c r="E82" i="14" s="1"/>
  <c r="A82" i="14"/>
  <c r="L75" i="14"/>
  <c r="O75" i="14" s="1"/>
  <c r="I81" i="14" a="1"/>
  <c r="I81" i="14" s="1"/>
  <c r="H81" i="14" a="1"/>
  <c r="H81" i="14" s="1"/>
  <c r="G81" i="14" a="1"/>
  <c r="G81" i="14" s="1"/>
  <c r="E81" i="14" a="1"/>
  <c r="E81" i="14" s="1"/>
  <c r="A81" i="14"/>
  <c r="L74" i="14"/>
  <c r="O74" i="14" s="1"/>
  <c r="I80" i="14" a="1"/>
  <c r="I80" i="14" s="1"/>
  <c r="H80" i="14" a="1"/>
  <c r="H80" i="14" s="1"/>
  <c r="G80" i="14" a="1"/>
  <c r="G80" i="14" s="1"/>
  <c r="E80" i="14" a="1"/>
  <c r="E80" i="14" s="1"/>
  <c r="A80" i="14"/>
  <c r="L73" i="14"/>
  <c r="O73" i="14" s="1"/>
  <c r="I79" i="14" a="1"/>
  <c r="I79" i="14" s="1"/>
  <c r="H79" i="14" a="1"/>
  <c r="H79" i="14" s="1"/>
  <c r="G79" i="14" a="1"/>
  <c r="G79" i="14" s="1"/>
  <c r="E79" i="14" a="1"/>
  <c r="E79" i="14" s="1"/>
  <c r="A79" i="14"/>
  <c r="L72" i="14"/>
  <c r="O72" i="14" s="1"/>
  <c r="I78" i="14" a="1"/>
  <c r="I78" i="14" s="1"/>
  <c r="H78" i="14" a="1"/>
  <c r="H78" i="14" s="1"/>
  <c r="G78" i="14" a="1"/>
  <c r="G78" i="14" s="1"/>
  <c r="E78" i="14" a="1"/>
  <c r="E78" i="14" s="1"/>
  <c r="A78" i="14"/>
  <c r="L71" i="14"/>
  <c r="O71" i="14" s="1"/>
  <c r="I51" i="14" a="1"/>
  <c r="I51" i="14" s="1"/>
  <c r="H51" i="14" a="1"/>
  <c r="H51" i="14" s="1"/>
  <c r="G51" i="14" a="1"/>
  <c r="G51" i="14" s="1"/>
  <c r="E51" i="14" a="1"/>
  <c r="E51" i="14" s="1"/>
  <c r="A51" i="14"/>
  <c r="L70" i="14"/>
  <c r="O70" i="14" s="1"/>
  <c r="I77" i="14" a="1"/>
  <c r="I77" i="14" s="1"/>
  <c r="H77" i="14" a="1"/>
  <c r="H77" i="14" s="1"/>
  <c r="G77" i="14" a="1"/>
  <c r="G77" i="14" s="1"/>
  <c r="E77" i="14" a="1"/>
  <c r="E77" i="14" s="1"/>
  <c r="A77" i="14"/>
  <c r="L69" i="14"/>
  <c r="O69" i="14" s="1"/>
  <c r="I50" i="14" a="1"/>
  <c r="I50" i="14" s="1"/>
  <c r="H50" i="14" a="1"/>
  <c r="H50" i="14" s="1"/>
  <c r="G50" i="14" a="1"/>
  <c r="G50" i="14" s="1"/>
  <c r="E50" i="14" a="1"/>
  <c r="E50" i="14" s="1"/>
  <c r="A50" i="14"/>
  <c r="L68" i="14"/>
  <c r="O68" i="14" s="1"/>
  <c r="I76" i="14" a="1"/>
  <c r="I76" i="14" s="1"/>
  <c r="H76" i="14" a="1"/>
  <c r="H76" i="14" s="1"/>
  <c r="G76" i="14" a="1"/>
  <c r="G76" i="14" s="1"/>
  <c r="E76" i="14" a="1"/>
  <c r="E76" i="14" s="1"/>
  <c r="A76" i="14"/>
  <c r="L67" i="14"/>
  <c r="O67" i="14" s="1"/>
  <c r="I75" i="14" a="1"/>
  <c r="I75" i="14" s="1"/>
  <c r="H75" i="14" a="1"/>
  <c r="H75" i="14" s="1"/>
  <c r="G75" i="14" a="1"/>
  <c r="G75" i="14" s="1"/>
  <c r="E75" i="14" a="1"/>
  <c r="E75" i="14" s="1"/>
  <c r="A75" i="14"/>
  <c r="L66" i="14"/>
  <c r="O66" i="14" s="1"/>
  <c r="I74" i="14" a="1"/>
  <c r="I74" i="14" s="1"/>
  <c r="H74" i="14" a="1"/>
  <c r="H74" i="14" s="1"/>
  <c r="G74" i="14" a="1"/>
  <c r="G74" i="14" s="1"/>
  <c r="E74" i="14" a="1"/>
  <c r="E74" i="14" s="1"/>
  <c r="A74" i="14"/>
  <c r="L65" i="14"/>
  <c r="O65" i="14" s="1"/>
  <c r="I73" i="14" a="1"/>
  <c r="I73" i="14" s="1"/>
  <c r="H73" i="14" a="1"/>
  <c r="H73" i="14" s="1"/>
  <c r="G73" i="14" a="1"/>
  <c r="G73" i="14" s="1"/>
  <c r="E73" i="14" a="1"/>
  <c r="E73" i="14" s="1"/>
  <c r="A73" i="14"/>
  <c r="L64" i="14"/>
  <c r="O64" i="14" s="1"/>
  <c r="I72" i="14" a="1"/>
  <c r="I72" i="14" s="1"/>
  <c r="H72" i="14" a="1"/>
  <c r="H72" i="14" s="1"/>
  <c r="G72" i="14" a="1"/>
  <c r="G72" i="14" s="1"/>
  <c r="E72" i="14" a="1"/>
  <c r="E72" i="14" s="1"/>
  <c r="A72" i="14"/>
  <c r="L63" i="14"/>
  <c r="O63" i="14" s="1"/>
  <c r="I71" i="14" a="1"/>
  <c r="I71" i="14" s="1"/>
  <c r="H71" i="14" a="1"/>
  <c r="H71" i="14" s="1"/>
  <c r="G71" i="14" a="1"/>
  <c r="G71" i="14" s="1"/>
  <c r="E71" i="14" a="1"/>
  <c r="E71" i="14" s="1"/>
  <c r="A71" i="14"/>
  <c r="L62" i="14"/>
  <c r="O62" i="14" s="1"/>
  <c r="I70" i="14" a="1"/>
  <c r="I70" i="14" s="1"/>
  <c r="H70" i="14" a="1"/>
  <c r="H70" i="14" s="1"/>
  <c r="G70" i="14" a="1"/>
  <c r="G70" i="14" s="1"/>
  <c r="E70" i="14" a="1"/>
  <c r="E70" i="14" s="1"/>
  <c r="A70" i="14"/>
  <c r="L61" i="14"/>
  <c r="O61" i="14" s="1"/>
  <c r="I69" i="14" a="1"/>
  <c r="I69" i="14" s="1"/>
  <c r="H69" i="14" a="1"/>
  <c r="H69" i="14" s="1"/>
  <c r="G69" i="14" a="1"/>
  <c r="G69" i="14" s="1"/>
  <c r="E69" i="14" a="1"/>
  <c r="E69" i="14" s="1"/>
  <c r="A69" i="14"/>
  <c r="L60" i="14"/>
  <c r="O60" i="14" s="1"/>
  <c r="I68" i="14" a="1"/>
  <c r="I68" i="14" s="1"/>
  <c r="H68" i="14" a="1"/>
  <c r="H68" i="14" s="1"/>
  <c r="G68" i="14" a="1"/>
  <c r="G68" i="14" s="1"/>
  <c r="E68" i="14" a="1"/>
  <c r="E68" i="14" s="1"/>
  <c r="A68" i="14"/>
  <c r="L59" i="14"/>
  <c r="O59" i="14" s="1"/>
  <c r="I67" i="14" a="1"/>
  <c r="I67" i="14" s="1"/>
  <c r="H67" i="14" a="1"/>
  <c r="H67" i="14" s="1"/>
  <c r="G67" i="14" a="1"/>
  <c r="G67" i="14" s="1"/>
  <c r="E67" i="14" a="1"/>
  <c r="E67" i="14" s="1"/>
  <c r="A67" i="14"/>
  <c r="L58" i="14"/>
  <c r="O58" i="14" s="1"/>
  <c r="I66" i="14" a="1"/>
  <c r="I66" i="14" s="1"/>
  <c r="H66" i="14" a="1"/>
  <c r="H66" i="14" s="1"/>
  <c r="G66" i="14" a="1"/>
  <c r="G66" i="14" s="1"/>
  <c r="E66" i="14" a="1"/>
  <c r="E66" i="14" s="1"/>
  <c r="A66" i="14"/>
  <c r="L57" i="14"/>
  <c r="O57" i="14" s="1"/>
  <c r="I65" i="14" a="1"/>
  <c r="I65" i="14" s="1"/>
  <c r="H65" i="14" a="1"/>
  <c r="H65" i="14" s="1"/>
  <c r="G65" i="14" a="1"/>
  <c r="G65" i="14" s="1"/>
  <c r="E65" i="14" a="1"/>
  <c r="E65" i="14" s="1"/>
  <c r="A65" i="14"/>
  <c r="L56" i="14"/>
  <c r="O56" i="14" s="1"/>
  <c r="I64" i="14" a="1"/>
  <c r="I64" i="14" s="1"/>
  <c r="H64" i="14" a="1"/>
  <c r="H64" i="14" s="1"/>
  <c r="G64" i="14" a="1"/>
  <c r="G64" i="14" s="1"/>
  <c r="E64" i="14" a="1"/>
  <c r="E64" i="14" s="1"/>
  <c r="A64" i="14"/>
  <c r="L55" i="14"/>
  <c r="O55" i="14" s="1"/>
  <c r="I63" i="14" a="1"/>
  <c r="I63" i="14" s="1"/>
  <c r="H63" i="14" a="1"/>
  <c r="H63" i="14" s="1"/>
  <c r="G63" i="14" a="1"/>
  <c r="G63" i="14" s="1"/>
  <c r="E63" i="14" a="1"/>
  <c r="E63" i="14" s="1"/>
  <c r="A63" i="14"/>
  <c r="L54" i="14"/>
  <c r="O54" i="14" s="1"/>
  <c r="I62" i="14" a="1"/>
  <c r="I62" i="14" s="1"/>
  <c r="H62" i="14" a="1"/>
  <c r="H62" i="14" s="1"/>
  <c r="G62" i="14" a="1"/>
  <c r="G62" i="14" s="1"/>
  <c r="E62" i="14" a="1"/>
  <c r="E62" i="14" s="1"/>
  <c r="A62" i="14"/>
  <c r="L53" i="14"/>
  <c r="O53" i="14" s="1"/>
  <c r="I61" i="14" a="1"/>
  <c r="I61" i="14" s="1"/>
  <c r="H61" i="14" a="1"/>
  <c r="H61" i="14" s="1"/>
  <c r="G61" i="14" a="1"/>
  <c r="G61" i="14" s="1"/>
  <c r="E61" i="14" a="1"/>
  <c r="E61" i="14" s="1"/>
  <c r="A61" i="14"/>
  <c r="L52" i="14"/>
  <c r="O52" i="14" s="1"/>
  <c r="I60" i="14" a="1"/>
  <c r="I60" i="14" s="1"/>
  <c r="H60" i="14" a="1"/>
  <c r="H60" i="14" s="1"/>
  <c r="G60" i="14" a="1"/>
  <c r="G60" i="14" s="1"/>
  <c r="E60" i="14" a="1"/>
  <c r="E60" i="14" s="1"/>
  <c r="A60" i="14"/>
  <c r="L51" i="14"/>
  <c r="O51" i="14" s="1"/>
  <c r="I59" i="14" a="1"/>
  <c r="I59" i="14" s="1"/>
  <c r="H59" i="14" a="1"/>
  <c r="H59" i="14" s="1"/>
  <c r="G59" i="14" a="1"/>
  <c r="G59" i="14" s="1"/>
  <c r="E59" i="14" a="1"/>
  <c r="E59" i="14" s="1"/>
  <c r="A59" i="14"/>
  <c r="L50" i="14"/>
  <c r="O50" i="14" s="1"/>
  <c r="I58" i="14" a="1"/>
  <c r="I58" i="14" s="1"/>
  <c r="H58" i="14" a="1"/>
  <c r="H58" i="14" s="1"/>
  <c r="G58" i="14" a="1"/>
  <c r="G58" i="14" s="1"/>
  <c r="E58" i="14" a="1"/>
  <c r="E58" i="14" s="1"/>
  <c r="A58" i="14"/>
  <c r="L49" i="14"/>
  <c r="O49" i="14" s="1"/>
  <c r="I57" i="14" a="1"/>
  <c r="I57" i="14" s="1"/>
  <c r="H57" i="14" a="1"/>
  <c r="H57" i="14" s="1"/>
  <c r="G57" i="14" a="1"/>
  <c r="G57" i="14" s="1"/>
  <c r="E57" i="14" a="1"/>
  <c r="E57" i="14" s="1"/>
  <c r="A57" i="14"/>
  <c r="L48" i="14"/>
  <c r="O48" i="14" s="1"/>
  <c r="I56" i="14" a="1"/>
  <c r="I56" i="14" s="1"/>
  <c r="H56" i="14" a="1"/>
  <c r="H56" i="14" s="1"/>
  <c r="G56" i="14" a="1"/>
  <c r="G56" i="14" s="1"/>
  <c r="E56" i="14" a="1"/>
  <c r="E56" i="14" s="1"/>
  <c r="A56" i="14"/>
  <c r="L47" i="14"/>
  <c r="O47" i="14" s="1"/>
  <c r="I55" i="14" a="1"/>
  <c r="I55" i="14" s="1"/>
  <c r="H55" i="14" a="1"/>
  <c r="H55" i="14" s="1"/>
  <c r="E55" i="14" a="1"/>
  <c r="E55" i="14" s="1"/>
  <c r="A55" i="14"/>
  <c r="L46" i="14"/>
  <c r="O46" i="14" s="1"/>
  <c r="I49" i="14" a="1"/>
  <c r="I49" i="14" s="1"/>
  <c r="H49" i="14" a="1"/>
  <c r="H49" i="14" s="1"/>
  <c r="G49" i="14" a="1"/>
  <c r="G49" i="14" s="1"/>
  <c r="E49" i="14" a="1"/>
  <c r="E49" i="14" s="1"/>
  <c r="A49" i="14"/>
  <c r="L45" i="14"/>
  <c r="O45" i="14" s="1"/>
  <c r="I48" i="14" a="1"/>
  <c r="I48" i="14" s="1"/>
  <c r="H48" i="14" a="1"/>
  <c r="H48" i="14" s="1"/>
  <c r="G48" i="14" a="1"/>
  <c r="G48" i="14" s="1"/>
  <c r="E48" i="14" a="1"/>
  <c r="E48" i="14" s="1"/>
  <c r="A48" i="14"/>
  <c r="L44" i="14"/>
  <c r="O44" i="14" s="1"/>
  <c r="I47" i="14" a="1"/>
  <c r="I47" i="14" s="1"/>
  <c r="H47" i="14" a="1"/>
  <c r="H47" i="14" s="1"/>
  <c r="G47" i="14" a="1"/>
  <c r="G47" i="14" s="1"/>
  <c r="E47" i="14" a="1"/>
  <c r="E47" i="14" s="1"/>
  <c r="A47" i="14"/>
  <c r="L43" i="14"/>
  <c r="O43" i="14" s="1"/>
  <c r="I9" i="14" a="1"/>
  <c r="I9" i="14" s="1"/>
  <c r="H9" i="14" a="1"/>
  <c r="H9" i="14" s="1"/>
  <c r="G9" i="14" a="1"/>
  <c r="G9" i="14" s="1"/>
  <c r="E9" i="14" a="1"/>
  <c r="E9" i="14" s="1"/>
  <c r="B9" i="14" a="1"/>
  <c r="B9" i="14" s="1"/>
  <c r="A9" i="14"/>
  <c r="L42" i="14"/>
  <c r="O42" i="14" s="1"/>
  <c r="I46" i="14" a="1"/>
  <c r="I46" i="14" s="1"/>
  <c r="H46" i="14" a="1"/>
  <c r="H46" i="14" s="1"/>
  <c r="G46" i="14" a="1"/>
  <c r="G46" i="14" s="1"/>
  <c r="E46" i="14" a="1"/>
  <c r="E46" i="14" s="1"/>
  <c r="A46" i="14"/>
  <c r="L41" i="14"/>
  <c r="O41" i="14" s="1"/>
  <c r="I45" i="14" a="1"/>
  <c r="I45" i="14" s="1"/>
  <c r="H45" i="14" a="1"/>
  <c r="H45" i="14" s="1"/>
  <c r="G45" i="14" a="1"/>
  <c r="G45" i="14" s="1"/>
  <c r="E45" i="14" a="1"/>
  <c r="E45" i="14" s="1"/>
  <c r="A45" i="14"/>
  <c r="L40" i="14"/>
  <c r="O40" i="14" s="1"/>
  <c r="I44" i="14" a="1"/>
  <c r="I44" i="14" s="1"/>
  <c r="H44" i="14" a="1"/>
  <c r="H44" i="14" s="1"/>
  <c r="G44" i="14" a="1"/>
  <c r="G44" i="14" s="1"/>
  <c r="E44" i="14" a="1"/>
  <c r="E44" i="14" s="1"/>
  <c r="A44" i="14"/>
  <c r="L39" i="14"/>
  <c r="O39" i="14" s="1"/>
  <c r="I43" i="14" a="1"/>
  <c r="I43" i="14" s="1"/>
  <c r="H43" i="14" a="1"/>
  <c r="H43" i="14" s="1"/>
  <c r="G43" i="14" a="1"/>
  <c r="G43" i="14" s="1"/>
  <c r="E43" i="14" a="1"/>
  <c r="E43" i="14" s="1"/>
  <c r="A43" i="14"/>
  <c r="L38" i="14"/>
  <c r="O38" i="14" s="1"/>
  <c r="I22" i="14" a="1"/>
  <c r="I22" i="14" s="1"/>
  <c r="H22" i="14" a="1"/>
  <c r="H22" i="14" s="1"/>
  <c r="G22" i="14" a="1"/>
  <c r="G22" i="14" s="1"/>
  <c r="E22" i="14" a="1"/>
  <c r="E22" i="14" s="1"/>
  <c r="B22" i="14" a="1"/>
  <c r="B22" i="14" s="1"/>
  <c r="A22" i="14"/>
  <c r="L37" i="14"/>
  <c r="O37" i="14" s="1"/>
  <c r="I21" i="14" a="1"/>
  <c r="I21" i="14" s="1"/>
  <c r="H21" i="14" a="1"/>
  <c r="H21" i="14" s="1"/>
  <c r="G21" i="14" a="1"/>
  <c r="G21" i="14" s="1"/>
  <c r="E21" i="14" a="1"/>
  <c r="E21" i="14" s="1"/>
  <c r="B21" i="14" a="1"/>
  <c r="B21" i="14" s="1"/>
  <c r="A21" i="14"/>
  <c r="L36" i="14"/>
  <c r="O36" i="14" s="1"/>
  <c r="I42" i="14" a="1"/>
  <c r="I42" i="14" s="1"/>
  <c r="H42" i="14" a="1"/>
  <c r="H42" i="14" s="1"/>
  <c r="G42" i="14" a="1"/>
  <c r="G42" i="14" s="1"/>
  <c r="E42" i="14" a="1"/>
  <c r="E42" i="14" s="1"/>
  <c r="A42" i="14"/>
  <c r="L35" i="14"/>
  <c r="O35" i="14" s="1"/>
  <c r="I20" i="14" a="1"/>
  <c r="I20" i="14" s="1"/>
  <c r="H20" i="14" a="1"/>
  <c r="H20" i="14" s="1"/>
  <c r="G20" i="14" a="1"/>
  <c r="G20" i="14" s="1"/>
  <c r="E20" i="14" a="1"/>
  <c r="E20" i="14" s="1"/>
  <c r="B20" i="14" a="1"/>
  <c r="B20" i="14" s="1"/>
  <c r="A20" i="14"/>
  <c r="L34" i="14"/>
  <c r="O34" i="14" s="1"/>
  <c r="I19" i="14" a="1"/>
  <c r="I19" i="14" s="1"/>
  <c r="H19" i="14" a="1"/>
  <c r="H19" i="14" s="1"/>
  <c r="G19" i="14" a="1"/>
  <c r="G19" i="14" s="1"/>
  <c r="E19" i="14" a="1"/>
  <c r="E19" i="14" s="1"/>
  <c r="B19" i="14" a="1"/>
  <c r="B19" i="14" s="1"/>
  <c r="A19" i="14"/>
  <c r="L33" i="14"/>
  <c r="O33" i="14" s="1"/>
  <c r="I18" i="14" a="1"/>
  <c r="I18" i="14" s="1"/>
  <c r="H18" i="14" a="1"/>
  <c r="H18" i="14" s="1"/>
  <c r="G18" i="14" a="1"/>
  <c r="G18" i="14" s="1"/>
  <c r="E18" i="14" a="1"/>
  <c r="E18" i="14" s="1"/>
  <c r="A18" i="14"/>
  <c r="L32" i="14"/>
  <c r="O32" i="14" s="1"/>
  <c r="I41" i="14" a="1"/>
  <c r="I41" i="14" s="1"/>
  <c r="H41" i="14" a="1"/>
  <c r="H41" i="14" s="1"/>
  <c r="G41" i="14" a="1"/>
  <c r="G41" i="14" s="1"/>
  <c r="E41" i="14" a="1"/>
  <c r="E41" i="14" s="1"/>
  <c r="A41" i="14"/>
  <c r="L31" i="14"/>
  <c r="O31" i="14" s="1"/>
  <c r="I17" i="14" a="1"/>
  <c r="I17" i="14" s="1"/>
  <c r="H17" i="14" a="1"/>
  <c r="H17" i="14" s="1"/>
  <c r="G17" i="14" a="1"/>
  <c r="G17" i="14" s="1"/>
  <c r="E17" i="14" a="1"/>
  <c r="E17" i="14" s="1"/>
  <c r="A17" i="14"/>
  <c r="L30" i="14"/>
  <c r="O30" i="14" s="1"/>
  <c r="I16" i="14" a="1"/>
  <c r="I16" i="14" s="1"/>
  <c r="H16" i="14" a="1"/>
  <c r="H16" i="14" s="1"/>
  <c r="G16" i="14" a="1"/>
  <c r="G16" i="14" s="1"/>
  <c r="E16" i="14" a="1"/>
  <c r="E16" i="14" s="1"/>
  <c r="A16" i="14"/>
  <c r="L29" i="14"/>
  <c r="O29" i="14" s="1"/>
  <c r="I15" i="14" a="1"/>
  <c r="I15" i="14" s="1"/>
  <c r="H15" i="14" a="1"/>
  <c r="H15" i="14" s="1"/>
  <c r="G15" i="14" a="1"/>
  <c r="G15" i="14" s="1"/>
  <c r="E15" i="14" a="1"/>
  <c r="E15" i="14" s="1"/>
  <c r="A15" i="14"/>
  <c r="L28" i="14"/>
  <c r="O28" i="14" s="1"/>
  <c r="I40" i="14" a="1"/>
  <c r="I40" i="14" s="1"/>
  <c r="H40" i="14" a="1"/>
  <c r="H40" i="14" s="1"/>
  <c r="G40" i="14" a="1"/>
  <c r="G40" i="14" s="1"/>
  <c r="E40" i="14" a="1"/>
  <c r="E40" i="14" s="1"/>
  <c r="A40" i="14"/>
  <c r="L27" i="14"/>
  <c r="O27" i="14" s="1"/>
  <c r="I39" i="14" a="1"/>
  <c r="I39" i="14" s="1"/>
  <c r="H39" i="14" a="1"/>
  <c r="H39" i="14" s="1"/>
  <c r="G39" i="14" a="1"/>
  <c r="G39" i="14" s="1"/>
  <c r="E39" i="14" a="1"/>
  <c r="E39" i="14" s="1"/>
  <c r="A39" i="14"/>
  <c r="L26" i="14"/>
  <c r="O26" i="14" s="1"/>
  <c r="I38" i="14" a="1"/>
  <c r="I38" i="14" s="1"/>
  <c r="H38" i="14" a="1"/>
  <c r="H38" i="14" s="1"/>
  <c r="G38" i="14" a="1"/>
  <c r="G38" i="14" s="1"/>
  <c r="E38" i="14" a="1"/>
  <c r="E38" i="14" s="1"/>
  <c r="A38" i="14"/>
  <c r="L25" i="14"/>
  <c r="O25" i="14" s="1"/>
  <c r="I37" i="14" a="1"/>
  <c r="I37" i="14" s="1"/>
  <c r="H37" i="14" a="1"/>
  <c r="H37" i="14" s="1"/>
  <c r="G37" i="14" a="1"/>
  <c r="G37" i="14" s="1"/>
  <c r="E37" i="14" a="1"/>
  <c r="E37" i="14" s="1"/>
  <c r="A37" i="14"/>
  <c r="L24" i="14"/>
  <c r="O24" i="14" s="1"/>
  <c r="I36" i="14" a="1"/>
  <c r="I36" i="14" s="1"/>
  <c r="H36" i="14" a="1"/>
  <c r="H36" i="14" s="1"/>
  <c r="G36" i="14" a="1"/>
  <c r="G36" i="14" s="1"/>
  <c r="E36" i="14" a="1"/>
  <c r="E36" i="14" s="1"/>
  <c r="A36" i="14"/>
  <c r="L23" i="14"/>
  <c r="O23" i="14" s="1"/>
  <c r="I35" i="14" a="1"/>
  <c r="I35" i="14" s="1"/>
  <c r="H35" i="14" a="1"/>
  <c r="H35" i="14" s="1"/>
  <c r="G35" i="14" a="1"/>
  <c r="G35" i="14" s="1"/>
  <c r="E35" i="14" a="1"/>
  <c r="E35" i="14" s="1"/>
  <c r="A35" i="14"/>
  <c r="L22" i="14"/>
  <c r="O22" i="14" s="1"/>
  <c r="I34" i="14" a="1"/>
  <c r="I34" i="14" s="1"/>
  <c r="H34" i="14" a="1"/>
  <c r="H34" i="14" s="1"/>
  <c r="G34" i="14" a="1"/>
  <c r="G34" i="14" s="1"/>
  <c r="E34" i="14" a="1"/>
  <c r="E34" i="14" s="1"/>
  <c r="A34" i="14"/>
  <c r="L21" i="14"/>
  <c r="O21" i="14" s="1"/>
  <c r="I33" i="14" a="1"/>
  <c r="I33" i="14" s="1"/>
  <c r="H33" i="14" a="1"/>
  <c r="H33" i="14" s="1"/>
  <c r="G33" i="14" a="1"/>
  <c r="G33" i="14" s="1"/>
  <c r="E33" i="14" a="1"/>
  <c r="E33" i="14" s="1"/>
  <c r="A33" i="14"/>
  <c r="L20" i="14"/>
  <c r="O20" i="14" s="1"/>
  <c r="I32" i="14" a="1"/>
  <c r="I32" i="14" s="1"/>
  <c r="H32" i="14" a="1"/>
  <c r="H32" i="14" s="1"/>
  <c r="G32" i="14" a="1"/>
  <c r="G32" i="14" s="1"/>
  <c r="E32" i="14" a="1"/>
  <c r="E32" i="14" s="1"/>
  <c r="A32" i="14"/>
  <c r="L19" i="14"/>
  <c r="O19" i="14" s="1"/>
  <c r="I31" i="14" a="1"/>
  <c r="I31" i="14" s="1"/>
  <c r="H31" i="14" a="1"/>
  <c r="H31" i="14" s="1"/>
  <c r="G31" i="14" a="1"/>
  <c r="G31" i="14" s="1"/>
  <c r="E31" i="14" a="1"/>
  <c r="E31" i="14" s="1"/>
  <c r="A31" i="14"/>
  <c r="L18" i="14"/>
  <c r="O18" i="14" s="1"/>
  <c r="I30" i="14" a="1"/>
  <c r="I30" i="14" s="1"/>
  <c r="H30" i="14" a="1"/>
  <c r="H30" i="14" s="1"/>
  <c r="G30" i="14" a="1"/>
  <c r="G30" i="14" s="1"/>
  <c r="E30" i="14" a="1"/>
  <c r="E30" i="14" s="1"/>
  <c r="A30" i="14"/>
  <c r="L17" i="14"/>
  <c r="O17" i="14" s="1"/>
  <c r="I29" i="14" a="1"/>
  <c r="I29" i="14" s="1"/>
  <c r="H29" i="14" a="1"/>
  <c r="H29" i="14" s="1"/>
  <c r="G29" i="14" a="1"/>
  <c r="G29" i="14" s="1"/>
  <c r="E29" i="14" a="1"/>
  <c r="E29" i="14" s="1"/>
  <c r="A29" i="14"/>
  <c r="L16" i="14"/>
  <c r="O16" i="14" s="1"/>
  <c r="I28" i="14" a="1"/>
  <c r="I28" i="14" s="1"/>
  <c r="H28" i="14" a="1"/>
  <c r="H28" i="14" s="1"/>
  <c r="G28" i="14" a="1"/>
  <c r="G28" i="14" s="1"/>
  <c r="E28" i="14" a="1"/>
  <c r="E28" i="14" s="1"/>
  <c r="A28" i="14"/>
  <c r="L15" i="14"/>
  <c r="I27" i="14" a="1"/>
  <c r="I27" i="14" s="1"/>
  <c r="H27" i="14" a="1"/>
  <c r="H27" i="14" s="1"/>
  <c r="G27" i="14" a="1"/>
  <c r="G27" i="14" s="1"/>
  <c r="E27" i="14" a="1"/>
  <c r="E27" i="14" s="1"/>
  <c r="A27" i="14"/>
  <c r="L14" i="14"/>
  <c r="O14" i="14" s="1"/>
  <c r="I26" i="14" a="1"/>
  <c r="I26" i="14" s="1"/>
  <c r="H26" i="14" a="1"/>
  <c r="H26" i="14" s="1"/>
  <c r="E26" i="14" a="1"/>
  <c r="E26" i="14" s="1"/>
  <c r="A26" i="14"/>
  <c r="L13" i="14"/>
  <c r="O13" i="14" s="1"/>
  <c r="I14" i="14" a="1"/>
  <c r="I14" i="14" s="1"/>
  <c r="H14" i="14" a="1"/>
  <c r="H14" i="14" s="1"/>
  <c r="G14" i="14" a="1"/>
  <c r="G14" i="14" s="1"/>
  <c r="E14" i="14" a="1"/>
  <c r="E14" i="14" s="1"/>
  <c r="B14" i="14" a="1"/>
  <c r="B14" i="14" s="1"/>
  <c r="A14" i="14"/>
  <c r="L12" i="14"/>
  <c r="O12" i="14" s="1"/>
  <c r="I8" i="14" a="1"/>
  <c r="I8" i="14" s="1"/>
  <c r="H8" i="14" a="1"/>
  <c r="H8" i="14" s="1"/>
  <c r="G8" i="14" a="1"/>
  <c r="G8" i="14" s="1"/>
  <c r="E8" i="14" a="1"/>
  <c r="E8" i="14" s="1"/>
  <c r="A8" i="14"/>
  <c r="L11" i="14"/>
  <c r="I7" i="14" a="1"/>
  <c r="I7" i="14" s="1"/>
  <c r="H7" i="14" a="1"/>
  <c r="H7" i="14" s="1"/>
  <c r="G7" i="14" a="1"/>
  <c r="G7" i="14" s="1"/>
  <c r="E7" i="14" a="1"/>
  <c r="E7" i="14" s="1"/>
  <c r="A7" i="14"/>
  <c r="L10" i="14"/>
  <c r="I6" i="14" a="1"/>
  <c r="I6" i="14" s="1"/>
  <c r="H6" i="14" a="1"/>
  <c r="H6" i="14" s="1"/>
  <c r="G6" i="14" a="1"/>
  <c r="G6" i="14" s="1"/>
  <c r="E6" i="14" a="1"/>
  <c r="E6" i="14" s="1"/>
  <c r="A6" i="14"/>
  <c r="L9" i="14"/>
  <c r="O9" i="14" s="1"/>
  <c r="I13" i="14" a="1"/>
  <c r="I13" i="14" s="1"/>
  <c r="H13" i="14" a="1"/>
  <c r="H13" i="14" s="1"/>
  <c r="G13" i="14" a="1"/>
  <c r="G13" i="14" s="1"/>
  <c r="E13" i="14" a="1"/>
  <c r="E13" i="14" s="1"/>
  <c r="A13" i="14"/>
  <c r="L8" i="14"/>
  <c r="O8" i="14" s="1"/>
  <c r="I12" i="14" a="1"/>
  <c r="I12" i="14" s="1"/>
  <c r="H12" i="14" a="1"/>
  <c r="H12" i="14" s="1"/>
  <c r="G12" i="14" a="1"/>
  <c r="G12" i="14" s="1"/>
  <c r="E12" i="14" a="1"/>
  <c r="E12" i="14" s="1"/>
  <c r="A12" i="14"/>
  <c r="L7" i="14"/>
  <c r="O7" i="14" s="1"/>
  <c r="I11" i="14" a="1"/>
  <c r="I11" i="14" s="1"/>
  <c r="H11" i="14" a="1"/>
  <c r="H11" i="14" s="1"/>
  <c r="G11" i="14" a="1"/>
  <c r="G11" i="14" s="1"/>
  <c r="E11" i="14" a="1"/>
  <c r="E11" i="14" s="1"/>
  <c r="A11" i="14"/>
  <c r="L6" i="14"/>
  <c r="O6" i="14" s="1"/>
  <c r="I10" i="14" a="1"/>
  <c r="I10" i="14" s="1"/>
  <c r="H10" i="14" a="1"/>
  <c r="H10" i="14" s="1"/>
  <c r="G10" i="14" a="1"/>
  <c r="G10" i="14" s="1"/>
  <c r="E10" i="14" a="1"/>
  <c r="E10" i="14" s="1"/>
  <c r="A10" i="14"/>
  <c r="L5" i="14"/>
  <c r="I5" i="14" a="1"/>
  <c r="I5" i="14" s="1"/>
  <c r="H5" i="14" a="1"/>
  <c r="H5" i="14" s="1"/>
  <c r="G5" i="14" a="1"/>
  <c r="G5" i="14" s="1"/>
  <c r="E5" i="14" a="1"/>
  <c r="E5" i="14" s="1"/>
  <c r="B5" i="14" a="1"/>
  <c r="B5" i="14" s="1"/>
  <c r="A5" i="14"/>
  <c r="L4" i="14"/>
  <c r="Q4" i="14" s="1"/>
  <c r="I4" i="14" a="1"/>
  <c r="I4" i="14" s="1"/>
  <c r="H4" i="14" a="1"/>
  <c r="H4" i="14" s="1"/>
  <c r="G4" i="14" a="1"/>
  <c r="G4" i="14" s="1"/>
  <c r="E4" i="14" a="1"/>
  <c r="E4" i="14" s="1"/>
  <c r="B4" i="14" a="1"/>
  <c r="B4" i="14" s="1"/>
  <c r="A4" i="14"/>
  <c r="B1" i="14"/>
  <c r="K46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D84" i="11"/>
  <c r="D83" i="11"/>
  <c r="D82" i="11"/>
  <c r="O79" i="11"/>
  <c r="D79" i="11"/>
  <c r="O78" i="11"/>
  <c r="D78" i="11"/>
  <c r="D77" i="11"/>
  <c r="D76" i="11"/>
  <c r="D75" i="11"/>
  <c r="D71" i="11"/>
  <c r="D70" i="11"/>
  <c r="D66" i="11"/>
  <c r="D65" i="11"/>
  <c r="D64" i="11"/>
  <c r="D63" i="11"/>
  <c r="D62" i="11"/>
  <c r="L21" i="11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D82" i="2"/>
  <c r="D79" i="2"/>
  <c r="B3" i="6" s="1" a="1"/>
  <c r="B3" i="6" s="1"/>
  <c r="D78" i="2"/>
  <c r="D84" i="2"/>
  <c r="B12" i="6" s="1" a="1"/>
  <c r="B12" i="6" s="1"/>
  <c r="D83" i="2"/>
  <c r="D77" i="2"/>
  <c r="D76" i="2"/>
  <c r="B4" i="6" s="1" a="1"/>
  <c r="B4" i="6" s="1"/>
  <c r="D75" i="2"/>
  <c r="B42" i="6" s="1" a="1"/>
  <c r="B42" i="6" s="1"/>
  <c r="D71" i="2"/>
  <c r="D70" i="2"/>
  <c r="D66" i="2"/>
  <c r="B36" i="6" s="1" a="1"/>
  <c r="B36" i="6" s="1"/>
  <c r="D65" i="2"/>
  <c r="D63" i="2"/>
  <c r="B33" i="6" s="1" a="1"/>
  <c r="B33" i="6" s="1"/>
  <c r="D62" i="2"/>
  <c r="D64" i="2"/>
  <c r="O79" i="2"/>
  <c r="O78" i="2"/>
  <c r="J21" i="2"/>
  <c r="G73" i="6" s="1" a="1"/>
  <c r="G73" i="6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U13" i="3"/>
  <c r="U14" i="3"/>
  <c r="U15" i="3"/>
  <c r="U16" i="3"/>
  <c r="U17" i="3"/>
  <c r="U18" i="3"/>
  <c r="U19" i="3"/>
  <c r="U12" i="3"/>
  <c r="T12" i="3"/>
  <c r="T13" i="3"/>
  <c r="T14" i="3"/>
  <c r="T15" i="3"/>
  <c r="T16" i="3"/>
  <c r="T17" i="3"/>
  <c r="T18" i="3"/>
  <c r="T19" i="3"/>
  <c r="T20" i="3"/>
  <c r="T21" i="3"/>
  <c r="R21" i="3"/>
  <c r="R20" i="3"/>
  <c r="R19" i="3"/>
  <c r="R18" i="3"/>
  <c r="R17" i="3"/>
  <c r="R16" i="3"/>
  <c r="R15" i="3"/>
  <c r="R14" i="3"/>
  <c r="R13" i="3"/>
  <c r="R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O15" i="14" l="1"/>
  <c r="Q15" i="14"/>
  <c r="O11" i="14"/>
  <c r="Q11" i="14"/>
  <c r="O10" i="14"/>
  <c r="Q10" i="14"/>
  <c r="O5" i="14"/>
  <c r="Q5" i="14"/>
  <c r="O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K91" i="6" l="1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K3" i="6" l="1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<sst xmlns="http://schemas.openxmlformats.org/spreadsheetml/2006/main" count="5180" uniqueCount="1362">
  <si>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</si>
  <si>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</si>
  <si>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</si>
  <si>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</si>
  <si>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</si>
  <si>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</si>
  <si>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</si>
  <si>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</si>
  <si>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</si>
  <si>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</si>
  <si>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</si>
  <si>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</si>
  <si>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</si>
  <si>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</si>
  <si>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</si>
  <si>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</si>
  <si>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</si>
  <si>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</si>
  <si>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</si>
  <si>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</si>
  <si>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</si>
  <si>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</si>
  <si>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</si>
  <si>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</si>
  <si>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</si>
  <si>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</si>
  <si>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</si>
  <si>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</si>
  <si>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</si>
  <si>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</si>
  <si>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</si>
  <si>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</si>
  <si>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</si>
  <si>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</si>
  <si>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</si>
  <si>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</si>
  <si>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</si>
  <si>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</si>
  <si>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</si>
  <si>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</si>
  <si>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</si>
  <si>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</si>
  <si>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</si>
  <si>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</si>
  <si>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</si>
  <si>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</si>
  <si>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</si>
  <si>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</si>
  <si>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</si>
  <si>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</si>
  <si>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</si>
  <si>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</si>
  <si>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</si>
  <si>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</si>
  <si>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</si>
  <si>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</si>
  <si>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</si>
  <si>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</si>
  <si>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</si>
  <si>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</si>
  <si>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</si>
  <si>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</si>
  <si>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</si>
  <si>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</si>
  <si>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</si>
  <si>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</si>
  <si>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</si>
  <si>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</si>
  <si>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</si>
  <si>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</si>
  <si>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</si>
  <si>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</si>
  <si>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</si>
  <si>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</si>
  <si>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</si>
  <si>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</si>
  <si>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</si>
  <si>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</si>
  <si>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</si>
  <si>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</si>
  <si>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</si>
  <si>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</si>
  <si>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</si>
  <si>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</si>
  <si>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</si>
  <si>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</si>
  <si>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</si>
  <si>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</si>
  <si>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</si>
  <si>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</si>
  <si>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</si>
  <si>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</si>
  <si>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</si>
  <si>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</si>
  <si>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</si>
  <si>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</si>
  <si>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</si>
  <si>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</si>
  <si>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</si>
  <si>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</si>
  <si>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</si>
  <si>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</si>
  <si>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</si>
  <si>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</si>
  <si>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</si>
  <si>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</si>
  <si>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</si>
  <si>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</si>
  <si>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</si>
  <si>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</si>
  <si>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</si>
  <si>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</si>
  <si>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</si>
  <si>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</si>
  <si>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</si>
  <si>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</si>
  <si>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</si>
  <si>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</si>
  <si>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</si>
  <si>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</si>
  <si>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</si>
  <si>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</si>
  <si>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</si>
  <si>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</si>
  <si>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</si>
  <si>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</si>
  <si>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</si>
  <si>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</si>
  <si>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</si>
  <si>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</si>
  <si>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</si>
  <si>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</si>
  <si>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</si>
  <si>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</si>
  <si>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</si>
  <si>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</si>
  <si>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</si>
  <si>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</si>
  <si>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</si>
  <si>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</si>
  <si>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</si>
  <si>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</si>
  <si>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</si>
  <si>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</si>
  <si>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</si>
  <si>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</si>
  <si>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</si>
  <si>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</si>
  <si>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</si>
  <si>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</si>
  <si>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</si>
  <si>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</si>
  <si>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</si>
  <si>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</si>
  <si>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</si>
  <si>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</si>
  <si>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</si>
  <si>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</si>
  <si>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</si>
  <si>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</si>
  <si>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</si>
  <si>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</si>
  <si>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</si>
  <si>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</si>
  <si>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</si>
  <si>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</si>
  <si>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</si>
  <si>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</si>
  <si>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</si>
  <si>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</si>
  <si>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</si>
  <si>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</si>
  <si>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</si>
  <si>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</si>
  <si>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</si>
  <si>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</si>
  <si>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</si>
  <si>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</si>
  <si>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</si>
  <si>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</si>
  <si>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</si>
  <si>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</si>
  <si>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</si>
  <si>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</si>
  <si>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</si>
  <si>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</si>
  <si>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</si>
  <si>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</si>
  <si>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</si>
  <si>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</si>
  <si>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</si>
  <si>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</si>
  <si>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</si>
  <si>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</si>
  <si>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</si>
  <si>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</si>
  <si>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</si>
  <si>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</si>
  <si>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</si>
  <si>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</si>
  <si>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</si>
  <si>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</si>
  <si>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</si>
  <si>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</si>
  <si>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</si>
  <si>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</si>
  <si>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</si>
  <si>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</si>
  <si>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</si>
  <si>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</si>
  <si>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</si>
  <si>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</si>
  <si>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</si>
  <si>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</si>
  <si>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</si>
  <si>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</si>
  <si>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</si>
  <si>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</si>
  <si>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</si>
  <si>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</si>
  <si>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</si>
  <si>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</si>
  <si>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</si>
  <si>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</si>
  <si>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</si>
  <si>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</si>
  <si>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</si>
  <si>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</si>
  <si>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</si>
  <si>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</si>
  <si>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</si>
  <si>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</si>
  <si>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</si>
  <si>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</si>
  <si>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</si>
  <si>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</si>
  <si>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</si>
  <si>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</si>
  <si>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</si>
  <si>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</si>
  <si>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</si>
  <si>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</si>
  <si>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</si>
  <si>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</si>
  <si>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</si>
  <si>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</si>
  <si>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</si>
  <si>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</si>
  <si>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</si>
  <si>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</si>
  <si>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</si>
  <si>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</si>
  <si>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</si>
  <si>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</si>
  <si>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</si>
  <si>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</si>
  <si>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</si>
  <si>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</si>
  <si>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</si>
  <si>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</si>
  <si>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</si>
  <si>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</si>
  <si>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</si>
  <si>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</si>
  <si>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</si>
  <si>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</si>
  <si>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</si>
  <si>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</si>
  <si>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</si>
  <si>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</si>
  <si>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</si>
  <si>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</si>
  <si>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</si>
  <si>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</si>
  <si>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</si>
  <si>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</si>
  <si>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</si>
  <si>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</si>
  <si>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</si>
  <si>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</si>
  <si>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</si>
  <si>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</si>
  <si>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</si>
  <si>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</si>
  <si>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</si>
  <si>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</si>
  <si>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</si>
  <si>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</si>
  <si>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</si>
  <si>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</si>
  <si>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</si>
  <si>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</si>
  <si>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</si>
  <si>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</si>
  <si>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</si>
  <si>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</si>
  <si>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</si>
  <si>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</si>
  <si>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</si>
  <si>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</si>
  <si>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</si>
  <si>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</si>
  <si>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</si>
  <si>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</si>
  <si>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</si>
  <si>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</si>
  <si>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</si>
  <si>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</si>
  <si>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</si>
  <si>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</si>
  <si>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</si>
  <si>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</si>
  <si>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</si>
  <si>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</si>
  <si>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</si>
  <si>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</si>
  <si>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</si>
  <si>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</si>
  <si>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</si>
  <si>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</si>
  <si>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</si>
  <si>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</si>
  <si>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</si>
  <si>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</si>
  <si>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</si>
  <si>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</si>
  <si>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</si>
  <si>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</si>
  <si>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</si>
  <si>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</si>
  <si>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</si>
  <si>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</si>
  <si>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</si>
  <si>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</si>
  <si>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</si>
  <si>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</si>
  <si>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</si>
  <si>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</si>
  <si>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</si>
  <si>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</si>
  <si>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</si>
  <si>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</si>
  <si>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</si>
  <si>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</si>
  <si>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</si>
  <si>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</si>
  <si>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</si>
  <si>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</si>
  <si>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</si>
  <si>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</si>
  <si>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</si>
  <si>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</si>
  <si>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</si>
  <si>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</si>
  <si>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</si>
  <si>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</si>
  <si>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</si>
  <si>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</si>
  <si>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</si>
  <si>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</si>
  <si>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</si>
  <si>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</si>
  <si>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</si>
  <si>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</si>
  <si>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</si>
  <si>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</si>
  <si>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</si>
  <si>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</si>
  <si>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</si>
  <si>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</si>
  <si>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</si>
  <si>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</si>
  <si>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</si>
  <si>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</si>
  <si>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</si>
  <si>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</si>
  <si>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</si>
  <si>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</si>
  <si>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</si>
  <si>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</si>
  <si>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</si>
  <si>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</si>
  <si>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</si>
  <si>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</si>
  <si>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</si>
  <si>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</si>
  <si>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</si>
  <si>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</si>
  <si>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</si>
  <si>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</si>
  <si>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</si>
  <si>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</si>
  <si>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</si>
  <si>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</si>
  <si>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</si>
  <si>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</si>
  <si>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</si>
  <si>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</si>
  <si>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</si>
  <si>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</si>
  <si>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</si>
  <si>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</si>
  <si>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</si>
  <si>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</si>
  <si>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</si>
  <si>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</si>
  <si>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</si>
  <si>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</si>
  <si>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</si>
  <si>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</si>
  <si>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</si>
  <si>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</si>
  <si>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</si>
  <si>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</si>
  <si>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</si>
  <si>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</si>
  <si>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</si>
  <si>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</si>
  <si>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</si>
  <si>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</si>
  <si>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</si>
  <si>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</si>
  <si>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</si>
  <si>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</si>
  <si>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</si>
  <si>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</si>
  <si>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</si>
  <si>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</si>
  <si>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</si>
  <si>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</si>
  <si>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</si>
  <si>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</si>
  <si>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</si>
  <si>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</si>
  <si>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</si>
  <si>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</si>
  <si>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</si>
  <si>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</si>
  <si>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</si>
  <si>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</si>
  <si>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</si>
  <si>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</si>
  <si>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</si>
  <si>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</si>
  <si>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</si>
  <si>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</si>
  <si>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</si>
  <si>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</si>
  <si>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</si>
  <si>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</si>
  <si>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</si>
  <si>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</si>
  <si>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</si>
  <si>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</si>
  <si>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</si>
  <si>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</si>
  <si>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</si>
  <si>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</si>
  <si>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</si>
  <si>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</si>
  <si>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</si>
  <si>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</si>
  <si>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</si>
  <si>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</si>
  <si>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</si>
  <si>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</si>
  <si>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</si>
  <si>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</si>
  <si>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</si>
  <si>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</si>
  <si>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</si>
  <si>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</si>
  <si>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</si>
  <si>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</si>
  <si>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</si>
  <si>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</si>
  <si>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</si>
  <si>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</si>
  <si>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</si>
  <si>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</si>
  <si>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</si>
  <si>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</si>
  <si>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</si>
  <si>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</si>
  <si>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</si>
  <si>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</si>
  <si>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</si>
  <si>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</si>
  <si>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</si>
  <si>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</si>
  <si>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</si>
  <si>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</si>
  <si>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</si>
  <si>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</si>
  <si>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</si>
  <si>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</si>
  <si>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</si>
  <si>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</si>
  <si>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</si>
  <si>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</si>
  <si>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</si>
  <si>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</si>
  <si>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</si>
  <si>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</si>
  <si>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</si>
  <si>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</si>
  <si>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</si>
  <si>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</si>
  <si>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</si>
  <si>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</si>
  <si>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</si>
  <si>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</si>
  <si>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</si>
  <si>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</si>
  <si>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</si>
  <si>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</si>
  <si>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</si>
  <si>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</si>
  <si>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</si>
  <si>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</si>
  <si>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</si>
  <si>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</si>
  <si>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</si>
  <si>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</si>
  <si>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</si>
  <si>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</si>
  <si>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</si>
  <si>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</si>
  <si>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</si>
  <si>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</si>
  <si>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</si>
  <si>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</si>
  <si>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</si>
  <si>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</si>
  <si>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</si>
  <si>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</si>
  <si>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</si>
  <si>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</si>
  <si>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</si>
  <si>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</si>
  <si>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</si>
  <si>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</si>
  <si>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</si>
  <si>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</si>
  <si>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</si>
  <si>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</si>
  <si>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</si>
  <si>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</si>
  <si>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</si>
  <si>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</si>
  <si>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</si>
  <si>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</si>
  <si>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</si>
  <si>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</si>
  <si>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</si>
  <si>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</si>
  <si>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</si>
  <si>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</si>
  <si>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</si>
  <si>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</si>
  <si>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</si>
  <si>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</si>
  <si>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</si>
  <si>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</si>
  <si>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</si>
  <si>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</si>
  <si>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</si>
  <si>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</si>
  <si>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</si>
  <si>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</si>
  <si>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</si>
  <si>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</si>
  <si>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</si>
  <si>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</si>
  <si>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</si>
  <si>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</si>
  <si>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</si>
  <si>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</si>
  <si>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</si>
  <si>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</si>
  <si>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</si>
  <si>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</si>
  <si>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</si>
  <si>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</si>
  <si>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</si>
  <si>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</si>
  <si>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</si>
  <si>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</si>
  <si>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</si>
  <si>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</si>
  <si>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</si>
  <si>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</si>
  <si>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</si>
  <si>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</si>
  <si>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</si>
  <si>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</si>
  <si>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</si>
  <si>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</si>
  <si>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</si>
  <si>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</si>
  <si>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</si>
  <si>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</si>
  <si>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</si>
  <si>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</si>
  <si>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</si>
  <si>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</si>
  <si>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</si>
  <si>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</si>
  <si>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</si>
  <si>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</si>
  <si>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</si>
  <si>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</si>
  <si>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</si>
  <si>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</si>
  <si>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</si>
  <si>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</si>
  <si>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</si>
  <si>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</si>
  <si>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</si>
  <si>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</si>
  <si>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</si>
  <si>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</si>
  <si>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</si>
  <si>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</si>
  <si>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</si>
  <si>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</si>
  <si>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</si>
  <si>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</si>
  <si>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</si>
  <si>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</si>
  <si>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</si>
  <si>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</si>
  <si>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</si>
  <si>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</si>
  <si>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</si>
  <si>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</si>
  <si>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</si>
  <si>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</si>
  <si>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</si>
  <si>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</si>
  <si>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</si>
  <si>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</si>
  <si>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</si>
  <si>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</si>
  <si>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</si>
  <si>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</si>
  <si>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</si>
  <si>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</si>
  <si>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</si>
  <si>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</si>
  <si>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</si>
  <si>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</si>
  <si>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</si>
  <si>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</si>
  <si>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</si>
  <si>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</si>
  <si>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</si>
  <si>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</si>
  <si>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</si>
  <si>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</si>
  <si>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</si>
  <si>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</si>
  <si>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</si>
  <si>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</si>
  <si>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</si>
  <si>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</si>
  <si>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</si>
  <si>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</si>
  <si>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</si>
  <si>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</si>
  <si>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</si>
  <si>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</si>
  <si>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</si>
  <si>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</si>
  <si>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</si>
  <si>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</si>
  <si>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</si>
  <si>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</si>
  <si>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</si>
  <si>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</si>
  <si>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</si>
  <si>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</si>
  <si>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</si>
  <si>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</si>
  <si>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</si>
  <si>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</si>
  <si>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</si>
  <si>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</si>
  <si>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</si>
  <si>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</si>
  <si>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</si>
  <si>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</si>
  <si>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</si>
  <si>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</si>
  <si>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</si>
  <si>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</si>
  <si>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</si>
  <si>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</si>
  <si>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</si>
  <si>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</si>
  <si>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</si>
  <si>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</si>
  <si>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</si>
  <si>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</si>
  <si>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</si>
  <si>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</si>
  <si>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</si>
  <si>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</si>
  <si>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</si>
  <si>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</si>
  <si>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</si>
  <si>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</si>
  <si>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</si>
  <si>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</si>
  <si>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</si>
  <si>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</si>
  <si>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</si>
  <si>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</si>
  <si>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</si>
  <si>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</si>
  <si>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</si>
  <si>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</si>
  <si>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</si>
  <si>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</si>
  <si>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</si>
  <si>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</si>
  <si>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</si>
  <si>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</si>
  <si>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</si>
  <si>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</si>
  <si>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</si>
  <si>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</si>
  <si>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</si>
  <si>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</si>
  <si>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</si>
  <si>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</si>
  <si>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</si>
  <si>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</si>
  <si>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</si>
  <si>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</si>
  <si>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</si>
  <si>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</si>
  <si>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</si>
  <si>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</si>
  <si>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</si>
  <si>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</si>
  <si>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</si>
  <si>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</si>
  <si>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</si>
  <si>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</si>
  <si>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</si>
  <si>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</si>
  <si>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</si>
  <si>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</si>
  <si>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</si>
  <si>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</si>
  <si>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</si>
  <si>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</si>
  <si>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</si>
  <si>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</si>
  <si>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</si>
  <si>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</si>
  <si>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</si>
  <si>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</si>
  <si>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</si>
  <si>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</si>
  <si>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</si>
  <si>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</si>
  <si>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</si>
  <si>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</si>
  <si>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</si>
  <si>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</si>
  <si>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</si>
  <si>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</si>
  <si>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</si>
  <si>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</si>
  <si>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</si>
  <si>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</si>
  <si>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</si>
  <si>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</si>
  <si>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</si>
  <si>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</si>
  <si>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</si>
  <si>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</si>
  <si>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</si>
  <si>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</si>
  <si>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</si>
  <si>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</si>
  <si>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</si>
  <si>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</si>
  <si>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</si>
  <si>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</si>
  <si>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</si>
  <si>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</si>
  <si>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</si>
  <si>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</si>
  <si>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</si>
  <si>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</si>
  <si>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</si>
  <si>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</si>
  <si>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</si>
  <si>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</si>
  <si>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</si>
  <si>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</si>
  <si>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</si>
  <si>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</si>
  <si>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</si>
  <si>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</si>
  <si>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</si>
  <si>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</si>
  <si>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</si>
  <si>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</si>
  <si>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</si>
  <si>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</si>
  <si>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</si>
  <si>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</si>
  <si>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</si>
  <si>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</si>
  <si>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</si>
  <si>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</si>
  <si>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</si>
  <si>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</si>
  <si>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</si>
  <si>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</si>
  <si>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</si>
  <si>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</si>
  <si>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</si>
  <si>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</si>
  <si>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</si>
  <si>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</si>
  <si>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</si>
  <si>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</si>
  <si>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</si>
  <si>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</si>
  <si>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</si>
  <si>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</si>
  <si>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</si>
  <si>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</si>
  <si>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</si>
  <si>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</si>
  <si>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</si>
  <si>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</si>
  <si>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</si>
  <si>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</si>
  <si>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</si>
  <si>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</si>
  <si>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</si>
  <si>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</si>
  <si>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</si>
  <si>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</si>
  <si>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</si>
  <si>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</si>
  <si>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</si>
  <si>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</si>
  <si>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</si>
  <si>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</si>
  <si>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</si>
  <si>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</si>
  <si>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</si>
  <si>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</si>
  <si>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</si>
  <si>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</si>
  <si>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</si>
  <si>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</si>
  <si>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</si>
  <si>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</si>
  <si>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</si>
  <si>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</si>
  <si>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</si>
  <si>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</si>
  <si>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</si>
  <si>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</si>
  <si>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</si>
  <si>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</si>
  <si>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</si>
  <si>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</si>
  <si>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</si>
  <si>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</si>
  <si>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</si>
  <si>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</si>
  <si>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</si>
  <si>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</si>
  <si>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</si>
  <si>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</si>
  <si>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</si>
  <si>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</si>
  <si>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</si>
  <si>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</si>
  <si>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</si>
  <si>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</si>
  <si>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</si>
  <si>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</si>
  <si>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</si>
  <si>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</si>
  <si>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</si>
  <si>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</si>
  <si>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</si>
  <si>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</si>
  <si>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</si>
  <si>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</si>
  <si>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</si>
  <si>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</si>
  <si>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</si>
  <si>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</si>
  <si>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</si>
  <si>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</si>
  <si>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</si>
  <si>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</si>
  <si>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</si>
  <si>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</si>
  <si>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</si>
  <si>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</si>
  <si>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</si>
  <si>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</si>
  <si>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</si>
  <si>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</si>
  <si>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</si>
  <si>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</si>
  <si>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</si>
  <si>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</si>
  <si>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</si>
  <si>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</si>
  <si>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</si>
  <si>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</si>
  <si>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</si>
  <si>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</si>
  <si>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</si>
  <si>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</si>
  <si>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</si>
  <si>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</si>
  <si>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</si>
  <si>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</si>
  <si>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</si>
  <si>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</si>
  <si>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</si>
  <si>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</si>
  <si>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</si>
  <si>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</si>
  <si>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</si>
  <si>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</si>
  <si>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</si>
  <si>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</si>
  <si>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</si>
  <si>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</si>
  <si>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</si>
  <si>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</si>
  <si>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</si>
  <si>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</si>
  <si>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</si>
  <si>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</si>
  <si>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</si>
  <si>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</si>
  <si>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</si>
  <si>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</si>
  <si>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</si>
  <si>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</si>
  <si>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</si>
  <si>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</si>
  <si>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</si>
  <si>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</si>
  <si>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</si>
  <si>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</si>
  <si>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</si>
  <si>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</si>
  <si>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</si>
  <si>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</si>
  <si>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</si>
  <si>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</si>
  <si>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</si>
  <si>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</si>
  <si>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</si>
  <si>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</si>
  <si>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</si>
  <si>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</si>
  <si>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</si>
  <si>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</si>
  <si>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</si>
  <si>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</si>
  <si>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</si>
  <si>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</si>
  <si>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</si>
  <si>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</si>
  <si>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</si>
  <si>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</si>
  <si>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</si>
  <si>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</si>
  <si>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</si>
  <si>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</si>
  <si>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</si>
  <si>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</si>
  <si>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</si>
  <si>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</si>
  <si>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</si>
  <si>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</si>
  <si>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</si>
  <si>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</si>
  <si>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</si>
  <si>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</si>
  <si>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</si>
  <si>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</si>
  <si>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</si>
  <si>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</si>
  <si>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</si>
  <si>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</si>
  <si>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</si>
  <si>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</si>
  <si>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</si>
  <si>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</si>
  <si>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</si>
  <si>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</si>
  <si>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</si>
  <si>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</si>
  <si>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</si>
  <si>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</si>
  <si>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</si>
  <si>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</si>
  <si>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</si>
  <si>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</si>
  <si>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</si>
  <si>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</si>
  <si>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</si>
  <si>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</si>
  <si>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</si>
  <si>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</si>
  <si>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</si>
  <si>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</si>
  <si>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</si>
  <si>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</si>
  <si>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</si>
  <si>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</si>
  <si>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</si>
  <si>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</si>
  <si>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</si>
  <si>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</si>
  <si>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</si>
  <si>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</si>
  <si>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</si>
  <si>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</si>
  <si>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</si>
  <si>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</si>
  <si>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</si>
  <si>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</si>
  <si>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</si>
  <si>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</si>
  <si>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</si>
  <si>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</si>
  <si>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</si>
  <si>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</si>
  <si>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</si>
  <si>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</si>
  <si>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</si>
  <si>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</si>
  <si>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</si>
  <si>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</si>
  <si>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</si>
  <si>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</si>
  <si>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</si>
  <si>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</si>
  <si>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</si>
  <si>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</si>
  <si>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</si>
  <si>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</si>
  <si>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</si>
  <si>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</si>
  <si>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</si>
  <si>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</si>
  <si>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</si>
  <si>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</si>
  <si>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</si>
  <si>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</si>
  <si>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</si>
  <si>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</si>
  <si>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</si>
  <si>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</si>
  <si>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</si>
  <si>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</si>
  <si>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</si>
  <si>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</si>
  <si>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</si>
  <si>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</si>
  <si>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</si>
  <si>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</si>
  <si>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</si>
  <si>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</si>
  <si>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</si>
  <si>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</si>
  <si>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</si>
  <si>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</si>
  <si>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</si>
  <si>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</si>
  <si>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</si>
  <si>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</si>
  <si>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</si>
  <si>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</si>
  <si>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</si>
  <si>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</si>
  <si>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</si>
  <si>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</si>
  <si>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</si>
  <si>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</si>
  <si>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</si>
  <si>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</si>
  <si>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</si>
  <si>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</si>
  <si>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</si>
  <si>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</si>
  <si>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</si>
  <si>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</si>
  <si>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</si>
  <si>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</si>
  <si>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</si>
  <si>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</si>
  <si>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</si>
  <si>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</si>
  <si>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</si>
  <si>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</si>
  <si>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</si>
  <si>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</si>
  <si>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</si>
  <si>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</si>
  <si>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</si>
  <si>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</si>
  <si>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</si>
  <si>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</si>
  <si>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</si>
  <si>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</si>
  <si>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</si>
  <si>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</si>
  <si>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</si>
  <si>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</si>
  <si>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</si>
  <si>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</si>
  <si>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</si>
  <si>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</si>
  <si>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</si>
  <si>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</si>
  <si>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</si>
  <si>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</si>
  <si>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</si>
  <si>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</si>
  <si>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</si>
  <si>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</si>
  <si>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</si>
  <si>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</si>
  <si>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</si>
  <si>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</si>
  <si>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</si>
  <si>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</si>
  <si>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</si>
  <si>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</si>
  <si>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</si>
  <si>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</si>
  <si>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</si>
  <si>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</si>
  <si>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</si>
  <si>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</si>
  <si>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</si>
  <si>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</si>
  <si>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</si>
  <si>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</si>
  <si>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</si>
  <si>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</si>
  <si>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</si>
  <si>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</si>
  <si>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</si>
  <si>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</si>
  <si>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</si>
  <si>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</si>
  <si>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</si>
  <si>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</si>
  <si>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</si>
  <si>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</si>
  <si>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</si>
  <si>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</si>
  <si>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</si>
  <si>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</si>
  <si>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</si>
  <si>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</si>
  <si>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</si>
  <si>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</si>
  <si>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</si>
  <si>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</si>
  <si>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</si>
  <si>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</si>
  <si>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</si>
  <si>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</si>
  <si>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</si>
  <si>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</si>
  <si>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</si>
  <si>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</si>
  <si>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</si>
  <si>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</si>
  <si>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</si>
  <si>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</si>
  <si>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</si>
  <si>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</si>
  <si>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</si>
  <si>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</si>
  <si>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</si>
  <si>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</si>
  <si>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</si>
  <si>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</si>
  <si>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</si>
  <si>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</si>
  <si>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</si>
  <si>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</si>
  <si>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</si>
  <si>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</si>
  <si>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</si>
  <si>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</si>
  <si>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</si>
  <si>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</si>
  <si>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</si>
  <si>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</si>
  <si>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</si>
  <si>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</si>
  <si>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</si>
  <si>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</si>
  <si>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</si>
  <si>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</si>
  <si>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</si>
  <si>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</si>
  <si>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</si>
  <si>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</si>
  <si>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</si>
  <si>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</si>
  <si>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</si>
  <si>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</si>
  <si>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</si>
  <si>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</si>
  <si>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</si>
  <si>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</si>
  <si>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</si>
  <si>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</si>
  <si>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</si>
  <si>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</si>
  <si>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</si>
  <si>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</si>
  <si>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</si>
  <si>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</si>
  <si>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</si>
  <si>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</si>
  <si>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</si>
  <si>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</si>
  <si>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</si>
  <si>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</si>
  <si>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</si>
  <si>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</si>
  <si>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</si>
  <si>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</si>
  <si>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</si>
  <si>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</si>
  <si>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</si>
  <si>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</si>
  <si>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</si>
  <si>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</si>
  <si>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</si>
  <si>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</si>
  <si>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</si>
  <si>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</si>
  <si>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</si>
  <si>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</si>
  <si>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</si>
  <si>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</si>
  <si>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</si>
  <si>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</si>
  <si>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</si>
  <si>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</si>
  <si>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</si>
  <si>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</si>
  <si>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</si>
  <si>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</si>
  <si>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</si>
  <si>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</si>
  <si>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</si>
  <si>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</si>
  <si>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</si>
  <si>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</si>
  <si>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</si>
  <si>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</si>
  <si>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</si>
  <si>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</si>
  <si>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</si>
  <si>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</si>
  <si>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</si>
  <si>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</si>
  <si>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</si>
  <si>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</si>
  <si>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</si>
  <si>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</si>
  <si>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</si>
  <si>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</si>
  <si>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</si>
  <si>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</si>
  <si>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</si>
  <si>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</si>
  <si>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</si>
  <si>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</si>
  <si>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</si>
  <si>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</si>
  <si>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</si>
  <si>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</si>
  <si>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</si>
  <si>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</si>
  <si>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</si>
  <si>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</si>
  <si>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</si>
  <si>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</si>
  <si>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</si>
  <si>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</si>
  <si>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</si>
  <si>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</si>
  <si>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</si>
  <si>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</si>
  <si>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</si>
  <si>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</si>
  <si>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</si>
  <si>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</si>
  <si>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</si>
  <si>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</si>
  <si>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</si>
  <si>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</si>
  <si>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</si>
  <si>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</si>
  <si>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</si>
  <si>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</si>
  <si>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</si>
  <si>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</si>
  <si>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</si>
  <si>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韻序</t>
    <phoneticPr fontId="4" type="noConversion"/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</si>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</sst>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7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3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51" fillId="2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51" fillId="2" borderId="5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45" fillId="5" borderId="0" xfId="4" applyFont="1" applyFill="1" applyBorder="1" applyAlignment="1">
      <alignment horizontal="left" vertical="center" wrapText="1" indent="1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color rgb="FFFF0000"/>
        <name val="吳守禮細明台語破音02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50" headerRowBorderDxfId="49" tableBorderDxfId="48" totalsRowBorderDxfId="47">
  <autoFilter ref="A1:M85" xr:uid="{771C3941-9899-48C4-8E14-367017F7B2F5}"/>
  <tableColumns count="13">
    <tableColumn id="1" xr3:uid="{93BCA6A2-508B-467B-95D1-473C97CCD52B}" name="識別號" dataDxfId="46"/>
    <tableColumn id="7" xr3:uid="{D04A8FC9-DCA4-4643-AE3B-824F465B8E3A}" name="台羅拼音" dataDxfId="45"/>
    <tableColumn id="6" xr3:uid="{DA98A1A1-49CA-4EC1-91D5-BF45045A4B18}" name="台語音標" dataDxfId="44"/>
    <tableColumn id="4" xr3:uid="{C4E57A92-27A9-46F6-A864-9668B62AB3D8}" name="國際音標" dataDxfId="43"/>
    <tableColumn id="3" xr3:uid="{8C99734F-A142-4FBD-96DD-463C060588A5}" name="漢字例" dataDxfId="42"/>
    <tableColumn id="2" xr3:uid="{80F0C42C-C2BD-4707-8BE9-49A90C7647AB}" name="十五音" dataDxfId="41"/>
    <tableColumn id="5" xr3:uid="{88460F28-F486-4EB3-974F-039F84D0E83A}" name="方音符號" dataDxfId="40"/>
    <tableColumn id="8" xr3:uid="{E8D82139-523B-47F7-B0CC-47FDC35BBF0B}" name="注音二式" dataDxfId="39"/>
    <tableColumn id="10" xr3:uid="{BDA4D6F0-BBAC-44DF-85B3-15A86E2ED416}" name="閩拼方案" dataDxfId="38"/>
    <tableColumn id="9" xr3:uid="{972A94F9-A940-4172-AB75-0BE33372A5A6}" name="白話字" dataDxfId="37"/>
    <tableColumn id="11" xr3:uid="{77E72489-4845-4BE7-807E-50EDB35447E7}" name="十五音序" dataDxfId="36"/>
    <tableColumn id="12" xr3:uid="{4D0E40DE-9C66-4BA2-B18D-2F564923928D}" name="舒促聲" dataDxfId="35"/>
    <tableColumn id="13" xr3:uid="{1E5A033C-A3E4-47B2-8D3D-334C23BE852B}" name="十五音識別碼" dataDxfId="3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A1F9CA-7288-4DB2-B4B7-F203EE102B53}" name="韻母對照表4" displayName="韻母對照表4" ref="A1:M85" totalsRowShown="0" headerRowDxfId="33" headerRowBorderDxfId="32" tableBorderDxfId="31" totalsRowBorderDxfId="30">
  <autoFilter ref="A1:M85" xr:uid="{771C3941-9899-48C4-8E14-367017F7B2F5}"/>
  <tableColumns count="13">
    <tableColumn id="1" xr3:uid="{8308FA07-C0C6-4EBB-8482-B2425871F5A2}" name="識別號" dataDxfId="29"/>
    <tableColumn id="7" xr3:uid="{6FE8BCED-4B40-475F-A914-1D51F16D312D}" name="台羅拼音" dataDxfId="28"/>
    <tableColumn id="6" xr3:uid="{93E449E7-CA64-4DC7-9FF5-055593052FCE}" name="台語音標" dataDxfId="27"/>
    <tableColumn id="4" xr3:uid="{404D7928-F977-4371-9C5A-44115E783B8C}" name="國際音標" dataDxfId="26"/>
    <tableColumn id="3" xr3:uid="{423B4D44-E56B-4932-91D6-102FD9E2799B}" name="漢字例" dataDxfId="25"/>
    <tableColumn id="11" xr3:uid="{BA0A82D1-D445-4F7A-A283-49F3B0C10BE5}" name="韻序" dataDxfId="24"/>
    <tableColumn id="2" xr3:uid="{38F2D8D0-B514-47E0-A0CF-112DA649716C}" name="十五音" dataDxfId="23"/>
    <tableColumn id="12" xr3:uid="{A3460252-AC21-44FE-A105-41FB30C22F3F}" name="舒促聲" dataDxfId="22"/>
    <tableColumn id="5" xr3:uid="{4E72D801-B9FA-4C28-8256-987907F12C3E}" name="方音符號" dataDxfId="21"/>
    <tableColumn id="8" xr3:uid="{CE9D853B-8E13-4EF0-B72E-26393E71310F}" name="注音二式" dataDxfId="20"/>
    <tableColumn id="10" xr3:uid="{50143046-1ED9-4E25-9DF7-DD19A68C3831}" name="閩拼方案" dataDxfId="19"/>
    <tableColumn id="9" xr3:uid="{0D692A34-DFA7-47AA-8F2B-24334296D0B6}" name="白話字" dataDxfId="18"/>
    <tableColumn id="13" xr3:uid="{54E906F1-899F-493D-AD05-19BA0E408DA5}" name="十五音識別碼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workbookViewId="0">
      <selection sqref="A1:J85"/>
    </sheetView>
  </sheetViews>
  <sheetFormatPr defaultRowHeight="26.25"/>
  <cols>
    <col min="1" max="1" width="7.33203125" customWidth="1"/>
    <col min="2" max="3" width="9.1640625" customWidth="1"/>
    <col min="11" max="11" width="9.1640625" style="96" customWidth="1"/>
    <col min="16" max="16" width="9.1640625" customWidth="1"/>
    <col min="18" max="18" width="9.1640625" customWidth="1"/>
    <col min="22" max="23" width="9.1640625" customWidth="1"/>
    <col min="24" max="24" width="7.33203125" customWidth="1"/>
    <col min="25" max="25" width="12.83203125" customWidth="1"/>
  </cols>
  <sheetData>
    <row r="1" spans="1:13" ht="25.5">
      <c r="A1" s="71" t="s">
        <v>0</v>
      </c>
      <c r="B1" s="72" t="s">
        <v>6</v>
      </c>
      <c r="C1" s="72" t="s">
        <v>5</v>
      </c>
      <c r="D1" s="72" t="s">
        <v>2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1100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2" t="s">
        <v>496</v>
      </c>
      <c r="G84" s="1" t="s">
        <v>958</v>
      </c>
      <c r="H84" s="1" t="s">
        <v>460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CC66-DA10-44D4-B556-77AB30472543}">
  <dimension ref="A1:O85"/>
  <sheetViews>
    <sheetView workbookViewId="0">
      <selection activeCell="P13" sqref="P13"/>
    </sheetView>
  </sheetViews>
  <sheetFormatPr defaultRowHeight="26.25"/>
  <cols>
    <col min="1" max="1" width="7.33203125" customWidth="1"/>
    <col min="2" max="3" width="9.1640625" customWidth="1"/>
    <col min="6" max="6" width="5" style="102" customWidth="1"/>
    <col min="7" max="7" width="6.83203125" customWidth="1"/>
    <col min="8" max="8" width="6.83203125" style="20" customWidth="1"/>
    <col min="18" max="18" width="9.1640625" customWidth="1"/>
    <col min="20" max="20" width="9.1640625" customWidth="1"/>
    <col min="24" max="25" width="9.1640625" customWidth="1"/>
    <col min="26" max="26" width="7.33203125" customWidth="1"/>
    <col min="27" max="27" width="12.83203125" customWidth="1"/>
  </cols>
  <sheetData>
    <row r="1" spans="1:13" s="20" customFormat="1" ht="25.5">
      <c r="A1" s="103" t="s">
        <v>0</v>
      </c>
      <c r="B1" s="100" t="s">
        <v>6</v>
      </c>
      <c r="C1" s="100" t="s">
        <v>5</v>
      </c>
      <c r="D1" s="100" t="s">
        <v>2</v>
      </c>
      <c r="E1" s="100" t="s">
        <v>1</v>
      </c>
      <c r="F1" s="100" t="s">
        <v>1329</v>
      </c>
      <c r="G1" s="100" t="s">
        <v>3</v>
      </c>
      <c r="H1" s="100" t="s">
        <v>10</v>
      </c>
      <c r="I1" s="100" t="s">
        <v>4</v>
      </c>
      <c r="J1" s="100" t="s">
        <v>9</v>
      </c>
      <c r="K1" s="100" t="s">
        <v>8</v>
      </c>
      <c r="L1" s="100" t="s">
        <v>7</v>
      </c>
      <c r="M1" s="104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14" t="s">
        <v>12</v>
      </c>
      <c r="G2" s="3" t="s">
        <v>15</v>
      </c>
      <c r="H2" s="14" t="s">
        <v>17</v>
      </c>
      <c r="I2" s="1" t="s">
        <v>16</v>
      </c>
      <c r="J2" s="1" t="s">
        <v>14</v>
      </c>
      <c r="K2" s="1" t="s">
        <v>14</v>
      </c>
      <c r="L2" s="92" t="s">
        <v>14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14" t="s">
        <v>12</v>
      </c>
      <c r="G3" s="3" t="s">
        <v>15</v>
      </c>
      <c r="H3" s="14" t="s">
        <v>23</v>
      </c>
      <c r="I3" s="1" t="s">
        <v>21</v>
      </c>
      <c r="J3" s="1" t="s">
        <v>22</v>
      </c>
      <c r="K3" s="1" t="s">
        <v>22</v>
      </c>
      <c r="L3" s="92" t="s">
        <v>22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14" t="s">
        <v>19</v>
      </c>
      <c r="G4" s="3" t="s">
        <v>28</v>
      </c>
      <c r="H4" s="14" t="s">
        <v>17</v>
      </c>
      <c r="I4" s="1" t="s">
        <v>29</v>
      </c>
      <c r="J4" s="1" t="s">
        <v>27</v>
      </c>
      <c r="K4" s="1" t="s">
        <v>27</v>
      </c>
      <c r="L4" s="92" t="s">
        <v>27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14" t="s">
        <v>19</v>
      </c>
      <c r="G5" s="3" t="s">
        <v>28</v>
      </c>
      <c r="H5" s="14" t="s">
        <v>23</v>
      </c>
      <c r="I5" s="1" t="s">
        <v>33</v>
      </c>
      <c r="J5" s="1" t="s">
        <v>34</v>
      </c>
      <c r="K5" s="1" t="s">
        <v>34</v>
      </c>
      <c r="L5" s="92" t="s">
        <v>34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14" t="s">
        <v>25</v>
      </c>
      <c r="G6" s="3" t="s">
        <v>39</v>
      </c>
      <c r="H6" s="14" t="s">
        <v>17</v>
      </c>
      <c r="I6" s="1" t="s">
        <v>40</v>
      </c>
      <c r="J6" s="1" t="s">
        <v>38</v>
      </c>
      <c r="K6" s="1" t="s">
        <v>38</v>
      </c>
      <c r="L6" s="92" t="s">
        <v>38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14" t="s">
        <v>25</v>
      </c>
      <c r="G7" s="3" t="s">
        <v>39</v>
      </c>
      <c r="H7" s="14" t="s">
        <v>23</v>
      </c>
      <c r="I7" s="1" t="s">
        <v>45</v>
      </c>
      <c r="J7" s="1" t="s">
        <v>46</v>
      </c>
      <c r="K7" s="1" t="s">
        <v>46</v>
      </c>
      <c r="L7" s="92" t="s">
        <v>46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14" t="s">
        <v>31</v>
      </c>
      <c r="G8" s="3" t="s">
        <v>51</v>
      </c>
      <c r="H8" s="14" t="s">
        <v>17</v>
      </c>
      <c r="I8" s="1" t="s">
        <v>52</v>
      </c>
      <c r="J8" s="1" t="s">
        <v>50</v>
      </c>
      <c r="K8" s="1" t="s">
        <v>50</v>
      </c>
      <c r="L8" s="92" t="s">
        <v>50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14" t="s">
        <v>36</v>
      </c>
      <c r="G9" s="4" t="s">
        <v>57</v>
      </c>
      <c r="H9" s="14" t="s">
        <v>17</v>
      </c>
      <c r="I9" s="1" t="s">
        <v>58</v>
      </c>
      <c r="J9" s="1" t="s">
        <v>60</v>
      </c>
      <c r="K9" s="1" t="s">
        <v>60</v>
      </c>
      <c r="L9" s="97"/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14" t="s">
        <v>36</v>
      </c>
      <c r="G10" s="4" t="s">
        <v>57</v>
      </c>
      <c r="H10" s="14" t="s">
        <v>23</v>
      </c>
      <c r="I10" s="1" t="s">
        <v>934</v>
      </c>
      <c r="J10" s="1" t="s">
        <v>65</v>
      </c>
      <c r="K10" s="1" t="s">
        <v>65</v>
      </c>
      <c r="L10" s="97"/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14" t="s">
        <v>42</v>
      </c>
      <c r="G11" s="3" t="s">
        <v>70</v>
      </c>
      <c r="H11" s="14" t="s">
        <v>17</v>
      </c>
      <c r="I11" s="1" t="s">
        <v>71</v>
      </c>
      <c r="J11" s="1" t="s">
        <v>69</v>
      </c>
      <c r="K11" s="1" t="s">
        <v>69</v>
      </c>
      <c r="L11" s="92" t="s">
        <v>69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14" t="s">
        <v>42</v>
      </c>
      <c r="G12" s="3" t="s">
        <v>70</v>
      </c>
      <c r="H12" s="14" t="s">
        <v>23</v>
      </c>
      <c r="I12" s="1" t="s">
        <v>76</v>
      </c>
      <c r="J12" s="1" t="s">
        <v>77</v>
      </c>
      <c r="K12" s="1" t="s">
        <v>77</v>
      </c>
      <c r="L12" s="92" t="s">
        <v>77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14" t="s">
        <v>48</v>
      </c>
      <c r="G13" s="3" t="s">
        <v>82</v>
      </c>
      <c r="H13" s="14" t="s">
        <v>17</v>
      </c>
      <c r="I13" s="1" t="s">
        <v>83</v>
      </c>
      <c r="J13" s="1" t="s">
        <v>84</v>
      </c>
      <c r="K13" s="1" t="s">
        <v>84</v>
      </c>
      <c r="L13" s="92" t="s">
        <v>84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14" t="s">
        <v>48</v>
      </c>
      <c r="G14" s="3" t="s">
        <v>82</v>
      </c>
      <c r="H14" s="14" t="s">
        <v>23</v>
      </c>
      <c r="I14" s="1" t="s">
        <v>89</v>
      </c>
      <c r="J14" s="1" t="s">
        <v>90</v>
      </c>
      <c r="K14" s="1" t="s">
        <v>90</v>
      </c>
      <c r="L14" s="92" t="s">
        <v>90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14" t="s">
        <v>99</v>
      </c>
      <c r="G15" s="3" t="s">
        <v>95</v>
      </c>
      <c r="H15" s="14" t="s">
        <v>17</v>
      </c>
      <c r="I15" s="1" t="s">
        <v>96</v>
      </c>
      <c r="J15" s="1" t="s">
        <v>94</v>
      </c>
      <c r="K15" s="1" t="s">
        <v>94</v>
      </c>
      <c r="L15" s="98" t="s">
        <v>97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14" t="s">
        <v>99</v>
      </c>
      <c r="G16" s="3" t="s">
        <v>95</v>
      </c>
      <c r="H16" s="14" t="s">
        <v>23</v>
      </c>
      <c r="I16" s="1" t="s">
        <v>935</v>
      </c>
      <c r="J16" s="1" t="s">
        <v>101</v>
      </c>
      <c r="K16" s="1" t="s">
        <v>101</v>
      </c>
      <c r="L16" s="98" t="s">
        <v>102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14" t="s">
        <v>54</v>
      </c>
      <c r="G17" s="3" t="s">
        <v>107</v>
      </c>
      <c r="H17" s="14" t="s">
        <v>17</v>
      </c>
      <c r="I17" s="1" t="s">
        <v>108</v>
      </c>
      <c r="J17" s="1" t="s">
        <v>109</v>
      </c>
      <c r="K17" s="1" t="s">
        <v>109</v>
      </c>
      <c r="L17" s="98" t="s">
        <v>110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14" t="s">
        <v>54</v>
      </c>
      <c r="G18" s="3" t="s">
        <v>107</v>
      </c>
      <c r="H18" s="14" t="s">
        <v>23</v>
      </c>
      <c r="I18" s="1" t="s">
        <v>114</v>
      </c>
      <c r="J18" s="1" t="s">
        <v>115</v>
      </c>
      <c r="K18" s="1" t="s">
        <v>115</v>
      </c>
      <c r="L18" s="98" t="s">
        <v>116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14" t="s">
        <v>62</v>
      </c>
      <c r="G19" s="3" t="s">
        <v>121</v>
      </c>
      <c r="H19" s="14" t="s">
        <v>17</v>
      </c>
      <c r="I19" s="1" t="s">
        <v>122</v>
      </c>
      <c r="J19" s="1" t="s">
        <v>120</v>
      </c>
      <c r="K19" s="1" t="s">
        <v>120</v>
      </c>
      <c r="L19" s="98" t="s">
        <v>123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14" t="s">
        <v>62</v>
      </c>
      <c r="G20" s="3" t="s">
        <v>121</v>
      </c>
      <c r="H20" s="14" t="s">
        <v>23</v>
      </c>
      <c r="I20" s="1" t="s">
        <v>128</v>
      </c>
      <c r="J20" s="1" t="s">
        <v>129</v>
      </c>
      <c r="K20" s="1" t="s">
        <v>129</v>
      </c>
      <c r="L20" s="98" t="s">
        <v>130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14" t="s">
        <v>67</v>
      </c>
      <c r="G21" s="3" t="s">
        <v>135</v>
      </c>
      <c r="H21" s="14" t="s">
        <v>17</v>
      </c>
      <c r="I21" s="1" t="s">
        <v>936</v>
      </c>
      <c r="J21" s="1" t="s">
        <v>136</v>
      </c>
      <c r="K21" s="1" t="s">
        <v>136</v>
      </c>
      <c r="L21" s="98" t="str">
        <f xml:space="preserve"> _xlfn.CONCAT("o", _xlfn.UNICHAR(HEX2DEC(358)))</f>
        <v>o͘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14" t="s">
        <v>73</v>
      </c>
      <c r="G22" s="3" t="s">
        <v>142</v>
      </c>
      <c r="H22" s="14" t="s">
        <v>17</v>
      </c>
      <c r="I22" s="1" t="s">
        <v>143</v>
      </c>
      <c r="J22" s="1" t="s">
        <v>141</v>
      </c>
      <c r="K22" s="16" t="s">
        <v>144</v>
      </c>
      <c r="L22" s="92" t="s">
        <v>141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14" t="s">
        <v>73</v>
      </c>
      <c r="G23" s="3" t="s">
        <v>142</v>
      </c>
      <c r="H23" s="14" t="s">
        <v>23</v>
      </c>
      <c r="I23" s="1" t="s">
        <v>937</v>
      </c>
      <c r="J23" s="1" t="s">
        <v>148</v>
      </c>
      <c r="K23" s="1" t="s">
        <v>149</v>
      </c>
      <c r="L23" s="92" t="s">
        <v>148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14" t="s">
        <v>79</v>
      </c>
      <c r="G24" s="3" t="s">
        <v>154</v>
      </c>
      <c r="H24" s="14" t="s">
        <v>17</v>
      </c>
      <c r="I24" s="1" t="s">
        <v>155</v>
      </c>
      <c r="J24" s="1" t="s">
        <v>60</v>
      </c>
      <c r="K24" s="1" t="s">
        <v>60</v>
      </c>
      <c r="L24" s="97"/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14" t="s">
        <v>86</v>
      </c>
      <c r="G25" s="3" t="s">
        <v>160</v>
      </c>
      <c r="H25" s="14" t="s">
        <v>17</v>
      </c>
      <c r="I25" s="1" t="s">
        <v>161</v>
      </c>
      <c r="J25" s="1" t="s">
        <v>162</v>
      </c>
      <c r="K25" s="1" t="s">
        <v>162</v>
      </c>
      <c r="L25" s="92" t="s">
        <v>162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14" t="s">
        <v>86</v>
      </c>
      <c r="G26" s="3" t="s">
        <v>160</v>
      </c>
      <c r="H26" s="14" t="s">
        <v>23</v>
      </c>
      <c r="I26" s="1" t="s">
        <v>166</v>
      </c>
      <c r="J26" s="16" t="s">
        <v>919</v>
      </c>
      <c r="K26" s="1" t="s">
        <v>167</v>
      </c>
      <c r="L26" s="92" t="s">
        <v>167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14" t="s">
        <v>92</v>
      </c>
      <c r="G27" s="3" t="s">
        <v>172</v>
      </c>
      <c r="H27" s="14" t="s">
        <v>17</v>
      </c>
      <c r="I27" s="1" t="s">
        <v>173</v>
      </c>
      <c r="J27" s="16" t="s">
        <v>174</v>
      </c>
      <c r="K27" s="1" t="s">
        <v>171</v>
      </c>
      <c r="L27" s="92" t="s">
        <v>171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14" t="s">
        <v>92</v>
      </c>
      <c r="G28" s="3" t="s">
        <v>172</v>
      </c>
      <c r="H28" s="14" t="s">
        <v>23</v>
      </c>
      <c r="I28" s="1" t="s">
        <v>938</v>
      </c>
      <c r="J28" s="16" t="s">
        <v>179</v>
      </c>
      <c r="K28" s="1" t="s">
        <v>178</v>
      </c>
      <c r="L28" s="92" t="s">
        <v>178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14" t="s">
        <v>100</v>
      </c>
      <c r="G29" s="3" t="s">
        <v>184</v>
      </c>
      <c r="H29" s="14" t="s">
        <v>17</v>
      </c>
      <c r="I29" s="1" t="s">
        <v>185</v>
      </c>
      <c r="J29" s="1" t="s">
        <v>183</v>
      </c>
      <c r="K29" s="1" t="s">
        <v>183</v>
      </c>
      <c r="L29" s="92" t="s">
        <v>183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14" t="s">
        <v>104</v>
      </c>
      <c r="G30" s="3" t="s">
        <v>190</v>
      </c>
      <c r="H30" s="14" t="s">
        <v>17</v>
      </c>
      <c r="I30" s="1" t="s">
        <v>191</v>
      </c>
      <c r="J30" s="1" t="s">
        <v>189</v>
      </c>
      <c r="K30" s="1" t="s">
        <v>189</v>
      </c>
      <c r="L30" s="92" t="s">
        <v>189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14" t="s">
        <v>104</v>
      </c>
      <c r="G31" s="3" t="s">
        <v>190</v>
      </c>
      <c r="H31" s="14" t="s">
        <v>23</v>
      </c>
      <c r="I31" s="1" t="s">
        <v>196</v>
      </c>
      <c r="J31" s="1" t="s">
        <v>197</v>
      </c>
      <c r="K31" s="1" t="s">
        <v>197</v>
      </c>
      <c r="L31" s="92" t="s">
        <v>197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14" t="s">
        <v>112</v>
      </c>
      <c r="G32" s="5" t="s">
        <v>202</v>
      </c>
      <c r="H32" s="14" t="s">
        <v>17</v>
      </c>
      <c r="I32" s="1" t="s">
        <v>939</v>
      </c>
      <c r="J32" s="1" t="s">
        <v>203</v>
      </c>
      <c r="K32" s="1" t="s">
        <v>203</v>
      </c>
      <c r="L32" s="92" t="s">
        <v>203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14" t="s">
        <v>112</v>
      </c>
      <c r="G33" s="5" t="s">
        <v>202</v>
      </c>
      <c r="H33" s="14" t="s">
        <v>23</v>
      </c>
      <c r="I33" s="1" t="s">
        <v>940</v>
      </c>
      <c r="J33" s="1" t="s">
        <v>207</v>
      </c>
      <c r="K33" s="1" t="s">
        <v>207</v>
      </c>
      <c r="L33" s="92" t="s">
        <v>207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14" t="s">
        <v>118</v>
      </c>
      <c r="G34" s="3" t="s">
        <v>212</v>
      </c>
      <c r="H34" s="14" t="s">
        <v>17</v>
      </c>
      <c r="I34" s="1" t="s">
        <v>213</v>
      </c>
      <c r="J34" s="1" t="s">
        <v>211</v>
      </c>
      <c r="K34" s="1" t="s">
        <v>211</v>
      </c>
      <c r="L34" s="92" t="s">
        <v>211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14" t="s">
        <v>118</v>
      </c>
      <c r="G35" s="3" t="s">
        <v>212</v>
      </c>
      <c r="H35" s="14" t="s">
        <v>23</v>
      </c>
      <c r="I35" s="1" t="s">
        <v>218</v>
      </c>
      <c r="J35" s="1" t="s">
        <v>219</v>
      </c>
      <c r="K35" s="1" t="s">
        <v>219</v>
      </c>
      <c r="L35" s="92" t="s">
        <v>219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14" t="s">
        <v>125</v>
      </c>
      <c r="G36" s="3" t="s">
        <v>224</v>
      </c>
      <c r="H36" s="14" t="s">
        <v>17</v>
      </c>
      <c r="I36" s="1" t="s">
        <v>225</v>
      </c>
      <c r="J36" s="1" t="s">
        <v>223</v>
      </c>
      <c r="K36" s="1" t="s">
        <v>223</v>
      </c>
      <c r="L36" s="98" t="s">
        <v>226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14" t="s">
        <v>125</v>
      </c>
      <c r="G37" s="3" t="s">
        <v>224</v>
      </c>
      <c r="H37" s="14" t="s">
        <v>23</v>
      </c>
      <c r="I37" s="1" t="s">
        <v>941</v>
      </c>
      <c r="J37" s="1" t="s">
        <v>230</v>
      </c>
      <c r="K37" s="1" t="s">
        <v>230</v>
      </c>
      <c r="L37" s="98" t="s">
        <v>231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14" t="s">
        <v>132</v>
      </c>
      <c r="G38" s="3" t="s">
        <v>236</v>
      </c>
      <c r="H38" s="14" t="s">
        <v>17</v>
      </c>
      <c r="I38" s="1" t="s">
        <v>942</v>
      </c>
      <c r="J38" s="1" t="s">
        <v>237</v>
      </c>
      <c r="K38" s="1" t="s">
        <v>237</v>
      </c>
      <c r="L38" s="92" t="s">
        <v>237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14" t="s">
        <v>132</v>
      </c>
      <c r="G39" s="3" t="s">
        <v>236</v>
      </c>
      <c r="H39" s="14" t="s">
        <v>23</v>
      </c>
      <c r="I39" s="1" t="s">
        <v>242</v>
      </c>
      <c r="J39" s="1" t="s">
        <v>243</v>
      </c>
      <c r="K39" s="1" t="s">
        <v>243</v>
      </c>
      <c r="L39" s="92" t="s">
        <v>243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14" t="s">
        <v>251</v>
      </c>
      <c r="G40" s="3" t="s">
        <v>248</v>
      </c>
      <c r="H40" s="14" t="s">
        <v>17</v>
      </c>
      <c r="I40" s="1" t="s">
        <v>249</v>
      </c>
      <c r="J40" s="1" t="s">
        <v>247</v>
      </c>
      <c r="K40" s="1" t="s">
        <v>247</v>
      </c>
      <c r="L40" s="92" t="s">
        <v>247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14" t="s">
        <v>251</v>
      </c>
      <c r="G41" s="3" t="s">
        <v>248</v>
      </c>
      <c r="H41" s="14" t="s">
        <v>23</v>
      </c>
      <c r="I41" s="1" t="s">
        <v>255</v>
      </c>
      <c r="J41" s="1" t="s">
        <v>256</v>
      </c>
      <c r="K41" s="1" t="s">
        <v>256</v>
      </c>
      <c r="L41" s="92" t="s">
        <v>256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14" t="s">
        <v>139</v>
      </c>
      <c r="G42" s="3" t="s">
        <v>261</v>
      </c>
      <c r="H42" s="14" t="s">
        <v>17</v>
      </c>
      <c r="I42" s="1" t="s">
        <v>262</v>
      </c>
      <c r="J42" s="1" t="s">
        <v>260</v>
      </c>
      <c r="K42" s="16" t="s">
        <v>263</v>
      </c>
      <c r="L42" s="92" t="s">
        <v>260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14" t="s">
        <v>139</v>
      </c>
      <c r="G43" s="3" t="s">
        <v>261</v>
      </c>
      <c r="H43" s="14" t="s">
        <v>23</v>
      </c>
      <c r="I43" s="1" t="s">
        <v>943</v>
      </c>
      <c r="J43" s="1" t="s">
        <v>267</v>
      </c>
      <c r="K43" s="16" t="s">
        <v>268</v>
      </c>
      <c r="L43" s="92" t="s">
        <v>267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14" t="s">
        <v>146</v>
      </c>
      <c r="G44" s="4" t="s">
        <v>273</v>
      </c>
      <c r="H44" s="14" t="s">
        <v>17</v>
      </c>
      <c r="I44" s="1" t="s">
        <v>274</v>
      </c>
      <c r="J44" s="1" t="s">
        <v>272</v>
      </c>
      <c r="K44" s="1" t="s">
        <v>272</v>
      </c>
      <c r="L44" s="92" t="s">
        <v>272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14" t="s">
        <v>146</v>
      </c>
      <c r="G45" s="4" t="s">
        <v>273</v>
      </c>
      <c r="H45" s="14" t="s">
        <v>23</v>
      </c>
      <c r="I45" s="1" t="s">
        <v>944</v>
      </c>
      <c r="J45" s="1" t="s">
        <v>278</v>
      </c>
      <c r="K45" s="1" t="s">
        <v>278</v>
      </c>
      <c r="L45" s="92" t="s">
        <v>278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14" t="s">
        <v>151</v>
      </c>
      <c r="G46" s="3" t="s">
        <v>283</v>
      </c>
      <c r="H46" s="14" t="s">
        <v>17</v>
      </c>
      <c r="I46" s="1" t="s">
        <v>284</v>
      </c>
      <c r="J46" s="1" t="s">
        <v>285</v>
      </c>
      <c r="K46" s="1" t="s">
        <v>285</v>
      </c>
      <c r="L46" s="98" t="s">
        <v>286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14" t="s">
        <v>151</v>
      </c>
      <c r="G47" s="3" t="s">
        <v>283</v>
      </c>
      <c r="H47" s="14" t="s">
        <v>23</v>
      </c>
      <c r="I47" s="1" t="s">
        <v>945</v>
      </c>
      <c r="J47" s="1" t="s">
        <v>290</v>
      </c>
      <c r="K47" s="1" t="s">
        <v>290</v>
      </c>
      <c r="L47" s="98" t="s">
        <v>291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14" t="s">
        <v>301</v>
      </c>
      <c r="G48" s="3" t="s">
        <v>295</v>
      </c>
      <c r="H48" s="14" t="s">
        <v>17</v>
      </c>
      <c r="I48" s="1" t="s">
        <v>296</v>
      </c>
      <c r="J48" s="1" t="s">
        <v>297</v>
      </c>
      <c r="K48" s="1" t="s">
        <v>299</v>
      </c>
      <c r="L48" s="92" t="s">
        <v>1309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14" t="s">
        <v>301</v>
      </c>
      <c r="G49" s="3" t="s">
        <v>295</v>
      </c>
      <c r="H49" s="14" t="s">
        <v>23</v>
      </c>
      <c r="I49" s="1" t="s">
        <v>946</v>
      </c>
      <c r="J49" s="1" t="s">
        <v>304</v>
      </c>
      <c r="K49" s="1" t="s">
        <v>305</v>
      </c>
      <c r="L49" s="92" t="s">
        <v>1310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14" t="s">
        <v>157</v>
      </c>
      <c r="G50" s="3" t="s">
        <v>309</v>
      </c>
      <c r="H50" s="14" t="s">
        <v>17</v>
      </c>
      <c r="I50" s="1" t="s">
        <v>310</v>
      </c>
      <c r="J50" s="1" t="s">
        <v>308</v>
      </c>
      <c r="K50" s="1" t="s">
        <v>308</v>
      </c>
      <c r="L50" s="92" t="s">
        <v>308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14" t="s">
        <v>157</v>
      </c>
      <c r="G51" s="3" t="s">
        <v>309</v>
      </c>
      <c r="H51" s="14" t="s">
        <v>23</v>
      </c>
      <c r="I51" s="1" t="s">
        <v>947</v>
      </c>
      <c r="J51" s="1" t="s">
        <v>313</v>
      </c>
      <c r="K51" s="1" t="s">
        <v>313</v>
      </c>
      <c r="L51" s="92" t="s">
        <v>313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14" t="s">
        <v>164</v>
      </c>
      <c r="G52" s="3" t="s">
        <v>317</v>
      </c>
      <c r="H52" s="14" t="s">
        <v>17</v>
      </c>
      <c r="I52" s="1" t="s">
        <v>318</v>
      </c>
      <c r="J52" s="1" t="s">
        <v>316</v>
      </c>
      <c r="K52" s="1" t="s">
        <v>316</v>
      </c>
      <c r="L52" s="92" t="s">
        <v>316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14" t="s">
        <v>164</v>
      </c>
      <c r="G53" s="3" t="s">
        <v>317</v>
      </c>
      <c r="H53" s="14" t="s">
        <v>23</v>
      </c>
      <c r="I53" s="1" t="s">
        <v>948</v>
      </c>
      <c r="J53" s="1" t="s">
        <v>321</v>
      </c>
      <c r="K53" s="1" t="s">
        <v>321</v>
      </c>
      <c r="L53" s="92" t="s">
        <v>321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14" t="s">
        <v>169</v>
      </c>
      <c r="G54" s="3" t="s">
        <v>325</v>
      </c>
      <c r="H54" s="14" t="s">
        <v>17</v>
      </c>
      <c r="I54" s="1" t="s">
        <v>326</v>
      </c>
      <c r="J54" s="1" t="s">
        <v>324</v>
      </c>
      <c r="K54" s="1" t="s">
        <v>324</v>
      </c>
      <c r="L54" s="92" t="s">
        <v>324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14" t="s">
        <v>169</v>
      </c>
      <c r="G55" s="3" t="s">
        <v>325</v>
      </c>
      <c r="H55" s="14" t="s">
        <v>23</v>
      </c>
      <c r="I55" s="1" t="s">
        <v>949</v>
      </c>
      <c r="J55" s="1" t="s">
        <v>329</v>
      </c>
      <c r="K55" s="1" t="s">
        <v>329</v>
      </c>
      <c r="L55" s="92" t="s">
        <v>329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14" t="s">
        <v>176</v>
      </c>
      <c r="G56" s="3" t="s">
        <v>333</v>
      </c>
      <c r="H56" s="14" t="s">
        <v>17</v>
      </c>
      <c r="I56" s="1" t="s">
        <v>334</v>
      </c>
      <c r="J56" s="1" t="s">
        <v>332</v>
      </c>
      <c r="K56" s="1" t="s">
        <v>332</v>
      </c>
      <c r="L56" s="92" t="s">
        <v>332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14" t="s">
        <v>181</v>
      </c>
      <c r="G57" s="8" t="s">
        <v>338</v>
      </c>
      <c r="H57" s="14" t="s">
        <v>17</v>
      </c>
      <c r="I57" s="1" t="s">
        <v>339</v>
      </c>
      <c r="J57" s="1" t="s">
        <v>340</v>
      </c>
      <c r="K57" s="1" t="s">
        <v>342</v>
      </c>
      <c r="L57" s="92" t="s">
        <v>1311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14" t="s">
        <v>181</v>
      </c>
      <c r="G58" s="8" t="s">
        <v>338</v>
      </c>
      <c r="H58" s="14" t="s">
        <v>23</v>
      </c>
      <c r="I58" s="1" t="s">
        <v>950</v>
      </c>
      <c r="J58" s="1" t="s">
        <v>346</v>
      </c>
      <c r="K58" s="1" t="s">
        <v>639</v>
      </c>
      <c r="L58" s="92" t="s">
        <v>1312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14" t="s">
        <v>355</v>
      </c>
      <c r="G59" s="4" t="s">
        <v>349</v>
      </c>
      <c r="H59" s="14" t="s">
        <v>17</v>
      </c>
      <c r="I59" s="1" t="s">
        <v>350</v>
      </c>
      <c r="J59" s="1" t="s">
        <v>351</v>
      </c>
      <c r="K59" s="1" t="s">
        <v>353</v>
      </c>
      <c r="L59" s="92" t="s">
        <v>1313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14" t="s">
        <v>187</v>
      </c>
      <c r="G60" s="5" t="s">
        <v>358</v>
      </c>
      <c r="H60" s="14" t="s">
        <v>17</v>
      </c>
      <c r="I60" s="1" t="s">
        <v>359</v>
      </c>
      <c r="J60" s="16" t="s">
        <v>360</v>
      </c>
      <c r="K60" s="1" t="s">
        <v>357</v>
      </c>
      <c r="L60" s="92" t="s">
        <v>357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14" t="s">
        <v>187</v>
      </c>
      <c r="G61" s="3" t="s">
        <v>358</v>
      </c>
      <c r="H61" s="14" t="s">
        <v>23</v>
      </c>
      <c r="I61" s="1" t="s">
        <v>951</v>
      </c>
      <c r="J61" s="16" t="s">
        <v>364</v>
      </c>
      <c r="K61" s="1" t="s">
        <v>363</v>
      </c>
      <c r="L61" s="92" t="s">
        <v>363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14" t="s">
        <v>193</v>
      </c>
      <c r="G62" s="3" t="s">
        <v>368</v>
      </c>
      <c r="H62" s="14" t="s">
        <v>17</v>
      </c>
      <c r="I62" s="1" t="s">
        <v>369</v>
      </c>
      <c r="J62" s="1" t="s">
        <v>370</v>
      </c>
      <c r="K62" s="1" t="s">
        <v>372</v>
      </c>
      <c r="L62" s="92" t="s">
        <v>1314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14" t="s">
        <v>193</v>
      </c>
      <c r="G63" s="3" t="s">
        <v>368</v>
      </c>
      <c r="H63" s="14" t="s">
        <v>23</v>
      </c>
      <c r="I63" s="1" t="s">
        <v>952</v>
      </c>
      <c r="J63" s="1" t="s">
        <v>376</v>
      </c>
      <c r="K63" s="1" t="s">
        <v>377</v>
      </c>
      <c r="L63" s="92" t="s">
        <v>1315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14" t="s">
        <v>199</v>
      </c>
      <c r="G64" s="6" t="s">
        <v>381</v>
      </c>
      <c r="H64" s="14" t="s">
        <v>17</v>
      </c>
      <c r="I64" s="1" t="s">
        <v>382</v>
      </c>
      <c r="J64" s="1" t="s">
        <v>386</v>
      </c>
      <c r="K64" s="1" t="s">
        <v>385</v>
      </c>
      <c r="L64" s="92" t="s">
        <v>1316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14" t="s">
        <v>205</v>
      </c>
      <c r="G65" s="3" t="s">
        <v>389</v>
      </c>
      <c r="H65" s="14" t="s">
        <v>17</v>
      </c>
      <c r="I65" s="1" t="s">
        <v>390</v>
      </c>
      <c r="J65" s="1" t="s">
        <v>391</v>
      </c>
      <c r="K65" s="1" t="s">
        <v>394</v>
      </c>
      <c r="L65" s="92" t="s">
        <v>1317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14" t="s">
        <v>209</v>
      </c>
      <c r="G66" s="3" t="s">
        <v>397</v>
      </c>
      <c r="H66" s="14" t="s">
        <v>17</v>
      </c>
      <c r="I66" s="1" t="s">
        <v>398</v>
      </c>
      <c r="J66" s="1" t="s">
        <v>399</v>
      </c>
      <c r="K66" s="1" t="s">
        <v>401</v>
      </c>
      <c r="L66" s="92" t="s">
        <v>1318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14" t="s">
        <v>215</v>
      </c>
      <c r="G67" s="3" t="s">
        <v>405</v>
      </c>
      <c r="H67" s="14" t="s">
        <v>17</v>
      </c>
      <c r="I67" s="1" t="s">
        <v>406</v>
      </c>
      <c r="J67" s="1" t="s">
        <v>407</v>
      </c>
      <c r="K67" s="1" t="s">
        <v>407</v>
      </c>
      <c r="L67" s="92" t="s">
        <v>407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14" t="s">
        <v>221</v>
      </c>
      <c r="G68" s="3" t="s">
        <v>410</v>
      </c>
      <c r="H68" s="14" t="s">
        <v>17</v>
      </c>
      <c r="I68" s="1" t="s">
        <v>155</v>
      </c>
      <c r="J68" s="1" t="s">
        <v>60</v>
      </c>
      <c r="K68" s="1" t="s">
        <v>60</v>
      </c>
      <c r="L68" s="92" t="s">
        <v>60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14" t="s">
        <v>221</v>
      </c>
      <c r="G69" s="3" t="s">
        <v>410</v>
      </c>
      <c r="H69" s="14" t="s">
        <v>23</v>
      </c>
      <c r="I69" s="1" t="s">
        <v>953</v>
      </c>
      <c r="J69" s="1" t="s">
        <v>65</v>
      </c>
      <c r="K69" s="1" t="s">
        <v>65</v>
      </c>
      <c r="L69" s="92" t="s">
        <v>65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14" t="s">
        <v>228</v>
      </c>
      <c r="G70" s="6" t="s">
        <v>415</v>
      </c>
      <c r="H70" s="14" t="s">
        <v>17</v>
      </c>
      <c r="I70" s="1" t="s">
        <v>416</v>
      </c>
      <c r="J70" s="1" t="s">
        <v>417</v>
      </c>
      <c r="K70" s="1" t="s">
        <v>419</v>
      </c>
      <c r="L70" s="92" t="s">
        <v>1319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4" t="s">
        <v>233</v>
      </c>
      <c r="G71" s="11" t="s">
        <v>422</v>
      </c>
      <c r="H71" s="14" t="s">
        <v>17</v>
      </c>
      <c r="I71" s="1" t="s">
        <v>954</v>
      </c>
      <c r="J71" s="1" t="s">
        <v>424</v>
      </c>
      <c r="K71" s="1" t="s">
        <v>427</v>
      </c>
      <c r="L71" s="92" t="s">
        <v>1320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14" t="s">
        <v>239</v>
      </c>
      <c r="G72" s="3" t="s">
        <v>429</v>
      </c>
      <c r="H72" s="14" t="s">
        <v>17</v>
      </c>
      <c r="I72" s="1" t="s">
        <v>431</v>
      </c>
      <c r="J72" s="1" t="s">
        <v>432</v>
      </c>
      <c r="K72" s="1" t="s">
        <v>432</v>
      </c>
      <c r="L72" s="92" t="s">
        <v>432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14" t="s">
        <v>245</v>
      </c>
      <c r="G73" s="5" t="s">
        <v>436</v>
      </c>
      <c r="H73" s="14" t="s">
        <v>17</v>
      </c>
      <c r="I73" s="1" t="s">
        <v>955</v>
      </c>
      <c r="J73" s="1" t="s">
        <v>437</v>
      </c>
      <c r="K73" s="1" t="s">
        <v>437</v>
      </c>
      <c r="L73" s="92" t="s">
        <v>438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14" t="s">
        <v>245</v>
      </c>
      <c r="G74" s="5" t="s">
        <v>436</v>
      </c>
      <c r="H74" s="14" t="s">
        <v>23</v>
      </c>
      <c r="I74" s="1" t="s">
        <v>442</v>
      </c>
      <c r="J74" s="1" t="s">
        <v>443</v>
      </c>
      <c r="K74" s="1" t="s">
        <v>443</v>
      </c>
      <c r="L74" s="92" t="s">
        <v>444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14" t="s">
        <v>252</v>
      </c>
      <c r="G75" s="7" t="s">
        <v>447</v>
      </c>
      <c r="H75" s="14" t="s">
        <v>17</v>
      </c>
      <c r="I75" s="1" t="s">
        <v>448</v>
      </c>
      <c r="J75" s="1" t="s">
        <v>449</v>
      </c>
      <c r="K75" s="1" t="s">
        <v>451</v>
      </c>
      <c r="L75" s="92" t="s">
        <v>1321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14" t="s">
        <v>252</v>
      </c>
      <c r="G76" s="7" t="s">
        <v>447</v>
      </c>
      <c r="H76" s="14" t="s">
        <v>23</v>
      </c>
      <c r="I76" s="1" t="s">
        <v>956</v>
      </c>
      <c r="J76" s="1" t="s">
        <v>455</v>
      </c>
      <c r="K76" s="1" t="s">
        <v>456</v>
      </c>
      <c r="L76" s="92" t="s">
        <v>1322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4" t="s">
        <v>258</v>
      </c>
      <c r="G77" s="12" t="s">
        <v>458</v>
      </c>
      <c r="H77" s="14" t="s">
        <v>17</v>
      </c>
      <c r="I77" s="1" t="s">
        <v>459</v>
      </c>
      <c r="J77" s="1" t="s">
        <v>460</v>
      </c>
      <c r="K77" s="1" t="s">
        <v>462</v>
      </c>
      <c r="L77" s="92" t="s">
        <v>1323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4" t="s">
        <v>265</v>
      </c>
      <c r="G78" s="11" t="s">
        <v>465</v>
      </c>
      <c r="H78" s="14" t="s">
        <v>17</v>
      </c>
      <c r="I78" s="1" t="s">
        <v>466</v>
      </c>
      <c r="J78" s="1" t="s">
        <v>467</v>
      </c>
      <c r="K78" s="1" t="s">
        <v>469</v>
      </c>
      <c r="L78" s="92" t="s">
        <v>1324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14" t="s">
        <v>265</v>
      </c>
      <c r="G79" s="3" t="s">
        <v>465</v>
      </c>
      <c r="H79" s="14" t="s">
        <v>23</v>
      </c>
      <c r="I79" s="1" t="s">
        <v>957</v>
      </c>
      <c r="J79" s="1" t="s">
        <v>472</v>
      </c>
      <c r="K79" s="1" t="s">
        <v>473</v>
      </c>
      <c r="L79" s="92" t="s">
        <v>1325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4" t="s">
        <v>270</v>
      </c>
      <c r="G80" s="13" t="s">
        <v>477</v>
      </c>
      <c r="H80" s="14" t="s">
        <v>17</v>
      </c>
      <c r="I80" s="1" t="s">
        <v>478</v>
      </c>
      <c r="J80" s="1" t="s">
        <v>480</v>
      </c>
      <c r="K80" s="1" t="s">
        <v>1100</v>
      </c>
      <c r="L80" s="92" t="s">
        <v>479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4" t="s">
        <v>270</v>
      </c>
      <c r="G81" s="13" t="s">
        <v>477</v>
      </c>
      <c r="H81" s="14" t="s">
        <v>23</v>
      </c>
      <c r="I81" s="1" t="s">
        <v>484</v>
      </c>
      <c r="J81" s="1" t="s">
        <v>486</v>
      </c>
      <c r="K81" s="1" t="s">
        <v>485</v>
      </c>
      <c r="L81" s="92" t="s">
        <v>485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4" t="s">
        <v>276</v>
      </c>
      <c r="G82" s="13" t="s">
        <v>489</v>
      </c>
      <c r="H82" s="14" t="s">
        <v>17</v>
      </c>
      <c r="I82" s="1" t="s">
        <v>490</v>
      </c>
      <c r="J82" s="1" t="s">
        <v>491</v>
      </c>
      <c r="K82" s="1" t="s">
        <v>493</v>
      </c>
      <c r="L82" s="92" t="s">
        <v>1326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4" t="s">
        <v>280</v>
      </c>
      <c r="G83" s="12" t="s">
        <v>496</v>
      </c>
      <c r="H83" s="14" t="s">
        <v>17</v>
      </c>
      <c r="I83" s="1" t="s">
        <v>423</v>
      </c>
      <c r="J83" s="1" t="s">
        <v>498</v>
      </c>
      <c r="K83" s="1" t="s">
        <v>427</v>
      </c>
      <c r="L83" s="92" t="s">
        <v>497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4" t="s">
        <v>280</v>
      </c>
      <c r="G84" s="12" t="s">
        <v>496</v>
      </c>
      <c r="H84" s="14" t="s">
        <v>23</v>
      </c>
      <c r="I84" s="1" t="s">
        <v>958</v>
      </c>
      <c r="J84" s="1" t="s">
        <v>460</v>
      </c>
      <c r="K84" s="1" t="s">
        <v>502</v>
      </c>
      <c r="L84" s="92" t="s">
        <v>1327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101" t="s">
        <v>288</v>
      </c>
      <c r="G85" s="67" t="s">
        <v>505</v>
      </c>
      <c r="H85" s="101" t="s">
        <v>17</v>
      </c>
      <c r="I85" s="69" t="s">
        <v>506</v>
      </c>
      <c r="J85" s="69" t="s">
        <v>507</v>
      </c>
      <c r="K85" s="69" t="s">
        <v>509</v>
      </c>
      <c r="L85" s="93" t="s">
        <v>1328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T104"/>
  <sheetViews>
    <sheetView showGridLines="0" tabSelected="1" topLeftCell="H1" workbookViewId="0">
      <pane ySplit="3" topLeftCell="A92" activePane="bottomLeft" state="frozen"/>
      <selection pane="bottomLeft" activeCell="W102" sqref="W102"/>
    </sheetView>
  </sheetViews>
  <sheetFormatPr defaultRowHeight="25.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8.6640625" style="132"/>
    <col min="16" max="16" width="6" style="135" customWidth="1" outlineLevel="1"/>
    <col min="17" max="17" width="6.1640625" style="135" customWidth="1" outlineLevel="1"/>
    <col min="18" max="18" width="11.1640625" style="132" customWidth="1"/>
    <col min="19" max="19" width="3" style="53" customWidth="1"/>
    <col min="20" max="20" width="34.5" style="133" customWidth="1"/>
    <col min="21" max="16384" width="8.6640625" style="53"/>
  </cols>
  <sheetData>
    <row r="1" spans="1:20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34"/>
    </row>
    <row r="2" spans="1:20" ht="26.25" thickBot="1">
      <c r="A2" s="52"/>
      <c r="B2" s="52"/>
      <c r="D2" s="52"/>
      <c r="H2" s="52"/>
      <c r="I2" s="52"/>
      <c r="J2" s="52"/>
      <c r="P2" s="135" t="s">
        <v>1356</v>
      </c>
      <c r="T2" s="136"/>
    </row>
    <row r="3" spans="1:20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54" t="s">
        <v>687</v>
      </c>
      <c r="M3" s="60" t="s">
        <v>783</v>
      </c>
      <c r="O3" s="54" t="s">
        <v>687</v>
      </c>
      <c r="P3" s="54" t="s">
        <v>1357</v>
      </c>
      <c r="Q3" s="138" t="s">
        <v>1355</v>
      </c>
      <c r="R3" s="54"/>
      <c r="T3" s="54"/>
    </row>
    <row r="4" spans="1:20" ht="27.75" thickBot="1">
      <c r="A4" s="59">
        <f xml:space="preserve"> ROW() -2</f>
        <v>2</v>
      </c>
      <c r="B4" s="76" t="str" cm="1">
        <f t="array" ref="B4" xml:space="preserve"> IFERROR( INDEX(韻母對照表[國際音標], MATCH(TRUE, EXACT(台語音標韻母清單【依字長反排序】!$C4,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EXACT(台語音標韻母清單【依字長反排序】!$C4,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EXACT(台語音標韻母清單【依字長反排序】!$C4, 韻母對照表[台羅拼音]), 0)), "")</f>
        <v>iauhⁿ</v>
      </c>
      <c r="H4" s="56" t="str" cm="1">
        <f t="array" ref="H4" xml:space="preserve"> IFERROR( INDEX(韻母對照表[十五音識別碼], MATCH(TRUE, EXACT(台語音標韻母清單【依字長反排序】!$C4, 韻母對照表[台羅拼音]), 0)), "")</f>
        <v>嘄促</v>
      </c>
      <c r="I4" s="59" t="str" cm="1">
        <f t="array" ref="I4" xml:space="preserve"> IFERROR( INDEX(韻母對照表[方音符號], MATCH(TRUE, EXACT(台語音標韻母清單【依字長反排序】!$C4, 韻母對照表[台羅拼音]), 0)), "")</f>
        <v>ㄧㆯㆷ</v>
      </c>
      <c r="J4" s="131">
        <f xml:space="preserve"> LEN(D4)</f>
        <v>6</v>
      </c>
      <c r="K4" s="75"/>
      <c r="L4" s="59" t="str">
        <f>D4</f>
        <v>iaunnh</v>
      </c>
      <c r="M4" s="59" t="str">
        <f>F4</f>
        <v>niɑoh</v>
      </c>
      <c r="O4" s="132" t="str">
        <f xml:space="preserve"> _xlfn.CONCAT(L4, "(\d)")</f>
        <v>iaunnh(\d)</v>
      </c>
      <c r="P4" s="135" t="s">
        <v>1253</v>
      </c>
      <c r="Q4" s="135">
        <f xml:space="preserve"> IFERROR( IF(P4="", "", SEARCH(P4, $L4)), "")</f>
        <v>2</v>
      </c>
      <c r="R4" s="132" t="str">
        <f xml:space="preserve"> IFERROR( _xlfn.CONCAT(LEFT(L4,Q4-1), "》", MID(L4,Q4,1), "${1}", RIGHT(L4, LEN(L4)-Q4)), "" )</f>
        <v>i》a${1}unnh</v>
      </c>
      <c r="S4" s="57"/>
      <c r="T4" s="58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9">
        <f xml:space="preserve"> ROW() -2</f>
        <v>3</v>
      </c>
      <c r="B5" s="76" t="str" cm="1">
        <f t="array" ref="B5" xml:space="preserve"> IFERROR( INDEX(韻母對照表[國際音標], MATCH(TRUE, EXACT(台語音標韻母清單【依字長反排序】!$C5,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EXACT(台語音標韻母清單【依字長反排序】!$C5,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EXACT(台語音標韻母清單【依字長反排序】!$C5, 韻母對照表[台羅拼音]), 0)), "")</f>
        <v>oaihⁿ</v>
      </c>
      <c r="H5" s="56" t="str" cm="1">
        <f t="array" ref="H5" xml:space="preserve"> IFERROR( INDEX(韻母對照表[十五音識別碼], MATCH(TRUE, EXACT(台語音標韻母清單【依字長反排序】!$C5, 韻母對照表[台羅拼音]), 0)), "")</f>
        <v>閂促</v>
      </c>
      <c r="I5" s="59" t="str" cm="1">
        <f t="array" ref="I5" xml:space="preserve"> IFERROR( INDEX(韻母對照表[方音符號], MATCH(TRUE, EXACT(台語音標韻母清單【依字長反排序】!$C5, 韻母對照表[台羅拼音]), 0)), "")</f>
        <v>ㄨㆮㆷ</v>
      </c>
      <c r="J5" s="131">
        <f xml:space="preserve"> LEN(D5)</f>
        <v>6</v>
      </c>
      <c r="K5" s="75"/>
      <c r="L5" s="59" t="str">
        <f>D5</f>
        <v>uainnh</v>
      </c>
      <c r="M5" s="59" t="str">
        <f t="shared" ref="M5:M68" si="0">F5</f>
        <v>nuɑih</v>
      </c>
      <c r="O5" s="132" t="str">
        <f t="shared" ref="O5:O68" si="1" xml:space="preserve"> _xlfn.CONCAT(L5, "(\d)")</f>
        <v>uainnh(\d)</v>
      </c>
      <c r="P5" s="137" t="s">
        <v>1253</v>
      </c>
      <c r="Q5" s="135">
        <f t="shared" ref="Q5:Q68" si="2" xml:space="preserve"> IFERROR( IF(P5="", "", SEARCH(P5, $L5)), "")</f>
        <v>2</v>
      </c>
      <c r="R5" s="132" t="str">
        <f xml:space="preserve"> IFERROR( _xlfn.CONCAT(LEFT(L5,Q5-1), "》", MID(L5,Q5,1), "${1}", RIGHT(L5, LEN(L5)-Q5)), "" )</f>
        <v>u》a${1}innh</v>
      </c>
      <c r="S5" s="57"/>
      <c r="T5" s="58" t="str">
        <f t="shared" ref="T5:T68" si="3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9">
        <f xml:space="preserve"> ROW() -2</f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EXACT(台語音標韻母清單【依字長反排序】!$C10,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EXACT(台語音標韻母清單【依字長反排序】!$C10, 韻母對照表[台羅拼音]), 0)), "")</f>
        <v>iang</v>
      </c>
      <c r="H6" s="56" t="str" cm="1">
        <f t="array" ref="H6" xml:space="preserve"> IFERROR( INDEX(韻母對照表[十五音識別碼], MATCH(TRUE, EXACT(台語音標韻母清單【依字長反排序】!$C10, 韻母對照表[台羅拼音]), 0)), "")</f>
        <v>姜舒</v>
      </c>
      <c r="I6" s="59" t="str" cm="1">
        <f t="array" ref="I6" xml:space="preserve"> IFERROR( INDEX(韻母對照表[方音符號], MATCH(TRUE, EXACT(台語音標韻母清單【依字長反排序】!$C10, 韻母對照表[台羅拼音]), 0)), "")</f>
        <v>ㄧㄤ</v>
      </c>
      <c r="J6" s="131">
        <f xml:space="preserve"> LEN(D6)</f>
        <v>5</v>
      </c>
      <c r="K6" s="75"/>
      <c r="L6" s="59" t="str">
        <f>D6</f>
        <v>aunnh</v>
      </c>
      <c r="M6" s="59" t="str">
        <f t="shared" si="0"/>
        <v>nɑoh</v>
      </c>
      <c r="O6" s="132" t="str">
        <f t="shared" si="1"/>
        <v>aunnh(\d)</v>
      </c>
      <c r="P6" s="135" t="s">
        <v>1253</v>
      </c>
      <c r="Q6" s="135">
        <f t="shared" si="2"/>
        <v>1</v>
      </c>
      <c r="R6" s="132" t="str">
        <f t="shared" ref="R6:R69" si="4" xml:space="preserve"> IFERROR( _xlfn.CONCAT(LEFT(L6,Q6-1), "》", MID(L6,Q6,1), "${1}", RIGHT(L6, LEN(L6)-Q6)), "" )</f>
        <v>》a${1}unnh</v>
      </c>
      <c r="S6" s="57"/>
      <c r="T6" s="58" t="str">
        <f t="shared" si="3"/>
        <v xml:space="preserve">    - xform/》aunnh(\d)/》a${1}unnh/</v>
      </c>
    </row>
    <row r="7" spans="1:20" ht="27.75" thickBot="1">
      <c r="A7" s="59">
        <f xml:space="preserve"> ROW() -2</f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EXACT(台語音標韻母清單【依字長反排序】!$C11,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EXACT(台語音標韻母清單【依字長反排序】!$C11, 韻母對照表[台羅拼音]), 0)), "")</f>
        <v>iauh</v>
      </c>
      <c r="H7" s="56" t="str" cm="1">
        <f t="array" ref="H7" xml:space="preserve"> IFERROR( INDEX(韻母對照表[十五音識別碼], MATCH(TRUE, EXACT(台語音標韻母清單【依字長反排序】!$C11, 韻母對照表[台羅拼音]), 0)), "")</f>
        <v>嬌促</v>
      </c>
      <c r="I7" s="59" t="str" cm="1">
        <f t="array" ref="I7" xml:space="preserve"> IFERROR( INDEX(韻母對照表[方音符號], MATCH(TRUE, EXACT(台語音標韻母清單【依字長反排序】!$C11, 韻母對照表[台羅拼音]), 0)), "")</f>
        <v>ㄧㄠㆷ</v>
      </c>
      <c r="J7" s="131">
        <f xml:space="preserve"> LEN(D7)</f>
        <v>5</v>
      </c>
      <c r="K7" s="75"/>
      <c r="L7" s="59" t="str">
        <f>D7</f>
        <v>iannh</v>
      </c>
      <c r="M7" s="59" t="str">
        <f t="shared" si="0"/>
        <v>niɑh</v>
      </c>
      <c r="O7" s="132" t="str">
        <f t="shared" si="1"/>
        <v>iannh(\d)</v>
      </c>
      <c r="P7" s="135" t="s">
        <v>1253</v>
      </c>
      <c r="Q7" s="135">
        <f t="shared" si="2"/>
        <v>2</v>
      </c>
      <c r="R7" s="132" t="str">
        <f t="shared" si="4"/>
        <v>i》a${1}nnh</v>
      </c>
      <c r="S7" s="57"/>
      <c r="T7" s="58" t="str">
        <f t="shared" si="3"/>
        <v xml:space="preserve">    - xform/》iannh(\d)/i》a${1}nnh/</v>
      </c>
    </row>
    <row r="8" spans="1:20" ht="27.75" thickBot="1">
      <c r="A8" s="59">
        <f xml:space="preserve"> ROW() -2</f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EXACT(台語音標韻母清單【依字長反排序】!$C12,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EXACT(台語音標韻母清單【依字長反排序】!$C12, 韻母對照表[台羅拼音]), 0)), "")</f>
        <v>iong</v>
      </c>
      <c r="H8" s="56" t="str" cm="1">
        <f t="array" ref="H8" xml:space="preserve"> IFERROR( INDEX(韻母對照表[十五音識別碼], MATCH(TRUE, EXACT(台語音標韻母清單【依字長反排序】!$C12, 韻母對照表[台羅拼音]), 0)), "")</f>
        <v>恭舒</v>
      </c>
      <c r="I8" s="59" t="str" cm="1">
        <f t="array" ref="I8" xml:space="preserve"> IFERROR( INDEX(韻母對照表[方音符號], MATCH(TRUE, EXACT(台語音標韻母清單【依字長反排序】!$C12, 韻母對照表[台羅拼音]), 0)), "")</f>
        <v>ㄧㆲ</v>
      </c>
      <c r="J8" s="131">
        <f xml:space="preserve"> LEN(D8)</f>
        <v>5</v>
      </c>
      <c r="K8" s="75"/>
      <c r="L8" s="59" t="str">
        <f>D8</f>
        <v>iaunn</v>
      </c>
      <c r="M8" s="59" t="str">
        <f t="shared" si="0"/>
        <v>niɑo</v>
      </c>
      <c r="O8" s="132" t="str">
        <f t="shared" si="1"/>
        <v>iaunn(\d)</v>
      </c>
      <c r="P8" s="135" t="s">
        <v>1253</v>
      </c>
      <c r="Q8" s="135">
        <f t="shared" si="2"/>
        <v>2</v>
      </c>
      <c r="R8" s="132" t="str">
        <f t="shared" si="4"/>
        <v>i》a${1}unn</v>
      </c>
      <c r="S8" s="57"/>
      <c r="T8" s="58" t="str">
        <f t="shared" si="3"/>
        <v xml:space="preserve">    - xform/》iaunn(\d)/i》a${1}unn/</v>
      </c>
    </row>
    <row r="9" spans="1:20" ht="27.75" thickBot="1">
      <c r="A9" s="59">
        <f xml:space="preserve"> ROW() -2</f>
        <v>7</v>
      </c>
      <c r="B9" s="59" t="str" cm="1">
        <f t="array" ref="B9" xml:space="preserve"> IFERROR( INDEX(韻母對照表[國際音標], MATCH(TRUE, EXACT(台語音標韻母清單【依字長反排序】!$C43,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EXACT(台語音標韻母清單【依字長反排序】!$C43,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EXACT(台語音標韻母清單【依字長反排序】!$C43, 韻母對照表[台羅拼音]), 0)), "")</f>
        <v>ong</v>
      </c>
      <c r="H9" s="56" t="str" cm="1">
        <f t="array" ref="H9" xml:space="preserve"> IFERROR( INDEX(韻母對照表[十五音識別碼], MATCH(TRUE, EXACT(台語音標韻母清單【依字長反排序】!$C43, 韻母對照表[台羅拼音]), 0)), "")</f>
        <v>公舒</v>
      </c>
      <c r="I9" s="59" t="str" cm="1">
        <f t="array" ref="I9" xml:space="preserve"> IFERROR( INDEX(韻母對照表[方音符號], MATCH(TRUE, EXACT(台語音標韻母清單【依字長反排序】!$C43, 韻母對照表[台羅拼音]), 0)), "")</f>
        <v>ㆲ</v>
      </c>
      <c r="J9" s="131">
        <f xml:space="preserve"> LEN(D9)</f>
        <v>5</v>
      </c>
      <c r="K9" s="75"/>
      <c r="L9" s="59" t="str">
        <f>D9</f>
        <v>uainn</v>
      </c>
      <c r="M9" s="59" t="str">
        <f t="shared" si="0"/>
        <v>uɑi</v>
      </c>
      <c r="O9" s="132" t="str">
        <f t="shared" si="1"/>
        <v>uainn(\d)</v>
      </c>
      <c r="P9" s="135" t="s">
        <v>1253</v>
      </c>
      <c r="Q9" s="135">
        <f t="shared" si="2"/>
        <v>2</v>
      </c>
      <c r="R9" s="132" t="str">
        <f t="shared" si="4"/>
        <v>u》a${1}inn</v>
      </c>
      <c r="S9" s="57"/>
      <c r="T9" s="58" t="str">
        <f t="shared" si="3"/>
        <v xml:space="preserve">    - xform/》uainn(\d)/u》a${1}inn/</v>
      </c>
    </row>
    <row r="10" spans="1:20" ht="27.75" thickBot="1">
      <c r="A10" s="59">
        <f xml:space="preserve"> ROW() -2</f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EXACT(台語音標韻母清單【依字長反排序】!$C6,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EXACT(台語音標韻母清單【依字長反排序】!$C6, 韻母對照表[台羅拼音]), 0)), "")</f>
        <v/>
      </c>
      <c r="H10" s="56" t="str" cm="1">
        <f t="array" ref="H10" xml:space="preserve"> IFERROR( INDEX(韻母對照表[十五音識別碼], MATCH(TRUE, EXACT(台語音標韻母清單【依字長反排序】!$C6, 韻母對照表[台羅拼音]), 0)), "")</f>
        <v/>
      </c>
      <c r="I10" s="59" t="str" cm="1">
        <f t="array" ref="I10" xml:space="preserve"> IFERROR( INDEX(韻母對照表[方音符號], MATCH(TRUE, EXACT(台語音標韻母清單【依字長反排序】!$C6, 韻母對照表[台羅拼音]), 0)), "")</f>
        <v/>
      </c>
      <c r="J10" s="131">
        <f xml:space="preserve"> LEN(D10)</f>
        <v>4</v>
      </c>
      <c r="K10" s="75"/>
      <c r="L10" s="59" t="str">
        <f>D10</f>
        <v>iang</v>
      </c>
      <c r="M10" s="59" t="str">
        <f t="shared" si="0"/>
        <v>iɑnɡ</v>
      </c>
      <c r="O10" s="132" t="str">
        <f t="shared" si="1"/>
        <v>iang(\d)</v>
      </c>
      <c r="P10" s="135" t="s">
        <v>1253</v>
      </c>
      <c r="Q10" s="135">
        <f t="shared" si="2"/>
        <v>2</v>
      </c>
      <c r="R10" s="132" t="str">
        <f t="shared" si="4"/>
        <v>i》a${1}ng</v>
      </c>
      <c r="S10" s="57"/>
      <c r="T10" s="58" t="str">
        <f t="shared" si="3"/>
        <v xml:space="preserve">    - xform/》iang(\d)/i》a${1}ng/</v>
      </c>
    </row>
    <row r="11" spans="1:20" ht="27.75" thickBot="1">
      <c r="A11" s="59">
        <f xml:space="preserve"> ROW() -2</f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EXACT(台語音標韻母清單【依字長反排序】!$C7,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EXACT(台語音標韻母清單【依字長反排序】!$C7, 韻母對照表[台羅拼音]), 0)), "")</f>
        <v/>
      </c>
      <c r="H11" s="56" t="str" cm="1">
        <f t="array" ref="H11" xml:space="preserve"> IFERROR( INDEX(韻母對照表[十五音識別碼], MATCH(TRUE, EXACT(台語音標韻母清單【依字長反排序】!$C7, 韻母對照表[台羅拼音]), 0)), "")</f>
        <v/>
      </c>
      <c r="I11" s="59" t="str" cm="1">
        <f t="array" ref="I11" xml:space="preserve"> IFERROR( INDEX(韻母對照表[方音符號], MATCH(TRUE, EXACT(台語音標韻母清單【依字長反排序】!$C7, 韻母對照表[台羅拼音]), 0)), "")</f>
        <v/>
      </c>
      <c r="J11" s="131">
        <f xml:space="preserve"> LEN(D11)</f>
        <v>4</v>
      </c>
      <c r="K11" s="75"/>
      <c r="L11" s="59" t="str">
        <f>D11</f>
        <v>iauh</v>
      </c>
      <c r="M11" s="59" t="str">
        <f t="shared" si="0"/>
        <v>iaoh</v>
      </c>
      <c r="O11" s="132" t="str">
        <f t="shared" si="1"/>
        <v>iauh(\d)</v>
      </c>
      <c r="P11" s="135" t="s">
        <v>1253</v>
      </c>
      <c r="Q11" s="135">
        <f t="shared" si="2"/>
        <v>2</v>
      </c>
      <c r="R11" s="132" t="str">
        <f t="shared" si="4"/>
        <v>i》a${1}uh</v>
      </c>
      <c r="S11" s="57"/>
      <c r="T11" s="58" t="str">
        <f t="shared" si="3"/>
        <v xml:space="preserve">    - xform/》iauh(\d)/i》a${1}uh/</v>
      </c>
    </row>
    <row r="12" spans="1:20" ht="27.75" thickBot="1">
      <c r="A12" s="59">
        <f xml:space="preserve"> ROW() -2</f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EXACT(台語音標韻母清單【依字長反排序】!$C8,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EXACT(台語音標韻母清單【依字長反排序】!$C8, 韻母對照表[台羅拼音]), 0)), "")</f>
        <v>iauⁿ</v>
      </c>
      <c r="H12" s="56" t="str" cm="1">
        <f t="array" ref="H12" xml:space="preserve"> IFERROR( INDEX(韻母對照表[十五音識別碼], MATCH(TRUE, EXACT(台語音標韻母清單【依字長反排序】!$C8, 韻母對照表[台羅拼音]), 0)), "")</f>
        <v>嘄舒</v>
      </c>
      <c r="I12" s="59" t="str" cm="1">
        <f t="array" ref="I12" xml:space="preserve"> IFERROR( INDEX(韻母對照表[方音符號], MATCH(TRUE, EXACT(台語音標韻母清單【依字長反排序】!$C8, 韻母對照表[台羅拼音]), 0)), "")</f>
        <v>ㄧㆯ</v>
      </c>
      <c r="J12" s="131">
        <f xml:space="preserve"> LEN(D12)</f>
        <v>4</v>
      </c>
      <c r="K12" s="75"/>
      <c r="L12" s="59" t="str">
        <f>D12</f>
        <v>iong</v>
      </c>
      <c r="M12" s="59" t="str">
        <f t="shared" si="0"/>
        <v>ionɡ</v>
      </c>
      <c r="O12" s="132" t="str">
        <f t="shared" si="1"/>
        <v>iong(\d)</v>
      </c>
      <c r="P12" s="135" t="s">
        <v>1241</v>
      </c>
      <c r="Q12" s="135">
        <f t="shared" si="2"/>
        <v>2</v>
      </c>
      <c r="R12" s="132" t="str">
        <f t="shared" si="4"/>
        <v>i》o${1}ng</v>
      </c>
      <c r="S12" s="57"/>
      <c r="T12" s="58" t="str">
        <f t="shared" si="3"/>
        <v xml:space="preserve">    - xform/》iong(\d)/i》o${1}ng/</v>
      </c>
    </row>
    <row r="13" spans="1:20" ht="27.75" thickBot="1">
      <c r="A13" s="59">
        <f xml:space="preserve"> ROW() -2</f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EXACT(台語音標韻母清單【依字長反排序】!$C9,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EXACT(台語音標韻母清單【依字長反排序】!$C9, 韻母對照表[台羅拼音]), 0)), "")</f>
        <v>oaiⁿ</v>
      </c>
      <c r="H13" s="56" t="str" cm="1">
        <f t="array" ref="H13" xml:space="preserve"> IFERROR( INDEX(韻母對照表[十五音識別碼], MATCH(TRUE, EXACT(台語音標韻母清單【依字長反排序】!$C9, 韻母對照表[台羅拼音]), 0)), "")</f>
        <v>閂舒</v>
      </c>
      <c r="I13" s="59" t="str" cm="1">
        <f t="array" ref="I13" xml:space="preserve"> IFERROR( INDEX(韻母對照表[方音符號], MATCH(TRUE, EXACT(台語音標韻母清單【依字長反排序】!$C9, 韻母對照表[台羅拼音]), 0)), "")</f>
        <v>ㄨㆮ</v>
      </c>
      <c r="J13" s="131">
        <f xml:space="preserve"> LEN(D13)</f>
        <v>4</v>
      </c>
      <c r="K13" s="75"/>
      <c r="L13" s="59" t="str">
        <f>D13</f>
        <v>ennh</v>
      </c>
      <c r="M13" s="59" t="str">
        <f t="shared" si="0"/>
        <v>nɑeh</v>
      </c>
      <c r="O13" s="132" t="str">
        <f t="shared" si="1"/>
        <v>ennh(\d)</v>
      </c>
      <c r="P13" s="135" t="s">
        <v>1206</v>
      </c>
      <c r="Q13" s="135">
        <f t="shared" si="2"/>
        <v>1</v>
      </c>
      <c r="R13" s="132" t="str">
        <f t="shared" si="4"/>
        <v>》e${1}nnh</v>
      </c>
      <c r="S13" s="57"/>
      <c r="T13" s="58" t="str">
        <f t="shared" si="3"/>
        <v xml:space="preserve">    - xform/》ennh(\d)/》e${1}nnh/</v>
      </c>
    </row>
    <row r="14" spans="1:20" ht="27.75" thickBot="1">
      <c r="A14" s="59">
        <f xml:space="preserve"> ROW() -2</f>
        <v>12</v>
      </c>
      <c r="B14" s="76" t="str" cm="1">
        <f t="array" ref="B14" xml:space="preserve"> IFERROR( INDEX(韻母對照表[國際音標], MATCH(TRUE, EXACT(台語音標韻母清單【依字長反排序】!$C13,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EXACT(台語音標韻母清單【依字長反排序】!$C13,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EXACT(台語音標韻母清單【依字長反排序】!$C13, 韻母對照表[台羅拼音]), 0)), "")</f>
        <v/>
      </c>
      <c r="H14" s="56" t="str" cm="1">
        <f t="array" ref="H14" xml:space="preserve"> IFERROR( INDEX(韻母對照表[十五音識別碼], MATCH(TRUE, EXACT(台語音標韻母清單【依字長反排序】!$C13, 韻母對照表[台羅拼音]), 0)), "")</f>
        <v/>
      </c>
      <c r="I14" s="59" t="str" cm="1">
        <f t="array" ref="I14" xml:space="preserve"> IFERROR( INDEX(韻母對照表[方音符號], MATCH(TRUE, EXACT(台語音標韻母清單【依字長反排序】!$C13, 韻母對照表[台羅拼音]), 0)), "")</f>
        <v/>
      </c>
      <c r="J14" s="131">
        <f xml:space="preserve"> LEN(D14)</f>
        <v>4</v>
      </c>
      <c r="K14" s="75"/>
      <c r="L14" s="59" t="str">
        <f>D14</f>
        <v>onnh</v>
      </c>
      <c r="M14" s="59" t="str">
        <f t="shared" si="0"/>
        <v>nooh</v>
      </c>
      <c r="O14" s="132" t="str">
        <f t="shared" si="1"/>
        <v>onnh(\d)</v>
      </c>
      <c r="P14" s="135" t="s">
        <v>1241</v>
      </c>
      <c r="Q14" s="135">
        <f t="shared" si="2"/>
        <v>1</v>
      </c>
      <c r="R14" s="132" t="str">
        <f t="shared" si="4"/>
        <v>》o${1}nnh</v>
      </c>
      <c r="S14" s="57"/>
      <c r="T14" s="58" t="str">
        <f t="shared" si="3"/>
        <v xml:space="preserve">    - xform/》onnh(\d)/》o${1}nnh/</v>
      </c>
    </row>
    <row r="15" spans="1:20" ht="27.75" thickBot="1">
      <c r="A15" s="59">
        <f xml:space="preserve"> ROW() -2</f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EXACT(台語音標韻母清單【依字長反排序】!$C29,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EXACT(台語音標韻母清單【依字長反排序】!$C29, 韻母對照表[台羅拼音]), 0)), "")</f>
        <v>iah</v>
      </c>
      <c r="H15" s="56" t="str" cm="1">
        <f t="array" ref="H15" xml:space="preserve"> IFERROR( INDEX(韻母對照表[十五音識別碼], MATCH(TRUE, EXACT(台語音標韻母清單【依字長反排序】!$C29, 韻母對照表[台羅拼音]), 0)), "")</f>
        <v>迦促</v>
      </c>
      <c r="I15" s="59" t="str" cm="1">
        <f t="array" ref="I15" xml:space="preserve"> IFERROR( INDEX(韻母對照表[方音符號], MATCH(TRUE, EXACT(台語音標韻母清單【依字長反排序】!$C29, 韻母對照表[台羅拼音]), 0)), "")</f>
        <v>ㄧㄚㆷ</v>
      </c>
      <c r="J15" s="131">
        <f xml:space="preserve"> LEN(D15)</f>
        <v>4</v>
      </c>
      <c r="K15" s="75"/>
      <c r="L15" s="59" t="str">
        <f>D15</f>
        <v>annh</v>
      </c>
      <c r="M15" s="59" t="str">
        <f t="shared" si="0"/>
        <v>nɑh</v>
      </c>
      <c r="O15" s="132" t="str">
        <f t="shared" si="1"/>
        <v>annh(\d)</v>
      </c>
      <c r="P15" s="135" t="s">
        <v>1253</v>
      </c>
      <c r="Q15" s="135">
        <f t="shared" si="2"/>
        <v>1</v>
      </c>
      <c r="R15" s="132" t="str">
        <f t="shared" si="4"/>
        <v>》a${1}nnh</v>
      </c>
      <c r="S15" s="57"/>
      <c r="T15" s="58" t="str">
        <f t="shared" si="3"/>
        <v xml:space="preserve">    - xform/》annh(\d)/》a${1}nnh/</v>
      </c>
    </row>
    <row r="16" spans="1:20" ht="27.75" thickBot="1">
      <c r="A16" s="59">
        <f xml:space="preserve"> ROW() -2</f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EXACT(台語音標韻母清單【依字長反排序】!$C30,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EXACT(台語音標韻母清單【依字長反排序】!$C30, 韻母對照表[台羅拼音]), 0)), "")</f>
        <v>iak</v>
      </c>
      <c r="H16" s="56" t="str" cm="1">
        <f t="array" ref="H16" xml:space="preserve"> IFERROR( INDEX(韻母對照表[十五音識別碼], MATCH(TRUE, EXACT(台語音標韻母清單【依字長反排序】!$C30, 韻母對照表[台羅拼音]), 0)), "")</f>
        <v>姜促</v>
      </c>
      <c r="I16" s="59" t="str" cm="1">
        <f t="array" ref="I16" xml:space="preserve"> IFERROR( INDEX(韻母對照表[方音符號], MATCH(TRUE, EXACT(台語音標韻母清單【依字長反排序】!$C30, 韻母對照表[台羅拼音]), 0)), "")</f>
        <v>ㄧㄚㆻ</v>
      </c>
      <c r="J16" s="131">
        <f xml:space="preserve"> LEN(D16)</f>
        <v>4</v>
      </c>
      <c r="K16" s="75"/>
      <c r="L16" s="59" t="str">
        <f>D16</f>
        <v>ainn</v>
      </c>
      <c r="M16" s="59" t="str">
        <f t="shared" si="0"/>
        <v>nɑi</v>
      </c>
      <c r="O16" s="132" t="str">
        <f t="shared" si="1"/>
        <v>ainn(\d)</v>
      </c>
      <c r="P16" s="135" t="s">
        <v>1253</v>
      </c>
      <c r="Q16" s="135">
        <f t="shared" si="2"/>
        <v>1</v>
      </c>
      <c r="R16" s="132" t="str">
        <f t="shared" si="4"/>
        <v>》a${1}inn</v>
      </c>
      <c r="S16" s="57"/>
      <c r="T16" s="58" t="str">
        <f t="shared" si="3"/>
        <v xml:space="preserve">    - xform/》ainn(\d)/》a${1}inn/</v>
      </c>
    </row>
    <row r="17" spans="1:20" ht="27.75" thickBot="1">
      <c r="A17" s="59">
        <f xml:space="preserve"> ROW() -2</f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EXACT(台語音標韻母清單【依字長反排序】!$C31,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EXACT(台語音標韻母清單【依字長反排序】!$C31, 韻母對照表[台羅拼音]), 0)), "")</f>
        <v>iam</v>
      </c>
      <c r="H17" s="56" t="str" cm="1">
        <f t="array" ref="H17" xml:space="preserve"> IFERROR( INDEX(韻母對照表[十五音識別碼], MATCH(TRUE, EXACT(台語音標韻母清單【依字長反排序】!$C31, 韻母對照表[台羅拼音]), 0)), "")</f>
        <v>兼舒</v>
      </c>
      <c r="I17" s="59" t="str" cm="1">
        <f t="array" ref="I17" xml:space="preserve"> IFERROR( INDEX(韻母對照表[方音符號], MATCH(TRUE, EXACT(台語音標韻母清單【依字長反排序】!$C31, 韻母對照表[台羅拼音]), 0)), "")</f>
        <v>ㄧㆰ</v>
      </c>
      <c r="J17" s="131">
        <f xml:space="preserve"> LEN(D17)</f>
        <v>4</v>
      </c>
      <c r="K17" s="75"/>
      <c r="L17" s="59" t="str">
        <f>D17</f>
        <v>aunn</v>
      </c>
      <c r="M17" s="59" t="str">
        <f t="shared" si="0"/>
        <v>nɑo</v>
      </c>
      <c r="O17" s="132" t="str">
        <f t="shared" si="1"/>
        <v>aunn(\d)</v>
      </c>
      <c r="P17" s="135" t="s">
        <v>1253</v>
      </c>
      <c r="Q17" s="135">
        <f t="shared" si="2"/>
        <v>1</v>
      </c>
      <c r="R17" s="132" t="str">
        <f t="shared" si="4"/>
        <v>》a${1}unn</v>
      </c>
      <c r="S17" s="57"/>
      <c r="T17" s="58" t="str">
        <f t="shared" si="3"/>
        <v xml:space="preserve">    - xform/》aunn(\d)/》a${1}unn/</v>
      </c>
    </row>
    <row r="18" spans="1:20" ht="27.75" thickBot="1">
      <c r="A18" s="59">
        <f xml:space="preserve"> ROW() -2</f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EXACT(台語音標韻母清單【依字長反排序】!$C33,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EXACT(台語音標韻母清單【依字長反排序】!$C33, 韻母對照表[台羅拼音]), 0)), "")</f>
        <v>iau</v>
      </c>
      <c r="H18" s="56" t="str" cm="1">
        <f t="array" ref="H18" xml:space="preserve"> IFERROR( INDEX(韻母對照表[十五音識別碼], MATCH(TRUE, EXACT(台語音標韻母清單【依字長反排序】!$C33, 韻母對照表[台羅拼音]), 0)), "")</f>
        <v>嬌舒</v>
      </c>
      <c r="I18" s="59" t="str" cm="1">
        <f t="array" ref="I18" xml:space="preserve"> IFERROR( INDEX(韻母對照表[方音符號], MATCH(TRUE, EXACT(台語音標韻母清單【依字長反排序】!$C33, 韻母對照表[台羅拼音]), 0)), "")</f>
        <v>ㄧㄠ</v>
      </c>
      <c r="J18" s="131">
        <f xml:space="preserve"> LEN(D18)</f>
        <v>4</v>
      </c>
      <c r="K18" s="75"/>
      <c r="L18" s="59" t="str">
        <f>D18</f>
        <v>iann</v>
      </c>
      <c r="M18" s="59" t="str">
        <f t="shared" si="0"/>
        <v>nia</v>
      </c>
      <c r="O18" s="132" t="str">
        <f t="shared" si="1"/>
        <v>iann(\d)</v>
      </c>
      <c r="P18" s="135" t="s">
        <v>1253</v>
      </c>
      <c r="Q18" s="135">
        <f t="shared" si="2"/>
        <v>2</v>
      </c>
      <c r="R18" s="132" t="str">
        <f t="shared" si="4"/>
        <v>i》a${1}nn</v>
      </c>
      <c r="S18" s="57"/>
      <c r="T18" s="58" t="str">
        <f t="shared" si="3"/>
        <v xml:space="preserve">    - xform/》iann(\d)/i》a${1}nn/</v>
      </c>
    </row>
    <row r="19" spans="1:20" ht="27.75" thickBot="1">
      <c r="A19" s="59">
        <f xml:space="preserve"> ROW() -2</f>
        <v>17</v>
      </c>
      <c r="B19" s="76" t="str" cm="1">
        <f t="array" ref="B19" xml:space="preserve"> IFERROR( INDEX(韻母對照表[國際音標], MATCH(TRUE, EXACT(台語音標韻母清單【依字長反排序】!$C34,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EXACT(台語音標韻母清單【依字長反排序】!$C34,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EXACT(台語音標韻母清單【依字長反排序】!$C34, 韻母對照表[台羅拼音]), 0)), "")</f>
        <v>iap</v>
      </c>
      <c r="H19" s="56" t="str" cm="1">
        <f t="array" ref="H19" xml:space="preserve"> IFERROR( INDEX(韻母對照表[十五音識別碼], MATCH(TRUE, EXACT(台語音標韻母清單【依字長反排序】!$C34, 韻母對照表[台羅拼音]), 0)), "")</f>
        <v>兼促</v>
      </c>
      <c r="I19" s="59" t="str" cm="1">
        <f t="array" ref="I19" xml:space="preserve"> IFERROR( INDEX(韻母對照表[方音符號], MATCH(TRUE, EXACT(台語音標韻母清單【依字長反排序】!$C34, 韻母對照表[台羅拼音]), 0)), "")</f>
        <v>ㄧㄚㆴ</v>
      </c>
      <c r="J19" s="131">
        <f xml:space="preserve"> LEN(D19)</f>
        <v>4</v>
      </c>
      <c r="K19" s="75"/>
      <c r="L19" s="59" t="str">
        <f>D19</f>
        <v>innh</v>
      </c>
      <c r="M19" s="59" t="str">
        <f t="shared" si="0"/>
        <v>nih</v>
      </c>
      <c r="O19" s="132" t="str">
        <f t="shared" si="1"/>
        <v>innh(\d)</v>
      </c>
      <c r="P19" s="135" t="s">
        <v>1254</v>
      </c>
      <c r="Q19" s="135">
        <f t="shared" si="2"/>
        <v>1</v>
      </c>
      <c r="R19" s="132" t="str">
        <f t="shared" si="4"/>
        <v>》i${1}nnh</v>
      </c>
      <c r="S19" s="57"/>
      <c r="T19" s="58" t="str">
        <f t="shared" si="3"/>
        <v xml:space="preserve">    - xform/》innh(\d)/》i${1}nnh/</v>
      </c>
    </row>
    <row r="20" spans="1:20" ht="27.75" thickBot="1">
      <c r="A20" s="59">
        <f xml:space="preserve"> ROW() -2</f>
        <v>18</v>
      </c>
      <c r="B20" s="59" t="str" cm="1">
        <f t="array" ref="B20" xml:space="preserve"> IFERROR( INDEX(韻母對照表[國際音標], MATCH(TRUE, EXACT(台語音標韻母清單【依字長反排序】!$C35,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EXACT(台語音標韻母清單【依字長反排序】!$C35,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EXACT(台語音標韻母清單【依字長反排序】!$C35, 韻母對照表[台羅拼音]), 0)), "")</f>
        <v>iat</v>
      </c>
      <c r="H20" s="56" t="str" cm="1">
        <f t="array" ref="H20" xml:space="preserve"> IFERROR( INDEX(韻母對照表[十五音識別碼], MATCH(TRUE, EXACT(台語音標韻母清單【依字長反排序】!$C35, 韻母對照表[台羅拼音]), 0)), "")</f>
        <v>堅促</v>
      </c>
      <c r="I20" s="59" t="str" cm="1">
        <f t="array" ref="I20" xml:space="preserve"> IFERROR( INDEX(韻母對照表[方音符號], MATCH(TRUE, EXACT(台語音標韻母清單【依字長反排序】!$C35, 韻母對照表[台羅拼音]), 0)), "")</f>
        <v>ㄧㄚㆵ</v>
      </c>
      <c r="J20" s="131">
        <f xml:space="preserve"> LEN(D20)</f>
        <v>4</v>
      </c>
      <c r="K20" s="75"/>
      <c r="L20" s="59" t="str">
        <f>D20</f>
        <v>iunn</v>
      </c>
      <c r="M20" s="59" t="str">
        <f t="shared" si="0"/>
        <v>niu</v>
      </c>
      <c r="O20" s="132" t="str">
        <f t="shared" si="1"/>
        <v>iunn(\d)</v>
      </c>
      <c r="P20" s="135" t="s">
        <v>1254</v>
      </c>
      <c r="Q20" s="135">
        <f t="shared" si="2"/>
        <v>1</v>
      </c>
      <c r="R20" s="132" t="str">
        <f t="shared" si="4"/>
        <v>》i${1}unn</v>
      </c>
      <c r="S20" s="57"/>
      <c r="T20" s="58" t="str">
        <f t="shared" si="3"/>
        <v xml:space="preserve">    - xform/》iunn(\d)/》i${1}unn/</v>
      </c>
    </row>
    <row r="21" spans="1:20" ht="27.75" thickBot="1">
      <c r="A21" s="59">
        <f xml:space="preserve"> ROW() -2</f>
        <v>19</v>
      </c>
      <c r="B21" s="59" t="str" cm="1">
        <f t="array" ref="B21" xml:space="preserve"> IFERROR( INDEX(韻母對照表[國際音標], MATCH(TRUE, EXACT(台語音標韻母清單【依字長反排序】!$C37,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EXACT(台語音標韻母清單【依字長反排序】!$C37,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EXACT(台語音標韻母清單【依字長反排序】!$C37, 韻母對照表[台羅拼音]), 0)), "")</f>
        <v>ioh</v>
      </c>
      <c r="H21" s="56" t="str" cm="1">
        <f t="array" ref="H21" xml:space="preserve"> IFERROR( INDEX(韻母對照表[十五音識別碼], MATCH(TRUE, EXACT(台語音標韻母清單【依字長反排序】!$C37, 韻母對照表[台羅拼音]), 0)), "")</f>
        <v>茄促</v>
      </c>
      <c r="I21" s="59" t="str" cm="1">
        <f t="array" ref="I21" xml:space="preserve"> IFERROR( INDEX(韻母對照表[方音符號], MATCH(TRUE, EXACT(台語音標韻母清單【依字長反排序】!$C37, 韻母對照表[台羅拼音]), 0)), "")</f>
        <v>ㄧㄜㆷ</v>
      </c>
      <c r="J21" s="131">
        <f xml:space="preserve"> LEN(D21)</f>
        <v>4</v>
      </c>
      <c r="K21" s="75"/>
      <c r="L21" s="59" t="str">
        <f>D21</f>
        <v>uann</v>
      </c>
      <c r="M21" s="59" t="str">
        <f t="shared" si="0"/>
        <v>nua</v>
      </c>
      <c r="O21" s="132" t="str">
        <f t="shared" si="1"/>
        <v>uann(\d)</v>
      </c>
      <c r="P21" s="135" t="s">
        <v>1253</v>
      </c>
      <c r="Q21" s="135">
        <f t="shared" si="2"/>
        <v>2</v>
      </c>
      <c r="R21" s="132" t="str">
        <f t="shared" si="4"/>
        <v>u》a${1}nn</v>
      </c>
      <c r="S21" s="57"/>
      <c r="T21" s="58" t="str">
        <f t="shared" si="3"/>
        <v xml:space="preserve">    - xform/》uann(\d)/u》a${1}nn/</v>
      </c>
    </row>
    <row r="22" spans="1:20" ht="27.75" thickBot="1">
      <c r="A22" s="59">
        <f xml:space="preserve"> ROW() -2</f>
        <v>20</v>
      </c>
      <c r="B22" s="59" t="str" cm="1">
        <f t="array" ref="B22" xml:space="preserve"> IFERROR( INDEX(韻母對照表[國際音標], MATCH(TRUE, EXACT(台語音標韻母清單【依字長反排序】!$C38,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EXACT(台語音標韻母清單【依字長反排序】!$C38,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EXACT(台語音標韻母清單【依字長反排序】!$C38, 韻母對照表[台羅拼音]), 0)), "")</f>
        <v>iok</v>
      </c>
      <c r="H22" s="56" t="str" cm="1">
        <f t="array" ref="H22" xml:space="preserve"> IFERROR( INDEX(韻母對照表[十五音識別碼], MATCH(TRUE, EXACT(台語音標韻母清單【依字長反排序】!$C38, 韻母對照表[台羅拼音]), 0)), "")</f>
        <v>恭促</v>
      </c>
      <c r="I22" s="59" t="str" cm="1">
        <f t="array" ref="I22" xml:space="preserve"> IFERROR( INDEX(韻母對照表[方音符號], MATCH(TRUE, EXACT(台語音標韻母清單【依字長反排序】!$C38, 韻母對照表[台羅拼音]), 0)), "")</f>
        <v>ㄧㆦㆻ</v>
      </c>
      <c r="J22" s="131">
        <f xml:space="preserve"> LEN(D22)</f>
        <v>4</v>
      </c>
      <c r="K22" s="75"/>
      <c r="L22" s="59" t="str">
        <f>D22</f>
        <v>uinn</v>
      </c>
      <c r="M22" s="59" t="str">
        <f t="shared" si="0"/>
        <v>nui</v>
      </c>
      <c r="O22" s="132" t="str">
        <f t="shared" si="1"/>
        <v>uinn(\d)</v>
      </c>
      <c r="P22" s="135" t="s">
        <v>1254</v>
      </c>
      <c r="Q22" s="135">
        <f t="shared" si="2"/>
        <v>2</v>
      </c>
      <c r="R22" s="132" t="str">
        <f t="shared" si="4"/>
        <v>u》i${1}nn</v>
      </c>
      <c r="S22" s="57"/>
      <c r="T22" s="58" t="str">
        <f t="shared" si="3"/>
        <v xml:space="preserve">    - xform/》uinn(\d)/u》i${1}nn/</v>
      </c>
    </row>
    <row r="23" spans="1:20" ht="27.75" thickBot="1">
      <c r="A23" s="59">
        <f xml:space="preserve"> ROW() -2</f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EXACT(台語音標韻母清單【依字長反排序】!$C89,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EXACT(台語音標韻母清單【依字長反排序】!$C89, 韻母對照表[台羅拼音]), 0)), "")</f>
        <v/>
      </c>
      <c r="H23" s="56" t="str" cm="1">
        <f t="array" ref="H23" xml:space="preserve"> IFERROR( INDEX(韻母對照表[十五音識別碼], MATCH(TRUE, EXACT(台語音標韻母清單【依字長反排序】!$C89, 韻母對照表[台羅拼音]), 0)), "")</f>
        <v/>
      </c>
      <c r="I23" s="59" t="str" cm="1">
        <f t="array" ref="I23" xml:space="preserve"> IFERROR( INDEX(韻母對照表[方音符號], MATCH(TRUE, EXACT(台語音標韻母清單【依字長反排序】!$C89, 韻母對照表[台羅拼音]), 0)), "")</f>
        <v/>
      </c>
      <c r="J23" s="131">
        <f xml:space="preserve"> LEN(D23)</f>
        <v>4</v>
      </c>
      <c r="K23" s="75"/>
      <c r="L23" s="59" t="str">
        <f>D23</f>
        <v>ionn</v>
      </c>
      <c r="M23" s="59" t="str">
        <f t="shared" si="0"/>
        <v>-</v>
      </c>
      <c r="O23" s="132" t="str">
        <f t="shared" si="1"/>
        <v>ionn(\d)</v>
      </c>
      <c r="P23" s="135" t="s">
        <v>1241</v>
      </c>
      <c r="Q23" s="135">
        <f t="shared" si="2"/>
        <v>2</v>
      </c>
      <c r="R23" s="132" t="str">
        <f t="shared" si="4"/>
        <v>i》o${1}nn</v>
      </c>
      <c r="S23" s="57"/>
      <c r="T23" s="58" t="str">
        <f t="shared" si="3"/>
        <v xml:space="preserve">    - xform/》ionn(\d)/i》o${1}nn/</v>
      </c>
    </row>
    <row r="24" spans="1:20" ht="27.75" thickBot="1">
      <c r="A24" s="59">
        <f xml:space="preserve"> ROW() -2</f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EXACT(台語音標韻母清單【依字長反排序】!$C90, 韻母對照表[台羅拼音]), 0)), "")</f>
        <v/>
      </c>
      <c r="F24" s="59" t="str" cm="1">
        <f t="array" ref="F24" xml:space="preserve"> IFERROR( INDEX(韻母對照表[閩拼方案], MATCH(TRUE, EXACT(台語音標韻母清單【依字長反排序】!$B90, 韻母對照表[國際音標]), 0)), "")</f>
        <v/>
      </c>
      <c r="G24" s="61" t="str" cm="1">
        <f t="array" ref="G24" xml:space="preserve"> IFERROR( INDEX(韻母對照表[白話字], MATCH(TRUE, EXACT(台語音標韻母清單【依字長反排序】!$C90, 韻母對照表[台羅拼音]), 0)), "")</f>
        <v/>
      </c>
      <c r="H24" s="56" t="str" cm="1">
        <f t="array" ref="H24" xml:space="preserve"> IFERROR( INDEX(韻母對照表[十五音識別碼], MATCH(TRUE, EXACT(台語音標韻母清單【依字長反排序】!$C90, 韻母對照表[台羅拼音]), 0)), "")</f>
        <v/>
      </c>
      <c r="I24" s="59" t="str" cm="1">
        <f t="array" ref="I24" xml:space="preserve"> IFERROR( INDEX(韻母對照表[方音符號], MATCH(TRUE, EXACT(台語音標韻母清單【依字長反排序】!$C90, 韻母對照表[台羅拼音]), 0)), "")</f>
        <v/>
      </c>
      <c r="J24" s="131">
        <f xml:space="preserve"> LEN(D24)</f>
        <v>4</v>
      </c>
      <c r="K24" s="75"/>
      <c r="L24" s="59" t="str">
        <f>D24</f>
        <v>iooh</v>
      </c>
      <c r="M24" s="59" t="str">
        <f t="shared" si="0"/>
        <v/>
      </c>
      <c r="O24" s="132" t="str">
        <f t="shared" si="1"/>
        <v>iooh(\d)</v>
      </c>
      <c r="P24" s="135" t="s">
        <v>1241</v>
      </c>
      <c r="Q24" s="135">
        <f t="shared" si="2"/>
        <v>2</v>
      </c>
      <c r="R24" s="132" t="str">
        <f t="shared" si="4"/>
        <v>i》o${1}oh</v>
      </c>
      <c r="S24" s="57"/>
      <c r="T24" s="58" t="str">
        <f t="shared" si="3"/>
        <v/>
      </c>
    </row>
    <row r="25" spans="1:20" ht="27.75" thickBot="1">
      <c r="A25" s="59">
        <f xml:space="preserve"> ROW() -2</f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EXACT(台語音標韻母清單【依字長反排序】!$C95, 韻母對照表[台羅拼音]), 0)), "")</f>
        <v>e</v>
      </c>
      <c r="F25" s="59" t="str" cm="1">
        <f t="array" ref="F25" xml:space="preserve"> IFERROR( INDEX(韻母對照表[閩拼方案], MATCH(TRUE, EXACT(台語音標韻母清單【依字長反排序】!$B95, 韻母對照表[國際音標]), 0)), "")</f>
        <v>e</v>
      </c>
      <c r="G25" s="63" cm="1">
        <f t="array" ref="G25" xml:space="preserve"> IFERROR( INDEX(韻母對照表[白話字], MATCH(TRUE, EXACT(台語音標韻母清單【依字長反排序】!$C95, 韻母對照表[台羅拼音]), 0)), "")</f>
        <v>0</v>
      </c>
      <c r="H25" s="56" t="str" cm="1">
        <f t="array" ref="H25" xml:space="preserve"> IFERROR( INDEX(韻母對照表[十五音識別碼], MATCH(TRUE, EXACT(台語音標韻母清單【依字長反排序】!$C95, 韻母對照表[台羅拼音]), 0)), "")</f>
        <v>稽舒</v>
      </c>
      <c r="I25" s="59" t="str" cm="1">
        <f t="array" ref="I25" xml:space="preserve"> IFERROR( INDEX(韻母對照表[方音符號], MATCH(TRUE, EXACT(台語音標韻母清單【依字長反排序】!$C95, 韻母對照表[台羅拼音]), 0)), "")</f>
        <v>ㆤ</v>
      </c>
      <c r="J25" s="131">
        <f xml:space="preserve"> LEN(D25)</f>
        <v>4</v>
      </c>
      <c r="K25" s="75"/>
      <c r="L25" s="59" t="str">
        <f>D25</f>
        <v>aenn</v>
      </c>
      <c r="M25" s="59" t="str">
        <f t="shared" si="0"/>
        <v>e</v>
      </c>
      <c r="O25" s="132" t="str">
        <f t="shared" si="1"/>
        <v>aenn(\d)</v>
      </c>
      <c r="P25" s="135" t="s">
        <v>1253</v>
      </c>
      <c r="Q25" s="135">
        <f t="shared" si="2"/>
        <v>1</v>
      </c>
      <c r="R25" s="132" t="str">
        <f t="shared" si="4"/>
        <v>》a${1}enn</v>
      </c>
      <c r="S25" s="57"/>
      <c r="T25" s="58" t="str">
        <f t="shared" si="3"/>
        <v xml:space="preserve">    - xform/》aenn(\d)/》a${1}enn/</v>
      </c>
    </row>
    <row r="26" spans="1:20" ht="27.75" thickBot="1">
      <c r="A26" s="59">
        <f xml:space="preserve"> ROW() -2</f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EXACT(台語音標韻母清單【依字長反排序】!$C14, 韻母對照表[台羅拼音]), 0)), "")</f>
        <v>uenn</v>
      </c>
      <c r="F26" s="59" t="s">
        <v>818</v>
      </c>
      <c r="G26" s="63"/>
      <c r="H26" s="56" t="str" cm="1">
        <f t="array" ref="H26" xml:space="preserve"> IFERROR( INDEX(韻母對照表[十五音識別碼], MATCH(TRUE, EXACT(台語音標韻母清單【依字長反排序】!$C14, 韻母對照表[台羅拼音]), 0)), "")</f>
        <v>扛促</v>
      </c>
      <c r="I26" s="59" t="str" cm="1">
        <f t="array" ref="I26" xml:space="preserve"> IFERROR( INDEX(韻母對照表[方音符號], MATCH(TRUE, EXACT(台語音標韻母清單【依字長反排序】!$C14, 韻母對照表[台羅拼音]), 0)), "")</f>
        <v>ㆧㆷ</v>
      </c>
      <c r="J26" s="131">
        <f xml:space="preserve"> LEN(D26)</f>
        <v>3</v>
      </c>
      <c r="K26" s="75"/>
      <c r="L26" s="59" t="str">
        <f>D26</f>
        <v>eeh</v>
      </c>
      <c r="M26" s="59" t="str">
        <f t="shared" si="0"/>
        <v>ɑeh</v>
      </c>
      <c r="O26" s="132" t="str">
        <f t="shared" si="1"/>
        <v>eeh(\d)</v>
      </c>
      <c r="P26" s="135" t="s">
        <v>1206</v>
      </c>
      <c r="Q26" s="135">
        <f t="shared" si="2"/>
        <v>1</v>
      </c>
      <c r="R26" s="132" t="str">
        <f t="shared" si="4"/>
        <v>》e${1}eh</v>
      </c>
      <c r="S26" s="57"/>
      <c r="T26" s="58" t="str">
        <f t="shared" si="3"/>
        <v xml:space="preserve">    - xform/》eeh(\d)/》e${1}eh/</v>
      </c>
    </row>
    <row r="27" spans="1:20" ht="27.75" thickBot="1">
      <c r="A27" s="59">
        <f xml:space="preserve"> ROW() -2</f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EXACT(台語音標韻母清單【依字長反排序】!$C15,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EXACT(台語音標韻母清單【依字長反排序】!$C15, 韻母對照表[台羅拼音]), 0)), "")</f>
        <v>ahⁿ</v>
      </c>
      <c r="H27" s="56" t="str" cm="1">
        <f t="array" ref="H27" xml:space="preserve"> IFERROR( INDEX(韻母對照表[十五音識別碼], MATCH(TRUE, EXACT(台語音標韻母清單【依字長反排序】!$C15, 韻母對照表[台羅拼音]), 0)), "")</f>
        <v>監促</v>
      </c>
      <c r="I27" s="59" t="str" cm="1">
        <f t="array" ref="I27" xml:space="preserve"> IFERROR( INDEX(韻母對照表[方音符號], MATCH(TRUE, EXACT(台語音標韻母清單【依字長反排序】!$C15, 韻母對照表[台羅拼音]), 0)), "")</f>
        <v>ㆩㆷ</v>
      </c>
      <c r="J27" s="131">
        <f xml:space="preserve"> LEN(D27)</f>
        <v>3</v>
      </c>
      <c r="K27" s="75"/>
      <c r="L27" s="59" t="str">
        <f>D27</f>
        <v>ang</v>
      </c>
      <c r="M27" s="59" t="str">
        <f t="shared" si="0"/>
        <v>anɡ</v>
      </c>
      <c r="O27" s="132" t="str">
        <f t="shared" si="1"/>
        <v>ang(\d)</v>
      </c>
      <c r="P27" s="135" t="s">
        <v>1253</v>
      </c>
      <c r="Q27" s="135">
        <f t="shared" si="2"/>
        <v>1</v>
      </c>
      <c r="R27" s="132" t="str">
        <f t="shared" si="4"/>
        <v>》a${1}ng</v>
      </c>
      <c r="S27" s="57"/>
      <c r="T27" s="58" t="str">
        <f t="shared" si="3"/>
        <v xml:space="preserve">    - xform/》ang(\d)/》a${1}ng/</v>
      </c>
    </row>
    <row r="28" spans="1:20" ht="27.75" thickBot="1">
      <c r="A28" s="59">
        <f xml:space="preserve"> ROW() -2</f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EXACT(台語音標韻母清單【依字長反排序】!$C16,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EXACT(台語音標韻母清單【依字長反排序】!$C16, 韻母對照表[台羅拼音]), 0)), "")</f>
        <v>aiⁿ</v>
      </c>
      <c r="H28" s="56" t="str" cm="1">
        <f t="array" ref="H28" xml:space="preserve"> IFERROR( INDEX(韻母對照表[十五音識別碼], MATCH(TRUE, EXACT(台語音標韻母清單【依字長反排序】!$C16, 韻母對照表[台羅拼音]), 0)), "")</f>
        <v>閒舒</v>
      </c>
      <c r="I28" s="59" t="str" cm="1">
        <f t="array" ref="I28" xml:space="preserve"> IFERROR( INDEX(韻母對照表[方音符號], MATCH(TRUE, EXACT(台語音標韻母清單【依字長反排序】!$C16, 韻母對照表[台羅拼音]), 0)), "")</f>
        <v>ㆮ</v>
      </c>
      <c r="J28" s="131">
        <f xml:space="preserve"> LEN(D28)</f>
        <v>3</v>
      </c>
      <c r="K28" s="75"/>
      <c r="L28" s="59" t="str">
        <f>D28</f>
        <v>auh</v>
      </c>
      <c r="M28" s="59" t="str">
        <f t="shared" si="0"/>
        <v>ɑoh</v>
      </c>
      <c r="O28" s="132" t="str">
        <f t="shared" si="1"/>
        <v>auh(\d)</v>
      </c>
      <c r="P28" s="135" t="s">
        <v>1253</v>
      </c>
      <c r="Q28" s="135">
        <f t="shared" si="2"/>
        <v>1</v>
      </c>
      <c r="R28" s="132" t="str">
        <f t="shared" si="4"/>
        <v>》a${1}uh</v>
      </c>
      <c r="S28" s="57"/>
      <c r="T28" s="58" t="str">
        <f t="shared" si="3"/>
        <v xml:space="preserve">    - xform/》auh(\d)/》a${1}uh/</v>
      </c>
    </row>
    <row r="29" spans="1:20" ht="27.75" thickBot="1">
      <c r="A29" s="59">
        <f xml:space="preserve"> ROW() -2</f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EXACT(台語音標韻母清單【依字長反排序】!$C17,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EXACT(台語音標韻母清單【依字長反排序】!$C17, 韻母對照表[台羅拼音]), 0)), "")</f>
        <v>auⁿ</v>
      </c>
      <c r="H29" s="56" t="str" cm="1">
        <f t="array" ref="H29" xml:space="preserve"> IFERROR( INDEX(韻母對照表[十五音識別碼], MATCH(TRUE, EXACT(台語音標韻母清單【依字長反排序】!$C17, 韻母對照表[台羅拼音]), 0)), "")</f>
        <v>爻舒</v>
      </c>
      <c r="I29" s="59" t="str" cm="1">
        <f t="array" ref="I29" xml:space="preserve"> IFERROR( INDEX(韻母對照表[方音符號], MATCH(TRUE, EXACT(台語音標韻母清單【依字長反排序】!$C17, 韻母對照表[台羅拼音]), 0)), "")</f>
        <v>ㆯ</v>
      </c>
      <c r="J29" s="131">
        <f xml:space="preserve"> LEN(D29)</f>
        <v>3</v>
      </c>
      <c r="K29" s="75"/>
      <c r="L29" s="59" t="str">
        <f>D29</f>
        <v>iah</v>
      </c>
      <c r="M29" s="59" t="str">
        <f t="shared" si="0"/>
        <v>iɑh</v>
      </c>
      <c r="O29" s="132" t="str">
        <f t="shared" si="1"/>
        <v>iah(\d)</v>
      </c>
      <c r="P29" s="135" t="s">
        <v>1253</v>
      </c>
      <c r="Q29" s="135">
        <f t="shared" si="2"/>
        <v>2</v>
      </c>
      <c r="R29" s="132" t="str">
        <f t="shared" si="4"/>
        <v>i》a${1}h</v>
      </c>
      <c r="S29" s="57"/>
      <c r="T29" s="58" t="str">
        <f t="shared" si="3"/>
        <v xml:space="preserve">    - xform/》iah(\d)/i》a${1}h/</v>
      </c>
    </row>
    <row r="30" spans="1:20" ht="27.75" thickBot="1">
      <c r="A30" s="59">
        <f xml:space="preserve"> ROW() -2</f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EXACT(台語音標韻母清單【依字長反排序】!$C18,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EXACT(台語音標韻母清單【依字長反排序】!$C18, 韻母對照表[台羅拼音]), 0)), "")</f>
        <v>iaⁿ</v>
      </c>
      <c r="H30" s="56" t="str" cm="1">
        <f t="array" ref="H30" xml:space="preserve"> IFERROR( INDEX(韻母對照表[十五音識別碼], MATCH(TRUE, EXACT(台語音標韻母清單【依字長反排序】!$C18, 韻母對照表[台羅拼音]), 0)), "")</f>
        <v>驚舒</v>
      </c>
      <c r="I30" s="59" t="str" cm="1">
        <f t="array" ref="I30" xml:space="preserve"> IFERROR( INDEX(韻母對照表[方音符號], MATCH(TRUE, EXACT(台語音標韻母清單【依字長反排序】!$C18, 韻母對照表[台羅拼音]), 0)), "")</f>
        <v>ㄧㆩ</v>
      </c>
      <c r="J30" s="131">
        <f xml:space="preserve"> LEN(D30)</f>
        <v>3</v>
      </c>
      <c r="K30" s="75"/>
      <c r="L30" s="59" t="str">
        <f>D30</f>
        <v>iak</v>
      </c>
      <c r="M30" s="59" t="str">
        <f t="shared" si="0"/>
        <v>iɑk</v>
      </c>
      <c r="O30" s="132" t="str">
        <f t="shared" si="1"/>
        <v>iak(\d)</v>
      </c>
      <c r="P30" s="135" t="s">
        <v>1253</v>
      </c>
      <c r="Q30" s="135">
        <f t="shared" si="2"/>
        <v>2</v>
      </c>
      <c r="R30" s="132" t="str">
        <f t="shared" si="4"/>
        <v>i》a${1}k</v>
      </c>
      <c r="S30" s="57"/>
      <c r="T30" s="58" t="str">
        <f t="shared" si="3"/>
        <v xml:space="preserve">    - xform/》iak(\d)/i》a${1}k/</v>
      </c>
    </row>
    <row r="31" spans="1:20" ht="27.75" thickBot="1">
      <c r="A31" s="59">
        <f xml:space="preserve"> ROW() -2</f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EXACT(台語音標韻母清單【依字長反排序】!$C19,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EXACT(台語音標韻母清單【依字長反排序】!$C19, 韻母對照表[台羅拼音]), 0)), "")</f>
        <v>ihⁿ</v>
      </c>
      <c r="H31" s="56" t="str" cm="1">
        <f t="array" ref="H31" xml:space="preserve"> IFERROR( INDEX(韻母對照表[十五音識別碼], MATCH(TRUE, EXACT(台語音標韻母清單【依字長反排序】!$C19, 韻母對照表[台羅拼音]), 0)), "")</f>
        <v>梔促</v>
      </c>
      <c r="I31" s="59" t="str" cm="1">
        <f t="array" ref="I31" xml:space="preserve"> IFERROR( INDEX(韻母對照表[方音符號], MATCH(TRUE, EXACT(台語音標韻母清單【依字長反排序】!$C19, 韻母對照表[台羅拼音]), 0)), "")</f>
        <v>ㆪㆷ</v>
      </c>
      <c r="J31" s="131">
        <f xml:space="preserve"> LEN(D31)</f>
        <v>3</v>
      </c>
      <c r="K31" s="75"/>
      <c r="L31" s="59" t="str">
        <f>D31</f>
        <v>iam</v>
      </c>
      <c r="M31" s="59" t="str">
        <f t="shared" si="0"/>
        <v>iɑm</v>
      </c>
      <c r="O31" s="132" t="str">
        <f t="shared" si="1"/>
        <v>iam(\d)</v>
      </c>
      <c r="P31" s="135" t="s">
        <v>1253</v>
      </c>
      <c r="Q31" s="135">
        <f t="shared" si="2"/>
        <v>2</v>
      </c>
      <c r="R31" s="132" t="str">
        <f t="shared" si="4"/>
        <v>i》a${1}m</v>
      </c>
      <c r="S31" s="57"/>
      <c r="T31" s="58" t="str">
        <f t="shared" si="3"/>
        <v xml:space="preserve">    - xform/》iam(\d)/i》a${1}m/</v>
      </c>
    </row>
    <row r="32" spans="1:20" ht="27.75" thickBot="1">
      <c r="A32" s="59">
        <f xml:space="preserve"> ROW() -2</f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EXACT(台語音標韻母清單【依字長反排序】!$C20,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EXACT(台語音標韻母清單【依字長反排序】!$C20, 韻母對照表[台羅拼音]), 0)), "")</f>
        <v>iuⁿ</v>
      </c>
      <c r="H32" s="56" t="str" cm="1">
        <f t="array" ref="H32" xml:space="preserve"> IFERROR( INDEX(韻母對照表[十五音識別碼], MATCH(TRUE, EXACT(台語音標韻母清單【依字長反排序】!$C20, 韻母對照表[台羅拼音]), 0)), "")</f>
        <v>牛舒</v>
      </c>
      <c r="I32" s="59" t="str" cm="1">
        <f t="array" ref="I32" xml:space="preserve"> IFERROR( INDEX(韻母對照表[方音符號], MATCH(TRUE, EXACT(台語音標韻母清單【依字長反排序】!$C20, 韻母對照表[台羅拼音]), 0)), "")</f>
        <v>ㄧㆫ</v>
      </c>
      <c r="J32" s="131">
        <f xml:space="preserve"> LEN(D32)</f>
        <v>3</v>
      </c>
      <c r="K32" s="75"/>
      <c r="L32" s="59" t="str">
        <f>D32</f>
        <v>ian</v>
      </c>
      <c r="M32" s="59" t="str">
        <f t="shared" si="0"/>
        <v>iɑn</v>
      </c>
      <c r="O32" s="132" t="str">
        <f t="shared" si="1"/>
        <v>ian(\d)</v>
      </c>
      <c r="P32" s="135" t="s">
        <v>1253</v>
      </c>
      <c r="Q32" s="135">
        <f t="shared" si="2"/>
        <v>2</v>
      </c>
      <c r="R32" s="132" t="str">
        <f t="shared" si="4"/>
        <v>i》a${1}n</v>
      </c>
      <c r="S32" s="57"/>
      <c r="T32" s="58" t="str">
        <f t="shared" si="3"/>
        <v xml:space="preserve">    - xform/》ian(\d)/i》a${1}n/</v>
      </c>
    </row>
    <row r="33" spans="1:20" ht="27.75" thickBot="1">
      <c r="A33" s="59">
        <f xml:space="preserve"> ROW() -2</f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EXACT(台語音標韻母清單【依字長反排序】!$C21,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EXACT(台語音標韻母清單【依字長反排序】!$C21, 韻母對照表[台羅拼音]), 0)), "")</f>
        <v>oaⁿ</v>
      </c>
      <c r="H33" s="56" t="str" cm="1">
        <f t="array" ref="H33" xml:space="preserve"> IFERROR( INDEX(韻母對照表[十五音識別碼], MATCH(TRUE, EXACT(台語音標韻母清單【依字長反排序】!$C21, 韻母對照表[台羅拼音]), 0)), "")</f>
        <v>官舒</v>
      </c>
      <c r="I33" s="59" t="str" cm="1">
        <f t="array" ref="I33" xml:space="preserve"> IFERROR( INDEX(韻母對照表[方音符號], MATCH(TRUE, EXACT(台語音標韻母清單【依字長反排序】!$C21, 韻母對照表[台羅拼音]), 0)), "")</f>
        <v>ㄨㆩ</v>
      </c>
      <c r="J33" s="131">
        <f xml:space="preserve"> LEN(D33)</f>
        <v>3</v>
      </c>
      <c r="K33" s="75"/>
      <c r="L33" s="59" t="str">
        <f>D33</f>
        <v>iau</v>
      </c>
      <c r="M33" s="59" t="str">
        <f t="shared" si="0"/>
        <v>iɑo</v>
      </c>
      <c r="O33" s="132" t="str">
        <f t="shared" si="1"/>
        <v>iau(\d)</v>
      </c>
      <c r="P33" s="135" t="s">
        <v>1253</v>
      </c>
      <c r="Q33" s="135">
        <f t="shared" si="2"/>
        <v>2</v>
      </c>
      <c r="R33" s="132" t="str">
        <f t="shared" si="4"/>
        <v>i》a${1}u</v>
      </c>
      <c r="S33" s="57"/>
      <c r="T33" s="58" t="str">
        <f t="shared" si="3"/>
        <v xml:space="preserve">    - xform/》iau(\d)/i》a${1}u/</v>
      </c>
    </row>
    <row r="34" spans="1:20" ht="27.75" thickBot="1">
      <c r="A34" s="59">
        <f xml:space="preserve"> ROW() -2</f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EXACT(台語音標韻母清單【依字長反排序】!$C22,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EXACT(台語音標韻母清單【依字長反排序】!$C22, 韻母對照表[台羅拼音]), 0)), "")</f>
        <v>uiⁿ</v>
      </c>
      <c r="H34" s="56" t="str" cm="1">
        <f t="array" ref="H34" xml:space="preserve"> IFERROR( INDEX(韻母對照表[十五音識別碼], MATCH(TRUE, EXACT(台語音標韻母清單【依字長反排序】!$C22, 韻母對照表[台羅拼音]), 0)), "")</f>
        <v>褌舒</v>
      </c>
      <c r="I34" s="59" t="str" cm="1">
        <f t="array" ref="I34" xml:space="preserve"> IFERROR( INDEX(韻母對照表[方音符號], MATCH(TRUE, EXACT(台語音標韻母清單【依字長反排序】!$C22, 韻母對照表[台羅拼音]), 0)), "")</f>
        <v>ㄨㆪ</v>
      </c>
      <c r="J34" s="131">
        <f xml:space="preserve"> LEN(D34)</f>
        <v>3</v>
      </c>
      <c r="K34" s="75"/>
      <c r="L34" s="59" t="str">
        <f>D34</f>
        <v>iap</v>
      </c>
      <c r="M34" s="59" t="str">
        <f t="shared" si="0"/>
        <v>iɑp</v>
      </c>
      <c r="O34" s="132" t="str">
        <f t="shared" si="1"/>
        <v>iap(\d)</v>
      </c>
      <c r="P34" s="135" t="s">
        <v>1253</v>
      </c>
      <c r="Q34" s="135">
        <f t="shared" si="2"/>
        <v>2</v>
      </c>
      <c r="R34" s="132" t="str">
        <f t="shared" si="4"/>
        <v>i》a${1}p</v>
      </c>
      <c r="S34" s="57"/>
      <c r="T34" s="58" t="str">
        <f t="shared" si="3"/>
        <v xml:space="preserve">    - xform/》iap(\d)/i》a${1}p/</v>
      </c>
    </row>
    <row r="35" spans="1:20" ht="27.75" thickBot="1">
      <c r="A35" s="59">
        <f xml:space="preserve"> ROW() -2</f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EXACT(台語音標韻母清單【依字長反排序】!$C23,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EXACT(台語音標韻母清單【依字長反排序】!$C23, 韻母對照表[台羅拼音]), 0)), "")</f>
        <v>ioⁿ</v>
      </c>
      <c r="H35" s="56" t="str" cm="1">
        <f t="array" ref="H35" xml:space="preserve"> IFERROR( INDEX(韻母對照表[十五音識別碼], MATCH(TRUE, EXACT(台語音標韻母清單【依字長反排序】!$C23, 韻母對照表[台羅拼音]), 0)), "")</f>
        <v>薑舒</v>
      </c>
      <c r="I35" s="59" t="str" cm="1">
        <f t="array" ref="I35" xml:space="preserve"> IFERROR( INDEX(韻母對照表[方音符號], MATCH(TRUE, EXACT(台語音標韻母清單【依字長反排序】!$C23, 韻母對照表[台羅拼音]), 0)), "")</f>
        <v>ㄧㆧ</v>
      </c>
      <c r="J35" s="131">
        <f xml:space="preserve"> LEN(D35)</f>
        <v>3</v>
      </c>
      <c r="K35" s="75"/>
      <c r="L35" s="59" t="str">
        <f>D35</f>
        <v>iat</v>
      </c>
      <c r="M35" s="59" t="str">
        <f t="shared" si="0"/>
        <v>iɑt</v>
      </c>
      <c r="O35" s="132" t="str">
        <f t="shared" si="1"/>
        <v>iat(\d)</v>
      </c>
      <c r="P35" s="135" t="s">
        <v>1253</v>
      </c>
      <c r="Q35" s="135">
        <f t="shared" si="2"/>
        <v>2</v>
      </c>
      <c r="R35" s="132" t="str">
        <f t="shared" si="4"/>
        <v>i》a${1}t</v>
      </c>
      <c r="S35" s="57"/>
      <c r="T35" s="58" t="str">
        <f t="shared" si="3"/>
        <v xml:space="preserve">    - xform/》iat(\d)/i》a${1}t/</v>
      </c>
    </row>
    <row r="36" spans="1:20" ht="27.75" thickBot="1">
      <c r="A36" s="59">
        <f xml:space="preserve"> ROW() -2</f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EXACT(台語音標韻母清單【依字長反排序】!$C24,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EXACT(台語音標韻母清單【依字長反排序】!$C24, 韻母對照表[台羅拼音]), 0)), "")</f>
        <v/>
      </c>
      <c r="H36" s="56" t="str" cm="1">
        <f t="array" ref="H36" xml:space="preserve"> IFERROR( INDEX(韻母對照表[十五音識別碼], MATCH(TRUE, EXACT(台語音標韻母清單【依字長反排序】!$C24, 韻母對照表[台羅拼音]), 0)), "")</f>
        <v/>
      </c>
      <c r="I36" s="59" t="str" cm="1">
        <f t="array" ref="I36" xml:space="preserve"> IFERROR( INDEX(韻母對照表[方音符號], MATCH(TRUE, EXACT(台語音標韻母清單【依字長反排序】!$C24, 韻母對照表[台羅拼音]), 0)), "")</f>
        <v/>
      </c>
      <c r="J36" s="131">
        <f xml:space="preserve"> LEN(D36)</f>
        <v>3</v>
      </c>
      <c r="K36" s="75"/>
      <c r="L36" s="59" t="str">
        <f>D36</f>
        <v>ing</v>
      </c>
      <c r="M36" s="59" t="str">
        <f t="shared" si="0"/>
        <v>inɡ</v>
      </c>
      <c r="O36" s="132" t="str">
        <f t="shared" si="1"/>
        <v>ing(\d)</v>
      </c>
      <c r="P36" s="135" t="s">
        <v>1254</v>
      </c>
      <c r="Q36" s="135">
        <f t="shared" si="2"/>
        <v>1</v>
      </c>
      <c r="R36" s="132" t="str">
        <f t="shared" si="4"/>
        <v>》i${1}ng</v>
      </c>
      <c r="S36" s="57"/>
      <c r="T36" s="58" t="str">
        <f t="shared" si="3"/>
        <v xml:space="preserve">    - xform/》ing(\d)/》i${1}ng/</v>
      </c>
    </row>
    <row r="37" spans="1:20" ht="27.75" thickBot="1">
      <c r="A37" s="59">
        <f xml:space="preserve"> ROW() -2</f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EXACT(台語音標韻母清單【依字長反排序】!$C25,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EXACT(台語音標韻母清單【依字長反排序】!$C25, 韻母對照表[台羅拼音]), 0)), "")</f>
        <v/>
      </c>
      <c r="H37" s="56" t="str" cm="1">
        <f t="array" ref="H37" xml:space="preserve"> IFERROR( INDEX(韻母對照表[十五音識別碼], MATCH(TRUE, EXACT(台語音標韻母清單【依字長反排序】!$C25, 韻母對照表[台羅拼音]), 0)), "")</f>
        <v/>
      </c>
      <c r="I37" s="59" t="str" cm="1">
        <f t="array" ref="I37" xml:space="preserve"> IFERROR( INDEX(韻母對照表[方音符號], MATCH(TRUE, EXACT(台語音標韻母清單【依字長反排序】!$C25, 韻母對照表[台羅拼音]), 0)), "")</f>
        <v/>
      </c>
      <c r="J37" s="131">
        <f xml:space="preserve"> LEN(D37)</f>
        <v>3</v>
      </c>
      <c r="K37" s="75"/>
      <c r="L37" s="59" t="str">
        <f>D37</f>
        <v>ioh</v>
      </c>
      <c r="M37" s="59" t="str">
        <f t="shared" si="0"/>
        <v>ioh</v>
      </c>
      <c r="O37" s="132" t="str">
        <f t="shared" si="1"/>
        <v>ioh(\d)</v>
      </c>
      <c r="P37" s="135" t="s">
        <v>1254</v>
      </c>
      <c r="Q37" s="135">
        <f t="shared" si="2"/>
        <v>1</v>
      </c>
      <c r="R37" s="132" t="str">
        <f t="shared" si="4"/>
        <v>》i${1}oh</v>
      </c>
      <c r="S37" s="57"/>
      <c r="T37" s="58" t="str">
        <f t="shared" si="3"/>
        <v xml:space="preserve">    - xform/》ioh(\d)/》i${1}oh/</v>
      </c>
    </row>
    <row r="38" spans="1:20" ht="27.75" thickBot="1">
      <c r="A38" s="59">
        <f xml:space="preserve"> ROW() -2</f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EXACT(台語音標韻母清單【依字長反排序】!$C26,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EXACT(台語音標韻母清單【依字長反排序】!$C26, 韻母對照表[台羅拼音]), 0)), "")</f>
        <v>0</v>
      </c>
      <c r="H38" s="56" t="str" cm="1">
        <f t="array" ref="H38" xml:space="preserve"> IFERROR( INDEX(韻母對照表[十五音識別碼], MATCH(TRUE, EXACT(台語音標韻母清單【依字長反排序】!$C26, 韻母對照表[台羅拼音]), 0)), "")</f>
        <v>嘉促</v>
      </c>
      <c r="I38" s="59" t="str" cm="1">
        <f t="array" ref="I38" xml:space="preserve"> IFERROR( INDEX(韻母對照表[方音符號], MATCH(TRUE, EXACT(台語音標韻母清單【依字長反排序】!$C26, 韻母對照表[台羅拼音]), 0)), "")</f>
        <v>ㄝㆷ</v>
      </c>
      <c r="J38" s="131">
        <f xml:space="preserve"> LEN(D38)</f>
        <v>3</v>
      </c>
      <c r="K38" s="75"/>
      <c r="L38" s="59" t="str">
        <f>D38</f>
        <v>iok</v>
      </c>
      <c r="M38" s="59" t="str">
        <f t="shared" si="0"/>
        <v>iok</v>
      </c>
      <c r="O38" s="132" t="str">
        <f t="shared" si="1"/>
        <v>iok(\d)</v>
      </c>
      <c r="P38" s="135" t="s">
        <v>1254</v>
      </c>
      <c r="Q38" s="135">
        <f t="shared" si="2"/>
        <v>1</v>
      </c>
      <c r="R38" s="132" t="str">
        <f t="shared" si="4"/>
        <v>》i${1}ok</v>
      </c>
      <c r="S38" s="57"/>
      <c r="T38" s="58" t="str">
        <f t="shared" si="3"/>
        <v xml:space="preserve">    - xform/》iok(\d)/》i${1}ok/</v>
      </c>
    </row>
    <row r="39" spans="1:20" ht="27.75" thickBot="1">
      <c r="A39" s="59">
        <f xml:space="preserve"> ROW() -2</f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EXACT(台語音標韻母清單【依字長反排序】!$C27,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EXACT(台語音標韻母清單【依字長反排序】!$C27, 韻母對照表[台羅拼音]), 0)), "")</f>
        <v>ang</v>
      </c>
      <c r="H39" s="56" t="str" cm="1">
        <f t="array" ref="H39" xml:space="preserve"> IFERROR( INDEX(韻母對照表[十五音識別碼], MATCH(TRUE, EXACT(台語音標韻母清單【依字長反排序】!$C27, 韻母對照表[台羅拼音]), 0)), "")</f>
        <v>江舒</v>
      </c>
      <c r="I39" s="59" t="str" cm="1">
        <f t="array" ref="I39" xml:space="preserve"> IFERROR( INDEX(韻母對照表[方音符號], MATCH(TRUE, EXACT(台語音標韻母清單【依字長反排序】!$C27, 韻母對照表[台羅拼音]), 0)), "")</f>
        <v>ㄤ</v>
      </c>
      <c r="J39" s="131">
        <f xml:space="preserve"> LEN(D39)</f>
        <v>3</v>
      </c>
      <c r="K39" s="75"/>
      <c r="L39" s="59" t="str">
        <f>D39</f>
        <v>iuh</v>
      </c>
      <c r="M39" s="59" t="str">
        <f t="shared" si="0"/>
        <v>iuh</v>
      </c>
      <c r="O39" s="132" t="str">
        <f t="shared" si="1"/>
        <v>iuh(\d)</v>
      </c>
      <c r="P39" s="135" t="s">
        <v>1254</v>
      </c>
      <c r="Q39" s="135">
        <f t="shared" si="2"/>
        <v>1</v>
      </c>
      <c r="R39" s="132" t="str">
        <f t="shared" si="4"/>
        <v>》i${1}uh</v>
      </c>
      <c r="S39" s="57"/>
      <c r="T39" s="58" t="str">
        <f t="shared" si="3"/>
        <v xml:space="preserve">    - xform/》iuh(\d)/》i${1}uh/</v>
      </c>
    </row>
    <row r="40" spans="1:20" ht="27.75" thickBot="1">
      <c r="A40" s="59">
        <f xml:space="preserve"> ROW() -2</f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EXACT(台語音標韻母清單【依字長反排序】!$C28,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EXACT(台語音標韻母清單【依字長反排序】!$C28, 韻母對照表[台羅拼音]), 0)), "")</f>
        <v>auh</v>
      </c>
      <c r="H40" s="56" t="str" cm="1">
        <f t="array" ref="H40" xml:space="preserve"> IFERROR( INDEX(韻母對照表[十五音識別碼], MATCH(TRUE, EXACT(台語音標韻母清單【依字長反排序】!$C28, 韻母對照表[台羅拼音]), 0)), "")</f>
        <v>交促</v>
      </c>
      <c r="I40" s="59" t="str" cm="1">
        <f t="array" ref="I40" xml:space="preserve"> IFERROR( INDEX(韻母對照表[方音符號], MATCH(TRUE, EXACT(台語音標韻母清單【依字長反排序】!$C28, 韻母對照表[台羅拼音]), 0)), "")</f>
        <v>ㄠㆷ</v>
      </c>
      <c r="J40" s="131">
        <f xml:space="preserve"> LEN(D40)</f>
        <v>3</v>
      </c>
      <c r="K40" s="75"/>
      <c r="L40" s="59" t="str">
        <f>D40</f>
        <v>enn</v>
      </c>
      <c r="M40" s="59" t="str">
        <f t="shared" si="0"/>
        <v>nɑe</v>
      </c>
      <c r="O40" s="132" t="str">
        <f t="shared" si="1"/>
        <v>enn(\d)</v>
      </c>
      <c r="P40" s="135" t="s">
        <v>1206</v>
      </c>
      <c r="Q40" s="135">
        <f t="shared" si="2"/>
        <v>1</v>
      </c>
      <c r="R40" s="132" t="str">
        <f t="shared" si="4"/>
        <v>》e${1}nn</v>
      </c>
      <c r="S40" s="57"/>
      <c r="T40" s="58" t="str">
        <f t="shared" si="3"/>
        <v xml:space="preserve">    - xform/》enn(\d)/》e${1}nn/</v>
      </c>
    </row>
    <row r="41" spans="1:20" ht="27.75" thickBot="1">
      <c r="A41" s="59">
        <f xml:space="preserve"> ROW() -2</f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EXACT(台語音標韻母清單【依字長反排序】!$C32,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EXACT(台語音標韻母清單【依字長反排序】!$C32, 韻母對照表[台羅拼音]), 0)), "")</f>
        <v>ian</v>
      </c>
      <c r="H41" s="56" t="str" cm="1">
        <f t="array" ref="H41" xml:space="preserve"> IFERROR( INDEX(韻母對照表[十五音識別碼], MATCH(TRUE, EXACT(台語音標韻母清單【依字長反排序】!$C32, 韻母對照表[台羅拼音]), 0)), "")</f>
        <v>堅舒</v>
      </c>
      <c r="I41" s="59" t="str" cm="1">
        <f t="array" ref="I41" xml:space="preserve"> IFERROR( INDEX(韻母對照表[方音符號], MATCH(TRUE, EXACT(台語音標韻母清單【依字長反排序】!$C32, 韻母對照表[台羅拼音]), 0)), "")</f>
        <v>ㄧㄢ</v>
      </c>
      <c r="J41" s="131">
        <f xml:space="preserve"> LEN(D41)</f>
        <v>3</v>
      </c>
      <c r="K41" s="75"/>
      <c r="L41" s="59" t="str">
        <f>D41</f>
        <v>ngh</v>
      </c>
      <c r="M41" s="59" t="str">
        <f t="shared" si="0"/>
        <v>ngh</v>
      </c>
      <c r="O41" s="132" t="str">
        <f t="shared" si="1"/>
        <v>ngh(\d)</v>
      </c>
      <c r="P41" s="135" t="s">
        <v>1358</v>
      </c>
      <c r="Q41" s="135">
        <f t="shared" si="2"/>
        <v>1</v>
      </c>
      <c r="R41" s="132" t="str">
        <f t="shared" si="4"/>
        <v>》n${1}gh</v>
      </c>
      <c r="S41" s="57"/>
      <c r="T41" s="58" t="str">
        <f t="shared" si="3"/>
        <v xml:space="preserve">    - xform/》ngh(\d)/》n${1}gh/</v>
      </c>
    </row>
    <row r="42" spans="1:20" ht="27.75" thickBot="1">
      <c r="A42" s="59">
        <f xml:space="preserve"> ROW() -2</f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EXACT(台語音標韻母清單【依字長反排序】!$C36,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EXACT(台語音標韻母清單【依字長反排序】!$C36, 韻母對照表[台羅拼音]), 0)), "")</f>
        <v>eng</v>
      </c>
      <c r="H42" s="56" t="str" cm="1">
        <f t="array" ref="H42" xml:space="preserve"> IFERROR( INDEX(韻母對照表[十五音識別碼], MATCH(TRUE, EXACT(台語音標韻母清單【依字長反排序】!$C36, 韻母對照表[台羅拼音]), 0)), "")</f>
        <v>經舒</v>
      </c>
      <c r="I42" s="59" t="str" cm="1">
        <f t="array" ref="I42" xml:space="preserve"> IFERROR( INDEX(韻母對照表[方音符號], MATCH(TRUE, EXACT(台語音標韻母清單【依字長反排序】!$C36, 韻母對照表[台羅拼音]), 0)), "")</f>
        <v>ㄧㄥ</v>
      </c>
      <c r="J42" s="131">
        <f xml:space="preserve"> LEN(D42)</f>
        <v>3</v>
      </c>
      <c r="K42" s="75"/>
      <c r="L42" s="59" t="str">
        <f>D42</f>
        <v>onn</v>
      </c>
      <c r="M42" s="59" t="str">
        <f t="shared" si="0"/>
        <v>noo</v>
      </c>
      <c r="O42" s="132" t="str">
        <f t="shared" si="1"/>
        <v>onn(\d)</v>
      </c>
      <c r="P42" s="135" t="s">
        <v>1241</v>
      </c>
      <c r="Q42" s="135">
        <f t="shared" si="2"/>
        <v>1</v>
      </c>
      <c r="R42" s="132" t="str">
        <f t="shared" si="4"/>
        <v>》o${1}nn</v>
      </c>
      <c r="S42" s="57"/>
      <c r="T42" s="58" t="str">
        <f t="shared" si="3"/>
        <v xml:space="preserve">    - xform/》onn(\d)/》o${1}nn/</v>
      </c>
    </row>
    <row r="43" spans="1:20" ht="27.75" thickBot="1">
      <c r="A43" s="59">
        <f xml:space="preserve"> ROW() -2</f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EXACT(台語音標韻母清單【依字長反排序】!$C39,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EXACT(台語音標韻母清單【依字長反排序】!$C39, 韻母對照表[台羅拼音]), 0)), "")</f>
        <v/>
      </c>
      <c r="H43" s="56" t="str" cm="1">
        <f t="array" ref="H43" xml:space="preserve"> IFERROR( INDEX(韻母對照表[十五音識別碼], MATCH(TRUE, EXACT(台語音標韻母清單【依字長反排序】!$C39, 韻母對照表[台羅拼音]), 0)), "")</f>
        <v/>
      </c>
      <c r="I43" s="59" t="str" cm="1">
        <f t="array" ref="I43" xml:space="preserve"> IFERROR( INDEX(韻母對照表[方音符號], MATCH(TRUE, EXACT(台語音標韻母清單【依字長反排序】!$C39, 韻母對照表[台羅拼音]), 0)), "")</f>
        <v/>
      </c>
      <c r="J43" s="131">
        <f xml:space="preserve"> LEN(D43)</f>
        <v>3</v>
      </c>
      <c r="K43" s="75"/>
      <c r="L43" s="59" t="str">
        <f>D43</f>
        <v>ong</v>
      </c>
      <c r="M43" s="59" t="str">
        <f t="shared" si="0"/>
        <v>onɡ</v>
      </c>
      <c r="O43" s="132" t="str">
        <f t="shared" si="1"/>
        <v>ong(\d)</v>
      </c>
      <c r="P43" s="135" t="s">
        <v>1241</v>
      </c>
      <c r="Q43" s="135">
        <f t="shared" si="2"/>
        <v>1</v>
      </c>
      <c r="R43" s="132" t="str">
        <f t="shared" si="4"/>
        <v>》o${1}ng</v>
      </c>
      <c r="S43" s="57"/>
      <c r="T43" s="58" t="str">
        <f t="shared" si="3"/>
        <v xml:space="preserve">    - xform/》ong(\d)/》o${1}ng/</v>
      </c>
    </row>
    <row r="44" spans="1:20" ht="27.75" thickBot="1">
      <c r="A44" s="59">
        <f xml:space="preserve"> ROW() -2</f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EXACT(台語音標韻母清單【依字長反排序】!$C40,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EXACT(台語音標韻母清單【依字長反排序】!$C40, 韻母對照表[台羅拼音]), 0)), "")</f>
        <v>eⁿ</v>
      </c>
      <c r="H44" s="56" t="str" cm="1">
        <f t="array" ref="H44" xml:space="preserve"> IFERROR( INDEX(韻母對照表[十五音識別碼], MATCH(TRUE, EXACT(台語音標韻母清單【依字長反排序】!$C40, 韻母對照表[台羅拼音]), 0)), "")</f>
        <v>更舒</v>
      </c>
      <c r="I44" s="59" t="str" cm="1">
        <f t="array" ref="I44" xml:space="preserve"> IFERROR( INDEX(韻母對照表[方音符號], MATCH(TRUE, EXACT(台語音標韻母清單【依字長反排序】!$C40, 韻母對照表[台羅拼音]), 0)), "")</f>
        <v>ㆥ</v>
      </c>
      <c r="J44" s="131">
        <f xml:space="preserve"> LEN(D44)</f>
        <v>3</v>
      </c>
      <c r="K44" s="75"/>
      <c r="L44" s="59" t="str">
        <f>D44</f>
        <v>ooh</v>
      </c>
      <c r="M44" s="59" t="str">
        <f t="shared" si="0"/>
        <v>ooh</v>
      </c>
      <c r="O44" s="132" t="str">
        <f t="shared" si="1"/>
        <v>ooh(\d)</v>
      </c>
      <c r="P44" s="135" t="s">
        <v>1241</v>
      </c>
      <c r="Q44" s="135">
        <f t="shared" si="2"/>
        <v>1</v>
      </c>
      <c r="R44" s="132" t="str">
        <f t="shared" si="4"/>
        <v>》o${1}oh</v>
      </c>
      <c r="S44" s="57"/>
      <c r="T44" s="58" t="str">
        <f t="shared" si="3"/>
        <v xml:space="preserve">    - xform/》ooh(\d)/》o${1}oh/</v>
      </c>
    </row>
    <row r="45" spans="1:20" ht="27.75" thickBot="1">
      <c r="A45" s="59">
        <f xml:space="preserve"> ROW() -2</f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EXACT(台語音標韻母清單【依字長反排序】!$C41,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EXACT(台語音標韻母清單【依字長反排序】!$C41, 韻母對照表[台羅拼音]), 0)), "")</f>
        <v/>
      </c>
      <c r="H45" s="56" t="str" cm="1">
        <f t="array" ref="H45" xml:space="preserve"> IFERROR( INDEX(韻母對照表[十五音識別碼], MATCH(TRUE, EXACT(台語音標韻母清單【依字長反排序】!$C41, 韻母對照表[台羅拼音]), 0)), "")</f>
        <v/>
      </c>
      <c r="I45" s="59" t="str" cm="1">
        <f t="array" ref="I45" xml:space="preserve"> IFERROR( INDEX(韻母對照表[方音符號], MATCH(TRUE, EXACT(台語音標韻母清單【依字長反排序】!$C41, 韻母對照表[台羅拼音]), 0)), "")</f>
        <v/>
      </c>
      <c r="J45" s="131">
        <f xml:space="preserve"> LEN(D45)</f>
        <v>3</v>
      </c>
      <c r="K45" s="75"/>
      <c r="L45" s="59" t="str">
        <f>D45</f>
        <v>uah</v>
      </c>
      <c r="M45" s="59" t="str">
        <f t="shared" si="0"/>
        <v>uɑh</v>
      </c>
      <c r="O45" s="132" t="str">
        <f t="shared" si="1"/>
        <v>uah(\d)</v>
      </c>
      <c r="P45" s="135" t="s">
        <v>1253</v>
      </c>
      <c r="Q45" s="135">
        <f t="shared" si="2"/>
        <v>2</v>
      </c>
      <c r="R45" s="132" t="str">
        <f t="shared" si="4"/>
        <v>u》a${1}h</v>
      </c>
      <c r="S45" s="57"/>
      <c r="T45" s="58" t="str">
        <f t="shared" si="3"/>
        <v xml:space="preserve">    - xform/》uah(\d)/u》a${1}h/</v>
      </c>
    </row>
    <row r="46" spans="1:20" ht="27.75" thickBot="1">
      <c r="A46" s="59">
        <f xml:space="preserve"> ROW() -2</f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EXACT(台語音標韻母清單【依字長反排序】!$C42,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EXACT(台語音標韻母清單【依字長反排序】!$C42, 韻母對照表[台羅拼音]), 0)), "")</f>
        <v>oⁿ</v>
      </c>
      <c r="H46" s="56" t="str" cm="1">
        <f t="array" ref="H46" xml:space="preserve"> IFERROR( INDEX(韻母對照表[十五音識別碼], MATCH(TRUE, EXACT(台語音標韻母清單【依字長反排序】!$C42, 韻母對照表[台羅拼音]), 0)), "")</f>
        <v>姑舒</v>
      </c>
      <c r="I46" s="59" t="str" cm="1">
        <f t="array" ref="I46" xml:space="preserve"> IFERROR( INDEX(韻母對照表[方音符號], MATCH(TRUE, EXACT(台語音標韻母清單【依字長反排序】!$C42, 韻母對照表[台羅拼音]), 0)), "")</f>
        <v>ㆧ</v>
      </c>
      <c r="J46" s="131">
        <f xml:space="preserve"> LEN(D46)</f>
        <v>3</v>
      </c>
      <c r="K46" s="75"/>
      <c r="L46" s="59" t="str">
        <f>D46</f>
        <v>uai</v>
      </c>
      <c r="M46" s="59" t="str">
        <f t="shared" si="0"/>
        <v>uai</v>
      </c>
      <c r="O46" s="132" t="str">
        <f t="shared" si="1"/>
        <v>uai(\d)</v>
      </c>
      <c r="P46" s="135" t="s">
        <v>1253</v>
      </c>
      <c r="Q46" s="135">
        <f t="shared" si="2"/>
        <v>2</v>
      </c>
      <c r="R46" s="132" t="str">
        <f t="shared" si="4"/>
        <v>u》a${1}i</v>
      </c>
      <c r="S46" s="57"/>
      <c r="T46" s="58" t="str">
        <f t="shared" si="3"/>
        <v xml:space="preserve">    - xform/》uai(\d)/u》a${1}i/</v>
      </c>
    </row>
    <row r="47" spans="1:20" ht="27.75" thickBot="1">
      <c r="A47" s="59">
        <f xml:space="preserve"> ROW() -2</f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EXACT(台語音標韻母清單【依字長反排序】!$C44,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EXACT(台語音標韻母清單【依字長反排序】!$C44, 韻母對照表[台羅拼音]), 0)), "")</f>
        <v/>
      </c>
      <c r="H47" s="56" t="str" cm="1">
        <f t="array" ref="H47" xml:space="preserve"> IFERROR( INDEX(韻母對照表[十五音識別碼], MATCH(TRUE, EXACT(台語音標韻母清單【依字長反排序】!$C44, 韻母對照表[台羅拼音]), 0)), "")</f>
        <v/>
      </c>
      <c r="I47" s="59" t="str" cm="1">
        <f t="array" ref="I47" xml:space="preserve"> IFERROR( INDEX(韻母對照表[方音符號], MATCH(TRUE, EXACT(台語音標韻母清單【依字長反排序】!$C44, 韻母對照表[台羅拼音]), 0)), "")</f>
        <v/>
      </c>
      <c r="J47" s="131">
        <f xml:space="preserve"> LEN(D47)</f>
        <v>3</v>
      </c>
      <c r="K47" s="75"/>
      <c r="L47" s="59" t="str">
        <f>D47</f>
        <v>uan</v>
      </c>
      <c r="M47" s="59" t="str">
        <f t="shared" si="0"/>
        <v>uɑn</v>
      </c>
      <c r="O47" s="132" t="str">
        <f t="shared" si="1"/>
        <v>uan(\d)</v>
      </c>
      <c r="P47" s="135" t="s">
        <v>1253</v>
      </c>
      <c r="Q47" s="135">
        <f t="shared" si="2"/>
        <v>2</v>
      </c>
      <c r="R47" s="132" t="str">
        <f t="shared" si="4"/>
        <v>u》a${1}n</v>
      </c>
      <c r="S47" s="57"/>
      <c r="T47" s="58" t="str">
        <f t="shared" si="3"/>
        <v xml:space="preserve">    - xform/》uan(\d)/u》a${1}n/</v>
      </c>
    </row>
    <row r="48" spans="1:20" ht="27.75" thickBot="1">
      <c r="A48" s="59">
        <f xml:space="preserve"> ROW() -2</f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EXACT(台語音標韻母清單【依字長反排序】!$C45,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EXACT(台語音標韻母清單【依字長反排序】!$C45, 韻母對照表[台羅拼音]), 0)), "")</f>
        <v>oah</v>
      </c>
      <c r="H48" s="56" t="str" cm="1">
        <f t="array" ref="H48" xml:space="preserve"> IFERROR( INDEX(韻母對照表[十五音識別碼], MATCH(TRUE, EXACT(台語音標韻母清單【依字長反排序】!$C45, 韻母對照表[台羅拼音]), 0)), "")</f>
        <v>瓜促</v>
      </c>
      <c r="I48" s="59" t="str" cm="1">
        <f t="array" ref="I48" xml:space="preserve"> IFERROR( INDEX(韻母對照表[方音符號], MATCH(TRUE, EXACT(台語音標韻母清單【依字長反排序】!$C45, 韻母對照表[台羅拼音]), 0)), "")</f>
        <v>ㄨㄚㆷ</v>
      </c>
      <c r="J48" s="131">
        <f xml:space="preserve"> LEN(D48)</f>
        <v>3</v>
      </c>
      <c r="K48" s="75"/>
      <c r="L48" s="59" t="str">
        <f>D48</f>
        <v>uat</v>
      </c>
      <c r="M48" s="59" t="str">
        <f t="shared" si="0"/>
        <v>uɑt</v>
      </c>
      <c r="O48" s="132" t="str">
        <f t="shared" si="1"/>
        <v>uat(\d)</v>
      </c>
      <c r="P48" s="135" t="s">
        <v>1253</v>
      </c>
      <c r="Q48" s="135">
        <f t="shared" si="2"/>
        <v>2</v>
      </c>
      <c r="R48" s="132" t="str">
        <f t="shared" si="4"/>
        <v>u》a${1}t</v>
      </c>
      <c r="S48" s="57"/>
      <c r="T48" s="58" t="str">
        <f t="shared" si="3"/>
        <v xml:space="preserve">    - xform/》uat(\d)/u》a${1}t/</v>
      </c>
    </row>
    <row r="49" spans="1:20" ht="27.75" thickBot="1">
      <c r="A49" s="59">
        <f xml:space="preserve"> ROW() -2</f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EXACT(台語音標韻母清單【依字長反排序】!$C46,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EXACT(台語音標韻母清單【依字長反排序】!$C46, 韻母對照表[台羅拼音]), 0)), "")</f>
        <v>oai</v>
      </c>
      <c r="H49" s="56" t="str" cm="1">
        <f t="array" ref="H49" xml:space="preserve"> IFERROR( INDEX(韻母對照表[十五音識別碼], MATCH(TRUE, EXACT(台語音標韻母清單【依字長反排序】!$C46, 韻母對照表[台羅拼音]), 0)), "")</f>
        <v>乖舒</v>
      </c>
      <c r="I49" s="59" t="str" cm="1">
        <f t="array" ref="I49" xml:space="preserve"> IFERROR( INDEX(韻母對照表[方音符號], MATCH(TRUE, EXACT(台語音標韻母清單【依字長反排序】!$C46, 韻母對照表[台羅拼音]), 0)), "")</f>
        <v>ㄨㄞ</v>
      </c>
      <c r="J49" s="131">
        <f xml:space="preserve"> LEN(D49)</f>
        <v>3</v>
      </c>
      <c r="K49" s="75"/>
      <c r="L49" s="59" t="str">
        <f>D49</f>
        <v>ueh</v>
      </c>
      <c r="M49" s="59" t="str">
        <f t="shared" si="0"/>
        <v>ueh</v>
      </c>
      <c r="O49" s="132" t="str">
        <f t="shared" si="1"/>
        <v>ueh(\d)</v>
      </c>
      <c r="P49" s="135" t="s">
        <v>1206</v>
      </c>
      <c r="Q49" s="135">
        <f t="shared" si="2"/>
        <v>2</v>
      </c>
      <c r="R49" s="132" t="str">
        <f t="shared" si="4"/>
        <v>u》e${1}h</v>
      </c>
      <c r="S49" s="57"/>
      <c r="T49" s="58" t="str">
        <f t="shared" si="3"/>
        <v xml:space="preserve">    - xform/》ueh(\d)/u》e${1}h/</v>
      </c>
    </row>
    <row r="50" spans="1:20" ht="27.75" thickBot="1">
      <c r="A50" s="59">
        <f xml:space="preserve"> ROW() -2</f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EXACT(台語音標韻母清單【依字長反排序】!$C69,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EXACT(台語音標韻母清單【依字長反排序】!$C69, 韻母對照表[台羅拼音]), 0)), "")</f>
        <v>ek</v>
      </c>
      <c r="H50" s="56" t="str" cm="1">
        <f t="array" ref="H50" xml:space="preserve"> IFERROR( INDEX(韻母對照表[十五音識別碼], MATCH(TRUE, EXACT(台語音標韻母清單【依字長反排序】!$C69, 韻母對照表[台羅拼音]), 0)), "")</f>
        <v>經促</v>
      </c>
      <c r="I50" s="59" t="str" cm="1">
        <f t="array" ref="I50" xml:space="preserve"> IFERROR( INDEX(韻母對照表[方音符號], MATCH(TRUE, EXACT(台語音標韻母清單【依字長反排序】!$C69, 韻母對照表[台羅拼音]), 0)), "")</f>
        <v>ㄧㆻ</v>
      </c>
      <c r="J50" s="131">
        <f xml:space="preserve"> LEN(D50)</f>
        <v>3</v>
      </c>
      <c r="K50" s="75"/>
      <c r="L50" s="59" t="str">
        <f>D50</f>
        <v>ann</v>
      </c>
      <c r="M50" s="59" t="str">
        <f t="shared" si="0"/>
        <v>na</v>
      </c>
      <c r="O50" s="132" t="str">
        <f t="shared" si="1"/>
        <v>ann(\d)</v>
      </c>
      <c r="P50" s="135" t="s">
        <v>1253</v>
      </c>
      <c r="Q50" s="135">
        <f t="shared" si="2"/>
        <v>1</v>
      </c>
      <c r="R50" s="132" t="str">
        <f t="shared" si="4"/>
        <v>》a${1}nn</v>
      </c>
      <c r="S50" s="57"/>
      <c r="T50" s="58" t="str">
        <f t="shared" si="3"/>
        <v xml:space="preserve">    - xform/》ann(\d)/》a${1}nn/</v>
      </c>
    </row>
    <row r="51" spans="1:20" ht="27.75" thickBot="1">
      <c r="A51" s="59">
        <f xml:space="preserve"> ROW() -2</f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EXACT(台語音標韻母清單【依字長反排序】!$C71,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EXACT(台語音標韻母清單【依字長反排序】!$C71, 韻母對照表[台羅拼音]), 0)), "")</f>
        <v>in</v>
      </c>
      <c r="H51" s="56" t="str" cm="1">
        <f t="array" ref="H51" xml:space="preserve"> IFERROR( INDEX(韻母對照表[十五音識別碼], MATCH(TRUE, EXACT(台語音標韻母清單【依字長反排序】!$C71, 韻母對照表[台羅拼音]), 0)), "")</f>
        <v>巾舒</v>
      </c>
      <c r="I51" s="59" t="str" cm="1">
        <f t="array" ref="I51" xml:space="preserve"> IFERROR( INDEX(韻母對照表[方音符號], MATCH(TRUE, EXACT(台語音標韻母清單【依字長反排序】!$C71, 韻母對照表[台羅拼音]), 0)), "")</f>
        <v>ㄧㄣ</v>
      </c>
      <c r="J51" s="131">
        <f xml:space="preserve"> LEN(D51)</f>
        <v>3</v>
      </c>
      <c r="K51" s="75"/>
      <c r="L51" s="59" t="str">
        <f>D51</f>
        <v>inn</v>
      </c>
      <c r="M51" s="59" t="str">
        <f t="shared" si="0"/>
        <v>ni</v>
      </c>
      <c r="O51" s="132" t="str">
        <f t="shared" si="1"/>
        <v>inn(\d)</v>
      </c>
      <c r="P51" s="135" t="s">
        <v>1254</v>
      </c>
      <c r="Q51" s="135">
        <f t="shared" si="2"/>
        <v>1</v>
      </c>
      <c r="R51" s="132" t="str">
        <f t="shared" si="4"/>
        <v>》i${1}nn</v>
      </c>
      <c r="S51" s="57"/>
      <c r="T51" s="58" t="str">
        <f t="shared" si="3"/>
        <v xml:space="preserve">    - xform/》inn(\d)/》i${1}nn/</v>
      </c>
    </row>
    <row r="52" spans="1:20" ht="27.75" thickBot="1">
      <c r="A52" s="59">
        <f xml:space="preserve"> ROW() -2</f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EXACT(台語音標韻母清單【依字長反排序】!$C94, 韻母對照表[台羅拼音]), 0)), "")</f>
        <v>a</v>
      </c>
      <c r="F52" s="59" t="str" cm="1">
        <f t="array" ref="F52" xml:space="preserve"> IFERROR( INDEX(韻母對照表[閩拼方案], MATCH(TRUE, EXACT(台語音標韻母清單【依字長反排序】!$B94, 韻母對照表[國際音標]), 0)), "")</f>
        <v>a</v>
      </c>
      <c r="G52" s="63" t="str" cm="1">
        <f t="array" ref="G52" xml:space="preserve"> IFERROR( INDEX(韻母對照表[白話字], MATCH(TRUE, EXACT(台語音標韻母清單【依字長反排序】!$C94, 韻母對照表[台羅拼音]), 0)), "")</f>
        <v>a</v>
      </c>
      <c r="H52" s="56" t="str" cm="1">
        <f t="array" ref="H52" xml:space="preserve"> IFERROR( INDEX(韻母對照表[十五音識別碼], MATCH(TRUE, EXACT(台語音標韻母清單【依字長反排序】!$C94, 韻母對照表[台羅拼音]), 0)), "")</f>
        <v>膠舒</v>
      </c>
      <c r="I52" s="59" t="str" cm="1">
        <f t="array" ref="I52" xml:space="preserve"> IFERROR( INDEX(韻母對照表[方音符號], MATCH(TRUE, EXACT(台語音標韻母清單【依字長反排序】!$C94, 韻母對照表[台羅拼音]), 0)), "")</f>
        <v>ㄚ</v>
      </c>
      <c r="J52" s="131">
        <f xml:space="preserve"> LEN(D52)</f>
        <v>3</v>
      </c>
      <c r="K52" s="75"/>
      <c r="L52" s="59" t="str">
        <f>D52</f>
        <v>uae</v>
      </c>
      <c r="M52" s="59" t="str">
        <f t="shared" si="0"/>
        <v>a</v>
      </c>
      <c r="O52" s="132" t="str">
        <f t="shared" si="1"/>
        <v>uae(\d)</v>
      </c>
      <c r="P52" s="135" t="s">
        <v>1253</v>
      </c>
      <c r="Q52" s="135">
        <f t="shared" si="2"/>
        <v>2</v>
      </c>
      <c r="R52" s="132" t="str">
        <f t="shared" si="4"/>
        <v>u》a${1}e</v>
      </c>
      <c r="S52" s="57"/>
      <c r="T52" s="58" t="str">
        <f t="shared" si="3"/>
        <v xml:space="preserve">    - xform/》uae(\d)/u》a${1}e/</v>
      </c>
    </row>
    <row r="53" spans="1:20" ht="27.75" thickBot="1">
      <c r="A53" s="59">
        <f xml:space="preserve"> ROW() -2</f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EXACT(台語音標韻母清單【依字長反排序】!$C97, 韻母對照表[台羅拼音]), 0)), "")</f>
        <v>m</v>
      </c>
      <c r="F53" s="59" t="str" cm="1">
        <f t="array" ref="F53" xml:space="preserve"> IFERROR( INDEX(韻母對照表[閩拼方案], MATCH(TRUE, EXACT(台語音標韻母清單【依字長反排序】!$B97, 韻母對照表[國際音標]), 0)), "")</f>
        <v>m</v>
      </c>
      <c r="G53" s="63" t="str" cm="1">
        <f t="array" ref="G53" xml:space="preserve"> IFERROR( INDEX(韻母對照表[白話字], MATCH(TRUE, EXACT(台語音標韻母清單【依字長反排序】!$C97, 韻母對照表[台羅拼音]), 0)), "")</f>
        <v>m</v>
      </c>
      <c r="H53" s="56" t="str" cm="1">
        <f t="array" ref="H53" xml:space="preserve"> IFERROR( INDEX(韻母對照表[十五音識別碼], MATCH(TRUE, EXACT(台語音標韻母清單【依字長反排序】!$C97, 韻母對照表[台羅拼音]), 0)), "")</f>
        <v>姆舒</v>
      </c>
      <c r="I53" s="59" t="str" cm="1">
        <f t="array" ref="I53" xml:space="preserve"> IFERROR( INDEX(韻母對照表[方音符號], MATCH(TRUE, EXACT(台語音標韻母清單【依字長反排序】!$C97, 韻母對照表[台羅拼音]), 0)), "")</f>
        <v>ㆬ</v>
      </c>
      <c r="J53" s="131">
        <f xml:space="preserve"> LEN(D53)</f>
        <v>3</v>
      </c>
      <c r="K53" s="75"/>
      <c r="L53" s="59" t="str">
        <f>D53</f>
        <v>ioo</v>
      </c>
      <c r="M53" s="59" t="str">
        <f t="shared" si="0"/>
        <v>m</v>
      </c>
      <c r="O53" s="132" t="str">
        <f t="shared" si="1"/>
        <v>ioo(\d)</v>
      </c>
      <c r="P53" s="135" t="s">
        <v>1254</v>
      </c>
      <c r="Q53" s="135">
        <f t="shared" si="2"/>
        <v>1</v>
      </c>
      <c r="R53" s="132" t="str">
        <f t="shared" si="4"/>
        <v>》i${1}oo</v>
      </c>
      <c r="S53" s="57"/>
      <c r="T53" s="58" t="str">
        <f t="shared" si="3"/>
        <v xml:space="preserve">    - xform/》ioo(\d)/》i${1}oo/</v>
      </c>
    </row>
    <row r="54" spans="1:20" ht="27.75" thickBot="1">
      <c r="A54" s="59">
        <f xml:space="preserve"> ROW() -2</f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EXACT(台語音標韻母清單【依字長反排序】!$C98, 韻母對照表[台羅拼音]), 0)), "")</f>
        <v>or</v>
      </c>
      <c r="F54" s="59" t="str" cm="1">
        <f t="array" ref="F54" xml:space="preserve"> IFERROR( INDEX(韻母對照表[閩拼方案], MATCH(TRUE, EXACT(台語音標韻母清單【依字長反排序】!$B98, 韻母對照表[國際音標]), 0)), "")</f>
        <v>o</v>
      </c>
      <c r="G54" s="61" t="str" cm="1">
        <f t="array" ref="G54" xml:space="preserve"> IFERROR( INDEX(韻母對照表[白話字], MATCH(TRUE, EXACT(台語音標韻母清單【依字長反排序】!$C98, 韻母對照表[台羅拼音]), 0)), "")</f>
        <v>o</v>
      </c>
      <c r="H54" s="56" t="str" cm="1">
        <f t="array" ref="H54" xml:space="preserve"> IFERROR( INDEX(韻母對照表[十五音識別碼], MATCH(TRUE, EXACT(台語音標韻母清單【依字長反排序】!$C98, 韻母對照表[台羅拼音]), 0)), "")</f>
        <v>高舒</v>
      </c>
      <c r="I54" s="59" t="str" cm="1">
        <f t="array" ref="I54" xml:space="preserve"> IFERROR( INDEX(韻母對照表[方音符號], MATCH(TRUE, EXACT(台語音標韻母清單【依字長反排序】!$C98, 韻母對照表[台羅拼音]), 0)), "")</f>
        <v>ㄜ</v>
      </c>
      <c r="J54" s="131">
        <f xml:space="preserve"> LEN(D54)</f>
        <v>3</v>
      </c>
      <c r="K54" s="75"/>
      <c r="L54" s="59" t="str">
        <f>D54</f>
        <v>eng</v>
      </c>
      <c r="M54" s="59" t="str">
        <f t="shared" si="0"/>
        <v>o</v>
      </c>
      <c r="O54" s="132" t="str">
        <f t="shared" si="1"/>
        <v>eng(\d)</v>
      </c>
      <c r="P54" s="135" t="s">
        <v>1206</v>
      </c>
      <c r="Q54" s="135">
        <f t="shared" si="2"/>
        <v>1</v>
      </c>
      <c r="R54" s="132" t="str">
        <f t="shared" si="4"/>
        <v>》e${1}ng</v>
      </c>
      <c r="S54" s="57"/>
      <c r="T54" s="58" t="str">
        <f t="shared" si="3"/>
        <v xml:space="preserve">    - xform/》eng(\d)/》e${1}ng/</v>
      </c>
    </row>
    <row r="55" spans="1:20" ht="27.75" thickBot="1">
      <c r="A55" s="59">
        <f xml:space="preserve"> ROW() -2</f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EXACT(台語音標韻母清單【依字長反排序】!$C47,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EXACT(台語音標韻母清單【依字長反排序】!$C47, 韻母對照表[台羅拼音]), 0)), "")</f>
        <v>觀舒</v>
      </c>
      <c r="I55" s="59" t="str" cm="1">
        <f t="array" ref="I55" xml:space="preserve"> IFERROR( INDEX(韻母對照表[方音符號], MATCH(TRUE, EXACT(台語音標韻母清單【依字長反排序】!$C47, 韻母對照表[台羅拼音]), 0)), "")</f>
        <v>ㄨㄢ</v>
      </c>
      <c r="J55" s="131">
        <f xml:space="preserve"> LEN(D55)</f>
        <v>2</v>
      </c>
      <c r="K55" s="75"/>
      <c r="L55" s="59" t="str">
        <f>D55</f>
        <v>ee</v>
      </c>
      <c r="M55" s="59" t="str">
        <f t="shared" si="0"/>
        <v>ɑe</v>
      </c>
      <c r="O55" s="132" t="str">
        <f t="shared" si="1"/>
        <v>ee(\d)</v>
      </c>
      <c r="P55" s="135" t="s">
        <v>1206</v>
      </c>
      <c r="Q55" s="135">
        <f t="shared" si="2"/>
        <v>1</v>
      </c>
      <c r="R55" s="132" t="str">
        <f t="shared" si="4"/>
        <v>》e${1}e</v>
      </c>
      <c r="S55" s="57"/>
      <c r="T55" s="58" t="str">
        <f t="shared" si="3"/>
        <v xml:space="preserve">    - xform/》ee(\d)/》e${1}e/</v>
      </c>
    </row>
    <row r="56" spans="1:20" ht="27.75" thickBot="1">
      <c r="A56" s="59">
        <f xml:space="preserve"> ROW() -2</f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EXACT(台語音標韻母清單【依字長反排序】!$C48,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EXACT(台語音標韻母清單【依字長反排序】!$C48, 韻母對照表[台羅拼音]), 0)), "")</f>
        <v>oat</v>
      </c>
      <c r="H56" s="56" t="str" cm="1">
        <f t="array" ref="H56" xml:space="preserve"> IFERROR( INDEX(韻母對照表[十五音識別碼], MATCH(TRUE, EXACT(台語音標韻母清單【依字長反排序】!$C48, 韻母對照表[台羅拼音]), 0)), "")</f>
        <v>觀促</v>
      </c>
      <c r="I56" s="59" t="str" cm="1">
        <f t="array" ref="I56" xml:space="preserve"> IFERROR( INDEX(韻母對照表[方音符號], MATCH(TRUE, EXACT(台語音標韻母清單【依字長反排序】!$C48, 韻母對照表[台羅拼音]), 0)), "")</f>
        <v>ㄨㄚㆵ</v>
      </c>
      <c r="J56" s="131">
        <f xml:space="preserve"> LEN(D56)</f>
        <v>2</v>
      </c>
      <c r="K56" s="75"/>
      <c r="L56" s="59" t="str">
        <f>D56</f>
        <v>ah</v>
      </c>
      <c r="M56" s="59" t="str">
        <f t="shared" si="0"/>
        <v>ɑh</v>
      </c>
      <c r="O56" s="132" t="str">
        <f t="shared" si="1"/>
        <v>ah(\d)</v>
      </c>
      <c r="P56" s="135" t="s">
        <v>1253</v>
      </c>
      <c r="Q56" s="135">
        <f t="shared" si="2"/>
        <v>1</v>
      </c>
      <c r="R56" s="132" t="str">
        <f t="shared" si="4"/>
        <v>》a${1}h</v>
      </c>
      <c r="S56" s="57"/>
      <c r="T56" s="58" t="str">
        <f t="shared" si="3"/>
        <v xml:space="preserve">    - xform/》ah(\d)/》a${1}h/</v>
      </c>
    </row>
    <row r="57" spans="1:20" ht="27.75" thickBot="1">
      <c r="A57" s="59">
        <f xml:space="preserve"> ROW() -2</f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EXACT(台語音標韻母清單【依字長反排序】!$C49,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EXACT(台語音標韻母清單【依字長反排序】!$C49, 韻母對照表[台羅拼音]), 0)), "")</f>
        <v>oeh</v>
      </c>
      <c r="H57" s="56" t="str" cm="1">
        <f t="array" ref="H57" xml:space="preserve"> IFERROR( INDEX(韻母對照表[十五音識別碼], MATCH(TRUE, EXACT(台語音標韻母清單【依字長反排序】!$C49, 韻母對照表[台羅拼音]), 0)), "")</f>
        <v>檜促</v>
      </c>
      <c r="I57" s="59" t="str" cm="1">
        <f t="array" ref="I57" xml:space="preserve"> IFERROR( INDEX(韻母對照表[方音符號], MATCH(TRUE, EXACT(台語音標韻母清單【依字長反排序】!$C49, 韻母對照表[台羅拼音]), 0)), "")</f>
        <v>ㄨㆤㆷ</v>
      </c>
      <c r="J57" s="131">
        <f xml:space="preserve"> LEN(D57)</f>
        <v>2</v>
      </c>
      <c r="K57" s="75"/>
      <c r="L57" s="59" t="str">
        <f>D57</f>
        <v>ai</v>
      </c>
      <c r="M57" s="59" t="str">
        <f t="shared" si="0"/>
        <v>ai</v>
      </c>
      <c r="O57" s="132" t="str">
        <f t="shared" si="1"/>
        <v>ai(\d)</v>
      </c>
      <c r="P57" s="135" t="s">
        <v>1253</v>
      </c>
      <c r="Q57" s="135">
        <f t="shared" si="2"/>
        <v>1</v>
      </c>
      <c r="R57" s="132" t="str">
        <f t="shared" si="4"/>
        <v>》a${1}i</v>
      </c>
      <c r="S57" s="57"/>
      <c r="T57" s="58" t="str">
        <f t="shared" si="3"/>
        <v xml:space="preserve">    - xform/》ai(\d)/》a${1}i/</v>
      </c>
    </row>
    <row r="58" spans="1:20" ht="27.75" thickBot="1">
      <c r="A58" s="59">
        <f xml:space="preserve"> ROW() -2</f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EXACT(台語音標韻母清單【依字長反排序】!$C50,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EXACT(台語音標韻母清單【依字長反排序】!$C50, 韻母對照表[台羅拼音]), 0)), "")</f>
        <v>aⁿ</v>
      </c>
      <c r="H58" s="56" t="str" cm="1">
        <f t="array" ref="H58" xml:space="preserve"> IFERROR( INDEX(韻母對照表[十五音識別碼], MATCH(TRUE, EXACT(台語音標韻母清單【依字長反排序】!$C50, 韻母對照表[台羅拼音]), 0)), "")</f>
        <v>監舒</v>
      </c>
      <c r="I58" s="59" t="str" cm="1">
        <f t="array" ref="I58" xml:space="preserve"> IFERROR( INDEX(韻母對照表[方音符號], MATCH(TRUE, EXACT(台語音標韻母清單【依字長反排序】!$C50, 韻母對照表[台羅拼音]), 0)), "")</f>
        <v>ㆩ</v>
      </c>
      <c r="J58" s="131">
        <f xml:space="preserve"> LEN(D58)</f>
        <v>2</v>
      </c>
      <c r="K58" s="75"/>
      <c r="L58" s="59" t="str">
        <f>D58</f>
        <v>ak</v>
      </c>
      <c r="M58" s="59" t="str">
        <f t="shared" si="0"/>
        <v>ɑk</v>
      </c>
      <c r="O58" s="132" t="str">
        <f t="shared" si="1"/>
        <v>ak(\d)</v>
      </c>
      <c r="P58" s="135" t="s">
        <v>1253</v>
      </c>
      <c r="Q58" s="135">
        <f t="shared" si="2"/>
        <v>1</v>
      </c>
      <c r="R58" s="132" t="str">
        <f t="shared" si="4"/>
        <v>》a${1}k</v>
      </c>
      <c r="S58" s="57"/>
      <c r="T58" s="58" t="str">
        <f t="shared" si="3"/>
        <v xml:space="preserve">    - xform/》ak(\d)/》a${1}k/</v>
      </c>
    </row>
    <row r="59" spans="1:20" ht="27.75" thickBot="1">
      <c r="A59" s="59">
        <f xml:space="preserve"> ROW() -2</f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EXACT(台語音標韻母清單【依字長反排序】!$C51,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EXACT(台語音標韻母清單【依字長反排序】!$C51, 韻母對照表[台羅拼音]), 0)), "")</f>
        <v>iⁿ</v>
      </c>
      <c r="H59" s="56" t="str" cm="1">
        <f t="array" ref="H59" xml:space="preserve"> IFERROR( INDEX(韻母對照表[十五音識別碼], MATCH(TRUE, EXACT(台語音標韻母清單【依字長反排序】!$C51, 韻母對照表[台羅拼音]), 0)), "")</f>
        <v>梔舒</v>
      </c>
      <c r="I59" s="59" t="str" cm="1">
        <f t="array" ref="I59" xml:space="preserve"> IFERROR( INDEX(韻母對照表[方音符號], MATCH(TRUE, EXACT(台語音標韻母清單【依字長反排序】!$C51, 韻母對照表[台羅拼音]), 0)), "")</f>
        <v>ㆪ</v>
      </c>
      <c r="J59" s="131">
        <f xml:space="preserve"> LEN(D59)</f>
        <v>2</v>
      </c>
      <c r="K59" s="75"/>
      <c r="L59" s="59" t="str">
        <f>D59</f>
        <v>am</v>
      </c>
      <c r="M59" s="59" t="str">
        <f t="shared" si="0"/>
        <v>ɑm</v>
      </c>
      <c r="O59" s="132" t="str">
        <f t="shared" si="1"/>
        <v>am(\d)</v>
      </c>
      <c r="P59" s="135" t="s">
        <v>1253</v>
      </c>
      <c r="Q59" s="135">
        <f t="shared" si="2"/>
        <v>1</v>
      </c>
      <c r="R59" s="132" t="str">
        <f t="shared" si="4"/>
        <v>》a${1}m</v>
      </c>
      <c r="S59" s="57"/>
      <c r="T59" s="58" t="str">
        <f t="shared" si="3"/>
        <v xml:space="preserve">    - xform/》am(\d)/》a${1}m/</v>
      </c>
    </row>
    <row r="60" spans="1:20" ht="27.75" thickBot="1">
      <c r="A60" s="59">
        <f xml:space="preserve"> ROW() -2</f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EXACT(台語音標韻母清單【依字長反排序】!$C52,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EXACT(台語音標韻母清單【依字長反排序】!$C52, 韻母對照表[台羅拼音]), 0)), "")</f>
        <v/>
      </c>
      <c r="H60" s="56" t="str" cm="1">
        <f t="array" ref="H60" xml:space="preserve"> IFERROR( INDEX(韻母對照表[十五音識別碼], MATCH(TRUE, EXACT(台語音標韻母清單【依字長反排序】!$C52, 韻母對照表[台羅拼音]), 0)), "")</f>
        <v/>
      </c>
      <c r="I60" s="59" t="str" cm="1">
        <f t="array" ref="I60" xml:space="preserve"> IFERROR( INDEX(韻母對照表[方音符號], MATCH(TRUE, EXACT(台語音標韻母清單【依字長反排序】!$C52, 韻母對照表[台羅拼音]), 0)), "")</f>
        <v/>
      </c>
      <c r="J60" s="131">
        <f xml:space="preserve"> LEN(D60)</f>
        <v>2</v>
      </c>
      <c r="K60" s="75"/>
      <c r="L60" s="59" t="str">
        <f>D60</f>
        <v>an</v>
      </c>
      <c r="M60" s="59" t="str">
        <f t="shared" si="0"/>
        <v>ɑn</v>
      </c>
      <c r="O60" s="132" t="str">
        <f t="shared" si="1"/>
        <v>an(\d)</v>
      </c>
      <c r="P60" s="135" t="s">
        <v>1253</v>
      </c>
      <c r="Q60" s="135">
        <f t="shared" si="2"/>
        <v>1</v>
      </c>
      <c r="R60" s="132" t="str">
        <f t="shared" si="4"/>
        <v>》a${1}n</v>
      </c>
      <c r="S60" s="57"/>
      <c r="T60" s="58" t="str">
        <f t="shared" si="3"/>
        <v xml:space="preserve">    - xform/》an(\d)/》a${1}n/</v>
      </c>
    </row>
    <row r="61" spans="1:20" ht="27.75" thickBot="1">
      <c r="A61" s="59">
        <f xml:space="preserve"> ROW() -2</f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EXACT(台語音標韻母清單【依字長反排序】!$C53,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EXACT(台語音標韻母清單【依字長反排序】!$C53, 韻母對照表[台羅拼音]), 0)), "")</f>
        <v/>
      </c>
      <c r="H61" s="56" t="str" cm="1">
        <f t="array" ref="H61" xml:space="preserve"> IFERROR( INDEX(韻母對照表[十五音識別碼], MATCH(TRUE, EXACT(台語音標韻母清單【依字長反排序】!$C53, 韻母對照表[台羅拼音]), 0)), "")</f>
        <v/>
      </c>
      <c r="I61" s="59" t="str" cm="1">
        <f t="array" ref="I61" xml:space="preserve"> IFERROR( INDEX(韻母對照表[方音符號], MATCH(TRUE, EXACT(台語音標韻母清單【依字長反排序】!$C53, 韻母對照表[台羅拼音]), 0)), "")</f>
        <v/>
      </c>
      <c r="J61" s="131">
        <f xml:space="preserve"> LEN(D61)</f>
        <v>2</v>
      </c>
      <c r="K61" s="75"/>
      <c r="L61" s="59" t="str">
        <f>D61</f>
        <v>au</v>
      </c>
      <c r="M61" s="59" t="str">
        <f t="shared" si="0"/>
        <v>ao</v>
      </c>
      <c r="O61" s="132" t="str">
        <f t="shared" si="1"/>
        <v>au(\d)</v>
      </c>
      <c r="P61" s="135" t="s">
        <v>1253</v>
      </c>
      <c r="Q61" s="135">
        <f t="shared" si="2"/>
        <v>1</v>
      </c>
      <c r="R61" s="132" t="str">
        <f t="shared" si="4"/>
        <v>》a${1}u</v>
      </c>
      <c r="S61" s="57"/>
      <c r="T61" s="58" t="str">
        <f t="shared" si="3"/>
        <v xml:space="preserve">    - xform/》au(\d)/》a${1}u/</v>
      </c>
    </row>
    <row r="62" spans="1:20" ht="27.75" thickBot="1">
      <c r="A62" s="59">
        <f xml:space="preserve"> ROW() -2</f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EXACT(台語音標韻母清單【依字長反排序】!$C54,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EXACT(台語音標韻母清單【依字長反排序】!$C54, 韻母對照表[台羅拼音]), 0)), "")</f>
        <v/>
      </c>
      <c r="H62" s="56" t="str" cm="1">
        <f t="array" ref="H62" xml:space="preserve"> IFERROR( INDEX(韻母對照表[十五音識別碼], MATCH(TRUE, EXACT(台語音標韻母清單【依字長反排序】!$C54, 韻母對照表[台羅拼音]), 0)), "")</f>
        <v/>
      </c>
      <c r="I62" s="59" t="str" cm="1">
        <f t="array" ref="I62" xml:space="preserve"> IFERROR( INDEX(韻母對照表[方音符號], MATCH(TRUE, EXACT(台語音標韻母清單【依字長反排序】!$C54, 韻母對照表[台羅拼音]), 0)), "")</f>
        <v/>
      </c>
      <c r="J62" s="131">
        <f xml:space="preserve"> LEN(D62)</f>
        <v>2</v>
      </c>
      <c r="K62" s="75"/>
      <c r="L62" s="59" t="str">
        <f>D62</f>
        <v>ap</v>
      </c>
      <c r="M62" s="59" t="str">
        <f t="shared" si="0"/>
        <v>ɑp</v>
      </c>
      <c r="O62" s="132" t="str">
        <f t="shared" si="1"/>
        <v>ap(\d)</v>
      </c>
      <c r="P62" s="135" t="s">
        <v>1253</v>
      </c>
      <c r="Q62" s="135">
        <f t="shared" si="2"/>
        <v>1</v>
      </c>
      <c r="R62" s="132" t="str">
        <f t="shared" si="4"/>
        <v>》a${1}p</v>
      </c>
      <c r="S62" s="57"/>
      <c r="T62" s="58" t="str">
        <f t="shared" si="3"/>
        <v xml:space="preserve">    - xform/》ap(\d)/》a${1}p/</v>
      </c>
    </row>
    <row r="63" spans="1:20" ht="27.75" thickBot="1">
      <c r="A63" s="59">
        <f xml:space="preserve"> ROW() -2</f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EXACT(台語音標韻母清單【依字長反排序】!$C55,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EXACT(台語音標韻母清單【依字長反排序】!$C55, 韻母對照表[台羅拼音]), 0)), "")</f>
        <v>0</v>
      </c>
      <c r="H63" s="56" t="str" cm="1">
        <f t="array" ref="H63" xml:space="preserve"> IFERROR( INDEX(韻母對照表[十五音識別碼], MATCH(TRUE, EXACT(台語音標韻母清單【依字長反排序】!$C55, 韻母對照表[台羅拼音]), 0)), "")</f>
        <v>嘉舒</v>
      </c>
      <c r="I63" s="59" t="str" cm="1">
        <f t="array" ref="I63" xml:space="preserve"> IFERROR( INDEX(韻母對照表[方音符號], MATCH(TRUE, EXACT(台語音標韻母清單【依字長反排序】!$C55, 韻母對照表[台羅拼音]), 0)), "")</f>
        <v>ㄝ</v>
      </c>
      <c r="J63" s="131">
        <f xml:space="preserve"> LEN(D63)</f>
        <v>2</v>
      </c>
      <c r="K63" s="75"/>
      <c r="L63" s="59" t="str">
        <f>D63</f>
        <v>at</v>
      </c>
      <c r="M63" s="59" t="str">
        <f t="shared" si="0"/>
        <v>ɑt</v>
      </c>
      <c r="O63" s="132" t="str">
        <f t="shared" si="1"/>
        <v>at(\d)</v>
      </c>
      <c r="P63" s="135" t="s">
        <v>1253</v>
      </c>
      <c r="Q63" s="135">
        <f t="shared" si="2"/>
        <v>1</v>
      </c>
      <c r="R63" s="132" t="str">
        <f t="shared" si="4"/>
        <v>》a${1}t</v>
      </c>
      <c r="S63" s="57"/>
      <c r="T63" s="58" t="str">
        <f t="shared" si="3"/>
        <v xml:space="preserve">    - xform/》at(\d)/》a${1}t/</v>
      </c>
    </row>
    <row r="64" spans="1:20" ht="27.75" thickBot="1">
      <c r="A64" s="59">
        <f xml:space="preserve"> ROW() -2</f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EXACT(台語音標韻母清單【依字長反排序】!$C56,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EXACT(台語音標韻母清單【依字長反排序】!$C56, 韻母對照表[台羅拼音]), 0)), "")</f>
        <v>ah</v>
      </c>
      <c r="H64" s="56" t="str" cm="1">
        <f t="array" ref="H64" xml:space="preserve"> IFERROR( INDEX(韻母對照表[十五音識別碼], MATCH(TRUE, EXACT(台語音標韻母清單【依字長反排序】!$C56, 韻母對照表[台羅拼音]), 0)), "")</f>
        <v>膠促</v>
      </c>
      <c r="I64" s="59" t="str" cm="1">
        <f t="array" ref="I64" xml:space="preserve"> IFERROR( INDEX(韻母對照表[方音符號], MATCH(TRUE, EXACT(台語音標韻母清單【依字長反排序】!$C56, 韻母對照表[台羅拼音]), 0)), "")</f>
        <v>ㄚㆷ</v>
      </c>
      <c r="J64" s="131">
        <f xml:space="preserve"> LEN(D64)</f>
        <v>2</v>
      </c>
      <c r="K64" s="75"/>
      <c r="L64" s="59" t="str">
        <f>D64</f>
        <v>eh</v>
      </c>
      <c r="M64" s="59" t="str">
        <f t="shared" si="0"/>
        <v>eh</v>
      </c>
      <c r="O64" s="132" t="str">
        <f t="shared" si="1"/>
        <v>eh(\d)</v>
      </c>
      <c r="P64" s="135" t="s">
        <v>1206</v>
      </c>
      <c r="Q64" s="135">
        <f t="shared" si="2"/>
        <v>1</v>
      </c>
      <c r="R64" s="132" t="str">
        <f t="shared" si="4"/>
        <v>》e${1}h</v>
      </c>
      <c r="S64" s="57"/>
      <c r="T64" s="58" t="str">
        <f t="shared" si="3"/>
        <v xml:space="preserve">    - xform/》eh(\d)/》e${1}h/</v>
      </c>
    </row>
    <row r="65" spans="1:20" ht="27.75" thickBot="1">
      <c r="A65" s="59">
        <f xml:space="preserve"> ROW() -2</f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EXACT(台語音標韻母清單【依字長反排序】!$C57,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EXACT(台語音標韻母清單【依字長反排序】!$C57, 韻母對照表[台羅拼音]), 0)), "")</f>
        <v>ai</v>
      </c>
      <c r="H65" s="56" t="str" cm="1">
        <f t="array" ref="H65" xml:space="preserve"> IFERROR( INDEX(韻母對照表[十五音識別碼], MATCH(TRUE, EXACT(台語音標韻母清單【依字長反排序】!$C57, 韻母對照表[台羅拼音]), 0)), "")</f>
        <v>皆舒</v>
      </c>
      <c r="I65" s="59" t="str" cm="1">
        <f t="array" ref="I65" xml:space="preserve"> IFERROR( INDEX(韻母對照表[方音符號], MATCH(TRUE, EXACT(台語音標韻母清單【依字長反排序】!$C57, 韻母對照表[台羅拼音]), 0)), "")</f>
        <v>ㄞ</v>
      </c>
      <c r="J65" s="131">
        <f xml:space="preserve"> LEN(D65)</f>
        <v>2</v>
      </c>
      <c r="K65" s="75"/>
      <c r="L65" s="59" t="str">
        <f>D65</f>
        <v>ir</v>
      </c>
      <c r="M65" s="59" t="str">
        <f t="shared" si="0"/>
        <v>eu</v>
      </c>
      <c r="O65" s="132" t="str">
        <f t="shared" si="1"/>
        <v>ir(\d)</v>
      </c>
      <c r="P65" s="135" t="s">
        <v>1254</v>
      </c>
      <c r="Q65" s="135">
        <f t="shared" si="2"/>
        <v>1</v>
      </c>
      <c r="R65" s="132" t="str">
        <f t="shared" si="4"/>
        <v>》i${1}r</v>
      </c>
      <c r="S65" s="57"/>
      <c r="T65" s="58" t="str">
        <f t="shared" si="3"/>
        <v xml:space="preserve">    - xform/》ir(\d)/》i${1}r/</v>
      </c>
    </row>
    <row r="66" spans="1:20" ht="27.75" thickBot="1">
      <c r="A66" s="59">
        <f xml:space="preserve"> ROW() -2</f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EXACT(台語音標韻母清單【依字長反排序】!$C58,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EXACT(台語音標韻母清單【依字長反排序】!$C58, 韻母對照表[台羅拼音]), 0)), "")</f>
        <v>ak</v>
      </c>
      <c r="H66" s="56" t="str" cm="1">
        <f t="array" ref="H66" xml:space="preserve"> IFERROR( INDEX(韻母對照表[十五音識別碼], MATCH(TRUE, EXACT(台語音標韻母清單【依字長反排序】!$C58, 韻母對照表[台羅拼音]), 0)), "")</f>
        <v>江促</v>
      </c>
      <c r="I66" s="59" t="str" cm="1">
        <f t="array" ref="I66" xml:space="preserve"> IFERROR( INDEX(韻母對照表[方音符號], MATCH(TRUE, EXACT(台語音標韻母清單【依字長反排序】!$C58, 韻母對照表[台羅拼音]), 0)), "")</f>
        <v>ㄚㆻ</v>
      </c>
      <c r="J66" s="131">
        <f xml:space="preserve"> LEN(D66)</f>
        <v>2</v>
      </c>
      <c r="K66" s="75"/>
      <c r="L66" s="59" t="str">
        <f>D66</f>
        <v>ia</v>
      </c>
      <c r="M66" s="59" t="str">
        <f t="shared" si="0"/>
        <v>iɑ</v>
      </c>
      <c r="O66" s="132" t="str">
        <f t="shared" si="1"/>
        <v>ia(\d)</v>
      </c>
      <c r="P66" s="135" t="s">
        <v>1253</v>
      </c>
      <c r="Q66" s="135">
        <f t="shared" si="2"/>
        <v>2</v>
      </c>
      <c r="R66" s="132" t="str">
        <f t="shared" si="4"/>
        <v>i》a${1}</v>
      </c>
      <c r="S66" s="57"/>
      <c r="T66" s="58" t="str">
        <f t="shared" si="3"/>
        <v xml:space="preserve">    - xform/》ia(\d)/i》a${1}/</v>
      </c>
    </row>
    <row r="67" spans="1:20" ht="27.75" thickBot="1">
      <c r="A67" s="59">
        <f xml:space="preserve"> ROW() -2</f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EXACT(台語音標韻母清單【依字長反排序】!$C59,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EXACT(台語音標韻母清單【依字長反排序】!$C59, 韻母對照表[台羅拼音]), 0)), "")</f>
        <v>am</v>
      </c>
      <c r="H67" s="56" t="str" cm="1">
        <f t="array" ref="H67" xml:space="preserve"> IFERROR( INDEX(韻母對照表[十五音識別碼], MATCH(TRUE, EXACT(台語音標韻母清單【依字長反排序】!$C59, 韻母對照表[台羅拼音]), 0)), "")</f>
        <v>甘舒</v>
      </c>
      <c r="I67" s="59" t="str" cm="1">
        <f t="array" ref="I67" xml:space="preserve"> IFERROR( INDEX(韻母對照表[方音符號], MATCH(TRUE, EXACT(台語音標韻母清單【依字長反排序】!$C59, 韻母對照表[台羅拼音]), 0)), "")</f>
        <v>ㆰ</v>
      </c>
      <c r="J67" s="131">
        <f xml:space="preserve"> LEN(D67)</f>
        <v>2</v>
      </c>
      <c r="K67" s="75"/>
      <c r="L67" s="59" t="str">
        <f>D67</f>
        <v>er</v>
      </c>
      <c r="M67" s="59" t="str">
        <f t="shared" si="0"/>
        <v>ie</v>
      </c>
      <c r="O67" s="132" t="str">
        <f t="shared" si="1"/>
        <v>er(\d)</v>
      </c>
      <c r="P67" s="135" t="s">
        <v>1206</v>
      </c>
      <c r="Q67" s="135">
        <f t="shared" si="2"/>
        <v>1</v>
      </c>
      <c r="R67" s="132" t="str">
        <f t="shared" si="4"/>
        <v>》e${1}r</v>
      </c>
      <c r="S67" s="57"/>
      <c r="T67" s="58" t="str">
        <f t="shared" si="3"/>
        <v xml:space="preserve">    - xform/》er(\d)/》e${1}r/</v>
      </c>
    </row>
    <row r="68" spans="1:20" ht="27.75" thickBot="1">
      <c r="A68" s="59">
        <f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EXACT(台語音標韻母清單【依字長反排序】!$C60,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EXACT(台語音標韻母清單【依字長反排序】!$C60, 韻母對照表[台羅拼音]), 0)), "")</f>
        <v>an</v>
      </c>
      <c r="H68" s="56" t="str" cm="1">
        <f t="array" ref="H68" xml:space="preserve"> IFERROR( INDEX(韻母對照表[十五音識別碼], MATCH(TRUE, EXACT(台語音標韻母清單【依字長反排序】!$C60, 韻母對照表[台羅拼音]), 0)), "")</f>
        <v>干舒</v>
      </c>
      <c r="I68" s="59" t="str" cm="1">
        <f t="array" ref="I68" xml:space="preserve"> IFERROR( INDEX(韻母對照表[方音符號], MATCH(TRUE, EXACT(台語音標韻母清單【依字長反排序】!$C60, 韻母對照表[台羅拼音]), 0)), "")</f>
        <v>ㄢ</v>
      </c>
      <c r="J68" s="131">
        <f xml:space="preserve"> LEN(D68)</f>
        <v>2</v>
      </c>
      <c r="K68" s="75"/>
      <c r="L68" s="59" t="str">
        <f>D68</f>
        <v>ih</v>
      </c>
      <c r="M68" s="59" t="str">
        <f t="shared" si="0"/>
        <v>ih</v>
      </c>
      <c r="O68" s="132" t="str">
        <f t="shared" si="1"/>
        <v>ih(\d)</v>
      </c>
      <c r="P68" s="135" t="s">
        <v>1254</v>
      </c>
      <c r="Q68" s="135">
        <f t="shared" si="2"/>
        <v>1</v>
      </c>
      <c r="R68" s="132" t="str">
        <f t="shared" si="4"/>
        <v>》i${1}h</v>
      </c>
      <c r="S68" s="57"/>
      <c r="T68" s="58" t="str">
        <f t="shared" si="3"/>
        <v xml:space="preserve">    - xform/》ih(\d)/》i${1}h/</v>
      </c>
    </row>
    <row r="69" spans="1:20" ht="27.75" thickBot="1">
      <c r="A69" s="59">
        <f xml:space="preserve"> ROW() -2</f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EXACT(台語音標韻母清單【依字長反排序】!$C61,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EXACT(台語音標韻母清單【依字長反排序】!$C61, 韻母對照表[台羅拼音]), 0)), "")</f>
        <v>au</v>
      </c>
      <c r="H69" s="56" t="str" cm="1">
        <f t="array" ref="H69" xml:space="preserve"> IFERROR( INDEX(韻母對照表[十五音識別碼], MATCH(TRUE, EXACT(台語音標韻母清單【依字長反排序】!$C61, 韻母對照表[台羅拼音]), 0)), "")</f>
        <v>交舒</v>
      </c>
      <c r="I69" s="59" t="str" cm="1">
        <f t="array" ref="I69" xml:space="preserve"> IFERROR( INDEX(韻母對照表[方音符號], MATCH(TRUE, EXACT(台語音標韻母清單【依字長反排序】!$C61, 韻母對照表[台羅拼音]), 0)), "")</f>
        <v>ㄠ</v>
      </c>
      <c r="J69" s="131">
        <f xml:space="preserve"> LEN(D69)</f>
        <v>2</v>
      </c>
      <c r="K69" s="75"/>
      <c r="L69" s="59" t="str">
        <f>D69</f>
        <v>ik</v>
      </c>
      <c r="M69" s="59" t="str">
        <f t="shared" ref="M69:M99" si="5">F69</f>
        <v>ik</v>
      </c>
      <c r="O69" s="132" t="str">
        <f t="shared" ref="O69:O99" si="6" xml:space="preserve"> _xlfn.CONCAT(L69, "(\d)")</f>
        <v>ik(\d)</v>
      </c>
      <c r="P69" s="135" t="s">
        <v>1254</v>
      </c>
      <c r="Q69" s="135">
        <f t="shared" ref="Q69:Q99" si="7" xml:space="preserve"> IFERROR( IF(P69="", "", SEARCH(P69, $L69)), "")</f>
        <v>1</v>
      </c>
      <c r="R69" s="132" t="str">
        <f t="shared" si="4"/>
        <v>》i${1}k</v>
      </c>
      <c r="S69" s="57"/>
      <c r="T69" s="58" t="str">
        <f t="shared" ref="T69:T99" si="8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9">
        <f xml:space="preserve"> ROW() -2</f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EXACT(台語音標韻母清單【依字長反排序】!$C62,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EXACT(台語音標韻母清單【依字長反排序】!$C62, 韻母對照表[台羅拼音]), 0)), "")</f>
        <v>ap</v>
      </c>
      <c r="H70" s="56" t="str" cm="1">
        <f t="array" ref="H70" xml:space="preserve"> IFERROR( INDEX(韻母對照表[十五音識別碼], MATCH(TRUE, EXACT(台語音標韻母清單【依字長反排序】!$C62, 韻母對照表[台羅拼音]), 0)), "")</f>
        <v>甘促</v>
      </c>
      <c r="I70" s="59" t="str" cm="1">
        <f t="array" ref="I70" xml:space="preserve"> IFERROR( INDEX(韻母對照表[方音符號], MATCH(TRUE, EXACT(台語音標韻母清單【依字長反排序】!$C62, 韻母對照表[台羅拼音]), 0)), "")</f>
        <v>ㄚㆴ</v>
      </c>
      <c r="J70" s="131">
        <f xml:space="preserve"> LEN(D70)</f>
        <v>2</v>
      </c>
      <c r="K70" s="75"/>
      <c r="L70" s="59" t="str">
        <f>D70</f>
        <v>im</v>
      </c>
      <c r="M70" s="59" t="str">
        <f t="shared" si="5"/>
        <v>im</v>
      </c>
      <c r="O70" s="132" t="str">
        <f t="shared" si="6"/>
        <v>im(\d)</v>
      </c>
      <c r="P70" s="135" t="s">
        <v>1254</v>
      </c>
      <c r="Q70" s="135">
        <f t="shared" si="7"/>
        <v>1</v>
      </c>
      <c r="R70" s="132" t="str">
        <f t="shared" ref="R70:R99" si="9" xml:space="preserve"> IFERROR( _xlfn.CONCAT(LEFT(L70,Q70-1), "》", MID(L70,Q70,1), "${1}", RIGHT(L70, LEN(L70)-Q70)), "" )</f>
        <v>》i${1}m</v>
      </c>
      <c r="S70" s="57"/>
      <c r="T70" s="58" t="str">
        <f t="shared" si="8"/>
        <v xml:space="preserve">    - xform/》im(\d)/》i${1}m/</v>
      </c>
    </row>
    <row r="71" spans="1:20" ht="27.75" thickBot="1">
      <c r="A71" s="59">
        <f xml:space="preserve"> ROW() -2</f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EXACT(台語音標韻母清單【依字長反排序】!$C63,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EXACT(台語音標韻母清單【依字長反排序】!$C63, 韻母對照表[台羅拼音]), 0)), "")</f>
        <v>at</v>
      </c>
      <c r="H71" s="56" t="str" cm="1">
        <f t="array" ref="H71" xml:space="preserve"> IFERROR( INDEX(韻母對照表[十五音識別碼], MATCH(TRUE, EXACT(台語音標韻母清單【依字長反排序】!$C63, 韻母對照表[台羅拼音]), 0)), "")</f>
        <v>干促</v>
      </c>
      <c r="I71" s="59" t="str" cm="1">
        <f t="array" ref="I71" xml:space="preserve"> IFERROR( INDEX(韻母對照表[方音符號], MATCH(TRUE, EXACT(台語音標韻母清單【依字長反排序】!$C63, 韻母對照表[台羅拼音]), 0)), "")</f>
        <v>ㄚㆵ</v>
      </c>
      <c r="J71" s="131">
        <f xml:space="preserve"> LEN(D71)</f>
        <v>2</v>
      </c>
      <c r="K71" s="75"/>
      <c r="L71" s="59" t="str">
        <f>D71</f>
        <v>in</v>
      </c>
      <c r="M71" s="59" t="str">
        <f t="shared" si="5"/>
        <v>in</v>
      </c>
      <c r="O71" s="132" t="str">
        <f t="shared" si="6"/>
        <v>in(\d)</v>
      </c>
      <c r="P71" s="135" t="s">
        <v>1254</v>
      </c>
      <c r="Q71" s="135">
        <f t="shared" si="7"/>
        <v>1</v>
      </c>
      <c r="R71" s="132" t="str">
        <f t="shared" si="9"/>
        <v>》i${1}n</v>
      </c>
      <c r="S71" s="57"/>
      <c r="T71" s="58" t="str">
        <f t="shared" si="8"/>
        <v xml:space="preserve">    - xform/》in(\d)/》i${1}n/</v>
      </c>
    </row>
    <row r="72" spans="1:20" ht="27.75" thickBot="1">
      <c r="A72" s="59">
        <f xml:space="preserve"> ROW() -2</f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EXACT(台語音標韻母清單【依字長反排序】!$C64,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EXACT(台語音標韻母清單【依字長反排序】!$C64, 韻母對照表[台羅拼音]), 0)), "")</f>
        <v>eh</v>
      </c>
      <c r="H72" s="56" t="str" cm="1">
        <f t="array" ref="H72" xml:space="preserve"> IFERROR( INDEX(韻母對照表[十五音識別碼], MATCH(TRUE, EXACT(台語音標韻母清單【依字長反排序】!$C64, 韻母對照表[台羅拼音]), 0)), "")</f>
        <v>伽促</v>
      </c>
      <c r="I72" s="59" t="str" cm="1">
        <f t="array" ref="I72" xml:space="preserve"> IFERROR( INDEX(韻母對照表[方音符號], MATCH(TRUE, EXACT(台語音標韻母清單【依字長反排序】!$C64, 韻母對照表[台羅拼音]), 0)), "")</f>
        <v>ㆤㆷ</v>
      </c>
      <c r="J72" s="131">
        <f xml:space="preserve"> LEN(D72)</f>
        <v>2</v>
      </c>
      <c r="K72" s="75"/>
      <c r="L72" s="59" t="str">
        <f>D72</f>
        <v>io</v>
      </c>
      <c r="M72" s="59" t="str">
        <f t="shared" si="5"/>
        <v>io</v>
      </c>
      <c r="O72" s="132" t="str">
        <f t="shared" si="6"/>
        <v>io(\d)</v>
      </c>
      <c r="P72" s="135" t="s">
        <v>1254</v>
      </c>
      <c r="Q72" s="135">
        <f t="shared" si="7"/>
        <v>1</v>
      </c>
      <c r="R72" s="132" t="str">
        <f t="shared" si="9"/>
        <v>》i${1}o</v>
      </c>
      <c r="S72" s="57"/>
      <c r="T72" s="58" t="str">
        <f t="shared" si="8"/>
        <v xml:space="preserve">    - xform/》io(\d)/》i${1}o/</v>
      </c>
    </row>
    <row r="73" spans="1:20" ht="27.75" thickBot="1">
      <c r="A73" s="59">
        <f xml:space="preserve"> ROW() -2</f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EXACT(台語音標韻母清單【依字長反排序】!$C65,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EXACT(台語音標韻母清單【依字長反排序】!$C65, 韻母對照表[台羅拼音]), 0)), "")</f>
        <v/>
      </c>
      <c r="H73" s="56" t="str" cm="1">
        <f t="array" ref="H73" xml:space="preserve"> IFERROR( INDEX(韻母對照表[十五音識別碼], MATCH(TRUE, EXACT(台語音標韻母清單【依字長反排序】!$C65, 韻母對照表[台羅拼音]), 0)), "")</f>
        <v/>
      </c>
      <c r="I73" s="59" t="str" cm="1">
        <f t="array" ref="I73" xml:space="preserve"> IFERROR( INDEX(韻母對照表[方音符號], MATCH(TRUE, EXACT(台語音標韻母清單【依字長反排序】!$C65, 韻母對照表[台羅拼音]), 0)), "")</f>
        <v/>
      </c>
      <c r="J73" s="131">
        <f xml:space="preserve"> LEN(D73)</f>
        <v>2</v>
      </c>
      <c r="K73" s="75"/>
      <c r="L73" s="59" t="str">
        <f>D73</f>
        <v>ip</v>
      </c>
      <c r="M73" s="59" t="str">
        <f t="shared" si="5"/>
        <v>ip</v>
      </c>
      <c r="O73" s="132" t="str">
        <f t="shared" si="6"/>
        <v>ip(\d)</v>
      </c>
      <c r="P73" s="135" t="s">
        <v>1254</v>
      </c>
      <c r="Q73" s="135">
        <f t="shared" si="7"/>
        <v>1</v>
      </c>
      <c r="R73" s="132" t="str">
        <f t="shared" si="9"/>
        <v>》i${1}p</v>
      </c>
      <c r="S73" s="57"/>
      <c r="T73" s="58" t="str">
        <f t="shared" si="8"/>
        <v xml:space="preserve">    - xform/》ip(\d)/》i${1}p/</v>
      </c>
    </row>
    <row r="74" spans="1:20" ht="27.75" thickBot="1">
      <c r="A74" s="59">
        <f xml:space="preserve"> ROW() -2</f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EXACT(台語音標韻母清單【依字長反排序】!$C66,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EXACT(台語音標韻母清單【依字長反排序】!$C66, 韻母對照表[台羅拼音]), 0)), "")</f>
        <v>ia</v>
      </c>
      <c r="H74" s="56" t="str" cm="1">
        <f t="array" ref="H74" xml:space="preserve"> IFERROR( INDEX(韻母對照表[十五音識別碼], MATCH(TRUE, EXACT(台語音標韻母清單【依字長反排序】!$C66, 韻母對照表[台羅拼音]), 0)), "")</f>
        <v>迦舒</v>
      </c>
      <c r="I74" s="59" t="str" cm="1">
        <f t="array" ref="I74" xml:space="preserve"> IFERROR( INDEX(韻母對照表[方音符號], MATCH(TRUE, EXACT(台語音標韻母清單【依字長反排序】!$C66, 韻母對照表[台羅拼音]), 0)), "")</f>
        <v>ㄧㄚ</v>
      </c>
      <c r="J74" s="131">
        <f xml:space="preserve"> LEN(D74)</f>
        <v>2</v>
      </c>
      <c r="K74" s="75"/>
      <c r="L74" s="59" t="str">
        <f>D74</f>
        <v>it</v>
      </c>
      <c r="M74" s="59" t="str">
        <f t="shared" si="5"/>
        <v>it</v>
      </c>
      <c r="O74" s="132" t="str">
        <f t="shared" si="6"/>
        <v>it(\d)</v>
      </c>
      <c r="P74" s="135" t="s">
        <v>1254</v>
      </c>
      <c r="Q74" s="135">
        <f t="shared" si="7"/>
        <v>1</v>
      </c>
      <c r="R74" s="132" t="str">
        <f t="shared" si="9"/>
        <v>》i${1}t</v>
      </c>
      <c r="S74" s="57"/>
      <c r="T74" s="58" t="str">
        <f t="shared" si="8"/>
        <v xml:space="preserve">    - xform/》it(\d)/》i${1}t/</v>
      </c>
    </row>
    <row r="75" spans="1:20" ht="27.75" thickBot="1">
      <c r="A75" s="59">
        <f xml:space="preserve"> ROW() -2</f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EXACT(台語音標韻母清單【依字長反排序】!$C67,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EXACT(台語音標韻母清單【依字長反排序】!$C67, 韻母對照表[台羅拼音]), 0)), "")</f>
        <v/>
      </c>
      <c r="H75" s="56" t="str" cm="1">
        <f t="array" ref="H75" xml:space="preserve"> IFERROR( INDEX(韻母對照表[十五音識別碼], MATCH(TRUE, EXACT(台語音標韻母清單【依字長反排序】!$C67, 韻母對照表[台羅拼音]), 0)), "")</f>
        <v/>
      </c>
      <c r="I75" s="59" t="str" cm="1">
        <f t="array" ref="I75" xml:space="preserve"> IFERROR( INDEX(韻母對照表[方音符號], MATCH(TRUE, EXACT(台語音標韻母清單【依字長反排序】!$C67, 韻母對照表[台羅拼音]), 0)), "")</f>
        <v/>
      </c>
      <c r="J75" s="131">
        <f xml:space="preserve"> LEN(D75)</f>
        <v>2</v>
      </c>
      <c r="K75" s="75"/>
      <c r="L75" s="59" t="str">
        <f>D75</f>
        <v>iu</v>
      </c>
      <c r="M75" s="59" t="str">
        <f t="shared" si="5"/>
        <v>iu</v>
      </c>
      <c r="O75" s="132" t="str">
        <f t="shared" si="6"/>
        <v>iu(\d)</v>
      </c>
      <c r="P75" s="135" t="s">
        <v>1254</v>
      </c>
      <c r="Q75" s="135">
        <f t="shared" si="7"/>
        <v>1</v>
      </c>
      <c r="R75" s="132" t="str">
        <f t="shared" si="9"/>
        <v>》i${1}u</v>
      </c>
      <c r="S75" s="57"/>
      <c r="T75" s="58" t="str">
        <f t="shared" si="8"/>
        <v xml:space="preserve">    - xform/》iu(\d)/》i${1}u/</v>
      </c>
    </row>
    <row r="76" spans="1:20" ht="27.75" thickBot="1">
      <c r="A76" s="59">
        <f xml:space="preserve"> ROW() -2</f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EXACT(台語音標韻母清單【依字長反排序】!$C68,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EXACT(台語音標韻母清單【依字長反排序】!$C68, 韻母對照表[台羅拼音]), 0)), "")</f>
        <v>ih</v>
      </c>
      <c r="H76" s="56" t="str" cm="1">
        <f t="array" ref="H76" xml:space="preserve"> IFERROR( INDEX(韻母對照表[十五音識別碼], MATCH(TRUE, EXACT(台語音標韻母清單【依字長反排序】!$C68, 韻母對照表[台羅拼音]), 0)), "")</f>
        <v>居促</v>
      </c>
      <c r="I76" s="59" t="str" cm="1">
        <f t="array" ref="I76" xml:space="preserve"> IFERROR( INDEX(韻母對照表[方音符號], MATCH(TRUE, EXACT(台語音標韻母清單【依字長反排序】!$C68, 韻母對照表[台羅拼音]), 0)), "")</f>
        <v>ㄧㆷ</v>
      </c>
      <c r="J76" s="131">
        <f xml:space="preserve"> LEN(D76)</f>
        <v>2</v>
      </c>
      <c r="K76" s="75"/>
      <c r="L76" s="59" t="str">
        <f>D76</f>
        <v>mh</v>
      </c>
      <c r="M76" s="59" t="str">
        <f t="shared" si="5"/>
        <v>mh</v>
      </c>
      <c r="O76" s="132" t="str">
        <f t="shared" si="6"/>
        <v>mh(\d)</v>
      </c>
      <c r="P76" s="135" t="s">
        <v>1359</v>
      </c>
      <c r="Q76" s="135">
        <f t="shared" si="7"/>
        <v>1</v>
      </c>
      <c r="R76" s="132" t="str">
        <f t="shared" si="9"/>
        <v>》m${1}h</v>
      </c>
      <c r="S76" s="57"/>
      <c r="T76" s="58" t="str">
        <f t="shared" si="8"/>
        <v xml:space="preserve">    - xform/》mh(\d)/》m${1}h/</v>
      </c>
    </row>
    <row r="77" spans="1:20" ht="27.75" thickBot="1">
      <c r="A77" s="59">
        <f xml:space="preserve"> ROW() -2</f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EXACT(台語音標韻母清單【依字長反排序】!$C70,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EXACT(台語音標韻母清單【依字長反排序】!$C70, 韻母對照表[台羅拼音]), 0)), "")</f>
        <v>im</v>
      </c>
      <c r="H77" s="56" t="str" cm="1">
        <f t="array" ref="H77" xml:space="preserve"> IFERROR( INDEX(韻母對照表[十五音識別碼], MATCH(TRUE, EXACT(台語音標韻母清單【依字長反排序】!$C70, 韻母對照表[台羅拼音]), 0)), "")</f>
        <v>金舒</v>
      </c>
      <c r="I77" s="59" t="str" cm="1">
        <f t="array" ref="I77" xml:space="preserve"> IFERROR( INDEX(韻母對照表[方音符號], MATCH(TRUE, EXACT(台語音標韻母清單【依字長反排序】!$C70, 韻母對照表[台羅拼音]), 0)), "")</f>
        <v>ㄧㆬ</v>
      </c>
      <c r="J77" s="131">
        <f xml:space="preserve"> LEN(D77)</f>
        <v>2</v>
      </c>
      <c r="K77" s="75"/>
      <c r="L77" s="59" t="str">
        <f>D77</f>
        <v>ng</v>
      </c>
      <c r="M77" s="59" t="str">
        <f t="shared" si="5"/>
        <v>ng</v>
      </c>
      <c r="O77" s="132" t="str">
        <f t="shared" si="6"/>
        <v>ng(\d)</v>
      </c>
      <c r="P77" s="135" t="s">
        <v>1358</v>
      </c>
      <c r="Q77" s="135">
        <f t="shared" si="7"/>
        <v>1</v>
      </c>
      <c r="R77" s="132" t="str">
        <f t="shared" si="9"/>
        <v>》n${1}g</v>
      </c>
      <c r="S77" s="57"/>
      <c r="T77" s="58" t="str">
        <f t="shared" si="8"/>
        <v xml:space="preserve">    - xform/》ng(\d)/》n${1}g/</v>
      </c>
    </row>
    <row r="78" spans="1:20" ht="27.75" thickBot="1">
      <c r="A78" s="59">
        <f xml:space="preserve"> ROW() -2</f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EXACT(台語音標韻母清單【依字長反排序】!$C72,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EXACT(台語音標韻母清單【依字長反排序】!$C72, 韻母對照表[台羅拼音]), 0)), "")</f>
        <v>io</v>
      </c>
      <c r="H78" s="56" t="str" cm="1">
        <f t="array" ref="H78" xml:space="preserve"> IFERROR( INDEX(韻母對照表[十五音識別碼], MATCH(TRUE, EXACT(台語音標韻母清單【依字長反排序】!$C72, 韻母對照表[台羅拼音]), 0)), "")</f>
        <v>茄舒</v>
      </c>
      <c r="I78" s="59" t="str" cm="1">
        <f t="array" ref="I78" xml:space="preserve"> IFERROR( INDEX(韻母對照表[方音符號], MATCH(TRUE, EXACT(台語音標韻母清單【依字長反排序】!$C72, 韻母對照表[台羅拼音]), 0)), "")</f>
        <v>ㄧㄜ</v>
      </c>
      <c r="J78" s="131">
        <f xml:space="preserve"> LEN(D78)</f>
        <v>2</v>
      </c>
      <c r="K78" s="75"/>
      <c r="L78" s="59" t="str">
        <f>D78</f>
        <v>oh</v>
      </c>
      <c r="M78" s="59" t="str">
        <f t="shared" si="5"/>
        <v>oh</v>
      </c>
      <c r="O78" s="132" t="str">
        <f t="shared" si="6"/>
        <v>oh(\d)</v>
      </c>
      <c r="P78" s="135" t="s">
        <v>1241</v>
      </c>
      <c r="Q78" s="135">
        <f t="shared" si="7"/>
        <v>1</v>
      </c>
      <c r="R78" s="132" t="str">
        <f t="shared" si="9"/>
        <v>》o${1}h</v>
      </c>
      <c r="S78" s="57"/>
      <c r="T78" s="58" t="str">
        <f t="shared" si="8"/>
        <v xml:space="preserve">    - xform/》oh(\d)/》o${1}h/</v>
      </c>
    </row>
    <row r="79" spans="1:20" ht="27.75" thickBot="1">
      <c r="A79" s="59">
        <f xml:space="preserve"> ROW() -2</f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EXACT(台語音標韻母清單【依字長反排序】!$C73,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EXACT(台語音標韻母清單【依字長反排序】!$C73, 韻母對照表[台羅拼音]), 0)), "")</f>
        <v>ip</v>
      </c>
      <c r="H79" s="56" t="str" cm="1">
        <f t="array" ref="H79" xml:space="preserve"> IFERROR( INDEX(韻母對照表[十五音識別碼], MATCH(TRUE, EXACT(台語音標韻母清單【依字長反排序】!$C73, 韻母對照表[台羅拼音]), 0)), "")</f>
        <v>金促</v>
      </c>
      <c r="I79" s="59" t="str" cm="1">
        <f t="array" ref="I79" xml:space="preserve"> IFERROR( INDEX(韻母對照表[方音符號], MATCH(TRUE, EXACT(台語音標韻母清單【依字長反排序】!$C73, 韻母對照表[台羅拼音]), 0)), "")</f>
        <v>一ㆴ</v>
      </c>
      <c r="J79" s="131">
        <f xml:space="preserve"> LEN(D79)</f>
        <v>2</v>
      </c>
      <c r="K79" s="75"/>
      <c r="L79" s="59" t="str">
        <f>D79</f>
        <v>ok</v>
      </c>
      <c r="M79" s="59" t="str">
        <f t="shared" si="5"/>
        <v>ok</v>
      </c>
      <c r="O79" s="132" t="str">
        <f t="shared" si="6"/>
        <v>ok(\d)</v>
      </c>
      <c r="P79" s="135" t="s">
        <v>1241</v>
      </c>
      <c r="Q79" s="135">
        <f t="shared" si="7"/>
        <v>1</v>
      </c>
      <c r="R79" s="132" t="str">
        <f t="shared" si="9"/>
        <v>》o${1}k</v>
      </c>
      <c r="S79" s="57"/>
      <c r="T79" s="58" t="str">
        <f t="shared" si="8"/>
        <v xml:space="preserve">    - xform/》ok(\d)/》o${1}k/</v>
      </c>
    </row>
    <row r="80" spans="1:20" ht="27.75" thickBot="1">
      <c r="A80" s="59">
        <f xml:space="preserve"> ROW() -2</f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EXACT(台語音標韻母清單【依字長反排序】!$C74,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EXACT(台語音標韻母清單【依字長反排序】!$C74, 韻母對照表[台羅拼音]), 0)), "")</f>
        <v>it</v>
      </c>
      <c r="H80" s="56" t="str" cm="1">
        <f t="array" ref="H80" xml:space="preserve"> IFERROR( INDEX(韻母對照表[十五音識別碼], MATCH(TRUE, EXACT(台語音標韻母清單【依字長反排序】!$C74, 韻母對照表[台羅拼音]), 0)), "")</f>
        <v>巾促</v>
      </c>
      <c r="I80" s="59" t="str" cm="1">
        <f t="array" ref="I80" xml:space="preserve"> IFERROR( INDEX(韻母對照表[方音符號], MATCH(TRUE, EXACT(台語音標韻母清單【依字長反排序】!$C74, 韻母對照表[台羅拼音]), 0)), "")</f>
        <v>ㄧㆵ</v>
      </c>
      <c r="J80" s="131">
        <f xml:space="preserve"> LEN(D80)</f>
        <v>2</v>
      </c>
      <c r="K80" s="75"/>
      <c r="L80" s="59" t="str">
        <f>D80</f>
        <v>oo</v>
      </c>
      <c r="M80" s="59" t="str">
        <f t="shared" si="5"/>
        <v>oo</v>
      </c>
      <c r="O80" s="132" t="str">
        <f t="shared" si="6"/>
        <v>oo(\d)</v>
      </c>
      <c r="P80" s="135" t="s">
        <v>1241</v>
      </c>
      <c r="Q80" s="135">
        <f t="shared" si="7"/>
        <v>1</v>
      </c>
      <c r="R80" s="132" t="str">
        <f t="shared" si="9"/>
        <v>》o${1}o</v>
      </c>
      <c r="S80" s="57"/>
      <c r="T80" s="58" t="str">
        <f t="shared" si="8"/>
        <v xml:space="preserve">    - xform/》oo(\d)/》o${1}o/</v>
      </c>
    </row>
    <row r="81" spans="1:20" ht="27.75" thickBot="1">
      <c r="A81" s="59">
        <f xml:space="preserve"> ROW() -2</f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EXACT(台語音標韻母清單【依字長反排序】!$C75,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EXACT(台語音標韻母清單【依字長反排序】!$C75, 韻母對照表[台羅拼音]), 0)), "")</f>
        <v>iu</v>
      </c>
      <c r="H81" s="56" t="str" cm="1">
        <f t="array" ref="H81" xml:space="preserve"> IFERROR( INDEX(韻母對照表[十五音識別碼], MATCH(TRUE, EXACT(台語音標韻母清單【依字長反排序】!$C75, 韻母對照表[台羅拼音]), 0)), "")</f>
        <v>丩舒</v>
      </c>
      <c r="I81" s="59" t="str" cm="1">
        <f t="array" ref="I81" xml:space="preserve"> IFERROR( INDEX(韻母對照表[方音符號], MATCH(TRUE, EXACT(台語音標韻母清單【依字長反排序】!$C75, 韻母對照表[台羅拼音]), 0)), "")</f>
        <v>ㄧㄨ</v>
      </c>
      <c r="J81" s="131">
        <f xml:space="preserve"> LEN(D81)</f>
        <v>2</v>
      </c>
      <c r="K81" s="75"/>
      <c r="L81" s="59" t="str">
        <f>D81</f>
        <v>op</v>
      </c>
      <c r="M81" s="59" t="str">
        <f t="shared" si="5"/>
        <v>op</v>
      </c>
      <c r="O81" s="132" t="str">
        <f t="shared" si="6"/>
        <v>op(\d)</v>
      </c>
      <c r="P81" s="135" t="s">
        <v>1241</v>
      </c>
      <c r="Q81" s="135">
        <f t="shared" si="7"/>
        <v>1</v>
      </c>
      <c r="R81" s="132" t="str">
        <f t="shared" si="9"/>
        <v>》o${1}p</v>
      </c>
      <c r="S81" s="57"/>
      <c r="T81" s="58" t="str">
        <f t="shared" si="8"/>
        <v xml:space="preserve">    - xform/》op(\d)/》o${1}p/</v>
      </c>
    </row>
    <row r="82" spans="1:20" ht="27.75" thickBot="1">
      <c r="A82" s="59">
        <f xml:space="preserve"> ROW() -2</f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EXACT(台語音標韻母清單【依字長反排序】!$C76,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EXACT(台語音標韻母清單【依字長反排序】!$C76, 韻母對照表[台羅拼音]), 0)), "")</f>
        <v/>
      </c>
      <c r="H82" s="56" t="str" cm="1">
        <f t="array" ref="H82" xml:space="preserve"> IFERROR( INDEX(韻母對照表[十五音識別碼], MATCH(TRUE, EXACT(台語音標韻母清單【依字長反排序】!$C76, 韻母對照表[台羅拼音]), 0)), "")</f>
        <v/>
      </c>
      <c r="I82" s="59" t="str" cm="1">
        <f t="array" ref="I82" xml:space="preserve"> IFERROR( INDEX(韻母對照表[方音符號], MATCH(TRUE, EXACT(台語音標韻母清單【依字長反排序】!$C76, 韻母對照表[台羅拼音]), 0)), "")</f>
        <v/>
      </c>
      <c r="J82" s="131">
        <f xml:space="preserve"> LEN(D82)</f>
        <v>2</v>
      </c>
      <c r="K82" s="75"/>
      <c r="L82" s="59" t="str">
        <f>D82</f>
        <v>ua</v>
      </c>
      <c r="M82" s="59" t="str">
        <f t="shared" si="5"/>
        <v>uɑ</v>
      </c>
      <c r="O82" s="132" t="str">
        <f t="shared" si="6"/>
        <v>ua(\d)</v>
      </c>
      <c r="P82" s="135" t="s">
        <v>1252</v>
      </c>
      <c r="Q82" s="135">
        <f t="shared" si="7"/>
        <v>1</v>
      </c>
      <c r="R82" s="132" t="str">
        <f t="shared" si="9"/>
        <v>》u${1}a</v>
      </c>
      <c r="S82" s="57"/>
      <c r="T82" s="58" t="str">
        <f t="shared" si="8"/>
        <v xml:space="preserve">    - xform/》ua(\d)/》u${1}a/</v>
      </c>
    </row>
    <row r="83" spans="1:20" ht="27.75" thickBot="1">
      <c r="A83" s="59">
        <f xml:space="preserve"> ROW() -2</f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EXACT(台語音標韻母清單【依字長反排序】!$C77,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EXACT(台語音標韻母清單【依字長反排序】!$C77, 韻母對照表[台羅拼音]), 0)), "")</f>
        <v>ng</v>
      </c>
      <c r="H83" s="56" t="str" cm="1">
        <f t="array" ref="H83" xml:space="preserve"> IFERROR( INDEX(韻母對照表[十五音識別碼], MATCH(TRUE, EXACT(台語音標韻母清單【依字長反排序】!$C77, 韻母對照表[台羅拼音]), 0)), "")</f>
        <v>鋼舒</v>
      </c>
      <c r="I83" s="59" t="str" cm="1">
        <f t="array" ref="I83" xml:space="preserve"> IFERROR( INDEX(韻母對照表[方音符號], MATCH(TRUE, EXACT(台語音標韻母清單【依字長反排序】!$C77, 韻母對照表[台羅拼音]), 0)), "")</f>
        <v>ㆭ</v>
      </c>
      <c r="J83" s="131">
        <f xml:space="preserve"> LEN(D83)</f>
        <v>2</v>
      </c>
      <c r="K83" s="75"/>
      <c r="L83" s="59" t="str">
        <f>D83</f>
        <v>ue</v>
      </c>
      <c r="M83" s="59" t="str">
        <f t="shared" si="5"/>
        <v>ue</v>
      </c>
      <c r="O83" s="132" t="str">
        <f t="shared" si="6"/>
        <v>ue(\d)</v>
      </c>
      <c r="P83" s="135" t="s">
        <v>1252</v>
      </c>
      <c r="Q83" s="135">
        <f t="shared" si="7"/>
        <v>1</v>
      </c>
      <c r="R83" s="132" t="str">
        <f t="shared" si="9"/>
        <v>》u${1}e</v>
      </c>
      <c r="S83" s="57"/>
      <c r="T83" s="58" t="str">
        <f t="shared" si="8"/>
        <v xml:space="preserve">    - xform/》ue(\d)/》u${1}e/</v>
      </c>
    </row>
    <row r="84" spans="1:20" ht="27.75" thickBot="1">
      <c r="A84" s="59">
        <f xml:space="preserve"> ROW() -2</f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EXACT(台語音標韻母清單【依字長反排序】!$C78,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EXACT(台語音標韻母清單【依字長反排序】!$C78, 韻母對照表[台羅拼音]), 0)), "")</f>
        <v>oh</v>
      </c>
      <c r="H84" s="56" t="str" cm="1">
        <f t="array" ref="H84" xml:space="preserve"> IFERROR( INDEX(韻母對照表[十五音識別碼], MATCH(TRUE, EXACT(台語音標韻母清單【依字長反排序】!$C78, 韻母對照表[台羅拼音]), 0)), "")</f>
        <v>高促</v>
      </c>
      <c r="I84" s="59" t="str" cm="1">
        <f t="array" ref="I84" xml:space="preserve"> IFERROR( INDEX(韻母對照表[方音符號], MATCH(TRUE, EXACT(台語音標韻母清單【依字長反排序】!$C78, 韻母對照表[台羅拼音]), 0)), "")</f>
        <v>ㄜㆷ</v>
      </c>
      <c r="J84" s="131">
        <f xml:space="preserve"> LEN(D84)</f>
        <v>2</v>
      </c>
      <c r="K84" s="75"/>
      <c r="L84" s="59" t="str">
        <f>D84</f>
        <v>uh</v>
      </c>
      <c r="M84" s="59" t="str">
        <f t="shared" si="5"/>
        <v>uh</v>
      </c>
      <c r="O84" s="132" t="str">
        <f t="shared" si="6"/>
        <v>uh(\d)</v>
      </c>
      <c r="P84" s="135" t="s">
        <v>1252</v>
      </c>
      <c r="Q84" s="135">
        <f t="shared" si="7"/>
        <v>1</v>
      </c>
      <c r="R84" s="132" t="str">
        <f t="shared" si="9"/>
        <v>》u${1}h</v>
      </c>
      <c r="S84" s="57"/>
      <c r="T84" s="58" t="str">
        <f t="shared" si="8"/>
        <v xml:space="preserve">    - xform/》uh(\d)/》u${1}h/</v>
      </c>
    </row>
    <row r="85" spans="1:20" ht="27.75" thickBot="1">
      <c r="A85" s="59">
        <f xml:space="preserve"> ROW() -2</f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EXACT(台語音標韻母清單【依字長反排序】!$C79,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EXACT(台語音標韻母清單【依字長反排序】!$C79, 韻母對照表[台羅拼音]), 0)), "")</f>
        <v>ok</v>
      </c>
      <c r="H85" s="56" t="str" cm="1">
        <f t="array" ref="H85" xml:space="preserve"> IFERROR( INDEX(韻母對照表[十五音識別碼], MATCH(TRUE, EXACT(台語音標韻母清單【依字長反排序】!$C79, 韻母對照表[台羅拼音]), 0)), "")</f>
        <v>公促</v>
      </c>
      <c r="I85" s="59" t="str" cm="1">
        <f t="array" ref="I85" xml:space="preserve"> IFERROR( INDEX(韻母對照表[方音符號], MATCH(TRUE, EXACT(台語音標韻母清單【依字長反排序】!$C79, 韻母對照表[台羅拼音]), 0)), "")</f>
        <v>ㆦㆻ</v>
      </c>
      <c r="J85" s="131">
        <f xml:space="preserve"> LEN(D85)</f>
        <v>2</v>
      </c>
      <c r="K85" s="75"/>
      <c r="L85" s="59" t="str">
        <f>D85</f>
        <v>ui</v>
      </c>
      <c r="M85" s="59" t="str">
        <f t="shared" si="5"/>
        <v>ui</v>
      </c>
      <c r="O85" s="132" t="str">
        <f t="shared" si="6"/>
        <v>ui(\d)</v>
      </c>
      <c r="P85" s="135" t="s">
        <v>1252</v>
      </c>
      <c r="Q85" s="135">
        <f t="shared" si="7"/>
        <v>1</v>
      </c>
      <c r="R85" s="132" t="str">
        <f t="shared" si="9"/>
        <v>》u${1}i</v>
      </c>
      <c r="S85" s="57"/>
      <c r="T85" s="58" t="str">
        <f t="shared" si="8"/>
        <v xml:space="preserve">    - xform/》ui(\d)/》u${1}i/</v>
      </c>
    </row>
    <row r="86" spans="1:20" ht="27.75" thickBot="1">
      <c r="A86" s="59">
        <f xml:space="preserve"> ROW() -2</f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EXACT(台語音標韻母清單【依字長反排序】!$C80,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EXACT(台語音標韻母清單【依字長反排序】!$C80, 韻母對照表[台羅拼音]), 0)), "")</f>
        <v>o͘</v>
      </c>
      <c r="H86" s="56" t="str" cm="1">
        <f t="array" ref="H86" xml:space="preserve"> IFERROR( INDEX(韻母對照表[十五音識別碼], MATCH(TRUE, EXACT(台語音標韻母清單【依字長反排序】!$C80, 韻母對照表[台羅拼音]), 0)), "")</f>
        <v>沽舒</v>
      </c>
      <c r="I86" s="59" t="str" cm="1">
        <f t="array" ref="I86" xml:space="preserve"> IFERROR( INDEX(韻母對照表[方音符號], MATCH(TRUE, EXACT(台語音標韻母清單【依字長反排序】!$C80, 韻母對照表[台羅拼音]), 0)), "")</f>
        <v>ㆦ</v>
      </c>
      <c r="J86" s="131">
        <f xml:space="preserve"> LEN(D86)</f>
        <v>2</v>
      </c>
      <c r="K86" s="75"/>
      <c r="L86" s="59" t="str">
        <f>D86</f>
        <v>un</v>
      </c>
      <c r="M86" s="59" t="str">
        <f t="shared" si="5"/>
        <v>un</v>
      </c>
      <c r="O86" s="132" t="str">
        <f t="shared" si="6"/>
        <v>un(\d)</v>
      </c>
      <c r="P86" s="135" t="s">
        <v>1252</v>
      </c>
      <c r="Q86" s="135">
        <f t="shared" si="7"/>
        <v>1</v>
      </c>
      <c r="R86" s="132" t="str">
        <f t="shared" si="9"/>
        <v>》u${1}n</v>
      </c>
      <c r="S86" s="57"/>
      <c r="T86" s="58" t="str">
        <f t="shared" si="8"/>
        <v xml:space="preserve">    - xform/》un(\d)/》u${1}n/</v>
      </c>
    </row>
    <row r="87" spans="1:20" ht="27.75" thickBot="1">
      <c r="A87" s="59">
        <f xml:space="preserve"> ROW() -2</f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EXACT(台語音標韻母清單【依字長反排序】!$C81,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EXACT(台語音標韻母清單【依字長反排序】!$C81, 韻母對照表[台羅拼音]), 0)), "")</f>
        <v>op</v>
      </c>
      <c r="H87" s="56" t="str" cm="1">
        <f t="array" ref="H87" xml:space="preserve"> IFERROR( INDEX(韻母對照表[十五音識別碼], MATCH(TRUE, EXACT(台語音標韻母清單【依字長反排序】!$C81, 韻母對照表[台羅拼音]), 0)), "")</f>
        <v>箴促</v>
      </c>
      <c r="I87" s="59" t="str" cm="1">
        <f t="array" ref="I87" xml:space="preserve"> IFERROR( INDEX(韻母對照表[方音符號], MATCH(TRUE, EXACT(台語音標韻母清單【依字長反排序】!$C81, 韻母對照表[台羅拼音]), 0)), "")</f>
        <v>ㆦㆴ</v>
      </c>
      <c r="J87" s="131">
        <f xml:space="preserve"> LEN(D87)</f>
        <v>2</v>
      </c>
      <c r="K87" s="75"/>
      <c r="L87" s="59" t="str">
        <f>D87</f>
        <v>ut</v>
      </c>
      <c r="M87" s="59" t="str">
        <f t="shared" si="5"/>
        <v>ut</v>
      </c>
      <c r="O87" s="132" t="str">
        <f t="shared" si="6"/>
        <v>ut(\d)</v>
      </c>
      <c r="P87" s="135" t="s">
        <v>1252</v>
      </c>
      <c r="Q87" s="135">
        <f t="shared" si="7"/>
        <v>1</v>
      </c>
      <c r="R87" s="132" t="str">
        <f t="shared" si="9"/>
        <v>》u${1}t</v>
      </c>
      <c r="S87" s="57"/>
      <c r="T87" s="58" t="str">
        <f t="shared" si="8"/>
        <v xml:space="preserve">    - xform/》ut(\d)/》u${1}t/</v>
      </c>
    </row>
    <row r="88" spans="1:20" ht="27.75" thickBot="1">
      <c r="A88" s="59">
        <f xml:space="preserve"> ROW() -2</f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EXACT(台語音標韻母清單【依字長反排序】!$C88, 韻母對照表[台羅拼音]), 0)), "")</f>
        <v/>
      </c>
      <c r="F88" s="59" t="s">
        <v>644</v>
      </c>
      <c r="G88" s="62" t="str" cm="1">
        <f t="array" ref="G88" xml:space="preserve"> IFERROR( INDEX(韻母對照表[白話字], MATCH(TRUE, EXACT(台語音標韻母清單【依字長反排序】!$C88, 韻母對照表[台羅拼音]), 0)), "")</f>
        <v/>
      </c>
      <c r="H88" s="56" t="str" cm="1">
        <f t="array" ref="H88" xml:space="preserve"> IFERROR( INDEX(韻母對照表[十五音識別碼], MATCH(TRUE, EXACT(台語音標韻母清單【依字長反排序】!$C88, 韻母對照表[台羅拼音]), 0)), "")</f>
        <v/>
      </c>
      <c r="I88" s="59" t="str" cm="1">
        <f t="array" ref="I88" xml:space="preserve"> IFERROR( INDEX(韻母對照表[方音符號], MATCH(TRUE, EXACT(台語音標韻母清單【依字長反排序】!$C88, 韻母對照表[台羅拼音]), 0)), "")</f>
        <v/>
      </c>
      <c r="J88" s="131">
        <f xml:space="preserve"> LEN(D88)</f>
        <v>2</v>
      </c>
      <c r="K88" s="75"/>
      <c r="L88" s="59" t="str">
        <f>D88</f>
        <v>om</v>
      </c>
      <c r="M88" s="59" t="str">
        <f t="shared" si="5"/>
        <v>-</v>
      </c>
      <c r="O88" s="132" t="str">
        <f t="shared" si="6"/>
        <v>om(\d)</v>
      </c>
      <c r="P88" s="135" t="s">
        <v>1241</v>
      </c>
      <c r="Q88" s="135">
        <f t="shared" si="7"/>
        <v>1</v>
      </c>
      <c r="R88" s="132" t="str">
        <f t="shared" si="9"/>
        <v>》o${1}m</v>
      </c>
      <c r="S88" s="57"/>
      <c r="T88" s="58" t="str">
        <f t="shared" si="8"/>
        <v xml:space="preserve">    - xform/》om(\d)/》o${1}m/</v>
      </c>
    </row>
    <row r="89" spans="1:20" ht="27.75" thickBot="1">
      <c r="A89" s="59">
        <f xml:space="preserve"> ROW() -2</f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EXACT(台語音標韻母清單【依字長反排序】!$C91, 韻母對照表[台羅拼音]), 0)), "")</f>
        <v/>
      </c>
      <c r="F89" s="59" t="str" cm="1">
        <f t="array" ref="F89" xml:space="preserve"> IFERROR( INDEX(韻母對照表[閩拼方案], MATCH(TRUE, EXACT(台語音標韻母清單【依字長反排序】!$B91, 韻母對照表[國際音標]), 0)), "")</f>
        <v/>
      </c>
      <c r="G89" s="63" t="str" cm="1">
        <f t="array" ref="G89" xml:space="preserve"> IFERROR( INDEX(韻母對照表[白話字], MATCH(TRUE, EXACT(台語音標韻母清單【依字長反排序】!$C91, 韻母對照表[台羅拼音]), 0)), "")</f>
        <v/>
      </c>
      <c r="H89" s="56" t="str" cm="1">
        <f t="array" ref="H89" xml:space="preserve"> IFERROR( INDEX(韻母對照表[十五音識別碼], MATCH(TRUE, EXACT(台語音標韻母清單【依字長反排序】!$C91, 韻母對照表[台羅拼音]), 0)), "")</f>
        <v/>
      </c>
      <c r="I89" s="59" t="str" cm="1">
        <f t="array" ref="I89" xml:space="preserve"> IFERROR( INDEX(韻母對照表[方音符號], MATCH(TRUE, EXACT(台語音標韻母清單【依字長反排序】!$C91, 韻母對照表[台羅拼音]), 0)), "")</f>
        <v/>
      </c>
      <c r="J89" s="131">
        <f xml:space="preserve"> LEN(D89)</f>
        <v>2</v>
      </c>
      <c r="K89" s="75"/>
      <c r="L89" s="59" t="str">
        <f>D89</f>
        <v>ei</v>
      </c>
      <c r="M89" s="59" t="str">
        <f t="shared" si="5"/>
        <v/>
      </c>
      <c r="O89" s="132" t="str">
        <f t="shared" si="6"/>
        <v>ei(\d)</v>
      </c>
      <c r="P89" s="135" t="s">
        <v>1206</v>
      </c>
      <c r="Q89" s="135">
        <f t="shared" si="7"/>
        <v>1</v>
      </c>
      <c r="R89" s="132" t="s">
        <v>1360</v>
      </c>
      <c r="S89" s="57"/>
      <c r="T89" s="58" t="str">
        <f t="shared" si="8"/>
        <v/>
      </c>
    </row>
    <row r="90" spans="1:20" ht="27.75" thickBot="1">
      <c r="A90" s="59">
        <f xml:space="preserve"> ROW() -2</f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EXACT(台語音標韻母清單【依字長反排序】!$C92, 韻母對照表[台羅拼音]), 0)), "")</f>
        <v/>
      </c>
      <c r="F90" s="59" t="str" cm="1">
        <f t="array" ref="F90" xml:space="preserve"> IFERROR( INDEX(韻母對照表[閩拼方案], MATCH(TRUE, EXACT(台語音標韻母清單【依字長反排序】!$B92, 韻母對照表[國際音標]), 0)), "")</f>
        <v/>
      </c>
      <c r="G90" s="63" t="str" cm="1">
        <f t="array" ref="G90" xml:space="preserve"> IFERROR( INDEX(韻母對照表[白話字], MATCH(TRUE, EXACT(台語音標韻母清單【依字長反排序】!$C92, 韻母對照表[台羅拼音]), 0)), "")</f>
        <v/>
      </c>
      <c r="H90" s="56" t="str" cm="1">
        <f t="array" ref="H90" xml:space="preserve"> IFERROR( INDEX(韻母對照表[十五音識別碼], MATCH(TRUE, EXACT(台語音標韻母清單【依字長反排序】!$C92, 韻母對照表[台羅拼音]), 0)), "")</f>
        <v/>
      </c>
      <c r="I90" s="59" t="str" cm="1">
        <f t="array" ref="I90" xml:space="preserve"> IFERROR( INDEX(韻母對照表[方音符號], MATCH(TRUE, EXACT(台語音標韻母清單【依字長反排序】!$C92, 韻母對照表[台羅拼音]), 0)), "")</f>
        <v/>
      </c>
      <c r="J90" s="131">
        <f xml:space="preserve"> LEN(D90)</f>
        <v>2</v>
      </c>
      <c r="K90" s="75"/>
      <c r="L90" s="59" t="str">
        <f>D90</f>
        <v>ou</v>
      </c>
      <c r="M90" s="59" t="str">
        <f t="shared" si="5"/>
        <v/>
      </c>
      <c r="O90" s="132" t="str">
        <f t="shared" si="6"/>
        <v>ou(\d)</v>
      </c>
      <c r="P90" s="135" t="s">
        <v>1241</v>
      </c>
      <c r="Q90" s="135">
        <f t="shared" si="7"/>
        <v>1</v>
      </c>
      <c r="R90" s="132" t="s">
        <v>1361</v>
      </c>
      <c r="S90" s="57"/>
      <c r="T90" s="58" t="str">
        <f t="shared" si="8"/>
        <v/>
      </c>
    </row>
    <row r="91" spans="1:20" ht="27.75" thickBot="1">
      <c r="A91" s="59">
        <f xml:space="preserve"> ROW() -2</f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EXACT(台語音標韻母清單【依字長反排序】!$C93, 韻母對照表[台羅拼音]), 0)), "")</f>
        <v/>
      </c>
      <c r="F91" s="59" t="str" cm="1">
        <f t="array" ref="F91" xml:space="preserve"> IFERROR( INDEX(韻母對照表[閩拼方案], MATCH(TRUE, EXACT(台語音標韻母清單【依字長反排序】!$B93, 韻母對照表[國際音標]), 0)), "")</f>
        <v/>
      </c>
      <c r="G91" s="63" t="str" cm="1">
        <f t="array" ref="G91" xml:space="preserve"> IFERROR( INDEX(韻母對照表[白話字], MATCH(TRUE, EXACT(台語音標韻母清單【依字長反排序】!$C93, 韻母對照表[台羅拼音]), 0)), "")</f>
        <v/>
      </c>
      <c r="H91" s="56" t="str" cm="1">
        <f t="array" ref="H91" xml:space="preserve"> IFERROR( INDEX(韻母對照表[十五音識別碼], MATCH(TRUE, EXACT(台語音標韻母清單【依字長反排序】!$C93, 韻母對照表[台羅拼音]), 0)), "")</f>
        <v/>
      </c>
      <c r="I91" s="59" t="str" cm="1">
        <f t="array" ref="I91" xml:space="preserve"> IFERROR( INDEX(韻母對照表[方音符號], MATCH(TRUE, EXACT(台語音標韻母清單【依字長反排序】!$C93, 韻母對照表[台羅拼音]), 0)), "")</f>
        <v/>
      </c>
      <c r="J91" s="131">
        <f xml:space="preserve"> LEN(D91)</f>
        <v>2</v>
      </c>
      <c r="K91" s="75"/>
      <c r="L91" s="59" t="str">
        <f>D91</f>
        <v>ae</v>
      </c>
      <c r="M91" s="59" t="str">
        <f t="shared" si="5"/>
        <v/>
      </c>
      <c r="O91" s="132" t="str">
        <f t="shared" si="6"/>
        <v>ae(\d)</v>
      </c>
      <c r="P91" s="135" t="s">
        <v>1253</v>
      </c>
      <c r="Q91" s="135">
        <f t="shared" si="7"/>
        <v>1</v>
      </c>
      <c r="R91" s="132" t="str">
        <f t="shared" si="9"/>
        <v>》a${1}e</v>
      </c>
      <c r="S91" s="57"/>
      <c r="T91" s="58" t="str">
        <f t="shared" si="8"/>
        <v/>
      </c>
    </row>
    <row r="92" spans="1:20" ht="27.75" thickBot="1">
      <c r="A92" s="59">
        <f xml:space="preserve"> ROW() -2</f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EXACT(台語音標韻母清單【依字長反排序】!$C96, 韻母對照表[台羅拼音]), 0)), "")</f>
        <v>i</v>
      </c>
      <c r="F92" s="59" t="str" cm="1">
        <f t="array" ref="F92" xml:space="preserve"> IFERROR( INDEX(韻母對照表[閩拼方案], MATCH(TRUE, EXACT(台語音標韻母清單【依字長反排序】!$B96, 韻母對照表[國際音標]), 0)), "")</f>
        <v>i</v>
      </c>
      <c r="G92" s="63" t="str" cm="1">
        <f t="array" ref="G92" xml:space="preserve"> IFERROR( INDEX(韻母對照表[白話字], MATCH(TRUE, EXACT(台語音標韻母清單【依字長反排序】!$C96, 韻母對照表[台羅拼音]), 0)), "")</f>
        <v>i</v>
      </c>
      <c r="H92" s="56" t="str" cm="1">
        <f t="array" ref="H92" xml:space="preserve"> IFERROR( INDEX(韻母對照表[十五音識別碼], MATCH(TRUE, EXACT(台語音標韻母清單【依字長反排序】!$C96, 韻母對照表[台羅拼音]), 0)), "")</f>
        <v>居舒</v>
      </c>
      <c r="I92" s="59" t="str" cm="1">
        <f t="array" ref="I92" xml:space="preserve"> IFERROR( INDEX(韻母對照表[方音符號], MATCH(TRUE, EXACT(台語音標韻母清單【依字長反排序】!$C96, 韻母對照表[台羅拼音]), 0)), "")</f>
        <v>ㄧ</v>
      </c>
      <c r="J92" s="131">
        <f xml:space="preserve"> LEN(D92)</f>
        <v>2</v>
      </c>
      <c r="K92" s="75"/>
      <c r="L92" s="59" t="str">
        <f>D92</f>
        <v>eu</v>
      </c>
      <c r="M92" s="59" t="str">
        <f t="shared" si="5"/>
        <v>i</v>
      </c>
      <c r="O92" s="132" t="str">
        <f t="shared" si="6"/>
        <v>eu(\d)</v>
      </c>
      <c r="P92" s="135" t="s">
        <v>1206</v>
      </c>
      <c r="Q92" s="135">
        <f t="shared" si="7"/>
        <v>1</v>
      </c>
      <c r="R92" s="132" t="str">
        <f t="shared" si="9"/>
        <v>》e${1}u</v>
      </c>
      <c r="S92" s="57"/>
      <c r="T92" s="58" t="str">
        <f t="shared" si="8"/>
        <v xml:space="preserve">    - xform/》eu(\d)/》e${1}u/</v>
      </c>
    </row>
    <row r="93" spans="1:20" ht="27.75" thickBot="1">
      <c r="A93" s="59">
        <f xml:space="preserve"> ROW() -2</f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EXACT(台語音標韻母清單【依字長反排序】!$C99, 韻母對照表[台羅拼音]), 0)), "")</f>
        <v>u</v>
      </c>
      <c r="F93" s="59" t="str" cm="1">
        <f t="array" ref="F93" xml:space="preserve"> IFERROR( INDEX(韻母對照表[閩拼方案], MATCH(TRUE, EXACT(台語音標韻母清單【依字長反排序】!$B99, 韻母對照表[國際音標]), 0)), "")</f>
        <v>u</v>
      </c>
      <c r="G93" s="61" t="str" cm="1">
        <f t="array" ref="G93" xml:space="preserve"> IFERROR( INDEX(韻母對照表[白話字], MATCH(TRUE, EXACT(台語音標韻母清單【依字長反排序】!$C99, 韻母對照表[台羅拼音]), 0)), "")</f>
        <v>u</v>
      </c>
      <c r="H93" s="56" t="str" cm="1">
        <f t="array" ref="H93" xml:space="preserve"> IFERROR( INDEX(韻母對照表[十五音識別碼], MATCH(TRUE, EXACT(台語音標韻母清單【依字長反排序】!$C99, 韻母對照表[台羅拼音]), 0)), "")</f>
        <v>艍舒</v>
      </c>
      <c r="I93" s="59" t="str" cm="1">
        <f t="array" ref="I93" xml:space="preserve"> IFERROR( INDEX(韻母對照表[方音符號], MATCH(TRUE, EXACT(台語音標韻母清單【依字長反排序】!$C99, 韻母對照表[台羅拼音]), 0)), "")</f>
        <v>ㄨ</v>
      </c>
      <c r="J93" s="131">
        <f xml:space="preserve"> LEN(D93)</f>
        <v>2</v>
      </c>
      <c r="K93" s="75"/>
      <c r="L93" s="59" t="str">
        <f>D93</f>
        <v>ek</v>
      </c>
      <c r="M93" s="59" t="str">
        <f t="shared" si="5"/>
        <v>u</v>
      </c>
      <c r="O93" s="132" t="str">
        <f t="shared" si="6"/>
        <v>ek(\d)</v>
      </c>
      <c r="P93" s="135" t="s">
        <v>1206</v>
      </c>
      <c r="Q93" s="135">
        <f t="shared" si="7"/>
        <v>1</v>
      </c>
      <c r="R93" s="132" t="str">
        <f t="shared" si="9"/>
        <v>》e${1}k</v>
      </c>
      <c r="S93" s="57"/>
      <c r="T93" s="58" t="str">
        <f t="shared" si="8"/>
        <v xml:space="preserve">    - xform/》ek(\d)/》e${1}k/</v>
      </c>
    </row>
    <row r="94" spans="1:20" ht="27.75" thickBot="1">
      <c r="A94" s="59">
        <f xml:space="preserve"> ROW() -2</f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EXACT(台語音標韻母清單【依字長反排序】!$C82,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EXACT(台語音標韻母清單【依字長反排序】!$C82, 韻母對照表[台羅拼音]), 0)), "")</f>
        <v>oa</v>
      </c>
      <c r="H94" s="56" t="str" cm="1">
        <f t="array" ref="H94" xml:space="preserve"> IFERROR( INDEX(韻母對照表[十五音識別碼], MATCH(TRUE, EXACT(台語音標韻母清單【依字長反排序】!$C82, 韻母對照表[台羅拼音]), 0)), "")</f>
        <v>瓜舒</v>
      </c>
      <c r="I94" s="59" t="str" cm="1">
        <f t="array" ref="I94" xml:space="preserve"> IFERROR( INDEX(韻母對照表[方音符號], MATCH(TRUE, EXACT(台語音標韻母清單【依字長反排序】!$C82, 韻母對照表[台羅拼音]), 0)), "")</f>
        <v>ㄨㄚ</v>
      </c>
      <c r="J94" s="131">
        <f xml:space="preserve"> LEN(D94)</f>
        <v>1</v>
      </c>
      <c r="K94" s="75"/>
      <c r="L94" s="59" t="str">
        <f>D94</f>
        <v>a</v>
      </c>
      <c r="M94" s="59" t="str">
        <f t="shared" si="5"/>
        <v>ɑ</v>
      </c>
      <c r="O94" s="132" t="str">
        <f t="shared" si="6"/>
        <v>a(\d)</v>
      </c>
      <c r="P94" s="135" t="s">
        <v>1253</v>
      </c>
      <c r="Q94" s="135">
        <f t="shared" si="7"/>
        <v>1</v>
      </c>
      <c r="R94" s="132" t="str">
        <f t="shared" si="9"/>
        <v>》a${1}</v>
      </c>
      <c r="S94" s="57"/>
      <c r="T94" s="58" t="str">
        <f t="shared" si="8"/>
        <v xml:space="preserve">    - xform/》a(\d)/》a${1}/</v>
      </c>
    </row>
    <row r="95" spans="1:20" ht="27.75" thickBot="1">
      <c r="A95" s="59">
        <f xml:space="preserve"> ROW() -2</f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EXACT(台語音標韻母清單【依字長反排序】!$C83,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EXACT(台語音標韻母清單【依字長反排序】!$C83, 韻母對照表[台羅拼音]), 0)), "")</f>
        <v>oe</v>
      </c>
      <c r="H95" s="56" t="str" cm="1">
        <f t="array" ref="H95" xml:space="preserve"> IFERROR( INDEX(韻母對照表[十五音識別碼], MATCH(TRUE, EXACT(台語音標韻母清單【依字長反排序】!$C83, 韻母對照表[台羅拼音]), 0)), "")</f>
        <v>檜舒</v>
      </c>
      <c r="I95" s="59" t="str" cm="1">
        <f t="array" ref="I95" xml:space="preserve"> IFERROR( INDEX(韻母對照表[方音符號], MATCH(TRUE, EXACT(台語音標韻母清單【依字長反排序】!$C83, 韻母對照表[台羅拼音]), 0)), "")</f>
        <v>ㄨㆤ</v>
      </c>
      <c r="J95" s="131">
        <f xml:space="preserve"> LEN(D95)</f>
        <v>1</v>
      </c>
      <c r="K95" s="75"/>
      <c r="L95" s="59" t="str">
        <f>D95</f>
        <v>e</v>
      </c>
      <c r="M95" s="59" t="str">
        <f t="shared" si="5"/>
        <v>e</v>
      </c>
      <c r="O95" s="132" t="str">
        <f t="shared" si="6"/>
        <v>e(\d)</v>
      </c>
      <c r="P95" s="135" t="s">
        <v>1206</v>
      </c>
      <c r="Q95" s="135">
        <f t="shared" si="7"/>
        <v>1</v>
      </c>
      <c r="R95" s="132" t="str">
        <f t="shared" si="9"/>
        <v>》e${1}</v>
      </c>
      <c r="S95" s="57"/>
      <c r="T95" s="58" t="str">
        <f t="shared" si="8"/>
        <v xml:space="preserve">    - xform/》e(\d)/》e${1}/</v>
      </c>
    </row>
    <row r="96" spans="1:20" ht="27.75" thickBot="1">
      <c r="A96" s="59">
        <f xml:space="preserve"> ROW() -2</f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EXACT(台語音標韻母清單【依字長反排序】!$C84,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EXACT(台語音標韻母清單【依字長反排序】!$C84, 韻母對照表[台羅拼音]), 0)), "")</f>
        <v>uh</v>
      </c>
      <c r="H96" s="56" t="str" cm="1">
        <f t="array" ref="H96" xml:space="preserve"> IFERROR( INDEX(韻母對照表[十五音識別碼], MATCH(TRUE, EXACT(台語音標韻母清單【依字長反排序】!$C84, 韻母對照表[台羅拼音]), 0)), "")</f>
        <v>艍促</v>
      </c>
      <c r="I96" s="59" t="str" cm="1">
        <f t="array" ref="I96" xml:space="preserve"> IFERROR( INDEX(韻母對照表[方音符號], MATCH(TRUE, EXACT(台語音標韻母清單【依字長反排序】!$C84, 韻母對照表[台羅拼音]), 0)), "")</f>
        <v>ㄨㆷ</v>
      </c>
      <c r="J96" s="131">
        <f xml:space="preserve"> LEN(D96)</f>
        <v>1</v>
      </c>
      <c r="K96" s="75"/>
      <c r="L96" s="59" t="str">
        <f>D96</f>
        <v>i</v>
      </c>
      <c r="M96" s="59" t="str">
        <f t="shared" si="5"/>
        <v>i</v>
      </c>
      <c r="O96" s="132" t="str">
        <f t="shared" si="6"/>
        <v>i(\d)</v>
      </c>
      <c r="P96" s="135" t="s">
        <v>1254</v>
      </c>
      <c r="Q96" s="135">
        <f t="shared" si="7"/>
        <v>1</v>
      </c>
      <c r="R96" s="132" t="str">
        <f t="shared" si="9"/>
        <v>》i${1}</v>
      </c>
      <c r="S96" s="57"/>
      <c r="T96" s="58" t="str">
        <f t="shared" si="8"/>
        <v xml:space="preserve">    - xform/》i(\d)/》i${1}/</v>
      </c>
    </row>
    <row r="97" spans="1:20" ht="27.75" thickBot="1">
      <c r="A97" s="59">
        <f xml:space="preserve"> ROW() -2</f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EXACT(台語音標韻母清單【依字長反排序】!$C85,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EXACT(台語音標韻母清單【依字長反排序】!$C85, 韻母對照表[台羅拼音]), 0)), "")</f>
        <v>ui</v>
      </c>
      <c r="H97" s="56" t="str" cm="1">
        <f t="array" ref="H97" xml:space="preserve"> IFERROR( INDEX(韻母對照表[十五音識別碼], MATCH(TRUE, EXACT(台語音標韻母清單【依字長反排序】!$C85, 韻母對照表[台羅拼音]), 0)), "")</f>
        <v>規舒</v>
      </c>
      <c r="I97" s="59" t="str" cm="1">
        <f t="array" ref="I97" xml:space="preserve"> IFERROR( INDEX(韻母對照表[方音符號], MATCH(TRUE, EXACT(台語音標韻母清單【依字長反排序】!$C85, 韻母對照表[台羅拼音]), 0)), "")</f>
        <v>ㄨㄧ</v>
      </c>
      <c r="J97" s="131">
        <f xml:space="preserve"> LEN(D97)</f>
        <v>1</v>
      </c>
      <c r="K97" s="75"/>
      <c r="L97" s="59" t="str">
        <f>D97</f>
        <v>m</v>
      </c>
      <c r="M97" s="59" t="str">
        <f t="shared" si="5"/>
        <v>m</v>
      </c>
      <c r="O97" s="132" t="str">
        <f t="shared" si="6"/>
        <v>m(\d)</v>
      </c>
      <c r="P97" s="135" t="s">
        <v>1359</v>
      </c>
      <c r="Q97" s="135">
        <f t="shared" si="7"/>
        <v>1</v>
      </c>
      <c r="R97" s="132" t="str">
        <f t="shared" si="9"/>
        <v>》m${1}</v>
      </c>
      <c r="S97" s="57"/>
      <c r="T97" s="58" t="str">
        <f t="shared" si="8"/>
        <v xml:space="preserve">    - xform/》m(\d)/》m${1}/</v>
      </c>
    </row>
    <row r="98" spans="1:20" ht="27.75" thickBot="1">
      <c r="A98" s="59">
        <f xml:space="preserve"> ROW() -2</f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EXACT(台語音標韻母清單【依字長反排序】!$C86,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EXACT(台語音標韻母清單【依字長反排序】!$C86, 韻母對照表[台羅拼音]), 0)), "")</f>
        <v>un</v>
      </c>
      <c r="H98" s="56" t="str" cm="1">
        <f t="array" ref="H98" xml:space="preserve"> IFERROR( INDEX(韻母對照表[十五音識別碼], MATCH(TRUE, EXACT(台語音標韻母清單【依字長反排序】!$C86, 韻母對照表[台羅拼音]), 0)), "")</f>
        <v>君舒</v>
      </c>
      <c r="I98" s="59" t="str" cm="1">
        <f t="array" ref="I98" xml:space="preserve"> IFERROR( INDEX(韻母對照表[方音符號], MATCH(TRUE, EXACT(台語音標韻母清單【依字長反排序】!$C86, 韻母對照表[台羅拼音]), 0)), "")</f>
        <v>ㄨㄣ</v>
      </c>
      <c r="J98" s="131">
        <f xml:space="preserve"> LEN(D98)</f>
        <v>1</v>
      </c>
      <c r="K98" s="75"/>
      <c r="L98" s="59" t="str">
        <f>D98</f>
        <v>o</v>
      </c>
      <c r="M98" s="59" t="str">
        <f t="shared" si="5"/>
        <v>o</v>
      </c>
      <c r="O98" s="132" t="str">
        <f t="shared" si="6"/>
        <v>o(\d)</v>
      </c>
      <c r="P98" s="135" t="s">
        <v>1241</v>
      </c>
      <c r="Q98" s="135">
        <f t="shared" si="7"/>
        <v>1</v>
      </c>
      <c r="R98" s="132" t="str">
        <f t="shared" si="9"/>
        <v>》o${1}</v>
      </c>
      <c r="S98" s="57"/>
      <c r="T98" s="58" t="str">
        <f t="shared" si="8"/>
        <v xml:space="preserve">    - xform/》o(\d)/》o${1}/</v>
      </c>
    </row>
    <row r="99" spans="1:20" ht="27.75" thickBot="1">
      <c r="A99" s="59">
        <f xml:space="preserve"> ROW() -2</f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EXACT(台語音標韻母清單【依字長反排序】!$C87,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EXACT(台語音標韻母清單【依字長反排序】!$C87, 韻母對照表[台羅拼音]), 0)), "")</f>
        <v>ut</v>
      </c>
      <c r="H99" s="56" t="str" cm="1">
        <f t="array" ref="H99" xml:space="preserve"> IFERROR( INDEX(韻母對照表[十五音識別碼], MATCH(TRUE, EXACT(台語音標韻母清單【依字長反排序】!$C87, 韻母對照表[台羅拼音]), 0)), "")</f>
        <v>君促</v>
      </c>
      <c r="I99" s="59" t="str" cm="1">
        <f t="array" ref="I99" xml:space="preserve"> IFERROR( INDEX(韻母對照表[方音符號], MATCH(TRUE, EXACT(台語音標韻母清單【依字長反排序】!$C87, 韻母對照表[台羅拼音]), 0)), "")</f>
        <v>ㄨㆵ</v>
      </c>
      <c r="J99" s="131">
        <f xml:space="preserve"> LEN(D99)</f>
        <v>1</v>
      </c>
      <c r="K99" s="75"/>
      <c r="L99" s="59" t="str">
        <f>D99</f>
        <v>u</v>
      </c>
      <c r="M99" s="59" t="str">
        <f t="shared" si="5"/>
        <v>u</v>
      </c>
      <c r="O99" s="132" t="str">
        <f t="shared" si="6"/>
        <v>u(\d)</v>
      </c>
      <c r="P99" s="135" t="s">
        <v>1252</v>
      </c>
      <c r="Q99" s="135">
        <f t="shared" si="7"/>
        <v>1</v>
      </c>
      <c r="R99" s="132" t="str">
        <f t="shared" si="9"/>
        <v>》u${1}</v>
      </c>
      <c r="S99" s="57"/>
      <c r="T99" s="58" t="str">
        <f t="shared" si="8"/>
        <v xml:space="preserve">    - xform/》u(\d)/》u${1}/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sortState xmlns:xlrd2="http://schemas.microsoft.com/office/spreadsheetml/2017/richdata2" ref="A4:J99">
    <sortCondition descending="1" ref="J4:J99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uenn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uenn</v>
      </c>
      <c r="L12" s="59" t="str">
        <f t="shared" si="3"/>
        <v>onnh</v>
      </c>
      <c r="M12" s="57"/>
      <c r="N12" s="58" t="str">
        <f t="shared" si="1"/>
        <v>xform/uenn/onnh/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/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/>
      </c>
      <c r="H87" s="56" t="str" cm="1">
        <f t="array" ref="H87" xml:space="preserve"> IFERROR( INDEX(韻母對照表[十五音識別碼], MATCH(TRUE, EXACT(韻母轉換規則!$C87, 韻母對照表[台羅拼音]), 0)), "")</f>
        <v/>
      </c>
      <c r="I87" s="59" t="str" cm="1">
        <f t="array" ref="I87" xml:space="preserve"> IFERROR( INDEX(韻母對照表[方音符號], MATCH(TRUE, EXACT(韻母轉換規則!$C87, 韻母對照表[台羅拼音]), 0)), "")</f>
        <v/>
      </c>
      <c r="J87" s="75"/>
      <c r="K87" s="59" t="str">
        <f t="shared" si="7"/>
        <v/>
      </c>
      <c r="L87" s="59" t="str">
        <f t="shared" si="4"/>
        <v>om</v>
      </c>
      <c r="M87" s="57"/>
      <c r="N87" s="58" t="str">
        <f t="shared" si="8"/>
        <v/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U46"/>
  <sheetViews>
    <sheetView topLeftCell="I7" workbookViewId="0">
      <selection activeCell="K46" sqref="K46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</cols>
  <sheetData>
    <row r="1" spans="1:21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1" ht="39">
      <c r="A2" s="1">
        <v>1</v>
      </c>
      <c r="B2" s="1" t="s">
        <v>638</v>
      </c>
      <c r="C2" s="1" t="s">
        <v>635</v>
      </c>
      <c r="D2" s="112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13"/>
      <c r="L2" s="114" t="s">
        <v>318</v>
      </c>
      <c r="M2" s="114" t="s">
        <v>639</v>
      </c>
      <c r="N2" s="115" t="s">
        <v>1331</v>
      </c>
    </row>
    <row r="3" spans="1:21" ht="39">
      <c r="A3" s="1">
        <v>2</v>
      </c>
      <c r="B3" s="1" t="s">
        <v>643</v>
      </c>
      <c r="C3" s="1" t="s">
        <v>640</v>
      </c>
      <c r="D3" s="112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13" t="s">
        <v>691</v>
      </c>
      <c r="L3" s="114" t="s">
        <v>646</v>
      </c>
      <c r="M3" s="114" t="s">
        <v>647</v>
      </c>
      <c r="N3" s="114" t="s">
        <v>644</v>
      </c>
    </row>
    <row r="4" spans="1:21" ht="39">
      <c r="A4" s="1">
        <v>3</v>
      </c>
      <c r="B4" s="1" t="s">
        <v>651</v>
      </c>
      <c r="C4" s="1" t="s">
        <v>648</v>
      </c>
      <c r="D4" s="112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13"/>
      <c r="L4" s="114" t="s">
        <v>654</v>
      </c>
      <c r="M4" s="114" t="s">
        <v>655</v>
      </c>
      <c r="N4" s="114" t="s">
        <v>652</v>
      </c>
    </row>
    <row r="5" spans="1:21" ht="39">
      <c r="A5" s="1">
        <v>4</v>
      </c>
      <c r="B5" s="1" t="s">
        <v>659</v>
      </c>
      <c r="C5" s="1" t="s">
        <v>656</v>
      </c>
      <c r="D5" s="112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13" t="s">
        <v>692</v>
      </c>
      <c r="L5" s="114" t="s">
        <v>662</v>
      </c>
      <c r="M5" s="114" t="s">
        <v>663</v>
      </c>
      <c r="N5" s="114" t="s">
        <v>660</v>
      </c>
    </row>
    <row r="6" spans="1:21" ht="39">
      <c r="A6" s="1">
        <v>5</v>
      </c>
      <c r="B6" s="1" t="s">
        <v>667</v>
      </c>
      <c r="C6" s="1" t="s">
        <v>664</v>
      </c>
      <c r="D6" s="112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13"/>
      <c r="L6" s="114" t="s">
        <v>670</v>
      </c>
      <c r="M6" s="114" t="s">
        <v>671</v>
      </c>
      <c r="N6" s="114" t="s">
        <v>668</v>
      </c>
    </row>
    <row r="7" spans="1:21" ht="39">
      <c r="A7" s="1">
        <v>6</v>
      </c>
      <c r="B7" s="1" t="s">
        <v>675</v>
      </c>
      <c r="C7" s="1" t="s">
        <v>672</v>
      </c>
      <c r="D7" s="112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13"/>
      <c r="L7" s="114" t="s">
        <v>677</v>
      </c>
      <c r="M7" s="114" t="s">
        <v>639</v>
      </c>
      <c r="N7" s="114" t="s">
        <v>676</v>
      </c>
    </row>
    <row r="8" spans="1:21" ht="39">
      <c r="A8" s="1">
        <v>7</v>
      </c>
      <c r="B8" s="1" t="s">
        <v>681</v>
      </c>
      <c r="C8" s="1" t="s">
        <v>678</v>
      </c>
      <c r="D8" s="112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13"/>
      <c r="L8" s="114" t="s">
        <v>683</v>
      </c>
      <c r="M8" s="114" t="s">
        <v>684</v>
      </c>
      <c r="N8" s="114" t="s">
        <v>682</v>
      </c>
    </row>
    <row r="10" spans="1:21">
      <c r="R10" t="s">
        <v>802</v>
      </c>
    </row>
    <row r="11" spans="1:21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R11" s="50" t="s">
        <v>781</v>
      </c>
    </row>
    <row r="12" spans="1:21" ht="30">
      <c r="E12" s="1">
        <v>1</v>
      </c>
      <c r="F12" s="14" t="s">
        <v>787</v>
      </c>
      <c r="G12" s="14">
        <v>1</v>
      </c>
      <c r="H12" s="108" t="s">
        <v>1331</v>
      </c>
      <c r="I12" s="120"/>
      <c r="J12" s="105" t="str">
        <f xml:space="preserve"> IFERROR( _xlfn.CONCAT("a"), "")</f>
        <v>a</v>
      </c>
      <c r="K12" s="118" t="s">
        <v>691</v>
      </c>
      <c r="L12" s="124" t="str">
        <f t="shared" ref="L12:L14" si="0" xml:space="preserve"> IFERROR( _xlfn.CONCAT("a", _xlfn.UNICHAR(HEX2DEC(RIGHT(K12,4)))), "")</f>
        <v>ā</v>
      </c>
      <c r="M12" s="110" t="s">
        <v>1330</v>
      </c>
      <c r="N12" s="122"/>
      <c r="O12" s="126" t="str">
        <f xml:space="preserve"> IFERROR( _xlfn.CONCAT("ㄚ"), "")</f>
        <v>ㄚ</v>
      </c>
      <c r="R12" s="51" t="str">
        <f xml:space="preserve"> IFERROR( _xlfn.CONCAT("a"), "")</f>
        <v>a</v>
      </c>
      <c r="T12" t="str">
        <f t="shared" ref="T12:T19" si="1" xml:space="preserve"> IFERROR( _xlfn.CONCAT("l", "u", _xlfn.UNICHAR(HEX2DEC(RIGHT($K12,4))), "n"), "")</f>
        <v>lūn</v>
      </c>
      <c r="U12" t="str">
        <f t="shared" ref="U12:U19" si="2" xml:space="preserve"> IFERROR( _xlfn.CONCAT("n", "g", "o", _xlfn.UNICHAR(HEX2DEC(RIGHT($K12,4))), "o"), "")</f>
        <v>ngōo</v>
      </c>
    </row>
    <row r="13" spans="1:21" ht="30">
      <c r="E13" s="1">
        <v>2</v>
      </c>
      <c r="F13" s="14" t="s">
        <v>788</v>
      </c>
      <c r="G13" s="14">
        <v>2</v>
      </c>
      <c r="H13" s="109" t="s">
        <v>1332</v>
      </c>
      <c r="I13" s="120" t="s">
        <v>692</v>
      </c>
      <c r="J13" s="105" t="str">
        <f xml:space="preserve"> IFERROR( _xlfn.CONCAT("a", _xlfn.UNICHAR(HEX2DEC(RIGHT($I13,4)))), "")</f>
        <v>á</v>
      </c>
      <c r="K13" s="118" t="s">
        <v>785</v>
      </c>
      <c r="L13" s="124" t="str">
        <f t="shared" si="0"/>
        <v>ǎ</v>
      </c>
      <c r="M13" s="111">
        <v>4</v>
      </c>
      <c r="N13" s="122" t="s">
        <v>777</v>
      </c>
      <c r="O13" s="126" t="str">
        <f t="shared" ref="O13:O18" si="3" xml:space="preserve"> IFERROR( _xlfn.CONCAT("ㄚ", _xlfn.UNICHAR(HEX2DEC(RIGHT(N13,4)))), "")</f>
        <v>ㄚ̀</v>
      </c>
      <c r="R13" s="51" t="str">
        <f xml:space="preserve"> IFERROR( _xlfn.CONCAT("a", _xlfn.UNICHAR(HEX2DEC(RIGHT($I13,4)))), "")</f>
        <v>á</v>
      </c>
      <c r="T13" t="str">
        <f t="shared" si="1"/>
        <v>lǔn</v>
      </c>
      <c r="U13" t="str">
        <f t="shared" si="2"/>
        <v>ngǒo</v>
      </c>
    </row>
    <row r="14" spans="1:21" ht="30">
      <c r="E14" s="1">
        <v>3</v>
      </c>
      <c r="F14" s="14" t="s">
        <v>789</v>
      </c>
      <c r="G14" s="14">
        <v>3</v>
      </c>
      <c r="H14" s="109" t="s">
        <v>652</v>
      </c>
      <c r="I14" s="120" t="s">
        <v>777</v>
      </c>
      <c r="J14" s="105" t="str">
        <f t="shared" ref="J14:J21" si="4" xml:space="preserve"> IFERROR( _xlfn.CONCAT("a", _xlfn.UNICHAR(HEX2DEC(RIGHT($I14,4)))), "")</f>
        <v>à</v>
      </c>
      <c r="K14" s="118" t="s">
        <v>777</v>
      </c>
      <c r="L14" s="124" t="str">
        <f t="shared" si="0"/>
        <v>à</v>
      </c>
      <c r="M14" s="111">
        <v>3</v>
      </c>
      <c r="N14" s="122" t="s">
        <v>778</v>
      </c>
      <c r="O14" s="126" t="str">
        <f t="shared" si="3"/>
        <v>ㄚ˪</v>
      </c>
      <c r="R14" s="51" t="str">
        <f t="shared" ref="R14:R21" si="5" xml:space="preserve"> IFERROR( _xlfn.CONCAT("a", _xlfn.UNICHAR(HEX2DEC(RIGHT($I14,4)))), "")</f>
        <v>à</v>
      </c>
      <c r="T14" t="str">
        <f t="shared" si="1"/>
        <v>lùn</v>
      </c>
      <c r="U14" t="str">
        <f t="shared" si="2"/>
        <v>ngòo</v>
      </c>
    </row>
    <row r="15" spans="1:21" ht="30">
      <c r="E15" s="1">
        <v>4</v>
      </c>
      <c r="F15" s="14" t="s">
        <v>790</v>
      </c>
      <c r="G15" s="14">
        <v>4</v>
      </c>
      <c r="H15" s="109" t="s">
        <v>1333</v>
      </c>
      <c r="I15" s="120"/>
      <c r="J15" s="105" t="str">
        <f t="shared" si="4"/>
        <v/>
      </c>
      <c r="K15" s="118" t="s">
        <v>794</v>
      </c>
      <c r="L15" s="124" t="str">
        <f xml:space="preserve"> IFERROR( _xlfn.CONCAT("a", _xlfn.UNICHAR(HEX2DEC(RIGHT(K15,4))), "h"), "")</f>
        <v>āh</v>
      </c>
      <c r="M15" s="111" t="s">
        <v>1333</v>
      </c>
      <c r="N15" s="122"/>
      <c r="O15" s="126" t="str">
        <f xml:space="preserve"> IFERROR( _xlfn.CONCAT("ㄚ", "ㆷ"), "")</f>
        <v>ㄚㆷ</v>
      </c>
      <c r="R15" s="51" t="str">
        <f t="shared" si="5"/>
        <v/>
      </c>
      <c r="T15" t="str">
        <f t="shared" si="1"/>
        <v>lūn</v>
      </c>
      <c r="U15" t="str">
        <f t="shared" si="2"/>
        <v>ngōo</v>
      </c>
    </row>
    <row r="16" spans="1:21" ht="30">
      <c r="E16" s="1">
        <v>5</v>
      </c>
      <c r="F16" s="14" t="s">
        <v>791</v>
      </c>
      <c r="G16" s="14">
        <v>5</v>
      </c>
      <c r="H16" s="109" t="s">
        <v>668</v>
      </c>
      <c r="I16" s="120" t="s">
        <v>785</v>
      </c>
      <c r="J16" s="105" t="str">
        <f t="shared" si="4"/>
        <v>ǎ</v>
      </c>
      <c r="K16" s="118" t="s">
        <v>779</v>
      </c>
      <c r="L16" s="124" t="str">
        <f t="shared" ref="L16:L17" si="6" xml:space="preserve"> IFERROR( _xlfn.CONCAT("a", _xlfn.UNICHAR(HEX2DEC(RIGHT(K16,4)))), "")</f>
        <v>á</v>
      </c>
      <c r="M16" s="111">
        <v>6</v>
      </c>
      <c r="N16" s="122" t="s">
        <v>779</v>
      </c>
      <c r="O16" s="126" t="str">
        <f t="shared" si="3"/>
        <v>ㄚ́</v>
      </c>
      <c r="R16" s="51" t="str">
        <f t="shared" si="5"/>
        <v>ǎ</v>
      </c>
      <c r="T16" t="str">
        <f t="shared" si="1"/>
        <v>lún</v>
      </c>
      <c r="U16" t="str">
        <f t="shared" si="2"/>
        <v>ngóo</v>
      </c>
    </row>
    <row r="17" spans="5:21" ht="30">
      <c r="E17" s="1">
        <v>6</v>
      </c>
      <c r="F17" s="14" t="s">
        <v>788</v>
      </c>
      <c r="G17" s="116">
        <v>6</v>
      </c>
      <c r="H17" s="109"/>
      <c r="I17" s="121" t="s">
        <v>779</v>
      </c>
      <c r="J17" s="105" t="str">
        <f t="shared" si="4"/>
        <v>á</v>
      </c>
      <c r="K17" s="119" t="s">
        <v>785</v>
      </c>
      <c r="L17" s="125" t="str">
        <f t="shared" si="6"/>
        <v>ǎ</v>
      </c>
      <c r="M17" s="111"/>
      <c r="N17" s="123" t="s">
        <v>777</v>
      </c>
      <c r="O17" s="127" t="str">
        <f t="shared" si="3"/>
        <v>ㄚ̀</v>
      </c>
      <c r="R17" s="51" t="str">
        <f t="shared" si="5"/>
        <v>á</v>
      </c>
      <c r="T17" t="str">
        <f t="shared" si="1"/>
        <v>lǔn</v>
      </c>
      <c r="U17" t="str">
        <f t="shared" si="2"/>
        <v>ngǒo</v>
      </c>
    </row>
    <row r="18" spans="5:21" ht="30">
      <c r="E18" s="1">
        <v>7</v>
      </c>
      <c r="F18" s="14" t="s">
        <v>792</v>
      </c>
      <c r="G18" s="14">
        <v>7</v>
      </c>
      <c r="H18" s="108" t="s">
        <v>1334</v>
      </c>
      <c r="I18" s="120" t="s">
        <v>691</v>
      </c>
      <c r="J18" s="105" t="str">
        <f t="shared" si="4"/>
        <v>ā</v>
      </c>
      <c r="K18" s="118" t="s">
        <v>784</v>
      </c>
      <c r="L18" s="124" t="str">
        <f t="shared" ref="L18" si="7" xml:space="preserve"> IFERROR( _xlfn.CONCAT("a", _xlfn.UNICHAR(HEX2DEC(RIGHT(K18,4)))), "")</f>
        <v>â</v>
      </c>
      <c r="M18" s="110">
        <v>5</v>
      </c>
      <c r="N18" s="122" t="s">
        <v>780</v>
      </c>
      <c r="O18" s="126" t="str">
        <f t="shared" si="3"/>
        <v>ㄚ˫</v>
      </c>
      <c r="R18" s="51" t="str">
        <f t="shared" si="5"/>
        <v>ā</v>
      </c>
      <c r="T18" t="str">
        <f t="shared" si="1"/>
        <v>lûn</v>
      </c>
      <c r="U18" t="str">
        <f t="shared" si="2"/>
        <v>ngôo</v>
      </c>
    </row>
    <row r="19" spans="5:21" ht="30">
      <c r="E19" s="1">
        <v>8</v>
      </c>
      <c r="F19" s="14" t="s">
        <v>793</v>
      </c>
      <c r="G19" s="14">
        <v>8</v>
      </c>
      <c r="H19" s="109" t="s">
        <v>682</v>
      </c>
      <c r="I19" s="120" t="s">
        <v>801</v>
      </c>
      <c r="J19" s="105" t="str">
        <f t="shared" si="4"/>
        <v>a̍</v>
      </c>
      <c r="K19" s="118" t="s">
        <v>779</v>
      </c>
      <c r="L19" s="124" t="str">
        <f xml:space="preserve"> IFERROR( _xlfn.CONCAT("a", _xlfn.UNICHAR(HEX2DEC(RIGHT(K19,4))), "h"), "")</f>
        <v>áh</v>
      </c>
      <c r="M19" s="111" t="s">
        <v>1335</v>
      </c>
      <c r="N19" s="122" t="s">
        <v>776</v>
      </c>
      <c r="O19" s="126" t="str">
        <f xml:space="preserve"> IFERROR( _xlfn.CONCAT("ㄚ", "ㆷ", _xlfn.UNICHAR(HEX2DEC(RIGHT(N19,4)))), "")</f>
        <v>ㄚㆷ˙</v>
      </c>
      <c r="R19" s="51" t="str">
        <f t="shared" si="5"/>
        <v>a̍</v>
      </c>
      <c r="T19" t="str">
        <f t="shared" si="1"/>
        <v>lún</v>
      </c>
      <c r="U19" t="str">
        <f t="shared" si="2"/>
        <v>ngóo</v>
      </c>
    </row>
    <row r="20" spans="5:21" ht="30">
      <c r="E20" s="1">
        <v>9</v>
      </c>
      <c r="F20" s="14" t="s">
        <v>786</v>
      </c>
      <c r="G20" s="14">
        <v>9</v>
      </c>
      <c r="H20" s="109"/>
      <c r="I20" s="120" t="s">
        <v>695</v>
      </c>
      <c r="J20" s="105" t="str">
        <f t="shared" si="4"/>
        <v>a̋</v>
      </c>
      <c r="K20" s="118"/>
      <c r="L20" s="117"/>
      <c r="M20" s="111"/>
      <c r="N20" s="122"/>
      <c r="O20" s="126"/>
      <c r="R20" s="51" t="str">
        <f t="shared" si="5"/>
        <v>a̋</v>
      </c>
      <c r="T20" t="str">
        <f xml:space="preserve"> IFERROR( _xlfn.CONCAT("l", "u", _xlfn.UNICHAR(HEX2DEC(RIGHT(K20,4))), "n"), "")</f>
        <v/>
      </c>
    </row>
    <row r="21" spans="5:21" ht="30">
      <c r="E21" s="1">
        <v>10</v>
      </c>
      <c r="F21" s="14" t="s">
        <v>786</v>
      </c>
      <c r="G21" s="14">
        <v>0</v>
      </c>
      <c r="H21" s="109"/>
      <c r="I21" s="120" t="s">
        <v>694</v>
      </c>
      <c r="J21" s="105" t="str">
        <f t="shared" si="4"/>
        <v>å</v>
      </c>
      <c r="K21" s="118"/>
      <c r="L21" s="117"/>
      <c r="M21" s="111">
        <v>7</v>
      </c>
      <c r="N21" s="122" t="s">
        <v>694</v>
      </c>
      <c r="O21" s="126" t="str">
        <f xml:space="preserve"> IFERROR( _xlfn.CONCAT("ㄚ", _xlfn.UNICHAR(HEX2DEC(RIGHT(N21,4)))), "")</f>
        <v>ㄚ̊</v>
      </c>
      <c r="R21" s="51" t="str">
        <f t="shared" si="5"/>
        <v>å</v>
      </c>
      <c r="T21" t="str">
        <f xml:space="preserve"> IFERROR( _xlfn.CONCAT("l", "u", _xlfn.UNICHAR(HEX2DEC(RIGHT(K21,4))), "n"), "")</f>
        <v/>
      </c>
    </row>
    <row r="24" spans="5:21">
      <c r="J24" s="50" t="s">
        <v>1348</v>
      </c>
      <c r="K24" s="50" t="s">
        <v>1337</v>
      </c>
      <c r="L24" s="50" t="s">
        <v>693</v>
      </c>
      <c r="M24" s="50" t="s">
        <v>798</v>
      </c>
      <c r="N24" s="50" t="s">
        <v>782</v>
      </c>
      <c r="O24" s="50" t="s">
        <v>1338</v>
      </c>
    </row>
    <row r="25" spans="5:21" ht="30">
      <c r="J25" s="14">
        <v>1</v>
      </c>
      <c r="K25" s="110" t="s">
        <v>1330</v>
      </c>
      <c r="L25" s="14" t="s">
        <v>1339</v>
      </c>
      <c r="M25" s="14" t="s">
        <v>787</v>
      </c>
      <c r="N25" s="106" t="str">
        <f xml:space="preserve"> IFERROR( _xlfn.CONCAT("ㄚ"), "")</f>
        <v>ㄚ</v>
      </c>
      <c r="O25" s="106" t="s">
        <v>794</v>
      </c>
    </row>
    <row r="26" spans="5:21" ht="30">
      <c r="J26" s="14">
        <v>2</v>
      </c>
      <c r="K26" s="111">
        <v>4</v>
      </c>
      <c r="L26" s="14" t="s">
        <v>1340</v>
      </c>
      <c r="M26" s="14" t="s">
        <v>788</v>
      </c>
      <c r="N26" s="106" t="str">
        <f xml:space="preserve"> IFERROR( _xlfn.CONCAT("ㄚ", _xlfn.UNICHAR(HEX2DEC(RIGHT(O26,4)))), "")</f>
        <v>ㄚ̀</v>
      </c>
      <c r="O26" s="106" t="s">
        <v>777</v>
      </c>
    </row>
    <row r="27" spans="5:21" ht="30">
      <c r="J27" s="14">
        <v>3</v>
      </c>
      <c r="K27" s="111">
        <v>3</v>
      </c>
      <c r="L27" s="14" t="s">
        <v>1341</v>
      </c>
      <c r="M27" s="14" t="s">
        <v>789</v>
      </c>
      <c r="N27" s="106" t="str">
        <f xml:space="preserve"> IFERROR( _xlfn.CONCAT("ㄚ", _xlfn.UNICHAR(HEX2DEC(RIGHT(O27,4)))), "")</f>
        <v>ㄚ˪</v>
      </c>
      <c r="O27" s="106" t="s">
        <v>778</v>
      </c>
    </row>
    <row r="28" spans="5:21" ht="30">
      <c r="J28" s="14">
        <v>4</v>
      </c>
      <c r="K28" s="111" t="s">
        <v>1333</v>
      </c>
      <c r="L28" s="14" t="s">
        <v>1342</v>
      </c>
      <c r="M28" s="14" t="s">
        <v>790</v>
      </c>
      <c r="N28" s="106" t="str">
        <f xml:space="preserve"> IFERROR( _xlfn.CONCAT("ㄚ", "ㆷ"), "")</f>
        <v>ㄚㆷ</v>
      </c>
      <c r="O28" s="106"/>
    </row>
    <row r="29" spans="5:21" ht="30">
      <c r="J29" s="14">
        <v>5</v>
      </c>
      <c r="K29" s="111">
        <v>6</v>
      </c>
      <c r="L29" s="14" t="s">
        <v>1343</v>
      </c>
      <c r="M29" s="14" t="s">
        <v>791</v>
      </c>
      <c r="N29" s="106" t="str">
        <f xml:space="preserve"> IFERROR( _xlfn.CONCAT("ㄚ", _xlfn.UNICHAR(HEX2DEC(RIGHT(O29,4)))), "")</f>
        <v>ㄚ́</v>
      </c>
      <c r="O29" s="106" t="s">
        <v>779</v>
      </c>
    </row>
    <row r="30" spans="5:21" ht="30">
      <c r="J30" s="14">
        <v>6</v>
      </c>
      <c r="K30" s="111"/>
      <c r="L30" s="116" t="s">
        <v>1344</v>
      </c>
      <c r="M30" s="14" t="s">
        <v>788</v>
      </c>
      <c r="N30" s="107" t="str">
        <f xml:space="preserve"> IFERROR( _xlfn.CONCAT("ㄚ", _xlfn.UNICHAR(HEX2DEC(RIGHT(O30,4)))), "")</f>
        <v>ㄚ̀</v>
      </c>
      <c r="O30" s="107" t="s">
        <v>777</v>
      </c>
    </row>
    <row r="31" spans="5:21" ht="30">
      <c r="J31" s="14">
        <v>7</v>
      </c>
      <c r="K31" s="110">
        <v>5</v>
      </c>
      <c r="L31" s="14" t="s">
        <v>1345</v>
      </c>
      <c r="M31" s="14" t="s">
        <v>792</v>
      </c>
      <c r="N31" s="106" t="str">
        <f xml:space="preserve"> IFERROR( _xlfn.CONCAT("ㄚ", _xlfn.UNICHAR(HEX2DEC(RIGHT(O31,4)))), "")</f>
        <v>ㄚ˫</v>
      </c>
      <c r="O31" s="106" t="s">
        <v>780</v>
      </c>
    </row>
    <row r="32" spans="5:21" ht="30">
      <c r="J32" s="14">
        <v>8</v>
      </c>
      <c r="K32" s="111" t="s">
        <v>1335</v>
      </c>
      <c r="L32" s="14" t="s">
        <v>1346</v>
      </c>
      <c r="M32" s="14" t="s">
        <v>793</v>
      </c>
      <c r="N32" s="106" t="str">
        <f xml:space="preserve"> IFERROR( _xlfn.CONCAT("ㄚ", "ㆷ", _xlfn.UNICHAR(HEX2DEC(RIGHT(O32,4)))), "")</f>
        <v>ㄚㆷ˙</v>
      </c>
      <c r="O32" s="106" t="s">
        <v>776</v>
      </c>
    </row>
    <row r="33" spans="10:15" ht="30">
      <c r="J33" s="14">
        <v>9</v>
      </c>
      <c r="K33" s="111">
        <v>7</v>
      </c>
      <c r="L33" s="14" t="s">
        <v>1347</v>
      </c>
      <c r="M33" s="14" t="s">
        <v>1336</v>
      </c>
      <c r="N33" s="106" t="str">
        <f xml:space="preserve"> IFERROR( _xlfn.CONCAT("ㄚ", _xlfn.UNICHAR(HEX2DEC(RIGHT(O33,4)))), "")</f>
        <v>ㄚ̊</v>
      </c>
      <c r="O33" s="106" t="s">
        <v>694</v>
      </c>
    </row>
    <row r="36" spans="10:15">
      <c r="J36" s="50" t="s">
        <v>1348</v>
      </c>
      <c r="K36" s="50" t="s">
        <v>4</v>
      </c>
      <c r="L36" s="50" t="s">
        <v>1338</v>
      </c>
      <c r="M36" s="50" t="s">
        <v>1352</v>
      </c>
      <c r="N36" s="50" t="s">
        <v>1353</v>
      </c>
    </row>
    <row r="37" spans="10:15">
      <c r="J37" s="14">
        <v>1</v>
      </c>
      <c r="K37" s="106" t="s">
        <v>318</v>
      </c>
      <c r="L37" s="106" t="s">
        <v>794</v>
      </c>
      <c r="M37" s="14" t="s">
        <v>1339</v>
      </c>
      <c r="N37" s="14" t="s">
        <v>787</v>
      </c>
    </row>
    <row r="38" spans="10:15">
      <c r="J38" s="14">
        <v>2</v>
      </c>
      <c r="K38" s="106" t="s">
        <v>1350</v>
      </c>
      <c r="L38" s="106" t="s">
        <v>777</v>
      </c>
      <c r="M38" s="14" t="s">
        <v>1340</v>
      </c>
      <c r="N38" s="14" t="s">
        <v>788</v>
      </c>
    </row>
    <row r="39" spans="10:15">
      <c r="J39" s="14">
        <v>3</v>
      </c>
      <c r="K39" s="106" t="s">
        <v>654</v>
      </c>
      <c r="L39" s="106" t="s">
        <v>778</v>
      </c>
      <c r="M39" s="14" t="s">
        <v>1341</v>
      </c>
      <c r="N39" s="14" t="s">
        <v>789</v>
      </c>
    </row>
    <row r="40" spans="10:15">
      <c r="J40" s="14">
        <v>4</v>
      </c>
      <c r="K40" s="106" t="s">
        <v>1351</v>
      </c>
      <c r="L40" s="106"/>
      <c r="M40" s="14" t="s">
        <v>1342</v>
      </c>
      <c r="N40" s="14" t="s">
        <v>790</v>
      </c>
    </row>
    <row r="41" spans="10:15">
      <c r="J41" s="14">
        <v>5</v>
      </c>
      <c r="K41" s="106" t="s">
        <v>1349</v>
      </c>
      <c r="L41" s="106" t="s">
        <v>779</v>
      </c>
      <c r="M41" s="14" t="s">
        <v>1343</v>
      </c>
      <c r="N41" s="14" t="s">
        <v>791</v>
      </c>
    </row>
    <row r="42" spans="10:15">
      <c r="J42" s="14">
        <v>6</v>
      </c>
      <c r="K42" s="107" t="s">
        <v>1350</v>
      </c>
      <c r="L42" s="107" t="s">
        <v>777</v>
      </c>
      <c r="M42" s="116" t="s">
        <v>1344</v>
      </c>
      <c r="N42" s="14" t="s">
        <v>788</v>
      </c>
    </row>
    <row r="43" spans="10:15">
      <c r="J43" s="14">
        <v>7</v>
      </c>
      <c r="K43" s="106" t="s">
        <v>646</v>
      </c>
      <c r="L43" s="106" t="s">
        <v>780</v>
      </c>
      <c r="M43" s="14" t="s">
        <v>1345</v>
      </c>
      <c r="N43" s="14" t="s">
        <v>792</v>
      </c>
    </row>
    <row r="44" spans="10:15">
      <c r="J44" s="14">
        <v>8</v>
      </c>
      <c r="K44" s="106" t="s">
        <v>719</v>
      </c>
      <c r="L44" s="106" t="s">
        <v>776</v>
      </c>
      <c r="M44" s="14" t="s">
        <v>1346</v>
      </c>
      <c r="N44" s="14" t="s">
        <v>793</v>
      </c>
    </row>
    <row r="46" spans="10:15">
      <c r="K46" t="str">
        <f xml:space="preserve"> _xlfn.UNICHAR( HEX2DEC( RIGHT(L46,4)))</f>
        <v>¯</v>
      </c>
      <c r="L46" s="128" t="s">
        <v>1354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29" t="s">
        <v>959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【聲】聲母對照表</vt:lpstr>
      <vt:lpstr>【韻】韻母對照表</vt:lpstr>
      <vt:lpstr>【韻】韻母對照表 (3)</vt:lpstr>
      <vt:lpstr>台語音標韻母清單【依字長反排序】</vt:lpstr>
      <vt:lpstr>韻母轉換規則</vt:lpstr>
      <vt:lpstr>台語注音二式轉換</vt:lpstr>
      <vt:lpstr>【調】聲調對照表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2026-05-05T09:07:01Z</dcterms:modified>
</cp:coreProperties>
</file>