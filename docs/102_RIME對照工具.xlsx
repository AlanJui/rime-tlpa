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FC657A0B-7069-4B50-9245-47644FE6B49E}" xr6:coauthVersionLast="47" xr6:coauthVersionMax="47" xr10:uidLastSave="{00000000-0000-0000-0000-000000000000}"/>
  <bookViews>
    <workbookView xWindow="-28920" yWindow="-120" windowWidth="29040" windowHeight="15720" activeTab="1" xr2:uid="{F24D58E0-B204-45A4-8E74-84AA1A2ACD5E}"/>
  </bookViews>
  <sheets>
    <sheet name="【韻】韻母清單（工作表） " sheetId="1" r:id="rId1"/>
    <sheet name="【韻】韻母清單（白話字）" sheetId="6" r:id="rId2"/>
    <sheet name="【聲】聲母對照表（注音二式）" sheetId="4" r:id="rId3"/>
    <sheet name="【聲】聲母對照表 (台語注音)" sheetId="5" r:id="rId4"/>
    <sheet name="【韻】韻母清單（工作表）  (倒排序)" sheetId="2" r:id="rId5"/>
    <sheet name="【韻】韻母清單（工作表）  (2)" sheetId="3" r:id="rId6"/>
  </sheets>
  <definedNames>
    <definedName name="_xlnm._FilterDatabase" localSheetId="0" hidden="1">'【韻】韻母清單（工作表） '!$B$3:$L$85</definedName>
    <definedName name="_xlnm._FilterDatabase" localSheetId="5" hidden="1">'【韻】韻母清單（工作表）  (2)'!$B$3:$L$85</definedName>
    <definedName name="_xlnm._FilterDatabase" localSheetId="4" hidden="1">'【韻】韻母清單（工作表）  (倒排序)'!$B$3:$L$85</definedName>
    <definedName name="_xlnm._FilterDatabase" localSheetId="1" hidden="1">'【韻】韻母清單（白話字）'!$B$3:$L$85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R5" i="6" l="1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G57" i="3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4" i="6"/>
  <c r="S4" i="6"/>
  <c r="U4" i="6" s="1"/>
  <c r="M4" i="6"/>
  <c r="R4" i="6" s="1"/>
  <c r="N4" i="6"/>
  <c r="M5" i="6"/>
  <c r="N5" i="6"/>
  <c r="M6" i="6"/>
  <c r="S6" i="6" s="1"/>
  <c r="U6" i="6" s="1"/>
  <c r="N6" i="6"/>
  <c r="M7" i="6"/>
  <c r="N7" i="6"/>
  <c r="M8" i="6"/>
  <c r="N8" i="6"/>
  <c r="M9" i="6"/>
  <c r="S9" i="6" s="1"/>
  <c r="U9" i="6" s="1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S18" i="6" s="1"/>
  <c r="U18" i="6" s="1"/>
  <c r="N18" i="6"/>
  <c r="M19" i="6"/>
  <c r="N19" i="6"/>
  <c r="M20" i="6"/>
  <c r="S20" i="6" s="1"/>
  <c r="U20" i="6" s="1"/>
  <c r="N20" i="6"/>
  <c r="M21" i="6"/>
  <c r="N21" i="6"/>
  <c r="M22" i="6"/>
  <c r="N22" i="6"/>
  <c r="M23" i="6"/>
  <c r="N23" i="6"/>
  <c r="M24" i="6"/>
  <c r="N24" i="6"/>
  <c r="M25" i="6"/>
  <c r="N25" i="6"/>
  <c r="S25" i="6" s="1"/>
  <c r="U25" i="6" s="1"/>
  <c r="M26" i="6"/>
  <c r="N26" i="6"/>
  <c r="M27" i="6"/>
  <c r="N27" i="6"/>
  <c r="M28" i="6"/>
  <c r="N28" i="6"/>
  <c r="M29" i="6"/>
  <c r="N29" i="6"/>
  <c r="M30" i="6"/>
  <c r="N30" i="6"/>
  <c r="M31" i="6"/>
  <c r="N31" i="6"/>
  <c r="M32" i="6"/>
  <c r="N32" i="6"/>
  <c r="S32" i="6" s="1"/>
  <c r="U32" i="6" s="1"/>
  <c r="M33" i="6"/>
  <c r="N33" i="6"/>
  <c r="M34" i="6"/>
  <c r="N34" i="6"/>
  <c r="S34" i="6" s="1"/>
  <c r="U34" i="6" s="1"/>
  <c r="M35" i="6"/>
  <c r="N35" i="6"/>
  <c r="S35" i="6" s="1"/>
  <c r="U35" i="6" s="1"/>
  <c r="M36" i="6"/>
  <c r="N36" i="6"/>
  <c r="S36" i="6" s="1"/>
  <c r="U36" i="6" s="1"/>
  <c r="M37" i="6"/>
  <c r="N37" i="6"/>
  <c r="M38" i="6"/>
  <c r="N38" i="6"/>
  <c r="M39" i="6"/>
  <c r="N39" i="6"/>
  <c r="M40" i="6"/>
  <c r="S40" i="6" s="1"/>
  <c r="U40" i="6" s="1"/>
  <c r="N40" i="6"/>
  <c r="M41" i="6"/>
  <c r="N41" i="6"/>
  <c r="M42" i="6"/>
  <c r="N42" i="6"/>
  <c r="M43" i="6"/>
  <c r="N43" i="6"/>
  <c r="M44" i="6"/>
  <c r="N44" i="6"/>
  <c r="M45" i="6"/>
  <c r="N45" i="6"/>
  <c r="M46" i="6"/>
  <c r="N46" i="6"/>
  <c r="M47" i="6"/>
  <c r="N47" i="6"/>
  <c r="S47" i="6" s="1"/>
  <c r="U47" i="6" s="1"/>
  <c r="M48" i="6"/>
  <c r="S48" i="6" s="1"/>
  <c r="U48" i="6" s="1"/>
  <c r="N48" i="6"/>
  <c r="M49" i="6"/>
  <c r="N49" i="6"/>
  <c r="M50" i="6"/>
  <c r="N50" i="6"/>
  <c r="M51" i="6"/>
  <c r="N51" i="6"/>
  <c r="M52" i="6"/>
  <c r="N52" i="6"/>
  <c r="M53" i="6"/>
  <c r="N53" i="6"/>
  <c r="M54" i="6"/>
  <c r="N54" i="6"/>
  <c r="M55" i="6"/>
  <c r="N55" i="6"/>
  <c r="M56" i="6"/>
  <c r="N56" i="6"/>
  <c r="M57" i="6"/>
  <c r="N57" i="6"/>
  <c r="M58" i="6"/>
  <c r="S58" i="6" s="1"/>
  <c r="U58" i="6" s="1"/>
  <c r="N58" i="6"/>
  <c r="M59" i="6"/>
  <c r="N59" i="6"/>
  <c r="M60" i="6"/>
  <c r="N60" i="6"/>
  <c r="M61" i="6"/>
  <c r="N61" i="6"/>
  <c r="M62" i="6"/>
  <c r="N62" i="6"/>
  <c r="M63" i="6"/>
  <c r="N63" i="6"/>
  <c r="M64" i="6"/>
  <c r="N64" i="6"/>
  <c r="M65" i="6"/>
  <c r="N65" i="6"/>
  <c r="M66" i="6"/>
  <c r="N66" i="6"/>
  <c r="M67" i="6"/>
  <c r="N67" i="6"/>
  <c r="M68" i="6"/>
  <c r="N68" i="6"/>
  <c r="M69" i="6"/>
  <c r="N69" i="6"/>
  <c r="S69" i="6" s="1"/>
  <c r="U69" i="6" s="1"/>
  <c r="M70" i="6"/>
  <c r="N70" i="6"/>
  <c r="M71" i="6"/>
  <c r="N71" i="6"/>
  <c r="M72" i="6"/>
  <c r="N72" i="6"/>
  <c r="M73" i="6"/>
  <c r="N73" i="6"/>
  <c r="S73" i="6" s="1"/>
  <c r="U73" i="6" s="1"/>
  <c r="M74" i="6"/>
  <c r="S74" i="6" s="1"/>
  <c r="U74" i="6" s="1"/>
  <c r="N74" i="6"/>
  <c r="M75" i="6"/>
  <c r="N75" i="6"/>
  <c r="M76" i="6"/>
  <c r="N76" i="6"/>
  <c r="M77" i="6"/>
  <c r="N77" i="6"/>
  <c r="M78" i="6"/>
  <c r="N78" i="6"/>
  <c r="M79" i="6"/>
  <c r="N79" i="6"/>
  <c r="M80" i="6"/>
  <c r="N80" i="6"/>
  <c r="M81" i="6"/>
  <c r="N81" i="6"/>
  <c r="M82" i="6"/>
  <c r="N82" i="6"/>
  <c r="M83" i="6"/>
  <c r="N83" i="6"/>
  <c r="M84" i="6"/>
  <c r="N84" i="6"/>
  <c r="M85" i="6"/>
  <c r="N85" i="6"/>
  <c r="S85" i="6" s="1"/>
  <c r="U85" i="6" s="1"/>
  <c r="N3" i="6"/>
  <c r="S3" i="6" s="1"/>
  <c r="M3" i="6"/>
  <c r="P3" i="6" s="1"/>
  <c r="A97" i="6"/>
  <c r="C92" i="6"/>
  <c r="D92" i="6" s="1"/>
  <c r="D91" i="6"/>
  <c r="C91" i="6"/>
  <c r="D89" i="6"/>
  <c r="C89" i="6"/>
  <c r="D88" i="6"/>
  <c r="C88" i="6"/>
  <c r="K82" i="6"/>
  <c r="K63" i="6"/>
  <c r="K53" i="6"/>
  <c r="K23" i="6"/>
  <c r="K19" i="6"/>
  <c r="K4" i="6"/>
  <c r="K84" i="6"/>
  <c r="K83" i="6"/>
  <c r="K79" i="6"/>
  <c r="K77" i="6"/>
  <c r="K67" i="6"/>
  <c r="K66" i="6"/>
  <c r="K65" i="6"/>
  <c r="K64" i="6"/>
  <c r="K62" i="6"/>
  <c r="K61" i="6"/>
  <c r="K59" i="6"/>
  <c r="K56" i="6"/>
  <c r="K54" i="6"/>
  <c r="K50" i="6"/>
  <c r="K45" i="6"/>
  <c r="K32" i="6"/>
  <c r="K31" i="6"/>
  <c r="K30" i="6"/>
  <c r="K29" i="6"/>
  <c r="K27" i="6"/>
  <c r="K26" i="6"/>
  <c r="K25" i="6"/>
  <c r="K21" i="6"/>
  <c r="K17" i="6"/>
  <c r="K14" i="6"/>
  <c r="K13" i="6"/>
  <c r="K12" i="6"/>
  <c r="K11" i="6"/>
  <c r="K9" i="6"/>
  <c r="K8" i="6"/>
  <c r="K6" i="6"/>
  <c r="K85" i="6"/>
  <c r="K78" i="6"/>
  <c r="K73" i="6"/>
  <c r="K72" i="6"/>
  <c r="K70" i="6"/>
  <c r="K69" i="6"/>
  <c r="K60" i="6"/>
  <c r="K57" i="6"/>
  <c r="K55" i="6"/>
  <c r="K49" i="6"/>
  <c r="K47" i="6"/>
  <c r="K42" i="6"/>
  <c r="K41" i="6"/>
  <c r="K40" i="6"/>
  <c r="K39" i="6"/>
  <c r="K37" i="6"/>
  <c r="K36" i="6"/>
  <c r="K34" i="6"/>
  <c r="K28" i="6"/>
  <c r="K18" i="6"/>
  <c r="K16" i="6"/>
  <c r="K10" i="6"/>
  <c r="K80" i="6"/>
  <c r="K75" i="6"/>
  <c r="K71" i="6"/>
  <c r="K68" i="6"/>
  <c r="K48" i="6"/>
  <c r="K44" i="6"/>
  <c r="K38" i="6"/>
  <c r="K81" i="6"/>
  <c r="K24" i="6"/>
  <c r="K20" i="6"/>
  <c r="K5" i="6"/>
  <c r="K58" i="6"/>
  <c r="K51" i="6"/>
  <c r="K46" i="6"/>
  <c r="K33" i="6"/>
  <c r="K22" i="6"/>
  <c r="AG10" i="6"/>
  <c r="AR10" i="6" s="1"/>
  <c r="AF10" i="6"/>
  <c r="AQ10" i="6" s="1"/>
  <c r="AE10" i="6"/>
  <c r="AP10" i="6" s="1"/>
  <c r="AD10" i="6"/>
  <c r="AO10" i="6" s="1"/>
  <c r="AC10" i="6"/>
  <c r="AN10" i="6" s="1"/>
  <c r="AB10" i="6"/>
  <c r="AM10" i="6" s="1"/>
  <c r="AA10" i="6"/>
  <c r="AL10" i="6" s="1"/>
  <c r="Z10" i="6"/>
  <c r="AK10" i="6" s="1"/>
  <c r="Y10" i="6"/>
  <c r="AJ10" i="6" s="1"/>
  <c r="X10" i="6"/>
  <c r="AI10" i="6" s="1"/>
  <c r="K15" i="6"/>
  <c r="AG9" i="6"/>
  <c r="AR9" i="6" s="1"/>
  <c r="AF9" i="6"/>
  <c r="AQ9" i="6" s="1"/>
  <c r="AE9" i="6"/>
  <c r="AP9" i="6" s="1"/>
  <c r="AD9" i="6"/>
  <c r="AO9" i="6" s="1"/>
  <c r="AC9" i="6"/>
  <c r="AN9" i="6" s="1"/>
  <c r="AB9" i="6"/>
  <c r="AM9" i="6" s="1"/>
  <c r="AA9" i="6"/>
  <c r="AL9" i="6" s="1"/>
  <c r="Z9" i="6"/>
  <c r="AK9" i="6" s="1"/>
  <c r="Y9" i="6"/>
  <c r="AJ9" i="6" s="1"/>
  <c r="X9" i="6"/>
  <c r="AI9" i="6" s="1"/>
  <c r="K7" i="6"/>
  <c r="AG8" i="6"/>
  <c r="AR8" i="6" s="1"/>
  <c r="AF8" i="6"/>
  <c r="AQ8" i="6" s="1"/>
  <c r="AE8" i="6"/>
  <c r="AP8" i="6" s="1"/>
  <c r="AD8" i="6"/>
  <c r="AO8" i="6" s="1"/>
  <c r="AC8" i="6"/>
  <c r="AN8" i="6" s="1"/>
  <c r="AB8" i="6"/>
  <c r="AM8" i="6" s="1"/>
  <c r="AA8" i="6"/>
  <c r="AL8" i="6" s="1"/>
  <c r="Z8" i="6"/>
  <c r="AK8" i="6" s="1"/>
  <c r="Y8" i="6"/>
  <c r="AJ8" i="6" s="1"/>
  <c r="X8" i="6"/>
  <c r="AI8" i="6" s="1"/>
  <c r="K74" i="6"/>
  <c r="AG7" i="6"/>
  <c r="AR7" i="6" s="1"/>
  <c r="AF7" i="6"/>
  <c r="AQ7" i="6" s="1"/>
  <c r="AE7" i="6"/>
  <c r="AP7" i="6" s="1"/>
  <c r="AD7" i="6"/>
  <c r="AO7" i="6" s="1"/>
  <c r="AC7" i="6"/>
  <c r="AN7" i="6" s="1"/>
  <c r="AB7" i="6"/>
  <c r="AM7" i="6" s="1"/>
  <c r="AA7" i="6"/>
  <c r="AL7" i="6" s="1"/>
  <c r="Z7" i="6"/>
  <c r="AK7" i="6" s="1"/>
  <c r="Y7" i="6"/>
  <c r="AJ7" i="6" s="1"/>
  <c r="X7" i="6"/>
  <c r="AI7" i="6" s="1"/>
  <c r="K52" i="6"/>
  <c r="AG6" i="6"/>
  <c r="AR6" i="6" s="1"/>
  <c r="AF6" i="6"/>
  <c r="AQ6" i="6" s="1"/>
  <c r="AE6" i="6"/>
  <c r="AP6" i="6" s="1"/>
  <c r="AD6" i="6"/>
  <c r="AO6" i="6" s="1"/>
  <c r="AC6" i="6"/>
  <c r="AN6" i="6" s="1"/>
  <c r="AB6" i="6"/>
  <c r="AM6" i="6" s="1"/>
  <c r="AA6" i="6"/>
  <c r="AL6" i="6" s="1"/>
  <c r="Z6" i="6"/>
  <c r="AK6" i="6" s="1"/>
  <c r="Y6" i="6"/>
  <c r="AJ6" i="6" s="1"/>
  <c r="X6" i="6"/>
  <c r="AI6" i="6" s="1"/>
  <c r="K43" i="6"/>
  <c r="AG5" i="6"/>
  <c r="AR5" i="6" s="1"/>
  <c r="AF5" i="6"/>
  <c r="AQ5" i="6" s="1"/>
  <c r="AE5" i="6"/>
  <c r="AP5" i="6" s="1"/>
  <c r="AD5" i="6"/>
  <c r="AO5" i="6" s="1"/>
  <c r="AC5" i="6"/>
  <c r="AN5" i="6" s="1"/>
  <c r="AB5" i="6"/>
  <c r="AM5" i="6" s="1"/>
  <c r="AA5" i="6"/>
  <c r="AL5" i="6" s="1"/>
  <c r="Z5" i="6"/>
  <c r="AK5" i="6" s="1"/>
  <c r="Y5" i="6"/>
  <c r="AJ5" i="6" s="1"/>
  <c r="X5" i="6"/>
  <c r="AI5" i="6" s="1"/>
  <c r="K35" i="6"/>
  <c r="AG4" i="6"/>
  <c r="AR4" i="6" s="1"/>
  <c r="AF4" i="6"/>
  <c r="AQ4" i="6" s="1"/>
  <c r="AE4" i="6"/>
  <c r="AP4" i="6" s="1"/>
  <c r="AD4" i="6"/>
  <c r="AO4" i="6" s="1"/>
  <c r="AC4" i="6"/>
  <c r="AN4" i="6" s="1"/>
  <c r="AB4" i="6"/>
  <c r="AM4" i="6" s="1"/>
  <c r="AA4" i="6"/>
  <c r="AL4" i="6" s="1"/>
  <c r="Z4" i="6"/>
  <c r="AK4" i="6" s="1"/>
  <c r="Y4" i="6"/>
  <c r="AJ4" i="6" s="1"/>
  <c r="X4" i="6"/>
  <c r="AI4" i="6" s="1"/>
  <c r="K76" i="6"/>
  <c r="W2" i="4"/>
  <c r="X2" i="4"/>
  <c r="W3" i="4"/>
  <c r="X3" i="4"/>
  <c r="W4" i="4"/>
  <c r="X4" i="4"/>
  <c r="W5" i="4"/>
  <c r="X5" i="4"/>
  <c r="Z5" i="4" s="1"/>
  <c r="W6" i="4"/>
  <c r="X6" i="4"/>
  <c r="W7" i="4"/>
  <c r="X7" i="4"/>
  <c r="W8" i="4"/>
  <c r="X8" i="4"/>
  <c r="W9" i="4"/>
  <c r="X9" i="4"/>
  <c r="W10" i="4"/>
  <c r="X10" i="4"/>
  <c r="W11" i="4"/>
  <c r="X11" i="4"/>
  <c r="W12" i="4"/>
  <c r="X12" i="4"/>
  <c r="W13" i="4"/>
  <c r="X13" i="4"/>
  <c r="W14" i="4"/>
  <c r="X14" i="4"/>
  <c r="W15" i="4"/>
  <c r="X15" i="4"/>
  <c r="W16" i="4"/>
  <c r="X16" i="4"/>
  <c r="W17" i="4"/>
  <c r="X17" i="4"/>
  <c r="W18" i="4"/>
  <c r="X18" i="4"/>
  <c r="W19" i="4"/>
  <c r="X19" i="4"/>
  <c r="W20" i="4"/>
  <c r="X20" i="4"/>
  <c r="W21" i="4"/>
  <c r="X21" i="4"/>
  <c r="W22" i="4"/>
  <c r="X22" i="4"/>
  <c r="W23" i="4"/>
  <c r="X23" i="4"/>
  <c r="X1" i="4"/>
  <c r="W1" i="4"/>
  <c r="Z2" i="4"/>
  <c r="Z3" i="4"/>
  <c r="Z4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O2" i="5"/>
  <c r="P2" i="5"/>
  <c r="O3" i="5"/>
  <c r="P3" i="5"/>
  <c r="O4" i="5"/>
  <c r="M4" i="5" s="1"/>
  <c r="P4" i="5"/>
  <c r="O5" i="5"/>
  <c r="M5" i="5" s="1"/>
  <c r="O6" i="5"/>
  <c r="M6" i="5" s="1"/>
  <c r="P6" i="5"/>
  <c r="O7" i="5"/>
  <c r="M7" i="5" s="1"/>
  <c r="P7" i="5"/>
  <c r="O8" i="5"/>
  <c r="M8" i="5" s="1"/>
  <c r="P8" i="5"/>
  <c r="O9" i="5"/>
  <c r="M9" i="5" s="1"/>
  <c r="P9" i="5"/>
  <c r="O10" i="5"/>
  <c r="M10" i="5" s="1"/>
  <c r="P10" i="5"/>
  <c r="O11" i="5"/>
  <c r="M11" i="5" s="1"/>
  <c r="P11" i="5"/>
  <c r="O12" i="5"/>
  <c r="M12" i="5" s="1"/>
  <c r="P12" i="5"/>
  <c r="O13" i="5"/>
  <c r="M13" i="5" s="1"/>
  <c r="P13" i="5"/>
  <c r="O14" i="5"/>
  <c r="M14" i="5" s="1"/>
  <c r="P14" i="5"/>
  <c r="O15" i="5"/>
  <c r="M15" i="5" s="1"/>
  <c r="P15" i="5"/>
  <c r="O16" i="5"/>
  <c r="M16" i="5" s="1"/>
  <c r="P16" i="5"/>
  <c r="O17" i="5"/>
  <c r="M17" i="5" s="1"/>
  <c r="P17" i="5"/>
  <c r="O18" i="5"/>
  <c r="M18" i="5" s="1"/>
  <c r="P18" i="5"/>
  <c r="O19" i="5"/>
  <c r="M19" i="5" s="1"/>
  <c r="P19" i="5"/>
  <c r="O20" i="5"/>
  <c r="M20" i="5" s="1"/>
  <c r="P20" i="5"/>
  <c r="O21" i="5"/>
  <c r="M21" i="5" s="1"/>
  <c r="P21" i="5"/>
  <c r="O22" i="5"/>
  <c r="M22" i="5" s="1"/>
  <c r="P22" i="5"/>
  <c r="O23" i="5"/>
  <c r="M23" i="5" s="1"/>
  <c r="P23" i="5"/>
  <c r="P1" i="5"/>
  <c r="O1" i="5"/>
  <c r="R1" i="5" s="1"/>
  <c r="M3" i="4"/>
  <c r="M4" i="4"/>
  <c r="M22" i="4"/>
  <c r="M23" i="4"/>
  <c r="O2" i="4"/>
  <c r="P2" i="4"/>
  <c r="O3" i="4"/>
  <c r="P3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R20" i="4" s="1"/>
  <c r="P20" i="4"/>
  <c r="S20" i="4" s="1"/>
  <c r="O21" i="4"/>
  <c r="R21" i="4" s="1"/>
  <c r="P21" i="4"/>
  <c r="S21" i="4" s="1"/>
  <c r="U21" i="4" s="1"/>
  <c r="O22" i="4"/>
  <c r="R22" i="4" s="1"/>
  <c r="P22" i="4"/>
  <c r="S22" i="4" s="1"/>
  <c r="O23" i="4"/>
  <c r="R23" i="4" s="1"/>
  <c r="P23" i="4"/>
  <c r="S23" i="4" s="1"/>
  <c r="O1" i="4"/>
  <c r="P1" i="4"/>
  <c r="S1" i="4" s="1"/>
  <c r="H28" i="5"/>
  <c r="H27" i="5"/>
  <c r="H26" i="5"/>
  <c r="H25" i="5"/>
  <c r="R23" i="5"/>
  <c r="R22" i="5"/>
  <c r="S21" i="5"/>
  <c r="R21" i="5"/>
  <c r="R20" i="5"/>
  <c r="R19" i="5"/>
  <c r="H5" i="5"/>
  <c r="P5" i="5" s="1"/>
  <c r="R18" i="5"/>
  <c r="R17" i="5"/>
  <c r="R16" i="5"/>
  <c r="R15" i="5"/>
  <c r="R14" i="5"/>
  <c r="R13" i="5"/>
  <c r="R12" i="5"/>
  <c r="R11" i="5"/>
  <c r="R10" i="5"/>
  <c r="S9" i="5"/>
  <c r="U9" i="5" s="1"/>
  <c r="R9" i="5"/>
  <c r="R8" i="5"/>
  <c r="R7" i="5"/>
  <c r="R6" i="5"/>
  <c r="R5" i="5"/>
  <c r="R4" i="5"/>
  <c r="H26" i="4"/>
  <c r="H27" i="4"/>
  <c r="H28" i="4"/>
  <c r="H25" i="4"/>
  <c r="H8" i="4"/>
  <c r="M11" i="4"/>
  <c r="M12" i="4"/>
  <c r="M13" i="4"/>
  <c r="M14" i="4"/>
  <c r="M15" i="4"/>
  <c r="M16" i="4"/>
  <c r="M17" i="4"/>
  <c r="M5" i="4"/>
  <c r="M18" i="4"/>
  <c r="M19" i="4"/>
  <c r="M6" i="4"/>
  <c r="M7" i="4"/>
  <c r="M20" i="4"/>
  <c r="M21" i="4"/>
  <c r="M8" i="4"/>
  <c r="M2" i="4"/>
  <c r="M9" i="4"/>
  <c r="M10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" i="4"/>
  <c r="R1" i="4"/>
  <c r="A97" i="3"/>
  <c r="C92" i="3"/>
  <c r="D92" i="3" s="1"/>
  <c r="D91" i="3"/>
  <c r="C91" i="3"/>
  <c r="D89" i="3"/>
  <c r="C89" i="3"/>
  <c r="D88" i="3"/>
  <c r="C88" i="3"/>
  <c r="N85" i="3"/>
  <c r="M85" i="3"/>
  <c r="K82" i="3"/>
  <c r="N84" i="3"/>
  <c r="M84" i="3"/>
  <c r="K63" i="3"/>
  <c r="N83" i="3"/>
  <c r="M83" i="3"/>
  <c r="K53" i="3"/>
  <c r="N82" i="3"/>
  <c r="M82" i="3"/>
  <c r="K23" i="3"/>
  <c r="N81" i="3"/>
  <c r="M81" i="3"/>
  <c r="K19" i="3"/>
  <c r="N80" i="3"/>
  <c r="M80" i="3"/>
  <c r="K4" i="3"/>
  <c r="N79" i="3"/>
  <c r="M79" i="3"/>
  <c r="K84" i="3"/>
  <c r="R78" i="3"/>
  <c r="N78" i="3"/>
  <c r="M78" i="3"/>
  <c r="K83" i="3"/>
  <c r="P77" i="3"/>
  <c r="N77" i="3"/>
  <c r="M77" i="3"/>
  <c r="K79" i="3"/>
  <c r="N76" i="3"/>
  <c r="M76" i="3"/>
  <c r="K77" i="3"/>
  <c r="N75" i="3"/>
  <c r="M75" i="3"/>
  <c r="K67" i="3"/>
  <c r="P74" i="3"/>
  <c r="N74" i="3"/>
  <c r="M74" i="3"/>
  <c r="K66" i="3"/>
  <c r="N73" i="3"/>
  <c r="M73" i="3"/>
  <c r="K65" i="3"/>
  <c r="N72" i="3"/>
  <c r="M72" i="3"/>
  <c r="P72" i="3" s="1"/>
  <c r="K64" i="3"/>
  <c r="N71" i="3"/>
  <c r="M71" i="3"/>
  <c r="K62" i="3"/>
  <c r="R70" i="3"/>
  <c r="N70" i="3"/>
  <c r="M70" i="3"/>
  <c r="K61" i="3"/>
  <c r="N69" i="3"/>
  <c r="M69" i="3"/>
  <c r="K59" i="3"/>
  <c r="N68" i="3"/>
  <c r="M68" i="3"/>
  <c r="R68" i="3" s="1"/>
  <c r="K56" i="3"/>
  <c r="N67" i="3"/>
  <c r="M67" i="3"/>
  <c r="K54" i="3"/>
  <c r="N66" i="3"/>
  <c r="M66" i="3"/>
  <c r="K50" i="3"/>
  <c r="N65" i="3"/>
  <c r="M65" i="3"/>
  <c r="P65" i="3" s="1"/>
  <c r="K45" i="3"/>
  <c r="N64" i="3"/>
  <c r="M64" i="3"/>
  <c r="P64" i="3" s="1"/>
  <c r="K32" i="3"/>
  <c r="N63" i="3"/>
  <c r="M63" i="3"/>
  <c r="K31" i="3"/>
  <c r="N62" i="3"/>
  <c r="M62" i="3"/>
  <c r="K30" i="3"/>
  <c r="N61" i="3"/>
  <c r="M61" i="3"/>
  <c r="K29" i="3"/>
  <c r="N60" i="3"/>
  <c r="M60" i="3"/>
  <c r="K27" i="3"/>
  <c r="P59" i="3"/>
  <c r="N59" i="3"/>
  <c r="M59" i="3"/>
  <c r="K26" i="3"/>
  <c r="R58" i="3"/>
  <c r="N58" i="3"/>
  <c r="M58" i="3"/>
  <c r="K25" i="3"/>
  <c r="N57" i="3"/>
  <c r="M57" i="3"/>
  <c r="R57" i="3" s="1"/>
  <c r="K21" i="3"/>
  <c r="N56" i="3"/>
  <c r="M56" i="3"/>
  <c r="K17" i="3"/>
  <c r="N55" i="3"/>
  <c r="M55" i="3"/>
  <c r="K14" i="3"/>
  <c r="N54" i="3"/>
  <c r="M54" i="3"/>
  <c r="K13" i="3"/>
  <c r="N53" i="3"/>
  <c r="M53" i="3"/>
  <c r="K12" i="3"/>
  <c r="N52" i="3"/>
  <c r="M52" i="3"/>
  <c r="K11" i="3"/>
  <c r="N51" i="3"/>
  <c r="M51" i="3"/>
  <c r="P51" i="3" s="1"/>
  <c r="K9" i="3"/>
  <c r="N50" i="3"/>
  <c r="M50" i="3"/>
  <c r="R50" i="3" s="1"/>
  <c r="K8" i="3"/>
  <c r="N49" i="3"/>
  <c r="M49" i="3"/>
  <c r="P49" i="3" s="1"/>
  <c r="K6" i="3"/>
  <c r="N48" i="3"/>
  <c r="M48" i="3"/>
  <c r="K85" i="3"/>
  <c r="N47" i="3"/>
  <c r="M47" i="3"/>
  <c r="K81" i="3"/>
  <c r="N46" i="3"/>
  <c r="M46" i="3"/>
  <c r="K78" i="3"/>
  <c r="N45" i="3"/>
  <c r="M45" i="3"/>
  <c r="K73" i="3"/>
  <c r="N44" i="3"/>
  <c r="M44" i="3"/>
  <c r="K72" i="3"/>
  <c r="N43" i="3"/>
  <c r="M43" i="3"/>
  <c r="K70" i="3"/>
  <c r="P42" i="3"/>
  <c r="N42" i="3"/>
  <c r="M42" i="3"/>
  <c r="K69" i="3"/>
  <c r="N41" i="3"/>
  <c r="M41" i="3"/>
  <c r="K60" i="3"/>
  <c r="N40" i="3"/>
  <c r="M40" i="3"/>
  <c r="K57" i="3"/>
  <c r="N39" i="3"/>
  <c r="M39" i="3"/>
  <c r="K55" i="3"/>
  <c r="N38" i="3"/>
  <c r="M38" i="3"/>
  <c r="K49" i="3"/>
  <c r="N37" i="3"/>
  <c r="M37" i="3"/>
  <c r="K47" i="3"/>
  <c r="N36" i="3"/>
  <c r="M36" i="3"/>
  <c r="K42" i="3"/>
  <c r="P35" i="3"/>
  <c r="N35" i="3"/>
  <c r="M35" i="3"/>
  <c r="K41" i="3"/>
  <c r="N34" i="3"/>
  <c r="M34" i="3"/>
  <c r="K40" i="3"/>
  <c r="N33" i="3"/>
  <c r="M33" i="3"/>
  <c r="K39" i="3"/>
  <c r="N32" i="3"/>
  <c r="M32" i="3"/>
  <c r="K37" i="3"/>
  <c r="P31" i="3"/>
  <c r="N31" i="3"/>
  <c r="M31" i="3"/>
  <c r="K36" i="3"/>
  <c r="N30" i="3"/>
  <c r="M30" i="3"/>
  <c r="K34" i="3"/>
  <c r="N29" i="3"/>
  <c r="M29" i="3"/>
  <c r="K28" i="3"/>
  <c r="N28" i="3"/>
  <c r="M28" i="3"/>
  <c r="K24" i="3"/>
  <c r="N27" i="3"/>
  <c r="M27" i="3"/>
  <c r="K20" i="3"/>
  <c r="N26" i="3"/>
  <c r="M26" i="3"/>
  <c r="K18" i="3"/>
  <c r="N25" i="3"/>
  <c r="M25" i="3"/>
  <c r="K16" i="3"/>
  <c r="N24" i="3"/>
  <c r="M24" i="3"/>
  <c r="K10" i="3"/>
  <c r="N23" i="3"/>
  <c r="M23" i="3"/>
  <c r="K5" i="3"/>
  <c r="N22" i="3"/>
  <c r="M22" i="3"/>
  <c r="K80" i="3"/>
  <c r="N21" i="3"/>
  <c r="M21" i="3"/>
  <c r="K75" i="3"/>
  <c r="R20" i="3"/>
  <c r="N20" i="3"/>
  <c r="M20" i="3"/>
  <c r="K71" i="3"/>
  <c r="N19" i="3"/>
  <c r="M19" i="3"/>
  <c r="K68" i="3"/>
  <c r="R18" i="3"/>
  <c r="S18" i="3" s="1"/>
  <c r="P18" i="3"/>
  <c r="N18" i="3"/>
  <c r="M18" i="3"/>
  <c r="K58" i="3"/>
  <c r="N17" i="3"/>
  <c r="M17" i="3"/>
  <c r="K51" i="3"/>
  <c r="N16" i="3"/>
  <c r="M16" i="3"/>
  <c r="K48" i="3"/>
  <c r="N15" i="3"/>
  <c r="M15" i="3"/>
  <c r="K46" i="3"/>
  <c r="N14" i="3"/>
  <c r="M14" i="3"/>
  <c r="K44" i="3"/>
  <c r="N13" i="3"/>
  <c r="M13" i="3"/>
  <c r="K38" i="3"/>
  <c r="N12" i="3"/>
  <c r="M12" i="3"/>
  <c r="K33" i="3"/>
  <c r="N11" i="3"/>
  <c r="M11" i="3"/>
  <c r="K22" i="3"/>
  <c r="AG10" i="3"/>
  <c r="AR10" i="3" s="1"/>
  <c r="AF10" i="3"/>
  <c r="AQ10" i="3" s="1"/>
  <c r="AE10" i="3"/>
  <c r="AP10" i="3" s="1"/>
  <c r="AD10" i="3"/>
  <c r="AO10" i="3" s="1"/>
  <c r="AC10" i="3"/>
  <c r="AN10" i="3" s="1"/>
  <c r="AB10" i="3"/>
  <c r="AM10" i="3" s="1"/>
  <c r="AA10" i="3"/>
  <c r="AL10" i="3" s="1"/>
  <c r="Z10" i="3"/>
  <c r="AK10" i="3" s="1"/>
  <c r="Y10" i="3"/>
  <c r="AJ10" i="3" s="1"/>
  <c r="X10" i="3"/>
  <c r="AI10" i="3" s="1"/>
  <c r="N10" i="3"/>
  <c r="M10" i="3"/>
  <c r="K15" i="3"/>
  <c r="AG9" i="3"/>
  <c r="AR9" i="3" s="1"/>
  <c r="AF9" i="3"/>
  <c r="AQ9" i="3" s="1"/>
  <c r="AE9" i="3"/>
  <c r="AP9" i="3" s="1"/>
  <c r="AD9" i="3"/>
  <c r="AO9" i="3" s="1"/>
  <c r="AC9" i="3"/>
  <c r="AN9" i="3" s="1"/>
  <c r="AB9" i="3"/>
  <c r="AM9" i="3" s="1"/>
  <c r="AA9" i="3"/>
  <c r="AL9" i="3" s="1"/>
  <c r="Z9" i="3"/>
  <c r="AK9" i="3" s="1"/>
  <c r="Y9" i="3"/>
  <c r="AJ9" i="3" s="1"/>
  <c r="X9" i="3"/>
  <c r="AI9" i="3" s="1"/>
  <c r="N9" i="3"/>
  <c r="M9" i="3"/>
  <c r="K7" i="3"/>
  <c r="AG8" i="3"/>
  <c r="AR8" i="3" s="1"/>
  <c r="AF8" i="3"/>
  <c r="AQ8" i="3" s="1"/>
  <c r="AE8" i="3"/>
  <c r="AP8" i="3" s="1"/>
  <c r="AD8" i="3"/>
  <c r="AO8" i="3" s="1"/>
  <c r="AC8" i="3"/>
  <c r="AN8" i="3" s="1"/>
  <c r="AB8" i="3"/>
  <c r="AM8" i="3" s="1"/>
  <c r="AA8" i="3"/>
  <c r="AL8" i="3" s="1"/>
  <c r="Z8" i="3"/>
  <c r="AK8" i="3" s="1"/>
  <c r="Y8" i="3"/>
  <c r="AJ8" i="3" s="1"/>
  <c r="X8" i="3"/>
  <c r="AI8" i="3" s="1"/>
  <c r="N8" i="3"/>
  <c r="M8" i="3"/>
  <c r="K74" i="3"/>
  <c r="AG7" i="3"/>
  <c r="AR7" i="3" s="1"/>
  <c r="AF7" i="3"/>
  <c r="AQ7" i="3" s="1"/>
  <c r="AE7" i="3"/>
  <c r="AP7" i="3" s="1"/>
  <c r="AD7" i="3"/>
  <c r="AO7" i="3" s="1"/>
  <c r="AC7" i="3"/>
  <c r="AN7" i="3" s="1"/>
  <c r="AB7" i="3"/>
  <c r="AM7" i="3" s="1"/>
  <c r="AA7" i="3"/>
  <c r="AL7" i="3" s="1"/>
  <c r="Z7" i="3"/>
  <c r="AK7" i="3" s="1"/>
  <c r="Y7" i="3"/>
  <c r="AJ7" i="3" s="1"/>
  <c r="X7" i="3"/>
  <c r="AI7" i="3" s="1"/>
  <c r="N7" i="3"/>
  <c r="M7" i="3"/>
  <c r="K52" i="3"/>
  <c r="AO6" i="3"/>
  <c r="AI6" i="3"/>
  <c r="AG6" i="3"/>
  <c r="AR6" i="3" s="1"/>
  <c r="AF6" i="3"/>
  <c r="AQ6" i="3" s="1"/>
  <c r="AE6" i="3"/>
  <c r="AP6" i="3" s="1"/>
  <c r="AD6" i="3"/>
  <c r="AC6" i="3"/>
  <c r="AN6" i="3" s="1"/>
  <c r="AB6" i="3"/>
  <c r="AM6" i="3" s="1"/>
  <c r="AA6" i="3"/>
  <c r="AL6" i="3" s="1"/>
  <c r="Z6" i="3"/>
  <c r="AK6" i="3" s="1"/>
  <c r="Y6" i="3"/>
  <c r="AJ6" i="3" s="1"/>
  <c r="X6" i="3"/>
  <c r="N6" i="3"/>
  <c r="M6" i="3"/>
  <c r="K43" i="3"/>
  <c r="AR5" i="3"/>
  <c r="AG5" i="3"/>
  <c r="AF5" i="3"/>
  <c r="AQ5" i="3" s="1"/>
  <c r="AE5" i="3"/>
  <c r="AP5" i="3" s="1"/>
  <c r="AD5" i="3"/>
  <c r="AO5" i="3" s="1"/>
  <c r="AC5" i="3"/>
  <c r="AN5" i="3" s="1"/>
  <c r="AB5" i="3"/>
  <c r="AM5" i="3" s="1"/>
  <c r="AA5" i="3"/>
  <c r="AL5" i="3" s="1"/>
  <c r="Z5" i="3"/>
  <c r="AK5" i="3" s="1"/>
  <c r="Y5" i="3"/>
  <c r="AJ5" i="3" s="1"/>
  <c r="X5" i="3"/>
  <c r="AI5" i="3" s="1"/>
  <c r="N5" i="3"/>
  <c r="M5" i="3"/>
  <c r="K35" i="3"/>
  <c r="AG4" i="3"/>
  <c r="AR4" i="3" s="1"/>
  <c r="AF4" i="3"/>
  <c r="AQ4" i="3" s="1"/>
  <c r="AE4" i="3"/>
  <c r="AP4" i="3" s="1"/>
  <c r="AD4" i="3"/>
  <c r="AO4" i="3" s="1"/>
  <c r="AC4" i="3"/>
  <c r="AN4" i="3" s="1"/>
  <c r="AB4" i="3"/>
  <c r="AM4" i="3" s="1"/>
  <c r="AA4" i="3"/>
  <c r="AL4" i="3" s="1"/>
  <c r="Z4" i="3"/>
  <c r="AK4" i="3" s="1"/>
  <c r="Y4" i="3"/>
  <c r="AJ4" i="3" s="1"/>
  <c r="X4" i="3"/>
  <c r="AI4" i="3" s="1"/>
  <c r="N4" i="3"/>
  <c r="M4" i="3"/>
  <c r="K76" i="3"/>
  <c r="N3" i="3"/>
  <c r="M3" i="3"/>
  <c r="K16" i="1"/>
  <c r="K49" i="1"/>
  <c r="K9" i="1"/>
  <c r="K50" i="1"/>
  <c r="K51" i="1"/>
  <c r="K27" i="1"/>
  <c r="K52" i="1"/>
  <c r="K53" i="1"/>
  <c r="K54" i="1"/>
  <c r="K55" i="1"/>
  <c r="K10" i="1"/>
  <c r="K28" i="1"/>
  <c r="K56" i="1"/>
  <c r="K29" i="1"/>
  <c r="K81" i="1"/>
  <c r="K17" i="1"/>
  <c r="K57" i="1"/>
  <c r="K11" i="1"/>
  <c r="K82" i="1"/>
  <c r="K18" i="1"/>
  <c r="K58" i="1"/>
  <c r="K59" i="1"/>
  <c r="K60" i="1"/>
  <c r="K30" i="1"/>
  <c r="K61" i="1"/>
  <c r="K62" i="1"/>
  <c r="K63" i="1"/>
  <c r="K64" i="1"/>
  <c r="K12" i="1"/>
  <c r="K31" i="1"/>
  <c r="K5" i="1"/>
  <c r="K32" i="1"/>
  <c r="K33" i="1"/>
  <c r="K20" i="1"/>
  <c r="K34" i="1"/>
  <c r="K35" i="1"/>
  <c r="K36" i="1"/>
  <c r="K37" i="1"/>
  <c r="K6" i="1"/>
  <c r="K21" i="1"/>
  <c r="K65" i="1"/>
  <c r="K13" i="1"/>
  <c r="K38" i="1"/>
  <c r="K22" i="1"/>
  <c r="K39" i="1"/>
  <c r="K66" i="1"/>
  <c r="K14" i="1"/>
  <c r="K7" i="1"/>
  <c r="K83" i="1"/>
  <c r="K67" i="1"/>
  <c r="K40" i="1"/>
  <c r="K68" i="1"/>
  <c r="K41" i="1"/>
  <c r="K15" i="1"/>
  <c r="K69" i="1"/>
  <c r="K42" i="1"/>
  <c r="K70" i="1"/>
  <c r="K71" i="1"/>
  <c r="K84" i="1"/>
  <c r="K72" i="1"/>
  <c r="K73" i="1"/>
  <c r="K74" i="1"/>
  <c r="K75" i="1"/>
  <c r="K23" i="1"/>
  <c r="K43" i="1"/>
  <c r="K44" i="1"/>
  <c r="K24" i="1"/>
  <c r="K45" i="1"/>
  <c r="K46" i="1"/>
  <c r="K8" i="1"/>
  <c r="K25" i="1"/>
  <c r="K4" i="1"/>
  <c r="K76" i="1"/>
  <c r="K47" i="1"/>
  <c r="K77" i="1"/>
  <c r="K26" i="1"/>
  <c r="K19" i="1"/>
  <c r="K85" i="1"/>
  <c r="K78" i="1"/>
  <c r="K79" i="1"/>
  <c r="K48" i="1"/>
  <c r="K80" i="1"/>
  <c r="K23" i="2"/>
  <c r="K49" i="2"/>
  <c r="K9" i="2"/>
  <c r="K50" i="2"/>
  <c r="K51" i="2"/>
  <c r="K24" i="2"/>
  <c r="K52" i="2"/>
  <c r="K53" i="2"/>
  <c r="K54" i="2"/>
  <c r="K55" i="2"/>
  <c r="K10" i="2"/>
  <c r="K25" i="2"/>
  <c r="K56" i="2"/>
  <c r="K26" i="2"/>
  <c r="K81" i="2"/>
  <c r="K27" i="2"/>
  <c r="K57" i="2"/>
  <c r="K11" i="2"/>
  <c r="K82" i="2"/>
  <c r="K28" i="2"/>
  <c r="K58" i="2"/>
  <c r="K59" i="2"/>
  <c r="K60" i="2"/>
  <c r="K29" i="2"/>
  <c r="K61" i="2"/>
  <c r="K62" i="2"/>
  <c r="K63" i="2"/>
  <c r="K64" i="2"/>
  <c r="K12" i="2"/>
  <c r="K30" i="2"/>
  <c r="K5" i="2"/>
  <c r="K31" i="2"/>
  <c r="K32" i="2"/>
  <c r="K13" i="2"/>
  <c r="K33" i="2"/>
  <c r="K34" i="2"/>
  <c r="K35" i="2"/>
  <c r="K36" i="2"/>
  <c r="K6" i="2"/>
  <c r="K14" i="2"/>
  <c r="K65" i="2"/>
  <c r="K15" i="2"/>
  <c r="K37" i="2"/>
  <c r="K16" i="2"/>
  <c r="K38" i="2"/>
  <c r="K66" i="2"/>
  <c r="K17" i="2"/>
  <c r="K7" i="2"/>
  <c r="K83" i="2"/>
  <c r="K67" i="2"/>
  <c r="K39" i="2"/>
  <c r="K68" i="2"/>
  <c r="K40" i="2"/>
  <c r="K18" i="2"/>
  <c r="K69" i="2"/>
  <c r="K41" i="2"/>
  <c r="K70" i="2"/>
  <c r="K71" i="2"/>
  <c r="K84" i="2"/>
  <c r="K72" i="2"/>
  <c r="K73" i="2"/>
  <c r="K74" i="2"/>
  <c r="K75" i="2"/>
  <c r="K19" i="2"/>
  <c r="K42" i="2"/>
  <c r="K43" i="2"/>
  <c r="K20" i="2"/>
  <c r="K44" i="2"/>
  <c r="K45" i="2"/>
  <c r="K8" i="2"/>
  <c r="K21" i="2"/>
  <c r="K4" i="2"/>
  <c r="K76" i="2"/>
  <c r="K46" i="2"/>
  <c r="K77" i="2"/>
  <c r="K22" i="2"/>
  <c r="K47" i="2"/>
  <c r="K85" i="2"/>
  <c r="K78" i="2"/>
  <c r="K79" i="2"/>
  <c r="K48" i="2"/>
  <c r="K80" i="2"/>
  <c r="A97" i="2"/>
  <c r="C92" i="2"/>
  <c r="D92" i="2" s="1"/>
  <c r="D91" i="2"/>
  <c r="C91" i="2"/>
  <c r="D89" i="2"/>
  <c r="C89" i="2"/>
  <c r="D88" i="2"/>
  <c r="C88" i="2"/>
  <c r="A97" i="1"/>
  <c r="C92" i="1"/>
  <c r="D92" i="1" s="1"/>
  <c r="D91" i="1"/>
  <c r="C91" i="1"/>
  <c r="D89" i="1"/>
  <c r="C89" i="1"/>
  <c r="D88" i="1"/>
  <c r="C88" i="1"/>
  <c r="N63" i="1"/>
  <c r="M63" i="1"/>
  <c r="N36" i="1"/>
  <c r="M36" i="1"/>
  <c r="N35" i="1"/>
  <c r="M35" i="1"/>
  <c r="N8" i="1"/>
  <c r="M8" i="1"/>
  <c r="N62" i="1"/>
  <c r="M62" i="1"/>
  <c r="N79" i="1"/>
  <c r="M79" i="1"/>
  <c r="N34" i="1"/>
  <c r="M34" i="1"/>
  <c r="N61" i="1"/>
  <c r="M61" i="1"/>
  <c r="N33" i="1"/>
  <c r="M33" i="1"/>
  <c r="N85" i="1"/>
  <c r="M85" i="1"/>
  <c r="P85" i="1" s="1"/>
  <c r="N78" i="1"/>
  <c r="M78" i="1"/>
  <c r="N84" i="1"/>
  <c r="M84" i="1"/>
  <c r="P84" i="1" s="1"/>
  <c r="N60" i="1"/>
  <c r="M60" i="1"/>
  <c r="N59" i="1"/>
  <c r="M59" i="1"/>
  <c r="N77" i="1"/>
  <c r="M77" i="1"/>
  <c r="N58" i="1"/>
  <c r="M58" i="1"/>
  <c r="N57" i="1"/>
  <c r="M57" i="1"/>
  <c r="N76" i="1"/>
  <c r="M76" i="1"/>
  <c r="P76" i="1" s="1"/>
  <c r="N32" i="1"/>
  <c r="M32" i="1"/>
  <c r="N31" i="1"/>
  <c r="M31" i="1"/>
  <c r="N30" i="1"/>
  <c r="M30" i="1"/>
  <c r="N29" i="1"/>
  <c r="M29" i="1"/>
  <c r="N7" i="1"/>
  <c r="M7" i="1"/>
  <c r="N28" i="1"/>
  <c r="M28" i="1"/>
  <c r="P61" i="1"/>
  <c r="N56" i="1"/>
  <c r="M56" i="1"/>
  <c r="N55" i="1"/>
  <c r="M55" i="1"/>
  <c r="N54" i="1"/>
  <c r="M54" i="1"/>
  <c r="N75" i="1"/>
  <c r="M75" i="1"/>
  <c r="N53" i="1"/>
  <c r="M53" i="1"/>
  <c r="N52" i="1"/>
  <c r="M52" i="1"/>
  <c r="N74" i="1"/>
  <c r="M74" i="1"/>
  <c r="N27" i="1"/>
  <c r="M27" i="1"/>
  <c r="N26" i="1"/>
  <c r="M26" i="1"/>
  <c r="N83" i="1"/>
  <c r="M83" i="1"/>
  <c r="P83" i="1" s="1"/>
  <c r="N73" i="1"/>
  <c r="M73" i="1"/>
  <c r="N25" i="1"/>
  <c r="M25" i="1"/>
  <c r="N72" i="1"/>
  <c r="M72" i="1"/>
  <c r="N71" i="1"/>
  <c r="M71" i="1"/>
  <c r="N70" i="1"/>
  <c r="M70" i="1"/>
  <c r="N82" i="1"/>
  <c r="M82" i="1"/>
  <c r="N51" i="1"/>
  <c r="M51" i="1"/>
  <c r="N69" i="1"/>
  <c r="M69" i="1"/>
  <c r="N81" i="1"/>
  <c r="M81" i="1"/>
  <c r="N50" i="1"/>
  <c r="M50" i="1"/>
  <c r="N49" i="1"/>
  <c r="M49" i="1"/>
  <c r="N48" i="1"/>
  <c r="M48" i="1"/>
  <c r="P48" i="1" s="1"/>
  <c r="N47" i="1"/>
  <c r="M47" i="1"/>
  <c r="N68" i="1"/>
  <c r="M68" i="1"/>
  <c r="N46" i="1"/>
  <c r="M46" i="1"/>
  <c r="N45" i="1"/>
  <c r="M45" i="1"/>
  <c r="N80" i="1"/>
  <c r="M80" i="1"/>
  <c r="N44" i="1"/>
  <c r="M44" i="1"/>
  <c r="N67" i="1"/>
  <c r="M67" i="1"/>
  <c r="P32" i="1"/>
  <c r="N24" i="1"/>
  <c r="M24" i="1"/>
  <c r="N23" i="1"/>
  <c r="M23" i="1"/>
  <c r="N22" i="1"/>
  <c r="M22" i="1"/>
  <c r="N21" i="1"/>
  <c r="M21" i="1"/>
  <c r="N43" i="1"/>
  <c r="M43" i="1"/>
  <c r="N20" i="1"/>
  <c r="M20" i="1"/>
  <c r="N19" i="1"/>
  <c r="M19" i="1"/>
  <c r="N18" i="1"/>
  <c r="M18" i="1"/>
  <c r="N42" i="1"/>
  <c r="M42" i="1"/>
  <c r="N6" i="1"/>
  <c r="M6" i="1"/>
  <c r="P22" i="1"/>
  <c r="N66" i="1"/>
  <c r="M66" i="1"/>
  <c r="N17" i="1"/>
  <c r="M17" i="1"/>
  <c r="N41" i="1"/>
  <c r="M41" i="1"/>
  <c r="N5" i="1"/>
  <c r="M5" i="1"/>
  <c r="N40" i="1"/>
  <c r="M40" i="1"/>
  <c r="N16" i="1"/>
  <c r="M16" i="1"/>
  <c r="N39" i="1"/>
  <c r="M39" i="1"/>
  <c r="N65" i="1"/>
  <c r="Q65" i="1" s="1"/>
  <c r="M65" i="1"/>
  <c r="N15" i="1"/>
  <c r="Q15" i="1" s="1"/>
  <c r="M15" i="1"/>
  <c r="N14" i="1"/>
  <c r="Q14" i="1" s="1"/>
  <c r="M14" i="1"/>
  <c r="N13" i="1"/>
  <c r="Q13" i="1" s="1"/>
  <c r="M13" i="1"/>
  <c r="N12" i="1"/>
  <c r="Q12" i="1" s="1"/>
  <c r="M12" i="1"/>
  <c r="AE10" i="1"/>
  <c r="AP10" i="1" s="1"/>
  <c r="AD10" i="1"/>
  <c r="AO10" i="1" s="1"/>
  <c r="AC10" i="1"/>
  <c r="AN10" i="1" s="1"/>
  <c r="AB10" i="1"/>
  <c r="AM10" i="1" s="1"/>
  <c r="AA10" i="1"/>
  <c r="AL10" i="1" s="1"/>
  <c r="Z10" i="1"/>
  <c r="AK10" i="1" s="1"/>
  <c r="Y10" i="1"/>
  <c r="AJ10" i="1" s="1"/>
  <c r="X10" i="1"/>
  <c r="AI10" i="1" s="1"/>
  <c r="W10" i="1"/>
  <c r="AH10" i="1" s="1"/>
  <c r="V10" i="1"/>
  <c r="AG10" i="1" s="1"/>
  <c r="N38" i="1"/>
  <c r="Q38" i="1" s="1"/>
  <c r="M38" i="1"/>
  <c r="AE9" i="1"/>
  <c r="AP9" i="1" s="1"/>
  <c r="AD9" i="1"/>
  <c r="AO9" i="1" s="1"/>
  <c r="AC9" i="1"/>
  <c r="AN9" i="1" s="1"/>
  <c r="AB9" i="1"/>
  <c r="AM9" i="1" s="1"/>
  <c r="AA9" i="1"/>
  <c r="AL9" i="1" s="1"/>
  <c r="Z9" i="1"/>
  <c r="AK9" i="1" s="1"/>
  <c r="Y9" i="1"/>
  <c r="AJ9" i="1" s="1"/>
  <c r="X9" i="1"/>
  <c r="AI9" i="1" s="1"/>
  <c r="W9" i="1"/>
  <c r="AH9" i="1" s="1"/>
  <c r="V9" i="1"/>
  <c r="AG9" i="1" s="1"/>
  <c r="N11" i="1"/>
  <c r="Q11" i="1" s="1"/>
  <c r="M11" i="1"/>
  <c r="AE8" i="1"/>
  <c r="AP8" i="1" s="1"/>
  <c r="AD8" i="1"/>
  <c r="AO8" i="1" s="1"/>
  <c r="AC8" i="1"/>
  <c r="AN8" i="1" s="1"/>
  <c r="AB8" i="1"/>
  <c r="AM8" i="1" s="1"/>
  <c r="AA8" i="1"/>
  <c r="AL8" i="1" s="1"/>
  <c r="Z8" i="1"/>
  <c r="AK8" i="1" s="1"/>
  <c r="Y8" i="1"/>
  <c r="AJ8" i="1" s="1"/>
  <c r="X8" i="1"/>
  <c r="AI8" i="1" s="1"/>
  <c r="W8" i="1"/>
  <c r="AH8" i="1" s="1"/>
  <c r="V8" i="1"/>
  <c r="AG8" i="1" s="1"/>
  <c r="N10" i="1"/>
  <c r="Q10" i="1" s="1"/>
  <c r="M10" i="1"/>
  <c r="AE7" i="1"/>
  <c r="AP7" i="1" s="1"/>
  <c r="AD7" i="1"/>
  <c r="AO7" i="1" s="1"/>
  <c r="AC7" i="1"/>
  <c r="AN7" i="1" s="1"/>
  <c r="AB7" i="1"/>
  <c r="AM7" i="1" s="1"/>
  <c r="AA7" i="1"/>
  <c r="AL7" i="1" s="1"/>
  <c r="Z7" i="1"/>
  <c r="AK7" i="1" s="1"/>
  <c r="Y7" i="1"/>
  <c r="AJ7" i="1" s="1"/>
  <c r="X7" i="1"/>
  <c r="AI7" i="1" s="1"/>
  <c r="W7" i="1"/>
  <c r="AH7" i="1" s="1"/>
  <c r="V7" i="1"/>
  <c r="AG7" i="1" s="1"/>
  <c r="N64" i="1"/>
  <c r="Q64" i="1" s="1"/>
  <c r="M64" i="1"/>
  <c r="AE6" i="1"/>
  <c r="AP6" i="1" s="1"/>
  <c r="AD6" i="1"/>
  <c r="AO6" i="1" s="1"/>
  <c r="AC6" i="1"/>
  <c r="AN6" i="1" s="1"/>
  <c r="AB6" i="1"/>
  <c r="AM6" i="1" s="1"/>
  <c r="AA6" i="1"/>
  <c r="AL6" i="1" s="1"/>
  <c r="Z6" i="1"/>
  <c r="AK6" i="1" s="1"/>
  <c r="Y6" i="1"/>
  <c r="AJ6" i="1" s="1"/>
  <c r="X6" i="1"/>
  <c r="AI6" i="1" s="1"/>
  <c r="W6" i="1"/>
  <c r="AH6" i="1" s="1"/>
  <c r="V6" i="1"/>
  <c r="AG6" i="1" s="1"/>
  <c r="N9" i="1"/>
  <c r="Q9" i="1" s="1"/>
  <c r="M9" i="1"/>
  <c r="AE5" i="1"/>
  <c r="AP5" i="1" s="1"/>
  <c r="AD5" i="1"/>
  <c r="AO5" i="1" s="1"/>
  <c r="AC5" i="1"/>
  <c r="AN5" i="1" s="1"/>
  <c r="AB5" i="1"/>
  <c r="AM5" i="1" s="1"/>
  <c r="AA5" i="1"/>
  <c r="AL5" i="1" s="1"/>
  <c r="Z5" i="1"/>
  <c r="AK5" i="1" s="1"/>
  <c r="Y5" i="1"/>
  <c r="AJ5" i="1" s="1"/>
  <c r="X5" i="1"/>
  <c r="AI5" i="1" s="1"/>
  <c r="W5" i="1"/>
  <c r="AH5" i="1" s="1"/>
  <c r="V5" i="1"/>
  <c r="AG5" i="1" s="1"/>
  <c r="N37" i="1"/>
  <c r="Q37" i="1" s="1"/>
  <c r="M37" i="1"/>
  <c r="AE4" i="1"/>
  <c r="AP4" i="1" s="1"/>
  <c r="AD4" i="1"/>
  <c r="AO4" i="1" s="1"/>
  <c r="AC4" i="1"/>
  <c r="AN4" i="1" s="1"/>
  <c r="AB4" i="1"/>
  <c r="AM4" i="1" s="1"/>
  <c r="AA4" i="1"/>
  <c r="AL4" i="1" s="1"/>
  <c r="Z4" i="1"/>
  <c r="AK4" i="1" s="1"/>
  <c r="Y4" i="1"/>
  <c r="AJ4" i="1" s="1"/>
  <c r="X4" i="1"/>
  <c r="AI4" i="1" s="1"/>
  <c r="W4" i="1"/>
  <c r="AH4" i="1" s="1"/>
  <c r="V4" i="1"/>
  <c r="AG4" i="1" s="1"/>
  <c r="N4" i="1"/>
  <c r="Q4" i="1" s="1"/>
  <c r="M4" i="1"/>
  <c r="N3" i="1"/>
  <c r="Q3" i="1" s="1"/>
  <c r="M3" i="1"/>
  <c r="P3" i="1" s="1"/>
  <c r="S24" i="6" l="1"/>
  <c r="U24" i="6" s="1"/>
  <c r="S22" i="6"/>
  <c r="U22" i="6" s="1"/>
  <c r="S19" i="6"/>
  <c r="U19" i="6" s="1"/>
  <c r="S8" i="6"/>
  <c r="U8" i="6" s="1"/>
  <c r="S10" i="6"/>
  <c r="U10" i="6" s="1"/>
  <c r="S12" i="6"/>
  <c r="U12" i="6" s="1"/>
  <c r="S13" i="6"/>
  <c r="U13" i="6" s="1"/>
  <c r="S14" i="6"/>
  <c r="U14" i="6" s="1"/>
  <c r="S15" i="6"/>
  <c r="U15" i="6" s="1"/>
  <c r="S16" i="6"/>
  <c r="U16" i="6" s="1"/>
  <c r="S17" i="6"/>
  <c r="U17" i="6" s="1"/>
  <c r="S26" i="6"/>
  <c r="U26" i="6" s="1"/>
  <c r="S28" i="6"/>
  <c r="U28" i="6" s="1"/>
  <c r="S33" i="6"/>
  <c r="U33" i="6" s="1"/>
  <c r="S37" i="6"/>
  <c r="U37" i="6" s="1"/>
  <c r="S49" i="6"/>
  <c r="U49" i="6" s="1"/>
  <c r="S51" i="6"/>
  <c r="U51" i="6" s="1"/>
  <c r="S52" i="6"/>
  <c r="U52" i="6" s="1"/>
  <c r="S56" i="6"/>
  <c r="U56" i="6" s="1"/>
  <c r="S57" i="6"/>
  <c r="U57" i="6" s="1"/>
  <c r="S71" i="6"/>
  <c r="U71" i="6" s="1"/>
  <c r="S75" i="6"/>
  <c r="U75" i="6" s="1"/>
  <c r="S76" i="6"/>
  <c r="U76" i="6" s="1"/>
  <c r="S78" i="6"/>
  <c r="U78" i="6" s="1"/>
  <c r="S81" i="6"/>
  <c r="U81" i="6" s="1"/>
  <c r="S46" i="6"/>
  <c r="U46" i="6" s="1"/>
  <c r="S50" i="6"/>
  <c r="U50" i="6" s="1"/>
  <c r="S53" i="6"/>
  <c r="U53" i="6" s="1"/>
  <c r="S54" i="6"/>
  <c r="U54" i="6" s="1"/>
  <c r="S55" i="6"/>
  <c r="U55" i="6" s="1"/>
  <c r="S59" i="6"/>
  <c r="U59" i="6" s="1"/>
  <c r="S62" i="6"/>
  <c r="U62" i="6" s="1"/>
  <c r="S63" i="6"/>
  <c r="U63" i="6" s="1"/>
  <c r="S68" i="6"/>
  <c r="U68" i="6" s="1"/>
  <c r="S39" i="6"/>
  <c r="U39" i="6" s="1"/>
  <c r="S41" i="6"/>
  <c r="U41" i="6" s="1"/>
  <c r="S42" i="6"/>
  <c r="U42" i="6" s="1"/>
  <c r="S43" i="6"/>
  <c r="U43" i="6" s="1"/>
  <c r="S45" i="6"/>
  <c r="U45" i="6" s="1"/>
  <c r="S65" i="6"/>
  <c r="U65" i="6" s="1"/>
  <c r="S72" i="6"/>
  <c r="U72" i="6" s="1"/>
  <c r="S77" i="6"/>
  <c r="U77" i="6" s="1"/>
  <c r="S79" i="6"/>
  <c r="U79" i="6" s="1"/>
  <c r="S82" i="6"/>
  <c r="U82" i="6" s="1"/>
  <c r="S83" i="6"/>
  <c r="U83" i="6" s="1"/>
  <c r="S84" i="6"/>
  <c r="U84" i="6" s="1"/>
  <c r="S23" i="6"/>
  <c r="U23" i="6" s="1"/>
  <c r="S29" i="6"/>
  <c r="U29" i="6" s="1"/>
  <c r="S30" i="6"/>
  <c r="U30" i="6" s="1"/>
  <c r="S66" i="6"/>
  <c r="U66" i="6" s="1"/>
  <c r="S67" i="6"/>
  <c r="U67" i="6" s="1"/>
  <c r="S80" i="6"/>
  <c r="U80" i="6" s="1"/>
  <c r="S21" i="6"/>
  <c r="U21" i="6" s="1"/>
  <c r="S27" i="6"/>
  <c r="U27" i="6" s="1"/>
  <c r="S31" i="6"/>
  <c r="U31" i="6" s="1"/>
  <c r="S38" i="6"/>
  <c r="U38" i="6" s="1"/>
  <c r="S44" i="6"/>
  <c r="U44" i="6" s="1"/>
  <c r="S60" i="6"/>
  <c r="U60" i="6" s="1"/>
  <c r="S61" i="6"/>
  <c r="U61" i="6" s="1"/>
  <c r="S64" i="6"/>
  <c r="U64" i="6" s="1"/>
  <c r="S70" i="6"/>
  <c r="U70" i="6" s="1"/>
  <c r="S5" i="6"/>
  <c r="U5" i="6" s="1"/>
  <c r="S7" i="6"/>
  <c r="U7" i="6" s="1"/>
  <c r="S11" i="6"/>
  <c r="U11" i="6" s="1"/>
  <c r="Q63" i="1"/>
  <c r="Q36" i="1"/>
  <c r="Q35" i="1"/>
  <c r="S35" i="1" s="1"/>
  <c r="Q8" i="1"/>
  <c r="Q62" i="1"/>
  <c r="S62" i="1" s="1"/>
  <c r="Q79" i="1"/>
  <c r="S79" i="1" s="1"/>
  <c r="Q34" i="1"/>
  <c r="S34" i="1"/>
  <c r="Q61" i="1"/>
  <c r="S61" i="1"/>
  <c r="Q33" i="1"/>
  <c r="S33" i="1" s="1"/>
  <c r="Q85" i="1"/>
  <c r="S85" i="1" s="1"/>
  <c r="Q78" i="1"/>
  <c r="S78" i="1" s="1"/>
  <c r="Q84" i="1"/>
  <c r="S84" i="1" s="1"/>
  <c r="Q60" i="1"/>
  <c r="S60" i="1"/>
  <c r="Q59" i="1"/>
  <c r="S59" i="1" s="1"/>
  <c r="Q77" i="1"/>
  <c r="S77" i="1"/>
  <c r="Q58" i="1"/>
  <c r="S58" i="1" s="1"/>
  <c r="Q57" i="1"/>
  <c r="S57" i="1"/>
  <c r="Q76" i="1"/>
  <c r="S76" i="1" s="1"/>
  <c r="Q32" i="1"/>
  <c r="S32" i="1" s="1"/>
  <c r="Q31" i="1"/>
  <c r="Q30" i="1"/>
  <c r="Q29" i="1"/>
  <c r="Q7" i="1"/>
  <c r="Q28" i="1"/>
  <c r="Q56" i="1"/>
  <c r="Q55" i="1"/>
  <c r="Q54" i="1"/>
  <c r="Q75" i="1"/>
  <c r="Q53" i="1"/>
  <c r="Q52" i="1"/>
  <c r="Q74" i="1"/>
  <c r="S74" i="1" s="1"/>
  <c r="Q27" i="1"/>
  <c r="Q26" i="1"/>
  <c r="Q83" i="1"/>
  <c r="S83" i="1"/>
  <c r="Q73" i="1"/>
  <c r="S73" i="1"/>
  <c r="Q25" i="1"/>
  <c r="Q72" i="1"/>
  <c r="S72" i="1" s="1"/>
  <c r="Q71" i="1"/>
  <c r="S71" i="1" s="1"/>
  <c r="Q70" i="1"/>
  <c r="S70" i="1"/>
  <c r="Q82" i="1"/>
  <c r="S82" i="1" s="1"/>
  <c r="Q51" i="1"/>
  <c r="Q69" i="1"/>
  <c r="S69" i="1"/>
  <c r="Q81" i="1"/>
  <c r="S81" i="1"/>
  <c r="Q50" i="1"/>
  <c r="S50" i="1" s="1"/>
  <c r="Q49" i="1"/>
  <c r="S49" i="1" s="1"/>
  <c r="Q48" i="1"/>
  <c r="S48" i="1" s="1"/>
  <c r="Q47" i="1"/>
  <c r="S47" i="1" s="1"/>
  <c r="Q68" i="1"/>
  <c r="S68" i="1" s="1"/>
  <c r="Q46" i="1"/>
  <c r="S46" i="1" s="1"/>
  <c r="Q45" i="1"/>
  <c r="S45" i="1"/>
  <c r="Q80" i="1"/>
  <c r="S80" i="1" s="1"/>
  <c r="Q44" i="1"/>
  <c r="S44" i="1"/>
  <c r="Q67" i="1"/>
  <c r="S67" i="1"/>
  <c r="Q24" i="1"/>
  <c r="Q23" i="1"/>
  <c r="S23" i="1" s="1"/>
  <c r="Q22" i="1"/>
  <c r="S22" i="1" s="1"/>
  <c r="Q21" i="1"/>
  <c r="Q43" i="1"/>
  <c r="S43" i="1"/>
  <c r="Q20" i="1"/>
  <c r="S20" i="1"/>
  <c r="Q19" i="1"/>
  <c r="Q18" i="1"/>
  <c r="S18" i="1" s="1"/>
  <c r="Q42" i="1"/>
  <c r="S42" i="1" s="1"/>
  <c r="Q6" i="1"/>
  <c r="S6" i="1" s="1"/>
  <c r="S66" i="1"/>
  <c r="Q66" i="1"/>
  <c r="Q17" i="1"/>
  <c r="S17" i="1" s="1"/>
  <c r="Q41" i="1"/>
  <c r="S41" i="1"/>
  <c r="Q5" i="1"/>
  <c r="S5" i="1"/>
  <c r="Q40" i="1"/>
  <c r="S40" i="1" s="1"/>
  <c r="Q16" i="1"/>
  <c r="S16" i="1" s="1"/>
  <c r="Q39" i="1"/>
  <c r="S39" i="1"/>
  <c r="M2" i="5"/>
  <c r="R2" i="5"/>
  <c r="M3" i="5"/>
  <c r="R3" i="5"/>
  <c r="S1" i="5"/>
  <c r="S5" i="5"/>
  <c r="U5" i="5" s="1"/>
  <c r="U21" i="5"/>
  <c r="U20" i="4"/>
  <c r="U23" i="4"/>
  <c r="U22" i="4"/>
  <c r="S23" i="5"/>
  <c r="U23" i="5" s="1"/>
  <c r="S22" i="5"/>
  <c r="U22" i="5" s="1"/>
  <c r="S20" i="5"/>
  <c r="U20" i="5" s="1"/>
  <c r="S19" i="5"/>
  <c r="U19" i="5" s="1"/>
  <c r="S18" i="5"/>
  <c r="U18" i="5" s="1"/>
  <c r="S17" i="5"/>
  <c r="U17" i="5" s="1"/>
  <c r="S16" i="5"/>
  <c r="U16" i="5" s="1"/>
  <c r="S15" i="5"/>
  <c r="U15" i="5"/>
  <c r="S14" i="5"/>
  <c r="U14" i="5" s="1"/>
  <c r="S13" i="5"/>
  <c r="U13" i="5" s="1"/>
  <c r="S12" i="5"/>
  <c r="U12" i="5"/>
  <c r="S11" i="5"/>
  <c r="U11" i="5" s="1"/>
  <c r="S10" i="5"/>
  <c r="U10" i="5"/>
  <c r="S8" i="5"/>
  <c r="U8" i="5" s="1"/>
  <c r="S7" i="5"/>
  <c r="U7" i="5" s="1"/>
  <c r="S6" i="5"/>
  <c r="U6" i="5" s="1"/>
  <c r="S4" i="5"/>
  <c r="U4" i="5"/>
  <c r="S3" i="5"/>
  <c r="U3" i="5" s="1"/>
  <c r="S2" i="5"/>
  <c r="U2" i="5"/>
  <c r="S3" i="4"/>
  <c r="U3" i="4" s="1"/>
  <c r="S4" i="4"/>
  <c r="U4" i="4" s="1"/>
  <c r="S5" i="4"/>
  <c r="U5" i="4" s="1"/>
  <c r="S6" i="4"/>
  <c r="U6" i="4" s="1"/>
  <c r="S7" i="4"/>
  <c r="U7" i="4" s="1"/>
  <c r="S8" i="4"/>
  <c r="U8" i="4" s="1"/>
  <c r="S9" i="4"/>
  <c r="U9" i="4" s="1"/>
  <c r="S10" i="4"/>
  <c r="U10" i="4"/>
  <c r="S11" i="4"/>
  <c r="U11" i="4" s="1"/>
  <c r="S12" i="4"/>
  <c r="U12" i="4" s="1"/>
  <c r="S13" i="4"/>
  <c r="U13" i="4" s="1"/>
  <c r="S14" i="4"/>
  <c r="U14" i="4" s="1"/>
  <c r="S15" i="4"/>
  <c r="U15" i="4" s="1"/>
  <c r="S16" i="4"/>
  <c r="U16" i="4" s="1"/>
  <c r="S17" i="4"/>
  <c r="U17" i="4" s="1"/>
  <c r="S18" i="4"/>
  <c r="U18" i="4" s="1"/>
  <c r="S19" i="4"/>
  <c r="U19" i="4" s="1"/>
  <c r="S2" i="4"/>
  <c r="U2" i="4" s="1"/>
  <c r="R85" i="3"/>
  <c r="S85" i="3" s="1"/>
  <c r="U85" i="3" s="1"/>
  <c r="P85" i="3"/>
  <c r="R84" i="3"/>
  <c r="S84" i="3" s="1"/>
  <c r="P84" i="3"/>
  <c r="R83" i="3"/>
  <c r="S83" i="3" s="1"/>
  <c r="U83" i="3" s="1"/>
  <c r="P83" i="3"/>
  <c r="R82" i="3"/>
  <c r="S82" i="3" s="1"/>
  <c r="P82" i="3"/>
  <c r="R81" i="3"/>
  <c r="S81" i="3" s="1"/>
  <c r="P81" i="3"/>
  <c r="R80" i="3"/>
  <c r="P80" i="3"/>
  <c r="S80" i="3"/>
  <c r="R79" i="3"/>
  <c r="P79" i="3"/>
  <c r="S79" i="3"/>
  <c r="S78" i="3"/>
  <c r="P78" i="3"/>
  <c r="R77" i="3"/>
  <c r="S77" i="3" s="1"/>
  <c r="U77" i="3" s="1"/>
  <c r="R76" i="3"/>
  <c r="S76" i="3" s="1"/>
  <c r="P76" i="3"/>
  <c r="R75" i="3"/>
  <c r="S75" i="3" s="1"/>
  <c r="P75" i="3"/>
  <c r="R74" i="3"/>
  <c r="S74" i="3" s="1"/>
  <c r="U74" i="3" s="1"/>
  <c r="R73" i="3"/>
  <c r="S73" i="3" s="1"/>
  <c r="U73" i="3" s="1"/>
  <c r="P73" i="3"/>
  <c r="R72" i="3"/>
  <c r="S72" i="3" s="1"/>
  <c r="U72" i="3" s="1"/>
  <c r="R71" i="3"/>
  <c r="S71" i="3" s="1"/>
  <c r="U71" i="3" s="1"/>
  <c r="P71" i="3"/>
  <c r="S70" i="3"/>
  <c r="P70" i="3"/>
  <c r="P69" i="3"/>
  <c r="R69" i="3"/>
  <c r="S69" i="3" s="1"/>
  <c r="U69" i="3" s="1"/>
  <c r="P68" i="3"/>
  <c r="S68" i="3"/>
  <c r="R67" i="3"/>
  <c r="S67" i="3" s="1"/>
  <c r="U67" i="3" s="1"/>
  <c r="P67" i="3"/>
  <c r="R66" i="3"/>
  <c r="S66" i="3" s="1"/>
  <c r="U66" i="3" s="1"/>
  <c r="P66" i="3"/>
  <c r="R65" i="3"/>
  <c r="S65" i="3" s="1"/>
  <c r="U65" i="3" s="1"/>
  <c r="R64" i="3"/>
  <c r="S64" i="3" s="1"/>
  <c r="U64" i="3" s="1"/>
  <c r="R63" i="3"/>
  <c r="S63" i="3" s="1"/>
  <c r="P63" i="3"/>
  <c r="R62" i="3"/>
  <c r="S62" i="3" s="1"/>
  <c r="U62" i="3" s="1"/>
  <c r="P62" i="3"/>
  <c r="P61" i="3"/>
  <c r="R61" i="3"/>
  <c r="S61" i="3" s="1"/>
  <c r="U61" i="3" s="1"/>
  <c r="P60" i="3"/>
  <c r="R60" i="3"/>
  <c r="S60" i="3" s="1"/>
  <c r="R59" i="3"/>
  <c r="S59" i="3" s="1"/>
  <c r="U59" i="3" s="1"/>
  <c r="S58" i="3"/>
  <c r="P58" i="3"/>
  <c r="P57" i="3"/>
  <c r="S57" i="3"/>
  <c r="R56" i="3"/>
  <c r="S56" i="3" s="1"/>
  <c r="P56" i="3"/>
  <c r="R55" i="3"/>
  <c r="S55" i="3" s="1"/>
  <c r="U55" i="3" s="1"/>
  <c r="P55" i="3"/>
  <c r="P54" i="3"/>
  <c r="R54" i="3"/>
  <c r="S54" i="3" s="1"/>
  <c r="R53" i="3"/>
  <c r="P53" i="3"/>
  <c r="S53" i="3"/>
  <c r="R52" i="3"/>
  <c r="S52" i="3" s="1"/>
  <c r="U52" i="3" s="1"/>
  <c r="P52" i="3"/>
  <c r="R51" i="3"/>
  <c r="S51" i="3"/>
  <c r="U51" i="3" s="1"/>
  <c r="P50" i="3"/>
  <c r="S50" i="3"/>
  <c r="R49" i="3"/>
  <c r="S49" i="3" s="1"/>
  <c r="U49" i="3" s="1"/>
  <c r="P48" i="3"/>
  <c r="R48" i="3"/>
  <c r="S48" i="3" s="1"/>
  <c r="U48" i="3" s="1"/>
  <c r="R47" i="3"/>
  <c r="S47" i="3" s="1"/>
  <c r="U47" i="3" s="1"/>
  <c r="P47" i="3"/>
  <c r="R46" i="3"/>
  <c r="S46" i="3" s="1"/>
  <c r="U46" i="3" s="1"/>
  <c r="P46" i="3"/>
  <c r="P45" i="3"/>
  <c r="R45" i="3"/>
  <c r="S45" i="3" s="1"/>
  <c r="P44" i="3"/>
  <c r="R44" i="3"/>
  <c r="S44" i="3" s="1"/>
  <c r="R43" i="3"/>
  <c r="P43" i="3"/>
  <c r="S43" i="3"/>
  <c r="R42" i="3"/>
  <c r="S42" i="3" s="1"/>
  <c r="U42" i="3" s="1"/>
  <c r="P41" i="3"/>
  <c r="R41" i="3"/>
  <c r="S41" i="3" s="1"/>
  <c r="R40" i="3"/>
  <c r="P40" i="3"/>
  <c r="S40" i="3"/>
  <c r="P39" i="3"/>
  <c r="R39" i="3"/>
  <c r="S39" i="3" s="1"/>
  <c r="U39" i="3" s="1"/>
  <c r="R38" i="3"/>
  <c r="P38" i="3"/>
  <c r="S38" i="3"/>
  <c r="P37" i="3"/>
  <c r="R37" i="3"/>
  <c r="S37" i="3"/>
  <c r="R36" i="3"/>
  <c r="S36" i="3" s="1"/>
  <c r="U36" i="3" s="1"/>
  <c r="P36" i="3"/>
  <c r="R35" i="3"/>
  <c r="S35" i="3" s="1"/>
  <c r="U35" i="3" s="1"/>
  <c r="P34" i="3"/>
  <c r="R34" i="3"/>
  <c r="S34" i="3" s="1"/>
  <c r="U34" i="3" s="1"/>
  <c r="P33" i="3"/>
  <c r="R33" i="3"/>
  <c r="S33" i="3"/>
  <c r="P32" i="3"/>
  <c r="R32" i="3"/>
  <c r="S32" i="3" s="1"/>
  <c r="R31" i="3"/>
  <c r="S31" i="3" s="1"/>
  <c r="U31" i="3" s="1"/>
  <c r="R30" i="3"/>
  <c r="S30" i="3" s="1"/>
  <c r="U30" i="3" s="1"/>
  <c r="P30" i="3"/>
  <c r="R29" i="3"/>
  <c r="P29" i="3"/>
  <c r="S29" i="3"/>
  <c r="P28" i="3"/>
  <c r="R28" i="3"/>
  <c r="S28" i="3" s="1"/>
  <c r="P27" i="3"/>
  <c r="R27" i="3"/>
  <c r="S27" i="3" s="1"/>
  <c r="R26" i="3"/>
  <c r="P26" i="3"/>
  <c r="S26" i="3"/>
  <c r="R25" i="3"/>
  <c r="S25" i="3" s="1"/>
  <c r="U25" i="3" s="1"/>
  <c r="P25" i="3"/>
  <c r="P24" i="3"/>
  <c r="R24" i="3"/>
  <c r="S24" i="3" s="1"/>
  <c r="R23" i="3"/>
  <c r="S23" i="3" s="1"/>
  <c r="U23" i="3" s="1"/>
  <c r="P23" i="3"/>
  <c r="P22" i="3"/>
  <c r="R22" i="3"/>
  <c r="S22" i="3" s="1"/>
  <c r="U22" i="3" s="1"/>
  <c r="R21" i="3"/>
  <c r="S21" i="3" s="1"/>
  <c r="U21" i="3" s="1"/>
  <c r="P21" i="3"/>
  <c r="S20" i="3"/>
  <c r="P20" i="3"/>
  <c r="P19" i="3"/>
  <c r="R19" i="3"/>
  <c r="S19" i="3" s="1"/>
  <c r="R17" i="3"/>
  <c r="P17" i="3"/>
  <c r="S17" i="3"/>
  <c r="R16" i="3"/>
  <c r="S16" i="3" s="1"/>
  <c r="U16" i="3" s="1"/>
  <c r="P16" i="3"/>
  <c r="R15" i="3"/>
  <c r="S15" i="3" s="1"/>
  <c r="U15" i="3" s="1"/>
  <c r="P15" i="3"/>
  <c r="R14" i="3"/>
  <c r="S14" i="3" s="1"/>
  <c r="P14" i="3"/>
  <c r="R13" i="3"/>
  <c r="S13" i="3" s="1"/>
  <c r="P13" i="3"/>
  <c r="R12" i="3"/>
  <c r="S12" i="3" s="1"/>
  <c r="U12" i="3" s="1"/>
  <c r="P12" i="3"/>
  <c r="R11" i="3"/>
  <c r="S11" i="3" s="1"/>
  <c r="U11" i="3" s="1"/>
  <c r="P11" i="3"/>
  <c r="R10" i="3"/>
  <c r="S10" i="3" s="1"/>
  <c r="U10" i="3" s="1"/>
  <c r="P10" i="3"/>
  <c r="R9" i="3"/>
  <c r="S9" i="3" s="1"/>
  <c r="U9" i="3" s="1"/>
  <c r="P9" i="3"/>
  <c r="P8" i="3"/>
  <c r="R8" i="3"/>
  <c r="S8" i="3" s="1"/>
  <c r="R7" i="3"/>
  <c r="S7" i="3" s="1"/>
  <c r="P7" i="3"/>
  <c r="P6" i="3"/>
  <c r="R6" i="3"/>
  <c r="S6" i="3" s="1"/>
  <c r="U6" i="3" s="1"/>
  <c r="R5" i="3"/>
  <c r="S5" i="3" s="1"/>
  <c r="P5" i="3"/>
  <c r="R4" i="3"/>
  <c r="S4" i="3" s="1"/>
  <c r="P4" i="3"/>
  <c r="U18" i="3"/>
  <c r="P73" i="1"/>
  <c r="P82" i="1"/>
  <c r="P81" i="1"/>
  <c r="P11" i="1"/>
  <c r="S11" i="1" s="1"/>
  <c r="P80" i="1"/>
  <c r="P79" i="1"/>
  <c r="P78" i="1"/>
  <c r="P77" i="1"/>
  <c r="P75" i="1"/>
  <c r="S75" i="1" s="1"/>
  <c r="P74" i="1"/>
  <c r="P72" i="1"/>
  <c r="P71" i="1"/>
  <c r="P70" i="1"/>
  <c r="P69" i="1"/>
  <c r="P68" i="1"/>
  <c r="P67" i="1"/>
  <c r="P66" i="1"/>
  <c r="P65" i="1"/>
  <c r="S65" i="1" s="1"/>
  <c r="P64" i="1"/>
  <c r="S64" i="1" s="1"/>
  <c r="P63" i="1"/>
  <c r="S63" i="1" s="1"/>
  <c r="P62" i="1"/>
  <c r="P60" i="1"/>
  <c r="P59" i="1"/>
  <c r="P58" i="1"/>
  <c r="P57" i="1"/>
  <c r="P56" i="1"/>
  <c r="P55" i="1"/>
  <c r="S55" i="1" s="1"/>
  <c r="P54" i="1"/>
  <c r="S54" i="1" s="1"/>
  <c r="P53" i="1"/>
  <c r="S53" i="1" s="1"/>
  <c r="P52" i="1"/>
  <c r="P51" i="1"/>
  <c r="S51" i="1" s="1"/>
  <c r="P50" i="1"/>
  <c r="P49" i="1"/>
  <c r="P47" i="1"/>
  <c r="P46" i="1"/>
  <c r="P45" i="1"/>
  <c r="P44" i="1"/>
  <c r="P43" i="1"/>
  <c r="P42" i="1"/>
  <c r="P41" i="1"/>
  <c r="P40" i="1"/>
  <c r="P39" i="1"/>
  <c r="P38" i="1"/>
  <c r="S38" i="1" s="1"/>
  <c r="P37" i="1"/>
  <c r="S37" i="1" s="1"/>
  <c r="P36" i="1"/>
  <c r="S36" i="1" s="1"/>
  <c r="P35" i="1"/>
  <c r="P34" i="1"/>
  <c r="P33" i="1"/>
  <c r="P31" i="1"/>
  <c r="P30" i="1"/>
  <c r="P29" i="1"/>
  <c r="P28" i="1"/>
  <c r="P27" i="1"/>
  <c r="S27" i="1" s="1"/>
  <c r="P26" i="1"/>
  <c r="P25" i="1"/>
  <c r="S25" i="1" s="1"/>
  <c r="P24" i="1"/>
  <c r="P23" i="1"/>
  <c r="P21" i="1"/>
  <c r="P20" i="1"/>
  <c r="P19" i="1"/>
  <c r="S19" i="1" s="1"/>
  <c r="P18" i="1"/>
  <c r="P17" i="1"/>
  <c r="P16" i="1"/>
  <c r="P15" i="1"/>
  <c r="S15" i="1" s="1"/>
  <c r="P14" i="1"/>
  <c r="S14" i="1" s="1"/>
  <c r="P13" i="1"/>
  <c r="S13" i="1" s="1"/>
  <c r="P12" i="1"/>
  <c r="S12" i="1" s="1"/>
  <c r="P10" i="1"/>
  <c r="S10" i="1" s="1"/>
  <c r="P9" i="1"/>
  <c r="S9" i="1" s="1"/>
  <c r="P8" i="1"/>
  <c r="P7" i="1"/>
  <c r="P6" i="1"/>
  <c r="P5" i="1"/>
  <c r="P4" i="1"/>
  <c r="S4" i="1" s="1"/>
  <c r="U82" i="3" l="1"/>
  <c r="S31" i="1"/>
  <c r="S30" i="1"/>
  <c r="S29" i="1"/>
  <c r="S7" i="1"/>
  <c r="S28" i="1"/>
  <c r="S56" i="1"/>
  <c r="S52" i="1"/>
  <c r="S26" i="1"/>
  <c r="S24" i="1"/>
  <c r="S21" i="1"/>
  <c r="S8" i="1"/>
  <c r="U50" i="3"/>
  <c r="U45" i="3"/>
  <c r="U44" i="3"/>
  <c r="U43" i="3"/>
  <c r="U41" i="3"/>
  <c r="U40" i="3"/>
  <c r="U38" i="3"/>
  <c r="U37" i="3"/>
  <c r="U33" i="3"/>
  <c r="U32" i="3"/>
  <c r="U29" i="3"/>
  <c r="U28" i="3"/>
  <c r="U27" i="3"/>
  <c r="U26" i="3"/>
  <c r="U24" i="3"/>
  <c r="U19" i="3"/>
  <c r="U14" i="3"/>
  <c r="U13" i="3"/>
  <c r="U4" i="3"/>
  <c r="U84" i="3"/>
  <c r="U81" i="3"/>
  <c r="U80" i="3"/>
  <c r="U79" i="3"/>
  <c r="U70" i="3"/>
  <c r="U57" i="3"/>
  <c r="U56" i="3"/>
  <c r="U20" i="3"/>
  <c r="U17" i="3"/>
  <c r="U78" i="3"/>
  <c r="U76" i="3"/>
  <c r="U75" i="3"/>
  <c r="U68" i="3"/>
  <c r="U63" i="3"/>
  <c r="U60" i="3"/>
  <c r="U53" i="3"/>
  <c r="U8" i="3"/>
  <c r="U7" i="3"/>
  <c r="U5" i="3"/>
  <c r="U54" i="3"/>
  <c r="U58" i="3"/>
</calcChain>
</file>

<file path=xl/sharedStrings.xml><?xml version="1.0" encoding="utf-8"?>
<sst xmlns="http://schemas.openxmlformats.org/spreadsheetml/2006/main" count="3477" uniqueCount="553">
  <si>
    <t>響度優先次第： a &gt; oo &gt; (e = o) &gt; (i = u)〈低元音 &gt; 高元音 &gt; 無擦通音 &gt; 擦音 &gt; 塞音〉</t>
  </si>
  <si>
    <t>序號</t>
    <phoneticPr fontId="9" type="noConversion"/>
  </si>
  <si>
    <t>國際音標</t>
    <phoneticPr fontId="9" type="noConversion"/>
  </si>
  <si>
    <t>台羅拼音</t>
    <phoneticPr fontId="9" type="noConversion"/>
  </si>
  <si>
    <t>台語音標</t>
    <phoneticPr fontId="9" type="noConversion"/>
  </si>
  <si>
    <t>台語注音二式</t>
    <phoneticPr fontId="9" type="noConversion"/>
  </si>
  <si>
    <t>閩拼方案</t>
    <phoneticPr fontId="9" type="noConversion"/>
  </si>
  <si>
    <t>白話字</t>
    <phoneticPr fontId="9" type="noConversion"/>
  </si>
  <si>
    <t>十五音</t>
    <phoneticPr fontId="9" type="noConversion"/>
  </si>
  <si>
    <t>方音符號</t>
    <phoneticPr fontId="9" type="noConversion"/>
  </si>
  <si>
    <t>聲韻調類</t>
    <phoneticPr fontId="9" type="noConversion"/>
  </si>
  <si>
    <t>字長</t>
    <phoneticPr fontId="9" type="noConversion"/>
  </si>
  <si>
    <t>標調字母</t>
    <phoneticPr fontId="9" type="noConversion"/>
  </si>
  <si>
    <t>search()</t>
    <phoneticPr fontId="9" type="noConversion"/>
  </si>
  <si>
    <t>U+0301</t>
  </si>
  <si>
    <t>U+0300</t>
  </si>
  <si>
    <t>U+030C</t>
    <phoneticPr fontId="9" type="noConversion"/>
  </si>
  <si>
    <t>U+0301</t>
    <phoneticPr fontId="9" type="noConversion"/>
  </si>
  <si>
    <t>U+0304</t>
  </si>
  <si>
    <t>U+030D</t>
  </si>
  <si>
    <t>U+030B</t>
  </si>
  <si>
    <t>U+030A</t>
  </si>
  <si>
    <t>a</t>
  </si>
  <si>
    <t>膠舒</t>
  </si>
  <si>
    <t>ㄚ</t>
  </si>
  <si>
    <t>a</t>
    <phoneticPr fontId="9" type="noConversion"/>
  </si>
  <si>
    <t>ã</t>
  </si>
  <si>
    <t>ann</t>
  </si>
  <si>
    <t>na</t>
  </si>
  <si>
    <t>aⁿ</t>
  </si>
  <si>
    <t>監舒</t>
  </si>
  <si>
    <t>ㆩ</t>
  </si>
  <si>
    <t>韻-鼻</t>
    <phoneticPr fontId="9" type="noConversion"/>
  </si>
  <si>
    <t>i</t>
    <phoneticPr fontId="9" type="noConversion"/>
  </si>
  <si>
    <t>aʔ</t>
  </si>
  <si>
    <t>ah</t>
  </si>
  <si>
    <t>膠促</t>
  </si>
  <si>
    <t>ㄚㆷ</t>
  </si>
  <si>
    <t>u</t>
    <phoneticPr fontId="9" type="noConversion"/>
  </si>
  <si>
    <t>ãʔ</t>
  </si>
  <si>
    <t>annh</t>
  </si>
  <si>
    <t>ahnn</t>
  </si>
  <si>
    <t>nah</t>
  </si>
  <si>
    <t>ahⁿ</t>
  </si>
  <si>
    <t>監促</t>
  </si>
  <si>
    <t>ㆩㆷ</t>
  </si>
  <si>
    <t>e</t>
    <phoneticPr fontId="9" type="noConversion"/>
  </si>
  <si>
    <t>am</t>
  </si>
  <si>
    <t>甘舒</t>
  </si>
  <si>
    <t>ㆰ</t>
  </si>
  <si>
    <t>o</t>
    <phoneticPr fontId="9" type="noConversion"/>
  </si>
  <si>
    <t>an</t>
  </si>
  <si>
    <t>干舒</t>
  </si>
  <si>
    <t>ㄢ</t>
  </si>
  <si>
    <t>m</t>
    <phoneticPr fontId="9" type="noConversion"/>
  </si>
  <si>
    <t>aŋ</t>
  </si>
  <si>
    <t>ang</t>
  </si>
  <si>
    <t>江舒</t>
  </si>
  <si>
    <t>ㄤ</t>
  </si>
  <si>
    <t>n</t>
    <phoneticPr fontId="9" type="noConversion"/>
  </si>
  <si>
    <t>ap̚</t>
  </si>
  <si>
    <t>ap</t>
  </si>
  <si>
    <t>甘促</t>
  </si>
  <si>
    <t>ㄚㆴ</t>
  </si>
  <si>
    <t>at̚</t>
  </si>
  <si>
    <t>at</t>
  </si>
  <si>
    <t>干促</t>
  </si>
  <si>
    <t>ㄚㆵ</t>
  </si>
  <si>
    <t>ak̚</t>
  </si>
  <si>
    <t>ak</t>
  </si>
  <si>
    <t>江促</t>
  </si>
  <si>
    <t>ㄚㆻ</t>
  </si>
  <si>
    <t>aɪ</t>
  </si>
  <si>
    <t>ai</t>
  </si>
  <si>
    <t>皆舒</t>
  </si>
  <si>
    <t>ㄞ</t>
  </si>
  <si>
    <t>ãɪ</t>
  </si>
  <si>
    <t>ainn</t>
  </si>
  <si>
    <t>nai</t>
  </si>
  <si>
    <t>aiⁿ</t>
  </si>
  <si>
    <t>閒舒</t>
  </si>
  <si>
    <t>ㆮ</t>
  </si>
  <si>
    <t>aɪʔ</t>
  </si>
  <si>
    <t>aih</t>
  </si>
  <si>
    <t>皆促</t>
  </si>
  <si>
    <t>ㄞㆷ</t>
  </si>
  <si>
    <t>au</t>
  </si>
  <si>
    <t>ao</t>
  </si>
  <si>
    <t>交舒</t>
  </si>
  <si>
    <t>ㄠ</t>
  </si>
  <si>
    <t>auʔ</t>
  </si>
  <si>
    <t>auh</t>
  </si>
  <si>
    <t>aoh</t>
  </si>
  <si>
    <t>交促</t>
  </si>
  <si>
    <t>ㄠㆷ</t>
  </si>
  <si>
    <t>e</t>
  </si>
  <si>
    <t>ei</t>
  </si>
  <si>
    <t>稽舒</t>
  </si>
  <si>
    <t>ㆤ</t>
  </si>
  <si>
    <t>ẽ</t>
  </si>
  <si>
    <t>enn</t>
  </si>
  <si>
    <t>ne</t>
  </si>
  <si>
    <t>eⁿ</t>
  </si>
  <si>
    <t>更舒</t>
  </si>
  <si>
    <t>ㆥ</t>
  </si>
  <si>
    <t>eʔ</t>
  </si>
  <si>
    <t>eh</t>
  </si>
  <si>
    <t>伽促</t>
  </si>
  <si>
    <t>ㆤㆷ</t>
  </si>
  <si>
    <t>ẽʔ</t>
  </si>
  <si>
    <t>ennh</t>
  </si>
  <si>
    <t>更促</t>
  </si>
  <si>
    <t>ㆥㆷ</t>
  </si>
  <si>
    <t>i</t>
  </si>
  <si>
    <t>居舒</t>
  </si>
  <si>
    <t>ㄧ</t>
  </si>
  <si>
    <t>ĩ</t>
  </si>
  <si>
    <t>inn</t>
  </si>
  <si>
    <t>ni</t>
  </si>
  <si>
    <t>iⁿ</t>
  </si>
  <si>
    <t>梔舒</t>
  </si>
  <si>
    <t>ㆪ</t>
  </si>
  <si>
    <t>iʔ</t>
  </si>
  <si>
    <t>ih</t>
  </si>
  <si>
    <t>居促</t>
  </si>
  <si>
    <t>ㄧㆷ</t>
  </si>
  <si>
    <t>im</t>
  </si>
  <si>
    <t>金舒</t>
  </si>
  <si>
    <t>ㄧㆬ</t>
  </si>
  <si>
    <t>in</t>
  </si>
  <si>
    <t>巾舒</t>
  </si>
  <si>
    <t>ㄧㄣ</t>
  </si>
  <si>
    <t>iŋ</t>
  </si>
  <si>
    <t>ing</t>
  </si>
  <si>
    <t>eng</t>
  </si>
  <si>
    <t>經舒</t>
  </si>
  <si>
    <t>ㄧㄥ</t>
  </si>
  <si>
    <t>ip̚</t>
  </si>
  <si>
    <t>ip</t>
  </si>
  <si>
    <t>金促</t>
  </si>
  <si>
    <t>一ㆴ</t>
  </si>
  <si>
    <t>it̚</t>
  </si>
  <si>
    <t>it</t>
  </si>
  <si>
    <t>巾促</t>
  </si>
  <si>
    <t>ㄧㆵ</t>
  </si>
  <si>
    <t>ik̚/ɪək̚</t>
  </si>
  <si>
    <t>ik</t>
  </si>
  <si>
    <t>ek</t>
  </si>
  <si>
    <t>經促</t>
  </si>
  <si>
    <t>ㄧㆻ</t>
  </si>
  <si>
    <t>ɪa</t>
  </si>
  <si>
    <t>ia</t>
  </si>
  <si>
    <t>迦舒</t>
  </si>
  <si>
    <t>ㄧㄚ</t>
  </si>
  <si>
    <t>iã</t>
  </si>
  <si>
    <t>iann</t>
  </si>
  <si>
    <t>nia</t>
  </si>
  <si>
    <t>iaⁿ</t>
  </si>
  <si>
    <t>驚舒</t>
  </si>
  <si>
    <t>ㄧㆩ</t>
  </si>
  <si>
    <t>ɪaʔ</t>
  </si>
  <si>
    <t>iah</t>
  </si>
  <si>
    <t>迦促</t>
  </si>
  <si>
    <t>ㄧㄚㆷ</t>
  </si>
  <si>
    <t>iãʔ</t>
  </si>
  <si>
    <t>iannh</t>
  </si>
  <si>
    <t>iaⁿh</t>
  </si>
  <si>
    <t>ㄧㆩㆷ</t>
  </si>
  <si>
    <t>ɪam</t>
  </si>
  <si>
    <t>iam</t>
  </si>
  <si>
    <t>兼舒</t>
  </si>
  <si>
    <t>ㄧㆰ</t>
  </si>
  <si>
    <t>ɪan/en</t>
  </si>
  <si>
    <t>ian</t>
  </si>
  <si>
    <t>堅舒</t>
  </si>
  <si>
    <t>ㄧㄢ</t>
  </si>
  <si>
    <t>ɪaŋ</t>
  </si>
  <si>
    <t>iang</t>
  </si>
  <si>
    <t>姜舒</t>
  </si>
  <si>
    <t>ㄧㄤ</t>
  </si>
  <si>
    <t>ɪap̚</t>
  </si>
  <si>
    <t>iap</t>
  </si>
  <si>
    <t>兼促</t>
  </si>
  <si>
    <t>ㄧㄚㆴ</t>
  </si>
  <si>
    <t>ɪat̚/ɪet̚</t>
  </si>
  <si>
    <t>iat</t>
  </si>
  <si>
    <t>堅促</t>
  </si>
  <si>
    <t>ㄧㄚㆵ</t>
  </si>
  <si>
    <t>ɪak̚</t>
  </si>
  <si>
    <t>iak</t>
  </si>
  <si>
    <t>姜促</t>
  </si>
  <si>
    <t>ㄧㄚㆻ</t>
  </si>
  <si>
    <t>ɪau</t>
  </si>
  <si>
    <t>iau</t>
  </si>
  <si>
    <t>iao</t>
  </si>
  <si>
    <t>嬌舒</t>
  </si>
  <si>
    <t>ㄧㄠ</t>
  </si>
  <si>
    <t>ɪãu</t>
  </si>
  <si>
    <t>iaunn</t>
  </si>
  <si>
    <t>niao</t>
  </si>
  <si>
    <t>iauⁿ</t>
  </si>
  <si>
    <t>嘄舒</t>
  </si>
  <si>
    <t>ㄧㆯ</t>
  </si>
  <si>
    <t>ɪauʔ</t>
  </si>
  <si>
    <t>iauh</t>
  </si>
  <si>
    <t>iaoh</t>
  </si>
  <si>
    <t>嬌促</t>
  </si>
  <si>
    <t>ㄧㄠㆷ</t>
  </si>
  <si>
    <t>ɪə/ɪo</t>
  </si>
  <si>
    <t>io</t>
  </si>
  <si>
    <t>ior</t>
  </si>
  <si>
    <t>茄舒</t>
  </si>
  <si>
    <t>ㄧㄜ</t>
  </si>
  <si>
    <t>ɪɔ̃</t>
  </si>
  <si>
    <t>ionn</t>
  </si>
  <si>
    <t>ioonn</t>
  </si>
  <si>
    <t>nioo</t>
  </si>
  <si>
    <t>ioⁿ</t>
  </si>
  <si>
    <t>薑舒</t>
  </si>
  <si>
    <t>ㄧㆧ</t>
  </si>
  <si>
    <t>ɪəʔ/ɪoʔ</t>
  </si>
  <si>
    <t>ioh</t>
  </si>
  <si>
    <t>iorh</t>
  </si>
  <si>
    <t>茄促</t>
  </si>
  <si>
    <t>ㄧㄜㆷ</t>
  </si>
  <si>
    <t>ɪɔŋ</t>
  </si>
  <si>
    <t>iong</t>
  </si>
  <si>
    <t>恭舒</t>
  </si>
  <si>
    <t>ㄧㆲ</t>
  </si>
  <si>
    <t>ɪɔk̚</t>
  </si>
  <si>
    <t>iok</t>
  </si>
  <si>
    <t>iook</t>
  </si>
  <si>
    <t>恭促</t>
  </si>
  <si>
    <t>ㄧㆦㆻ</t>
  </si>
  <si>
    <t>iu</t>
  </si>
  <si>
    <t>丩舒</t>
  </si>
  <si>
    <t>ㄧㄨ</t>
  </si>
  <si>
    <t>iũ</t>
  </si>
  <si>
    <t>iunn</t>
  </si>
  <si>
    <t>niu</t>
  </si>
  <si>
    <t>iuⁿ</t>
  </si>
  <si>
    <t>牛舒</t>
  </si>
  <si>
    <t>ㄧㆫ</t>
  </si>
  <si>
    <t>iũʔ</t>
  </si>
  <si>
    <t>iunnh</t>
  </si>
  <si>
    <t>niuh</t>
  </si>
  <si>
    <t>iuⁿh</t>
  </si>
  <si>
    <t>牛促</t>
  </si>
  <si>
    <t>ㄧㆫㆷ</t>
  </si>
  <si>
    <t>ə/o</t>
  </si>
  <si>
    <t>o</t>
  </si>
  <si>
    <t>or</t>
  </si>
  <si>
    <t>高舒</t>
  </si>
  <si>
    <t>ㄜ</t>
  </si>
  <si>
    <t>ɔ</t>
  </si>
  <si>
    <t>oo</t>
  </si>
  <si>
    <t>o͘</t>
  </si>
  <si>
    <t>沽舒</t>
  </si>
  <si>
    <t>ㆦ</t>
  </si>
  <si>
    <t>ɔ̃</t>
  </si>
  <si>
    <t>onn</t>
  </si>
  <si>
    <t>oonn</t>
  </si>
  <si>
    <t>noo</t>
  </si>
  <si>
    <t>oⁿ</t>
  </si>
  <si>
    <t>姑舒</t>
  </si>
  <si>
    <t>ㆧ</t>
  </si>
  <si>
    <t>əʔ/oʔ</t>
  </si>
  <si>
    <t>oh</t>
  </si>
  <si>
    <t>orh</t>
  </si>
  <si>
    <t>高促</t>
  </si>
  <si>
    <t>ㄜㆷ</t>
  </si>
  <si>
    <t>ɔʔ</t>
  </si>
  <si>
    <t>ooh</t>
  </si>
  <si>
    <t>o͘h</t>
  </si>
  <si>
    <t>沽促</t>
  </si>
  <si>
    <t>ㆦㆷ</t>
  </si>
  <si>
    <t>ɔ̃ʔ</t>
  </si>
  <si>
    <t>onnh</t>
  </si>
  <si>
    <t>ohnn</t>
  </si>
  <si>
    <t>ohⁿ</t>
  </si>
  <si>
    <t>扛促</t>
  </si>
  <si>
    <t>ㆧㆷ</t>
  </si>
  <si>
    <t>ɔm</t>
  </si>
  <si>
    <t>om</t>
  </si>
  <si>
    <t>oom</t>
  </si>
  <si>
    <t>箴舒</t>
  </si>
  <si>
    <t>ㆱ</t>
  </si>
  <si>
    <t>ɔŋ</t>
  </si>
  <si>
    <t>ong</t>
  </si>
  <si>
    <t>公舒</t>
  </si>
  <si>
    <t>ㆲ</t>
  </si>
  <si>
    <t>ɔp̚</t>
  </si>
  <si>
    <t>op</t>
  </si>
  <si>
    <t>oop</t>
  </si>
  <si>
    <t>箴促</t>
  </si>
  <si>
    <t>ㆦㆴ</t>
  </si>
  <si>
    <t>ɔk̚</t>
  </si>
  <si>
    <t>ok</t>
  </si>
  <si>
    <t>公促</t>
  </si>
  <si>
    <t>ㆦㆻ</t>
  </si>
  <si>
    <t>u</t>
  </si>
  <si>
    <t>艍舒</t>
  </si>
  <si>
    <t>ㄨ</t>
  </si>
  <si>
    <t>uʔ</t>
  </si>
  <si>
    <t>uh</t>
  </si>
  <si>
    <t>艍促</t>
  </si>
  <si>
    <t>ㄨㆷ</t>
  </si>
  <si>
    <t>un</t>
  </si>
  <si>
    <t>君舒</t>
  </si>
  <si>
    <t>ㄨㄣ</t>
  </si>
  <si>
    <t>ut̚</t>
  </si>
  <si>
    <t>ut</t>
  </si>
  <si>
    <t>君促</t>
  </si>
  <si>
    <t>ㄨㆵ</t>
  </si>
  <si>
    <t>ua</t>
  </si>
  <si>
    <t>oa</t>
  </si>
  <si>
    <t>瓜舒</t>
  </si>
  <si>
    <t>ㄨㄚ</t>
  </si>
  <si>
    <t>uã</t>
  </si>
  <si>
    <t>uann</t>
  </si>
  <si>
    <t>nua</t>
  </si>
  <si>
    <t>oaⁿ</t>
  </si>
  <si>
    <t>官舒</t>
  </si>
  <si>
    <t>ㄨㆩ</t>
  </si>
  <si>
    <t>uaʔ</t>
  </si>
  <si>
    <t>uah</t>
  </si>
  <si>
    <t>oah</t>
  </si>
  <si>
    <t>瓜促</t>
  </si>
  <si>
    <t>ㄨㄚㆷ</t>
  </si>
  <si>
    <t>uan</t>
  </si>
  <si>
    <t>oan</t>
  </si>
  <si>
    <t>觀舒</t>
  </si>
  <si>
    <t>ㄨㄢ</t>
  </si>
  <si>
    <t>uaŋ</t>
  </si>
  <si>
    <t>uang</t>
  </si>
  <si>
    <t>oang</t>
  </si>
  <si>
    <t>光舒</t>
  </si>
  <si>
    <t>ㄨㄤ</t>
  </si>
  <si>
    <t>uat̚</t>
  </si>
  <si>
    <t>uat</t>
  </si>
  <si>
    <t>oat</t>
  </si>
  <si>
    <t>觀促</t>
  </si>
  <si>
    <t>ㄨㄚㆵ</t>
  </si>
  <si>
    <t>uai</t>
  </si>
  <si>
    <t>oai</t>
  </si>
  <si>
    <t>乖舒</t>
  </si>
  <si>
    <t>ㄨㄞ</t>
  </si>
  <si>
    <t>uãi</t>
  </si>
  <si>
    <t>uainn</t>
  </si>
  <si>
    <t>nuai</t>
  </si>
  <si>
    <t>oaiⁿ</t>
  </si>
  <si>
    <t>閂舒</t>
  </si>
  <si>
    <t>ㄨㆮ</t>
  </si>
  <si>
    <t>uaiʔ</t>
  </si>
  <si>
    <t>uaih</t>
  </si>
  <si>
    <t>oaih</t>
  </si>
  <si>
    <t>乖促</t>
  </si>
  <si>
    <t>ㄨㄞㆷ</t>
  </si>
  <si>
    <t>uãiʔ</t>
  </si>
  <si>
    <t>uainnh</t>
  </si>
  <si>
    <t>uaihnn</t>
  </si>
  <si>
    <t>oaihⁿ</t>
  </si>
  <si>
    <t>閂促</t>
  </si>
  <si>
    <t>ㄨㆮㆷ</t>
  </si>
  <si>
    <t>ue</t>
  </si>
  <si>
    <t>oe</t>
  </si>
  <si>
    <t>檜舒</t>
  </si>
  <si>
    <t>ㄨㆤ</t>
  </si>
  <si>
    <t>ueʔ</t>
  </si>
  <si>
    <t>ueh</t>
  </si>
  <si>
    <t>oeh</t>
  </si>
  <si>
    <t>檜促</t>
  </si>
  <si>
    <t>ㄨㆤㆷ</t>
  </si>
  <si>
    <t>ui</t>
  </si>
  <si>
    <t>規舒</t>
  </si>
  <si>
    <t>ㄨㄧ</t>
  </si>
  <si>
    <t>uĩ</t>
  </si>
  <si>
    <t>uinn</t>
  </si>
  <si>
    <t>nui</t>
  </si>
  <si>
    <t>uiⁿ</t>
  </si>
  <si>
    <t>褌舒</t>
  </si>
  <si>
    <t>ㄨㆪ</t>
  </si>
  <si>
    <t>uiʔ</t>
  </si>
  <si>
    <t>uih</t>
  </si>
  <si>
    <t>褌促</t>
  </si>
  <si>
    <t>ㄨㄧㆷ</t>
  </si>
  <si>
    <t>m̩</t>
  </si>
  <si>
    <t>m</t>
  </si>
  <si>
    <t>姆舒</t>
  </si>
  <si>
    <t>ㆬ</t>
  </si>
  <si>
    <t>m̩ʔ</t>
  </si>
  <si>
    <t>mh</t>
  </si>
  <si>
    <t>姆促</t>
  </si>
  <si>
    <t>ㆬㆷ</t>
  </si>
  <si>
    <t>ŋ̍</t>
  </si>
  <si>
    <t>ng</t>
  </si>
  <si>
    <t>鋼舒</t>
  </si>
  <si>
    <t>ㆭ</t>
  </si>
  <si>
    <t>ŋ̍ʔ</t>
  </si>
  <si>
    <t>ngh</t>
  </si>
  <si>
    <t>鋼促</t>
  </si>
  <si>
    <t>ㆭㆷ</t>
  </si>
  <si>
    <t>Unicode 編碼</t>
    <phoneticPr fontId="9" type="noConversion"/>
  </si>
  <si>
    <t>實例</t>
    <phoneticPr fontId="9" type="noConversion"/>
  </si>
  <si>
    <t>U+0303</t>
    <phoneticPr fontId="9" type="noConversion"/>
  </si>
  <si>
    <t>U+0294</t>
    <phoneticPr fontId="9" type="noConversion"/>
  </si>
  <si>
    <t>U+0856</t>
    <phoneticPr fontId="9" type="noConversion"/>
  </si>
  <si>
    <t>o͘</t>
    <phoneticPr fontId="9" type="noConversion"/>
  </si>
  <si>
    <t>[əŋ]</t>
    <phoneticPr fontId="9" type="noConversion"/>
  </si>
  <si>
    <t>ㄥ</t>
    <phoneticPr fontId="9" type="noConversion"/>
  </si>
  <si>
    <t>[ŋ̍]</t>
    <phoneticPr fontId="9" type="noConversion"/>
  </si>
  <si>
    <t>ㆭ</t>
    <phoneticPr fontId="9" type="noConversion"/>
  </si>
  <si>
    <t>識別號</t>
  </si>
  <si>
    <t>台羅拼音</t>
  </si>
  <si>
    <t>台語音標</t>
  </si>
  <si>
    <t>國際音標</t>
  </si>
  <si>
    <t>漢字例</t>
  </si>
  <si>
    <t>十五音</t>
  </si>
  <si>
    <t>方音符號</t>
  </si>
  <si>
    <t>注音二式</t>
  </si>
  <si>
    <t>閩拼方案</t>
  </si>
  <si>
    <t>白話字</t>
  </si>
  <si>
    <t>備註</t>
  </si>
  <si>
    <t>l</t>
  </si>
  <si>
    <t>理</t>
  </si>
  <si>
    <t>柳</t>
  </si>
  <si>
    <t>ㄌ</t>
  </si>
  <si>
    <t>p</t>
  </si>
  <si>
    <t>比</t>
  </si>
  <si>
    <t>邊</t>
  </si>
  <si>
    <t>ㄅ</t>
  </si>
  <si>
    <t>b</t>
  </si>
  <si>
    <t>k</t>
  </si>
  <si>
    <t>己</t>
  </si>
  <si>
    <t>求</t>
  </si>
  <si>
    <t>ㄍ</t>
  </si>
  <si>
    <t>g</t>
  </si>
  <si>
    <t>kh</t>
  </si>
  <si>
    <t>kʰ</t>
  </si>
  <si>
    <t>起</t>
  </si>
  <si>
    <t>去</t>
  </si>
  <si>
    <t>ㄎ</t>
  </si>
  <si>
    <t>t</t>
  </si>
  <si>
    <t>底</t>
  </si>
  <si>
    <t>地</t>
  </si>
  <si>
    <t>ㄉ</t>
  </si>
  <si>
    <t>d</t>
  </si>
  <si>
    <t>ph</t>
  </si>
  <si>
    <t>pʰ</t>
  </si>
  <si>
    <t>鄙</t>
  </si>
  <si>
    <t>頗</t>
  </si>
  <si>
    <t>ㄆ</t>
  </si>
  <si>
    <t>th</t>
  </si>
  <si>
    <t>tʰ</t>
  </si>
  <si>
    <t>恥</t>
  </si>
  <si>
    <t>他</t>
  </si>
  <si>
    <t>ㄊ</t>
  </si>
  <si>
    <t>ts</t>
  </si>
  <si>
    <t>z</t>
  </si>
  <si>
    <t>ʦ</t>
  </si>
  <si>
    <t>阻</t>
  </si>
  <si>
    <t>曾</t>
  </si>
  <si>
    <t>ㄗ</t>
  </si>
  <si>
    <t>ch</t>
  </si>
  <si>
    <t>j</t>
  </si>
  <si>
    <t>ʣ</t>
  </si>
  <si>
    <t>熱</t>
  </si>
  <si>
    <t>入</t>
  </si>
  <si>
    <t>ㆡ</t>
  </si>
  <si>
    <t>zz</t>
  </si>
  <si>
    <t>s</t>
  </si>
  <si>
    <t>詞</t>
  </si>
  <si>
    <t>時</t>
  </si>
  <si>
    <t>ㄙ</t>
    <phoneticPr fontId="9" type="noConversion"/>
  </si>
  <si>
    <t>Ø</t>
  </si>
  <si>
    <t>ʔ</t>
  </si>
  <si>
    <t>以</t>
  </si>
  <si>
    <t>英</t>
  </si>
  <si>
    <t>美</t>
  </si>
  <si>
    <t>門</t>
  </si>
  <si>
    <t>ㆠ</t>
  </si>
  <si>
    <t>bb</t>
  </si>
  <si>
    <t>ɡ</t>
  </si>
  <si>
    <t>禦</t>
  </si>
  <si>
    <t>語</t>
  </si>
  <si>
    <t>ㆣ</t>
  </si>
  <si>
    <t>gg</t>
  </si>
  <si>
    <t>tsh</t>
  </si>
  <si>
    <t>c</t>
  </si>
  <si>
    <t>ʦʰ</t>
  </si>
  <si>
    <t>取</t>
  </si>
  <si>
    <t>出</t>
  </si>
  <si>
    <t>ㄘ</t>
    <phoneticPr fontId="9" type="noConversion"/>
  </si>
  <si>
    <t>chh</t>
  </si>
  <si>
    <t>h</t>
  </si>
  <si>
    <t>喜</t>
  </si>
  <si>
    <t>ㄏ</t>
  </si>
  <si>
    <t>毛</t>
  </si>
  <si>
    <t>ㄇ</t>
  </si>
  <si>
    <t>bbn</t>
  </si>
  <si>
    <t xml:space="preserve">b/m 本不分，此處分門/毛 </t>
  </si>
  <si>
    <t>n</t>
  </si>
  <si>
    <t>耐</t>
  </si>
  <si>
    <t>ㄋ</t>
  </si>
  <si>
    <t>ln</t>
  </si>
  <si>
    <t xml:space="preserve">l/n 本不分，此處分柳/耐 </t>
  </si>
  <si>
    <t>ŋ</t>
  </si>
  <si>
    <t>雅</t>
  </si>
  <si>
    <t>ㄫ</t>
  </si>
  <si>
    <t>ggn</t>
  </si>
  <si>
    <t xml:space="preserve">g/ng 本不分，此處分語/雅 </t>
  </si>
  <si>
    <t>ji</t>
  </si>
  <si>
    <t>ʥ</t>
  </si>
  <si>
    <t>ㆢ</t>
  </si>
  <si>
    <t>jji</t>
  </si>
  <si>
    <t>zzi</t>
  </si>
  <si>
    <t>ㆢ = ㆡㄧ</t>
    <phoneticPr fontId="9" type="noConversion"/>
  </si>
  <si>
    <t>tsi</t>
  </si>
  <si>
    <t>zi</t>
  </si>
  <si>
    <t>ʨ</t>
  </si>
  <si>
    <t>止</t>
  </si>
  <si>
    <t>ㄐ</t>
  </si>
  <si>
    <t>chi</t>
  </si>
  <si>
    <t>ㄐ = ㄗㄧ</t>
    <phoneticPr fontId="9" type="noConversion"/>
  </si>
  <si>
    <t>tshi</t>
  </si>
  <si>
    <t>ci</t>
  </si>
  <si>
    <t>ʨʰ</t>
  </si>
  <si>
    <t>測</t>
  </si>
  <si>
    <t>ㄑ</t>
  </si>
  <si>
    <t>chhi</t>
  </si>
  <si>
    <t>ㄑ = ㄘㄧ</t>
    <phoneticPr fontId="9" type="noConversion"/>
  </si>
  <si>
    <t>si</t>
  </si>
  <si>
    <t>ɕ</t>
  </si>
  <si>
    <t>惜</t>
  </si>
  <si>
    <t>ㄒ</t>
  </si>
  <si>
    <t>shi</t>
  </si>
  <si>
    <t>ㄒ = ㄙㄧ</t>
    <phoneticPr fontId="9" type="noConversion"/>
  </si>
  <si>
    <t>台語注音</t>
    <phoneticPr fontId="3" type="noConversion"/>
  </si>
  <si>
    <t>ㄙ</t>
  </si>
  <si>
    <t>ㄘ</t>
  </si>
  <si>
    <t>ㄪ</t>
    <phoneticPr fontId="3" type="noConversion"/>
  </si>
  <si>
    <t>ㄫ</t>
    <phoneticPr fontId="3" type="noConversion"/>
  </si>
  <si>
    <t>U+FF9F</t>
    <phoneticPr fontId="3" type="noConversion"/>
  </si>
  <si>
    <t>U+309A</t>
    <phoneticPr fontId="3" type="noConversion"/>
  </si>
  <si>
    <t>U+309C</t>
    <phoneticPr fontId="3" type="noConversion"/>
  </si>
  <si>
    <t>U+2070</t>
    <phoneticPr fontId="3" type="noConversion"/>
  </si>
  <si>
    <t>ㄖ</t>
    <phoneticPr fontId="3" type="noConversion"/>
  </si>
  <si>
    <t>oⁿ</t>
    <phoneticPr fontId="3" type="noConversion"/>
  </si>
  <si>
    <t>iuhⁿ</t>
    <phoneticPr fontId="3" type="noConversion"/>
  </si>
  <si>
    <t>iahⁿ</t>
    <phoneticPr fontId="3" type="noConversion"/>
  </si>
  <si>
    <t>ehⁿ</t>
    <phoneticPr fontId="3" type="noConversion"/>
  </si>
  <si>
    <t>ɔʔ</t>
    <phoneticPr fontId="3" type="noConversion"/>
  </si>
  <si>
    <t>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</si>
</sst>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Noto Sans TC SemiBold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sz val="9"/>
      <name val="Noto Sans TC Medium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Noto Sans"/>
      <family val="2"/>
    </font>
    <font>
      <sz val="18"/>
      <color rgb="FFFF0000"/>
      <name val="Noto Sans TC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sz val="16"/>
      <color theme="1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rgb="FFFF0000"/>
      <name val="Noto Sans TC Medium"/>
      <family val="2"/>
      <charset val="136"/>
    </font>
    <font>
      <sz val="16"/>
      <color rgb="FFFF0000"/>
      <name val="Noto Sans TC Medium"/>
      <family val="2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0" fontId="15" fillId="2" borderId="1" xfId="1" applyFont="1" applyFill="1" applyBorder="1" applyAlignment="1">
      <alignment horizontal="left" vertical="center" wrapText="1" indent="1"/>
    </xf>
    <xf numFmtId="0" fontId="16" fillId="3" borderId="1" xfId="1" applyFont="1" applyFill="1" applyBorder="1" applyAlignment="1">
      <alignment horizontal="left" vertical="center" wrapText="1" indent="1"/>
    </xf>
    <xf numFmtId="0" fontId="17" fillId="3" borderId="1" xfId="1" applyFont="1" applyFill="1" applyBorder="1" applyAlignment="1">
      <alignment horizontal="left" vertical="center" wrapText="1" indent="1"/>
    </xf>
    <xf numFmtId="0" fontId="18" fillId="2" borderId="1" xfId="1" applyFont="1" applyFill="1" applyBorder="1" applyAlignment="1">
      <alignment horizontal="left" vertical="center" wrapText="1" inden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left" vertical="center" wrapText="1" indent="1"/>
    </xf>
    <xf numFmtId="0" fontId="15" fillId="2" borderId="0" xfId="1" applyFont="1" applyFill="1" applyAlignment="1">
      <alignment horizontal="center" vertical="center" wrapText="1"/>
    </xf>
    <xf numFmtId="0" fontId="19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2" borderId="1" xfId="1" applyFont="1" applyFill="1" applyBorder="1" applyAlignment="1">
      <alignment horizontal="left" vertical="center" wrapText="1" indent="1"/>
    </xf>
    <xf numFmtId="0" fontId="22" fillId="0" borderId="0" xfId="1" applyFont="1" applyAlignment="1">
      <alignment horizontal="center" vertical="center"/>
    </xf>
    <xf numFmtId="0" fontId="23" fillId="4" borderId="1" xfId="1" applyFont="1" applyFill="1" applyBorder="1" applyAlignment="1">
      <alignment horizontal="left" vertical="center" wrapText="1" indent="1"/>
    </xf>
    <xf numFmtId="0" fontId="24" fillId="4" borderId="1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left" vertical="center" wrapText="1" indent="1"/>
    </xf>
    <xf numFmtId="0" fontId="26" fillId="4" borderId="1" xfId="1" applyFont="1" applyFill="1" applyBorder="1" applyAlignment="1">
      <alignment horizontal="left" vertical="center" wrapText="1" indent="1"/>
    </xf>
    <xf numFmtId="0" fontId="27" fillId="4" borderId="1" xfId="1" applyFont="1" applyFill="1" applyBorder="1" applyAlignment="1">
      <alignment horizontal="center" vertical="center" wrapText="1"/>
    </xf>
    <xf numFmtId="0" fontId="28" fillId="5" borderId="2" xfId="2" applyFill="1" applyBorder="1">
      <alignment vertical="center"/>
    </xf>
    <xf numFmtId="0" fontId="28" fillId="0" borderId="0" xfId="2">
      <alignment vertical="center"/>
    </xf>
    <xf numFmtId="0" fontId="28" fillId="0" borderId="2" xfId="2" applyBorder="1">
      <alignment vertical="center"/>
    </xf>
    <xf numFmtId="0" fontId="29" fillId="0" borderId="2" xfId="2" applyFont="1" applyBorder="1" applyAlignment="1">
      <alignment horizontal="center" vertical="center"/>
    </xf>
    <xf numFmtId="0" fontId="30" fillId="0" borderId="2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 vertical="center"/>
    </xf>
    <xf numFmtId="0" fontId="32" fillId="0" borderId="2" xfId="2" applyFont="1" applyBorder="1" applyAlignment="1">
      <alignment horizontal="center" vertical="center"/>
    </xf>
    <xf numFmtId="0" fontId="33" fillId="0" borderId="2" xfId="2" applyFont="1" applyBorder="1" applyAlignment="1">
      <alignment horizontal="center" vertical="center"/>
    </xf>
    <xf numFmtId="0" fontId="34" fillId="0" borderId="2" xfId="2" applyFont="1" applyBorder="1">
      <alignment vertical="center"/>
    </xf>
    <xf numFmtId="0" fontId="35" fillId="0" borderId="2" xfId="2" applyFont="1" applyBorder="1">
      <alignment vertical="center"/>
    </xf>
    <xf numFmtId="0" fontId="36" fillId="0" borderId="2" xfId="2" applyFont="1" applyBorder="1">
      <alignment vertical="center"/>
    </xf>
    <xf numFmtId="0" fontId="37" fillId="0" borderId="2" xfId="2" applyFont="1" applyBorder="1" applyAlignment="1">
      <alignment horizontal="center" vertical="center"/>
    </xf>
    <xf numFmtId="0" fontId="34" fillId="4" borderId="2" xfId="2" applyFont="1" applyFill="1" applyBorder="1">
      <alignment vertical="center"/>
    </xf>
    <xf numFmtId="0" fontId="22" fillId="4" borderId="0" xfId="1" applyFont="1" applyFill="1" applyAlignment="1">
      <alignment horizontal="center" vertical="center"/>
    </xf>
  </cellXfs>
  <cellStyles count="3">
    <cellStyle name="一般" xfId="0" builtinId="0"/>
    <cellStyle name="一般 2" xfId="2" xr:uid="{F9256626-7E65-40DA-AD90-42F12EB15052}"/>
    <cellStyle name="一般 4" xfId="1" xr:uid="{5FA5E2F8-7C37-455C-A850-22B1DE1C60C3}"/>
  </cellStyles>
  <dxfs count="1">
    <dxf>
      <font>
        <color rgb="FFFF0000"/>
      </font>
      <fill>
        <patternFill>
          <bgColor rgb="FFFFFF00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8B47CC-B512-4728-9202-ABED465FB7B0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8D19-A81D-4464-882A-0AF2F43504D5}">
  <dimension ref="A1:AS97"/>
  <sheetViews>
    <sheetView showGridLines="0" workbookViewId="0">
      <pane ySplit="3" topLeftCell="A4" activePane="bottomLeft" state="frozen"/>
      <selection pane="bottomLeft" activeCell="J21" sqref="J21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3.75" style="3" bestFit="1" customWidth="1"/>
    <col min="17" max="17" width="16.75" style="3" customWidth="1"/>
    <col min="18" max="18" width="4.5" style="2" customWidth="1"/>
    <col min="19" max="19" width="51.75" style="6" customWidth="1"/>
    <col min="20" max="20" width="9" style="2"/>
    <col min="21" max="32" width="7.5" style="7" customWidth="1"/>
    <col min="33" max="38" width="19.375" style="8" bestFit="1" customWidth="1"/>
    <col min="39" max="41" width="19.875" style="8" customWidth="1"/>
    <col min="42" max="42" width="19.875" style="2" customWidth="1"/>
    <col min="43" max="16384" width="9" style="2"/>
  </cols>
  <sheetData>
    <row r="1" spans="1:45" ht="46.5" customHeight="1">
      <c r="A1" s="1"/>
      <c r="C1" s="1"/>
      <c r="D1" s="1"/>
      <c r="H1" s="1"/>
      <c r="I1" s="1"/>
      <c r="J1" s="1"/>
      <c r="K1" s="1"/>
    </row>
    <row r="2" spans="1:45" ht="27" thickBot="1">
      <c r="A2" s="9" t="s">
        <v>0</v>
      </c>
      <c r="C2" s="1"/>
      <c r="D2" s="1"/>
      <c r="H2" s="1"/>
      <c r="I2" s="1"/>
      <c r="J2" s="1"/>
      <c r="K2" s="1"/>
      <c r="S2" s="10"/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9</v>
      </c>
    </row>
    <row r="3" spans="1:45" ht="48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 t="shared" ref="M3:M34" si="0">E3</f>
        <v>台語注音二式</v>
      </c>
      <c r="N3" s="11" t="str">
        <f t="shared" ref="N3:N34" si="1">I3</f>
        <v>方音符號</v>
      </c>
      <c r="P3" s="11" t="str">
        <f>M3</f>
        <v>台語注音二式</v>
      </c>
      <c r="Q3" s="11" t="str">
        <f>N3</f>
        <v>方音符號</v>
      </c>
      <c r="S3" s="14"/>
      <c r="U3" s="16"/>
      <c r="W3" s="17" t="s">
        <v>14</v>
      </c>
      <c r="X3" s="17" t="s">
        <v>15</v>
      </c>
      <c r="Y3" s="17"/>
      <c r="Z3" s="17" t="s">
        <v>16</v>
      </c>
      <c r="AA3" s="17" t="s">
        <v>17</v>
      </c>
      <c r="AB3" s="17" t="s">
        <v>18</v>
      </c>
      <c r="AC3" s="17" t="s">
        <v>19</v>
      </c>
      <c r="AD3" s="17" t="s">
        <v>20</v>
      </c>
      <c r="AE3" s="17" t="s">
        <v>21</v>
      </c>
      <c r="AF3" s="18"/>
    </row>
    <row r="4" spans="1:45" ht="27.75" thickBot="1">
      <c r="A4" s="19">
        <v>73</v>
      </c>
      <c r="B4" s="20" t="s">
        <v>358</v>
      </c>
      <c r="C4" s="21" t="s">
        <v>359</v>
      </c>
      <c r="D4" s="19" t="s">
        <v>360</v>
      </c>
      <c r="E4" s="19" t="s">
        <v>359</v>
      </c>
      <c r="F4" s="31" t="s">
        <v>359</v>
      </c>
      <c r="G4" s="22" t="s">
        <v>361</v>
      </c>
      <c r="H4" s="23" t="s">
        <v>362</v>
      </c>
      <c r="I4" s="19" t="s">
        <v>363</v>
      </c>
      <c r="J4" s="29" t="s">
        <v>32</v>
      </c>
      <c r="K4" s="23">
        <f xml:space="preserve"> LEN(C4)</f>
        <v>6</v>
      </c>
      <c r="L4" s="24"/>
      <c r="M4" s="19" t="str">
        <f t="shared" si="0"/>
        <v>uainnh</v>
      </c>
      <c r="N4" s="19" t="str">
        <f t="shared" si="1"/>
        <v>ㄨㆮㆷ</v>
      </c>
      <c r="P4" s="3" t="str">
        <f xml:space="preserve"> _xlfn.CONCAT(M4, "(\d)")</f>
        <v>uainnh(\d)</v>
      </c>
      <c r="Q4" s="3" t="str">
        <f xml:space="preserve"> IFERROR( _xlfn.CONCAT(N4, ""), "" )</f>
        <v>ㄨㆮㆷ</v>
      </c>
      <c r="R4" s="25"/>
      <c r="S4" s="26" t="str">
        <f xml:space="preserve"> IF(AND(N4&lt;&gt;"", M4&lt;&gt;""), "    - xform/》" &amp; P4 &amp;  "/"  &amp; Q4 &amp;  "》$1/", "")</f>
        <v xml:space="preserve">    - xform/》uainnh(\d)/ㄨㆮㆷ》$1/</v>
      </c>
      <c r="U4" s="7" t="s">
        <v>25</v>
      </c>
      <c r="V4" s="27" t="str">
        <f xml:space="preserve"> _xlfn.CONCAT($U4, IF(V$3="", "", _xlfn.UNICHAR( HEX2DEC( RIGHT(V$3,4)))))</f>
        <v>a</v>
      </c>
      <c r="W4" s="27" t="str">
        <f t="shared" ref="W4:AE4" si="2" xml:space="preserve"> _xlfn.CONCAT($U4, IF(W$3="", "", _xlfn.UNICHAR( HEX2DEC( RIGHT(W$3,4)))))</f>
        <v>á</v>
      </c>
      <c r="X4" s="27" t="str">
        <f t="shared" si="2"/>
        <v>à</v>
      </c>
      <c r="Y4" s="27" t="str">
        <f t="shared" si="2"/>
        <v>a</v>
      </c>
      <c r="Z4" s="27" t="str">
        <f t="shared" si="2"/>
        <v>ǎ</v>
      </c>
      <c r="AA4" s="27" t="str">
        <f t="shared" si="2"/>
        <v>á</v>
      </c>
      <c r="AB4" s="27" t="str">
        <f t="shared" si="2"/>
        <v>ā</v>
      </c>
      <c r="AC4" s="27" t="str">
        <f t="shared" si="2"/>
        <v>a̍</v>
      </c>
      <c r="AD4" s="27" t="str">
        <f t="shared" si="2"/>
        <v>a̋</v>
      </c>
      <c r="AE4" s="27" t="str">
        <f t="shared" si="2"/>
        <v>å</v>
      </c>
      <c r="AG4" s="28" t="str">
        <f xml:space="preserve"> _xlfn.CONCAT("    - xform/》", $U4, V$2, "/", V4, "/")</f>
        <v xml:space="preserve">    - xform/》a1/a/</v>
      </c>
      <c r="AH4" s="28" t="str">
        <f xml:space="preserve"> _xlfn.CONCAT("    - xform/》", $U4, W$2, "/", W4, "/")</f>
        <v xml:space="preserve">    - xform/》a2/á/</v>
      </c>
      <c r="AI4" s="28" t="str">
        <f t="shared" ref="AI4:AN10" si="3" xml:space="preserve"> _xlfn.CONCAT("    - xform/》", $U4, X$2, "/", X4, "/")</f>
        <v xml:space="preserve">    - xform/》a3/à/</v>
      </c>
      <c r="AJ4" s="28" t="str">
        <f t="shared" si="3"/>
        <v xml:space="preserve">    - xform/》a4/a/</v>
      </c>
      <c r="AK4" s="28" t="str">
        <f t="shared" si="3"/>
        <v xml:space="preserve">    - xform/》a5/ǎ/</v>
      </c>
      <c r="AL4" s="28" t="str">
        <f t="shared" si="3"/>
        <v xml:space="preserve">    - xform/》a6/á/</v>
      </c>
      <c r="AM4" s="28" t="str">
        <f t="shared" si="3"/>
        <v xml:space="preserve">    - xform/》a7/ā/</v>
      </c>
      <c r="AN4" s="28" t="str">
        <f xml:space="preserve"> _xlfn.CONCAT("    - xform/》", $U4, AC$2, "/", AC4, "/")</f>
        <v xml:space="preserve">    - xform/》a8/a̍/</v>
      </c>
      <c r="AO4" s="28" t="str">
        <f t="shared" ref="AO4:AP10" si="4" xml:space="preserve"> _xlfn.CONCAT("    - xform/》", $U4, AD$2, "/", AD4, "/")</f>
        <v xml:space="preserve">    - xform/》a9/a̋/</v>
      </c>
      <c r="AP4" s="28" t="str">
        <f t="shared" si="4"/>
        <v xml:space="preserve">    - xform/》a9/å/</v>
      </c>
      <c r="AQ4" s="27"/>
      <c r="AR4" s="27"/>
      <c r="AS4" s="7"/>
    </row>
    <row r="5" spans="1:45" ht="30.75" thickBot="1">
      <c r="A5" s="19">
        <v>32</v>
      </c>
      <c r="B5" s="20" t="s">
        <v>164</v>
      </c>
      <c r="C5" s="21" t="s">
        <v>165</v>
      </c>
      <c r="D5" s="31" t="s">
        <v>165</v>
      </c>
      <c r="E5" s="31" t="s">
        <v>165</v>
      </c>
      <c r="F5" s="31" t="s">
        <v>165</v>
      </c>
      <c r="G5" s="31" t="s">
        <v>166</v>
      </c>
      <c r="H5" s="32" t="s">
        <v>162</v>
      </c>
      <c r="I5" s="33" t="s">
        <v>167</v>
      </c>
      <c r="J5" s="29" t="s">
        <v>32</v>
      </c>
      <c r="K5" s="23">
        <f xml:space="preserve"> LEN(C5)</f>
        <v>5</v>
      </c>
      <c r="L5" s="24"/>
      <c r="M5" s="19" t="str">
        <f t="shared" si="0"/>
        <v>iannh</v>
      </c>
      <c r="N5" s="19" t="str">
        <f t="shared" si="1"/>
        <v>ㄧㆩㆷ</v>
      </c>
      <c r="P5" s="3" t="str">
        <f t="shared" ref="P5:P68" si="5" xml:space="preserve"> _xlfn.CONCAT(M5, "(\d)")</f>
        <v>iannh(\d)</v>
      </c>
      <c r="Q5" s="3" t="str">
        <f t="shared" ref="Q5:Q68" si="6" xml:space="preserve"> IFERROR( _xlfn.CONCAT(N5, ""), "" )</f>
        <v>ㄧㆩㆷ</v>
      </c>
      <c r="R5" s="25"/>
      <c r="S5" s="26" t="str">
        <f t="shared" ref="S5:S68" si="7" xml:space="preserve"> IF(AND(N5&lt;&gt;"", M5&lt;&gt;""), "    - xform/》" &amp; P5 &amp;  "/"  &amp; Q5 &amp;  "》$1/", "")</f>
        <v xml:space="preserve">    - xform/》iannh(\d)/ㄧㆩㆷ》$1/</v>
      </c>
      <c r="U5" s="7" t="s">
        <v>33</v>
      </c>
      <c r="V5" s="27" t="str">
        <f t="shared" ref="V5:AE10" si="8" xml:space="preserve"> _xlfn.CONCAT($U5, IF(V$3="", "", _xlfn.UNICHAR( HEX2DEC( RIGHT(V$3,4)))))</f>
        <v>i</v>
      </c>
      <c r="W5" s="27" t="str">
        <f t="shared" si="8"/>
        <v>í</v>
      </c>
      <c r="X5" s="27" t="str">
        <f t="shared" si="8"/>
        <v>ì</v>
      </c>
      <c r="Y5" s="27" t="str">
        <f t="shared" si="8"/>
        <v>i</v>
      </c>
      <c r="Z5" s="27" t="str">
        <f t="shared" si="8"/>
        <v>ǐ</v>
      </c>
      <c r="AA5" s="27" t="str">
        <f t="shared" si="8"/>
        <v>í</v>
      </c>
      <c r="AB5" s="27" t="str">
        <f t="shared" si="8"/>
        <v>ī</v>
      </c>
      <c r="AC5" s="27" t="str">
        <f t="shared" si="8"/>
        <v>i̍</v>
      </c>
      <c r="AD5" s="27" t="str">
        <f t="shared" si="8"/>
        <v>i̋</v>
      </c>
      <c r="AE5" s="27" t="str">
        <f t="shared" si="8"/>
        <v>i̊</v>
      </c>
      <c r="AG5" s="28" t="str">
        <f t="shared" ref="AG5:AH10" si="9" xml:space="preserve"> _xlfn.CONCAT("    - xform/》", $U5, V$2, "/", V5, "/")</f>
        <v xml:space="preserve">    - xform/》i1/i/</v>
      </c>
      <c r="AH5" s="28" t="str">
        <f t="shared" si="9"/>
        <v xml:space="preserve">    - xform/》i2/í/</v>
      </c>
      <c r="AI5" s="28" t="str">
        <f t="shared" si="3"/>
        <v xml:space="preserve">    - xform/》i3/ì/</v>
      </c>
      <c r="AJ5" s="28" t="str">
        <f t="shared" si="3"/>
        <v xml:space="preserve">    - xform/》i4/i/</v>
      </c>
      <c r="AK5" s="28" t="str">
        <f t="shared" si="3"/>
        <v xml:space="preserve">    - xform/》i5/ǐ/</v>
      </c>
      <c r="AL5" s="28" t="str">
        <f t="shared" si="3"/>
        <v xml:space="preserve">    - xform/》i6/í/</v>
      </c>
      <c r="AM5" s="28" t="str">
        <f t="shared" si="3"/>
        <v xml:space="preserve">    - xform/》i7/ī/</v>
      </c>
      <c r="AN5" s="28" t="str">
        <f t="shared" si="3"/>
        <v xml:space="preserve">    - xform/》i8/i̍/</v>
      </c>
      <c r="AO5" s="28" t="str">
        <f t="shared" si="4"/>
        <v xml:space="preserve">    - xform/》i9/i̋/</v>
      </c>
      <c r="AP5" s="28" t="str">
        <f t="shared" si="4"/>
        <v xml:space="preserve">    - xform/》i9/i̊/</v>
      </c>
      <c r="AQ5" s="27"/>
      <c r="AR5" s="27"/>
      <c r="AS5" s="7"/>
    </row>
    <row r="6" spans="1:45" ht="27.75" thickBot="1">
      <c r="A6" s="19">
        <v>40</v>
      </c>
      <c r="B6" s="20" t="s">
        <v>197</v>
      </c>
      <c r="C6" s="21" t="s">
        <v>198</v>
      </c>
      <c r="D6" s="19" t="s">
        <v>198</v>
      </c>
      <c r="E6" s="19" t="s">
        <v>198</v>
      </c>
      <c r="F6" s="19" t="s">
        <v>199</v>
      </c>
      <c r="G6" s="22" t="s">
        <v>200</v>
      </c>
      <c r="H6" s="23" t="s">
        <v>201</v>
      </c>
      <c r="I6" s="19" t="s">
        <v>202</v>
      </c>
      <c r="J6" s="29" t="s">
        <v>32</v>
      </c>
      <c r="K6" s="23">
        <f xml:space="preserve"> LEN(C6)</f>
        <v>5</v>
      </c>
      <c r="L6" s="24"/>
      <c r="M6" s="19" t="str">
        <f t="shared" si="0"/>
        <v>iaunn</v>
      </c>
      <c r="N6" s="19" t="str">
        <f t="shared" si="1"/>
        <v>ㄧㆯ</v>
      </c>
      <c r="P6" s="3" t="str">
        <f t="shared" si="5"/>
        <v>iaunn(\d)</v>
      </c>
      <c r="Q6" s="3" t="str">
        <f t="shared" si="6"/>
        <v>ㄧㆯ</v>
      </c>
      <c r="R6" s="25"/>
      <c r="S6" s="26" t="str">
        <f t="shared" si="7"/>
        <v xml:space="preserve">    - xform/》iaunn(\d)/ㄧㆯ》$1/</v>
      </c>
      <c r="U6" s="7" t="s">
        <v>38</v>
      </c>
      <c r="V6" s="27" t="str">
        <f t="shared" si="8"/>
        <v>u</v>
      </c>
      <c r="W6" s="27" t="str">
        <f t="shared" si="8"/>
        <v>ú</v>
      </c>
      <c r="X6" s="27" t="str">
        <f t="shared" si="8"/>
        <v>ù</v>
      </c>
      <c r="Y6" s="27" t="str">
        <f t="shared" si="8"/>
        <v>u</v>
      </c>
      <c r="Z6" s="27" t="str">
        <f t="shared" si="8"/>
        <v>ǔ</v>
      </c>
      <c r="AA6" s="27" t="str">
        <f t="shared" si="8"/>
        <v>ú</v>
      </c>
      <c r="AB6" s="27" t="str">
        <f t="shared" si="8"/>
        <v>ū</v>
      </c>
      <c r="AC6" s="27" t="str">
        <f t="shared" si="8"/>
        <v>u̍</v>
      </c>
      <c r="AD6" s="27" t="str">
        <f t="shared" si="8"/>
        <v>ű</v>
      </c>
      <c r="AE6" s="27" t="str">
        <f t="shared" si="8"/>
        <v>ů</v>
      </c>
      <c r="AG6" s="28" t="str">
        <f t="shared" si="9"/>
        <v xml:space="preserve">    - xform/》u1/u/</v>
      </c>
      <c r="AH6" s="28" t="str">
        <f t="shared" si="9"/>
        <v xml:space="preserve">    - xform/》u2/ú/</v>
      </c>
      <c r="AI6" s="28" t="str">
        <f t="shared" si="3"/>
        <v xml:space="preserve">    - xform/》u3/ù/</v>
      </c>
      <c r="AJ6" s="28" t="str">
        <f t="shared" si="3"/>
        <v xml:space="preserve">    - xform/》u4/u/</v>
      </c>
      <c r="AK6" s="28" t="str">
        <f t="shared" si="3"/>
        <v xml:space="preserve">    - xform/》u5/ǔ/</v>
      </c>
      <c r="AL6" s="28" t="str">
        <f t="shared" si="3"/>
        <v xml:space="preserve">    - xform/》u6/ú/</v>
      </c>
      <c r="AM6" s="28" t="str">
        <f t="shared" si="3"/>
        <v xml:space="preserve">    - xform/》u7/ū/</v>
      </c>
      <c r="AN6" s="28" t="str">
        <f t="shared" si="3"/>
        <v xml:space="preserve">    - xform/》u8/u̍/</v>
      </c>
      <c r="AO6" s="28" t="str">
        <f t="shared" si="4"/>
        <v xml:space="preserve">    - xform/》u9/ű/</v>
      </c>
      <c r="AP6" s="28" t="str">
        <f t="shared" si="4"/>
        <v xml:space="preserve">    - xform/》u9/ů/</v>
      </c>
      <c r="AQ6" s="27"/>
      <c r="AR6" s="27"/>
      <c r="AS6" s="7"/>
    </row>
    <row r="7" spans="1:45" ht="30.75" thickBot="1">
      <c r="A7" s="19">
        <v>49</v>
      </c>
      <c r="B7" s="20" t="s">
        <v>243</v>
      </c>
      <c r="C7" s="21" t="s">
        <v>244</v>
      </c>
      <c r="D7" s="31" t="s">
        <v>244</v>
      </c>
      <c r="E7" s="31" t="s">
        <v>244</v>
      </c>
      <c r="F7" s="31" t="s">
        <v>245</v>
      </c>
      <c r="G7" s="31" t="s">
        <v>246</v>
      </c>
      <c r="H7" s="32" t="s">
        <v>247</v>
      </c>
      <c r="I7" s="33" t="s">
        <v>248</v>
      </c>
      <c r="J7" s="29" t="s">
        <v>32</v>
      </c>
      <c r="K7" s="23">
        <f xml:space="preserve"> LEN(C7)</f>
        <v>5</v>
      </c>
      <c r="L7" s="24"/>
      <c r="M7" s="19" t="str">
        <f t="shared" si="0"/>
        <v>iunnh</v>
      </c>
      <c r="N7" s="19" t="str">
        <f t="shared" si="1"/>
        <v>ㄧㆫㆷ</v>
      </c>
      <c r="P7" s="3" t="str">
        <f t="shared" si="5"/>
        <v>iunnh(\d)</v>
      </c>
      <c r="Q7" s="3" t="str">
        <f t="shared" si="6"/>
        <v>ㄧㆫㆷ</v>
      </c>
      <c r="R7" s="25"/>
      <c r="S7" s="26" t="str">
        <f t="shared" si="7"/>
        <v xml:space="preserve">    - xform/》iunnh(\d)/ㄧㆫㆷ》$1/</v>
      </c>
      <c r="U7" s="7" t="s">
        <v>46</v>
      </c>
      <c r="V7" s="27" t="str">
        <f t="shared" si="8"/>
        <v>e</v>
      </c>
      <c r="W7" s="27" t="str">
        <f t="shared" si="8"/>
        <v>é</v>
      </c>
      <c r="X7" s="27" t="str">
        <f t="shared" si="8"/>
        <v>è</v>
      </c>
      <c r="Y7" s="27" t="str">
        <f t="shared" si="8"/>
        <v>e</v>
      </c>
      <c r="Z7" s="27" t="str">
        <f t="shared" si="8"/>
        <v>ě</v>
      </c>
      <c r="AA7" s="27" t="str">
        <f t="shared" si="8"/>
        <v>é</v>
      </c>
      <c r="AB7" s="27" t="str">
        <f t="shared" si="8"/>
        <v>ē</v>
      </c>
      <c r="AC7" s="27" t="str">
        <f t="shared" si="8"/>
        <v>e̍</v>
      </c>
      <c r="AD7" s="27" t="str">
        <f t="shared" si="8"/>
        <v>e̋</v>
      </c>
      <c r="AE7" s="27" t="str">
        <f t="shared" si="8"/>
        <v>e̊</v>
      </c>
      <c r="AG7" s="28" t="str">
        <f t="shared" si="9"/>
        <v xml:space="preserve">    - xform/》e1/e/</v>
      </c>
      <c r="AH7" s="28" t="str">
        <f t="shared" si="9"/>
        <v xml:space="preserve">    - xform/》e2/é/</v>
      </c>
      <c r="AI7" s="28" t="str">
        <f t="shared" si="3"/>
        <v xml:space="preserve">    - xform/》e3/è/</v>
      </c>
      <c r="AJ7" s="28" t="str">
        <f t="shared" si="3"/>
        <v xml:space="preserve">    - xform/》e4/e/</v>
      </c>
      <c r="AK7" s="28" t="str">
        <f t="shared" si="3"/>
        <v xml:space="preserve">    - xform/》e5/ě/</v>
      </c>
      <c r="AL7" s="28" t="str">
        <f t="shared" si="3"/>
        <v xml:space="preserve">    - xform/》e6/é/</v>
      </c>
      <c r="AM7" s="28" t="str">
        <f t="shared" si="3"/>
        <v xml:space="preserve">    - xform/》e7/ē/</v>
      </c>
      <c r="AN7" s="28" t="str">
        <f t="shared" si="3"/>
        <v xml:space="preserve">    - xform/》e8/e̍/</v>
      </c>
      <c r="AO7" s="28" t="str">
        <f t="shared" si="4"/>
        <v xml:space="preserve">    - xform/》e9/e̋/</v>
      </c>
      <c r="AP7" s="28" t="str">
        <f t="shared" si="4"/>
        <v xml:space="preserve">    - xform/》e9/e̊/</v>
      </c>
      <c r="AQ7" s="27"/>
      <c r="AR7" s="27"/>
      <c r="AS7" s="7"/>
    </row>
    <row r="8" spans="1:45" ht="27.75" thickBot="1">
      <c r="A8" s="19">
        <v>71</v>
      </c>
      <c r="B8" s="20" t="s">
        <v>347</v>
      </c>
      <c r="C8" s="21" t="s">
        <v>348</v>
      </c>
      <c r="D8" s="19" t="s">
        <v>348</v>
      </c>
      <c r="E8" s="19" t="s">
        <v>348</v>
      </c>
      <c r="F8" s="19" t="s">
        <v>349</v>
      </c>
      <c r="G8" s="22" t="s">
        <v>350</v>
      </c>
      <c r="H8" s="23" t="s">
        <v>351</v>
      </c>
      <c r="I8" s="19" t="s">
        <v>352</v>
      </c>
      <c r="J8" s="29" t="s">
        <v>32</v>
      </c>
      <c r="K8" s="23">
        <f xml:space="preserve"> LEN(C8)</f>
        <v>5</v>
      </c>
      <c r="L8" s="24"/>
      <c r="M8" s="19" t="str">
        <f t="shared" si="0"/>
        <v>uainn</v>
      </c>
      <c r="N8" s="19" t="str">
        <f t="shared" si="1"/>
        <v>ㄨㆮ</v>
      </c>
      <c r="P8" s="3" t="str">
        <f t="shared" si="5"/>
        <v>uainn(\d)</v>
      </c>
      <c r="Q8" s="3" t="str">
        <f t="shared" si="6"/>
        <v>ㄨㆮ</v>
      </c>
      <c r="R8" s="25"/>
      <c r="S8" s="26" t="str">
        <f t="shared" si="7"/>
        <v xml:space="preserve">    - xform/》uainn(\d)/ㄨㆮ》$1/</v>
      </c>
      <c r="U8" s="7" t="s">
        <v>50</v>
      </c>
      <c r="V8" s="27" t="str">
        <f t="shared" si="8"/>
        <v>o</v>
      </c>
      <c r="W8" s="27" t="str">
        <f t="shared" si="8"/>
        <v>ó</v>
      </c>
      <c r="X8" s="27" t="str">
        <f t="shared" si="8"/>
        <v>ò</v>
      </c>
      <c r="Y8" s="27" t="str">
        <f t="shared" si="8"/>
        <v>o</v>
      </c>
      <c r="Z8" s="27" t="str">
        <f t="shared" si="8"/>
        <v>ǒ</v>
      </c>
      <c r="AA8" s="27" t="str">
        <f t="shared" si="8"/>
        <v>ó</v>
      </c>
      <c r="AB8" s="27" t="str">
        <f t="shared" si="8"/>
        <v>ō</v>
      </c>
      <c r="AC8" s="27" t="str">
        <f t="shared" si="8"/>
        <v>o̍</v>
      </c>
      <c r="AD8" s="27" t="str">
        <f t="shared" si="8"/>
        <v>ő</v>
      </c>
      <c r="AE8" s="27" t="str">
        <f t="shared" si="8"/>
        <v>o̊</v>
      </c>
      <c r="AG8" s="28" t="str">
        <f t="shared" si="9"/>
        <v xml:space="preserve">    - xform/》o1/o/</v>
      </c>
      <c r="AH8" s="28" t="str">
        <f t="shared" si="9"/>
        <v xml:space="preserve">    - xform/》o2/ó/</v>
      </c>
      <c r="AI8" s="28" t="str">
        <f t="shared" si="3"/>
        <v xml:space="preserve">    - xform/》o3/ò/</v>
      </c>
      <c r="AJ8" s="28" t="str">
        <f t="shared" si="3"/>
        <v xml:space="preserve">    - xform/》o4/o/</v>
      </c>
      <c r="AK8" s="28" t="str">
        <f t="shared" si="3"/>
        <v xml:space="preserve">    - xform/》o5/ǒ/</v>
      </c>
      <c r="AL8" s="28" t="str">
        <f t="shared" si="3"/>
        <v xml:space="preserve">    - xform/》o6/ó/</v>
      </c>
      <c r="AM8" s="28" t="str">
        <f t="shared" si="3"/>
        <v xml:space="preserve">    - xform/》o7/ō/</v>
      </c>
      <c r="AN8" s="28" t="str">
        <f t="shared" si="3"/>
        <v xml:space="preserve">    - xform/》o8/o̍/</v>
      </c>
      <c r="AO8" s="28" t="str">
        <f t="shared" si="4"/>
        <v xml:space="preserve">    - xform/》o9/ő/</v>
      </c>
      <c r="AP8" s="28" t="str">
        <f t="shared" si="4"/>
        <v xml:space="preserve">    - xform/》o9/o̊/</v>
      </c>
      <c r="AQ8" s="27"/>
      <c r="AR8" s="27"/>
      <c r="AS8" s="7"/>
    </row>
    <row r="9" spans="1:45" ht="27.75" thickBot="1">
      <c r="A9" s="19">
        <v>4</v>
      </c>
      <c r="B9" s="20" t="s">
        <v>39</v>
      </c>
      <c r="C9" s="21" t="s">
        <v>40</v>
      </c>
      <c r="D9" s="19" t="s">
        <v>41</v>
      </c>
      <c r="E9" s="19" t="s">
        <v>40</v>
      </c>
      <c r="F9" s="31" t="s">
        <v>42</v>
      </c>
      <c r="G9" s="22" t="s">
        <v>43</v>
      </c>
      <c r="H9" s="23" t="s">
        <v>44</v>
      </c>
      <c r="I9" s="19" t="s">
        <v>45</v>
      </c>
      <c r="J9" s="29" t="s">
        <v>32</v>
      </c>
      <c r="K9" s="23">
        <f xml:space="preserve"> LEN(C9)</f>
        <v>4</v>
      </c>
      <c r="L9" s="24"/>
      <c r="M9" s="19" t="str">
        <f t="shared" si="0"/>
        <v>annh</v>
      </c>
      <c r="N9" s="19" t="str">
        <f t="shared" si="1"/>
        <v>ㆩㆷ</v>
      </c>
      <c r="P9" s="3" t="str">
        <f t="shared" si="5"/>
        <v>annh(\d)</v>
      </c>
      <c r="Q9" s="3" t="str">
        <f t="shared" si="6"/>
        <v>ㆩㆷ</v>
      </c>
      <c r="R9" s="25"/>
      <c r="S9" s="26" t="str">
        <f t="shared" si="7"/>
        <v xml:space="preserve">    - xform/》annh(\d)/ㆩㆷ》$1/</v>
      </c>
      <c r="U9" s="7" t="s">
        <v>54</v>
      </c>
      <c r="V9" s="27" t="str">
        <f t="shared" si="8"/>
        <v>m</v>
      </c>
      <c r="W9" s="27" t="str">
        <f t="shared" si="8"/>
        <v>ḿ</v>
      </c>
      <c r="X9" s="27" t="str">
        <f t="shared" si="8"/>
        <v>m̀</v>
      </c>
      <c r="Y9" s="27" t="str">
        <f t="shared" si="8"/>
        <v>m</v>
      </c>
      <c r="Z9" s="27" t="str">
        <f t="shared" si="8"/>
        <v>m̌</v>
      </c>
      <c r="AA9" s="27" t="str">
        <f t="shared" si="8"/>
        <v>ḿ</v>
      </c>
      <c r="AB9" s="27" t="str">
        <f t="shared" si="8"/>
        <v>m̄</v>
      </c>
      <c r="AC9" s="27" t="str">
        <f t="shared" si="8"/>
        <v>m̍</v>
      </c>
      <c r="AD9" s="27" t="str">
        <f t="shared" si="8"/>
        <v>m̋</v>
      </c>
      <c r="AE9" s="27" t="str">
        <f t="shared" si="8"/>
        <v>m̊</v>
      </c>
      <c r="AG9" s="28" t="str">
        <f t="shared" si="9"/>
        <v xml:space="preserve">    - xform/》m1/m/</v>
      </c>
      <c r="AH9" s="28" t="str">
        <f t="shared" si="9"/>
        <v xml:space="preserve">    - xform/》m2/ḿ/</v>
      </c>
      <c r="AI9" s="28" t="str">
        <f t="shared" si="3"/>
        <v xml:space="preserve">    - xform/》m3/m̀/</v>
      </c>
      <c r="AJ9" s="28" t="str">
        <f t="shared" si="3"/>
        <v xml:space="preserve">    - xform/》m4/m/</v>
      </c>
      <c r="AK9" s="28" t="str">
        <f t="shared" si="3"/>
        <v xml:space="preserve">    - xform/》m5/m̌/</v>
      </c>
      <c r="AL9" s="28" t="str">
        <f t="shared" si="3"/>
        <v xml:space="preserve">    - xform/》m6/ḿ/</v>
      </c>
      <c r="AM9" s="28" t="str">
        <f t="shared" si="3"/>
        <v xml:space="preserve">    - xform/》m7/m̄/</v>
      </c>
      <c r="AN9" s="28" t="str">
        <f t="shared" si="3"/>
        <v xml:space="preserve">    - xform/》m8/m̍/</v>
      </c>
      <c r="AO9" s="28" t="str">
        <f t="shared" si="4"/>
        <v xml:space="preserve">    - xform/》m9/m̋/</v>
      </c>
      <c r="AP9" s="28" t="str">
        <f t="shared" si="4"/>
        <v xml:space="preserve">    - xform/》m9/m̊/</v>
      </c>
      <c r="AQ9" s="27"/>
      <c r="AR9" s="27"/>
      <c r="AS9" s="7"/>
    </row>
    <row r="10" spans="1:45" ht="27.75" thickBot="1">
      <c r="A10" s="19">
        <v>12</v>
      </c>
      <c r="B10" s="20" t="s">
        <v>76</v>
      </c>
      <c r="C10" s="21" t="s">
        <v>77</v>
      </c>
      <c r="D10" s="19" t="s">
        <v>77</v>
      </c>
      <c r="E10" s="19" t="s">
        <v>77</v>
      </c>
      <c r="F10" s="19" t="s">
        <v>78</v>
      </c>
      <c r="G10" s="22" t="s">
        <v>79</v>
      </c>
      <c r="H10" s="23" t="s">
        <v>80</v>
      </c>
      <c r="I10" s="19" t="s">
        <v>81</v>
      </c>
      <c r="J10" s="29" t="s">
        <v>32</v>
      </c>
      <c r="K10" s="23">
        <f xml:space="preserve"> LEN(C10)</f>
        <v>4</v>
      </c>
      <c r="L10" s="24"/>
      <c r="M10" s="19" t="str">
        <f t="shared" si="0"/>
        <v>ainn</v>
      </c>
      <c r="N10" s="19" t="str">
        <f t="shared" si="1"/>
        <v>ㆮ</v>
      </c>
      <c r="P10" s="3" t="str">
        <f t="shared" si="5"/>
        <v>ainn(\d)</v>
      </c>
      <c r="Q10" s="3" t="str">
        <f t="shared" si="6"/>
        <v>ㆮ</v>
      </c>
      <c r="R10" s="25"/>
      <c r="S10" s="26" t="str">
        <f t="shared" si="7"/>
        <v xml:space="preserve">    - xform/》ainn(\d)/ㆮ》$1/</v>
      </c>
      <c r="U10" s="7" t="s">
        <v>59</v>
      </c>
      <c r="V10" s="27" t="str">
        <f t="shared" si="8"/>
        <v>n</v>
      </c>
      <c r="W10" s="27" t="str">
        <f t="shared" si="8"/>
        <v>ń</v>
      </c>
      <c r="X10" s="27" t="str">
        <f t="shared" si="8"/>
        <v>ǹ</v>
      </c>
      <c r="Y10" s="27" t="str">
        <f t="shared" si="8"/>
        <v>n</v>
      </c>
      <c r="Z10" s="27" t="str">
        <f t="shared" si="8"/>
        <v>ň</v>
      </c>
      <c r="AA10" s="27" t="str">
        <f t="shared" si="8"/>
        <v>ń</v>
      </c>
      <c r="AB10" s="27" t="str">
        <f t="shared" si="8"/>
        <v>n̄</v>
      </c>
      <c r="AC10" s="27" t="str">
        <f t="shared" si="8"/>
        <v>n̍</v>
      </c>
      <c r="AD10" s="27" t="str">
        <f t="shared" si="8"/>
        <v>n̋</v>
      </c>
      <c r="AE10" s="27" t="str">
        <f t="shared" si="8"/>
        <v>n̊</v>
      </c>
      <c r="AG10" s="28" t="str">
        <f t="shared" si="9"/>
        <v xml:space="preserve">    - xform/》n1/n/</v>
      </c>
      <c r="AH10" s="28" t="str">
        <f t="shared" si="9"/>
        <v xml:space="preserve">    - xform/》n2/ń/</v>
      </c>
      <c r="AI10" s="28" t="str">
        <f t="shared" si="3"/>
        <v xml:space="preserve">    - xform/》n3/ǹ/</v>
      </c>
      <c r="AJ10" s="28" t="str">
        <f t="shared" si="3"/>
        <v xml:space="preserve">    - xform/》n4/n/</v>
      </c>
      <c r="AK10" s="28" t="str">
        <f t="shared" si="3"/>
        <v xml:space="preserve">    - xform/》n5/ň/</v>
      </c>
      <c r="AL10" s="28" t="str">
        <f t="shared" si="3"/>
        <v xml:space="preserve">    - xform/》n6/ń/</v>
      </c>
      <c r="AM10" s="28" t="str">
        <f t="shared" si="3"/>
        <v xml:space="preserve">    - xform/》n7/n̄/</v>
      </c>
      <c r="AN10" s="28" t="str">
        <f t="shared" si="3"/>
        <v xml:space="preserve">    - xform/》n8/n̍/</v>
      </c>
      <c r="AO10" s="28" t="str">
        <f t="shared" si="4"/>
        <v xml:space="preserve">    - xform/》n9/n̋/</v>
      </c>
      <c r="AP10" s="28" t="str">
        <f t="shared" si="4"/>
        <v xml:space="preserve">    - xform/》n9/n̊/</v>
      </c>
      <c r="AQ10" s="27"/>
      <c r="AR10" s="27"/>
      <c r="AS10" s="7"/>
    </row>
    <row r="11" spans="1:45" ht="30.75" thickBot="1">
      <c r="A11" s="19">
        <v>19</v>
      </c>
      <c r="B11" s="20" t="s">
        <v>109</v>
      </c>
      <c r="C11" s="21" t="s">
        <v>110</v>
      </c>
      <c r="D11" s="31" t="s">
        <v>110</v>
      </c>
      <c r="E11" s="31" t="s">
        <v>110</v>
      </c>
      <c r="F11" s="31" t="s">
        <v>110</v>
      </c>
      <c r="G11" s="31" t="s">
        <v>110</v>
      </c>
      <c r="H11" s="32" t="s">
        <v>111</v>
      </c>
      <c r="I11" s="34" t="s">
        <v>112</v>
      </c>
      <c r="J11" s="29" t="s">
        <v>32</v>
      </c>
      <c r="K11" s="23">
        <f xml:space="preserve"> LEN(C11)</f>
        <v>4</v>
      </c>
      <c r="L11" s="24"/>
      <c r="M11" s="19" t="str">
        <f t="shared" si="0"/>
        <v>ennh</v>
      </c>
      <c r="N11" s="19" t="str">
        <f t="shared" si="1"/>
        <v>ㆥㆷ</v>
      </c>
      <c r="P11" s="3" t="str">
        <f t="shared" si="5"/>
        <v>ennh(\d)</v>
      </c>
      <c r="Q11" s="3" t="str">
        <f t="shared" si="6"/>
        <v>ㆥㆷ</v>
      </c>
      <c r="R11" s="25"/>
      <c r="S11" s="26" t="str">
        <f t="shared" si="7"/>
        <v xml:space="preserve">    - xform/》ennh(\d)/ㆥㆷ》$1/</v>
      </c>
    </row>
    <row r="12" spans="1:45" ht="27.75" thickBot="1">
      <c r="A12" s="19">
        <v>30</v>
      </c>
      <c r="B12" s="20" t="s">
        <v>154</v>
      </c>
      <c r="C12" s="21" t="s">
        <v>155</v>
      </c>
      <c r="D12" s="19" t="s">
        <v>155</v>
      </c>
      <c r="E12" s="19" t="s">
        <v>155</v>
      </c>
      <c r="F12" s="19" t="s">
        <v>156</v>
      </c>
      <c r="G12" s="22" t="s">
        <v>157</v>
      </c>
      <c r="H12" s="23" t="s">
        <v>158</v>
      </c>
      <c r="I12" s="19" t="s">
        <v>159</v>
      </c>
      <c r="J12" s="29" t="s">
        <v>32</v>
      </c>
      <c r="K12" s="23">
        <f xml:space="preserve"> LEN(C12)</f>
        <v>4</v>
      </c>
      <c r="L12" s="24"/>
      <c r="M12" s="19" t="str">
        <f t="shared" si="0"/>
        <v>iann</v>
      </c>
      <c r="N12" s="19" t="str">
        <f t="shared" si="1"/>
        <v>ㄧㆩ</v>
      </c>
      <c r="P12" s="3" t="str">
        <f t="shared" si="5"/>
        <v>iann(\d)</v>
      </c>
      <c r="Q12" s="3" t="str">
        <f t="shared" si="6"/>
        <v>ㄧㆩ</v>
      </c>
      <c r="R12" s="25"/>
      <c r="S12" s="26" t="str">
        <f t="shared" si="7"/>
        <v xml:space="preserve">    - xform/》iann(\d)/ㄧㆩ》$1/</v>
      </c>
    </row>
    <row r="13" spans="1:45" ht="27.75" thickBot="1">
      <c r="A13" s="19">
        <v>43</v>
      </c>
      <c r="B13" s="20" t="s">
        <v>213</v>
      </c>
      <c r="C13" s="21" t="s">
        <v>214</v>
      </c>
      <c r="D13" s="19" t="s">
        <v>214</v>
      </c>
      <c r="E13" s="19" t="s">
        <v>215</v>
      </c>
      <c r="F13" s="19" t="s">
        <v>216</v>
      </c>
      <c r="G13" s="22" t="s">
        <v>217</v>
      </c>
      <c r="H13" s="23" t="s">
        <v>218</v>
      </c>
      <c r="I13" s="19" t="s">
        <v>219</v>
      </c>
      <c r="J13" s="29" t="s">
        <v>32</v>
      </c>
      <c r="K13" s="23">
        <f xml:space="preserve"> LEN(C13)</f>
        <v>4</v>
      </c>
      <c r="L13" s="24"/>
      <c r="M13" s="19" t="str">
        <f t="shared" si="0"/>
        <v>ioonn</v>
      </c>
      <c r="N13" s="19" t="str">
        <f t="shared" si="1"/>
        <v>ㄧㆧ</v>
      </c>
      <c r="P13" s="3" t="str">
        <f t="shared" si="5"/>
        <v>ioonn(\d)</v>
      </c>
      <c r="Q13" s="3" t="str">
        <f t="shared" si="6"/>
        <v>ㄧㆧ</v>
      </c>
      <c r="R13" s="25"/>
      <c r="S13" s="26" t="str">
        <f t="shared" si="7"/>
        <v xml:space="preserve">    - xform/》ioonn(\d)/ㄧㆧ》$1/</v>
      </c>
    </row>
    <row r="14" spans="1:45" ht="27.75" thickBot="1">
      <c r="A14" s="19">
        <v>48</v>
      </c>
      <c r="B14" s="20" t="s">
        <v>237</v>
      </c>
      <c r="C14" s="21" t="s">
        <v>238</v>
      </c>
      <c r="D14" s="19" t="s">
        <v>238</v>
      </c>
      <c r="E14" s="19" t="s">
        <v>238</v>
      </c>
      <c r="F14" s="19" t="s">
        <v>239</v>
      </c>
      <c r="G14" s="22" t="s">
        <v>240</v>
      </c>
      <c r="H14" s="23" t="s">
        <v>241</v>
      </c>
      <c r="I14" s="19" t="s">
        <v>242</v>
      </c>
      <c r="J14" s="29" t="s">
        <v>32</v>
      </c>
      <c r="K14" s="23">
        <f xml:space="preserve"> LEN(C14)</f>
        <v>4</v>
      </c>
      <c r="L14" s="24"/>
      <c r="M14" s="19" t="str">
        <f t="shared" si="0"/>
        <v>iunn</v>
      </c>
      <c r="N14" s="19" t="str">
        <f t="shared" si="1"/>
        <v>ㄧㆫ</v>
      </c>
      <c r="P14" s="3" t="str">
        <f t="shared" si="5"/>
        <v>iunn(\d)</v>
      </c>
      <c r="Q14" s="3" t="str">
        <f t="shared" si="6"/>
        <v>ㄧㆫ</v>
      </c>
      <c r="R14" s="25"/>
      <c r="S14" s="26" t="str">
        <f t="shared" si="7"/>
        <v xml:space="preserve">    - xform/》iunn(\d)/ㄧㆫ》$1/</v>
      </c>
    </row>
    <row r="15" spans="1:45" ht="27.75" thickBot="1">
      <c r="A15" s="19">
        <v>55</v>
      </c>
      <c r="B15" s="20" t="s">
        <v>276</v>
      </c>
      <c r="C15" s="21" t="s">
        <v>277</v>
      </c>
      <c r="D15" s="19" t="s">
        <v>278</v>
      </c>
      <c r="E15" s="19" t="s">
        <v>277</v>
      </c>
      <c r="F15" s="19" t="s">
        <v>245</v>
      </c>
      <c r="G15" s="22" t="s">
        <v>279</v>
      </c>
      <c r="H15" s="23" t="s">
        <v>280</v>
      </c>
      <c r="I15" s="19" t="s">
        <v>281</v>
      </c>
      <c r="J15" s="29" t="s">
        <v>32</v>
      </c>
      <c r="K15" s="23">
        <f xml:space="preserve"> LEN(C15)</f>
        <v>4</v>
      </c>
      <c r="L15" s="24"/>
      <c r="M15" s="19" t="str">
        <f t="shared" si="0"/>
        <v>onnh</v>
      </c>
      <c r="N15" s="19" t="str">
        <f t="shared" si="1"/>
        <v>ㆧㆷ</v>
      </c>
      <c r="P15" s="3" t="str">
        <f t="shared" si="5"/>
        <v>onnh(\d)</v>
      </c>
      <c r="Q15" s="3" t="str">
        <f t="shared" si="6"/>
        <v>ㆧㆷ</v>
      </c>
      <c r="R15" s="25"/>
      <c r="S15" s="26" t="str">
        <f t="shared" si="7"/>
        <v xml:space="preserve">    - xform/》onnh(\d)/ㆧㆷ》$1/</v>
      </c>
    </row>
    <row r="16" spans="1:45" ht="27.75" thickBot="1">
      <c r="A16" s="19">
        <v>2</v>
      </c>
      <c r="B16" s="20" t="s">
        <v>26</v>
      </c>
      <c r="C16" s="21" t="s">
        <v>27</v>
      </c>
      <c r="D16" s="19" t="s">
        <v>27</v>
      </c>
      <c r="E16" s="19" t="s">
        <v>27</v>
      </c>
      <c r="F16" s="19" t="s">
        <v>28</v>
      </c>
      <c r="G16" s="22" t="s">
        <v>29</v>
      </c>
      <c r="H16" s="23" t="s">
        <v>30</v>
      </c>
      <c r="I16" s="19" t="s">
        <v>31</v>
      </c>
      <c r="J16" s="29" t="s">
        <v>32</v>
      </c>
      <c r="K16" s="23">
        <f xml:space="preserve"> LEN(C16)</f>
        <v>3</v>
      </c>
      <c r="L16" s="24"/>
      <c r="M16" s="19" t="str">
        <f t="shared" si="0"/>
        <v>ann</v>
      </c>
      <c r="N16" s="19" t="str">
        <f t="shared" si="1"/>
        <v>ㆩ</v>
      </c>
      <c r="P16" s="3" t="str">
        <f t="shared" si="5"/>
        <v>ann(\d)</v>
      </c>
      <c r="Q16" s="3" t="str">
        <f t="shared" si="6"/>
        <v>ㆩ</v>
      </c>
      <c r="R16" s="25"/>
      <c r="S16" s="26" t="str">
        <f t="shared" si="7"/>
        <v xml:space="preserve">    - xform/》ann(\d)/ㆩ》$1/</v>
      </c>
    </row>
    <row r="17" spans="1:19" ht="27.75" thickBot="1">
      <c r="A17" s="19">
        <v>17</v>
      </c>
      <c r="B17" s="20" t="s">
        <v>99</v>
      </c>
      <c r="C17" s="21" t="s">
        <v>100</v>
      </c>
      <c r="D17" s="19" t="s">
        <v>100</v>
      </c>
      <c r="E17" s="19" t="s">
        <v>100</v>
      </c>
      <c r="F17" s="19" t="s">
        <v>101</v>
      </c>
      <c r="G17" s="22" t="s">
        <v>102</v>
      </c>
      <c r="H17" s="23" t="s">
        <v>103</v>
      </c>
      <c r="I17" s="19" t="s">
        <v>104</v>
      </c>
      <c r="J17" s="29" t="s">
        <v>32</v>
      </c>
      <c r="K17" s="23">
        <f xml:space="preserve"> LEN(C17)</f>
        <v>3</v>
      </c>
      <c r="L17" s="24"/>
      <c r="M17" s="19" t="str">
        <f t="shared" si="0"/>
        <v>enn</v>
      </c>
      <c r="N17" s="19" t="str">
        <f t="shared" si="1"/>
        <v>ㆥ</v>
      </c>
      <c r="P17" s="3" t="str">
        <f t="shared" si="5"/>
        <v>enn(\d)</v>
      </c>
      <c r="Q17" s="3" t="str">
        <f t="shared" si="6"/>
        <v>ㆥ</v>
      </c>
      <c r="R17" s="25"/>
      <c r="S17" s="26" t="str">
        <f t="shared" si="7"/>
        <v xml:space="preserve">    - xform/》enn(\d)/ㆥ》$1/</v>
      </c>
    </row>
    <row r="18" spans="1:19" ht="27.75" thickBot="1">
      <c r="A18" s="19">
        <v>21</v>
      </c>
      <c r="B18" s="20" t="s">
        <v>116</v>
      </c>
      <c r="C18" s="21" t="s">
        <v>117</v>
      </c>
      <c r="D18" s="19" t="s">
        <v>117</v>
      </c>
      <c r="E18" s="19" t="s">
        <v>117</v>
      </c>
      <c r="F18" s="19" t="s">
        <v>118</v>
      </c>
      <c r="G18" s="22" t="s">
        <v>119</v>
      </c>
      <c r="H18" s="23" t="s">
        <v>120</v>
      </c>
      <c r="I18" s="19" t="s">
        <v>121</v>
      </c>
      <c r="J18" s="29" t="s">
        <v>32</v>
      </c>
      <c r="K18" s="23">
        <f xml:space="preserve"> LEN(C18)</f>
        <v>3</v>
      </c>
      <c r="L18" s="24"/>
      <c r="M18" s="19" t="str">
        <f t="shared" si="0"/>
        <v>inn</v>
      </c>
      <c r="N18" s="19" t="str">
        <f t="shared" si="1"/>
        <v>ㆪ</v>
      </c>
      <c r="P18" s="3" t="str">
        <f t="shared" si="5"/>
        <v>inn(\d)</v>
      </c>
      <c r="Q18" s="3" t="str">
        <f t="shared" si="6"/>
        <v>ㆪ</v>
      </c>
      <c r="R18" s="25"/>
      <c r="S18" s="26" t="str">
        <f t="shared" si="7"/>
        <v xml:space="preserve">    - xform/》inn(\d)/ㆪ》$1/</v>
      </c>
    </row>
    <row r="19" spans="1:19" ht="27.75" thickBot="1">
      <c r="A19" s="19">
        <v>78</v>
      </c>
      <c r="B19" s="20" t="s">
        <v>382</v>
      </c>
      <c r="C19" s="21" t="s">
        <v>383</v>
      </c>
      <c r="D19" s="31" t="s">
        <v>383</v>
      </c>
      <c r="E19" s="31" t="s">
        <v>383</v>
      </c>
      <c r="F19" s="31" t="s">
        <v>383</v>
      </c>
      <c r="G19" s="31" t="s">
        <v>383</v>
      </c>
      <c r="H19" s="35" t="s">
        <v>384</v>
      </c>
      <c r="I19" s="33" t="s">
        <v>385</v>
      </c>
      <c r="J19" s="29" t="s">
        <v>32</v>
      </c>
      <c r="K19" s="23">
        <f xml:space="preserve"> LEN(C19)</f>
        <v>3</v>
      </c>
      <c r="L19" s="24"/>
      <c r="M19" s="19" t="str">
        <f t="shared" si="0"/>
        <v>uih</v>
      </c>
      <c r="N19" s="19" t="str">
        <f t="shared" si="1"/>
        <v>ㄨㄧㆷ</v>
      </c>
      <c r="P19" s="3" t="str">
        <f t="shared" si="5"/>
        <v>uih(\d)</v>
      </c>
      <c r="Q19" s="3" t="str">
        <f t="shared" si="6"/>
        <v>ㄨㄧㆷ</v>
      </c>
      <c r="R19" s="25"/>
      <c r="S19" s="26" t="str">
        <f t="shared" si="7"/>
        <v xml:space="preserve">    - xform/》uih(\d)/ㄨㄧㆷ》$1/</v>
      </c>
    </row>
    <row r="20" spans="1:19" ht="27.75" thickBot="1">
      <c r="A20" s="19">
        <v>35</v>
      </c>
      <c r="B20" s="20" t="s">
        <v>176</v>
      </c>
      <c r="C20" s="21" t="s">
        <v>177</v>
      </c>
      <c r="D20" s="19" t="s">
        <v>177</v>
      </c>
      <c r="E20" s="19" t="s">
        <v>177</v>
      </c>
      <c r="F20" s="19" t="s">
        <v>177</v>
      </c>
      <c r="G20" s="22" t="s">
        <v>177</v>
      </c>
      <c r="H20" s="23" t="s">
        <v>178</v>
      </c>
      <c r="I20" s="19" t="s">
        <v>179</v>
      </c>
      <c r="J20" s="19"/>
      <c r="K20" s="23">
        <f xml:space="preserve"> LEN(C20)</f>
        <v>4</v>
      </c>
      <c r="L20" s="24"/>
      <c r="M20" s="19" t="str">
        <f t="shared" si="0"/>
        <v>iang</v>
      </c>
      <c r="N20" s="19" t="str">
        <f t="shared" si="1"/>
        <v>ㄧㄤ</v>
      </c>
      <c r="P20" s="3" t="str">
        <f t="shared" si="5"/>
        <v>iang(\d)</v>
      </c>
      <c r="Q20" s="3" t="str">
        <f t="shared" si="6"/>
        <v>ㄧㄤ</v>
      </c>
      <c r="R20" s="25"/>
      <c r="S20" s="26" t="str">
        <f t="shared" si="7"/>
        <v xml:space="preserve">    - xform/》iang(\d)/ㄧㄤ》$1/</v>
      </c>
    </row>
    <row r="21" spans="1:19" ht="27.75" thickBot="1">
      <c r="A21" s="19">
        <v>41</v>
      </c>
      <c r="B21" s="20" t="s">
        <v>203</v>
      </c>
      <c r="C21" s="21" t="s">
        <v>204</v>
      </c>
      <c r="D21" s="19" t="s">
        <v>204</v>
      </c>
      <c r="E21" s="19" t="s">
        <v>204</v>
      </c>
      <c r="F21" s="19" t="s">
        <v>205</v>
      </c>
      <c r="G21" s="22" t="s">
        <v>204</v>
      </c>
      <c r="H21" s="23" t="s">
        <v>206</v>
      </c>
      <c r="I21" s="19" t="s">
        <v>207</v>
      </c>
      <c r="J21" s="19"/>
      <c r="K21" s="23">
        <f xml:space="preserve"> LEN(C21)</f>
        <v>4</v>
      </c>
      <c r="L21" s="24"/>
      <c r="M21" s="19" t="str">
        <f t="shared" si="0"/>
        <v>iauh</v>
      </c>
      <c r="N21" s="19" t="str">
        <f t="shared" si="1"/>
        <v>ㄧㄠㆷ</v>
      </c>
      <c r="P21" s="3" t="str">
        <f t="shared" si="5"/>
        <v>iauh(\d)</v>
      </c>
      <c r="Q21" s="3" t="str">
        <f t="shared" si="6"/>
        <v>ㄧㄠㆷ</v>
      </c>
      <c r="R21" s="25"/>
      <c r="S21" s="26" t="str">
        <f t="shared" si="7"/>
        <v xml:space="preserve">    - xform/》iauh(\d)/ㄧㄠㆷ》$1/</v>
      </c>
    </row>
    <row r="22" spans="1:19" ht="27.75" thickBot="1">
      <c r="A22" s="19">
        <v>45</v>
      </c>
      <c r="B22" s="20" t="s">
        <v>225</v>
      </c>
      <c r="C22" s="21" t="s">
        <v>226</v>
      </c>
      <c r="D22" s="19" t="s">
        <v>226</v>
      </c>
      <c r="E22" s="19" t="s">
        <v>226</v>
      </c>
      <c r="F22" s="19" t="s">
        <v>226</v>
      </c>
      <c r="G22" s="22" t="s">
        <v>226</v>
      </c>
      <c r="H22" s="23" t="s">
        <v>227</v>
      </c>
      <c r="I22" s="19" t="s">
        <v>228</v>
      </c>
      <c r="J22" s="19"/>
      <c r="K22" s="23">
        <f xml:space="preserve"> LEN(C22)</f>
        <v>4</v>
      </c>
      <c r="L22" s="24"/>
      <c r="M22" s="19" t="str">
        <f t="shared" si="0"/>
        <v>iong</v>
      </c>
      <c r="N22" s="19" t="str">
        <f t="shared" si="1"/>
        <v>ㄧㆲ</v>
      </c>
      <c r="P22" s="3" t="str">
        <f t="shared" si="5"/>
        <v>iong(\d)</v>
      </c>
      <c r="Q22" s="3" t="str">
        <f t="shared" si="6"/>
        <v>ㄧㆲ</v>
      </c>
      <c r="R22" s="25"/>
      <c r="S22" s="26" t="str">
        <f t="shared" si="7"/>
        <v xml:space="preserve">    - xform/》iong(\d)/ㄧㆲ》$1/</v>
      </c>
    </row>
    <row r="23" spans="1:19" ht="27.75" thickBot="1">
      <c r="A23" s="19">
        <v>65</v>
      </c>
      <c r="B23" s="20" t="s">
        <v>318</v>
      </c>
      <c r="C23" s="21" t="s">
        <v>319</v>
      </c>
      <c r="D23" s="19" t="s">
        <v>319</v>
      </c>
      <c r="E23" s="19" t="s">
        <v>319</v>
      </c>
      <c r="F23" s="19" t="s">
        <v>320</v>
      </c>
      <c r="G23" s="22" t="s">
        <v>321</v>
      </c>
      <c r="H23" s="23" t="s">
        <v>322</v>
      </c>
      <c r="I23" s="19" t="s">
        <v>323</v>
      </c>
      <c r="J23" s="19"/>
      <c r="K23" s="23">
        <f xml:space="preserve"> LEN(C23)</f>
        <v>4</v>
      </c>
      <c r="L23" s="24"/>
      <c r="M23" s="19" t="str">
        <f t="shared" si="0"/>
        <v>uann</v>
      </c>
      <c r="N23" s="19" t="str">
        <f t="shared" si="1"/>
        <v>ㄨㆩ</v>
      </c>
      <c r="P23" s="3" t="str">
        <f t="shared" si="5"/>
        <v>uann(\d)</v>
      </c>
      <c r="Q23" s="3" t="str">
        <f t="shared" si="6"/>
        <v>ㄨㆩ</v>
      </c>
      <c r="R23" s="25"/>
      <c r="S23" s="26" t="str">
        <f t="shared" si="7"/>
        <v xml:space="preserve">    - xform/》uann(\d)/ㄨㆩ》$1/</v>
      </c>
    </row>
    <row r="24" spans="1:19" ht="27.75" thickBot="1">
      <c r="A24" s="19">
        <v>68</v>
      </c>
      <c r="B24" s="20" t="s">
        <v>333</v>
      </c>
      <c r="C24" s="21" t="s">
        <v>334</v>
      </c>
      <c r="D24" s="19" t="s">
        <v>334</v>
      </c>
      <c r="E24" s="19" t="s">
        <v>334</v>
      </c>
      <c r="F24" s="19" t="s">
        <v>334</v>
      </c>
      <c r="G24" s="22" t="s">
        <v>335</v>
      </c>
      <c r="H24" s="23" t="s">
        <v>336</v>
      </c>
      <c r="I24" s="19" t="s">
        <v>337</v>
      </c>
      <c r="J24" s="19"/>
      <c r="K24" s="23">
        <f xml:space="preserve"> LEN(C24)</f>
        <v>4</v>
      </c>
      <c r="L24" s="24"/>
      <c r="M24" s="19" t="str">
        <f t="shared" si="0"/>
        <v>uang</v>
      </c>
      <c r="N24" s="19" t="str">
        <f t="shared" si="1"/>
        <v>ㄨㄤ</v>
      </c>
      <c r="P24" s="3" t="str">
        <f t="shared" si="5"/>
        <v>uang(\d)</v>
      </c>
      <c r="Q24" s="3" t="str">
        <f t="shared" si="6"/>
        <v>ㄨㄤ</v>
      </c>
      <c r="R24" s="25"/>
      <c r="S24" s="26" t="str">
        <f t="shared" si="7"/>
        <v xml:space="preserve">    - xform/》uang(\d)/ㄨㄤ》$1/</v>
      </c>
    </row>
    <row r="25" spans="1:19" ht="27.75" thickBot="1">
      <c r="A25" s="19">
        <v>72</v>
      </c>
      <c r="B25" s="20" t="s">
        <v>353</v>
      </c>
      <c r="C25" s="21" t="s">
        <v>354</v>
      </c>
      <c r="D25" s="19" t="s">
        <v>354</v>
      </c>
      <c r="E25" s="19" t="s">
        <v>354</v>
      </c>
      <c r="F25" s="19" t="s">
        <v>354</v>
      </c>
      <c r="G25" s="22" t="s">
        <v>355</v>
      </c>
      <c r="H25" s="23" t="s">
        <v>356</v>
      </c>
      <c r="I25" s="19" t="s">
        <v>357</v>
      </c>
      <c r="J25" s="19"/>
      <c r="K25" s="23">
        <f xml:space="preserve"> LEN(C25)</f>
        <v>4</v>
      </c>
      <c r="L25" s="24"/>
      <c r="M25" s="19" t="str">
        <f t="shared" si="0"/>
        <v>uaih</v>
      </c>
      <c r="N25" s="19" t="str">
        <f t="shared" si="1"/>
        <v>ㄨㄞㆷ</v>
      </c>
      <c r="P25" s="3" t="str">
        <f t="shared" si="5"/>
        <v>uaih(\d)</v>
      </c>
      <c r="Q25" s="3" t="str">
        <f t="shared" si="6"/>
        <v>ㄨㄞㆷ</v>
      </c>
      <c r="R25" s="25"/>
      <c r="S25" s="26" t="str">
        <f t="shared" si="7"/>
        <v xml:space="preserve">    - xform/》uaih(\d)/ㄨㄞㆷ》$1/</v>
      </c>
    </row>
    <row r="26" spans="1:19" ht="27.75" thickBot="1">
      <c r="A26" s="19">
        <v>77</v>
      </c>
      <c r="B26" s="20" t="s">
        <v>376</v>
      </c>
      <c r="C26" s="21" t="s">
        <v>377</v>
      </c>
      <c r="D26" s="19" t="s">
        <v>377</v>
      </c>
      <c r="E26" s="19" t="s">
        <v>377</v>
      </c>
      <c r="F26" s="19" t="s">
        <v>378</v>
      </c>
      <c r="G26" s="22" t="s">
        <v>379</v>
      </c>
      <c r="H26" s="23" t="s">
        <v>380</v>
      </c>
      <c r="I26" s="19" t="s">
        <v>381</v>
      </c>
      <c r="J26" s="19"/>
      <c r="K26" s="23">
        <f xml:space="preserve"> LEN(C26)</f>
        <v>4</v>
      </c>
      <c r="L26" s="24"/>
      <c r="M26" s="19" t="str">
        <f t="shared" si="0"/>
        <v>uinn</v>
      </c>
      <c r="N26" s="19" t="str">
        <f t="shared" si="1"/>
        <v>ㄨㆪ</v>
      </c>
      <c r="P26" s="3" t="str">
        <f t="shared" si="5"/>
        <v>uinn(\d)</v>
      </c>
      <c r="Q26" s="3" t="str">
        <f t="shared" si="6"/>
        <v>ㄨㆪ</v>
      </c>
      <c r="R26" s="25"/>
      <c r="S26" s="26" t="str">
        <f t="shared" si="7"/>
        <v xml:space="preserve">    - xform/》uinn(\d)/ㄨㆪ》$1/</v>
      </c>
    </row>
    <row r="27" spans="1:19" ht="27.75" thickBot="1">
      <c r="A27" s="19">
        <v>7</v>
      </c>
      <c r="B27" s="20" t="s">
        <v>55</v>
      </c>
      <c r="C27" s="21" t="s">
        <v>56</v>
      </c>
      <c r="D27" s="19" t="s">
        <v>56</v>
      </c>
      <c r="E27" s="19" t="s">
        <v>56</v>
      </c>
      <c r="F27" s="19" t="s">
        <v>56</v>
      </c>
      <c r="G27" s="22" t="s">
        <v>56</v>
      </c>
      <c r="H27" s="23" t="s">
        <v>57</v>
      </c>
      <c r="I27" s="19" t="s">
        <v>58</v>
      </c>
      <c r="J27" s="19"/>
      <c r="K27" s="23">
        <f xml:space="preserve"> LEN(C27)</f>
        <v>3</v>
      </c>
      <c r="L27" s="24"/>
      <c r="M27" s="19" t="str">
        <f t="shared" si="0"/>
        <v>ang</v>
      </c>
      <c r="N27" s="19" t="str">
        <f t="shared" si="1"/>
        <v>ㄤ</v>
      </c>
      <c r="P27" s="3" t="str">
        <f t="shared" si="5"/>
        <v>ang(\d)</v>
      </c>
      <c r="Q27" s="3" t="str">
        <f t="shared" si="6"/>
        <v>ㄤ</v>
      </c>
      <c r="R27" s="25"/>
      <c r="S27" s="26" t="str">
        <f t="shared" si="7"/>
        <v xml:space="preserve">    - xform/》ang(\d)/ㄤ》$1/</v>
      </c>
    </row>
    <row r="28" spans="1:19" ht="30.75" thickBot="1">
      <c r="A28" s="19">
        <v>13</v>
      </c>
      <c r="B28" s="20" t="s">
        <v>82</v>
      </c>
      <c r="C28" s="21" t="s">
        <v>83</v>
      </c>
      <c r="D28" s="31" t="s">
        <v>83</v>
      </c>
      <c r="E28" s="31" t="s">
        <v>83</v>
      </c>
      <c r="F28" s="31" t="s">
        <v>83</v>
      </c>
      <c r="G28" s="31" t="s">
        <v>83</v>
      </c>
      <c r="H28" s="32" t="s">
        <v>84</v>
      </c>
      <c r="I28" s="33" t="s">
        <v>85</v>
      </c>
      <c r="J28" s="19"/>
      <c r="K28" s="23">
        <f xml:space="preserve"> LEN(C28)</f>
        <v>3</v>
      </c>
      <c r="L28" s="24"/>
      <c r="M28" s="19" t="str">
        <f t="shared" si="0"/>
        <v>aih</v>
      </c>
      <c r="N28" s="19" t="str">
        <f t="shared" si="1"/>
        <v>ㄞㆷ</v>
      </c>
      <c r="P28" s="3" t="str">
        <f t="shared" si="5"/>
        <v>aih(\d)</v>
      </c>
      <c r="Q28" s="3" t="str">
        <f t="shared" si="6"/>
        <v>ㄞㆷ</v>
      </c>
      <c r="R28" s="25"/>
      <c r="S28" s="26" t="str">
        <f t="shared" si="7"/>
        <v xml:space="preserve">    - xform/》aih(\d)/ㄞㆷ》$1/</v>
      </c>
    </row>
    <row r="29" spans="1:19" ht="27.75" thickBot="1">
      <c r="A29" s="19">
        <v>15</v>
      </c>
      <c r="B29" s="20" t="s">
        <v>90</v>
      </c>
      <c r="C29" s="21" t="s">
        <v>91</v>
      </c>
      <c r="D29" s="19" t="s">
        <v>91</v>
      </c>
      <c r="E29" s="19" t="s">
        <v>91</v>
      </c>
      <c r="F29" s="19" t="s">
        <v>92</v>
      </c>
      <c r="G29" s="22" t="s">
        <v>91</v>
      </c>
      <c r="H29" s="23" t="s">
        <v>93</v>
      </c>
      <c r="I29" s="19" t="s">
        <v>94</v>
      </c>
      <c r="J29" s="19"/>
      <c r="K29" s="23">
        <f xml:space="preserve"> LEN(C29)</f>
        <v>3</v>
      </c>
      <c r="L29" s="24"/>
      <c r="M29" s="19" t="str">
        <f t="shared" si="0"/>
        <v>auh</v>
      </c>
      <c r="N29" s="19" t="str">
        <f t="shared" si="1"/>
        <v>ㄠㆷ</v>
      </c>
      <c r="P29" s="3" t="str">
        <f t="shared" si="5"/>
        <v>auh(\d)</v>
      </c>
      <c r="Q29" s="3" t="str">
        <f t="shared" si="6"/>
        <v>ㄠㆷ</v>
      </c>
      <c r="R29" s="25"/>
      <c r="S29" s="26" t="str">
        <f t="shared" si="7"/>
        <v xml:space="preserve">    - xform/》auh(\d)/ㄠㆷ》$1/</v>
      </c>
    </row>
    <row r="30" spans="1:19" ht="27.75" thickBot="1">
      <c r="A30" s="19">
        <v>25</v>
      </c>
      <c r="B30" s="20" t="s">
        <v>132</v>
      </c>
      <c r="C30" s="21" t="s">
        <v>133</v>
      </c>
      <c r="D30" s="19" t="s">
        <v>133</v>
      </c>
      <c r="E30" s="19" t="s">
        <v>133</v>
      </c>
      <c r="F30" s="19" t="s">
        <v>133</v>
      </c>
      <c r="G30" s="22" t="s">
        <v>134</v>
      </c>
      <c r="H30" s="23" t="s">
        <v>135</v>
      </c>
      <c r="I30" s="19" t="s">
        <v>136</v>
      </c>
      <c r="J30" s="19"/>
      <c r="K30" s="23">
        <f xml:space="preserve"> LEN(C30)</f>
        <v>3</v>
      </c>
      <c r="L30" s="24"/>
      <c r="M30" s="19" t="str">
        <f t="shared" si="0"/>
        <v>ing</v>
      </c>
      <c r="N30" s="19" t="str">
        <f t="shared" si="1"/>
        <v>ㄧㄥ</v>
      </c>
      <c r="P30" s="3" t="str">
        <f t="shared" si="5"/>
        <v>ing(\d)</v>
      </c>
      <c r="Q30" s="3" t="str">
        <f t="shared" si="6"/>
        <v>ㄧㄥ</v>
      </c>
      <c r="R30" s="25"/>
      <c r="S30" s="26" t="str">
        <f t="shared" si="7"/>
        <v xml:space="preserve">    - xform/》ing(\d)/ㄧㄥ》$1/</v>
      </c>
    </row>
    <row r="31" spans="1:19" ht="27.75" thickBot="1">
      <c r="A31" s="19">
        <v>31</v>
      </c>
      <c r="B31" s="20" t="s">
        <v>160</v>
      </c>
      <c r="C31" s="21" t="s">
        <v>161</v>
      </c>
      <c r="D31" s="19" t="s">
        <v>161</v>
      </c>
      <c r="E31" s="19" t="s">
        <v>161</v>
      </c>
      <c r="F31" s="19" t="s">
        <v>161</v>
      </c>
      <c r="G31" s="22" t="s">
        <v>161</v>
      </c>
      <c r="H31" s="23" t="s">
        <v>162</v>
      </c>
      <c r="I31" s="19" t="s">
        <v>163</v>
      </c>
      <c r="J31" s="19"/>
      <c r="K31" s="23">
        <f xml:space="preserve"> LEN(C31)</f>
        <v>3</v>
      </c>
      <c r="L31" s="24"/>
      <c r="M31" s="19" t="str">
        <f t="shared" si="0"/>
        <v>iah</v>
      </c>
      <c r="N31" s="19" t="str">
        <f t="shared" si="1"/>
        <v>ㄧㄚㆷ</v>
      </c>
      <c r="P31" s="3" t="str">
        <f t="shared" si="5"/>
        <v>iah(\d)</v>
      </c>
      <c r="Q31" s="3" t="str">
        <f t="shared" si="6"/>
        <v>ㄧㄚㆷ</v>
      </c>
      <c r="R31" s="25"/>
      <c r="S31" s="26" t="str">
        <f t="shared" si="7"/>
        <v xml:space="preserve">    - xform/》iah(\d)/ㄧㄚㆷ》$1/</v>
      </c>
    </row>
    <row r="32" spans="1:19" ht="27.75" thickBot="1">
      <c r="A32" s="19">
        <v>33</v>
      </c>
      <c r="B32" s="20" t="s">
        <v>168</v>
      </c>
      <c r="C32" s="21" t="s">
        <v>169</v>
      </c>
      <c r="D32" s="19" t="s">
        <v>169</v>
      </c>
      <c r="E32" s="19" t="s">
        <v>169</v>
      </c>
      <c r="F32" s="19" t="s">
        <v>169</v>
      </c>
      <c r="G32" s="22" t="s">
        <v>169</v>
      </c>
      <c r="H32" s="23" t="s">
        <v>170</v>
      </c>
      <c r="I32" s="19" t="s">
        <v>171</v>
      </c>
      <c r="J32" s="19"/>
      <c r="K32" s="23">
        <f xml:space="preserve"> LEN(C32)</f>
        <v>3</v>
      </c>
      <c r="L32" s="24"/>
      <c r="M32" s="19" t="str">
        <f t="shared" si="0"/>
        <v>iam</v>
      </c>
      <c r="N32" s="19" t="str">
        <f t="shared" si="1"/>
        <v>ㄧㆰ</v>
      </c>
      <c r="P32" s="3" t="str">
        <f t="shared" si="5"/>
        <v>iam(\d)</v>
      </c>
      <c r="Q32" s="3" t="str">
        <f t="shared" si="6"/>
        <v>ㄧㆰ</v>
      </c>
      <c r="R32" s="25"/>
      <c r="S32" s="26" t="str">
        <f t="shared" si="7"/>
        <v xml:space="preserve">    - xform/》iam(\d)/ㄧㆰ》$1/</v>
      </c>
    </row>
    <row r="33" spans="1:19" ht="27.75" thickBot="1">
      <c r="A33" s="19">
        <v>34</v>
      </c>
      <c r="B33" s="20" t="s">
        <v>172</v>
      </c>
      <c r="C33" s="21" t="s">
        <v>173</v>
      </c>
      <c r="D33" s="19" t="s">
        <v>173</v>
      </c>
      <c r="E33" s="19" t="s">
        <v>173</v>
      </c>
      <c r="F33" s="19" t="s">
        <v>173</v>
      </c>
      <c r="G33" s="22" t="s">
        <v>173</v>
      </c>
      <c r="H33" s="23" t="s">
        <v>174</v>
      </c>
      <c r="I33" s="19" t="s">
        <v>175</v>
      </c>
      <c r="J33" s="19"/>
      <c r="K33" s="23">
        <f xml:space="preserve"> LEN(C33)</f>
        <v>3</v>
      </c>
      <c r="L33" s="24"/>
      <c r="M33" s="19" t="str">
        <f t="shared" si="0"/>
        <v>ian</v>
      </c>
      <c r="N33" s="19" t="str">
        <f t="shared" si="1"/>
        <v>ㄧㄢ</v>
      </c>
      <c r="P33" s="3" t="str">
        <f t="shared" si="5"/>
        <v>ian(\d)</v>
      </c>
      <c r="Q33" s="3" t="str">
        <f t="shared" si="6"/>
        <v>ㄧㄢ</v>
      </c>
      <c r="R33" s="25"/>
      <c r="S33" s="26" t="str">
        <f t="shared" si="7"/>
        <v xml:space="preserve">    - xform/》ian(\d)/ㄧㄢ》$1/</v>
      </c>
    </row>
    <row r="34" spans="1:19" ht="27.75" thickBot="1">
      <c r="A34" s="19">
        <v>36</v>
      </c>
      <c r="B34" s="20" t="s">
        <v>180</v>
      </c>
      <c r="C34" s="21" t="s">
        <v>181</v>
      </c>
      <c r="D34" s="19" t="s">
        <v>181</v>
      </c>
      <c r="E34" s="19" t="s">
        <v>181</v>
      </c>
      <c r="F34" s="19" t="s">
        <v>181</v>
      </c>
      <c r="G34" s="22" t="s">
        <v>181</v>
      </c>
      <c r="H34" s="23" t="s">
        <v>182</v>
      </c>
      <c r="I34" s="19" t="s">
        <v>183</v>
      </c>
      <c r="J34" s="19"/>
      <c r="K34" s="23">
        <f xml:space="preserve"> LEN(C34)</f>
        <v>3</v>
      </c>
      <c r="L34" s="24"/>
      <c r="M34" s="19" t="str">
        <f t="shared" si="0"/>
        <v>iap</v>
      </c>
      <c r="N34" s="19" t="str">
        <f t="shared" si="1"/>
        <v>ㄧㄚㆴ</v>
      </c>
      <c r="P34" s="3" t="str">
        <f t="shared" si="5"/>
        <v>iap(\d)</v>
      </c>
      <c r="Q34" s="3" t="str">
        <f t="shared" si="6"/>
        <v>ㄧㄚㆴ</v>
      </c>
      <c r="R34" s="25"/>
      <c r="S34" s="26" t="str">
        <f t="shared" si="7"/>
        <v xml:space="preserve">    - xform/》iap(\d)/ㄧㄚㆴ》$1/</v>
      </c>
    </row>
    <row r="35" spans="1:19" ht="27.75" thickBot="1">
      <c r="A35" s="19">
        <v>37</v>
      </c>
      <c r="B35" s="20" t="s">
        <v>184</v>
      </c>
      <c r="C35" s="21" t="s">
        <v>185</v>
      </c>
      <c r="D35" s="19" t="s">
        <v>185</v>
      </c>
      <c r="E35" s="19" t="s">
        <v>185</v>
      </c>
      <c r="F35" s="19" t="s">
        <v>185</v>
      </c>
      <c r="G35" s="22" t="s">
        <v>185</v>
      </c>
      <c r="H35" s="23" t="s">
        <v>186</v>
      </c>
      <c r="I35" s="19" t="s">
        <v>187</v>
      </c>
      <c r="J35" s="19"/>
      <c r="K35" s="23">
        <f xml:space="preserve"> LEN(C35)</f>
        <v>3</v>
      </c>
      <c r="L35" s="24"/>
      <c r="M35" s="19" t="str">
        <f t="shared" ref="M35:M66" si="10">E35</f>
        <v>iat</v>
      </c>
      <c r="N35" s="19" t="str">
        <f t="shared" ref="N35:N66" si="11">I35</f>
        <v>ㄧㄚㆵ</v>
      </c>
      <c r="P35" s="3" t="str">
        <f t="shared" si="5"/>
        <v>iat(\d)</v>
      </c>
      <c r="Q35" s="3" t="str">
        <f t="shared" si="6"/>
        <v>ㄧㄚㆵ</v>
      </c>
      <c r="R35" s="25"/>
      <c r="S35" s="26" t="str">
        <f t="shared" si="7"/>
        <v xml:space="preserve">    - xform/》iat(\d)/ㄧㄚㆵ》$1/</v>
      </c>
    </row>
    <row r="36" spans="1:19" ht="27.75" thickBot="1">
      <c r="A36" s="19">
        <v>38</v>
      </c>
      <c r="B36" s="20" t="s">
        <v>188</v>
      </c>
      <c r="C36" s="21" t="s">
        <v>189</v>
      </c>
      <c r="D36" s="19" t="s">
        <v>189</v>
      </c>
      <c r="E36" s="19" t="s">
        <v>189</v>
      </c>
      <c r="F36" s="19" t="s">
        <v>189</v>
      </c>
      <c r="G36" s="22" t="s">
        <v>189</v>
      </c>
      <c r="H36" s="23" t="s">
        <v>190</v>
      </c>
      <c r="I36" s="19" t="s">
        <v>191</v>
      </c>
      <c r="J36" s="19"/>
      <c r="K36" s="23">
        <f xml:space="preserve"> LEN(C36)</f>
        <v>3</v>
      </c>
      <c r="L36" s="24"/>
      <c r="M36" s="19" t="str">
        <f t="shared" si="10"/>
        <v>iak</v>
      </c>
      <c r="N36" s="19" t="str">
        <f t="shared" si="11"/>
        <v>ㄧㄚㆻ</v>
      </c>
      <c r="P36" s="3" t="str">
        <f t="shared" si="5"/>
        <v>iak(\d)</v>
      </c>
      <c r="Q36" s="3" t="str">
        <f t="shared" si="6"/>
        <v>ㄧㄚㆻ</v>
      </c>
      <c r="R36" s="25"/>
      <c r="S36" s="26" t="str">
        <f t="shared" si="7"/>
        <v xml:space="preserve">    - xform/》iak(\d)/ㄧㄚㆻ》$1/</v>
      </c>
    </row>
    <row r="37" spans="1:19" ht="27.75" thickBot="1">
      <c r="A37" s="19">
        <v>39</v>
      </c>
      <c r="B37" s="20" t="s">
        <v>192</v>
      </c>
      <c r="C37" s="21" t="s">
        <v>193</v>
      </c>
      <c r="D37" s="19" t="s">
        <v>193</v>
      </c>
      <c r="E37" s="19" t="s">
        <v>193</v>
      </c>
      <c r="F37" s="19" t="s">
        <v>194</v>
      </c>
      <c r="G37" s="22" t="s">
        <v>193</v>
      </c>
      <c r="H37" s="23" t="s">
        <v>195</v>
      </c>
      <c r="I37" s="19" t="s">
        <v>196</v>
      </c>
      <c r="J37" s="19"/>
      <c r="K37" s="23">
        <f xml:space="preserve"> LEN(C37)</f>
        <v>3</v>
      </c>
      <c r="L37" s="24"/>
      <c r="M37" s="19" t="str">
        <f t="shared" si="10"/>
        <v>iau</v>
      </c>
      <c r="N37" s="19" t="str">
        <f t="shared" si="11"/>
        <v>ㄧㄠ</v>
      </c>
      <c r="P37" s="3" t="str">
        <f t="shared" si="5"/>
        <v>iau(\d)</v>
      </c>
      <c r="Q37" s="3" t="str">
        <f t="shared" si="6"/>
        <v>ㄧㄠ</v>
      </c>
      <c r="R37" s="25"/>
      <c r="S37" s="26" t="str">
        <f t="shared" si="7"/>
        <v xml:space="preserve">    - xform/》iau(\d)/ㄧㄠ》$1/</v>
      </c>
    </row>
    <row r="38" spans="1:19" ht="27.75" thickBot="1">
      <c r="A38" s="19">
        <v>44</v>
      </c>
      <c r="B38" s="20" t="s">
        <v>220</v>
      </c>
      <c r="C38" s="21" t="s">
        <v>221</v>
      </c>
      <c r="D38" s="19" t="s">
        <v>221</v>
      </c>
      <c r="E38" s="19" t="s">
        <v>222</v>
      </c>
      <c r="F38" s="19" t="s">
        <v>221</v>
      </c>
      <c r="G38" s="22" t="s">
        <v>221</v>
      </c>
      <c r="H38" s="23" t="s">
        <v>223</v>
      </c>
      <c r="I38" s="19" t="s">
        <v>224</v>
      </c>
      <c r="J38" s="19"/>
      <c r="K38" s="23">
        <f xml:space="preserve"> LEN(C38)</f>
        <v>3</v>
      </c>
      <c r="L38" s="24"/>
      <c r="M38" s="19" t="str">
        <f t="shared" si="10"/>
        <v>iorh</v>
      </c>
      <c r="N38" s="19" t="str">
        <f t="shared" si="11"/>
        <v>ㄧㄜㆷ</v>
      </c>
      <c r="P38" s="3" t="str">
        <f t="shared" si="5"/>
        <v>iorh(\d)</v>
      </c>
      <c r="Q38" s="3" t="str">
        <f t="shared" si="6"/>
        <v>ㄧㄜㆷ</v>
      </c>
      <c r="R38" s="25"/>
      <c r="S38" s="26" t="str">
        <f t="shared" si="7"/>
        <v xml:space="preserve">    - xform/》iorh(\d)/ㄧㄜㆷ》$1/</v>
      </c>
    </row>
    <row r="39" spans="1:19" ht="27.75" thickBot="1">
      <c r="A39" s="19">
        <v>46</v>
      </c>
      <c r="B39" s="20" t="s">
        <v>229</v>
      </c>
      <c r="C39" s="21" t="s">
        <v>230</v>
      </c>
      <c r="D39" s="19" t="s">
        <v>230</v>
      </c>
      <c r="E39" s="19" t="s">
        <v>231</v>
      </c>
      <c r="F39" s="19" t="s">
        <v>230</v>
      </c>
      <c r="G39" s="22" t="s">
        <v>230</v>
      </c>
      <c r="H39" s="23" t="s">
        <v>232</v>
      </c>
      <c r="I39" s="19" t="s">
        <v>233</v>
      </c>
      <c r="J39" s="19"/>
      <c r="K39" s="23">
        <f xml:space="preserve"> LEN(C39)</f>
        <v>3</v>
      </c>
      <c r="L39" s="24"/>
      <c r="M39" s="19" t="str">
        <f t="shared" si="10"/>
        <v>iook</v>
      </c>
      <c r="N39" s="19" t="str">
        <f t="shared" si="11"/>
        <v>ㄧㆦㆻ</v>
      </c>
      <c r="P39" s="3" t="str">
        <f t="shared" si="5"/>
        <v>iook(\d)</v>
      </c>
      <c r="Q39" s="3" t="str">
        <f t="shared" si="6"/>
        <v>ㄧㆦㆻ</v>
      </c>
      <c r="R39" s="25"/>
      <c r="S39" s="26" t="str">
        <f t="shared" si="7"/>
        <v xml:space="preserve">    - xform/》iook(\d)/ㄧㆦㆻ》$1/</v>
      </c>
    </row>
    <row r="40" spans="1:19" ht="27.75" thickBot="1">
      <c r="A40" s="19">
        <v>52</v>
      </c>
      <c r="B40" s="20" t="s">
        <v>259</v>
      </c>
      <c r="C40" s="21" t="s">
        <v>260</v>
      </c>
      <c r="D40" s="19" t="s">
        <v>260</v>
      </c>
      <c r="E40" s="19" t="s">
        <v>261</v>
      </c>
      <c r="F40" s="19" t="s">
        <v>262</v>
      </c>
      <c r="G40" s="22" t="s">
        <v>547</v>
      </c>
      <c r="H40" s="23" t="s">
        <v>264</v>
      </c>
      <c r="I40" s="19" t="s">
        <v>265</v>
      </c>
      <c r="J40" s="19"/>
      <c r="K40" s="23">
        <f xml:space="preserve"> LEN(C40)</f>
        <v>3</v>
      </c>
      <c r="L40" s="24"/>
      <c r="M40" s="19" t="str">
        <f t="shared" si="10"/>
        <v>oonn</v>
      </c>
      <c r="N40" s="19" t="str">
        <f t="shared" si="11"/>
        <v>ㆧ</v>
      </c>
      <c r="P40" s="3" t="str">
        <f t="shared" si="5"/>
        <v>oonn(\d)</v>
      </c>
      <c r="Q40" s="3" t="str">
        <f t="shared" si="6"/>
        <v>ㆧ</v>
      </c>
      <c r="R40" s="25"/>
      <c r="S40" s="26" t="str">
        <f t="shared" si="7"/>
        <v xml:space="preserve">    - xform/》oonn(\d)/ㆧ》$1/</v>
      </c>
    </row>
    <row r="41" spans="1:19" ht="30.75" thickBot="1">
      <c r="A41" s="19">
        <v>54</v>
      </c>
      <c r="B41" s="20" t="s">
        <v>271</v>
      </c>
      <c r="C41" s="21" t="s">
        <v>272</v>
      </c>
      <c r="D41" s="31" t="s">
        <v>272</v>
      </c>
      <c r="E41" s="31" t="s">
        <v>272</v>
      </c>
      <c r="F41" s="31" t="s">
        <v>272</v>
      </c>
      <c r="G41" s="31" t="s">
        <v>273</v>
      </c>
      <c r="H41" s="32" t="s">
        <v>274</v>
      </c>
      <c r="I41" s="34" t="s">
        <v>275</v>
      </c>
      <c r="J41" s="19"/>
      <c r="K41" s="23">
        <f xml:space="preserve"> LEN(C41)</f>
        <v>3</v>
      </c>
      <c r="L41" s="24"/>
      <c r="M41" s="19" t="str">
        <f t="shared" si="10"/>
        <v>ooh</v>
      </c>
      <c r="N41" s="19" t="str">
        <f t="shared" si="11"/>
        <v>ㆦㆷ</v>
      </c>
      <c r="P41" s="3" t="str">
        <f t="shared" si="5"/>
        <v>ooh(\d)</v>
      </c>
      <c r="Q41" s="3" t="str">
        <f t="shared" si="6"/>
        <v>ㆦㆷ</v>
      </c>
      <c r="R41" s="25"/>
      <c r="S41" s="26" t="str">
        <f t="shared" si="7"/>
        <v xml:space="preserve">    - xform/》ooh(\d)/ㆦㆷ》$1/</v>
      </c>
    </row>
    <row r="42" spans="1:19" ht="27.75" thickBot="1">
      <c r="A42" s="19">
        <v>57</v>
      </c>
      <c r="B42" s="20" t="s">
        <v>287</v>
      </c>
      <c r="C42" s="21" t="s">
        <v>288</v>
      </c>
      <c r="D42" s="19" t="s">
        <v>288</v>
      </c>
      <c r="E42" s="19" t="s">
        <v>288</v>
      </c>
      <c r="F42" s="19" t="s">
        <v>288</v>
      </c>
      <c r="G42" s="22" t="s">
        <v>288</v>
      </c>
      <c r="H42" s="23" t="s">
        <v>289</v>
      </c>
      <c r="I42" s="19" t="s">
        <v>290</v>
      </c>
      <c r="J42" s="19"/>
      <c r="K42" s="23">
        <f xml:space="preserve"> LEN(C42)</f>
        <v>3</v>
      </c>
      <c r="L42" s="24"/>
      <c r="M42" s="19" t="str">
        <f t="shared" si="10"/>
        <v>ong</v>
      </c>
      <c r="N42" s="19" t="str">
        <f t="shared" si="11"/>
        <v>ㆲ</v>
      </c>
      <c r="P42" s="3" t="str">
        <f t="shared" si="5"/>
        <v>ong(\d)</v>
      </c>
      <c r="Q42" s="3" t="str">
        <f t="shared" si="6"/>
        <v>ㆲ</v>
      </c>
      <c r="R42" s="25"/>
      <c r="S42" s="26" t="str">
        <f t="shared" si="7"/>
        <v xml:space="preserve">    - xform/》ong(\d)/ㆲ》$1/</v>
      </c>
    </row>
    <row r="43" spans="1:19" ht="27.75" thickBot="1">
      <c r="A43" s="19">
        <v>66</v>
      </c>
      <c r="B43" s="20" t="s">
        <v>324</v>
      </c>
      <c r="C43" s="21" t="s">
        <v>325</v>
      </c>
      <c r="D43" s="19" t="s">
        <v>325</v>
      </c>
      <c r="E43" s="19" t="s">
        <v>325</v>
      </c>
      <c r="F43" s="19" t="s">
        <v>325</v>
      </c>
      <c r="G43" s="22" t="s">
        <v>326</v>
      </c>
      <c r="H43" s="23" t="s">
        <v>327</v>
      </c>
      <c r="I43" s="19" t="s">
        <v>328</v>
      </c>
      <c r="J43" s="19"/>
      <c r="K43" s="23">
        <f xml:space="preserve"> LEN(C43)</f>
        <v>3</v>
      </c>
      <c r="L43" s="24"/>
      <c r="M43" s="19" t="str">
        <f t="shared" si="10"/>
        <v>uah</v>
      </c>
      <c r="N43" s="19" t="str">
        <f t="shared" si="11"/>
        <v>ㄨㄚㆷ</v>
      </c>
      <c r="P43" s="3" t="str">
        <f t="shared" si="5"/>
        <v>uah(\d)</v>
      </c>
      <c r="Q43" s="3" t="str">
        <f t="shared" si="6"/>
        <v>ㄨㄚㆷ</v>
      </c>
      <c r="R43" s="25"/>
      <c r="S43" s="26" t="str">
        <f t="shared" si="7"/>
        <v xml:space="preserve">    - xform/》uah(\d)/ㄨㄚㆷ》$1/</v>
      </c>
    </row>
    <row r="44" spans="1:19" ht="27.75" thickBot="1">
      <c r="A44" s="19">
        <v>67</v>
      </c>
      <c r="B44" s="20" t="s">
        <v>329</v>
      </c>
      <c r="C44" s="21" t="s">
        <v>329</v>
      </c>
      <c r="D44" s="19" t="s">
        <v>329</v>
      </c>
      <c r="E44" s="19" t="s">
        <v>329</v>
      </c>
      <c r="F44" s="19" t="s">
        <v>329</v>
      </c>
      <c r="G44" s="22" t="s">
        <v>330</v>
      </c>
      <c r="H44" s="23" t="s">
        <v>331</v>
      </c>
      <c r="I44" s="19" t="s">
        <v>332</v>
      </c>
      <c r="J44" s="19"/>
      <c r="K44" s="23">
        <f xml:space="preserve"> LEN(C44)</f>
        <v>3</v>
      </c>
      <c r="L44" s="24"/>
      <c r="M44" s="19" t="str">
        <f t="shared" si="10"/>
        <v>uan</v>
      </c>
      <c r="N44" s="19" t="str">
        <f t="shared" si="11"/>
        <v>ㄨㄢ</v>
      </c>
      <c r="P44" s="3" t="str">
        <f t="shared" si="5"/>
        <v>uan(\d)</v>
      </c>
      <c r="Q44" s="3" t="str">
        <f t="shared" si="6"/>
        <v>ㄨㄢ</v>
      </c>
      <c r="R44" s="25"/>
      <c r="S44" s="26" t="str">
        <f t="shared" si="7"/>
        <v xml:space="preserve">    - xform/》uan(\d)/ㄨㄢ》$1/</v>
      </c>
    </row>
    <row r="45" spans="1:19" ht="27.75" thickBot="1">
      <c r="A45" s="19">
        <v>69</v>
      </c>
      <c r="B45" s="20" t="s">
        <v>338</v>
      </c>
      <c r="C45" s="21" t="s">
        <v>339</v>
      </c>
      <c r="D45" s="19" t="s">
        <v>339</v>
      </c>
      <c r="E45" s="19" t="s">
        <v>339</v>
      </c>
      <c r="F45" s="19" t="s">
        <v>339</v>
      </c>
      <c r="G45" s="22" t="s">
        <v>340</v>
      </c>
      <c r="H45" s="23" t="s">
        <v>341</v>
      </c>
      <c r="I45" s="19" t="s">
        <v>342</v>
      </c>
      <c r="J45" s="19"/>
      <c r="K45" s="23">
        <f xml:space="preserve"> LEN(C45)</f>
        <v>3</v>
      </c>
      <c r="L45" s="24"/>
      <c r="M45" s="19" t="str">
        <f t="shared" si="10"/>
        <v>uat</v>
      </c>
      <c r="N45" s="19" t="str">
        <f t="shared" si="11"/>
        <v>ㄨㄚㆵ</v>
      </c>
      <c r="P45" s="3" t="str">
        <f t="shared" si="5"/>
        <v>uat(\d)</v>
      </c>
      <c r="Q45" s="3" t="str">
        <f t="shared" si="6"/>
        <v>ㄨㄚㆵ</v>
      </c>
      <c r="R45" s="25"/>
      <c r="S45" s="26" t="str">
        <f t="shared" si="7"/>
        <v xml:space="preserve">    - xform/》uat(\d)/ㄨㄚㆵ》$1/</v>
      </c>
    </row>
    <row r="46" spans="1:19" ht="27.75" thickBot="1">
      <c r="A46" s="19">
        <v>70</v>
      </c>
      <c r="B46" s="20" t="s">
        <v>343</v>
      </c>
      <c r="C46" s="21" t="s">
        <v>343</v>
      </c>
      <c r="D46" s="19" t="s">
        <v>343</v>
      </c>
      <c r="E46" s="19" t="s">
        <v>343</v>
      </c>
      <c r="F46" s="19" t="s">
        <v>343</v>
      </c>
      <c r="G46" s="22" t="s">
        <v>344</v>
      </c>
      <c r="H46" s="23" t="s">
        <v>345</v>
      </c>
      <c r="I46" s="19" t="s">
        <v>346</v>
      </c>
      <c r="J46" s="19"/>
      <c r="K46" s="23">
        <f xml:space="preserve"> LEN(C46)</f>
        <v>3</v>
      </c>
      <c r="L46" s="24"/>
      <c r="M46" s="19" t="str">
        <f t="shared" si="10"/>
        <v>uai</v>
      </c>
      <c r="N46" s="19" t="str">
        <f t="shared" si="11"/>
        <v>ㄨㄞ</v>
      </c>
      <c r="P46" s="3" t="str">
        <f t="shared" si="5"/>
        <v>uai(\d)</v>
      </c>
      <c r="Q46" s="3" t="str">
        <f t="shared" si="6"/>
        <v>ㄨㄞ</v>
      </c>
      <c r="R46" s="25"/>
      <c r="S46" s="26" t="str">
        <f t="shared" si="7"/>
        <v xml:space="preserve">    - xform/》uai(\d)/ㄨㄞ》$1/</v>
      </c>
    </row>
    <row r="47" spans="1:19" ht="27.75" thickBot="1">
      <c r="A47" s="19">
        <v>75</v>
      </c>
      <c r="B47" s="20" t="s">
        <v>368</v>
      </c>
      <c r="C47" s="21" t="s">
        <v>369</v>
      </c>
      <c r="D47" s="19" t="s">
        <v>369</v>
      </c>
      <c r="E47" s="19" t="s">
        <v>369</v>
      </c>
      <c r="F47" s="19" t="s">
        <v>369</v>
      </c>
      <c r="G47" s="22" t="s">
        <v>370</v>
      </c>
      <c r="H47" s="23" t="s">
        <v>371</v>
      </c>
      <c r="I47" s="19" t="s">
        <v>372</v>
      </c>
      <c r="J47" s="19"/>
      <c r="K47" s="23">
        <f xml:space="preserve"> LEN(C47)</f>
        <v>3</v>
      </c>
      <c r="L47" s="24"/>
      <c r="M47" s="19" t="str">
        <f t="shared" si="10"/>
        <v>ueh</v>
      </c>
      <c r="N47" s="19" t="str">
        <f t="shared" si="11"/>
        <v>ㄨㆤㆷ</v>
      </c>
      <c r="P47" s="3" t="str">
        <f t="shared" si="5"/>
        <v>ueh(\d)</v>
      </c>
      <c r="Q47" s="3" t="str">
        <f t="shared" si="6"/>
        <v>ㄨㆤㆷ</v>
      </c>
      <c r="R47" s="25"/>
      <c r="S47" s="26" t="str">
        <f t="shared" si="7"/>
        <v xml:space="preserve">    - xform/》ueh(\d)/ㄨㆤㆷ》$1/</v>
      </c>
    </row>
    <row r="48" spans="1:19" ht="27.75" thickBot="1">
      <c r="A48" s="19">
        <v>82</v>
      </c>
      <c r="B48" s="20" t="s">
        <v>398</v>
      </c>
      <c r="C48" s="21" t="s">
        <v>399</v>
      </c>
      <c r="D48" s="31" t="s">
        <v>399</v>
      </c>
      <c r="E48" s="31" t="s">
        <v>399</v>
      </c>
      <c r="F48" s="31" t="s">
        <v>399</v>
      </c>
      <c r="G48" s="31" t="s">
        <v>399</v>
      </c>
      <c r="H48" s="35" t="s">
        <v>400</v>
      </c>
      <c r="I48" s="34" t="s">
        <v>401</v>
      </c>
      <c r="J48" s="19"/>
      <c r="K48" s="23">
        <f xml:space="preserve"> LEN(C48)</f>
        <v>3</v>
      </c>
      <c r="L48" s="24"/>
      <c r="M48" s="19" t="str">
        <f t="shared" si="10"/>
        <v>ngh</v>
      </c>
      <c r="N48" s="19" t="str">
        <f t="shared" si="11"/>
        <v>ㆭㆷ</v>
      </c>
      <c r="P48" s="3" t="str">
        <f t="shared" si="5"/>
        <v>ngh(\d)</v>
      </c>
      <c r="Q48" s="3" t="str">
        <f t="shared" si="6"/>
        <v>ㆭㆷ</v>
      </c>
      <c r="R48" s="25"/>
      <c r="S48" s="26" t="str">
        <f t="shared" si="7"/>
        <v xml:space="preserve">    - xform/》ngh(\d)/ㆭㆷ》$1/</v>
      </c>
    </row>
    <row r="49" spans="1:19" ht="27.75" thickBot="1">
      <c r="A49" s="19">
        <v>3</v>
      </c>
      <c r="B49" s="20" t="s">
        <v>34</v>
      </c>
      <c r="C49" s="21" t="s">
        <v>35</v>
      </c>
      <c r="D49" s="19" t="s">
        <v>35</v>
      </c>
      <c r="E49" s="19" t="s">
        <v>35</v>
      </c>
      <c r="F49" s="19" t="s">
        <v>35</v>
      </c>
      <c r="G49" s="22" t="s">
        <v>35</v>
      </c>
      <c r="H49" s="23" t="s">
        <v>36</v>
      </c>
      <c r="I49" s="19" t="s">
        <v>37</v>
      </c>
      <c r="J49" s="19"/>
      <c r="K49" s="23">
        <f xml:space="preserve"> LEN(C49)</f>
        <v>2</v>
      </c>
      <c r="L49" s="24"/>
      <c r="M49" s="19" t="str">
        <f t="shared" si="10"/>
        <v>ah</v>
      </c>
      <c r="N49" s="19" t="str">
        <f t="shared" si="11"/>
        <v>ㄚㆷ</v>
      </c>
      <c r="P49" s="3" t="str">
        <f t="shared" si="5"/>
        <v>ah(\d)</v>
      </c>
      <c r="Q49" s="3" t="str">
        <f t="shared" si="6"/>
        <v>ㄚㆷ</v>
      </c>
      <c r="R49" s="25"/>
      <c r="S49" s="26" t="str">
        <f t="shared" si="7"/>
        <v xml:space="preserve">    - xform/》ah(\d)/ㄚㆷ》$1/</v>
      </c>
    </row>
    <row r="50" spans="1:19" ht="27.75" thickBot="1">
      <c r="A50" s="19">
        <v>5</v>
      </c>
      <c r="B50" s="20" t="s">
        <v>47</v>
      </c>
      <c r="C50" s="21" t="s">
        <v>47</v>
      </c>
      <c r="D50" s="19" t="s">
        <v>47</v>
      </c>
      <c r="E50" s="19" t="s">
        <v>47</v>
      </c>
      <c r="F50" s="19" t="s">
        <v>47</v>
      </c>
      <c r="G50" s="22" t="s">
        <v>47</v>
      </c>
      <c r="H50" s="23" t="s">
        <v>48</v>
      </c>
      <c r="I50" s="19" t="s">
        <v>49</v>
      </c>
      <c r="J50" s="19"/>
      <c r="K50" s="23">
        <f xml:space="preserve"> LEN(C50)</f>
        <v>2</v>
      </c>
      <c r="L50" s="24"/>
      <c r="M50" s="19" t="str">
        <f t="shared" si="10"/>
        <v>am</v>
      </c>
      <c r="N50" s="19" t="str">
        <f t="shared" si="11"/>
        <v>ㆰ</v>
      </c>
      <c r="P50" s="3" t="str">
        <f t="shared" si="5"/>
        <v>am(\d)</v>
      </c>
      <c r="Q50" s="3" t="str">
        <f t="shared" si="6"/>
        <v>ㆰ</v>
      </c>
      <c r="R50" s="25"/>
      <c r="S50" s="26" t="str">
        <f t="shared" si="7"/>
        <v xml:space="preserve">    - xform/》am(\d)/ㆰ》$1/</v>
      </c>
    </row>
    <row r="51" spans="1:19" ht="27.75" thickBot="1">
      <c r="A51" s="19">
        <v>6</v>
      </c>
      <c r="B51" s="20" t="s">
        <v>51</v>
      </c>
      <c r="C51" s="21" t="s">
        <v>51</v>
      </c>
      <c r="D51" s="19" t="s">
        <v>51</v>
      </c>
      <c r="E51" s="19" t="s">
        <v>51</v>
      </c>
      <c r="F51" s="19" t="s">
        <v>51</v>
      </c>
      <c r="G51" s="22" t="s">
        <v>51</v>
      </c>
      <c r="H51" s="23" t="s">
        <v>52</v>
      </c>
      <c r="I51" s="19" t="s">
        <v>53</v>
      </c>
      <c r="J51" s="19"/>
      <c r="K51" s="23">
        <f xml:space="preserve"> LEN(C51)</f>
        <v>2</v>
      </c>
      <c r="L51" s="24"/>
      <c r="M51" s="19" t="str">
        <f t="shared" si="10"/>
        <v>an</v>
      </c>
      <c r="N51" s="19" t="str">
        <f t="shared" si="11"/>
        <v>ㄢ</v>
      </c>
      <c r="P51" s="3" t="str">
        <f t="shared" si="5"/>
        <v>an(\d)</v>
      </c>
      <c r="Q51" s="3" t="str">
        <f t="shared" si="6"/>
        <v>ㄢ</v>
      </c>
      <c r="R51" s="25"/>
      <c r="S51" s="26" t="str">
        <f t="shared" si="7"/>
        <v xml:space="preserve">    - xform/》an(\d)/ㄢ》$1/</v>
      </c>
    </row>
    <row r="52" spans="1:19" ht="27.75" thickBot="1">
      <c r="A52" s="19">
        <v>8</v>
      </c>
      <c r="B52" s="20" t="s">
        <v>60</v>
      </c>
      <c r="C52" s="21" t="s">
        <v>61</v>
      </c>
      <c r="D52" s="19" t="s">
        <v>61</v>
      </c>
      <c r="E52" s="19" t="s">
        <v>61</v>
      </c>
      <c r="F52" s="19" t="s">
        <v>61</v>
      </c>
      <c r="G52" s="22" t="s">
        <v>61</v>
      </c>
      <c r="H52" s="23" t="s">
        <v>62</v>
      </c>
      <c r="I52" s="19" t="s">
        <v>63</v>
      </c>
      <c r="J52" s="19"/>
      <c r="K52" s="23">
        <f xml:space="preserve"> LEN(C52)</f>
        <v>2</v>
      </c>
      <c r="L52" s="24"/>
      <c r="M52" s="19" t="str">
        <f t="shared" si="10"/>
        <v>ap</v>
      </c>
      <c r="N52" s="19" t="str">
        <f t="shared" si="11"/>
        <v>ㄚㆴ</v>
      </c>
      <c r="P52" s="3" t="str">
        <f t="shared" si="5"/>
        <v>ap(\d)</v>
      </c>
      <c r="Q52" s="3" t="str">
        <f t="shared" si="6"/>
        <v>ㄚㆴ</v>
      </c>
      <c r="R52" s="25"/>
      <c r="S52" s="26" t="str">
        <f t="shared" si="7"/>
        <v xml:space="preserve">    - xform/》ap(\d)/ㄚㆴ》$1/</v>
      </c>
    </row>
    <row r="53" spans="1:19" ht="27.75" thickBot="1">
      <c r="A53" s="19">
        <v>9</v>
      </c>
      <c r="B53" s="20" t="s">
        <v>64</v>
      </c>
      <c r="C53" s="21" t="s">
        <v>65</v>
      </c>
      <c r="D53" s="19" t="s">
        <v>65</v>
      </c>
      <c r="E53" s="19" t="s">
        <v>65</v>
      </c>
      <c r="F53" s="19" t="s">
        <v>65</v>
      </c>
      <c r="G53" s="22" t="s">
        <v>65</v>
      </c>
      <c r="H53" s="23" t="s">
        <v>66</v>
      </c>
      <c r="I53" s="19" t="s">
        <v>67</v>
      </c>
      <c r="J53" s="19"/>
      <c r="K53" s="23">
        <f xml:space="preserve"> LEN(C53)</f>
        <v>2</v>
      </c>
      <c r="L53" s="24"/>
      <c r="M53" s="19" t="str">
        <f t="shared" si="10"/>
        <v>at</v>
      </c>
      <c r="N53" s="19" t="str">
        <f t="shared" si="11"/>
        <v>ㄚㆵ</v>
      </c>
      <c r="P53" s="3" t="str">
        <f t="shared" si="5"/>
        <v>at(\d)</v>
      </c>
      <c r="Q53" s="3" t="str">
        <f t="shared" si="6"/>
        <v>ㄚㆵ</v>
      </c>
      <c r="R53" s="25"/>
      <c r="S53" s="26" t="str">
        <f t="shared" si="7"/>
        <v xml:space="preserve">    - xform/》at(\d)/ㄚㆵ》$1/</v>
      </c>
    </row>
    <row r="54" spans="1:19" ht="27.75" thickBot="1">
      <c r="A54" s="19">
        <v>10</v>
      </c>
      <c r="B54" s="20" t="s">
        <v>68</v>
      </c>
      <c r="C54" s="21" t="s">
        <v>69</v>
      </c>
      <c r="D54" s="19" t="s">
        <v>69</v>
      </c>
      <c r="E54" s="19" t="s">
        <v>69</v>
      </c>
      <c r="F54" s="19" t="s">
        <v>69</v>
      </c>
      <c r="G54" s="22" t="s">
        <v>69</v>
      </c>
      <c r="H54" s="23" t="s">
        <v>70</v>
      </c>
      <c r="I54" s="19" t="s">
        <v>71</v>
      </c>
      <c r="J54" s="19"/>
      <c r="K54" s="23">
        <f xml:space="preserve"> LEN(C54)</f>
        <v>2</v>
      </c>
      <c r="L54" s="24"/>
      <c r="M54" s="19" t="str">
        <f t="shared" si="10"/>
        <v>ak</v>
      </c>
      <c r="N54" s="19" t="str">
        <f t="shared" si="11"/>
        <v>ㄚㆻ</v>
      </c>
      <c r="P54" s="3" t="str">
        <f t="shared" si="5"/>
        <v>ak(\d)</v>
      </c>
      <c r="Q54" s="3" t="str">
        <f t="shared" si="6"/>
        <v>ㄚㆻ</v>
      </c>
      <c r="R54" s="25"/>
      <c r="S54" s="26" t="str">
        <f t="shared" si="7"/>
        <v xml:space="preserve">    - xform/》ak(\d)/ㄚㆻ》$1/</v>
      </c>
    </row>
    <row r="55" spans="1:19" ht="27.75" thickBot="1">
      <c r="A55" s="19">
        <v>11</v>
      </c>
      <c r="B55" s="20" t="s">
        <v>72</v>
      </c>
      <c r="C55" s="21" t="s">
        <v>73</v>
      </c>
      <c r="D55" s="19" t="s">
        <v>73</v>
      </c>
      <c r="E55" s="19" t="s">
        <v>73</v>
      </c>
      <c r="F55" s="19" t="s">
        <v>73</v>
      </c>
      <c r="G55" s="22" t="s">
        <v>73</v>
      </c>
      <c r="H55" s="23" t="s">
        <v>74</v>
      </c>
      <c r="I55" s="19" t="s">
        <v>75</v>
      </c>
      <c r="J55" s="19"/>
      <c r="K55" s="23">
        <f xml:space="preserve"> LEN(C55)</f>
        <v>2</v>
      </c>
      <c r="L55" s="24"/>
      <c r="M55" s="19" t="str">
        <f t="shared" si="10"/>
        <v>ai</v>
      </c>
      <c r="N55" s="19" t="str">
        <f t="shared" si="11"/>
        <v>ㄞ</v>
      </c>
      <c r="P55" s="3" t="str">
        <f t="shared" si="5"/>
        <v>ai(\d)</v>
      </c>
      <c r="Q55" s="3" t="str">
        <f t="shared" si="6"/>
        <v>ㄞ</v>
      </c>
      <c r="R55" s="25"/>
      <c r="S55" s="26" t="str">
        <f t="shared" si="7"/>
        <v xml:space="preserve">    - xform/》ai(\d)/ㄞ》$1/</v>
      </c>
    </row>
    <row r="56" spans="1:19" ht="27.75" thickBot="1">
      <c r="A56" s="19">
        <v>14</v>
      </c>
      <c r="B56" s="20" t="s">
        <v>86</v>
      </c>
      <c r="C56" s="21" t="s">
        <v>86</v>
      </c>
      <c r="D56" s="19" t="s">
        <v>86</v>
      </c>
      <c r="E56" s="19" t="s">
        <v>86</v>
      </c>
      <c r="F56" s="19" t="s">
        <v>87</v>
      </c>
      <c r="G56" s="22" t="s">
        <v>86</v>
      </c>
      <c r="H56" s="23" t="s">
        <v>88</v>
      </c>
      <c r="I56" s="19" t="s">
        <v>89</v>
      </c>
      <c r="J56" s="19"/>
      <c r="K56" s="23">
        <f xml:space="preserve"> LEN(C56)</f>
        <v>2</v>
      </c>
      <c r="L56" s="24"/>
      <c r="M56" s="19" t="str">
        <f t="shared" si="10"/>
        <v>au</v>
      </c>
      <c r="N56" s="19" t="str">
        <f t="shared" si="11"/>
        <v>ㄠ</v>
      </c>
      <c r="P56" s="3" t="str">
        <f t="shared" si="5"/>
        <v>au(\d)</v>
      </c>
      <c r="Q56" s="3" t="str">
        <f t="shared" si="6"/>
        <v>ㄠ</v>
      </c>
      <c r="R56" s="25"/>
      <c r="S56" s="26" t="str">
        <f t="shared" si="7"/>
        <v xml:space="preserve">    - xform/》au(\d)/ㄠ》$1/</v>
      </c>
    </row>
    <row r="57" spans="1:19" ht="27.75" thickBot="1">
      <c r="A57" s="19">
        <v>18</v>
      </c>
      <c r="B57" s="20" t="s">
        <v>105</v>
      </c>
      <c r="C57" s="21" t="s">
        <v>106</v>
      </c>
      <c r="D57" s="19" t="s">
        <v>106</v>
      </c>
      <c r="E57" s="19" t="s">
        <v>106</v>
      </c>
      <c r="F57" s="19" t="s">
        <v>106</v>
      </c>
      <c r="G57" s="22" t="s">
        <v>106</v>
      </c>
      <c r="H57" s="23" t="s">
        <v>107</v>
      </c>
      <c r="I57" s="19" t="s">
        <v>108</v>
      </c>
      <c r="J57" s="19"/>
      <c r="K57" s="23">
        <f xml:space="preserve"> LEN(C57)</f>
        <v>2</v>
      </c>
      <c r="L57" s="24"/>
      <c r="M57" s="19" t="str">
        <f t="shared" si="10"/>
        <v>eh</v>
      </c>
      <c r="N57" s="19" t="str">
        <f t="shared" si="11"/>
        <v>ㆤㆷ</v>
      </c>
      <c r="P57" s="3" t="str">
        <f t="shared" si="5"/>
        <v>eh(\d)</v>
      </c>
      <c r="Q57" s="3" t="str">
        <f t="shared" si="6"/>
        <v>ㆤㆷ</v>
      </c>
      <c r="R57" s="25"/>
      <c r="S57" s="26" t="str">
        <f t="shared" si="7"/>
        <v xml:space="preserve">    - xform/》eh(\d)/ㆤㆷ》$1/</v>
      </c>
    </row>
    <row r="58" spans="1:19" ht="27.75" thickBot="1">
      <c r="A58" s="19">
        <v>22</v>
      </c>
      <c r="B58" s="20" t="s">
        <v>122</v>
      </c>
      <c r="C58" s="21" t="s">
        <v>123</v>
      </c>
      <c r="D58" s="19" t="s">
        <v>123</v>
      </c>
      <c r="E58" s="19" t="s">
        <v>123</v>
      </c>
      <c r="F58" s="19" t="s">
        <v>123</v>
      </c>
      <c r="G58" s="22" t="s">
        <v>123</v>
      </c>
      <c r="H58" s="23" t="s">
        <v>124</v>
      </c>
      <c r="I58" s="19" t="s">
        <v>125</v>
      </c>
      <c r="J58" s="19"/>
      <c r="K58" s="23">
        <f xml:space="preserve"> LEN(C58)</f>
        <v>2</v>
      </c>
      <c r="L58" s="24"/>
      <c r="M58" s="19" t="str">
        <f t="shared" si="10"/>
        <v>ih</v>
      </c>
      <c r="N58" s="19" t="str">
        <f t="shared" si="11"/>
        <v>ㄧㆷ</v>
      </c>
      <c r="P58" s="3" t="str">
        <f t="shared" si="5"/>
        <v>ih(\d)</v>
      </c>
      <c r="Q58" s="3" t="str">
        <f t="shared" si="6"/>
        <v>ㄧㆷ</v>
      </c>
      <c r="R58" s="25"/>
      <c r="S58" s="26" t="str">
        <f t="shared" si="7"/>
        <v xml:space="preserve">    - xform/》ih(\d)/ㄧㆷ》$1/</v>
      </c>
    </row>
    <row r="59" spans="1:19" ht="27.75" thickBot="1">
      <c r="A59" s="19">
        <v>23</v>
      </c>
      <c r="B59" s="20" t="s">
        <v>126</v>
      </c>
      <c r="C59" s="21" t="s">
        <v>126</v>
      </c>
      <c r="D59" s="19" t="s">
        <v>126</v>
      </c>
      <c r="E59" s="19" t="s">
        <v>126</v>
      </c>
      <c r="F59" s="19" t="s">
        <v>126</v>
      </c>
      <c r="G59" s="22" t="s">
        <v>126</v>
      </c>
      <c r="H59" s="23" t="s">
        <v>127</v>
      </c>
      <c r="I59" s="19" t="s">
        <v>128</v>
      </c>
      <c r="J59" s="19"/>
      <c r="K59" s="23">
        <f xml:space="preserve"> LEN(C59)</f>
        <v>2</v>
      </c>
      <c r="L59" s="24"/>
      <c r="M59" s="19" t="str">
        <f t="shared" si="10"/>
        <v>im</v>
      </c>
      <c r="N59" s="19" t="str">
        <f t="shared" si="11"/>
        <v>ㄧㆬ</v>
      </c>
      <c r="P59" s="3" t="str">
        <f t="shared" si="5"/>
        <v>im(\d)</v>
      </c>
      <c r="Q59" s="3" t="str">
        <f t="shared" si="6"/>
        <v>ㄧㆬ</v>
      </c>
      <c r="R59" s="25"/>
      <c r="S59" s="26" t="str">
        <f t="shared" si="7"/>
        <v xml:space="preserve">    - xform/》im(\d)/ㄧㆬ》$1/</v>
      </c>
    </row>
    <row r="60" spans="1:19" ht="27.75" thickBot="1">
      <c r="A60" s="19">
        <v>24</v>
      </c>
      <c r="B60" s="20" t="s">
        <v>129</v>
      </c>
      <c r="C60" s="21" t="s">
        <v>129</v>
      </c>
      <c r="D60" s="19" t="s">
        <v>129</v>
      </c>
      <c r="E60" s="19" t="s">
        <v>129</v>
      </c>
      <c r="F60" s="19" t="s">
        <v>129</v>
      </c>
      <c r="G60" s="22" t="s">
        <v>129</v>
      </c>
      <c r="H60" s="23" t="s">
        <v>130</v>
      </c>
      <c r="I60" s="19" t="s">
        <v>131</v>
      </c>
      <c r="J60" s="19"/>
      <c r="K60" s="23">
        <f xml:space="preserve"> LEN(C60)</f>
        <v>2</v>
      </c>
      <c r="L60" s="24"/>
      <c r="M60" s="19" t="str">
        <f t="shared" si="10"/>
        <v>in</v>
      </c>
      <c r="N60" s="19" t="str">
        <f t="shared" si="11"/>
        <v>ㄧㄣ</v>
      </c>
      <c r="P60" s="3" t="str">
        <f t="shared" si="5"/>
        <v>in(\d)</v>
      </c>
      <c r="Q60" s="3" t="str">
        <f t="shared" si="6"/>
        <v>ㄧㄣ</v>
      </c>
      <c r="R60" s="25"/>
      <c r="S60" s="26" t="str">
        <f t="shared" si="7"/>
        <v xml:space="preserve">    - xform/》in(\d)/ㄧㄣ》$1/</v>
      </c>
    </row>
    <row r="61" spans="1:19" ht="27.75" thickBot="1">
      <c r="A61" s="19">
        <v>26</v>
      </c>
      <c r="B61" s="20" t="s">
        <v>137</v>
      </c>
      <c r="C61" s="21" t="s">
        <v>138</v>
      </c>
      <c r="D61" s="19" t="s">
        <v>138</v>
      </c>
      <c r="E61" s="19" t="s">
        <v>138</v>
      </c>
      <c r="F61" s="19" t="s">
        <v>138</v>
      </c>
      <c r="G61" s="22" t="s">
        <v>138</v>
      </c>
      <c r="H61" s="23" t="s">
        <v>139</v>
      </c>
      <c r="I61" s="19" t="s">
        <v>140</v>
      </c>
      <c r="J61" s="19"/>
      <c r="K61" s="23">
        <f xml:space="preserve"> LEN(C61)</f>
        <v>2</v>
      </c>
      <c r="L61" s="24"/>
      <c r="M61" s="19" t="str">
        <f t="shared" si="10"/>
        <v>ip</v>
      </c>
      <c r="N61" s="19" t="str">
        <f t="shared" si="11"/>
        <v>一ㆴ</v>
      </c>
      <c r="P61" s="3" t="str">
        <f t="shared" si="5"/>
        <v>ip(\d)</v>
      </c>
      <c r="Q61" s="3" t="str">
        <f t="shared" si="6"/>
        <v>一ㆴ</v>
      </c>
      <c r="R61" s="25"/>
      <c r="S61" s="26" t="str">
        <f t="shared" si="7"/>
        <v xml:space="preserve">    - xform/》ip(\d)/一ㆴ》$1/</v>
      </c>
    </row>
    <row r="62" spans="1:19" ht="27.75" thickBot="1">
      <c r="A62" s="19">
        <v>27</v>
      </c>
      <c r="B62" s="20" t="s">
        <v>141</v>
      </c>
      <c r="C62" s="21" t="s">
        <v>142</v>
      </c>
      <c r="D62" s="19" t="s">
        <v>142</v>
      </c>
      <c r="E62" s="19" t="s">
        <v>142</v>
      </c>
      <c r="F62" s="19" t="s">
        <v>142</v>
      </c>
      <c r="G62" s="22" t="s">
        <v>142</v>
      </c>
      <c r="H62" s="23" t="s">
        <v>143</v>
      </c>
      <c r="I62" s="19" t="s">
        <v>144</v>
      </c>
      <c r="J62" s="19"/>
      <c r="K62" s="23">
        <f xml:space="preserve"> LEN(C62)</f>
        <v>2</v>
      </c>
      <c r="L62" s="24"/>
      <c r="M62" s="19" t="str">
        <f t="shared" si="10"/>
        <v>it</v>
      </c>
      <c r="N62" s="19" t="str">
        <f t="shared" si="11"/>
        <v>ㄧㆵ</v>
      </c>
      <c r="P62" s="3" t="str">
        <f t="shared" si="5"/>
        <v>it(\d)</v>
      </c>
      <c r="Q62" s="3" t="str">
        <f t="shared" si="6"/>
        <v>ㄧㆵ</v>
      </c>
      <c r="R62" s="25"/>
      <c r="S62" s="26" t="str">
        <f t="shared" si="7"/>
        <v xml:space="preserve">    - xform/》it(\d)/ㄧㆵ》$1/</v>
      </c>
    </row>
    <row r="63" spans="1:19" ht="27.75" thickBot="1">
      <c r="A63" s="19">
        <v>28</v>
      </c>
      <c r="B63" s="20" t="s">
        <v>145</v>
      </c>
      <c r="C63" s="21" t="s">
        <v>146</v>
      </c>
      <c r="D63" s="19" t="s">
        <v>146</v>
      </c>
      <c r="E63" s="19" t="s">
        <v>146</v>
      </c>
      <c r="F63" s="19" t="s">
        <v>146</v>
      </c>
      <c r="G63" s="22" t="s">
        <v>147</v>
      </c>
      <c r="H63" s="23" t="s">
        <v>148</v>
      </c>
      <c r="I63" s="19" t="s">
        <v>149</v>
      </c>
      <c r="J63" s="19"/>
      <c r="K63" s="23">
        <f xml:space="preserve"> LEN(C63)</f>
        <v>2</v>
      </c>
      <c r="L63" s="24"/>
      <c r="M63" s="19" t="str">
        <f t="shared" si="10"/>
        <v>ik</v>
      </c>
      <c r="N63" s="19" t="str">
        <f t="shared" si="11"/>
        <v>ㄧㆻ</v>
      </c>
      <c r="P63" s="3" t="str">
        <f t="shared" si="5"/>
        <v>ik(\d)</v>
      </c>
      <c r="Q63" s="3" t="str">
        <f t="shared" si="6"/>
        <v>ㄧㆻ</v>
      </c>
      <c r="R63" s="25"/>
      <c r="S63" s="26" t="str">
        <f t="shared" si="7"/>
        <v xml:space="preserve">    - xform/》ik(\d)/ㄧㆻ》$1/</v>
      </c>
    </row>
    <row r="64" spans="1:19" ht="27.75" thickBot="1">
      <c r="A64" s="19">
        <v>29</v>
      </c>
      <c r="B64" s="20" t="s">
        <v>150</v>
      </c>
      <c r="C64" s="21" t="s">
        <v>151</v>
      </c>
      <c r="D64" s="19" t="s">
        <v>151</v>
      </c>
      <c r="E64" s="19" t="s">
        <v>151</v>
      </c>
      <c r="F64" s="19" t="s">
        <v>151</v>
      </c>
      <c r="G64" s="22" t="s">
        <v>151</v>
      </c>
      <c r="H64" s="23" t="s">
        <v>152</v>
      </c>
      <c r="I64" s="19" t="s">
        <v>153</v>
      </c>
      <c r="J64" s="19"/>
      <c r="K64" s="23">
        <f xml:space="preserve"> LEN(C64)</f>
        <v>2</v>
      </c>
      <c r="L64" s="24"/>
      <c r="M64" s="19" t="str">
        <f t="shared" si="10"/>
        <v>ia</v>
      </c>
      <c r="N64" s="19" t="str">
        <f t="shared" si="11"/>
        <v>ㄧㄚ</v>
      </c>
      <c r="P64" s="3" t="str">
        <f t="shared" si="5"/>
        <v>ia(\d)</v>
      </c>
      <c r="Q64" s="3" t="str">
        <f t="shared" si="6"/>
        <v>ㄧㄚ</v>
      </c>
      <c r="R64" s="25"/>
      <c r="S64" s="26" t="str">
        <f t="shared" si="7"/>
        <v xml:space="preserve">    - xform/》ia(\d)/ㄧㄚ》$1/</v>
      </c>
    </row>
    <row r="65" spans="1:19" ht="27.75" thickBot="1">
      <c r="A65" s="19">
        <v>42</v>
      </c>
      <c r="B65" s="20" t="s">
        <v>208</v>
      </c>
      <c r="C65" s="21" t="s">
        <v>209</v>
      </c>
      <c r="D65" s="19" t="s">
        <v>209</v>
      </c>
      <c r="E65" s="19" t="s">
        <v>210</v>
      </c>
      <c r="F65" s="19" t="s">
        <v>209</v>
      </c>
      <c r="G65" s="22" t="s">
        <v>209</v>
      </c>
      <c r="H65" s="23" t="s">
        <v>211</v>
      </c>
      <c r="I65" s="19" t="s">
        <v>212</v>
      </c>
      <c r="J65" s="19"/>
      <c r="K65" s="23">
        <f xml:space="preserve"> LEN(C65)</f>
        <v>2</v>
      </c>
      <c r="L65" s="24"/>
      <c r="M65" s="19" t="str">
        <f t="shared" si="10"/>
        <v>ior</v>
      </c>
      <c r="N65" s="19" t="str">
        <f t="shared" si="11"/>
        <v>ㄧㄜ</v>
      </c>
      <c r="P65" s="3" t="str">
        <f t="shared" si="5"/>
        <v>ior(\d)</v>
      </c>
      <c r="Q65" s="3" t="str">
        <f t="shared" si="6"/>
        <v>ㄧㄜ</v>
      </c>
      <c r="R65" s="25"/>
      <c r="S65" s="26" t="str">
        <f t="shared" si="7"/>
        <v xml:space="preserve">    - xform/》ior(\d)/ㄧㄜ》$1/</v>
      </c>
    </row>
    <row r="66" spans="1:19" ht="27.75" thickBot="1">
      <c r="A66" s="19">
        <v>47</v>
      </c>
      <c r="B66" s="20" t="s">
        <v>234</v>
      </c>
      <c r="C66" s="21" t="s">
        <v>234</v>
      </c>
      <c r="D66" s="19" t="s">
        <v>234</v>
      </c>
      <c r="E66" s="19" t="s">
        <v>234</v>
      </c>
      <c r="F66" s="19" t="s">
        <v>234</v>
      </c>
      <c r="G66" s="22" t="s">
        <v>234</v>
      </c>
      <c r="H66" s="23" t="s">
        <v>235</v>
      </c>
      <c r="I66" s="19" t="s">
        <v>236</v>
      </c>
      <c r="J66" s="19"/>
      <c r="K66" s="23">
        <f xml:space="preserve"> LEN(C66)</f>
        <v>2</v>
      </c>
      <c r="L66" s="24"/>
      <c r="M66" s="19" t="str">
        <f t="shared" si="10"/>
        <v>iu</v>
      </c>
      <c r="N66" s="19" t="str">
        <f t="shared" si="11"/>
        <v>ㄧㄨ</v>
      </c>
      <c r="P66" s="3" t="str">
        <f t="shared" si="5"/>
        <v>iu(\d)</v>
      </c>
      <c r="Q66" s="3" t="str">
        <f t="shared" si="6"/>
        <v>ㄧㄨ</v>
      </c>
      <c r="R66" s="25"/>
      <c r="S66" s="26" t="str">
        <f t="shared" si="7"/>
        <v xml:space="preserve">    - xform/》iu(\d)/ㄧㄨ》$1/</v>
      </c>
    </row>
    <row r="67" spans="1:19" ht="27.75" thickBot="1">
      <c r="A67" s="19">
        <v>51</v>
      </c>
      <c r="B67" s="20" t="s">
        <v>254</v>
      </c>
      <c r="C67" s="21" t="s">
        <v>255</v>
      </c>
      <c r="D67" s="19" t="s">
        <v>255</v>
      </c>
      <c r="E67" s="19" t="s">
        <v>255</v>
      </c>
      <c r="F67" s="19" t="s">
        <v>255</v>
      </c>
      <c r="G67" s="22" t="s">
        <v>256</v>
      </c>
      <c r="H67" s="23" t="s">
        <v>257</v>
      </c>
      <c r="I67" s="19" t="s">
        <v>258</v>
      </c>
      <c r="J67" s="19"/>
      <c r="K67" s="23">
        <f xml:space="preserve"> LEN(C67)</f>
        <v>2</v>
      </c>
      <c r="L67" s="24"/>
      <c r="M67" s="19" t="str">
        <f t="shared" ref="M67:M85" si="12">E67</f>
        <v>oo</v>
      </c>
      <c r="N67" s="19" t="str">
        <f t="shared" ref="N67:N85" si="13">I67</f>
        <v>ㆦ</v>
      </c>
      <c r="P67" s="3" t="str">
        <f t="shared" si="5"/>
        <v>oo(\d)</v>
      </c>
      <c r="Q67" s="3" t="str">
        <f t="shared" si="6"/>
        <v>ㆦ</v>
      </c>
      <c r="R67" s="25"/>
      <c r="S67" s="26" t="str">
        <f t="shared" si="7"/>
        <v xml:space="preserve">    - xform/》oo(\d)/ㆦ》$1/</v>
      </c>
    </row>
    <row r="68" spans="1:19" ht="27.75" thickBot="1">
      <c r="A68" s="19">
        <v>53</v>
      </c>
      <c r="B68" s="20" t="s">
        <v>266</v>
      </c>
      <c r="C68" s="21" t="s">
        <v>267</v>
      </c>
      <c r="D68" s="19" t="s">
        <v>267</v>
      </c>
      <c r="E68" s="19" t="s">
        <v>268</v>
      </c>
      <c r="F68" s="19" t="s">
        <v>267</v>
      </c>
      <c r="G68" s="22" t="s">
        <v>267</v>
      </c>
      <c r="H68" s="23" t="s">
        <v>269</v>
      </c>
      <c r="I68" s="19" t="s">
        <v>270</v>
      </c>
      <c r="J68" s="19"/>
      <c r="K68" s="23">
        <f xml:space="preserve"> LEN(C68)</f>
        <v>2</v>
      </c>
      <c r="L68" s="24"/>
      <c r="M68" s="19" t="str">
        <f t="shared" si="12"/>
        <v>orh</v>
      </c>
      <c r="N68" s="19" t="str">
        <f t="shared" si="13"/>
        <v>ㄜㆷ</v>
      </c>
      <c r="P68" s="3" t="str">
        <f t="shared" si="5"/>
        <v>orh(\d)</v>
      </c>
      <c r="Q68" s="3" t="str">
        <f t="shared" si="6"/>
        <v>ㄜㆷ</v>
      </c>
      <c r="R68" s="25"/>
      <c r="S68" s="26" t="str">
        <f t="shared" si="7"/>
        <v xml:space="preserve">    - xform/》orh(\d)/ㄜㆷ》$1/</v>
      </c>
    </row>
    <row r="69" spans="1:19" ht="27.75" thickBot="1">
      <c r="A69" s="19">
        <v>56</v>
      </c>
      <c r="B69" s="20" t="s">
        <v>282</v>
      </c>
      <c r="C69" s="21" t="s">
        <v>283</v>
      </c>
      <c r="D69" s="19" t="s">
        <v>283</v>
      </c>
      <c r="E69" s="19" t="s">
        <v>284</v>
      </c>
      <c r="F69" s="19" t="s">
        <v>283</v>
      </c>
      <c r="G69" s="22" t="s">
        <v>283</v>
      </c>
      <c r="H69" s="23" t="s">
        <v>285</v>
      </c>
      <c r="I69" s="19" t="s">
        <v>286</v>
      </c>
      <c r="J69" s="19"/>
      <c r="K69" s="23">
        <f xml:space="preserve"> LEN(C69)</f>
        <v>2</v>
      </c>
      <c r="L69" s="24"/>
      <c r="M69" s="19" t="str">
        <f t="shared" si="12"/>
        <v>oom</v>
      </c>
      <c r="N69" s="19" t="str">
        <f t="shared" si="13"/>
        <v>ㆱ</v>
      </c>
      <c r="P69" s="3" t="str">
        <f t="shared" ref="P69:P85" si="14" xml:space="preserve"> _xlfn.CONCAT(M69, "(\d)")</f>
        <v>oom(\d)</v>
      </c>
      <c r="Q69" s="3" t="str">
        <f t="shared" ref="Q69:Q85" si="15" xml:space="preserve"> IFERROR( _xlfn.CONCAT(N69, ""), "" )</f>
        <v>ㆱ</v>
      </c>
      <c r="R69" s="25"/>
      <c r="S69" s="26" t="str">
        <f t="shared" ref="S69:S85" si="16" xml:space="preserve"> IF(AND(N69&lt;&gt;"", M69&lt;&gt;""), "    - xform/》" &amp; P69 &amp;  "/"  &amp; Q69 &amp;  "》$1/", "")</f>
        <v xml:space="preserve">    - xform/》oom(\d)/ㆱ》$1/</v>
      </c>
    </row>
    <row r="70" spans="1:19" ht="27.75" thickBot="1">
      <c r="A70" s="19">
        <v>58</v>
      </c>
      <c r="B70" s="20" t="s">
        <v>291</v>
      </c>
      <c r="C70" s="21" t="s">
        <v>292</v>
      </c>
      <c r="D70" s="19" t="s">
        <v>292</v>
      </c>
      <c r="E70" s="19" t="s">
        <v>293</v>
      </c>
      <c r="F70" s="19" t="s">
        <v>292</v>
      </c>
      <c r="G70" s="22" t="s">
        <v>292</v>
      </c>
      <c r="H70" s="23" t="s">
        <v>294</v>
      </c>
      <c r="I70" s="19" t="s">
        <v>295</v>
      </c>
      <c r="J70" s="19"/>
      <c r="K70" s="23">
        <f xml:space="preserve"> LEN(C70)</f>
        <v>2</v>
      </c>
      <c r="L70" s="24"/>
      <c r="M70" s="19" t="str">
        <f t="shared" si="12"/>
        <v>oop</v>
      </c>
      <c r="N70" s="19" t="str">
        <f t="shared" si="13"/>
        <v>ㆦㆴ</v>
      </c>
      <c r="P70" s="3" t="str">
        <f t="shared" si="14"/>
        <v>oop(\d)</v>
      </c>
      <c r="Q70" s="3" t="str">
        <f t="shared" si="15"/>
        <v>ㆦㆴ</v>
      </c>
      <c r="R70" s="25"/>
      <c r="S70" s="26" t="str">
        <f t="shared" si="16"/>
        <v xml:space="preserve">    - xform/》oop(\d)/ㆦㆴ》$1/</v>
      </c>
    </row>
    <row r="71" spans="1:19" ht="27.75" thickBot="1">
      <c r="A71" s="19">
        <v>59</v>
      </c>
      <c r="B71" s="20" t="s">
        <v>296</v>
      </c>
      <c r="C71" s="21" t="s">
        <v>297</v>
      </c>
      <c r="D71" s="19" t="s">
        <v>297</v>
      </c>
      <c r="E71" s="19" t="s">
        <v>297</v>
      </c>
      <c r="F71" s="19" t="s">
        <v>297</v>
      </c>
      <c r="G71" s="22" t="s">
        <v>297</v>
      </c>
      <c r="H71" s="23" t="s">
        <v>298</v>
      </c>
      <c r="I71" s="19" t="s">
        <v>299</v>
      </c>
      <c r="J71" s="19"/>
      <c r="K71" s="23">
        <f xml:space="preserve"> LEN(C71)</f>
        <v>2</v>
      </c>
      <c r="L71" s="24"/>
      <c r="M71" s="19" t="str">
        <f t="shared" si="12"/>
        <v>ok</v>
      </c>
      <c r="N71" s="19" t="str">
        <f t="shared" si="13"/>
        <v>ㆦㆻ</v>
      </c>
      <c r="P71" s="3" t="str">
        <f t="shared" si="14"/>
        <v>ok(\d)</v>
      </c>
      <c r="Q71" s="3" t="str">
        <f t="shared" si="15"/>
        <v>ㆦㆻ</v>
      </c>
      <c r="R71" s="25"/>
      <c r="S71" s="26" t="str">
        <f t="shared" si="16"/>
        <v xml:space="preserve">    - xform/》ok(\d)/ㆦㆻ》$1/</v>
      </c>
    </row>
    <row r="72" spans="1:19" ht="27.75" thickBot="1">
      <c r="A72" s="19">
        <v>61</v>
      </c>
      <c r="B72" s="20" t="s">
        <v>303</v>
      </c>
      <c r="C72" s="21" t="s">
        <v>304</v>
      </c>
      <c r="D72" s="19" t="s">
        <v>304</v>
      </c>
      <c r="E72" s="19" t="s">
        <v>304</v>
      </c>
      <c r="F72" s="19" t="s">
        <v>304</v>
      </c>
      <c r="G72" s="22" t="s">
        <v>304</v>
      </c>
      <c r="H72" s="23" t="s">
        <v>305</v>
      </c>
      <c r="I72" s="19" t="s">
        <v>306</v>
      </c>
      <c r="J72" s="19"/>
      <c r="K72" s="23">
        <f xml:space="preserve"> LEN(C72)</f>
        <v>2</v>
      </c>
      <c r="L72" s="24"/>
      <c r="M72" s="19" t="str">
        <f t="shared" si="12"/>
        <v>uh</v>
      </c>
      <c r="N72" s="19" t="str">
        <f t="shared" si="13"/>
        <v>ㄨㆷ</v>
      </c>
      <c r="P72" s="3" t="str">
        <f t="shared" si="14"/>
        <v>uh(\d)</v>
      </c>
      <c r="Q72" s="3" t="str">
        <f t="shared" si="15"/>
        <v>ㄨㆷ</v>
      </c>
      <c r="R72" s="25"/>
      <c r="S72" s="26" t="str">
        <f t="shared" si="16"/>
        <v xml:space="preserve">    - xform/》uh(\d)/ㄨㆷ》$1/</v>
      </c>
    </row>
    <row r="73" spans="1:19" ht="27.75" thickBot="1">
      <c r="A73" s="19">
        <v>62</v>
      </c>
      <c r="B73" s="20" t="s">
        <v>307</v>
      </c>
      <c r="C73" s="21" t="s">
        <v>307</v>
      </c>
      <c r="D73" s="19" t="s">
        <v>307</v>
      </c>
      <c r="E73" s="19" t="s">
        <v>307</v>
      </c>
      <c r="F73" s="19" t="s">
        <v>307</v>
      </c>
      <c r="G73" s="22" t="s">
        <v>307</v>
      </c>
      <c r="H73" s="23" t="s">
        <v>308</v>
      </c>
      <c r="I73" s="19" t="s">
        <v>309</v>
      </c>
      <c r="J73" s="19"/>
      <c r="K73" s="23">
        <f xml:space="preserve"> LEN(C73)</f>
        <v>2</v>
      </c>
      <c r="L73" s="24"/>
      <c r="M73" s="19" t="str">
        <f t="shared" si="12"/>
        <v>un</v>
      </c>
      <c r="N73" s="19" t="str">
        <f t="shared" si="13"/>
        <v>ㄨㄣ</v>
      </c>
      <c r="P73" s="3" t="str">
        <f t="shared" si="14"/>
        <v>un(\d)</v>
      </c>
      <c r="Q73" s="3" t="str">
        <f t="shared" si="15"/>
        <v>ㄨㄣ</v>
      </c>
      <c r="R73" s="25"/>
      <c r="S73" s="26" t="str">
        <f t="shared" si="16"/>
        <v xml:space="preserve">    - xform/》un(\d)/ㄨㄣ》$1/</v>
      </c>
    </row>
    <row r="74" spans="1:19" ht="27.75" thickBot="1">
      <c r="A74" s="19">
        <v>63</v>
      </c>
      <c r="B74" s="20" t="s">
        <v>310</v>
      </c>
      <c r="C74" s="21" t="s">
        <v>311</v>
      </c>
      <c r="D74" s="19" t="s">
        <v>311</v>
      </c>
      <c r="E74" s="19" t="s">
        <v>311</v>
      </c>
      <c r="F74" s="19" t="s">
        <v>311</v>
      </c>
      <c r="G74" s="22" t="s">
        <v>311</v>
      </c>
      <c r="H74" s="23" t="s">
        <v>312</v>
      </c>
      <c r="I74" s="19" t="s">
        <v>313</v>
      </c>
      <c r="J74" s="19"/>
      <c r="K74" s="23">
        <f xml:space="preserve"> LEN(C74)</f>
        <v>2</v>
      </c>
      <c r="L74" s="24"/>
      <c r="M74" s="19" t="str">
        <f t="shared" si="12"/>
        <v>ut</v>
      </c>
      <c r="N74" s="19" t="str">
        <f t="shared" si="13"/>
        <v>ㄨㆵ</v>
      </c>
      <c r="P74" s="3" t="str">
        <f t="shared" si="14"/>
        <v>ut(\d)</v>
      </c>
      <c r="Q74" s="3" t="str">
        <f t="shared" si="15"/>
        <v>ㄨㆵ</v>
      </c>
      <c r="R74" s="25"/>
      <c r="S74" s="26" t="str">
        <f t="shared" si="16"/>
        <v xml:space="preserve">    - xform/》ut(\d)/ㄨㆵ》$1/</v>
      </c>
    </row>
    <row r="75" spans="1:19" ht="27.75" thickBot="1">
      <c r="A75" s="19">
        <v>64</v>
      </c>
      <c r="B75" s="20" t="s">
        <v>314</v>
      </c>
      <c r="C75" s="21" t="s">
        <v>314</v>
      </c>
      <c r="D75" s="19" t="s">
        <v>314</v>
      </c>
      <c r="E75" s="19" t="s">
        <v>314</v>
      </c>
      <c r="F75" s="19" t="s">
        <v>314</v>
      </c>
      <c r="G75" s="22" t="s">
        <v>315</v>
      </c>
      <c r="H75" s="23" t="s">
        <v>316</v>
      </c>
      <c r="I75" s="19" t="s">
        <v>317</v>
      </c>
      <c r="J75" s="19"/>
      <c r="K75" s="23">
        <f xml:space="preserve"> LEN(C75)</f>
        <v>2</v>
      </c>
      <c r="L75" s="24"/>
      <c r="M75" s="19" t="str">
        <f t="shared" si="12"/>
        <v>ua</v>
      </c>
      <c r="N75" s="19" t="str">
        <f t="shared" si="13"/>
        <v>ㄨㄚ</v>
      </c>
      <c r="P75" s="3" t="str">
        <f t="shared" si="14"/>
        <v>ua(\d)</v>
      </c>
      <c r="Q75" s="3" t="str">
        <f t="shared" si="15"/>
        <v>ㄨㄚ</v>
      </c>
      <c r="R75" s="25"/>
      <c r="S75" s="26" t="str">
        <f t="shared" si="16"/>
        <v xml:space="preserve">    - xform/》ua(\d)/ㄨㄚ》$1/</v>
      </c>
    </row>
    <row r="76" spans="1:19" ht="27.75" thickBot="1">
      <c r="A76" s="19">
        <v>74</v>
      </c>
      <c r="B76" s="20" t="s">
        <v>364</v>
      </c>
      <c r="C76" s="21" t="s">
        <v>364</v>
      </c>
      <c r="D76" s="19" t="s">
        <v>364</v>
      </c>
      <c r="E76" s="19" t="s">
        <v>364</v>
      </c>
      <c r="F76" s="19" t="s">
        <v>364</v>
      </c>
      <c r="G76" s="22" t="s">
        <v>365</v>
      </c>
      <c r="H76" s="23" t="s">
        <v>366</v>
      </c>
      <c r="I76" s="19" t="s">
        <v>367</v>
      </c>
      <c r="J76" s="19"/>
      <c r="K76" s="23">
        <f xml:space="preserve"> LEN(C76)</f>
        <v>2</v>
      </c>
      <c r="L76" s="24"/>
      <c r="M76" s="19" t="str">
        <f t="shared" si="12"/>
        <v>ue</v>
      </c>
      <c r="N76" s="19" t="str">
        <f t="shared" si="13"/>
        <v>ㄨㆤ</v>
      </c>
      <c r="P76" s="3" t="str">
        <f t="shared" si="14"/>
        <v>ue(\d)</v>
      </c>
      <c r="Q76" s="3" t="str">
        <f t="shared" si="15"/>
        <v>ㄨㆤ</v>
      </c>
      <c r="R76" s="25"/>
      <c r="S76" s="26" t="str">
        <f t="shared" si="16"/>
        <v xml:space="preserve">    - xform/》ue(\d)/ㄨㆤ》$1/</v>
      </c>
    </row>
    <row r="77" spans="1:19" ht="27.75" thickBot="1">
      <c r="A77" s="19">
        <v>76</v>
      </c>
      <c r="B77" s="20" t="s">
        <v>373</v>
      </c>
      <c r="C77" s="21" t="s">
        <v>373</v>
      </c>
      <c r="D77" s="19" t="s">
        <v>373</v>
      </c>
      <c r="E77" s="19" t="s">
        <v>373</v>
      </c>
      <c r="F77" s="19" t="s">
        <v>373</v>
      </c>
      <c r="G77" s="22" t="s">
        <v>373</v>
      </c>
      <c r="H77" s="23" t="s">
        <v>374</v>
      </c>
      <c r="I77" s="19" t="s">
        <v>375</v>
      </c>
      <c r="J77" s="19"/>
      <c r="K77" s="23">
        <f xml:space="preserve"> LEN(C77)</f>
        <v>2</v>
      </c>
      <c r="L77" s="24"/>
      <c r="M77" s="19" t="str">
        <f t="shared" si="12"/>
        <v>ui</v>
      </c>
      <c r="N77" s="19" t="str">
        <f t="shared" si="13"/>
        <v>ㄨㄧ</v>
      </c>
      <c r="P77" s="3" t="str">
        <f t="shared" si="14"/>
        <v>ui(\d)</v>
      </c>
      <c r="Q77" s="3" t="str">
        <f t="shared" si="15"/>
        <v>ㄨㄧ</v>
      </c>
      <c r="R77" s="25"/>
      <c r="S77" s="26" t="str">
        <f t="shared" si="16"/>
        <v xml:space="preserve">    - xform/》ui(\d)/ㄨㄧ》$1/</v>
      </c>
    </row>
    <row r="78" spans="1:19" ht="27.75" thickBot="1">
      <c r="A78" s="19">
        <v>80</v>
      </c>
      <c r="B78" s="20" t="s">
        <v>390</v>
      </c>
      <c r="C78" s="21" t="s">
        <v>391</v>
      </c>
      <c r="D78" s="31" t="s">
        <v>391</v>
      </c>
      <c r="E78" s="31" t="s">
        <v>391</v>
      </c>
      <c r="F78" s="31" t="s">
        <v>391</v>
      </c>
      <c r="G78" s="31" t="s">
        <v>391</v>
      </c>
      <c r="H78" s="35" t="s">
        <v>392</v>
      </c>
      <c r="I78" s="34" t="s">
        <v>393</v>
      </c>
      <c r="J78" s="19"/>
      <c r="K78" s="23">
        <f xml:space="preserve"> LEN(C78)</f>
        <v>2</v>
      </c>
      <c r="L78" s="24"/>
      <c r="M78" s="19" t="str">
        <f t="shared" si="12"/>
        <v>mh</v>
      </c>
      <c r="N78" s="19" t="str">
        <f t="shared" si="13"/>
        <v>ㆬㆷ</v>
      </c>
      <c r="P78" s="3" t="str">
        <f t="shared" si="14"/>
        <v>mh(\d)</v>
      </c>
      <c r="Q78" s="3" t="str">
        <f t="shared" si="15"/>
        <v>ㆬㆷ</v>
      </c>
      <c r="R78" s="25"/>
      <c r="S78" s="26" t="str">
        <f t="shared" si="16"/>
        <v xml:space="preserve">    - xform/》mh(\d)/ㆬㆷ》$1/</v>
      </c>
    </row>
    <row r="79" spans="1:19" ht="27.75" thickBot="1">
      <c r="A79" s="19">
        <v>81</v>
      </c>
      <c r="B79" s="20" t="s">
        <v>394</v>
      </c>
      <c r="C79" s="21" t="s">
        <v>395</v>
      </c>
      <c r="D79" s="19" t="s">
        <v>395</v>
      </c>
      <c r="E79" s="19" t="s">
        <v>395</v>
      </c>
      <c r="F79" s="19" t="s">
        <v>395</v>
      </c>
      <c r="G79" s="22" t="s">
        <v>395</v>
      </c>
      <c r="H79" s="23" t="s">
        <v>396</v>
      </c>
      <c r="I79" s="19" t="s">
        <v>397</v>
      </c>
      <c r="J79" s="19"/>
      <c r="K79" s="23">
        <f xml:space="preserve"> LEN(C79)</f>
        <v>2</v>
      </c>
      <c r="L79" s="24"/>
      <c r="M79" s="19" t="str">
        <f t="shared" si="12"/>
        <v>ng</v>
      </c>
      <c r="N79" s="19" t="str">
        <f t="shared" si="13"/>
        <v>ㆭ</v>
      </c>
      <c r="P79" s="3" t="str">
        <f t="shared" si="14"/>
        <v>ng(\d)</v>
      </c>
      <c r="Q79" s="3" t="str">
        <f t="shared" si="15"/>
        <v>ㆭ</v>
      </c>
      <c r="R79" s="25"/>
      <c r="S79" s="26" t="str">
        <f t="shared" si="16"/>
        <v xml:space="preserve">    - xform/》ng(\d)/ㆭ》$1/</v>
      </c>
    </row>
    <row r="80" spans="1:19" ht="27.75" thickBot="1">
      <c r="A80" s="19">
        <v>1</v>
      </c>
      <c r="B80" s="20" t="s">
        <v>22</v>
      </c>
      <c r="C80" s="21" t="s">
        <v>22</v>
      </c>
      <c r="D80" s="19" t="s">
        <v>22</v>
      </c>
      <c r="E80" s="19" t="s">
        <v>22</v>
      </c>
      <c r="F80" s="19" t="s">
        <v>22</v>
      </c>
      <c r="G80" s="22" t="s">
        <v>22</v>
      </c>
      <c r="H80" s="23" t="s">
        <v>23</v>
      </c>
      <c r="I80" s="19" t="s">
        <v>24</v>
      </c>
      <c r="J80" s="19"/>
      <c r="K80" s="23">
        <f xml:space="preserve"> LEN(C80)</f>
        <v>1</v>
      </c>
      <c r="L80" s="24"/>
      <c r="M80" s="19" t="str">
        <f t="shared" si="12"/>
        <v>a</v>
      </c>
      <c r="N80" s="19" t="str">
        <f t="shared" si="13"/>
        <v>ㄚ</v>
      </c>
      <c r="P80" s="3" t="str">
        <f t="shared" si="14"/>
        <v>a(\d)</v>
      </c>
      <c r="Q80" s="3" t="str">
        <f t="shared" si="15"/>
        <v>ㄚ</v>
      </c>
      <c r="R80" s="25"/>
      <c r="S80" s="26" t="str">
        <f t="shared" si="16"/>
        <v xml:space="preserve">    - xform/》a(\d)/ㄚ》$1/</v>
      </c>
    </row>
    <row r="81" spans="1:19" ht="27.75" thickBot="1">
      <c r="A81" s="19">
        <v>16</v>
      </c>
      <c r="B81" s="20" t="s">
        <v>95</v>
      </c>
      <c r="C81" s="21" t="s">
        <v>95</v>
      </c>
      <c r="D81" s="19" t="s">
        <v>96</v>
      </c>
      <c r="E81" s="19" t="s">
        <v>95</v>
      </c>
      <c r="F81" s="19" t="s">
        <v>95</v>
      </c>
      <c r="G81" s="22">
        <v>0</v>
      </c>
      <c r="H81" s="23" t="s">
        <v>97</v>
      </c>
      <c r="I81" s="19" t="s">
        <v>98</v>
      </c>
      <c r="J81" s="19"/>
      <c r="K81" s="23">
        <f xml:space="preserve"> LEN(C81)</f>
        <v>1</v>
      </c>
      <c r="L81" s="24"/>
      <c r="M81" s="19" t="str">
        <f t="shared" si="12"/>
        <v>e</v>
      </c>
      <c r="N81" s="19" t="str">
        <f t="shared" si="13"/>
        <v>ㆤ</v>
      </c>
      <c r="P81" s="3" t="str">
        <f t="shared" si="14"/>
        <v>e(\d)</v>
      </c>
      <c r="Q81" s="3" t="str">
        <f t="shared" si="15"/>
        <v>ㆤ</v>
      </c>
      <c r="R81" s="25"/>
      <c r="S81" s="26" t="str">
        <f t="shared" si="16"/>
        <v xml:space="preserve">    - xform/》e(\d)/ㆤ》$1/</v>
      </c>
    </row>
    <row r="82" spans="1:19" ht="27.75" thickBot="1">
      <c r="A82" s="19">
        <v>20</v>
      </c>
      <c r="B82" s="20" t="s">
        <v>113</v>
      </c>
      <c r="C82" s="21" t="s">
        <v>113</v>
      </c>
      <c r="D82" s="19" t="s">
        <v>113</v>
      </c>
      <c r="E82" s="19" t="s">
        <v>113</v>
      </c>
      <c r="F82" s="19" t="s">
        <v>113</v>
      </c>
      <c r="G82" s="22" t="s">
        <v>113</v>
      </c>
      <c r="H82" s="23" t="s">
        <v>114</v>
      </c>
      <c r="I82" s="19" t="s">
        <v>115</v>
      </c>
      <c r="J82" s="19"/>
      <c r="K82" s="23">
        <f xml:space="preserve"> LEN(C82)</f>
        <v>1</v>
      </c>
      <c r="L82" s="24"/>
      <c r="M82" s="19" t="str">
        <f t="shared" si="12"/>
        <v>i</v>
      </c>
      <c r="N82" s="19" t="str">
        <f t="shared" si="13"/>
        <v>ㄧ</v>
      </c>
      <c r="P82" s="3" t="str">
        <f t="shared" si="14"/>
        <v>i(\d)</v>
      </c>
      <c r="Q82" s="3" t="str">
        <f t="shared" si="15"/>
        <v>ㄧ</v>
      </c>
      <c r="R82" s="25"/>
      <c r="S82" s="26" t="str">
        <f t="shared" si="16"/>
        <v xml:space="preserve">    - xform/》i(\d)/ㄧ》$1/</v>
      </c>
    </row>
    <row r="83" spans="1:19" ht="27.75" thickBot="1">
      <c r="A83" s="19">
        <v>50</v>
      </c>
      <c r="B83" s="20" t="s">
        <v>249</v>
      </c>
      <c r="C83" s="21" t="s">
        <v>250</v>
      </c>
      <c r="D83" s="19" t="s">
        <v>250</v>
      </c>
      <c r="E83" s="19" t="s">
        <v>251</v>
      </c>
      <c r="F83" s="19" t="s">
        <v>250</v>
      </c>
      <c r="G83" s="22" t="s">
        <v>250</v>
      </c>
      <c r="H83" s="23" t="s">
        <v>252</v>
      </c>
      <c r="I83" s="19" t="s">
        <v>253</v>
      </c>
      <c r="J83" s="19"/>
      <c r="K83" s="23">
        <f xml:space="preserve"> LEN(C83)</f>
        <v>1</v>
      </c>
      <c r="L83" s="24"/>
      <c r="M83" s="19" t="str">
        <f t="shared" si="12"/>
        <v>or</v>
      </c>
      <c r="N83" s="19" t="str">
        <f t="shared" si="13"/>
        <v>ㄜ</v>
      </c>
      <c r="P83" s="3" t="str">
        <f t="shared" si="14"/>
        <v>or(\d)</v>
      </c>
      <c r="Q83" s="3" t="str">
        <f t="shared" si="15"/>
        <v>ㄜ</v>
      </c>
      <c r="R83" s="25"/>
      <c r="S83" s="26" t="str">
        <f t="shared" si="16"/>
        <v xml:space="preserve">    - xform/》or(\d)/ㄜ》$1/</v>
      </c>
    </row>
    <row r="84" spans="1:19" ht="27.75" thickBot="1">
      <c r="A84" s="19">
        <v>60</v>
      </c>
      <c r="B84" s="20" t="s">
        <v>300</v>
      </c>
      <c r="C84" s="21" t="s">
        <v>300</v>
      </c>
      <c r="D84" s="19" t="s">
        <v>300</v>
      </c>
      <c r="E84" s="19" t="s">
        <v>300</v>
      </c>
      <c r="F84" s="19" t="s">
        <v>300</v>
      </c>
      <c r="G84" s="22" t="s">
        <v>300</v>
      </c>
      <c r="H84" s="23" t="s">
        <v>301</v>
      </c>
      <c r="I84" s="19" t="s">
        <v>302</v>
      </c>
      <c r="J84" s="19"/>
      <c r="K84" s="23">
        <f xml:space="preserve"> LEN(C84)</f>
        <v>1</v>
      </c>
      <c r="L84" s="24"/>
      <c r="M84" s="19" t="str">
        <f t="shared" si="12"/>
        <v>u</v>
      </c>
      <c r="N84" s="19" t="str">
        <f t="shared" si="13"/>
        <v>ㄨ</v>
      </c>
      <c r="P84" s="3" t="str">
        <f t="shared" si="14"/>
        <v>u(\d)</v>
      </c>
      <c r="Q84" s="3" t="str">
        <f t="shared" si="15"/>
        <v>ㄨ</v>
      </c>
      <c r="R84" s="25"/>
      <c r="S84" s="26" t="str">
        <f t="shared" si="16"/>
        <v xml:space="preserve">    - xform/》u(\d)/ㄨ》$1/</v>
      </c>
    </row>
    <row r="85" spans="1:19" ht="27.75" thickBot="1">
      <c r="A85" s="19">
        <v>79</v>
      </c>
      <c r="B85" s="20" t="s">
        <v>386</v>
      </c>
      <c r="C85" s="21" t="s">
        <v>387</v>
      </c>
      <c r="D85" s="19" t="s">
        <v>387</v>
      </c>
      <c r="E85" s="19" t="s">
        <v>387</v>
      </c>
      <c r="F85" s="19" t="s">
        <v>387</v>
      </c>
      <c r="G85" s="22" t="s">
        <v>387</v>
      </c>
      <c r="H85" s="23" t="s">
        <v>388</v>
      </c>
      <c r="I85" s="19" t="s">
        <v>389</v>
      </c>
      <c r="J85" s="19"/>
      <c r="K85" s="23">
        <f xml:space="preserve"> LEN(C85)</f>
        <v>1</v>
      </c>
      <c r="L85" s="24"/>
      <c r="M85" s="19" t="str">
        <f t="shared" si="12"/>
        <v>m</v>
      </c>
      <c r="N85" s="19" t="str">
        <f t="shared" si="13"/>
        <v>ㆬ</v>
      </c>
      <c r="P85" s="3" t="str">
        <f t="shared" si="14"/>
        <v>m(\d)</v>
      </c>
      <c r="Q85" s="3" t="str">
        <f t="shared" si="15"/>
        <v>ㆬ</v>
      </c>
      <c r="R85" s="25"/>
      <c r="S85" s="26" t="str">
        <f t="shared" si="16"/>
        <v xml:space="preserve">    - xform/》m(\d)/ㆬ》$1/</v>
      </c>
    </row>
    <row r="86" spans="1:19" ht="27" thickBot="1"/>
    <row r="87" spans="1:19" ht="48.75" thickBot="1">
      <c r="B87" s="11" t="s">
        <v>402</v>
      </c>
      <c r="C87" s="11" t="s">
        <v>403</v>
      </c>
      <c r="D87" s="11" t="s">
        <v>403</v>
      </c>
    </row>
    <row r="88" spans="1:19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19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19" ht="27" thickBot="1"/>
    <row r="91" spans="1:19" ht="27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19" ht="27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19" ht="27" thickBot="1"/>
    <row r="94" spans="1:19" ht="27" thickBot="1">
      <c r="B94" s="11" t="s">
        <v>408</v>
      </c>
      <c r="C94" s="11" t="s">
        <v>409</v>
      </c>
    </row>
    <row r="95" spans="1:19" ht="27" thickBot="1">
      <c r="B95" s="11" t="s">
        <v>410</v>
      </c>
      <c r="C95" s="11" t="s">
        <v>411</v>
      </c>
    </row>
    <row r="97" spans="1:1">
      <c r="A97" s="1" t="str">
        <f xml:space="preserve"> "(""" &amp; _xlfn.TEXTJOIN(""",""",TRUE,F4:F85) &amp; """)"</f>
        <v>("uainnh","iannh","niao","niuh","nuai","nah","nai","ennh","nia","nioo","niu","niuh","na","ne","ni","uih","iang","iaoh","iong","nua","uang","uaih","nui","ang","aih","aoh","ing","iah","iam","ian","iap","iat","iak","iao","ioh","iok","noo","ooh","ong","uah","uan","uat","uai","ueh","ngh","ah","am","an","ap","at","ak","ai","ao","eh","ih","im","in","ip","it","ik","ia","io","iu","oo","oh","om","op","ok","uh","un","ut","ua","ue","ui","mh","ng","a","e","i","o","u","m")</v>
      </c>
    </row>
  </sheetData>
  <sortState xmlns:xlrd2="http://schemas.microsoft.com/office/spreadsheetml/2017/richdata2" ref="A4:K85">
    <sortCondition descending="1" ref="J4:J85"/>
    <sortCondition descending="1" ref="K4:K85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95E4-95A2-4238-8BF9-FE169D8A4AC0}">
  <dimension ref="A1:AU97"/>
  <sheetViews>
    <sheetView showGridLines="0" tabSelected="1" topLeftCell="B1" workbookViewId="0">
      <pane ySplit="3" topLeftCell="A73" activePane="bottomLeft" state="frozen"/>
      <selection pane="bottomLeft" activeCell="Q79" sqref="Q79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3.75" style="3" bestFit="1" customWidth="1"/>
    <col min="17" max="17" width="9" style="5" customWidth="1" outlineLevel="1"/>
    <col min="18" max="18" width="9.25" style="5" customWidth="1" outlineLevel="1"/>
    <col min="19" max="19" width="16.75" style="3" customWidth="1"/>
    <col min="20" max="20" width="4.5" style="2" customWidth="1"/>
    <col min="21" max="21" width="51.75" style="6" customWidth="1"/>
    <col min="22" max="22" width="9" style="2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16384" width="9" style="2"/>
  </cols>
  <sheetData>
    <row r="1" spans="1:47" ht="46.5" customHeight="1">
      <c r="A1" s="1"/>
      <c r="C1" s="1"/>
      <c r="D1" s="1"/>
      <c r="H1" s="1"/>
      <c r="I1" s="1"/>
      <c r="J1" s="1"/>
      <c r="K1" s="1"/>
      <c r="Q1" s="4"/>
    </row>
    <row r="2" spans="1:47" ht="27" thickBot="1">
      <c r="A2" s="9" t="s">
        <v>0</v>
      </c>
      <c r="C2" s="1"/>
      <c r="D2" s="1"/>
      <c r="H2" s="1"/>
      <c r="I2" s="1"/>
      <c r="J2" s="1"/>
      <c r="K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54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>C3</f>
        <v>台羅拼音</v>
      </c>
      <c r="N3" s="11" t="str">
        <f>G3</f>
        <v>白話字</v>
      </c>
      <c r="P3" s="11" t="str">
        <f>M3</f>
        <v>台羅拼音</v>
      </c>
      <c r="Q3" s="14" t="s">
        <v>12</v>
      </c>
      <c r="R3" s="15" t="s">
        <v>13</v>
      </c>
      <c r="S3" s="11" t="str">
        <f>N3</f>
        <v>白話字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8"/>
    </row>
    <row r="4" spans="1:47" ht="27.75" thickBot="1">
      <c r="A4" s="19">
        <v>1</v>
      </c>
      <c r="B4" s="20" t="s">
        <v>22</v>
      </c>
      <c r="C4" s="21" t="s">
        <v>22</v>
      </c>
      <c r="D4" s="19" t="s">
        <v>22</v>
      </c>
      <c r="E4" s="19" t="s">
        <v>22</v>
      </c>
      <c r="F4" s="19" t="s">
        <v>22</v>
      </c>
      <c r="G4" s="22" t="s">
        <v>22</v>
      </c>
      <c r="H4" s="23" t="s">
        <v>23</v>
      </c>
      <c r="I4" s="19" t="s">
        <v>24</v>
      </c>
      <c r="J4" s="19"/>
      <c r="K4" s="23">
        <f xml:space="preserve"> LEN(C4)</f>
        <v>1</v>
      </c>
      <c r="L4" s="24"/>
      <c r="M4" s="11" t="str">
        <f t="shared" ref="M4:M67" si="0">C4</f>
        <v>a</v>
      </c>
      <c r="N4" s="11" t="str">
        <f t="shared" ref="N4:N67" si="1">G4</f>
        <v>a</v>
      </c>
      <c r="P4" s="3" t="str">
        <f xml:space="preserve"> _xlfn.CONCAT(C4, "(\d)")</f>
        <v>a(\d)</v>
      </c>
      <c r="Q4" s="5" t="s">
        <v>25</v>
      </c>
      <c r="R4" s="5">
        <f xml:space="preserve"> IFERROR( IF(Q4="", "", SEARCH(Q4, $M4)), "")</f>
        <v>1</v>
      </c>
      <c r="S4" s="3" t="str">
        <f xml:space="preserve"> IFERROR( _xlfn.CONCAT(LEFT(N4,R4-1), "》", MID(N4,R4,1), "${1}", RIGHT(N4, LEN(N4)-R4)), "" )</f>
        <v>》a${1}</v>
      </c>
      <c r="T4" s="25"/>
      <c r="U4" s="26" t="str">
        <f xml:space="preserve"> IF(AND(N4&lt;&gt;"", M4&lt;&gt;""), "    - xform/》" &amp; P4 &amp;  "/"  &amp; S4 &amp;  "/", "")</f>
        <v xml:space="preserve">    - xform/》a(\d)/》a${1}/</v>
      </c>
      <c r="W4" s="7" t="s">
        <v>25</v>
      </c>
      <c r="X4" s="27" t="str">
        <f xml:space="preserve"> _xlfn.CONCAT($W4, IF(X$3="", "", _xlfn.UNICHAR( HEX2DEC( RIGHT(X$3,4)))))</f>
        <v>a</v>
      </c>
      <c r="Y4" s="27" t="str">
        <f t="shared" ref="Y4:AG4" si="2" xml:space="preserve"> _xlfn.CONCAT($W4, IF(Y$3="", "", _xlfn.UNICHAR( HEX2DEC( RIGHT(Y$3,4)))))</f>
        <v>á</v>
      </c>
      <c r="Z4" s="27" t="str">
        <f t="shared" si="2"/>
        <v>à</v>
      </c>
      <c r="AA4" s="27" t="str">
        <f t="shared" si="2"/>
        <v>a</v>
      </c>
      <c r="AB4" s="27" t="str">
        <f t="shared" si="2"/>
        <v>ǎ</v>
      </c>
      <c r="AC4" s="27" t="str">
        <f t="shared" si="2"/>
        <v>á</v>
      </c>
      <c r="AD4" s="27" t="str">
        <f t="shared" si="2"/>
        <v>ā</v>
      </c>
      <c r="AE4" s="27" t="str">
        <f t="shared" si="2"/>
        <v>a̍</v>
      </c>
      <c r="AF4" s="27" t="str">
        <f t="shared" si="2"/>
        <v>a̋</v>
      </c>
      <c r="AG4" s="27" t="str">
        <f t="shared" si="2"/>
        <v>å</v>
      </c>
      <c r="AI4" s="28" t="str">
        <f xml:space="preserve"> _xlfn.CONCAT("    - xform/》", $W4, X$2, "/", X4, "/")</f>
        <v xml:space="preserve">    - xform/》a1/a/</v>
      </c>
      <c r="AJ4" s="28" t="str">
        <f xml:space="preserve"> _xlfn.CONCAT("    - xform/》", $W4, Y$2, "/", Y4, "/")</f>
        <v xml:space="preserve">    - xform/》a2/á/</v>
      </c>
      <c r="AK4" s="28" t="str">
        <f t="shared" ref="AK4:AP10" si="3" xml:space="preserve"> _xlfn.CONCAT("    - xform/》", $W4, Z$2, "/", Z4, "/")</f>
        <v xml:space="preserve">    - xform/》a3/à/</v>
      </c>
      <c r="AL4" s="28" t="str">
        <f t="shared" si="3"/>
        <v xml:space="preserve">    - xform/》a4/a/</v>
      </c>
      <c r="AM4" s="28" t="str">
        <f t="shared" si="3"/>
        <v xml:space="preserve">    - xform/》a5/ǎ/</v>
      </c>
      <c r="AN4" s="28" t="str">
        <f t="shared" si="3"/>
        <v xml:space="preserve">    - xform/》a6/á/</v>
      </c>
      <c r="AO4" s="28" t="str">
        <f t="shared" si="3"/>
        <v xml:space="preserve">    - xform/》a7/ā/</v>
      </c>
      <c r="AP4" s="28" t="str">
        <f xml:space="preserve"> _xlfn.CONCAT("    - xform/》", $W4, AE$2, "/", AE4, "/")</f>
        <v xml:space="preserve">    - xform/》a8/a̍/</v>
      </c>
      <c r="AQ4" s="28" t="str">
        <f t="shared" ref="AQ4:AR10" si="4" xml:space="preserve"> _xlfn.CONCAT("    - xform/》", $W4, AF$2, "/", AF4, "/")</f>
        <v xml:space="preserve">    - xform/》a9/a̋/</v>
      </c>
      <c r="AR4" s="28" t="str">
        <f t="shared" si="4"/>
        <v xml:space="preserve">    - xform/》a9/å/</v>
      </c>
      <c r="AS4" s="27"/>
      <c r="AT4" s="27"/>
      <c r="AU4" s="7"/>
    </row>
    <row r="5" spans="1:47" ht="27.75" thickBot="1">
      <c r="A5" s="19">
        <v>2</v>
      </c>
      <c r="B5" s="20" t="s">
        <v>26</v>
      </c>
      <c r="C5" s="21" t="s">
        <v>27</v>
      </c>
      <c r="D5" s="19" t="s">
        <v>27</v>
      </c>
      <c r="E5" s="19" t="s">
        <v>27</v>
      </c>
      <c r="F5" s="19" t="s">
        <v>28</v>
      </c>
      <c r="G5" s="22" t="s">
        <v>29</v>
      </c>
      <c r="H5" s="23" t="s">
        <v>30</v>
      </c>
      <c r="I5" s="19" t="s">
        <v>31</v>
      </c>
      <c r="J5" s="29" t="s">
        <v>32</v>
      </c>
      <c r="K5" s="23">
        <f xml:space="preserve"> LEN(C5)</f>
        <v>3</v>
      </c>
      <c r="L5" s="24"/>
      <c r="M5" s="11" t="str">
        <f t="shared" si="0"/>
        <v>ann</v>
      </c>
      <c r="N5" s="11" t="str">
        <f t="shared" si="1"/>
        <v>aⁿ</v>
      </c>
      <c r="P5" s="3" t="str">
        <f t="shared" ref="P5:P68" si="5" xml:space="preserve"> _xlfn.CONCAT(C5, "(\d)")</f>
        <v>ann(\d)</v>
      </c>
      <c r="Q5" s="5" t="s">
        <v>25</v>
      </c>
      <c r="R5" s="5">
        <f t="shared" ref="R5:R68" si="6" xml:space="preserve"> IFERROR( IF(Q5="", "", SEARCH(Q5, $M5)), "")</f>
        <v>1</v>
      </c>
      <c r="S5" s="3" t="str">
        <f t="shared" ref="S5:S68" si="7" xml:space="preserve"> IFERROR( _xlfn.CONCAT(LEFT(N5,R5-1), "》", MID(N5,R5,1), "${1}", RIGHT(N5, LEN(N5)-R5)), "" )</f>
        <v>》a${1}ⁿ</v>
      </c>
      <c r="T5" s="25"/>
      <c r="U5" s="26" t="str">
        <f t="shared" ref="U5:U68" si="8" xml:space="preserve"> IF(AND(N5&lt;&gt;"", M5&lt;&gt;""), "    - xform/》" &amp; P5 &amp;  "/"  &amp; S5 &amp;  "/", "")</f>
        <v xml:space="preserve">    - xform/》ann(\d)/》a${1}ⁿ/</v>
      </c>
      <c r="W5" s="7" t="s">
        <v>33</v>
      </c>
      <c r="X5" s="27" t="str">
        <f t="shared" ref="X5:AG10" si="9" xml:space="preserve"> _xlfn.CONCAT($W5, IF(X$3="", "", _xlfn.UNICHAR( HEX2DEC( RIGHT(X$3,4)))))</f>
        <v>i</v>
      </c>
      <c r="Y5" s="27" t="str">
        <f t="shared" si="9"/>
        <v>í</v>
      </c>
      <c r="Z5" s="27" t="str">
        <f t="shared" si="9"/>
        <v>ì</v>
      </c>
      <c r="AA5" s="27" t="str">
        <f t="shared" si="9"/>
        <v>i</v>
      </c>
      <c r="AB5" s="27" t="str">
        <f t="shared" si="9"/>
        <v>ǐ</v>
      </c>
      <c r="AC5" s="27" t="str">
        <f t="shared" si="9"/>
        <v>í</v>
      </c>
      <c r="AD5" s="27" t="str">
        <f t="shared" si="9"/>
        <v>ī</v>
      </c>
      <c r="AE5" s="27" t="str">
        <f t="shared" si="9"/>
        <v>i̍</v>
      </c>
      <c r="AF5" s="27" t="str">
        <f t="shared" si="9"/>
        <v>i̋</v>
      </c>
      <c r="AG5" s="27" t="str">
        <f t="shared" si="9"/>
        <v>i̊</v>
      </c>
      <c r="AI5" s="28" t="str">
        <f t="shared" ref="AI5:AJ10" si="10" xml:space="preserve"> _xlfn.CONCAT("    - xform/》", $W5, X$2, "/", X5, "/")</f>
        <v xml:space="preserve">    - xform/》i1/i/</v>
      </c>
      <c r="AJ5" s="28" t="str">
        <f t="shared" si="10"/>
        <v xml:space="preserve">    - xform/》i2/í/</v>
      </c>
      <c r="AK5" s="28" t="str">
        <f t="shared" si="3"/>
        <v xml:space="preserve">    - xform/》i3/ì/</v>
      </c>
      <c r="AL5" s="28" t="str">
        <f t="shared" si="3"/>
        <v xml:space="preserve">    - xform/》i4/i/</v>
      </c>
      <c r="AM5" s="28" t="str">
        <f t="shared" si="3"/>
        <v xml:space="preserve">    - xform/》i5/ǐ/</v>
      </c>
      <c r="AN5" s="28" t="str">
        <f t="shared" si="3"/>
        <v xml:space="preserve">    - xform/》i6/í/</v>
      </c>
      <c r="AO5" s="28" t="str">
        <f t="shared" si="3"/>
        <v xml:space="preserve">    - xform/》i7/ī/</v>
      </c>
      <c r="AP5" s="28" t="str">
        <f t="shared" si="3"/>
        <v xml:space="preserve">    - xform/》i8/i̍/</v>
      </c>
      <c r="AQ5" s="28" t="str">
        <f t="shared" si="4"/>
        <v xml:space="preserve">    - xform/》i9/i̋/</v>
      </c>
      <c r="AR5" s="28" t="str">
        <f t="shared" si="4"/>
        <v xml:space="preserve">    - xform/》i9/i̊/</v>
      </c>
      <c r="AS5" s="27"/>
      <c r="AT5" s="27"/>
      <c r="AU5" s="7"/>
    </row>
    <row r="6" spans="1:47" ht="27.75" thickBot="1">
      <c r="A6" s="19">
        <v>3</v>
      </c>
      <c r="B6" s="20" t="s">
        <v>34</v>
      </c>
      <c r="C6" s="21" t="s">
        <v>35</v>
      </c>
      <c r="D6" s="19" t="s">
        <v>35</v>
      </c>
      <c r="E6" s="19" t="s">
        <v>35</v>
      </c>
      <c r="F6" s="19" t="s">
        <v>35</v>
      </c>
      <c r="G6" s="22" t="s">
        <v>35</v>
      </c>
      <c r="H6" s="23" t="s">
        <v>36</v>
      </c>
      <c r="I6" s="19" t="s">
        <v>37</v>
      </c>
      <c r="J6" s="19"/>
      <c r="K6" s="23">
        <f xml:space="preserve"> LEN(C6)</f>
        <v>2</v>
      </c>
      <c r="L6" s="24"/>
      <c r="M6" s="11" t="str">
        <f t="shared" si="0"/>
        <v>ah</v>
      </c>
      <c r="N6" s="11" t="str">
        <f t="shared" si="1"/>
        <v>ah</v>
      </c>
      <c r="P6" s="3" t="str">
        <f t="shared" si="5"/>
        <v>ah(\d)</v>
      </c>
      <c r="Q6" s="5" t="s">
        <v>25</v>
      </c>
      <c r="R6" s="5">
        <f t="shared" si="6"/>
        <v>1</v>
      </c>
      <c r="S6" s="3" t="str">
        <f t="shared" si="7"/>
        <v>》a${1}h</v>
      </c>
      <c r="T6" s="25"/>
      <c r="U6" s="26" t="str">
        <f t="shared" si="8"/>
        <v xml:space="preserve">    - xform/》ah(\d)/》a${1}h/</v>
      </c>
      <c r="W6" s="7" t="s">
        <v>38</v>
      </c>
      <c r="X6" s="27" t="str">
        <f t="shared" si="9"/>
        <v>u</v>
      </c>
      <c r="Y6" s="27" t="str">
        <f t="shared" si="9"/>
        <v>ú</v>
      </c>
      <c r="Z6" s="27" t="str">
        <f t="shared" si="9"/>
        <v>ù</v>
      </c>
      <c r="AA6" s="27" t="str">
        <f t="shared" si="9"/>
        <v>u</v>
      </c>
      <c r="AB6" s="27" t="str">
        <f t="shared" si="9"/>
        <v>ǔ</v>
      </c>
      <c r="AC6" s="27" t="str">
        <f t="shared" si="9"/>
        <v>ú</v>
      </c>
      <c r="AD6" s="27" t="str">
        <f t="shared" si="9"/>
        <v>ū</v>
      </c>
      <c r="AE6" s="27" t="str">
        <f t="shared" si="9"/>
        <v>u̍</v>
      </c>
      <c r="AF6" s="27" t="str">
        <f t="shared" si="9"/>
        <v>ű</v>
      </c>
      <c r="AG6" s="27" t="str">
        <f t="shared" si="9"/>
        <v>ů</v>
      </c>
      <c r="AI6" s="28" t="str">
        <f t="shared" si="10"/>
        <v xml:space="preserve">    - xform/》u1/u/</v>
      </c>
      <c r="AJ6" s="28" t="str">
        <f t="shared" si="10"/>
        <v xml:space="preserve">    - xform/》u2/ú/</v>
      </c>
      <c r="AK6" s="28" t="str">
        <f t="shared" si="3"/>
        <v xml:space="preserve">    - xform/》u3/ù/</v>
      </c>
      <c r="AL6" s="28" t="str">
        <f t="shared" si="3"/>
        <v xml:space="preserve">    - xform/》u4/u/</v>
      </c>
      <c r="AM6" s="28" t="str">
        <f t="shared" si="3"/>
        <v xml:space="preserve">    - xform/》u5/ǔ/</v>
      </c>
      <c r="AN6" s="28" t="str">
        <f t="shared" si="3"/>
        <v xml:space="preserve">    - xform/》u6/ú/</v>
      </c>
      <c r="AO6" s="28" t="str">
        <f t="shared" si="3"/>
        <v xml:space="preserve">    - xform/》u7/ū/</v>
      </c>
      <c r="AP6" s="28" t="str">
        <f t="shared" si="3"/>
        <v xml:space="preserve">    - xform/》u8/u̍/</v>
      </c>
      <c r="AQ6" s="28" t="str">
        <f t="shared" si="4"/>
        <v xml:space="preserve">    - xform/》u9/ű/</v>
      </c>
      <c r="AR6" s="28" t="str">
        <f t="shared" si="4"/>
        <v xml:space="preserve">    - xform/》u9/ů/</v>
      </c>
      <c r="AS6" s="27"/>
      <c r="AT6" s="27"/>
      <c r="AU6" s="7"/>
    </row>
    <row r="7" spans="1:47" ht="27.75" thickBot="1">
      <c r="A7" s="19">
        <v>4</v>
      </c>
      <c r="B7" s="20" t="s">
        <v>39</v>
      </c>
      <c r="C7" s="21" t="s">
        <v>40</v>
      </c>
      <c r="D7" s="19" t="s">
        <v>41</v>
      </c>
      <c r="E7" s="19" t="s">
        <v>40</v>
      </c>
      <c r="F7" s="31" t="s">
        <v>42</v>
      </c>
      <c r="G7" s="22" t="s">
        <v>43</v>
      </c>
      <c r="H7" s="23" t="s">
        <v>44</v>
      </c>
      <c r="I7" s="19" t="s">
        <v>45</v>
      </c>
      <c r="J7" s="29" t="s">
        <v>32</v>
      </c>
      <c r="K7" s="23">
        <f xml:space="preserve"> LEN(C7)</f>
        <v>4</v>
      </c>
      <c r="L7" s="24"/>
      <c r="M7" s="11" t="str">
        <f t="shared" si="0"/>
        <v>annh</v>
      </c>
      <c r="N7" s="11" t="str">
        <f t="shared" si="1"/>
        <v>ahⁿ</v>
      </c>
      <c r="P7" s="3" t="str">
        <f t="shared" si="5"/>
        <v>annh(\d)</v>
      </c>
      <c r="Q7" s="5" t="s">
        <v>25</v>
      </c>
      <c r="R7" s="5">
        <f t="shared" si="6"/>
        <v>1</v>
      </c>
      <c r="S7" s="3" t="str">
        <f t="shared" si="7"/>
        <v>》a${1}hⁿ</v>
      </c>
      <c r="T7" s="25"/>
      <c r="U7" s="26" t="str">
        <f t="shared" si="8"/>
        <v xml:space="preserve">    - xform/》annh(\d)/》a${1}hⁿ/</v>
      </c>
      <c r="W7" s="7" t="s">
        <v>46</v>
      </c>
      <c r="X7" s="27" t="str">
        <f t="shared" si="9"/>
        <v>e</v>
      </c>
      <c r="Y7" s="27" t="str">
        <f t="shared" si="9"/>
        <v>é</v>
      </c>
      <c r="Z7" s="27" t="str">
        <f t="shared" si="9"/>
        <v>è</v>
      </c>
      <c r="AA7" s="27" t="str">
        <f t="shared" si="9"/>
        <v>e</v>
      </c>
      <c r="AB7" s="27" t="str">
        <f t="shared" si="9"/>
        <v>ě</v>
      </c>
      <c r="AC7" s="27" t="str">
        <f t="shared" si="9"/>
        <v>é</v>
      </c>
      <c r="AD7" s="27" t="str">
        <f t="shared" si="9"/>
        <v>ē</v>
      </c>
      <c r="AE7" s="27" t="str">
        <f t="shared" si="9"/>
        <v>e̍</v>
      </c>
      <c r="AF7" s="27" t="str">
        <f t="shared" si="9"/>
        <v>e̋</v>
      </c>
      <c r="AG7" s="27" t="str">
        <f t="shared" si="9"/>
        <v>e̊</v>
      </c>
      <c r="AI7" s="28" t="str">
        <f t="shared" si="10"/>
        <v xml:space="preserve">    - xform/》e1/e/</v>
      </c>
      <c r="AJ7" s="28" t="str">
        <f t="shared" si="10"/>
        <v xml:space="preserve">    - xform/》e2/é/</v>
      </c>
      <c r="AK7" s="28" t="str">
        <f t="shared" si="3"/>
        <v xml:space="preserve">    - xform/》e3/è/</v>
      </c>
      <c r="AL7" s="28" t="str">
        <f t="shared" si="3"/>
        <v xml:space="preserve">    - xform/》e4/e/</v>
      </c>
      <c r="AM7" s="28" t="str">
        <f t="shared" si="3"/>
        <v xml:space="preserve">    - xform/》e5/ě/</v>
      </c>
      <c r="AN7" s="28" t="str">
        <f t="shared" si="3"/>
        <v xml:space="preserve">    - xform/》e6/é/</v>
      </c>
      <c r="AO7" s="28" t="str">
        <f t="shared" si="3"/>
        <v xml:space="preserve">    - xform/》e7/ē/</v>
      </c>
      <c r="AP7" s="28" t="str">
        <f t="shared" si="3"/>
        <v xml:space="preserve">    - xform/》e8/e̍/</v>
      </c>
      <c r="AQ7" s="28" t="str">
        <f t="shared" si="4"/>
        <v xml:space="preserve">    - xform/》e9/e̋/</v>
      </c>
      <c r="AR7" s="28" t="str">
        <f t="shared" si="4"/>
        <v xml:space="preserve">    - xform/》e9/e̊/</v>
      </c>
      <c r="AS7" s="27"/>
      <c r="AT7" s="27"/>
      <c r="AU7" s="7"/>
    </row>
    <row r="8" spans="1:47" ht="27.75" thickBot="1">
      <c r="A8" s="19">
        <v>5</v>
      </c>
      <c r="B8" s="20" t="s">
        <v>47</v>
      </c>
      <c r="C8" s="21" t="s">
        <v>47</v>
      </c>
      <c r="D8" s="19" t="s">
        <v>47</v>
      </c>
      <c r="E8" s="19" t="s">
        <v>47</v>
      </c>
      <c r="F8" s="19" t="s">
        <v>47</v>
      </c>
      <c r="G8" s="22" t="s">
        <v>47</v>
      </c>
      <c r="H8" s="23" t="s">
        <v>48</v>
      </c>
      <c r="I8" s="19" t="s">
        <v>49</v>
      </c>
      <c r="J8" s="19"/>
      <c r="K8" s="23">
        <f xml:space="preserve"> LEN(C8)</f>
        <v>2</v>
      </c>
      <c r="L8" s="24"/>
      <c r="M8" s="11" t="str">
        <f t="shared" si="0"/>
        <v>am</v>
      </c>
      <c r="N8" s="11" t="str">
        <f t="shared" si="1"/>
        <v>am</v>
      </c>
      <c r="P8" s="3" t="str">
        <f t="shared" si="5"/>
        <v>am(\d)</v>
      </c>
      <c r="Q8" s="5" t="s">
        <v>25</v>
      </c>
      <c r="R8" s="5">
        <f t="shared" si="6"/>
        <v>1</v>
      </c>
      <c r="S8" s="3" t="str">
        <f t="shared" si="7"/>
        <v>》a${1}m</v>
      </c>
      <c r="T8" s="25"/>
      <c r="U8" s="26" t="str">
        <f t="shared" si="8"/>
        <v xml:space="preserve">    - xform/》am(\d)/》a${1}m/</v>
      </c>
      <c r="W8" s="7" t="s">
        <v>50</v>
      </c>
      <c r="X8" s="27" t="str">
        <f t="shared" si="9"/>
        <v>o</v>
      </c>
      <c r="Y8" s="27" t="str">
        <f t="shared" si="9"/>
        <v>ó</v>
      </c>
      <c r="Z8" s="27" t="str">
        <f t="shared" si="9"/>
        <v>ò</v>
      </c>
      <c r="AA8" s="27" t="str">
        <f t="shared" si="9"/>
        <v>o</v>
      </c>
      <c r="AB8" s="27" t="str">
        <f t="shared" si="9"/>
        <v>ǒ</v>
      </c>
      <c r="AC8" s="27" t="str">
        <f t="shared" si="9"/>
        <v>ó</v>
      </c>
      <c r="AD8" s="27" t="str">
        <f t="shared" si="9"/>
        <v>ō</v>
      </c>
      <c r="AE8" s="27" t="str">
        <f t="shared" si="9"/>
        <v>o̍</v>
      </c>
      <c r="AF8" s="27" t="str">
        <f t="shared" si="9"/>
        <v>ő</v>
      </c>
      <c r="AG8" s="27" t="str">
        <f t="shared" si="9"/>
        <v>o̊</v>
      </c>
      <c r="AI8" s="28" t="str">
        <f t="shared" si="10"/>
        <v xml:space="preserve">    - xform/》o1/o/</v>
      </c>
      <c r="AJ8" s="28" t="str">
        <f t="shared" si="10"/>
        <v xml:space="preserve">    - xform/》o2/ó/</v>
      </c>
      <c r="AK8" s="28" t="str">
        <f t="shared" si="3"/>
        <v xml:space="preserve">    - xform/》o3/ò/</v>
      </c>
      <c r="AL8" s="28" t="str">
        <f t="shared" si="3"/>
        <v xml:space="preserve">    - xform/》o4/o/</v>
      </c>
      <c r="AM8" s="28" t="str">
        <f t="shared" si="3"/>
        <v xml:space="preserve">    - xform/》o5/ǒ/</v>
      </c>
      <c r="AN8" s="28" t="str">
        <f t="shared" si="3"/>
        <v xml:space="preserve">    - xform/》o6/ó/</v>
      </c>
      <c r="AO8" s="28" t="str">
        <f t="shared" si="3"/>
        <v xml:space="preserve">    - xform/》o7/ō/</v>
      </c>
      <c r="AP8" s="28" t="str">
        <f t="shared" si="3"/>
        <v xml:space="preserve">    - xform/》o8/o̍/</v>
      </c>
      <c r="AQ8" s="28" t="str">
        <f t="shared" si="4"/>
        <v xml:space="preserve">    - xform/》o9/ő/</v>
      </c>
      <c r="AR8" s="28" t="str">
        <f t="shared" si="4"/>
        <v xml:space="preserve">    - xform/》o9/o̊/</v>
      </c>
      <c r="AS8" s="27"/>
      <c r="AT8" s="27"/>
      <c r="AU8" s="7"/>
    </row>
    <row r="9" spans="1:47" ht="27.75" thickBot="1">
      <c r="A9" s="19">
        <v>6</v>
      </c>
      <c r="B9" s="20" t="s">
        <v>51</v>
      </c>
      <c r="C9" s="21" t="s">
        <v>51</v>
      </c>
      <c r="D9" s="19" t="s">
        <v>51</v>
      </c>
      <c r="E9" s="19" t="s">
        <v>51</v>
      </c>
      <c r="F9" s="19" t="s">
        <v>51</v>
      </c>
      <c r="G9" s="22" t="s">
        <v>51</v>
      </c>
      <c r="H9" s="23" t="s">
        <v>52</v>
      </c>
      <c r="I9" s="19" t="s">
        <v>53</v>
      </c>
      <c r="J9" s="19"/>
      <c r="K9" s="23">
        <f xml:space="preserve"> LEN(C9)</f>
        <v>2</v>
      </c>
      <c r="L9" s="24"/>
      <c r="M9" s="11" t="str">
        <f t="shared" si="0"/>
        <v>an</v>
      </c>
      <c r="N9" s="11" t="str">
        <f t="shared" si="1"/>
        <v>an</v>
      </c>
      <c r="P9" s="3" t="str">
        <f t="shared" si="5"/>
        <v>an(\d)</v>
      </c>
      <c r="Q9" s="5" t="s">
        <v>25</v>
      </c>
      <c r="R9" s="5">
        <f t="shared" si="6"/>
        <v>1</v>
      </c>
      <c r="S9" s="3" t="str">
        <f t="shared" si="7"/>
        <v>》a${1}n</v>
      </c>
      <c r="T9" s="25"/>
      <c r="U9" s="26" t="str">
        <f t="shared" si="8"/>
        <v xml:space="preserve">    - xform/》an(\d)/》a${1}n/</v>
      </c>
      <c r="W9" s="7" t="s">
        <v>54</v>
      </c>
      <c r="X9" s="27" t="str">
        <f t="shared" si="9"/>
        <v>m</v>
      </c>
      <c r="Y9" s="27" t="str">
        <f t="shared" si="9"/>
        <v>ḿ</v>
      </c>
      <c r="Z9" s="27" t="str">
        <f t="shared" si="9"/>
        <v>m̀</v>
      </c>
      <c r="AA9" s="27" t="str">
        <f t="shared" si="9"/>
        <v>m</v>
      </c>
      <c r="AB9" s="27" t="str">
        <f t="shared" si="9"/>
        <v>m̌</v>
      </c>
      <c r="AC9" s="27" t="str">
        <f t="shared" si="9"/>
        <v>ḿ</v>
      </c>
      <c r="AD9" s="27" t="str">
        <f t="shared" si="9"/>
        <v>m̄</v>
      </c>
      <c r="AE9" s="27" t="str">
        <f t="shared" si="9"/>
        <v>m̍</v>
      </c>
      <c r="AF9" s="27" t="str">
        <f t="shared" si="9"/>
        <v>m̋</v>
      </c>
      <c r="AG9" s="27" t="str">
        <f t="shared" si="9"/>
        <v>m̊</v>
      </c>
      <c r="AI9" s="28" t="str">
        <f t="shared" si="10"/>
        <v xml:space="preserve">    - xform/》m1/m/</v>
      </c>
      <c r="AJ9" s="28" t="str">
        <f t="shared" si="10"/>
        <v xml:space="preserve">    - xform/》m2/ḿ/</v>
      </c>
      <c r="AK9" s="28" t="str">
        <f t="shared" si="3"/>
        <v xml:space="preserve">    - xform/》m3/m̀/</v>
      </c>
      <c r="AL9" s="28" t="str">
        <f t="shared" si="3"/>
        <v xml:space="preserve">    - xform/》m4/m/</v>
      </c>
      <c r="AM9" s="28" t="str">
        <f t="shared" si="3"/>
        <v xml:space="preserve">    - xform/》m5/m̌/</v>
      </c>
      <c r="AN9" s="28" t="str">
        <f t="shared" si="3"/>
        <v xml:space="preserve">    - xform/》m6/ḿ/</v>
      </c>
      <c r="AO9" s="28" t="str">
        <f t="shared" si="3"/>
        <v xml:space="preserve">    - xform/》m7/m̄/</v>
      </c>
      <c r="AP9" s="28" t="str">
        <f t="shared" si="3"/>
        <v xml:space="preserve">    - xform/》m8/m̍/</v>
      </c>
      <c r="AQ9" s="28" t="str">
        <f t="shared" si="4"/>
        <v xml:space="preserve">    - xform/》m9/m̋/</v>
      </c>
      <c r="AR9" s="28" t="str">
        <f t="shared" si="4"/>
        <v xml:space="preserve">    - xform/》m9/m̊/</v>
      </c>
      <c r="AS9" s="27"/>
      <c r="AT9" s="27"/>
      <c r="AU9" s="7"/>
    </row>
    <row r="10" spans="1:47" ht="27.75" thickBot="1">
      <c r="A10" s="19">
        <v>7</v>
      </c>
      <c r="B10" s="20" t="s">
        <v>55</v>
      </c>
      <c r="C10" s="21" t="s">
        <v>56</v>
      </c>
      <c r="D10" s="19" t="s">
        <v>56</v>
      </c>
      <c r="E10" s="19" t="s">
        <v>56</v>
      </c>
      <c r="F10" s="19" t="s">
        <v>56</v>
      </c>
      <c r="G10" s="22" t="s">
        <v>56</v>
      </c>
      <c r="H10" s="23" t="s">
        <v>57</v>
      </c>
      <c r="I10" s="19" t="s">
        <v>58</v>
      </c>
      <c r="J10" s="19"/>
      <c r="K10" s="23">
        <f xml:space="preserve"> LEN(C10)</f>
        <v>3</v>
      </c>
      <c r="L10" s="24"/>
      <c r="M10" s="11" t="str">
        <f t="shared" si="0"/>
        <v>ang</v>
      </c>
      <c r="N10" s="11" t="str">
        <f t="shared" si="1"/>
        <v>ang</v>
      </c>
      <c r="P10" s="3" t="str">
        <f t="shared" si="5"/>
        <v>ang(\d)</v>
      </c>
      <c r="Q10" s="5" t="s">
        <v>25</v>
      </c>
      <c r="R10" s="5">
        <f t="shared" si="6"/>
        <v>1</v>
      </c>
      <c r="S10" s="3" t="str">
        <f t="shared" si="7"/>
        <v>》a${1}ng</v>
      </c>
      <c r="T10" s="25"/>
      <c r="U10" s="26" t="str">
        <f t="shared" si="8"/>
        <v xml:space="preserve">    - xform/》ang(\d)/》a${1}ng/</v>
      </c>
      <c r="W10" s="7" t="s">
        <v>59</v>
      </c>
      <c r="X10" s="27" t="str">
        <f t="shared" si="9"/>
        <v>n</v>
      </c>
      <c r="Y10" s="27" t="str">
        <f t="shared" si="9"/>
        <v>ń</v>
      </c>
      <c r="Z10" s="27" t="str">
        <f t="shared" si="9"/>
        <v>ǹ</v>
      </c>
      <c r="AA10" s="27" t="str">
        <f t="shared" si="9"/>
        <v>n</v>
      </c>
      <c r="AB10" s="27" t="str">
        <f t="shared" si="9"/>
        <v>ň</v>
      </c>
      <c r="AC10" s="27" t="str">
        <f t="shared" si="9"/>
        <v>ń</v>
      </c>
      <c r="AD10" s="27" t="str">
        <f t="shared" si="9"/>
        <v>n̄</v>
      </c>
      <c r="AE10" s="27" t="str">
        <f t="shared" si="9"/>
        <v>n̍</v>
      </c>
      <c r="AF10" s="27" t="str">
        <f t="shared" si="9"/>
        <v>n̋</v>
      </c>
      <c r="AG10" s="27" t="str">
        <f t="shared" si="9"/>
        <v>n̊</v>
      </c>
      <c r="AI10" s="28" t="str">
        <f t="shared" si="10"/>
        <v xml:space="preserve">    - xform/》n1/n/</v>
      </c>
      <c r="AJ10" s="28" t="str">
        <f t="shared" si="10"/>
        <v xml:space="preserve">    - xform/》n2/ń/</v>
      </c>
      <c r="AK10" s="28" t="str">
        <f t="shared" si="3"/>
        <v xml:space="preserve">    - xform/》n3/ǹ/</v>
      </c>
      <c r="AL10" s="28" t="str">
        <f t="shared" si="3"/>
        <v xml:space="preserve">    - xform/》n4/n/</v>
      </c>
      <c r="AM10" s="28" t="str">
        <f t="shared" si="3"/>
        <v xml:space="preserve">    - xform/》n5/ň/</v>
      </c>
      <c r="AN10" s="28" t="str">
        <f t="shared" si="3"/>
        <v xml:space="preserve">    - xform/》n6/ń/</v>
      </c>
      <c r="AO10" s="28" t="str">
        <f t="shared" si="3"/>
        <v xml:space="preserve">    - xform/》n7/n̄/</v>
      </c>
      <c r="AP10" s="28" t="str">
        <f t="shared" si="3"/>
        <v xml:space="preserve">    - xform/》n8/n̍/</v>
      </c>
      <c r="AQ10" s="28" t="str">
        <f t="shared" si="4"/>
        <v xml:space="preserve">    - xform/》n9/n̋/</v>
      </c>
      <c r="AR10" s="28" t="str">
        <f t="shared" si="4"/>
        <v xml:space="preserve">    - xform/》n9/n̊/</v>
      </c>
      <c r="AS10" s="27"/>
      <c r="AT10" s="27"/>
      <c r="AU10" s="7"/>
    </row>
    <row r="11" spans="1:47" ht="27.75" thickBot="1">
      <c r="A11" s="19">
        <v>8</v>
      </c>
      <c r="B11" s="20" t="s">
        <v>60</v>
      </c>
      <c r="C11" s="21" t="s">
        <v>61</v>
      </c>
      <c r="D11" s="19" t="s">
        <v>61</v>
      </c>
      <c r="E11" s="19" t="s">
        <v>61</v>
      </c>
      <c r="F11" s="19" t="s">
        <v>61</v>
      </c>
      <c r="G11" s="22" t="s">
        <v>61</v>
      </c>
      <c r="H11" s="23" t="s">
        <v>62</v>
      </c>
      <c r="I11" s="19" t="s">
        <v>63</v>
      </c>
      <c r="J11" s="19"/>
      <c r="K11" s="23">
        <f xml:space="preserve"> LEN(C11)</f>
        <v>2</v>
      </c>
      <c r="L11" s="24"/>
      <c r="M11" s="11" t="str">
        <f t="shared" si="0"/>
        <v>ap</v>
      </c>
      <c r="N11" s="11" t="str">
        <f t="shared" si="1"/>
        <v>ap</v>
      </c>
      <c r="P11" s="3" t="str">
        <f t="shared" si="5"/>
        <v>ap(\d)</v>
      </c>
      <c r="Q11" s="5" t="s">
        <v>25</v>
      </c>
      <c r="R11" s="5">
        <f t="shared" si="6"/>
        <v>1</v>
      </c>
      <c r="S11" s="3" t="str">
        <f t="shared" si="7"/>
        <v>》a${1}p</v>
      </c>
      <c r="T11" s="25"/>
      <c r="U11" s="26" t="str">
        <f t="shared" si="8"/>
        <v xml:space="preserve">    - xform/》ap(\d)/》a${1}p/</v>
      </c>
    </row>
    <row r="12" spans="1:47" ht="27.75" thickBot="1">
      <c r="A12" s="19">
        <v>9</v>
      </c>
      <c r="B12" s="20" t="s">
        <v>64</v>
      </c>
      <c r="C12" s="21" t="s">
        <v>65</v>
      </c>
      <c r="D12" s="19" t="s">
        <v>65</v>
      </c>
      <c r="E12" s="19" t="s">
        <v>65</v>
      </c>
      <c r="F12" s="19" t="s">
        <v>65</v>
      </c>
      <c r="G12" s="22" t="s">
        <v>65</v>
      </c>
      <c r="H12" s="23" t="s">
        <v>66</v>
      </c>
      <c r="I12" s="19" t="s">
        <v>67</v>
      </c>
      <c r="J12" s="19"/>
      <c r="K12" s="23">
        <f xml:space="preserve"> LEN(C12)</f>
        <v>2</v>
      </c>
      <c r="L12" s="24"/>
      <c r="M12" s="11" t="str">
        <f t="shared" si="0"/>
        <v>at</v>
      </c>
      <c r="N12" s="11" t="str">
        <f t="shared" si="1"/>
        <v>at</v>
      </c>
      <c r="P12" s="3" t="str">
        <f t="shared" si="5"/>
        <v>at(\d)</v>
      </c>
      <c r="Q12" s="5" t="s">
        <v>25</v>
      </c>
      <c r="R12" s="5">
        <f t="shared" si="6"/>
        <v>1</v>
      </c>
      <c r="S12" s="3" t="str">
        <f t="shared" si="7"/>
        <v>》a${1}t</v>
      </c>
      <c r="T12" s="25"/>
      <c r="U12" s="26" t="str">
        <f t="shared" si="8"/>
        <v xml:space="preserve">    - xform/》at(\d)/》a${1}t/</v>
      </c>
    </row>
    <row r="13" spans="1:47" ht="27.75" thickBot="1">
      <c r="A13" s="19">
        <v>10</v>
      </c>
      <c r="B13" s="20" t="s">
        <v>68</v>
      </c>
      <c r="C13" s="21" t="s">
        <v>69</v>
      </c>
      <c r="D13" s="19" t="s">
        <v>69</v>
      </c>
      <c r="E13" s="19" t="s">
        <v>69</v>
      </c>
      <c r="F13" s="19" t="s">
        <v>69</v>
      </c>
      <c r="G13" s="22" t="s">
        <v>69</v>
      </c>
      <c r="H13" s="23" t="s">
        <v>70</v>
      </c>
      <c r="I13" s="19" t="s">
        <v>71</v>
      </c>
      <c r="J13" s="19"/>
      <c r="K13" s="23">
        <f xml:space="preserve"> LEN(C13)</f>
        <v>2</v>
      </c>
      <c r="L13" s="24"/>
      <c r="M13" s="11" t="str">
        <f t="shared" si="0"/>
        <v>ak</v>
      </c>
      <c r="N13" s="11" t="str">
        <f t="shared" si="1"/>
        <v>ak</v>
      </c>
      <c r="P13" s="3" t="str">
        <f t="shared" si="5"/>
        <v>ak(\d)</v>
      </c>
      <c r="Q13" s="5" t="s">
        <v>25</v>
      </c>
      <c r="R13" s="5">
        <f t="shared" si="6"/>
        <v>1</v>
      </c>
      <c r="S13" s="3" t="str">
        <f t="shared" si="7"/>
        <v>》a${1}k</v>
      </c>
      <c r="T13" s="25"/>
      <c r="U13" s="26" t="str">
        <f t="shared" si="8"/>
        <v xml:space="preserve">    - xform/》ak(\d)/》a${1}k/</v>
      </c>
    </row>
    <row r="14" spans="1:47" ht="27.75" thickBot="1">
      <c r="A14" s="19">
        <v>11</v>
      </c>
      <c r="B14" s="20" t="s">
        <v>72</v>
      </c>
      <c r="C14" s="21" t="s">
        <v>73</v>
      </c>
      <c r="D14" s="19" t="s">
        <v>73</v>
      </c>
      <c r="E14" s="19" t="s">
        <v>73</v>
      </c>
      <c r="F14" s="19" t="s">
        <v>73</v>
      </c>
      <c r="G14" s="22" t="s">
        <v>73</v>
      </c>
      <c r="H14" s="23" t="s">
        <v>74</v>
      </c>
      <c r="I14" s="19" t="s">
        <v>75</v>
      </c>
      <c r="J14" s="19"/>
      <c r="K14" s="23">
        <f xml:space="preserve"> LEN(C14)</f>
        <v>2</v>
      </c>
      <c r="L14" s="24"/>
      <c r="M14" s="11" t="str">
        <f t="shared" si="0"/>
        <v>ai</v>
      </c>
      <c r="N14" s="11" t="str">
        <f t="shared" si="1"/>
        <v>ai</v>
      </c>
      <c r="P14" s="3" t="str">
        <f t="shared" si="5"/>
        <v>ai(\d)</v>
      </c>
      <c r="Q14" s="5" t="s">
        <v>25</v>
      </c>
      <c r="R14" s="5">
        <f t="shared" si="6"/>
        <v>1</v>
      </c>
      <c r="S14" s="3" t="str">
        <f t="shared" si="7"/>
        <v>》a${1}i</v>
      </c>
      <c r="T14" s="25"/>
      <c r="U14" s="26" t="str">
        <f t="shared" si="8"/>
        <v xml:space="preserve">    - xform/》ai(\d)/》a${1}i/</v>
      </c>
    </row>
    <row r="15" spans="1:47" ht="27.75" thickBot="1">
      <c r="A15" s="19">
        <v>12</v>
      </c>
      <c r="B15" s="20" t="s">
        <v>76</v>
      </c>
      <c r="C15" s="21" t="s">
        <v>77</v>
      </c>
      <c r="D15" s="19" t="s">
        <v>77</v>
      </c>
      <c r="E15" s="19" t="s">
        <v>77</v>
      </c>
      <c r="F15" s="19" t="s">
        <v>78</v>
      </c>
      <c r="G15" s="22" t="s">
        <v>79</v>
      </c>
      <c r="H15" s="23" t="s">
        <v>80</v>
      </c>
      <c r="I15" s="19" t="s">
        <v>81</v>
      </c>
      <c r="J15" s="29" t="s">
        <v>32</v>
      </c>
      <c r="K15" s="23">
        <f xml:space="preserve"> LEN(C15)</f>
        <v>4</v>
      </c>
      <c r="L15" s="24"/>
      <c r="M15" s="11" t="str">
        <f t="shared" si="0"/>
        <v>ainn</v>
      </c>
      <c r="N15" s="11" t="str">
        <f t="shared" si="1"/>
        <v>aiⁿ</v>
      </c>
      <c r="P15" s="3" t="str">
        <f t="shared" si="5"/>
        <v>ainn(\d)</v>
      </c>
      <c r="Q15" s="5" t="s">
        <v>25</v>
      </c>
      <c r="R15" s="5">
        <f t="shared" si="6"/>
        <v>1</v>
      </c>
      <c r="S15" s="3" t="str">
        <f t="shared" si="7"/>
        <v>》a${1}iⁿ</v>
      </c>
      <c r="T15" s="25"/>
      <c r="U15" s="26" t="str">
        <f t="shared" si="8"/>
        <v xml:space="preserve">    - xform/》ainn(\d)/》a${1}iⁿ/</v>
      </c>
    </row>
    <row r="16" spans="1:47" ht="30.75" thickBot="1">
      <c r="A16" s="19">
        <v>13</v>
      </c>
      <c r="B16" s="20" t="s">
        <v>82</v>
      </c>
      <c r="C16" s="21" t="s">
        <v>83</v>
      </c>
      <c r="D16" s="31" t="s">
        <v>83</v>
      </c>
      <c r="E16" s="31" t="s">
        <v>83</v>
      </c>
      <c r="F16" s="31" t="s">
        <v>83</v>
      </c>
      <c r="G16" s="31" t="s">
        <v>83</v>
      </c>
      <c r="H16" s="32" t="s">
        <v>84</v>
      </c>
      <c r="I16" s="33" t="s">
        <v>85</v>
      </c>
      <c r="J16" s="19"/>
      <c r="K16" s="23">
        <f xml:space="preserve"> LEN(C16)</f>
        <v>3</v>
      </c>
      <c r="L16" s="24"/>
      <c r="M16" s="11" t="str">
        <f t="shared" si="0"/>
        <v>aih</v>
      </c>
      <c r="N16" s="11" t="str">
        <f t="shared" si="1"/>
        <v>aih</v>
      </c>
      <c r="P16" s="3" t="str">
        <f t="shared" si="5"/>
        <v>aih(\d)</v>
      </c>
      <c r="Q16" s="5" t="s">
        <v>25</v>
      </c>
      <c r="R16" s="5">
        <f t="shared" si="6"/>
        <v>1</v>
      </c>
      <c r="S16" s="3" t="str">
        <f t="shared" si="7"/>
        <v>》a${1}ih</v>
      </c>
      <c r="T16" s="25"/>
      <c r="U16" s="26" t="str">
        <f t="shared" si="8"/>
        <v xml:space="preserve">    - xform/》aih(\d)/》a${1}ih/</v>
      </c>
    </row>
    <row r="17" spans="1:21" ht="27.75" thickBot="1">
      <c r="A17" s="19">
        <v>14</v>
      </c>
      <c r="B17" s="20" t="s">
        <v>86</v>
      </c>
      <c r="C17" s="21" t="s">
        <v>86</v>
      </c>
      <c r="D17" s="19" t="s">
        <v>86</v>
      </c>
      <c r="E17" s="19" t="s">
        <v>86</v>
      </c>
      <c r="F17" s="19" t="s">
        <v>87</v>
      </c>
      <c r="G17" s="22" t="s">
        <v>86</v>
      </c>
      <c r="H17" s="23" t="s">
        <v>88</v>
      </c>
      <c r="I17" s="19" t="s">
        <v>89</v>
      </c>
      <c r="J17" s="19"/>
      <c r="K17" s="23">
        <f xml:space="preserve"> LEN(C17)</f>
        <v>2</v>
      </c>
      <c r="L17" s="24"/>
      <c r="M17" s="11" t="str">
        <f t="shared" si="0"/>
        <v>au</v>
      </c>
      <c r="N17" s="11" t="str">
        <f t="shared" si="1"/>
        <v>au</v>
      </c>
      <c r="P17" s="3" t="str">
        <f t="shared" si="5"/>
        <v>au(\d)</v>
      </c>
      <c r="Q17" s="5" t="s">
        <v>25</v>
      </c>
      <c r="R17" s="5">
        <f t="shared" si="6"/>
        <v>1</v>
      </c>
      <c r="S17" s="3" t="str">
        <f t="shared" si="7"/>
        <v>》a${1}u</v>
      </c>
      <c r="T17" s="25"/>
      <c r="U17" s="26" t="str">
        <f t="shared" si="8"/>
        <v xml:space="preserve">    - xform/》au(\d)/》a${1}u/</v>
      </c>
    </row>
    <row r="18" spans="1:21" ht="27.75" thickBot="1">
      <c r="A18" s="19">
        <v>15</v>
      </c>
      <c r="B18" s="20" t="s">
        <v>90</v>
      </c>
      <c r="C18" s="21" t="s">
        <v>91</v>
      </c>
      <c r="D18" s="19" t="s">
        <v>91</v>
      </c>
      <c r="E18" s="19" t="s">
        <v>91</v>
      </c>
      <c r="F18" s="19" t="s">
        <v>92</v>
      </c>
      <c r="G18" s="22" t="s">
        <v>91</v>
      </c>
      <c r="H18" s="23" t="s">
        <v>93</v>
      </c>
      <c r="I18" s="19" t="s">
        <v>94</v>
      </c>
      <c r="J18" s="19"/>
      <c r="K18" s="23">
        <f xml:space="preserve"> LEN(C18)</f>
        <v>3</v>
      </c>
      <c r="L18" s="24"/>
      <c r="M18" s="11" t="str">
        <f t="shared" si="0"/>
        <v>auh</v>
      </c>
      <c r="N18" s="11" t="str">
        <f t="shared" si="1"/>
        <v>auh</v>
      </c>
      <c r="P18" s="3" t="str">
        <f t="shared" si="5"/>
        <v>auh(\d)</v>
      </c>
      <c r="Q18" s="5" t="s">
        <v>25</v>
      </c>
      <c r="R18" s="5">
        <f t="shared" si="6"/>
        <v>1</v>
      </c>
      <c r="S18" s="3" t="str">
        <f t="shared" si="7"/>
        <v>》a${1}uh</v>
      </c>
      <c r="T18" s="25"/>
      <c r="U18" s="26" t="str">
        <f t="shared" si="8"/>
        <v xml:space="preserve">    - xform/》auh(\d)/》a${1}uh/</v>
      </c>
    </row>
    <row r="19" spans="1:21" ht="27.75" thickBot="1">
      <c r="A19" s="19">
        <v>16</v>
      </c>
      <c r="B19" s="20" t="s">
        <v>95</v>
      </c>
      <c r="C19" s="21" t="s">
        <v>95</v>
      </c>
      <c r="D19" s="19" t="s">
        <v>96</v>
      </c>
      <c r="E19" s="19" t="s">
        <v>95</v>
      </c>
      <c r="F19" s="19" t="s">
        <v>95</v>
      </c>
      <c r="G19" s="22" t="s">
        <v>552</v>
      </c>
      <c r="H19" s="23" t="s">
        <v>97</v>
      </c>
      <c r="I19" s="19" t="s">
        <v>98</v>
      </c>
      <c r="J19" s="19"/>
      <c r="K19" s="23">
        <f xml:space="preserve"> LEN(C19)</f>
        <v>1</v>
      </c>
      <c r="L19" s="24"/>
      <c r="M19" s="11" t="str">
        <f t="shared" si="0"/>
        <v>e</v>
      </c>
      <c r="N19" s="11" t="str">
        <f t="shared" si="1"/>
        <v>e</v>
      </c>
      <c r="P19" s="3" t="str">
        <f t="shared" si="5"/>
        <v>e(\d)</v>
      </c>
      <c r="Q19" s="5" t="s">
        <v>25</v>
      </c>
      <c r="R19" s="5" t="str">
        <f t="shared" si="6"/>
        <v/>
      </c>
      <c r="S19" s="3" t="str">
        <f t="shared" si="7"/>
        <v/>
      </c>
      <c r="T19" s="25"/>
      <c r="U19" s="26" t="str">
        <f t="shared" si="8"/>
        <v xml:space="preserve">    - xform/》e(\d)//</v>
      </c>
    </row>
    <row r="20" spans="1:21" ht="27.75" thickBot="1">
      <c r="A20" s="19">
        <v>17</v>
      </c>
      <c r="B20" s="20" t="s">
        <v>99</v>
      </c>
      <c r="C20" s="21" t="s">
        <v>100</v>
      </c>
      <c r="D20" s="19" t="s">
        <v>100</v>
      </c>
      <c r="E20" s="19" t="s">
        <v>100</v>
      </c>
      <c r="F20" s="19" t="s">
        <v>101</v>
      </c>
      <c r="G20" s="22" t="s">
        <v>102</v>
      </c>
      <c r="H20" s="23" t="s">
        <v>103</v>
      </c>
      <c r="I20" s="19" t="s">
        <v>104</v>
      </c>
      <c r="J20" s="29" t="s">
        <v>32</v>
      </c>
      <c r="K20" s="23">
        <f xml:space="preserve"> LEN(C20)</f>
        <v>3</v>
      </c>
      <c r="L20" s="24"/>
      <c r="M20" s="11" t="str">
        <f t="shared" si="0"/>
        <v>enn</v>
      </c>
      <c r="N20" s="11" t="str">
        <f t="shared" si="1"/>
        <v>eⁿ</v>
      </c>
      <c r="P20" s="3" t="str">
        <f t="shared" si="5"/>
        <v>enn(\d)</v>
      </c>
      <c r="Q20" s="5" t="s">
        <v>46</v>
      </c>
      <c r="R20" s="5">
        <f t="shared" si="6"/>
        <v>1</v>
      </c>
      <c r="S20" s="3" t="str">
        <f t="shared" si="7"/>
        <v>》e${1}ⁿ</v>
      </c>
      <c r="T20" s="25"/>
      <c r="U20" s="26" t="str">
        <f t="shared" si="8"/>
        <v xml:space="preserve">    - xform/》enn(\d)/》e${1}ⁿ/</v>
      </c>
    </row>
    <row r="21" spans="1:21" ht="27.75" thickBot="1">
      <c r="A21" s="19">
        <v>18</v>
      </c>
      <c r="B21" s="20" t="s">
        <v>105</v>
      </c>
      <c r="C21" s="21" t="s">
        <v>106</v>
      </c>
      <c r="D21" s="19" t="s">
        <v>106</v>
      </c>
      <c r="E21" s="19" t="s">
        <v>106</v>
      </c>
      <c r="F21" s="19" t="s">
        <v>106</v>
      </c>
      <c r="G21" s="22" t="s">
        <v>106</v>
      </c>
      <c r="H21" s="23" t="s">
        <v>107</v>
      </c>
      <c r="I21" s="19" t="s">
        <v>108</v>
      </c>
      <c r="J21" s="19"/>
      <c r="K21" s="23">
        <f xml:space="preserve"> LEN(C21)</f>
        <v>2</v>
      </c>
      <c r="L21" s="24"/>
      <c r="M21" s="11" t="str">
        <f t="shared" si="0"/>
        <v>eh</v>
      </c>
      <c r="N21" s="11" t="str">
        <f t="shared" si="1"/>
        <v>eh</v>
      </c>
      <c r="P21" s="3" t="str">
        <f t="shared" si="5"/>
        <v>eh(\d)</v>
      </c>
      <c r="Q21" s="5" t="s">
        <v>46</v>
      </c>
      <c r="R21" s="5">
        <f t="shared" si="6"/>
        <v>1</v>
      </c>
      <c r="S21" s="3" t="str">
        <f t="shared" si="7"/>
        <v>》e${1}h</v>
      </c>
      <c r="T21" s="25"/>
      <c r="U21" s="26" t="str">
        <f t="shared" si="8"/>
        <v xml:space="preserve">    - xform/》eh(\d)/》e${1}h/</v>
      </c>
    </row>
    <row r="22" spans="1:21" ht="30.75" thickBot="1">
      <c r="A22" s="19">
        <v>19</v>
      </c>
      <c r="B22" s="20" t="s">
        <v>109</v>
      </c>
      <c r="C22" s="21" t="s">
        <v>110</v>
      </c>
      <c r="D22" s="31" t="s">
        <v>110</v>
      </c>
      <c r="E22" s="31" t="s">
        <v>110</v>
      </c>
      <c r="F22" s="31" t="s">
        <v>110</v>
      </c>
      <c r="G22" s="31" t="s">
        <v>550</v>
      </c>
      <c r="H22" s="32" t="s">
        <v>111</v>
      </c>
      <c r="I22" s="34" t="s">
        <v>112</v>
      </c>
      <c r="J22" s="29" t="s">
        <v>32</v>
      </c>
      <c r="K22" s="23">
        <f xml:space="preserve"> LEN(C22)</f>
        <v>4</v>
      </c>
      <c r="L22" s="24"/>
      <c r="M22" s="11" t="str">
        <f t="shared" si="0"/>
        <v>ennh</v>
      </c>
      <c r="N22" s="11" t="str">
        <f t="shared" si="1"/>
        <v>ehⁿ</v>
      </c>
      <c r="P22" s="3" t="str">
        <f t="shared" si="5"/>
        <v>ennh(\d)</v>
      </c>
      <c r="Q22" s="5" t="s">
        <v>46</v>
      </c>
      <c r="R22" s="5">
        <f t="shared" si="6"/>
        <v>1</v>
      </c>
      <c r="S22" s="3" t="str">
        <f t="shared" si="7"/>
        <v>》e${1}hⁿ</v>
      </c>
      <c r="T22" s="25"/>
      <c r="U22" s="26" t="str">
        <f t="shared" si="8"/>
        <v xml:space="preserve">    - xform/》ennh(\d)/》e${1}hⁿ/</v>
      </c>
    </row>
    <row r="23" spans="1:21" ht="27.75" thickBot="1">
      <c r="A23" s="19">
        <v>20</v>
      </c>
      <c r="B23" s="20" t="s">
        <v>113</v>
      </c>
      <c r="C23" s="21" t="s">
        <v>113</v>
      </c>
      <c r="D23" s="19" t="s">
        <v>113</v>
      </c>
      <c r="E23" s="19" t="s">
        <v>113</v>
      </c>
      <c r="F23" s="19" t="s">
        <v>113</v>
      </c>
      <c r="G23" s="22" t="s">
        <v>113</v>
      </c>
      <c r="H23" s="23" t="s">
        <v>114</v>
      </c>
      <c r="I23" s="19" t="s">
        <v>115</v>
      </c>
      <c r="J23" s="19"/>
      <c r="K23" s="23">
        <f xml:space="preserve"> LEN(C23)</f>
        <v>1</v>
      </c>
      <c r="L23" s="24"/>
      <c r="M23" s="11" t="str">
        <f t="shared" si="0"/>
        <v>i</v>
      </c>
      <c r="N23" s="11" t="str">
        <f t="shared" si="1"/>
        <v>i</v>
      </c>
      <c r="P23" s="3" t="str">
        <f t="shared" si="5"/>
        <v>i(\d)</v>
      </c>
      <c r="Q23" s="5" t="s">
        <v>33</v>
      </c>
      <c r="R23" s="5">
        <f t="shared" si="6"/>
        <v>1</v>
      </c>
      <c r="S23" s="3" t="str">
        <f t="shared" si="7"/>
        <v>》i${1}</v>
      </c>
      <c r="T23" s="25"/>
      <c r="U23" s="26" t="str">
        <f t="shared" si="8"/>
        <v xml:space="preserve">    - xform/》i(\d)/》i${1}/</v>
      </c>
    </row>
    <row r="24" spans="1:21" ht="27.75" thickBot="1">
      <c r="A24" s="19">
        <v>21</v>
      </c>
      <c r="B24" s="20" t="s">
        <v>116</v>
      </c>
      <c r="C24" s="21" t="s">
        <v>117</v>
      </c>
      <c r="D24" s="19" t="s">
        <v>117</v>
      </c>
      <c r="E24" s="19" t="s">
        <v>117</v>
      </c>
      <c r="F24" s="19" t="s">
        <v>118</v>
      </c>
      <c r="G24" s="22" t="s">
        <v>119</v>
      </c>
      <c r="H24" s="23" t="s">
        <v>120</v>
      </c>
      <c r="I24" s="19" t="s">
        <v>121</v>
      </c>
      <c r="J24" s="29" t="s">
        <v>32</v>
      </c>
      <c r="K24" s="23">
        <f xml:space="preserve"> LEN(C24)</f>
        <v>3</v>
      </c>
      <c r="L24" s="24"/>
      <c r="M24" s="11" t="str">
        <f t="shared" si="0"/>
        <v>inn</v>
      </c>
      <c r="N24" s="11" t="str">
        <f t="shared" si="1"/>
        <v>iⁿ</v>
      </c>
      <c r="P24" s="3" t="str">
        <f t="shared" si="5"/>
        <v>inn(\d)</v>
      </c>
      <c r="Q24" s="5" t="s">
        <v>33</v>
      </c>
      <c r="R24" s="5">
        <f t="shared" si="6"/>
        <v>1</v>
      </c>
      <c r="S24" s="3" t="str">
        <f t="shared" si="7"/>
        <v>》i${1}ⁿ</v>
      </c>
      <c r="T24" s="25"/>
      <c r="U24" s="26" t="str">
        <f t="shared" si="8"/>
        <v xml:space="preserve">    - xform/》inn(\d)/》i${1}ⁿ/</v>
      </c>
    </row>
    <row r="25" spans="1:21" ht="27.75" thickBot="1">
      <c r="A25" s="19">
        <v>22</v>
      </c>
      <c r="B25" s="20" t="s">
        <v>122</v>
      </c>
      <c r="C25" s="21" t="s">
        <v>123</v>
      </c>
      <c r="D25" s="19" t="s">
        <v>123</v>
      </c>
      <c r="E25" s="19" t="s">
        <v>123</v>
      </c>
      <c r="F25" s="19" t="s">
        <v>123</v>
      </c>
      <c r="G25" s="22" t="s">
        <v>123</v>
      </c>
      <c r="H25" s="23" t="s">
        <v>124</v>
      </c>
      <c r="I25" s="19" t="s">
        <v>125</v>
      </c>
      <c r="J25" s="19"/>
      <c r="K25" s="23">
        <f xml:space="preserve"> LEN(C25)</f>
        <v>2</v>
      </c>
      <c r="L25" s="24"/>
      <c r="M25" s="11" t="str">
        <f t="shared" si="0"/>
        <v>ih</v>
      </c>
      <c r="N25" s="11" t="str">
        <f t="shared" si="1"/>
        <v>ih</v>
      </c>
      <c r="P25" s="3" t="str">
        <f t="shared" si="5"/>
        <v>ih(\d)</v>
      </c>
      <c r="Q25" s="5" t="s">
        <v>33</v>
      </c>
      <c r="R25" s="5">
        <f t="shared" si="6"/>
        <v>1</v>
      </c>
      <c r="S25" s="3" t="str">
        <f t="shared" si="7"/>
        <v>》i${1}h</v>
      </c>
      <c r="T25" s="25"/>
      <c r="U25" s="26" t="str">
        <f t="shared" si="8"/>
        <v xml:space="preserve">    - xform/》ih(\d)/》i${1}h/</v>
      </c>
    </row>
    <row r="26" spans="1:21" ht="27.75" thickBot="1">
      <c r="A26" s="19">
        <v>23</v>
      </c>
      <c r="B26" s="20" t="s">
        <v>126</v>
      </c>
      <c r="C26" s="21" t="s">
        <v>126</v>
      </c>
      <c r="D26" s="19" t="s">
        <v>126</v>
      </c>
      <c r="E26" s="19" t="s">
        <v>126</v>
      </c>
      <c r="F26" s="19" t="s">
        <v>126</v>
      </c>
      <c r="G26" s="22" t="s">
        <v>126</v>
      </c>
      <c r="H26" s="23" t="s">
        <v>127</v>
      </c>
      <c r="I26" s="19" t="s">
        <v>128</v>
      </c>
      <c r="J26" s="19"/>
      <c r="K26" s="23">
        <f xml:space="preserve"> LEN(C26)</f>
        <v>2</v>
      </c>
      <c r="L26" s="24"/>
      <c r="M26" s="11" t="str">
        <f t="shared" si="0"/>
        <v>im</v>
      </c>
      <c r="N26" s="11" t="str">
        <f t="shared" si="1"/>
        <v>im</v>
      </c>
      <c r="P26" s="3" t="str">
        <f t="shared" si="5"/>
        <v>im(\d)</v>
      </c>
      <c r="Q26" s="5" t="s">
        <v>33</v>
      </c>
      <c r="R26" s="5">
        <f t="shared" si="6"/>
        <v>1</v>
      </c>
      <c r="S26" s="3" t="str">
        <f t="shared" si="7"/>
        <v>》i${1}m</v>
      </c>
      <c r="T26" s="25"/>
      <c r="U26" s="26" t="str">
        <f t="shared" si="8"/>
        <v xml:space="preserve">    - xform/》im(\d)/》i${1}m/</v>
      </c>
    </row>
    <row r="27" spans="1:21" ht="27.75" thickBot="1">
      <c r="A27" s="19">
        <v>24</v>
      </c>
      <c r="B27" s="20" t="s">
        <v>129</v>
      </c>
      <c r="C27" s="21" t="s">
        <v>129</v>
      </c>
      <c r="D27" s="19" t="s">
        <v>129</v>
      </c>
      <c r="E27" s="19" t="s">
        <v>129</v>
      </c>
      <c r="F27" s="19" t="s">
        <v>129</v>
      </c>
      <c r="G27" s="22" t="s">
        <v>129</v>
      </c>
      <c r="H27" s="23" t="s">
        <v>130</v>
      </c>
      <c r="I27" s="19" t="s">
        <v>131</v>
      </c>
      <c r="J27" s="19"/>
      <c r="K27" s="23">
        <f xml:space="preserve"> LEN(C27)</f>
        <v>2</v>
      </c>
      <c r="L27" s="24"/>
      <c r="M27" s="11" t="str">
        <f t="shared" si="0"/>
        <v>in</v>
      </c>
      <c r="N27" s="11" t="str">
        <f t="shared" si="1"/>
        <v>in</v>
      </c>
      <c r="P27" s="3" t="str">
        <f t="shared" si="5"/>
        <v>in(\d)</v>
      </c>
      <c r="Q27" s="5" t="s">
        <v>33</v>
      </c>
      <c r="R27" s="5">
        <f t="shared" si="6"/>
        <v>1</v>
      </c>
      <c r="S27" s="3" t="str">
        <f t="shared" si="7"/>
        <v>》i${1}n</v>
      </c>
      <c r="T27" s="25"/>
      <c r="U27" s="26" t="str">
        <f t="shared" si="8"/>
        <v xml:space="preserve">    - xform/》in(\d)/》i${1}n/</v>
      </c>
    </row>
    <row r="28" spans="1:21" ht="27.75" thickBot="1">
      <c r="A28" s="19">
        <v>25</v>
      </c>
      <c r="B28" s="20" t="s">
        <v>132</v>
      </c>
      <c r="C28" s="21" t="s">
        <v>133</v>
      </c>
      <c r="D28" s="19" t="s">
        <v>133</v>
      </c>
      <c r="E28" s="19" t="s">
        <v>133</v>
      </c>
      <c r="F28" s="19" t="s">
        <v>133</v>
      </c>
      <c r="G28" s="22" t="s">
        <v>134</v>
      </c>
      <c r="H28" s="23" t="s">
        <v>135</v>
      </c>
      <c r="I28" s="19" t="s">
        <v>136</v>
      </c>
      <c r="J28" s="19"/>
      <c r="K28" s="23">
        <f xml:space="preserve"> LEN(C28)</f>
        <v>3</v>
      </c>
      <c r="L28" s="24"/>
      <c r="M28" s="11" t="str">
        <f t="shared" si="0"/>
        <v>ing</v>
      </c>
      <c r="N28" s="11" t="str">
        <f t="shared" si="1"/>
        <v>eng</v>
      </c>
      <c r="P28" s="3" t="str">
        <f t="shared" si="5"/>
        <v>ing(\d)</v>
      </c>
      <c r="Q28" s="5" t="s">
        <v>33</v>
      </c>
      <c r="R28" s="5">
        <f t="shared" si="6"/>
        <v>1</v>
      </c>
      <c r="S28" s="3" t="str">
        <f t="shared" si="7"/>
        <v>》e${1}ng</v>
      </c>
      <c r="T28" s="25"/>
      <c r="U28" s="26" t="str">
        <f t="shared" si="8"/>
        <v xml:space="preserve">    - xform/》ing(\d)/》e${1}ng/</v>
      </c>
    </row>
    <row r="29" spans="1:21" ht="27.75" thickBot="1">
      <c r="A29" s="19">
        <v>26</v>
      </c>
      <c r="B29" s="20" t="s">
        <v>137</v>
      </c>
      <c r="C29" s="21" t="s">
        <v>138</v>
      </c>
      <c r="D29" s="19" t="s">
        <v>138</v>
      </c>
      <c r="E29" s="19" t="s">
        <v>138</v>
      </c>
      <c r="F29" s="19" t="s">
        <v>138</v>
      </c>
      <c r="G29" s="22" t="s">
        <v>138</v>
      </c>
      <c r="H29" s="23" t="s">
        <v>139</v>
      </c>
      <c r="I29" s="19" t="s">
        <v>140</v>
      </c>
      <c r="J29" s="19"/>
      <c r="K29" s="23">
        <f xml:space="preserve"> LEN(C29)</f>
        <v>2</v>
      </c>
      <c r="L29" s="24"/>
      <c r="M29" s="11" t="str">
        <f t="shared" si="0"/>
        <v>ip</v>
      </c>
      <c r="N29" s="11" t="str">
        <f t="shared" si="1"/>
        <v>ip</v>
      </c>
      <c r="P29" s="3" t="str">
        <f t="shared" si="5"/>
        <v>ip(\d)</v>
      </c>
      <c r="Q29" s="5" t="s">
        <v>33</v>
      </c>
      <c r="R29" s="5">
        <f t="shared" si="6"/>
        <v>1</v>
      </c>
      <c r="S29" s="3" t="str">
        <f t="shared" si="7"/>
        <v>》i${1}p</v>
      </c>
      <c r="T29" s="25"/>
      <c r="U29" s="26" t="str">
        <f t="shared" si="8"/>
        <v xml:space="preserve">    - xform/》ip(\d)/》i${1}p/</v>
      </c>
    </row>
    <row r="30" spans="1:21" ht="27.75" thickBot="1">
      <c r="A30" s="19">
        <v>27</v>
      </c>
      <c r="B30" s="20" t="s">
        <v>141</v>
      </c>
      <c r="C30" s="21" t="s">
        <v>142</v>
      </c>
      <c r="D30" s="19" t="s">
        <v>142</v>
      </c>
      <c r="E30" s="19" t="s">
        <v>142</v>
      </c>
      <c r="F30" s="19" t="s">
        <v>142</v>
      </c>
      <c r="G30" s="22" t="s">
        <v>142</v>
      </c>
      <c r="H30" s="23" t="s">
        <v>143</v>
      </c>
      <c r="I30" s="19" t="s">
        <v>144</v>
      </c>
      <c r="J30" s="19"/>
      <c r="K30" s="23">
        <f xml:space="preserve"> LEN(C30)</f>
        <v>2</v>
      </c>
      <c r="L30" s="24"/>
      <c r="M30" s="11" t="str">
        <f t="shared" si="0"/>
        <v>it</v>
      </c>
      <c r="N30" s="11" t="str">
        <f t="shared" si="1"/>
        <v>it</v>
      </c>
      <c r="P30" s="3" t="str">
        <f t="shared" si="5"/>
        <v>it(\d)</v>
      </c>
      <c r="Q30" s="5" t="s">
        <v>33</v>
      </c>
      <c r="R30" s="5">
        <f t="shared" si="6"/>
        <v>1</v>
      </c>
      <c r="S30" s="3" t="str">
        <f t="shared" si="7"/>
        <v>》i${1}t</v>
      </c>
      <c r="T30" s="25"/>
      <c r="U30" s="26" t="str">
        <f t="shared" si="8"/>
        <v xml:space="preserve">    - xform/》it(\d)/》i${1}t/</v>
      </c>
    </row>
    <row r="31" spans="1:21" ht="27.75" thickBot="1">
      <c r="A31" s="19">
        <v>28</v>
      </c>
      <c r="B31" s="20" t="s">
        <v>145</v>
      </c>
      <c r="C31" s="21" t="s">
        <v>146</v>
      </c>
      <c r="D31" s="19" t="s">
        <v>146</v>
      </c>
      <c r="E31" s="19" t="s">
        <v>146</v>
      </c>
      <c r="F31" s="19" t="s">
        <v>146</v>
      </c>
      <c r="G31" s="22" t="s">
        <v>147</v>
      </c>
      <c r="H31" s="23" t="s">
        <v>148</v>
      </c>
      <c r="I31" s="19" t="s">
        <v>149</v>
      </c>
      <c r="J31" s="19"/>
      <c r="K31" s="23">
        <f xml:space="preserve"> LEN(C31)</f>
        <v>2</v>
      </c>
      <c r="L31" s="24"/>
      <c r="M31" s="11" t="str">
        <f t="shared" si="0"/>
        <v>ik</v>
      </c>
      <c r="N31" s="11" t="str">
        <f t="shared" si="1"/>
        <v>ek</v>
      </c>
      <c r="P31" s="3" t="str">
        <f t="shared" si="5"/>
        <v>ik(\d)</v>
      </c>
      <c r="Q31" s="5" t="s">
        <v>33</v>
      </c>
      <c r="R31" s="5">
        <f t="shared" si="6"/>
        <v>1</v>
      </c>
      <c r="S31" s="3" t="str">
        <f t="shared" si="7"/>
        <v>》e${1}k</v>
      </c>
      <c r="T31" s="25"/>
      <c r="U31" s="26" t="str">
        <f t="shared" si="8"/>
        <v xml:space="preserve">    - xform/》ik(\d)/》e${1}k/</v>
      </c>
    </row>
    <row r="32" spans="1:21" ht="27.75" thickBot="1">
      <c r="A32" s="19">
        <v>29</v>
      </c>
      <c r="B32" s="20" t="s">
        <v>150</v>
      </c>
      <c r="C32" s="21" t="s">
        <v>151</v>
      </c>
      <c r="D32" s="19" t="s">
        <v>151</v>
      </c>
      <c r="E32" s="19" t="s">
        <v>151</v>
      </c>
      <c r="F32" s="19" t="s">
        <v>151</v>
      </c>
      <c r="G32" s="22" t="s">
        <v>151</v>
      </c>
      <c r="H32" s="23" t="s">
        <v>152</v>
      </c>
      <c r="I32" s="19" t="s">
        <v>153</v>
      </c>
      <c r="J32" s="19"/>
      <c r="K32" s="23">
        <f xml:space="preserve"> LEN(C32)</f>
        <v>2</v>
      </c>
      <c r="L32" s="24"/>
      <c r="M32" s="11" t="str">
        <f t="shared" si="0"/>
        <v>ia</v>
      </c>
      <c r="N32" s="11" t="str">
        <f t="shared" si="1"/>
        <v>ia</v>
      </c>
      <c r="P32" s="3" t="str">
        <f t="shared" si="5"/>
        <v>ia(\d)</v>
      </c>
      <c r="Q32" s="5" t="s">
        <v>25</v>
      </c>
      <c r="R32" s="5">
        <f t="shared" si="6"/>
        <v>2</v>
      </c>
      <c r="S32" s="3" t="str">
        <f t="shared" si="7"/>
        <v>i》a${1}</v>
      </c>
      <c r="T32" s="25"/>
      <c r="U32" s="26" t="str">
        <f t="shared" si="8"/>
        <v xml:space="preserve">    - xform/》ia(\d)/i》a${1}/</v>
      </c>
    </row>
    <row r="33" spans="1:21" ht="27.75" thickBot="1">
      <c r="A33" s="19">
        <v>30</v>
      </c>
      <c r="B33" s="20" t="s">
        <v>154</v>
      </c>
      <c r="C33" s="21" t="s">
        <v>155</v>
      </c>
      <c r="D33" s="19" t="s">
        <v>155</v>
      </c>
      <c r="E33" s="19" t="s">
        <v>155</v>
      </c>
      <c r="F33" s="19" t="s">
        <v>156</v>
      </c>
      <c r="G33" s="22" t="s">
        <v>157</v>
      </c>
      <c r="H33" s="23" t="s">
        <v>158</v>
      </c>
      <c r="I33" s="19" t="s">
        <v>159</v>
      </c>
      <c r="J33" s="29" t="s">
        <v>32</v>
      </c>
      <c r="K33" s="23">
        <f xml:space="preserve"> LEN(C33)</f>
        <v>4</v>
      </c>
      <c r="L33" s="24"/>
      <c r="M33" s="11" t="str">
        <f t="shared" si="0"/>
        <v>iann</v>
      </c>
      <c r="N33" s="11" t="str">
        <f t="shared" si="1"/>
        <v>iaⁿ</v>
      </c>
      <c r="P33" s="3" t="str">
        <f t="shared" si="5"/>
        <v>iann(\d)</v>
      </c>
      <c r="Q33" s="5" t="s">
        <v>25</v>
      </c>
      <c r="R33" s="5">
        <f t="shared" si="6"/>
        <v>2</v>
      </c>
      <c r="S33" s="3" t="str">
        <f t="shared" si="7"/>
        <v>i》a${1}ⁿ</v>
      </c>
      <c r="T33" s="25"/>
      <c r="U33" s="26" t="str">
        <f t="shared" si="8"/>
        <v xml:space="preserve">    - xform/》iann(\d)/i》a${1}ⁿ/</v>
      </c>
    </row>
    <row r="34" spans="1:21" ht="27.75" thickBot="1">
      <c r="A34" s="19">
        <v>31</v>
      </c>
      <c r="B34" s="20" t="s">
        <v>160</v>
      </c>
      <c r="C34" s="21" t="s">
        <v>161</v>
      </c>
      <c r="D34" s="19" t="s">
        <v>161</v>
      </c>
      <c r="E34" s="19" t="s">
        <v>161</v>
      </c>
      <c r="F34" s="19" t="s">
        <v>161</v>
      </c>
      <c r="G34" s="22" t="s">
        <v>161</v>
      </c>
      <c r="H34" s="23" t="s">
        <v>162</v>
      </c>
      <c r="I34" s="19" t="s">
        <v>163</v>
      </c>
      <c r="J34" s="19"/>
      <c r="K34" s="23">
        <f xml:space="preserve"> LEN(C34)</f>
        <v>3</v>
      </c>
      <c r="L34" s="24"/>
      <c r="M34" s="11" t="str">
        <f t="shared" si="0"/>
        <v>iah</v>
      </c>
      <c r="N34" s="11" t="str">
        <f t="shared" si="1"/>
        <v>iah</v>
      </c>
      <c r="P34" s="3" t="str">
        <f t="shared" si="5"/>
        <v>iah(\d)</v>
      </c>
      <c r="Q34" s="5" t="s">
        <v>25</v>
      </c>
      <c r="R34" s="5">
        <f t="shared" si="6"/>
        <v>2</v>
      </c>
      <c r="S34" s="3" t="str">
        <f t="shared" si="7"/>
        <v>i》a${1}h</v>
      </c>
      <c r="T34" s="25"/>
      <c r="U34" s="26" t="str">
        <f t="shared" si="8"/>
        <v xml:space="preserve">    - xform/》iah(\d)/i》a${1}h/</v>
      </c>
    </row>
    <row r="35" spans="1:21" ht="30.75" thickBot="1">
      <c r="A35" s="19">
        <v>32</v>
      </c>
      <c r="B35" s="20" t="s">
        <v>164</v>
      </c>
      <c r="C35" s="21" t="s">
        <v>165</v>
      </c>
      <c r="D35" s="31" t="s">
        <v>165</v>
      </c>
      <c r="E35" s="31" t="s">
        <v>165</v>
      </c>
      <c r="F35" s="31" t="s">
        <v>165</v>
      </c>
      <c r="G35" s="31" t="s">
        <v>549</v>
      </c>
      <c r="H35" s="32" t="s">
        <v>162</v>
      </c>
      <c r="I35" s="33" t="s">
        <v>167</v>
      </c>
      <c r="J35" s="29" t="s">
        <v>32</v>
      </c>
      <c r="K35" s="23">
        <f xml:space="preserve"> LEN(C35)</f>
        <v>5</v>
      </c>
      <c r="L35" s="24"/>
      <c r="M35" s="11" t="str">
        <f t="shared" si="0"/>
        <v>iannh</v>
      </c>
      <c r="N35" s="11" t="str">
        <f t="shared" si="1"/>
        <v>iahⁿ</v>
      </c>
      <c r="P35" s="3" t="str">
        <f t="shared" si="5"/>
        <v>iannh(\d)</v>
      </c>
      <c r="Q35" s="5" t="s">
        <v>25</v>
      </c>
      <c r="R35" s="5">
        <f t="shared" si="6"/>
        <v>2</v>
      </c>
      <c r="S35" s="3" t="str">
        <f t="shared" si="7"/>
        <v>i》a${1}hⁿ</v>
      </c>
      <c r="T35" s="25"/>
      <c r="U35" s="26" t="str">
        <f t="shared" si="8"/>
        <v xml:space="preserve">    - xform/》iannh(\d)/i》a${1}hⁿ/</v>
      </c>
    </row>
    <row r="36" spans="1:21" ht="27.75" thickBot="1">
      <c r="A36" s="19">
        <v>33</v>
      </c>
      <c r="B36" s="20" t="s">
        <v>168</v>
      </c>
      <c r="C36" s="21" t="s">
        <v>169</v>
      </c>
      <c r="D36" s="19" t="s">
        <v>169</v>
      </c>
      <c r="E36" s="19" t="s">
        <v>169</v>
      </c>
      <c r="F36" s="19" t="s">
        <v>169</v>
      </c>
      <c r="G36" s="22" t="s">
        <v>169</v>
      </c>
      <c r="H36" s="23" t="s">
        <v>170</v>
      </c>
      <c r="I36" s="19" t="s">
        <v>171</v>
      </c>
      <c r="J36" s="19"/>
      <c r="K36" s="23">
        <f xml:space="preserve"> LEN(C36)</f>
        <v>3</v>
      </c>
      <c r="L36" s="24"/>
      <c r="M36" s="11" t="str">
        <f t="shared" si="0"/>
        <v>iam</v>
      </c>
      <c r="N36" s="11" t="str">
        <f t="shared" si="1"/>
        <v>iam</v>
      </c>
      <c r="P36" s="3" t="str">
        <f t="shared" si="5"/>
        <v>iam(\d)</v>
      </c>
      <c r="Q36" s="5" t="s">
        <v>25</v>
      </c>
      <c r="R36" s="5">
        <f t="shared" si="6"/>
        <v>2</v>
      </c>
      <c r="S36" s="3" t="str">
        <f t="shared" si="7"/>
        <v>i》a${1}m</v>
      </c>
      <c r="T36" s="25"/>
      <c r="U36" s="26" t="str">
        <f t="shared" si="8"/>
        <v xml:space="preserve">    - xform/》iam(\d)/i》a${1}m/</v>
      </c>
    </row>
    <row r="37" spans="1:21" ht="27.75" thickBot="1">
      <c r="A37" s="19">
        <v>34</v>
      </c>
      <c r="B37" s="20" t="s">
        <v>172</v>
      </c>
      <c r="C37" s="21" t="s">
        <v>173</v>
      </c>
      <c r="D37" s="19" t="s">
        <v>173</v>
      </c>
      <c r="E37" s="19" t="s">
        <v>173</v>
      </c>
      <c r="F37" s="19" t="s">
        <v>173</v>
      </c>
      <c r="G37" s="22" t="s">
        <v>173</v>
      </c>
      <c r="H37" s="23" t="s">
        <v>174</v>
      </c>
      <c r="I37" s="19" t="s">
        <v>175</v>
      </c>
      <c r="J37" s="19"/>
      <c r="K37" s="23">
        <f xml:space="preserve"> LEN(C37)</f>
        <v>3</v>
      </c>
      <c r="L37" s="24"/>
      <c r="M37" s="11" t="str">
        <f t="shared" si="0"/>
        <v>ian</v>
      </c>
      <c r="N37" s="11" t="str">
        <f t="shared" si="1"/>
        <v>ian</v>
      </c>
      <c r="P37" s="3" t="str">
        <f t="shared" si="5"/>
        <v>ian(\d)</v>
      </c>
      <c r="Q37" s="5" t="s">
        <v>25</v>
      </c>
      <c r="R37" s="5">
        <f t="shared" si="6"/>
        <v>2</v>
      </c>
      <c r="S37" s="3" t="str">
        <f t="shared" si="7"/>
        <v>i》a${1}n</v>
      </c>
      <c r="T37" s="25"/>
      <c r="U37" s="26" t="str">
        <f t="shared" si="8"/>
        <v xml:space="preserve">    - xform/》ian(\d)/i》a${1}n/</v>
      </c>
    </row>
    <row r="38" spans="1:21" ht="27.75" thickBot="1">
      <c r="A38" s="19">
        <v>35</v>
      </c>
      <c r="B38" s="20" t="s">
        <v>176</v>
      </c>
      <c r="C38" s="21" t="s">
        <v>177</v>
      </c>
      <c r="D38" s="19" t="s">
        <v>177</v>
      </c>
      <c r="E38" s="19" t="s">
        <v>177</v>
      </c>
      <c r="F38" s="19" t="s">
        <v>177</v>
      </c>
      <c r="G38" s="22" t="s">
        <v>177</v>
      </c>
      <c r="H38" s="23" t="s">
        <v>178</v>
      </c>
      <c r="I38" s="19" t="s">
        <v>179</v>
      </c>
      <c r="J38" s="19"/>
      <c r="K38" s="23">
        <f xml:space="preserve"> LEN(C38)</f>
        <v>4</v>
      </c>
      <c r="L38" s="24"/>
      <c r="M38" s="11" t="str">
        <f t="shared" si="0"/>
        <v>iang</v>
      </c>
      <c r="N38" s="11" t="str">
        <f t="shared" si="1"/>
        <v>iang</v>
      </c>
      <c r="P38" s="3" t="str">
        <f t="shared" si="5"/>
        <v>iang(\d)</v>
      </c>
      <c r="Q38" s="5" t="s">
        <v>25</v>
      </c>
      <c r="R38" s="5">
        <f t="shared" si="6"/>
        <v>2</v>
      </c>
      <c r="S38" s="3" t="str">
        <f t="shared" si="7"/>
        <v>i》a${1}ng</v>
      </c>
      <c r="T38" s="25"/>
      <c r="U38" s="26" t="str">
        <f t="shared" si="8"/>
        <v xml:space="preserve">    - xform/》iang(\d)/i》a${1}ng/</v>
      </c>
    </row>
    <row r="39" spans="1:21" ht="27.75" thickBot="1">
      <c r="A39" s="19">
        <v>36</v>
      </c>
      <c r="B39" s="20" t="s">
        <v>180</v>
      </c>
      <c r="C39" s="21" t="s">
        <v>181</v>
      </c>
      <c r="D39" s="19" t="s">
        <v>181</v>
      </c>
      <c r="E39" s="19" t="s">
        <v>181</v>
      </c>
      <c r="F39" s="19" t="s">
        <v>181</v>
      </c>
      <c r="G39" s="22" t="s">
        <v>181</v>
      </c>
      <c r="H39" s="23" t="s">
        <v>182</v>
      </c>
      <c r="I39" s="19" t="s">
        <v>183</v>
      </c>
      <c r="J39" s="19"/>
      <c r="K39" s="23">
        <f xml:space="preserve"> LEN(C39)</f>
        <v>3</v>
      </c>
      <c r="L39" s="24"/>
      <c r="M39" s="11" t="str">
        <f t="shared" si="0"/>
        <v>iap</v>
      </c>
      <c r="N39" s="11" t="str">
        <f t="shared" si="1"/>
        <v>iap</v>
      </c>
      <c r="P39" s="3" t="str">
        <f t="shared" si="5"/>
        <v>iap(\d)</v>
      </c>
      <c r="Q39" s="5" t="s">
        <v>25</v>
      </c>
      <c r="R39" s="5">
        <f t="shared" si="6"/>
        <v>2</v>
      </c>
      <c r="S39" s="3" t="str">
        <f t="shared" si="7"/>
        <v>i》a${1}p</v>
      </c>
      <c r="T39" s="25"/>
      <c r="U39" s="26" t="str">
        <f t="shared" si="8"/>
        <v xml:space="preserve">    - xform/》iap(\d)/i》a${1}p/</v>
      </c>
    </row>
    <row r="40" spans="1:21" ht="27.75" thickBot="1">
      <c r="A40" s="19">
        <v>37</v>
      </c>
      <c r="B40" s="20" t="s">
        <v>184</v>
      </c>
      <c r="C40" s="21" t="s">
        <v>185</v>
      </c>
      <c r="D40" s="19" t="s">
        <v>185</v>
      </c>
      <c r="E40" s="19" t="s">
        <v>185</v>
      </c>
      <c r="F40" s="19" t="s">
        <v>185</v>
      </c>
      <c r="G40" s="22" t="s">
        <v>185</v>
      </c>
      <c r="H40" s="23" t="s">
        <v>186</v>
      </c>
      <c r="I40" s="19" t="s">
        <v>187</v>
      </c>
      <c r="J40" s="19"/>
      <c r="K40" s="23">
        <f xml:space="preserve"> LEN(C40)</f>
        <v>3</v>
      </c>
      <c r="L40" s="24"/>
      <c r="M40" s="11" t="str">
        <f t="shared" si="0"/>
        <v>iat</v>
      </c>
      <c r="N40" s="11" t="str">
        <f t="shared" si="1"/>
        <v>iat</v>
      </c>
      <c r="P40" s="3" t="str">
        <f t="shared" si="5"/>
        <v>iat(\d)</v>
      </c>
      <c r="Q40" s="5" t="s">
        <v>25</v>
      </c>
      <c r="R40" s="5">
        <f t="shared" si="6"/>
        <v>2</v>
      </c>
      <c r="S40" s="3" t="str">
        <f t="shared" si="7"/>
        <v>i》a${1}t</v>
      </c>
      <c r="T40" s="25"/>
      <c r="U40" s="26" t="str">
        <f t="shared" si="8"/>
        <v xml:space="preserve">    - xform/》iat(\d)/i》a${1}t/</v>
      </c>
    </row>
    <row r="41" spans="1:21" ht="27.75" thickBot="1">
      <c r="A41" s="19">
        <v>38</v>
      </c>
      <c r="B41" s="20" t="s">
        <v>188</v>
      </c>
      <c r="C41" s="21" t="s">
        <v>189</v>
      </c>
      <c r="D41" s="19" t="s">
        <v>189</v>
      </c>
      <c r="E41" s="19" t="s">
        <v>189</v>
      </c>
      <c r="F41" s="19" t="s">
        <v>189</v>
      </c>
      <c r="G41" s="22" t="s">
        <v>189</v>
      </c>
      <c r="H41" s="23" t="s">
        <v>190</v>
      </c>
      <c r="I41" s="19" t="s">
        <v>191</v>
      </c>
      <c r="J41" s="19"/>
      <c r="K41" s="23">
        <f xml:space="preserve"> LEN(C41)</f>
        <v>3</v>
      </c>
      <c r="L41" s="24"/>
      <c r="M41" s="11" t="str">
        <f t="shared" si="0"/>
        <v>iak</v>
      </c>
      <c r="N41" s="11" t="str">
        <f t="shared" si="1"/>
        <v>iak</v>
      </c>
      <c r="P41" s="3" t="str">
        <f t="shared" si="5"/>
        <v>iak(\d)</v>
      </c>
      <c r="Q41" s="5" t="s">
        <v>25</v>
      </c>
      <c r="R41" s="5">
        <f t="shared" si="6"/>
        <v>2</v>
      </c>
      <c r="S41" s="3" t="str">
        <f t="shared" si="7"/>
        <v>i》a${1}k</v>
      </c>
      <c r="T41" s="25"/>
      <c r="U41" s="26" t="str">
        <f t="shared" si="8"/>
        <v xml:space="preserve">    - xform/》iak(\d)/i》a${1}k/</v>
      </c>
    </row>
    <row r="42" spans="1:21" ht="27.75" thickBot="1">
      <c r="A42" s="19">
        <v>39</v>
      </c>
      <c r="B42" s="20" t="s">
        <v>192</v>
      </c>
      <c r="C42" s="21" t="s">
        <v>193</v>
      </c>
      <c r="D42" s="19" t="s">
        <v>193</v>
      </c>
      <c r="E42" s="19" t="s">
        <v>193</v>
      </c>
      <c r="F42" s="19" t="s">
        <v>194</v>
      </c>
      <c r="G42" s="22" t="s">
        <v>193</v>
      </c>
      <c r="H42" s="23" t="s">
        <v>195</v>
      </c>
      <c r="I42" s="19" t="s">
        <v>196</v>
      </c>
      <c r="J42" s="19"/>
      <c r="K42" s="23">
        <f xml:space="preserve"> LEN(C42)</f>
        <v>3</v>
      </c>
      <c r="L42" s="24"/>
      <c r="M42" s="11" t="str">
        <f t="shared" si="0"/>
        <v>iau</v>
      </c>
      <c r="N42" s="11" t="str">
        <f t="shared" si="1"/>
        <v>iau</v>
      </c>
      <c r="P42" s="3" t="str">
        <f t="shared" si="5"/>
        <v>iau(\d)</v>
      </c>
      <c r="Q42" s="5" t="s">
        <v>25</v>
      </c>
      <c r="R42" s="5">
        <f t="shared" si="6"/>
        <v>2</v>
      </c>
      <c r="S42" s="3" t="str">
        <f t="shared" si="7"/>
        <v>i》a${1}u</v>
      </c>
      <c r="T42" s="25"/>
      <c r="U42" s="26" t="str">
        <f t="shared" si="8"/>
        <v xml:space="preserve">    - xform/》iau(\d)/i》a${1}u/</v>
      </c>
    </row>
    <row r="43" spans="1:21" ht="27.75" thickBot="1">
      <c r="A43" s="19">
        <v>40</v>
      </c>
      <c r="B43" s="20" t="s">
        <v>197</v>
      </c>
      <c r="C43" s="21" t="s">
        <v>198</v>
      </c>
      <c r="D43" s="19" t="s">
        <v>198</v>
      </c>
      <c r="E43" s="19" t="s">
        <v>198</v>
      </c>
      <c r="F43" s="19" t="s">
        <v>199</v>
      </c>
      <c r="G43" s="22" t="s">
        <v>200</v>
      </c>
      <c r="H43" s="23" t="s">
        <v>201</v>
      </c>
      <c r="I43" s="19" t="s">
        <v>202</v>
      </c>
      <c r="J43" s="29" t="s">
        <v>32</v>
      </c>
      <c r="K43" s="23">
        <f xml:space="preserve"> LEN(C43)</f>
        <v>5</v>
      </c>
      <c r="L43" s="24"/>
      <c r="M43" s="11" t="str">
        <f t="shared" si="0"/>
        <v>iaunn</v>
      </c>
      <c r="N43" s="11" t="str">
        <f t="shared" si="1"/>
        <v>iauⁿ</v>
      </c>
      <c r="P43" s="3" t="str">
        <f t="shared" si="5"/>
        <v>iaunn(\d)</v>
      </c>
      <c r="Q43" s="5" t="s">
        <v>25</v>
      </c>
      <c r="R43" s="5">
        <f t="shared" si="6"/>
        <v>2</v>
      </c>
      <c r="S43" s="3" t="str">
        <f t="shared" si="7"/>
        <v>i》a${1}uⁿ</v>
      </c>
      <c r="T43" s="25"/>
      <c r="U43" s="26" t="str">
        <f t="shared" si="8"/>
        <v xml:space="preserve">    - xform/》iaunn(\d)/i》a${1}uⁿ/</v>
      </c>
    </row>
    <row r="44" spans="1:21" ht="27.75" thickBot="1">
      <c r="A44" s="19">
        <v>41</v>
      </c>
      <c r="B44" s="20" t="s">
        <v>203</v>
      </c>
      <c r="C44" s="21" t="s">
        <v>204</v>
      </c>
      <c r="D44" s="19" t="s">
        <v>204</v>
      </c>
      <c r="E44" s="19" t="s">
        <v>204</v>
      </c>
      <c r="F44" s="19" t="s">
        <v>205</v>
      </c>
      <c r="G44" s="22" t="s">
        <v>204</v>
      </c>
      <c r="H44" s="23" t="s">
        <v>206</v>
      </c>
      <c r="I44" s="19" t="s">
        <v>207</v>
      </c>
      <c r="J44" s="19"/>
      <c r="K44" s="23">
        <f xml:space="preserve"> LEN(C44)</f>
        <v>4</v>
      </c>
      <c r="L44" s="24"/>
      <c r="M44" s="11" t="str">
        <f t="shared" si="0"/>
        <v>iauh</v>
      </c>
      <c r="N44" s="11" t="str">
        <f t="shared" si="1"/>
        <v>iauh</v>
      </c>
      <c r="P44" s="3" t="str">
        <f t="shared" si="5"/>
        <v>iauh(\d)</v>
      </c>
      <c r="Q44" s="5" t="s">
        <v>25</v>
      </c>
      <c r="R44" s="5">
        <f t="shared" si="6"/>
        <v>2</v>
      </c>
      <c r="S44" s="3" t="str">
        <f t="shared" si="7"/>
        <v>i》a${1}uh</v>
      </c>
      <c r="T44" s="25"/>
      <c r="U44" s="26" t="str">
        <f t="shared" si="8"/>
        <v xml:space="preserve">    - xform/》iauh(\d)/i》a${1}uh/</v>
      </c>
    </row>
    <row r="45" spans="1:21" ht="27.75" thickBot="1">
      <c r="A45" s="19">
        <v>42</v>
      </c>
      <c r="B45" s="20" t="s">
        <v>208</v>
      </c>
      <c r="C45" s="21" t="s">
        <v>209</v>
      </c>
      <c r="D45" s="19" t="s">
        <v>209</v>
      </c>
      <c r="E45" s="19" t="s">
        <v>210</v>
      </c>
      <c r="F45" s="19" t="s">
        <v>209</v>
      </c>
      <c r="G45" s="22" t="s">
        <v>209</v>
      </c>
      <c r="H45" s="23" t="s">
        <v>211</v>
      </c>
      <c r="I45" s="19" t="s">
        <v>212</v>
      </c>
      <c r="J45" s="19"/>
      <c r="K45" s="23">
        <f xml:space="preserve"> LEN(C45)</f>
        <v>2</v>
      </c>
      <c r="L45" s="24"/>
      <c r="M45" s="11" t="str">
        <f t="shared" si="0"/>
        <v>io</v>
      </c>
      <c r="N45" s="11" t="str">
        <f t="shared" si="1"/>
        <v>io</v>
      </c>
      <c r="P45" s="3" t="str">
        <f t="shared" si="5"/>
        <v>io(\d)</v>
      </c>
      <c r="Q45" s="5" t="s">
        <v>50</v>
      </c>
      <c r="R45" s="5">
        <f t="shared" si="6"/>
        <v>2</v>
      </c>
      <c r="S45" s="3" t="str">
        <f t="shared" si="7"/>
        <v>i》o${1}</v>
      </c>
      <c r="T45" s="25"/>
      <c r="U45" s="26" t="str">
        <f t="shared" si="8"/>
        <v xml:space="preserve">    - xform/》io(\d)/i》o${1}/</v>
      </c>
    </row>
    <row r="46" spans="1:21" ht="27.75" thickBot="1">
      <c r="A46" s="19">
        <v>43</v>
      </c>
      <c r="B46" s="20" t="s">
        <v>213</v>
      </c>
      <c r="C46" s="21" t="s">
        <v>214</v>
      </c>
      <c r="D46" s="19" t="s">
        <v>214</v>
      </c>
      <c r="E46" s="19" t="s">
        <v>215</v>
      </c>
      <c r="F46" s="19" t="s">
        <v>216</v>
      </c>
      <c r="G46" s="22" t="s">
        <v>217</v>
      </c>
      <c r="H46" s="23" t="s">
        <v>218</v>
      </c>
      <c r="I46" s="19" t="s">
        <v>219</v>
      </c>
      <c r="J46" s="29" t="s">
        <v>32</v>
      </c>
      <c r="K46" s="23">
        <f xml:space="preserve"> LEN(C46)</f>
        <v>4</v>
      </c>
      <c r="L46" s="24"/>
      <c r="M46" s="11" t="str">
        <f t="shared" si="0"/>
        <v>ionn</v>
      </c>
      <c r="N46" s="11" t="str">
        <f t="shared" si="1"/>
        <v>ioⁿ</v>
      </c>
      <c r="P46" s="3" t="str">
        <f t="shared" si="5"/>
        <v>ionn(\d)</v>
      </c>
      <c r="Q46" s="5" t="s">
        <v>50</v>
      </c>
      <c r="R46" s="5">
        <f t="shared" si="6"/>
        <v>2</v>
      </c>
      <c r="S46" s="3" t="str">
        <f t="shared" si="7"/>
        <v>i》o${1}ⁿ</v>
      </c>
      <c r="T46" s="25"/>
      <c r="U46" s="26" t="str">
        <f t="shared" si="8"/>
        <v xml:space="preserve">    - xform/》ionn(\d)/i》o${1}ⁿ/</v>
      </c>
    </row>
    <row r="47" spans="1:21" ht="27.75" thickBot="1">
      <c r="A47" s="19">
        <v>44</v>
      </c>
      <c r="B47" s="20" t="s">
        <v>220</v>
      </c>
      <c r="C47" s="21" t="s">
        <v>221</v>
      </c>
      <c r="D47" s="19" t="s">
        <v>221</v>
      </c>
      <c r="E47" s="19" t="s">
        <v>222</v>
      </c>
      <c r="F47" s="19" t="s">
        <v>221</v>
      </c>
      <c r="G47" s="22" t="s">
        <v>221</v>
      </c>
      <c r="H47" s="23" t="s">
        <v>223</v>
      </c>
      <c r="I47" s="19" t="s">
        <v>224</v>
      </c>
      <c r="J47" s="19"/>
      <c r="K47" s="23">
        <f xml:space="preserve"> LEN(C47)</f>
        <v>3</v>
      </c>
      <c r="L47" s="24"/>
      <c r="M47" s="11" t="str">
        <f t="shared" si="0"/>
        <v>ioh</v>
      </c>
      <c r="N47" s="11" t="str">
        <f t="shared" si="1"/>
        <v>ioh</v>
      </c>
      <c r="P47" s="3" t="str">
        <f t="shared" si="5"/>
        <v>ioh(\d)</v>
      </c>
      <c r="Q47" s="49" t="s">
        <v>50</v>
      </c>
      <c r="R47" s="5">
        <f t="shared" si="6"/>
        <v>2</v>
      </c>
      <c r="S47" s="3" t="str">
        <f t="shared" si="7"/>
        <v>i》o${1}h</v>
      </c>
      <c r="T47" s="25"/>
      <c r="U47" s="26" t="str">
        <f t="shared" si="8"/>
        <v xml:space="preserve">    - xform/》ioh(\d)/i》o${1}h/</v>
      </c>
    </row>
    <row r="48" spans="1:21" ht="27.75" thickBot="1">
      <c r="A48" s="19">
        <v>45</v>
      </c>
      <c r="B48" s="20" t="s">
        <v>225</v>
      </c>
      <c r="C48" s="21" t="s">
        <v>226</v>
      </c>
      <c r="D48" s="19" t="s">
        <v>226</v>
      </c>
      <c r="E48" s="19" t="s">
        <v>226</v>
      </c>
      <c r="F48" s="19" t="s">
        <v>226</v>
      </c>
      <c r="G48" s="22" t="s">
        <v>226</v>
      </c>
      <c r="H48" s="23" t="s">
        <v>227</v>
      </c>
      <c r="I48" s="19" t="s">
        <v>228</v>
      </c>
      <c r="J48" s="19"/>
      <c r="K48" s="23">
        <f xml:space="preserve"> LEN(C48)</f>
        <v>4</v>
      </c>
      <c r="L48" s="24"/>
      <c r="M48" s="11" t="str">
        <f t="shared" si="0"/>
        <v>iong</v>
      </c>
      <c r="N48" s="11" t="str">
        <f t="shared" si="1"/>
        <v>iong</v>
      </c>
      <c r="P48" s="3" t="str">
        <f t="shared" si="5"/>
        <v>iong(\d)</v>
      </c>
      <c r="Q48" s="5" t="s">
        <v>50</v>
      </c>
      <c r="R48" s="5">
        <f t="shared" si="6"/>
        <v>2</v>
      </c>
      <c r="S48" s="3" t="str">
        <f t="shared" si="7"/>
        <v>i》o${1}ng</v>
      </c>
      <c r="T48" s="25"/>
      <c r="U48" s="26" t="str">
        <f t="shared" si="8"/>
        <v xml:space="preserve">    - xform/》iong(\d)/i》o${1}ng/</v>
      </c>
    </row>
    <row r="49" spans="1:21" ht="27.75" thickBot="1">
      <c r="A49" s="19">
        <v>46</v>
      </c>
      <c r="B49" s="20" t="s">
        <v>229</v>
      </c>
      <c r="C49" s="21" t="s">
        <v>230</v>
      </c>
      <c r="D49" s="19" t="s">
        <v>230</v>
      </c>
      <c r="E49" s="19" t="s">
        <v>231</v>
      </c>
      <c r="F49" s="19" t="s">
        <v>230</v>
      </c>
      <c r="G49" s="22" t="s">
        <v>230</v>
      </c>
      <c r="H49" s="23" t="s">
        <v>232</v>
      </c>
      <c r="I49" s="19" t="s">
        <v>233</v>
      </c>
      <c r="J49" s="19"/>
      <c r="K49" s="23">
        <f xml:space="preserve"> LEN(C49)</f>
        <v>3</v>
      </c>
      <c r="L49" s="24"/>
      <c r="M49" s="11" t="str">
        <f t="shared" si="0"/>
        <v>iok</v>
      </c>
      <c r="N49" s="11" t="str">
        <f t="shared" si="1"/>
        <v>iok</v>
      </c>
      <c r="P49" s="3" t="str">
        <f t="shared" si="5"/>
        <v>iok(\d)</v>
      </c>
      <c r="Q49" s="5" t="s">
        <v>50</v>
      </c>
      <c r="R49" s="5">
        <f t="shared" si="6"/>
        <v>2</v>
      </c>
      <c r="S49" s="3" t="str">
        <f t="shared" si="7"/>
        <v>i》o${1}k</v>
      </c>
      <c r="T49" s="25"/>
      <c r="U49" s="26" t="str">
        <f t="shared" si="8"/>
        <v xml:space="preserve">    - xform/》iok(\d)/i》o${1}k/</v>
      </c>
    </row>
    <row r="50" spans="1:21" ht="27.75" thickBot="1">
      <c r="A50" s="19">
        <v>47</v>
      </c>
      <c r="B50" s="20" t="s">
        <v>234</v>
      </c>
      <c r="C50" s="21" t="s">
        <v>234</v>
      </c>
      <c r="D50" s="19" t="s">
        <v>234</v>
      </c>
      <c r="E50" s="19" t="s">
        <v>234</v>
      </c>
      <c r="F50" s="19" t="s">
        <v>234</v>
      </c>
      <c r="G50" s="22" t="s">
        <v>234</v>
      </c>
      <c r="H50" s="23" t="s">
        <v>235</v>
      </c>
      <c r="I50" s="19" t="s">
        <v>236</v>
      </c>
      <c r="J50" s="19"/>
      <c r="K50" s="23">
        <f xml:space="preserve"> LEN(C50)</f>
        <v>2</v>
      </c>
      <c r="L50" s="24"/>
      <c r="M50" s="11" t="str">
        <f t="shared" si="0"/>
        <v>iu</v>
      </c>
      <c r="N50" s="11" t="str">
        <f t="shared" si="1"/>
        <v>iu</v>
      </c>
      <c r="P50" s="3" t="str">
        <f t="shared" si="5"/>
        <v>iu(\d)</v>
      </c>
      <c r="Q50" s="5" t="s">
        <v>33</v>
      </c>
      <c r="R50" s="5">
        <f t="shared" si="6"/>
        <v>1</v>
      </c>
      <c r="S50" s="3" t="str">
        <f t="shared" si="7"/>
        <v>》i${1}u</v>
      </c>
      <c r="T50" s="25"/>
      <c r="U50" s="26" t="str">
        <f t="shared" si="8"/>
        <v xml:space="preserve">    - xform/》iu(\d)/》i${1}u/</v>
      </c>
    </row>
    <row r="51" spans="1:21" ht="27.75" thickBot="1">
      <c r="A51" s="19">
        <v>48</v>
      </c>
      <c r="B51" s="20" t="s">
        <v>237</v>
      </c>
      <c r="C51" s="21" t="s">
        <v>238</v>
      </c>
      <c r="D51" s="19" t="s">
        <v>238</v>
      </c>
      <c r="E51" s="19" t="s">
        <v>238</v>
      </c>
      <c r="F51" s="19" t="s">
        <v>239</v>
      </c>
      <c r="G51" s="22" t="s">
        <v>240</v>
      </c>
      <c r="H51" s="23" t="s">
        <v>241</v>
      </c>
      <c r="I51" s="19" t="s">
        <v>242</v>
      </c>
      <c r="J51" s="29" t="s">
        <v>32</v>
      </c>
      <c r="K51" s="23">
        <f xml:space="preserve"> LEN(C51)</f>
        <v>4</v>
      </c>
      <c r="L51" s="24"/>
      <c r="M51" s="11" t="str">
        <f t="shared" si="0"/>
        <v>iunn</v>
      </c>
      <c r="N51" s="11" t="str">
        <f t="shared" si="1"/>
        <v>iuⁿ</v>
      </c>
      <c r="P51" s="3" t="str">
        <f t="shared" si="5"/>
        <v>iunn(\d)</v>
      </c>
      <c r="Q51" s="5" t="s">
        <v>33</v>
      </c>
      <c r="R51" s="5">
        <f t="shared" si="6"/>
        <v>1</v>
      </c>
      <c r="S51" s="3" t="str">
        <f t="shared" si="7"/>
        <v>》i${1}uⁿ</v>
      </c>
      <c r="T51" s="25"/>
      <c r="U51" s="26" t="str">
        <f t="shared" si="8"/>
        <v xml:space="preserve">    - xform/》iunn(\d)/》i${1}uⁿ/</v>
      </c>
    </row>
    <row r="52" spans="1:21" ht="30.75" thickBot="1">
      <c r="A52" s="19">
        <v>49</v>
      </c>
      <c r="B52" s="20" t="s">
        <v>243</v>
      </c>
      <c r="C52" s="21" t="s">
        <v>244</v>
      </c>
      <c r="D52" s="31" t="s">
        <v>244</v>
      </c>
      <c r="E52" s="31" t="s">
        <v>244</v>
      </c>
      <c r="F52" s="31" t="s">
        <v>245</v>
      </c>
      <c r="G52" s="31" t="s">
        <v>548</v>
      </c>
      <c r="H52" s="32" t="s">
        <v>247</v>
      </c>
      <c r="I52" s="33" t="s">
        <v>248</v>
      </c>
      <c r="J52" s="29" t="s">
        <v>32</v>
      </c>
      <c r="K52" s="23">
        <f xml:space="preserve"> LEN(C52)</f>
        <v>5</v>
      </c>
      <c r="L52" s="24"/>
      <c r="M52" s="11" t="str">
        <f t="shared" si="0"/>
        <v>iunnh</v>
      </c>
      <c r="N52" s="11" t="str">
        <f t="shared" si="1"/>
        <v>iuhⁿ</v>
      </c>
      <c r="P52" s="3" t="str">
        <f t="shared" si="5"/>
        <v>iunnh(\d)</v>
      </c>
      <c r="Q52" s="5" t="s">
        <v>33</v>
      </c>
      <c r="R52" s="5">
        <f t="shared" si="6"/>
        <v>1</v>
      </c>
      <c r="S52" s="3" t="str">
        <f t="shared" si="7"/>
        <v>》i${1}uhⁿ</v>
      </c>
      <c r="T52" s="25"/>
      <c r="U52" s="26" t="str">
        <f t="shared" si="8"/>
        <v xml:space="preserve">    - xform/》iunnh(\d)/》i${1}uhⁿ/</v>
      </c>
    </row>
    <row r="53" spans="1:21" ht="27.75" thickBot="1">
      <c r="A53" s="19">
        <v>50</v>
      </c>
      <c r="B53" s="20" t="s">
        <v>249</v>
      </c>
      <c r="C53" s="21" t="s">
        <v>250</v>
      </c>
      <c r="D53" s="19" t="s">
        <v>250</v>
      </c>
      <c r="E53" s="19" t="s">
        <v>251</v>
      </c>
      <c r="F53" s="19" t="s">
        <v>250</v>
      </c>
      <c r="G53" s="22" t="s">
        <v>250</v>
      </c>
      <c r="H53" s="23" t="s">
        <v>252</v>
      </c>
      <c r="I53" s="19" t="s">
        <v>253</v>
      </c>
      <c r="J53" s="19"/>
      <c r="K53" s="23">
        <f xml:space="preserve"> LEN(C53)</f>
        <v>1</v>
      </c>
      <c r="L53" s="24"/>
      <c r="M53" s="11" t="str">
        <f t="shared" si="0"/>
        <v>o</v>
      </c>
      <c r="N53" s="11" t="str">
        <f t="shared" si="1"/>
        <v>o</v>
      </c>
      <c r="P53" s="3" t="str">
        <f t="shared" si="5"/>
        <v>o(\d)</v>
      </c>
      <c r="Q53" s="5" t="s">
        <v>50</v>
      </c>
      <c r="R53" s="5">
        <f t="shared" si="6"/>
        <v>1</v>
      </c>
      <c r="S53" s="3" t="str">
        <f t="shared" si="7"/>
        <v>》o${1}</v>
      </c>
      <c r="T53" s="25"/>
      <c r="U53" s="26" t="str">
        <f t="shared" si="8"/>
        <v xml:space="preserve">    - xform/》o(\d)/》o${1}/</v>
      </c>
    </row>
    <row r="54" spans="1:21" ht="27.75" thickBot="1">
      <c r="A54" s="19">
        <v>51</v>
      </c>
      <c r="B54" s="20" t="s">
        <v>254</v>
      </c>
      <c r="C54" s="21" t="s">
        <v>255</v>
      </c>
      <c r="D54" s="19" t="s">
        <v>255</v>
      </c>
      <c r="E54" s="19" t="s">
        <v>255</v>
      </c>
      <c r="F54" s="19" t="s">
        <v>255</v>
      </c>
      <c r="G54" s="22" t="s">
        <v>256</v>
      </c>
      <c r="H54" s="23" t="s">
        <v>257</v>
      </c>
      <c r="I54" s="19" t="s">
        <v>258</v>
      </c>
      <c r="J54" s="19"/>
      <c r="K54" s="23">
        <f xml:space="preserve"> LEN(C54)</f>
        <v>2</v>
      </c>
      <c r="L54" s="24"/>
      <c r="M54" s="11" t="str">
        <f t="shared" si="0"/>
        <v>oo</v>
      </c>
      <c r="N54" s="11" t="str">
        <f t="shared" si="1"/>
        <v>o͘</v>
      </c>
      <c r="P54" s="3" t="str">
        <f t="shared" si="5"/>
        <v>oo(\d)</v>
      </c>
      <c r="Q54" s="5" t="s">
        <v>50</v>
      </c>
      <c r="R54" s="5">
        <f t="shared" si="6"/>
        <v>1</v>
      </c>
      <c r="S54" s="3" t="str">
        <f t="shared" si="7"/>
        <v>》o${1}͘</v>
      </c>
      <c r="T54" s="25"/>
      <c r="U54" s="26" t="str">
        <f t="shared" si="8"/>
        <v xml:space="preserve">    - xform/》oo(\d)/》o${1}͘/</v>
      </c>
    </row>
    <row r="55" spans="1:21" ht="27.75" thickBot="1">
      <c r="A55" s="19">
        <v>52</v>
      </c>
      <c r="B55" s="20" t="s">
        <v>259</v>
      </c>
      <c r="C55" s="21" t="s">
        <v>260</v>
      </c>
      <c r="D55" s="19" t="s">
        <v>260</v>
      </c>
      <c r="E55" s="19" t="s">
        <v>261</v>
      </c>
      <c r="F55" s="19" t="s">
        <v>262</v>
      </c>
      <c r="G55" s="22" t="s">
        <v>547</v>
      </c>
      <c r="H55" s="23" t="s">
        <v>264</v>
      </c>
      <c r="I55" s="19" t="s">
        <v>265</v>
      </c>
      <c r="J55" s="19"/>
      <c r="K55" s="23">
        <f xml:space="preserve"> LEN(C55)</f>
        <v>3</v>
      </c>
      <c r="L55" s="24"/>
      <c r="M55" s="11" t="str">
        <f t="shared" si="0"/>
        <v>onn</v>
      </c>
      <c r="N55" s="11" t="str">
        <f t="shared" si="1"/>
        <v>oⁿ</v>
      </c>
      <c r="P55" s="3" t="str">
        <f t="shared" si="5"/>
        <v>onn(\d)</v>
      </c>
      <c r="Q55" s="5" t="s">
        <v>50</v>
      </c>
      <c r="R55" s="5">
        <f t="shared" si="6"/>
        <v>1</v>
      </c>
      <c r="S55" s="3" t="str">
        <f t="shared" si="7"/>
        <v>》o${1}ⁿ</v>
      </c>
      <c r="T55" s="25"/>
      <c r="U55" s="26" t="str">
        <f t="shared" si="8"/>
        <v xml:space="preserve">    - xform/》onn(\d)/》o${1}ⁿ/</v>
      </c>
    </row>
    <row r="56" spans="1:21" ht="27.75" thickBot="1">
      <c r="A56" s="19">
        <v>53</v>
      </c>
      <c r="B56" s="20" t="s">
        <v>266</v>
      </c>
      <c r="C56" s="21" t="s">
        <v>267</v>
      </c>
      <c r="D56" s="19" t="s">
        <v>267</v>
      </c>
      <c r="E56" s="19" t="s">
        <v>268</v>
      </c>
      <c r="F56" s="19" t="s">
        <v>267</v>
      </c>
      <c r="G56" s="22" t="s">
        <v>267</v>
      </c>
      <c r="H56" s="23" t="s">
        <v>269</v>
      </c>
      <c r="I56" s="19" t="s">
        <v>270</v>
      </c>
      <c r="J56" s="19"/>
      <c r="K56" s="23">
        <f xml:space="preserve"> LEN(C56)</f>
        <v>2</v>
      </c>
      <c r="L56" s="24"/>
      <c r="M56" s="11" t="str">
        <f t="shared" si="0"/>
        <v>oh</v>
      </c>
      <c r="N56" s="11" t="str">
        <f t="shared" si="1"/>
        <v>oh</v>
      </c>
      <c r="P56" s="3" t="str">
        <f t="shared" si="5"/>
        <v>oh(\d)</v>
      </c>
      <c r="Q56" s="5" t="s">
        <v>50</v>
      </c>
      <c r="R56" s="5">
        <f t="shared" si="6"/>
        <v>1</v>
      </c>
      <c r="S56" s="3" t="str">
        <f t="shared" si="7"/>
        <v>》o${1}h</v>
      </c>
      <c r="T56" s="25"/>
      <c r="U56" s="26" t="str">
        <f t="shared" si="8"/>
        <v xml:space="preserve">    - xform/》oh(\d)/》o${1}h/</v>
      </c>
    </row>
    <row r="57" spans="1:21" ht="30.75" thickBot="1">
      <c r="A57" s="19">
        <v>54</v>
      </c>
      <c r="B57" s="20" t="s">
        <v>271</v>
      </c>
      <c r="C57" s="21" t="s">
        <v>272</v>
      </c>
      <c r="D57" s="31" t="s">
        <v>272</v>
      </c>
      <c r="E57" s="31" t="s">
        <v>272</v>
      </c>
      <c r="F57" s="31" t="s">
        <v>272</v>
      </c>
      <c r="G57" s="31" t="s">
        <v>273</v>
      </c>
      <c r="H57" s="32" t="s">
        <v>274</v>
      </c>
      <c r="I57" s="34" t="s">
        <v>275</v>
      </c>
      <c r="J57" s="19"/>
      <c r="K57" s="23">
        <f xml:space="preserve"> LEN(C57)</f>
        <v>3</v>
      </c>
      <c r="L57" s="24"/>
      <c r="M57" s="11" t="str">
        <f t="shared" si="0"/>
        <v>ooh</v>
      </c>
      <c r="N57" s="11" t="str">
        <f t="shared" si="1"/>
        <v>o͘h</v>
      </c>
      <c r="P57" s="3" t="str">
        <f t="shared" si="5"/>
        <v>ooh(\d)</v>
      </c>
      <c r="Q57" s="5" t="s">
        <v>50</v>
      </c>
      <c r="R57" s="5">
        <f t="shared" si="6"/>
        <v>1</v>
      </c>
      <c r="S57" s="3" t="str">
        <f t="shared" si="7"/>
        <v>》o${1}͘h</v>
      </c>
      <c r="T57" s="25"/>
      <c r="U57" s="26" t="str">
        <f t="shared" si="8"/>
        <v xml:space="preserve">    - xform/》ooh(\d)/》o${1}͘h/</v>
      </c>
    </row>
    <row r="58" spans="1:21" ht="27.75" thickBot="1">
      <c r="A58" s="19">
        <v>55</v>
      </c>
      <c r="B58" s="20" t="s">
        <v>276</v>
      </c>
      <c r="C58" s="21" t="s">
        <v>277</v>
      </c>
      <c r="D58" s="19" t="s">
        <v>278</v>
      </c>
      <c r="E58" s="19" t="s">
        <v>277</v>
      </c>
      <c r="F58" s="19" t="s">
        <v>245</v>
      </c>
      <c r="G58" s="22" t="s">
        <v>279</v>
      </c>
      <c r="H58" s="23" t="s">
        <v>280</v>
      </c>
      <c r="I58" s="19" t="s">
        <v>281</v>
      </c>
      <c r="J58" s="29" t="s">
        <v>32</v>
      </c>
      <c r="K58" s="23">
        <f xml:space="preserve"> LEN(C58)</f>
        <v>4</v>
      </c>
      <c r="L58" s="24"/>
      <c r="M58" s="11" t="str">
        <f t="shared" si="0"/>
        <v>onnh</v>
      </c>
      <c r="N58" s="11" t="str">
        <f t="shared" si="1"/>
        <v>ohⁿ</v>
      </c>
      <c r="P58" s="3" t="str">
        <f t="shared" si="5"/>
        <v>onnh(\d)</v>
      </c>
      <c r="Q58" s="5" t="s">
        <v>50</v>
      </c>
      <c r="R58" s="5">
        <f t="shared" si="6"/>
        <v>1</v>
      </c>
      <c r="S58" s="3" t="str">
        <f t="shared" si="7"/>
        <v>》o${1}hⁿ</v>
      </c>
      <c r="T58" s="25"/>
      <c r="U58" s="26" t="str">
        <f t="shared" si="8"/>
        <v xml:space="preserve">    - xform/》onnh(\d)/》o${1}hⁿ/</v>
      </c>
    </row>
    <row r="59" spans="1:21" ht="27.75" thickBot="1">
      <c r="A59" s="19">
        <v>56</v>
      </c>
      <c r="B59" s="20" t="s">
        <v>282</v>
      </c>
      <c r="C59" s="21" t="s">
        <v>283</v>
      </c>
      <c r="D59" s="19" t="s">
        <v>283</v>
      </c>
      <c r="E59" s="19" t="s">
        <v>284</v>
      </c>
      <c r="F59" s="19" t="s">
        <v>283</v>
      </c>
      <c r="G59" s="22" t="s">
        <v>283</v>
      </c>
      <c r="H59" s="23" t="s">
        <v>285</v>
      </c>
      <c r="I59" s="19" t="s">
        <v>286</v>
      </c>
      <c r="J59" s="19"/>
      <c r="K59" s="23">
        <f xml:space="preserve"> LEN(C59)</f>
        <v>2</v>
      </c>
      <c r="L59" s="24"/>
      <c r="M59" s="11" t="str">
        <f t="shared" si="0"/>
        <v>om</v>
      </c>
      <c r="N59" s="11" t="str">
        <f t="shared" si="1"/>
        <v>om</v>
      </c>
      <c r="P59" s="3" t="str">
        <f t="shared" si="5"/>
        <v>om(\d)</v>
      </c>
      <c r="Q59" s="5" t="s">
        <v>50</v>
      </c>
      <c r="R59" s="5">
        <f t="shared" si="6"/>
        <v>1</v>
      </c>
      <c r="S59" s="3" t="str">
        <f t="shared" si="7"/>
        <v>》o${1}m</v>
      </c>
      <c r="T59" s="25"/>
      <c r="U59" s="26" t="str">
        <f t="shared" si="8"/>
        <v xml:space="preserve">    - xform/》om(\d)/》o${1}m/</v>
      </c>
    </row>
    <row r="60" spans="1:21" ht="27.75" thickBot="1">
      <c r="A60" s="19">
        <v>57</v>
      </c>
      <c r="B60" s="20" t="s">
        <v>287</v>
      </c>
      <c r="C60" s="21" t="s">
        <v>288</v>
      </c>
      <c r="D60" s="19" t="s">
        <v>288</v>
      </c>
      <c r="E60" s="19" t="s">
        <v>288</v>
      </c>
      <c r="F60" s="19" t="s">
        <v>288</v>
      </c>
      <c r="G60" s="22" t="s">
        <v>288</v>
      </c>
      <c r="H60" s="23" t="s">
        <v>289</v>
      </c>
      <c r="I60" s="19" t="s">
        <v>290</v>
      </c>
      <c r="J60" s="19"/>
      <c r="K60" s="23">
        <f xml:space="preserve"> LEN(C60)</f>
        <v>3</v>
      </c>
      <c r="L60" s="24"/>
      <c r="M60" s="11" t="str">
        <f t="shared" si="0"/>
        <v>ong</v>
      </c>
      <c r="N60" s="11" t="str">
        <f t="shared" si="1"/>
        <v>ong</v>
      </c>
      <c r="P60" s="3" t="str">
        <f t="shared" si="5"/>
        <v>ong(\d)</v>
      </c>
      <c r="Q60" s="5" t="s">
        <v>50</v>
      </c>
      <c r="R60" s="5">
        <f t="shared" si="6"/>
        <v>1</v>
      </c>
      <c r="S60" s="3" t="str">
        <f t="shared" si="7"/>
        <v>》o${1}ng</v>
      </c>
      <c r="T60" s="25"/>
      <c r="U60" s="26" t="str">
        <f t="shared" si="8"/>
        <v xml:space="preserve">    - xform/》ong(\d)/》o${1}ng/</v>
      </c>
    </row>
    <row r="61" spans="1:21" ht="27.75" thickBot="1">
      <c r="A61" s="19">
        <v>58</v>
      </c>
      <c r="B61" s="20" t="s">
        <v>291</v>
      </c>
      <c r="C61" s="21" t="s">
        <v>292</v>
      </c>
      <c r="D61" s="19" t="s">
        <v>292</v>
      </c>
      <c r="E61" s="19" t="s">
        <v>293</v>
      </c>
      <c r="F61" s="19" t="s">
        <v>292</v>
      </c>
      <c r="G61" s="22" t="s">
        <v>292</v>
      </c>
      <c r="H61" s="23" t="s">
        <v>294</v>
      </c>
      <c r="I61" s="19" t="s">
        <v>295</v>
      </c>
      <c r="J61" s="19"/>
      <c r="K61" s="23">
        <f xml:space="preserve"> LEN(C61)</f>
        <v>2</v>
      </c>
      <c r="L61" s="24"/>
      <c r="M61" s="11" t="str">
        <f t="shared" si="0"/>
        <v>op</v>
      </c>
      <c r="N61" s="11" t="str">
        <f t="shared" si="1"/>
        <v>op</v>
      </c>
      <c r="P61" s="3" t="str">
        <f t="shared" si="5"/>
        <v>op(\d)</v>
      </c>
      <c r="Q61" s="5" t="s">
        <v>50</v>
      </c>
      <c r="R61" s="5">
        <f t="shared" si="6"/>
        <v>1</v>
      </c>
      <c r="S61" s="3" t="str">
        <f t="shared" si="7"/>
        <v>》o${1}p</v>
      </c>
      <c r="T61" s="25"/>
      <c r="U61" s="26" t="str">
        <f t="shared" si="8"/>
        <v xml:space="preserve">    - xform/》op(\d)/》o${1}p/</v>
      </c>
    </row>
    <row r="62" spans="1:21" ht="27.75" thickBot="1">
      <c r="A62" s="19">
        <v>59</v>
      </c>
      <c r="B62" s="20" t="s">
        <v>296</v>
      </c>
      <c r="C62" s="21" t="s">
        <v>297</v>
      </c>
      <c r="D62" s="19" t="s">
        <v>297</v>
      </c>
      <c r="E62" s="19" t="s">
        <v>297</v>
      </c>
      <c r="F62" s="19" t="s">
        <v>297</v>
      </c>
      <c r="G62" s="22" t="s">
        <v>297</v>
      </c>
      <c r="H62" s="23" t="s">
        <v>298</v>
      </c>
      <c r="I62" s="19" t="s">
        <v>299</v>
      </c>
      <c r="J62" s="19"/>
      <c r="K62" s="23">
        <f xml:space="preserve"> LEN(C62)</f>
        <v>2</v>
      </c>
      <c r="L62" s="24"/>
      <c r="M62" s="11" t="str">
        <f t="shared" si="0"/>
        <v>ok</v>
      </c>
      <c r="N62" s="11" t="str">
        <f t="shared" si="1"/>
        <v>ok</v>
      </c>
      <c r="P62" s="3" t="str">
        <f t="shared" si="5"/>
        <v>ok(\d)</v>
      </c>
      <c r="Q62" s="5" t="s">
        <v>50</v>
      </c>
      <c r="R62" s="5">
        <f t="shared" si="6"/>
        <v>1</v>
      </c>
      <c r="S62" s="3" t="str">
        <f t="shared" si="7"/>
        <v>》o${1}k</v>
      </c>
      <c r="T62" s="25"/>
      <c r="U62" s="26" t="str">
        <f t="shared" si="8"/>
        <v xml:space="preserve">    - xform/》ok(\d)/》o${1}k/</v>
      </c>
    </row>
    <row r="63" spans="1:21" ht="27.75" thickBot="1">
      <c r="A63" s="19">
        <v>60</v>
      </c>
      <c r="B63" s="20" t="s">
        <v>300</v>
      </c>
      <c r="C63" s="21" t="s">
        <v>300</v>
      </c>
      <c r="D63" s="19" t="s">
        <v>300</v>
      </c>
      <c r="E63" s="19" t="s">
        <v>300</v>
      </c>
      <c r="F63" s="19" t="s">
        <v>300</v>
      </c>
      <c r="G63" s="22" t="s">
        <v>300</v>
      </c>
      <c r="H63" s="23" t="s">
        <v>301</v>
      </c>
      <c r="I63" s="19" t="s">
        <v>302</v>
      </c>
      <c r="J63" s="19"/>
      <c r="K63" s="23">
        <f xml:space="preserve"> LEN(C63)</f>
        <v>1</v>
      </c>
      <c r="L63" s="24"/>
      <c r="M63" s="11" t="str">
        <f t="shared" si="0"/>
        <v>u</v>
      </c>
      <c r="N63" s="11" t="str">
        <f t="shared" si="1"/>
        <v>u</v>
      </c>
      <c r="P63" s="3" t="str">
        <f t="shared" si="5"/>
        <v>u(\d)</v>
      </c>
      <c r="Q63" s="5" t="s">
        <v>38</v>
      </c>
      <c r="R63" s="5">
        <f t="shared" si="6"/>
        <v>1</v>
      </c>
      <c r="S63" s="3" t="str">
        <f t="shared" si="7"/>
        <v>》u${1}</v>
      </c>
      <c r="T63" s="25"/>
      <c r="U63" s="26" t="str">
        <f t="shared" si="8"/>
        <v xml:space="preserve">    - xform/》u(\d)/》u${1}/</v>
      </c>
    </row>
    <row r="64" spans="1:21" ht="27.75" thickBot="1">
      <c r="A64" s="19">
        <v>61</v>
      </c>
      <c r="B64" s="20" t="s">
        <v>303</v>
      </c>
      <c r="C64" s="21" t="s">
        <v>304</v>
      </c>
      <c r="D64" s="19" t="s">
        <v>304</v>
      </c>
      <c r="E64" s="19" t="s">
        <v>304</v>
      </c>
      <c r="F64" s="19" t="s">
        <v>304</v>
      </c>
      <c r="G64" s="22" t="s">
        <v>304</v>
      </c>
      <c r="H64" s="23" t="s">
        <v>305</v>
      </c>
      <c r="I64" s="19" t="s">
        <v>306</v>
      </c>
      <c r="J64" s="19"/>
      <c r="K64" s="23">
        <f xml:space="preserve"> LEN(C64)</f>
        <v>2</v>
      </c>
      <c r="L64" s="24"/>
      <c r="M64" s="11" t="str">
        <f t="shared" si="0"/>
        <v>uh</v>
      </c>
      <c r="N64" s="11" t="str">
        <f t="shared" si="1"/>
        <v>uh</v>
      </c>
      <c r="P64" s="3" t="str">
        <f t="shared" si="5"/>
        <v>uh(\d)</v>
      </c>
      <c r="Q64" s="5" t="s">
        <v>38</v>
      </c>
      <c r="R64" s="5">
        <f t="shared" si="6"/>
        <v>1</v>
      </c>
      <c r="S64" s="3" t="str">
        <f t="shared" si="7"/>
        <v>》u${1}h</v>
      </c>
      <c r="T64" s="25"/>
      <c r="U64" s="26" t="str">
        <f t="shared" si="8"/>
        <v xml:space="preserve">    - xform/》uh(\d)/》u${1}h/</v>
      </c>
    </row>
    <row r="65" spans="1:21" ht="27.75" thickBot="1">
      <c r="A65" s="19">
        <v>62</v>
      </c>
      <c r="B65" s="20" t="s">
        <v>307</v>
      </c>
      <c r="C65" s="21" t="s">
        <v>307</v>
      </c>
      <c r="D65" s="19" t="s">
        <v>307</v>
      </c>
      <c r="E65" s="19" t="s">
        <v>307</v>
      </c>
      <c r="F65" s="19" t="s">
        <v>307</v>
      </c>
      <c r="G65" s="22" t="s">
        <v>307</v>
      </c>
      <c r="H65" s="23" t="s">
        <v>308</v>
      </c>
      <c r="I65" s="19" t="s">
        <v>309</v>
      </c>
      <c r="J65" s="19"/>
      <c r="K65" s="23">
        <f xml:space="preserve"> LEN(C65)</f>
        <v>2</v>
      </c>
      <c r="L65" s="24"/>
      <c r="M65" s="11" t="str">
        <f t="shared" si="0"/>
        <v>un</v>
      </c>
      <c r="N65" s="11" t="str">
        <f t="shared" si="1"/>
        <v>un</v>
      </c>
      <c r="P65" s="3" t="str">
        <f t="shared" si="5"/>
        <v>un(\d)</v>
      </c>
      <c r="Q65" s="5" t="s">
        <v>38</v>
      </c>
      <c r="R65" s="5">
        <f t="shared" si="6"/>
        <v>1</v>
      </c>
      <c r="S65" s="3" t="str">
        <f t="shared" si="7"/>
        <v>》u${1}n</v>
      </c>
      <c r="T65" s="25"/>
      <c r="U65" s="26" t="str">
        <f t="shared" si="8"/>
        <v xml:space="preserve">    - xform/》un(\d)/》u${1}n/</v>
      </c>
    </row>
    <row r="66" spans="1:21" ht="27.75" thickBot="1">
      <c r="A66" s="19">
        <v>63</v>
      </c>
      <c r="B66" s="20" t="s">
        <v>310</v>
      </c>
      <c r="C66" s="21" t="s">
        <v>311</v>
      </c>
      <c r="D66" s="19" t="s">
        <v>311</v>
      </c>
      <c r="E66" s="19" t="s">
        <v>311</v>
      </c>
      <c r="F66" s="19" t="s">
        <v>311</v>
      </c>
      <c r="G66" s="22" t="s">
        <v>311</v>
      </c>
      <c r="H66" s="23" t="s">
        <v>312</v>
      </c>
      <c r="I66" s="19" t="s">
        <v>313</v>
      </c>
      <c r="J66" s="19"/>
      <c r="K66" s="23">
        <f xml:space="preserve"> LEN(C66)</f>
        <v>2</v>
      </c>
      <c r="L66" s="24"/>
      <c r="M66" s="11" t="str">
        <f t="shared" si="0"/>
        <v>ut</v>
      </c>
      <c r="N66" s="11" t="str">
        <f t="shared" si="1"/>
        <v>ut</v>
      </c>
      <c r="P66" s="3" t="str">
        <f t="shared" si="5"/>
        <v>ut(\d)</v>
      </c>
      <c r="Q66" s="5" t="s">
        <v>38</v>
      </c>
      <c r="R66" s="5">
        <f t="shared" si="6"/>
        <v>1</v>
      </c>
      <c r="S66" s="3" t="str">
        <f t="shared" si="7"/>
        <v>》u${1}t</v>
      </c>
      <c r="T66" s="25"/>
      <c r="U66" s="26" t="str">
        <f t="shared" si="8"/>
        <v xml:space="preserve">    - xform/》ut(\d)/》u${1}t/</v>
      </c>
    </row>
    <row r="67" spans="1:21" ht="27.75" thickBot="1">
      <c r="A67" s="19">
        <v>64</v>
      </c>
      <c r="B67" s="20" t="s">
        <v>314</v>
      </c>
      <c r="C67" s="21" t="s">
        <v>314</v>
      </c>
      <c r="D67" s="19" t="s">
        <v>314</v>
      </c>
      <c r="E67" s="19" t="s">
        <v>314</v>
      </c>
      <c r="F67" s="19" t="s">
        <v>314</v>
      </c>
      <c r="G67" s="22" t="s">
        <v>315</v>
      </c>
      <c r="H67" s="23" t="s">
        <v>316</v>
      </c>
      <c r="I67" s="19" t="s">
        <v>317</v>
      </c>
      <c r="J67" s="19"/>
      <c r="K67" s="23">
        <f xml:space="preserve"> LEN(C67)</f>
        <v>2</v>
      </c>
      <c r="L67" s="24"/>
      <c r="M67" s="11" t="str">
        <f t="shared" si="0"/>
        <v>ua</v>
      </c>
      <c r="N67" s="11" t="str">
        <f t="shared" si="1"/>
        <v>oa</v>
      </c>
      <c r="P67" s="3" t="str">
        <f t="shared" si="5"/>
        <v>ua(\d)</v>
      </c>
      <c r="Q67" s="5" t="s">
        <v>25</v>
      </c>
      <c r="R67" s="5">
        <f t="shared" si="6"/>
        <v>2</v>
      </c>
      <c r="S67" s="3" t="str">
        <f t="shared" si="7"/>
        <v>o》a${1}</v>
      </c>
      <c r="T67" s="25"/>
      <c r="U67" s="26" t="str">
        <f t="shared" si="8"/>
        <v xml:space="preserve">    - xform/》ua(\d)/o》a${1}/</v>
      </c>
    </row>
    <row r="68" spans="1:21" ht="27.75" thickBot="1">
      <c r="A68" s="19">
        <v>65</v>
      </c>
      <c r="B68" s="20" t="s">
        <v>318</v>
      </c>
      <c r="C68" s="21" t="s">
        <v>319</v>
      </c>
      <c r="D68" s="19" t="s">
        <v>319</v>
      </c>
      <c r="E68" s="19" t="s">
        <v>319</v>
      </c>
      <c r="F68" s="19" t="s">
        <v>320</v>
      </c>
      <c r="G68" s="22" t="s">
        <v>321</v>
      </c>
      <c r="H68" s="23" t="s">
        <v>322</v>
      </c>
      <c r="I68" s="19" t="s">
        <v>323</v>
      </c>
      <c r="J68" s="19"/>
      <c r="K68" s="23">
        <f xml:space="preserve"> LEN(C68)</f>
        <v>4</v>
      </c>
      <c r="L68" s="24"/>
      <c r="M68" s="11" t="str">
        <f t="shared" ref="M68:M85" si="11">C68</f>
        <v>uann</v>
      </c>
      <c r="N68" s="11" t="str">
        <f t="shared" ref="N68:N85" si="12">G68</f>
        <v>oaⁿ</v>
      </c>
      <c r="P68" s="3" t="str">
        <f t="shared" si="5"/>
        <v>uann(\d)</v>
      </c>
      <c r="Q68" s="5" t="s">
        <v>25</v>
      </c>
      <c r="R68" s="5">
        <f t="shared" si="6"/>
        <v>2</v>
      </c>
      <c r="S68" s="3" t="str">
        <f t="shared" si="7"/>
        <v>o》a${1}ⁿ</v>
      </c>
      <c r="T68" s="25"/>
      <c r="U68" s="26" t="str">
        <f t="shared" si="8"/>
        <v xml:space="preserve">    - xform/》uann(\d)/o》a${1}ⁿ/</v>
      </c>
    </row>
    <row r="69" spans="1:21" ht="27.75" thickBot="1">
      <c r="A69" s="19">
        <v>66</v>
      </c>
      <c r="B69" s="20" t="s">
        <v>324</v>
      </c>
      <c r="C69" s="21" t="s">
        <v>325</v>
      </c>
      <c r="D69" s="19" t="s">
        <v>325</v>
      </c>
      <c r="E69" s="19" t="s">
        <v>325</v>
      </c>
      <c r="F69" s="19" t="s">
        <v>325</v>
      </c>
      <c r="G69" s="22" t="s">
        <v>326</v>
      </c>
      <c r="H69" s="23" t="s">
        <v>327</v>
      </c>
      <c r="I69" s="19" t="s">
        <v>328</v>
      </c>
      <c r="J69" s="19"/>
      <c r="K69" s="23">
        <f xml:space="preserve"> LEN(C69)</f>
        <v>3</v>
      </c>
      <c r="L69" s="24"/>
      <c r="M69" s="11" t="str">
        <f t="shared" si="11"/>
        <v>uah</v>
      </c>
      <c r="N69" s="11" t="str">
        <f t="shared" si="12"/>
        <v>oah</v>
      </c>
      <c r="P69" s="3" t="str">
        <f t="shared" ref="P69:P85" si="13" xml:space="preserve"> _xlfn.CONCAT(C69, "(\d)")</f>
        <v>uah(\d)</v>
      </c>
      <c r="Q69" s="5" t="s">
        <v>25</v>
      </c>
      <c r="R69" s="5">
        <f t="shared" ref="R69:R85" si="14" xml:space="preserve"> IFERROR( IF(Q69="", "", SEARCH(Q69, $M69)), "")</f>
        <v>2</v>
      </c>
      <c r="S69" s="3" t="str">
        <f t="shared" ref="S69:S85" si="15" xml:space="preserve"> IFERROR( _xlfn.CONCAT(LEFT(N69,R69-1), "》", MID(N69,R69,1), "${1}", RIGHT(N69, LEN(N69)-R69)), "" )</f>
        <v>o》a${1}h</v>
      </c>
      <c r="T69" s="25"/>
      <c r="U69" s="26" t="str">
        <f t="shared" ref="U69:U85" si="16" xml:space="preserve"> IF(AND(N69&lt;&gt;"", M69&lt;&gt;""), "    - xform/》" &amp; P69 &amp;  "/"  &amp; S69 &amp;  "/", "")</f>
        <v xml:space="preserve">    - xform/》uah(\d)/o》a${1}h/</v>
      </c>
    </row>
    <row r="70" spans="1:21" ht="27.75" thickBot="1">
      <c r="A70" s="19">
        <v>67</v>
      </c>
      <c r="B70" s="20" t="s">
        <v>329</v>
      </c>
      <c r="C70" s="21" t="s">
        <v>329</v>
      </c>
      <c r="D70" s="19" t="s">
        <v>329</v>
      </c>
      <c r="E70" s="19" t="s">
        <v>329</v>
      </c>
      <c r="F70" s="19" t="s">
        <v>329</v>
      </c>
      <c r="G70" s="22" t="s">
        <v>330</v>
      </c>
      <c r="H70" s="23" t="s">
        <v>331</v>
      </c>
      <c r="I70" s="19" t="s">
        <v>332</v>
      </c>
      <c r="J70" s="19"/>
      <c r="K70" s="23">
        <f xml:space="preserve"> LEN(C70)</f>
        <v>3</v>
      </c>
      <c r="L70" s="24"/>
      <c r="M70" s="11" t="str">
        <f t="shared" si="11"/>
        <v>uan</v>
      </c>
      <c r="N70" s="11" t="str">
        <f t="shared" si="12"/>
        <v>oan</v>
      </c>
      <c r="P70" s="3" t="str">
        <f t="shared" si="13"/>
        <v>uan(\d)</v>
      </c>
      <c r="Q70" s="5" t="s">
        <v>25</v>
      </c>
      <c r="R70" s="5">
        <f t="shared" si="14"/>
        <v>2</v>
      </c>
      <c r="S70" s="3" t="str">
        <f t="shared" si="15"/>
        <v>o》a${1}n</v>
      </c>
      <c r="T70" s="25"/>
      <c r="U70" s="26" t="str">
        <f t="shared" si="16"/>
        <v xml:space="preserve">    - xform/》uan(\d)/o》a${1}n/</v>
      </c>
    </row>
    <row r="71" spans="1:21" ht="27.75" thickBot="1">
      <c r="A71" s="19">
        <v>68</v>
      </c>
      <c r="B71" s="20" t="s">
        <v>333</v>
      </c>
      <c r="C71" s="21" t="s">
        <v>334</v>
      </c>
      <c r="D71" s="19" t="s">
        <v>334</v>
      </c>
      <c r="E71" s="19" t="s">
        <v>334</v>
      </c>
      <c r="F71" s="19" t="s">
        <v>334</v>
      </c>
      <c r="G71" s="22" t="s">
        <v>335</v>
      </c>
      <c r="H71" s="23" t="s">
        <v>336</v>
      </c>
      <c r="I71" s="19" t="s">
        <v>337</v>
      </c>
      <c r="J71" s="19"/>
      <c r="K71" s="23">
        <f xml:space="preserve"> LEN(C71)</f>
        <v>4</v>
      </c>
      <c r="L71" s="24"/>
      <c r="M71" s="11" t="str">
        <f t="shared" si="11"/>
        <v>uang</v>
      </c>
      <c r="N71" s="11" t="str">
        <f t="shared" si="12"/>
        <v>oang</v>
      </c>
      <c r="P71" s="3" t="str">
        <f t="shared" si="13"/>
        <v>uang(\d)</v>
      </c>
      <c r="Q71" s="5" t="s">
        <v>25</v>
      </c>
      <c r="R71" s="5">
        <f t="shared" si="14"/>
        <v>2</v>
      </c>
      <c r="S71" s="3" t="str">
        <f t="shared" si="15"/>
        <v>o》a${1}ng</v>
      </c>
      <c r="T71" s="25"/>
      <c r="U71" s="26" t="str">
        <f t="shared" si="16"/>
        <v xml:space="preserve">    - xform/》uang(\d)/o》a${1}ng/</v>
      </c>
    </row>
    <row r="72" spans="1:21" ht="27.75" thickBot="1">
      <c r="A72" s="19">
        <v>69</v>
      </c>
      <c r="B72" s="20" t="s">
        <v>338</v>
      </c>
      <c r="C72" s="21" t="s">
        <v>339</v>
      </c>
      <c r="D72" s="19" t="s">
        <v>339</v>
      </c>
      <c r="E72" s="19" t="s">
        <v>339</v>
      </c>
      <c r="F72" s="19" t="s">
        <v>339</v>
      </c>
      <c r="G72" s="22" t="s">
        <v>340</v>
      </c>
      <c r="H72" s="23" t="s">
        <v>341</v>
      </c>
      <c r="I72" s="19" t="s">
        <v>342</v>
      </c>
      <c r="J72" s="19"/>
      <c r="K72" s="23">
        <f xml:space="preserve"> LEN(C72)</f>
        <v>3</v>
      </c>
      <c r="L72" s="24"/>
      <c r="M72" s="11" t="str">
        <f t="shared" si="11"/>
        <v>uat</v>
      </c>
      <c r="N72" s="11" t="str">
        <f t="shared" si="12"/>
        <v>oat</v>
      </c>
      <c r="P72" s="3" t="str">
        <f t="shared" si="13"/>
        <v>uat(\d)</v>
      </c>
      <c r="Q72" s="5" t="s">
        <v>25</v>
      </c>
      <c r="R72" s="5">
        <f t="shared" si="14"/>
        <v>2</v>
      </c>
      <c r="S72" s="3" t="str">
        <f t="shared" si="15"/>
        <v>o》a${1}t</v>
      </c>
      <c r="T72" s="25"/>
      <c r="U72" s="26" t="str">
        <f t="shared" si="16"/>
        <v xml:space="preserve">    - xform/》uat(\d)/o》a${1}t/</v>
      </c>
    </row>
    <row r="73" spans="1:21" ht="27.75" thickBot="1">
      <c r="A73" s="19">
        <v>70</v>
      </c>
      <c r="B73" s="20" t="s">
        <v>343</v>
      </c>
      <c r="C73" s="21" t="s">
        <v>343</v>
      </c>
      <c r="D73" s="19" t="s">
        <v>343</v>
      </c>
      <c r="E73" s="19" t="s">
        <v>343</v>
      </c>
      <c r="F73" s="19" t="s">
        <v>343</v>
      </c>
      <c r="G73" s="22" t="s">
        <v>344</v>
      </c>
      <c r="H73" s="23" t="s">
        <v>345</v>
      </c>
      <c r="I73" s="19" t="s">
        <v>346</v>
      </c>
      <c r="J73" s="19"/>
      <c r="K73" s="23">
        <f xml:space="preserve"> LEN(C73)</f>
        <v>3</v>
      </c>
      <c r="L73" s="24"/>
      <c r="M73" s="11" t="str">
        <f t="shared" si="11"/>
        <v>uai</v>
      </c>
      <c r="N73" s="11" t="str">
        <f t="shared" si="12"/>
        <v>oai</v>
      </c>
      <c r="P73" s="3" t="str">
        <f t="shared" si="13"/>
        <v>uai(\d)</v>
      </c>
      <c r="Q73" s="5" t="s">
        <v>25</v>
      </c>
      <c r="R73" s="5">
        <f t="shared" si="14"/>
        <v>2</v>
      </c>
      <c r="S73" s="3" t="str">
        <f t="shared" si="15"/>
        <v>o》a${1}i</v>
      </c>
      <c r="T73" s="25"/>
      <c r="U73" s="26" t="str">
        <f t="shared" si="16"/>
        <v xml:space="preserve">    - xform/》uai(\d)/o》a${1}i/</v>
      </c>
    </row>
    <row r="74" spans="1:21" ht="27.75" thickBot="1">
      <c r="A74" s="19">
        <v>71</v>
      </c>
      <c r="B74" s="20" t="s">
        <v>347</v>
      </c>
      <c r="C74" s="21" t="s">
        <v>348</v>
      </c>
      <c r="D74" s="19" t="s">
        <v>348</v>
      </c>
      <c r="E74" s="19" t="s">
        <v>348</v>
      </c>
      <c r="F74" s="19" t="s">
        <v>349</v>
      </c>
      <c r="G74" s="22" t="s">
        <v>350</v>
      </c>
      <c r="H74" s="23" t="s">
        <v>351</v>
      </c>
      <c r="I74" s="19" t="s">
        <v>352</v>
      </c>
      <c r="J74" s="29" t="s">
        <v>32</v>
      </c>
      <c r="K74" s="23">
        <f xml:space="preserve"> LEN(C74)</f>
        <v>5</v>
      </c>
      <c r="L74" s="24"/>
      <c r="M74" s="11" t="str">
        <f t="shared" si="11"/>
        <v>uainn</v>
      </c>
      <c r="N74" s="11" t="str">
        <f t="shared" si="12"/>
        <v>oaiⁿ</v>
      </c>
      <c r="P74" s="3" t="str">
        <f t="shared" si="13"/>
        <v>uainn(\d)</v>
      </c>
      <c r="Q74" s="5" t="s">
        <v>25</v>
      </c>
      <c r="R74" s="5">
        <f t="shared" si="14"/>
        <v>2</v>
      </c>
      <c r="S74" s="3" t="str">
        <f t="shared" si="15"/>
        <v>o》a${1}iⁿ</v>
      </c>
      <c r="T74" s="25"/>
      <c r="U74" s="26" t="str">
        <f t="shared" si="16"/>
        <v xml:space="preserve">    - xform/》uainn(\d)/o》a${1}iⁿ/</v>
      </c>
    </row>
    <row r="75" spans="1:21" ht="27.75" thickBot="1">
      <c r="A75" s="19">
        <v>72</v>
      </c>
      <c r="B75" s="20" t="s">
        <v>353</v>
      </c>
      <c r="C75" s="21" t="s">
        <v>354</v>
      </c>
      <c r="D75" s="19" t="s">
        <v>354</v>
      </c>
      <c r="E75" s="19" t="s">
        <v>354</v>
      </c>
      <c r="F75" s="19" t="s">
        <v>354</v>
      </c>
      <c r="G75" s="22" t="s">
        <v>355</v>
      </c>
      <c r="H75" s="23" t="s">
        <v>356</v>
      </c>
      <c r="I75" s="19" t="s">
        <v>357</v>
      </c>
      <c r="J75" s="19"/>
      <c r="K75" s="23">
        <f xml:space="preserve"> LEN(C75)</f>
        <v>4</v>
      </c>
      <c r="L75" s="24"/>
      <c r="M75" s="11" t="str">
        <f t="shared" si="11"/>
        <v>uaih</v>
      </c>
      <c r="N75" s="11" t="str">
        <f t="shared" si="12"/>
        <v>oaih</v>
      </c>
      <c r="P75" s="3" t="str">
        <f t="shared" si="13"/>
        <v>uaih(\d)</v>
      </c>
      <c r="Q75" s="5" t="s">
        <v>25</v>
      </c>
      <c r="R75" s="5">
        <f t="shared" si="14"/>
        <v>2</v>
      </c>
      <c r="S75" s="3" t="str">
        <f t="shared" si="15"/>
        <v>o》a${1}ih</v>
      </c>
      <c r="T75" s="25"/>
      <c r="U75" s="26" t="str">
        <f t="shared" si="16"/>
        <v xml:space="preserve">    - xform/》uaih(\d)/o》a${1}ih/</v>
      </c>
    </row>
    <row r="76" spans="1:21" ht="27.75" thickBot="1">
      <c r="A76" s="19">
        <v>73</v>
      </c>
      <c r="B76" s="20" t="s">
        <v>358</v>
      </c>
      <c r="C76" s="21" t="s">
        <v>359</v>
      </c>
      <c r="D76" s="19" t="s">
        <v>360</v>
      </c>
      <c r="E76" s="19" t="s">
        <v>359</v>
      </c>
      <c r="F76" s="31" t="s">
        <v>359</v>
      </c>
      <c r="G76" s="22" t="s">
        <v>361</v>
      </c>
      <c r="H76" s="23" t="s">
        <v>362</v>
      </c>
      <c r="I76" s="19" t="s">
        <v>363</v>
      </c>
      <c r="J76" s="29" t="s">
        <v>32</v>
      </c>
      <c r="K76" s="23">
        <f xml:space="preserve"> LEN(C76)</f>
        <v>6</v>
      </c>
      <c r="L76" s="24"/>
      <c r="M76" s="11" t="str">
        <f t="shared" si="11"/>
        <v>uainnh</v>
      </c>
      <c r="N76" s="11" t="str">
        <f t="shared" si="12"/>
        <v>oaihⁿ</v>
      </c>
      <c r="P76" s="3" t="str">
        <f t="shared" si="13"/>
        <v>uainnh(\d)</v>
      </c>
      <c r="Q76" s="5" t="s">
        <v>25</v>
      </c>
      <c r="R76" s="5">
        <f t="shared" si="14"/>
        <v>2</v>
      </c>
      <c r="S76" s="3" t="str">
        <f t="shared" si="15"/>
        <v>o》a${1}ihⁿ</v>
      </c>
      <c r="T76" s="25"/>
      <c r="U76" s="26" t="str">
        <f t="shared" si="16"/>
        <v xml:space="preserve">    - xform/》uainnh(\d)/o》a${1}ihⁿ/</v>
      </c>
    </row>
    <row r="77" spans="1:21" ht="27.75" thickBot="1">
      <c r="A77" s="19">
        <v>74</v>
      </c>
      <c r="B77" s="20" t="s">
        <v>364</v>
      </c>
      <c r="C77" s="21" t="s">
        <v>364</v>
      </c>
      <c r="D77" s="19" t="s">
        <v>364</v>
      </c>
      <c r="E77" s="19" t="s">
        <v>364</v>
      </c>
      <c r="F77" s="19" t="s">
        <v>364</v>
      </c>
      <c r="G77" s="22" t="s">
        <v>365</v>
      </c>
      <c r="H77" s="23" t="s">
        <v>366</v>
      </c>
      <c r="I77" s="19" t="s">
        <v>367</v>
      </c>
      <c r="J77" s="19"/>
      <c r="K77" s="23">
        <f xml:space="preserve"> LEN(C77)</f>
        <v>2</v>
      </c>
      <c r="L77" s="24"/>
      <c r="M77" s="11" t="str">
        <f t="shared" si="11"/>
        <v>ue</v>
      </c>
      <c r="N77" s="11" t="str">
        <f t="shared" si="12"/>
        <v>oe</v>
      </c>
      <c r="P77" s="3" t="str">
        <f t="shared" si="13"/>
        <v>ue(\d)</v>
      </c>
      <c r="Q77" s="5" t="s">
        <v>38</v>
      </c>
      <c r="R77" s="5">
        <f t="shared" si="14"/>
        <v>1</v>
      </c>
      <c r="S77" s="3" t="str">
        <f t="shared" si="15"/>
        <v>》o${1}e</v>
      </c>
      <c r="T77" s="25"/>
      <c r="U77" s="26" t="str">
        <f t="shared" si="16"/>
        <v xml:space="preserve">    - xform/》ue(\d)/》o${1}e/</v>
      </c>
    </row>
    <row r="78" spans="1:21" ht="27.75" thickBot="1">
      <c r="A78" s="19">
        <v>75</v>
      </c>
      <c r="B78" s="20" t="s">
        <v>368</v>
      </c>
      <c r="C78" s="21" t="s">
        <v>369</v>
      </c>
      <c r="D78" s="19" t="s">
        <v>369</v>
      </c>
      <c r="E78" s="19" t="s">
        <v>369</v>
      </c>
      <c r="F78" s="19" t="s">
        <v>369</v>
      </c>
      <c r="G78" s="22" t="s">
        <v>370</v>
      </c>
      <c r="H78" s="23" t="s">
        <v>371</v>
      </c>
      <c r="I78" s="19" t="s">
        <v>372</v>
      </c>
      <c r="J78" s="19"/>
      <c r="K78" s="23">
        <f xml:space="preserve"> LEN(C78)</f>
        <v>3</v>
      </c>
      <c r="L78" s="24"/>
      <c r="M78" s="11" t="str">
        <f t="shared" si="11"/>
        <v>ueh</v>
      </c>
      <c r="N78" s="11" t="str">
        <f t="shared" si="12"/>
        <v>oeh</v>
      </c>
      <c r="P78" s="3" t="str">
        <f t="shared" si="13"/>
        <v>ueh(\d)</v>
      </c>
      <c r="Q78" s="5" t="s">
        <v>38</v>
      </c>
      <c r="R78" s="5">
        <f t="shared" si="14"/>
        <v>1</v>
      </c>
      <c r="S78" s="3" t="str">
        <f t="shared" si="15"/>
        <v>》o${1}eh</v>
      </c>
      <c r="T78" s="25"/>
      <c r="U78" s="26" t="str">
        <f t="shared" si="16"/>
        <v xml:space="preserve">    - xform/》ueh(\d)/》o${1}eh/</v>
      </c>
    </row>
    <row r="79" spans="1:21" ht="27.75" thickBot="1">
      <c r="A79" s="19">
        <v>76</v>
      </c>
      <c r="B79" s="20" t="s">
        <v>373</v>
      </c>
      <c r="C79" s="21" t="s">
        <v>373</v>
      </c>
      <c r="D79" s="19" t="s">
        <v>373</v>
      </c>
      <c r="E79" s="19" t="s">
        <v>373</v>
      </c>
      <c r="F79" s="19" t="s">
        <v>373</v>
      </c>
      <c r="G79" s="22" t="s">
        <v>373</v>
      </c>
      <c r="H79" s="23" t="s">
        <v>374</v>
      </c>
      <c r="I79" s="19" t="s">
        <v>375</v>
      </c>
      <c r="J79" s="19"/>
      <c r="K79" s="23">
        <f xml:space="preserve"> LEN(C79)</f>
        <v>2</v>
      </c>
      <c r="L79" s="24"/>
      <c r="M79" s="11" t="str">
        <f t="shared" si="11"/>
        <v>ui</v>
      </c>
      <c r="N79" s="11" t="str">
        <f t="shared" si="12"/>
        <v>ui</v>
      </c>
      <c r="P79" s="3" t="str">
        <f t="shared" si="13"/>
        <v>ui(\d)</v>
      </c>
      <c r="Q79" s="5" t="s">
        <v>38</v>
      </c>
      <c r="R79" s="5">
        <f t="shared" si="14"/>
        <v>1</v>
      </c>
      <c r="S79" s="3" t="str">
        <f t="shared" si="15"/>
        <v>》u${1}i</v>
      </c>
      <c r="T79" s="25"/>
      <c r="U79" s="26" t="str">
        <f t="shared" si="16"/>
        <v xml:space="preserve">    - xform/》ui(\d)/》u${1}i/</v>
      </c>
    </row>
    <row r="80" spans="1:21" ht="27.75" thickBot="1">
      <c r="A80" s="19">
        <v>77</v>
      </c>
      <c r="B80" s="20" t="s">
        <v>376</v>
      </c>
      <c r="C80" s="21" t="s">
        <v>377</v>
      </c>
      <c r="D80" s="19" t="s">
        <v>377</v>
      </c>
      <c r="E80" s="19" t="s">
        <v>377</v>
      </c>
      <c r="F80" s="19" t="s">
        <v>378</v>
      </c>
      <c r="G80" s="22" t="s">
        <v>379</v>
      </c>
      <c r="H80" s="23" t="s">
        <v>380</v>
      </c>
      <c r="I80" s="19" t="s">
        <v>381</v>
      </c>
      <c r="J80" s="19"/>
      <c r="K80" s="23">
        <f xml:space="preserve"> LEN(C80)</f>
        <v>4</v>
      </c>
      <c r="L80" s="24"/>
      <c r="M80" s="11" t="str">
        <f t="shared" si="11"/>
        <v>uinn</v>
      </c>
      <c r="N80" s="11" t="str">
        <f t="shared" si="12"/>
        <v>uiⁿ</v>
      </c>
      <c r="P80" s="3" t="str">
        <f t="shared" si="13"/>
        <v>uinn(\d)</v>
      </c>
      <c r="Q80" s="5" t="s">
        <v>38</v>
      </c>
      <c r="R80" s="5">
        <f t="shared" si="14"/>
        <v>1</v>
      </c>
      <c r="S80" s="3" t="str">
        <f t="shared" si="15"/>
        <v>》u${1}iⁿ</v>
      </c>
      <c r="T80" s="25"/>
      <c r="U80" s="26" t="str">
        <f t="shared" si="16"/>
        <v xml:space="preserve">    - xform/》uinn(\d)/》u${1}iⁿ/</v>
      </c>
    </row>
    <row r="81" spans="1:21" ht="27.75" thickBot="1">
      <c r="A81" s="19">
        <v>78</v>
      </c>
      <c r="B81" s="20" t="s">
        <v>382</v>
      </c>
      <c r="C81" s="21" t="s">
        <v>383</v>
      </c>
      <c r="D81" s="31" t="s">
        <v>383</v>
      </c>
      <c r="E81" s="31" t="s">
        <v>383</v>
      </c>
      <c r="F81" s="31" t="s">
        <v>383</v>
      </c>
      <c r="G81" s="31" t="s">
        <v>383</v>
      </c>
      <c r="H81" s="35" t="s">
        <v>384</v>
      </c>
      <c r="I81" s="33" t="s">
        <v>385</v>
      </c>
      <c r="J81" s="29" t="s">
        <v>32</v>
      </c>
      <c r="K81" s="23">
        <f xml:space="preserve"> LEN(C81)</f>
        <v>3</v>
      </c>
      <c r="L81" s="24"/>
      <c r="M81" s="11" t="str">
        <f t="shared" si="11"/>
        <v>uih</v>
      </c>
      <c r="N81" s="11" t="str">
        <f t="shared" si="12"/>
        <v>uih</v>
      </c>
      <c r="P81" s="3" t="str">
        <f t="shared" si="13"/>
        <v>uih(\d)</v>
      </c>
      <c r="Q81" s="5" t="s">
        <v>38</v>
      </c>
      <c r="R81" s="5">
        <f t="shared" si="14"/>
        <v>1</v>
      </c>
      <c r="S81" s="3" t="str">
        <f t="shared" si="15"/>
        <v>》u${1}ih</v>
      </c>
      <c r="T81" s="25"/>
      <c r="U81" s="26" t="str">
        <f t="shared" si="16"/>
        <v xml:space="preserve">    - xform/》uih(\d)/》u${1}ih/</v>
      </c>
    </row>
    <row r="82" spans="1:21" ht="27.75" thickBot="1">
      <c r="A82" s="19">
        <v>79</v>
      </c>
      <c r="B82" s="20" t="s">
        <v>386</v>
      </c>
      <c r="C82" s="21" t="s">
        <v>387</v>
      </c>
      <c r="D82" s="19" t="s">
        <v>387</v>
      </c>
      <c r="E82" s="19" t="s">
        <v>387</v>
      </c>
      <c r="F82" s="19" t="s">
        <v>387</v>
      </c>
      <c r="G82" s="22" t="s">
        <v>387</v>
      </c>
      <c r="H82" s="23" t="s">
        <v>388</v>
      </c>
      <c r="I82" s="19" t="s">
        <v>389</v>
      </c>
      <c r="J82" s="19"/>
      <c r="K82" s="23">
        <f xml:space="preserve"> LEN(C82)</f>
        <v>1</v>
      </c>
      <c r="L82" s="24"/>
      <c r="M82" s="11" t="str">
        <f t="shared" si="11"/>
        <v>m</v>
      </c>
      <c r="N82" s="11" t="str">
        <f t="shared" si="12"/>
        <v>m</v>
      </c>
      <c r="P82" s="3" t="str">
        <f t="shared" si="13"/>
        <v>m(\d)</v>
      </c>
      <c r="Q82" s="5" t="s">
        <v>54</v>
      </c>
      <c r="R82" s="5">
        <f t="shared" si="14"/>
        <v>1</v>
      </c>
      <c r="S82" s="3" t="str">
        <f t="shared" si="15"/>
        <v>》m${1}</v>
      </c>
      <c r="T82" s="25"/>
      <c r="U82" s="26" t="str">
        <f t="shared" si="16"/>
        <v xml:space="preserve">    - xform/》m(\d)/》m${1}/</v>
      </c>
    </row>
    <row r="83" spans="1:21" ht="27.75" thickBot="1">
      <c r="A83" s="19">
        <v>80</v>
      </c>
      <c r="B83" s="20" t="s">
        <v>390</v>
      </c>
      <c r="C83" s="21" t="s">
        <v>391</v>
      </c>
      <c r="D83" s="31" t="s">
        <v>391</v>
      </c>
      <c r="E83" s="31" t="s">
        <v>391</v>
      </c>
      <c r="F83" s="31" t="s">
        <v>391</v>
      </c>
      <c r="G83" s="31" t="s">
        <v>391</v>
      </c>
      <c r="H83" s="35" t="s">
        <v>392</v>
      </c>
      <c r="I83" s="34" t="s">
        <v>393</v>
      </c>
      <c r="J83" s="19"/>
      <c r="K83" s="23">
        <f xml:space="preserve"> LEN(C83)</f>
        <v>2</v>
      </c>
      <c r="L83" s="24"/>
      <c r="M83" s="11" t="str">
        <f t="shared" si="11"/>
        <v>mh</v>
      </c>
      <c r="N83" s="11" t="str">
        <f t="shared" si="12"/>
        <v>mh</v>
      </c>
      <c r="P83" s="3" t="str">
        <f t="shared" si="13"/>
        <v>mh(\d)</v>
      </c>
      <c r="Q83" s="5" t="s">
        <v>54</v>
      </c>
      <c r="R83" s="5">
        <f t="shared" si="14"/>
        <v>1</v>
      </c>
      <c r="S83" s="3" t="str">
        <f t="shared" si="15"/>
        <v>》m${1}h</v>
      </c>
      <c r="T83" s="25"/>
      <c r="U83" s="26" t="str">
        <f t="shared" si="16"/>
        <v xml:space="preserve">    - xform/》mh(\d)/》m${1}h/</v>
      </c>
    </row>
    <row r="84" spans="1:21" ht="27.75" thickBot="1">
      <c r="A84" s="19">
        <v>81</v>
      </c>
      <c r="B84" s="20" t="s">
        <v>394</v>
      </c>
      <c r="C84" s="21" t="s">
        <v>395</v>
      </c>
      <c r="D84" s="19" t="s">
        <v>395</v>
      </c>
      <c r="E84" s="19" t="s">
        <v>395</v>
      </c>
      <c r="F84" s="19" t="s">
        <v>395</v>
      </c>
      <c r="G84" s="22" t="s">
        <v>395</v>
      </c>
      <c r="H84" s="23" t="s">
        <v>396</v>
      </c>
      <c r="I84" s="19" t="s">
        <v>397</v>
      </c>
      <c r="J84" s="19"/>
      <c r="K84" s="23">
        <f xml:space="preserve"> LEN(C84)</f>
        <v>2</v>
      </c>
      <c r="L84" s="24"/>
      <c r="M84" s="11" t="str">
        <f t="shared" si="11"/>
        <v>ng</v>
      </c>
      <c r="N84" s="11" t="str">
        <f t="shared" si="12"/>
        <v>ng</v>
      </c>
      <c r="P84" s="3" t="str">
        <f t="shared" si="13"/>
        <v>ng(\d)</v>
      </c>
      <c r="Q84" s="5" t="s">
        <v>59</v>
      </c>
      <c r="R84" s="5">
        <f t="shared" si="14"/>
        <v>1</v>
      </c>
      <c r="S84" s="3" t="str">
        <f t="shared" si="15"/>
        <v>》n${1}g</v>
      </c>
      <c r="T84" s="25"/>
      <c r="U84" s="26" t="str">
        <f t="shared" si="16"/>
        <v xml:space="preserve">    - xform/》ng(\d)/》n${1}g/</v>
      </c>
    </row>
    <row r="85" spans="1:21" ht="27.75" thickBot="1">
      <c r="A85" s="19">
        <v>82</v>
      </c>
      <c r="B85" s="20" t="s">
        <v>398</v>
      </c>
      <c r="C85" s="21" t="s">
        <v>399</v>
      </c>
      <c r="D85" s="31" t="s">
        <v>399</v>
      </c>
      <c r="E85" s="31" t="s">
        <v>399</v>
      </c>
      <c r="F85" s="31" t="s">
        <v>399</v>
      </c>
      <c r="G85" s="31" t="s">
        <v>399</v>
      </c>
      <c r="H85" s="35" t="s">
        <v>400</v>
      </c>
      <c r="I85" s="34" t="s">
        <v>401</v>
      </c>
      <c r="J85" s="19"/>
      <c r="K85" s="23">
        <f xml:space="preserve"> LEN(C85)</f>
        <v>3</v>
      </c>
      <c r="L85" s="24"/>
      <c r="M85" s="11" t="str">
        <f t="shared" si="11"/>
        <v>ngh</v>
      </c>
      <c r="N85" s="11" t="str">
        <f t="shared" si="12"/>
        <v>ngh</v>
      </c>
      <c r="P85" s="3" t="str">
        <f t="shared" si="13"/>
        <v>ngh(\d)</v>
      </c>
      <c r="Q85" s="5" t="s">
        <v>59</v>
      </c>
      <c r="R85" s="5">
        <f t="shared" si="14"/>
        <v>1</v>
      </c>
      <c r="S85" s="3" t="str">
        <f t="shared" si="15"/>
        <v>》n${1}gh</v>
      </c>
      <c r="T85" s="25"/>
      <c r="U85" s="26" t="str">
        <f t="shared" si="16"/>
        <v xml:space="preserve">    - xform/》ngh(\d)/》n${1}gh/</v>
      </c>
    </row>
    <row r="86" spans="1:21" ht="27" thickBot="1"/>
    <row r="87" spans="1:21" ht="48.75" thickBot="1">
      <c r="B87" s="11" t="s">
        <v>402</v>
      </c>
      <c r="C87" s="11" t="s">
        <v>403</v>
      </c>
      <c r="D87" s="11" t="s">
        <v>403</v>
      </c>
    </row>
    <row r="88" spans="1:21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21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21" ht="27" thickBot="1"/>
    <row r="91" spans="1:21" ht="27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21" ht="27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21" ht="27" thickBot="1"/>
    <row r="94" spans="1:21" ht="27" thickBot="1">
      <c r="B94" s="11" t="s">
        <v>408</v>
      </c>
      <c r="C94" s="11" t="s">
        <v>409</v>
      </c>
    </row>
    <row r="95" spans="1:21" ht="27" thickBot="1">
      <c r="B95" s="11" t="s">
        <v>410</v>
      </c>
      <c r="C95" s="11" t="s">
        <v>411</v>
      </c>
    </row>
    <row r="97" spans="1:1">
      <c r="A97" s="1" t="str">
        <f xml:space="preserve"> "(""" &amp; _xlfn.TEXTJOIN(""",""",TRUE,F4:F85)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A4:K85">
    <sortCondition ref="A4:A85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3CB1-FE24-40F3-8044-C24D05C4630C}">
  <dimension ref="A1:Z28"/>
  <sheetViews>
    <sheetView workbookViewId="0">
      <pane ySplit="1" topLeftCell="A2" activePane="bottomLeft" state="frozen"/>
      <selection pane="bottomLeft" activeCell="Z5" sqref="Z5:Z8"/>
    </sheetView>
  </sheetViews>
  <sheetFormatPr defaultRowHeight="25.5" outlineLevelCol="1"/>
  <cols>
    <col min="1" max="1" width="9.625" style="37" bestFit="1" customWidth="1"/>
    <col min="2" max="11" width="13.5" style="37" customWidth="1"/>
    <col min="12" max="12" width="34.625" style="37" bestFit="1" customWidth="1"/>
    <col min="13" max="13" width="9.625" style="37" bestFit="1" customWidth="1"/>
    <col min="14" max="14" width="5.25" style="2" hidden="1" customWidth="1" outlineLevel="1"/>
    <col min="15" max="16" width="15.125" style="2" hidden="1" customWidth="1" outlineLevel="1"/>
    <col min="17" max="17" width="2.875" style="2" hidden="1" customWidth="1" outlineLevel="1"/>
    <col min="18" max="18" width="13.75" style="3" hidden="1" customWidth="1" outlineLevel="1"/>
    <col min="19" max="19" width="16.75" style="3" hidden="1" customWidth="1" outlineLevel="1"/>
    <col min="20" max="20" width="4.5" style="2" hidden="1" customWidth="1" outlineLevel="1"/>
    <col min="21" max="21" width="51.75" style="6" hidden="1" customWidth="1" outlineLevel="1"/>
    <col min="22" max="22" width="5.25" style="2" customWidth="1" collapsed="1"/>
    <col min="23" max="24" width="15.125" style="2" customWidth="1"/>
    <col min="25" max="25" width="4.5" style="2" customWidth="1"/>
    <col min="26" max="26" width="30.125" style="6" bestFit="1" customWidth="1"/>
    <col min="27" max="16384" width="9" style="37"/>
  </cols>
  <sheetData>
    <row r="1" spans="1:26" ht="27.75" thickBot="1">
      <c r="A1" s="36" t="s">
        <v>412</v>
      </c>
      <c r="B1" s="36" t="s">
        <v>413</v>
      </c>
      <c r="C1" s="36" t="s">
        <v>414</v>
      </c>
      <c r="D1" s="36" t="s">
        <v>415</v>
      </c>
      <c r="E1" s="36" t="s">
        <v>416</v>
      </c>
      <c r="F1" s="36" t="s">
        <v>417</v>
      </c>
      <c r="G1" s="36" t="s">
        <v>418</v>
      </c>
      <c r="H1" s="36" t="s">
        <v>537</v>
      </c>
      <c r="I1" s="36" t="s">
        <v>419</v>
      </c>
      <c r="J1" s="36" t="s">
        <v>420</v>
      </c>
      <c r="K1" s="36" t="s">
        <v>421</v>
      </c>
      <c r="L1" s="36" t="s">
        <v>422</v>
      </c>
      <c r="M1" s="36" t="s">
        <v>11</v>
      </c>
      <c r="N1" s="13"/>
      <c r="O1" s="11" t="str">
        <f>I1</f>
        <v>注音二式</v>
      </c>
      <c r="P1" s="11" t="str">
        <f>G1</f>
        <v>方音符號</v>
      </c>
      <c r="R1" s="11" t="str">
        <f>O1</f>
        <v>注音二式</v>
      </c>
      <c r="S1" s="11" t="str">
        <f>P1</f>
        <v>方音符號</v>
      </c>
      <c r="U1" s="14"/>
      <c r="V1" s="13"/>
      <c r="W1" s="11" t="str">
        <f>G1</f>
        <v>方音符號</v>
      </c>
      <c r="X1" s="11" t="str">
        <f>H1</f>
        <v>台語注音</v>
      </c>
      <c r="Z1" s="14"/>
    </row>
    <row r="2" spans="1:26" ht="30" thickBot="1">
      <c r="A2" s="46">
        <v>19</v>
      </c>
      <c r="B2" s="46" t="s">
        <v>511</v>
      </c>
      <c r="C2" s="46" t="s">
        <v>511</v>
      </c>
      <c r="D2" s="44" t="s">
        <v>512</v>
      </c>
      <c r="E2" s="47" t="s">
        <v>466</v>
      </c>
      <c r="F2" s="47" t="s">
        <v>467</v>
      </c>
      <c r="G2" s="44" t="s">
        <v>513</v>
      </c>
      <c r="H2" s="44" t="s">
        <v>513</v>
      </c>
      <c r="I2" s="46" t="s">
        <v>514</v>
      </c>
      <c r="J2" s="46" t="s">
        <v>515</v>
      </c>
      <c r="K2" s="46" t="s">
        <v>511</v>
      </c>
      <c r="L2" s="45" t="s">
        <v>516</v>
      </c>
      <c r="M2" s="46">
        <f t="shared" ref="M2:M23" si="0" xml:space="preserve"> LEN(I2)</f>
        <v>3</v>
      </c>
      <c r="N2" s="24"/>
      <c r="O2" s="11" t="str">
        <f t="shared" ref="O2:O23" si="1">I2</f>
        <v>jji</v>
      </c>
      <c r="P2" s="11" t="str">
        <f t="shared" ref="P2:P23" si="2">G2</f>
        <v>ㆢ</v>
      </c>
      <c r="R2" s="3" t="str">
        <f xml:space="preserve"> _xlfn.CONCAT(O2, "")</f>
        <v>jji</v>
      </c>
      <c r="S2" s="3" t="str">
        <f xml:space="preserve"> IFERROR( _xlfn.CONCAT(P2, ""), "" )</f>
        <v>ㆢ</v>
      </c>
      <c r="T2" s="25"/>
      <c r="U2" s="26" t="str">
        <f xml:space="preserve"> IF(AND(P2&lt;&gt;"", O2&lt;&gt;""), "    - xform/》" &amp; R2 &amp;  "/"  &amp; S2 &amp;  "》/", "")</f>
        <v xml:space="preserve">    - xform/》jji/ㆢ》/</v>
      </c>
      <c r="V2" s="24"/>
      <c r="W2" s="11" t="str">
        <f t="shared" ref="W2:W23" si="3">G2</f>
        <v>ㆢ</v>
      </c>
      <c r="X2" s="11" t="str">
        <f t="shared" ref="X2:X23" si="4">H2</f>
        <v>ㆢ</v>
      </c>
      <c r="Y2" s="25"/>
      <c r="Z2" s="26" t="str">
        <f xml:space="preserve"> IF(AND(X2&lt;&gt;"", W2&lt;&gt;""), "    - xform/》" &amp; W2 &amp;  "/"  &amp; X2 &amp;  "》/", "")</f>
        <v xml:space="preserve">    - xform/》ㆢ/ㆢ》/</v>
      </c>
    </row>
    <row r="3" spans="1:26" ht="30" thickBot="1">
      <c r="A3" s="46">
        <v>21</v>
      </c>
      <c r="B3" s="46" t="s">
        <v>524</v>
      </c>
      <c r="C3" s="46" t="s">
        <v>525</v>
      </c>
      <c r="D3" s="45" t="s">
        <v>526</v>
      </c>
      <c r="E3" s="47" t="s">
        <v>527</v>
      </c>
      <c r="F3" s="47" t="s">
        <v>491</v>
      </c>
      <c r="G3" s="45" t="s">
        <v>528</v>
      </c>
      <c r="H3" s="45" t="s">
        <v>528</v>
      </c>
      <c r="I3" s="46" t="s">
        <v>522</v>
      </c>
      <c r="J3" s="46" t="s">
        <v>525</v>
      </c>
      <c r="K3" s="46" t="s">
        <v>529</v>
      </c>
      <c r="L3" s="45" t="s">
        <v>530</v>
      </c>
      <c r="M3" s="38">
        <f t="shared" si="0"/>
        <v>3</v>
      </c>
      <c r="N3" s="24"/>
      <c r="O3" s="11" t="str">
        <f t="shared" si="1"/>
        <v>chi</v>
      </c>
      <c r="P3" s="11" t="str">
        <f t="shared" si="2"/>
        <v>ㄑ</v>
      </c>
      <c r="R3" s="3" t="str">
        <f t="shared" ref="R3:R19" si="5" xml:space="preserve"> _xlfn.CONCAT(O3, "")</f>
        <v>chi</v>
      </c>
      <c r="S3" s="3" t="str">
        <f t="shared" ref="S3:S19" si="6" xml:space="preserve"> IFERROR( _xlfn.CONCAT(P3, ""), "" )</f>
        <v>ㄑ</v>
      </c>
      <c r="T3" s="25"/>
      <c r="U3" s="26" t="str">
        <f t="shared" ref="U3:U19" si="7" xml:space="preserve"> IF(AND(P3&lt;&gt;"", O3&lt;&gt;""), "    - xform/》" &amp; R3 &amp;  "/"  &amp; S3 &amp;  "》/", "")</f>
        <v xml:space="preserve">    - xform/》chi/ㄑ》/</v>
      </c>
      <c r="V3" s="24"/>
      <c r="W3" s="11" t="str">
        <f t="shared" si="3"/>
        <v>ㄑ</v>
      </c>
      <c r="X3" s="11" t="str">
        <f t="shared" si="4"/>
        <v>ㄑ</v>
      </c>
      <c r="Y3" s="25"/>
      <c r="Z3" s="26" t="str">
        <f t="shared" ref="Z3:Z23" si="8" xml:space="preserve"> IF(AND(X3&lt;&gt;"", W3&lt;&gt;""), "    - xform/》" &amp; W3 &amp;  "/"  &amp; X3 &amp;  "》/", "")</f>
        <v xml:space="preserve">    - xform/》ㄑ/ㄑ》/</v>
      </c>
    </row>
    <row r="4" spans="1:26" ht="30" thickBot="1">
      <c r="A4" s="46">
        <v>22</v>
      </c>
      <c r="B4" s="46" t="s">
        <v>531</v>
      </c>
      <c r="C4" s="46" t="s">
        <v>531</v>
      </c>
      <c r="D4" s="45" t="s">
        <v>532</v>
      </c>
      <c r="E4" s="47" t="s">
        <v>533</v>
      </c>
      <c r="F4" s="47" t="s">
        <v>472</v>
      </c>
      <c r="G4" s="45" t="s">
        <v>534</v>
      </c>
      <c r="H4" s="45" t="s">
        <v>534</v>
      </c>
      <c r="I4" s="46" t="s">
        <v>535</v>
      </c>
      <c r="J4" s="46" t="s">
        <v>531</v>
      </c>
      <c r="K4" s="46" t="s">
        <v>531</v>
      </c>
      <c r="L4" s="45" t="s">
        <v>536</v>
      </c>
      <c r="M4" s="38">
        <f t="shared" si="0"/>
        <v>3</v>
      </c>
      <c r="N4" s="24"/>
      <c r="O4" s="11" t="str">
        <f t="shared" si="1"/>
        <v>shi</v>
      </c>
      <c r="P4" s="11" t="str">
        <f t="shared" si="2"/>
        <v>ㄒ</v>
      </c>
      <c r="R4" s="3" t="str">
        <f t="shared" si="5"/>
        <v>shi</v>
      </c>
      <c r="S4" s="3" t="str">
        <f t="shared" si="6"/>
        <v>ㄒ</v>
      </c>
      <c r="T4" s="25"/>
      <c r="U4" s="26" t="str">
        <f t="shared" si="7"/>
        <v xml:space="preserve">    - xform/》shi/ㄒ》/</v>
      </c>
      <c r="V4" s="24"/>
      <c r="W4" s="11" t="str">
        <f t="shared" si="3"/>
        <v>ㄒ</v>
      </c>
      <c r="X4" s="11" t="str">
        <f t="shared" si="4"/>
        <v>ㄒ</v>
      </c>
      <c r="Y4" s="25"/>
      <c r="Z4" s="26" t="str">
        <f t="shared" si="8"/>
        <v xml:space="preserve">    - xform/》ㄒ/ㄒ》/</v>
      </c>
    </row>
    <row r="5" spans="1:26" ht="30" thickBot="1">
      <c r="A5" s="38">
        <v>9</v>
      </c>
      <c r="B5" s="38" t="s">
        <v>464</v>
      </c>
      <c r="C5" s="38" t="s">
        <v>464</v>
      </c>
      <c r="D5" s="38" t="s">
        <v>465</v>
      </c>
      <c r="E5" s="40" t="s">
        <v>466</v>
      </c>
      <c r="F5" s="41" t="s">
        <v>467</v>
      </c>
      <c r="G5" s="38" t="s">
        <v>468</v>
      </c>
      <c r="H5" s="48" t="s">
        <v>546</v>
      </c>
      <c r="I5" s="38" t="s">
        <v>469</v>
      </c>
      <c r="J5" s="38" t="s">
        <v>469</v>
      </c>
      <c r="K5" s="38" t="s">
        <v>464</v>
      </c>
      <c r="L5" s="38"/>
      <c r="M5" s="38">
        <f t="shared" si="0"/>
        <v>2</v>
      </c>
      <c r="N5" s="24"/>
      <c r="O5" s="11" t="str">
        <f t="shared" si="1"/>
        <v>zz</v>
      </c>
      <c r="P5" s="11" t="str">
        <f t="shared" si="2"/>
        <v>ㆡ</v>
      </c>
      <c r="R5" s="3" t="str">
        <f t="shared" si="5"/>
        <v>zz</v>
      </c>
      <c r="S5" s="3" t="str">
        <f t="shared" si="6"/>
        <v>ㆡ</v>
      </c>
      <c r="T5" s="25"/>
      <c r="U5" s="26" t="str">
        <f t="shared" si="7"/>
        <v xml:space="preserve">    - xform/》zz/ㆡ》/</v>
      </c>
      <c r="V5" s="24"/>
      <c r="W5" s="11" t="str">
        <f t="shared" si="3"/>
        <v>ㆡ</v>
      </c>
      <c r="X5" s="11" t="str">
        <f t="shared" si="4"/>
        <v>ㄖ</v>
      </c>
      <c r="Y5" s="25"/>
      <c r="Z5" s="26" t="str">
        <f t="shared" si="8"/>
        <v xml:space="preserve">    - xform/》ㆡ/ㄖ》/</v>
      </c>
    </row>
    <row r="6" spans="1:26" ht="30" thickBot="1">
      <c r="A6" s="38">
        <v>12</v>
      </c>
      <c r="B6" s="38" t="s">
        <v>431</v>
      </c>
      <c r="C6" s="38" t="s">
        <v>431</v>
      </c>
      <c r="D6" s="38" t="s">
        <v>431</v>
      </c>
      <c r="E6" s="39" t="s">
        <v>478</v>
      </c>
      <c r="F6" s="43" t="s">
        <v>479</v>
      </c>
      <c r="G6" s="38" t="s">
        <v>480</v>
      </c>
      <c r="H6" s="48" t="s">
        <v>540</v>
      </c>
      <c r="I6" s="38" t="s">
        <v>481</v>
      </c>
      <c r="J6" s="38" t="s">
        <v>481</v>
      </c>
      <c r="K6" s="38" t="s">
        <v>431</v>
      </c>
      <c r="L6" s="38"/>
      <c r="M6" s="38">
        <f t="shared" si="0"/>
        <v>2</v>
      </c>
      <c r="N6" s="24"/>
      <c r="O6" s="11" t="str">
        <f t="shared" si="1"/>
        <v>bb</v>
      </c>
      <c r="P6" s="11" t="str">
        <f t="shared" si="2"/>
        <v>ㆠ</v>
      </c>
      <c r="R6" s="3" t="str">
        <f t="shared" si="5"/>
        <v>bb</v>
      </c>
      <c r="S6" s="3" t="str">
        <f t="shared" si="6"/>
        <v>ㆠ</v>
      </c>
      <c r="T6" s="25"/>
      <c r="U6" s="26" t="str">
        <f t="shared" si="7"/>
        <v xml:space="preserve">    - xform/》bb/ㆠ》/</v>
      </c>
      <c r="V6" s="24"/>
      <c r="W6" s="11" t="str">
        <f t="shared" si="3"/>
        <v>ㆠ</v>
      </c>
      <c r="X6" s="11" t="str">
        <f t="shared" si="4"/>
        <v>ㄪ</v>
      </c>
      <c r="Y6" s="25"/>
      <c r="Z6" s="26" t="str">
        <f t="shared" si="8"/>
        <v xml:space="preserve">    - xform/》ㆠ/ㄪ》/</v>
      </c>
    </row>
    <row r="7" spans="1:26" ht="30" thickBot="1">
      <c r="A7" s="38">
        <v>13</v>
      </c>
      <c r="B7" s="38" t="s">
        <v>436</v>
      </c>
      <c r="C7" s="38" t="s">
        <v>436</v>
      </c>
      <c r="D7" s="38" t="s">
        <v>482</v>
      </c>
      <c r="E7" s="39" t="s">
        <v>483</v>
      </c>
      <c r="F7" s="39" t="s">
        <v>484</v>
      </c>
      <c r="G7" s="38" t="s">
        <v>485</v>
      </c>
      <c r="H7" s="48" t="s">
        <v>541</v>
      </c>
      <c r="I7" s="38" t="s">
        <v>486</v>
      </c>
      <c r="J7" s="38" t="s">
        <v>486</v>
      </c>
      <c r="K7" s="38" t="s">
        <v>436</v>
      </c>
      <c r="L7" s="38"/>
      <c r="M7" s="38">
        <f t="shared" si="0"/>
        <v>2</v>
      </c>
      <c r="N7" s="24"/>
      <c r="O7" s="11" t="str">
        <f t="shared" si="1"/>
        <v>gg</v>
      </c>
      <c r="P7" s="11" t="str">
        <f t="shared" si="2"/>
        <v>ㆣ</v>
      </c>
      <c r="R7" s="3" t="str">
        <f t="shared" si="5"/>
        <v>gg</v>
      </c>
      <c r="S7" s="3" t="str">
        <f t="shared" si="6"/>
        <v>ㆣ</v>
      </c>
      <c r="T7" s="25"/>
      <c r="U7" s="26" t="str">
        <f t="shared" si="7"/>
        <v xml:space="preserve">    - xform/》gg/ㆣ》/</v>
      </c>
      <c r="V7" s="24"/>
      <c r="W7" s="11" t="str">
        <f t="shared" si="3"/>
        <v>ㆣ</v>
      </c>
      <c r="X7" s="11" t="str">
        <f t="shared" si="4"/>
        <v>ㄫ</v>
      </c>
      <c r="Y7" s="25"/>
      <c r="Z7" s="26" t="str">
        <f t="shared" si="8"/>
        <v xml:space="preserve">    - xform/》ㆣ/ㄫ》/</v>
      </c>
    </row>
    <row r="8" spans="1:26" ht="30" thickBot="1">
      <c r="A8" s="38">
        <v>18</v>
      </c>
      <c r="B8" s="38" t="s">
        <v>395</v>
      </c>
      <c r="C8" s="38" t="s">
        <v>395</v>
      </c>
      <c r="D8" s="38" t="s">
        <v>506</v>
      </c>
      <c r="E8" s="39" t="s">
        <v>507</v>
      </c>
      <c r="F8" s="39" t="s">
        <v>507</v>
      </c>
      <c r="G8" s="38" t="s">
        <v>508</v>
      </c>
      <c r="H8" s="48" t="str">
        <f>_xlfn.CONCAT(_xlfn.UNICHAR(HEX2DEC(RIGHT("U+2070", 4))), "ㄫ")</f>
        <v>⁰ㄫ</v>
      </c>
      <c r="I8" s="38" t="s">
        <v>395</v>
      </c>
      <c r="J8" s="38" t="s">
        <v>509</v>
      </c>
      <c r="K8" s="38" t="s">
        <v>395</v>
      </c>
      <c r="L8" s="45" t="s">
        <v>510</v>
      </c>
      <c r="M8" s="38">
        <f t="shared" si="0"/>
        <v>2</v>
      </c>
      <c r="N8" s="24"/>
      <c r="O8" s="11" t="str">
        <f t="shared" si="1"/>
        <v>ng</v>
      </c>
      <c r="P8" s="11" t="str">
        <f t="shared" si="2"/>
        <v>ㄫ</v>
      </c>
      <c r="R8" s="3" t="str">
        <f t="shared" si="5"/>
        <v>ng</v>
      </c>
      <c r="S8" s="3" t="str">
        <f t="shared" si="6"/>
        <v>ㄫ</v>
      </c>
      <c r="T8" s="25"/>
      <c r="U8" s="26" t="str">
        <f t="shared" si="7"/>
        <v xml:space="preserve">    - xform/》ng/ㄫ》/</v>
      </c>
      <c r="V8" s="24"/>
      <c r="W8" s="11" t="str">
        <f t="shared" si="3"/>
        <v>ㄫ</v>
      </c>
      <c r="X8" s="11" t="str">
        <f t="shared" si="4"/>
        <v>⁰ㄫ</v>
      </c>
      <c r="Y8" s="25"/>
      <c r="Z8" s="26" t="str">
        <f t="shared" si="8"/>
        <v xml:space="preserve">    - xform/》ㄫ/⁰ㄫ》/</v>
      </c>
    </row>
    <row r="9" spans="1:26" ht="30" thickBot="1">
      <c r="A9" s="46">
        <v>20</v>
      </c>
      <c r="B9" s="46" t="s">
        <v>517</v>
      </c>
      <c r="C9" s="46" t="s">
        <v>518</v>
      </c>
      <c r="D9" s="45" t="s">
        <v>519</v>
      </c>
      <c r="E9" s="47" t="s">
        <v>520</v>
      </c>
      <c r="F9" s="47" t="s">
        <v>461</v>
      </c>
      <c r="G9" s="45" t="s">
        <v>521</v>
      </c>
      <c r="H9" s="45" t="s">
        <v>521</v>
      </c>
      <c r="I9" s="46" t="s">
        <v>511</v>
      </c>
      <c r="J9" s="46" t="s">
        <v>518</v>
      </c>
      <c r="K9" s="46" t="s">
        <v>522</v>
      </c>
      <c r="L9" s="45" t="s">
        <v>523</v>
      </c>
      <c r="M9" s="46">
        <f t="shared" si="0"/>
        <v>2</v>
      </c>
      <c r="N9" s="24"/>
      <c r="O9" s="11" t="str">
        <f t="shared" si="1"/>
        <v>ji</v>
      </c>
      <c r="P9" s="11" t="str">
        <f t="shared" si="2"/>
        <v>ㄐ</v>
      </c>
      <c r="R9" s="3" t="str">
        <f t="shared" si="5"/>
        <v>ji</v>
      </c>
      <c r="S9" s="3" t="str">
        <f t="shared" si="6"/>
        <v>ㄐ</v>
      </c>
      <c r="T9" s="25"/>
      <c r="U9" s="26" t="str">
        <f t="shared" si="7"/>
        <v xml:space="preserve">    - xform/》ji/ㄐ》/</v>
      </c>
      <c r="V9" s="24"/>
      <c r="W9" s="11" t="str">
        <f t="shared" si="3"/>
        <v>ㄐ</v>
      </c>
      <c r="X9" s="11" t="str">
        <f t="shared" si="4"/>
        <v>ㄐ</v>
      </c>
      <c r="Y9" s="25"/>
      <c r="Z9" s="26" t="str">
        <f t="shared" si="8"/>
        <v xml:space="preserve">    - xform/》ㄐ/ㄐ》/</v>
      </c>
    </row>
    <row r="10" spans="1:26" ht="30" thickBot="1">
      <c r="A10" s="38">
        <v>1</v>
      </c>
      <c r="B10" s="38" t="s">
        <v>423</v>
      </c>
      <c r="C10" s="38" t="s">
        <v>423</v>
      </c>
      <c r="D10" s="38" t="s">
        <v>423</v>
      </c>
      <c r="E10" s="39" t="s">
        <v>424</v>
      </c>
      <c r="F10" s="39" t="s">
        <v>425</v>
      </c>
      <c r="G10" s="38" t="s">
        <v>426</v>
      </c>
      <c r="H10" s="38" t="s">
        <v>426</v>
      </c>
      <c r="I10" s="38" t="s">
        <v>423</v>
      </c>
      <c r="J10" s="38" t="s">
        <v>423</v>
      </c>
      <c r="K10" s="38" t="s">
        <v>423</v>
      </c>
      <c r="L10" s="38"/>
      <c r="M10" s="38">
        <f t="shared" si="0"/>
        <v>1</v>
      </c>
      <c r="N10" s="24"/>
      <c r="O10" s="11" t="str">
        <f t="shared" si="1"/>
        <v>l</v>
      </c>
      <c r="P10" s="11" t="str">
        <f t="shared" si="2"/>
        <v>ㄌ</v>
      </c>
      <c r="R10" s="3" t="str">
        <f t="shared" si="5"/>
        <v>l</v>
      </c>
      <c r="S10" s="3" t="str">
        <f t="shared" si="6"/>
        <v>ㄌ</v>
      </c>
      <c r="T10" s="25"/>
      <c r="U10" s="26" t="str">
        <f t="shared" si="7"/>
        <v xml:space="preserve">    - xform/》l/ㄌ》/</v>
      </c>
      <c r="V10" s="24"/>
      <c r="W10" s="11" t="str">
        <f t="shared" si="3"/>
        <v>ㄌ</v>
      </c>
      <c r="X10" s="11" t="str">
        <f t="shared" si="4"/>
        <v>ㄌ</v>
      </c>
      <c r="Y10" s="25"/>
      <c r="Z10" s="26" t="str">
        <f t="shared" si="8"/>
        <v xml:space="preserve">    - xform/》ㄌ/ㄌ》/</v>
      </c>
    </row>
    <row r="11" spans="1:26" ht="30" thickBot="1">
      <c r="A11" s="38">
        <v>2</v>
      </c>
      <c r="B11" s="38" t="s">
        <v>427</v>
      </c>
      <c r="C11" s="38" t="s">
        <v>427</v>
      </c>
      <c r="D11" s="38" t="s">
        <v>427</v>
      </c>
      <c r="E11" s="39" t="s">
        <v>428</v>
      </c>
      <c r="F11" s="39" t="s">
        <v>429</v>
      </c>
      <c r="G11" s="38" t="s">
        <v>430</v>
      </c>
      <c r="H11" s="38" t="s">
        <v>430</v>
      </c>
      <c r="I11" s="38" t="s">
        <v>431</v>
      </c>
      <c r="J11" s="38" t="s">
        <v>431</v>
      </c>
      <c r="K11" s="38" t="s">
        <v>427</v>
      </c>
      <c r="L11" s="38"/>
      <c r="M11" s="38">
        <f t="shared" si="0"/>
        <v>1</v>
      </c>
      <c r="N11" s="24"/>
      <c r="O11" s="11" t="str">
        <f t="shared" si="1"/>
        <v>b</v>
      </c>
      <c r="P11" s="11" t="str">
        <f t="shared" si="2"/>
        <v>ㄅ</v>
      </c>
      <c r="R11" s="3" t="str">
        <f t="shared" si="5"/>
        <v>b</v>
      </c>
      <c r="S11" s="3" t="str">
        <f t="shared" si="6"/>
        <v>ㄅ</v>
      </c>
      <c r="T11" s="25"/>
      <c r="U11" s="26" t="str">
        <f t="shared" si="7"/>
        <v xml:space="preserve">    - xform/》b/ㄅ》/</v>
      </c>
      <c r="V11" s="24"/>
      <c r="W11" s="11" t="str">
        <f t="shared" si="3"/>
        <v>ㄅ</v>
      </c>
      <c r="X11" s="11" t="str">
        <f t="shared" si="4"/>
        <v>ㄅ</v>
      </c>
      <c r="Y11" s="25"/>
      <c r="Z11" s="26" t="str">
        <f t="shared" si="8"/>
        <v xml:space="preserve">    - xform/》ㄅ/ㄅ》/</v>
      </c>
    </row>
    <row r="12" spans="1:26" ht="30" thickBot="1">
      <c r="A12" s="38">
        <v>3</v>
      </c>
      <c r="B12" s="38" t="s">
        <v>432</v>
      </c>
      <c r="C12" s="38" t="s">
        <v>432</v>
      </c>
      <c r="D12" s="38" t="s">
        <v>432</v>
      </c>
      <c r="E12" s="39" t="s">
        <v>433</v>
      </c>
      <c r="F12" s="39" t="s">
        <v>434</v>
      </c>
      <c r="G12" s="38" t="s">
        <v>435</v>
      </c>
      <c r="H12" s="38" t="s">
        <v>435</v>
      </c>
      <c r="I12" s="38" t="s">
        <v>436</v>
      </c>
      <c r="J12" s="38" t="s">
        <v>436</v>
      </c>
      <c r="K12" s="38" t="s">
        <v>432</v>
      </c>
      <c r="L12" s="38"/>
      <c r="M12" s="38">
        <f t="shared" si="0"/>
        <v>1</v>
      </c>
      <c r="N12" s="24"/>
      <c r="O12" s="11" t="str">
        <f t="shared" si="1"/>
        <v>g</v>
      </c>
      <c r="P12" s="11" t="str">
        <f t="shared" si="2"/>
        <v>ㄍ</v>
      </c>
      <c r="R12" s="3" t="str">
        <f t="shared" si="5"/>
        <v>g</v>
      </c>
      <c r="S12" s="3" t="str">
        <f t="shared" si="6"/>
        <v>ㄍ</v>
      </c>
      <c r="T12" s="25"/>
      <c r="U12" s="26" t="str">
        <f t="shared" si="7"/>
        <v xml:space="preserve">    - xform/》g/ㄍ》/</v>
      </c>
      <c r="V12" s="24"/>
      <c r="W12" s="11" t="str">
        <f t="shared" si="3"/>
        <v>ㄍ</v>
      </c>
      <c r="X12" s="11" t="str">
        <f t="shared" si="4"/>
        <v>ㄍ</v>
      </c>
      <c r="Y12" s="25"/>
      <c r="Z12" s="26" t="str">
        <f t="shared" si="8"/>
        <v xml:space="preserve">    - xform/》ㄍ/ㄍ》/</v>
      </c>
    </row>
    <row r="13" spans="1:26" ht="30" thickBot="1">
      <c r="A13" s="38">
        <v>4</v>
      </c>
      <c r="B13" s="38" t="s">
        <v>437</v>
      </c>
      <c r="C13" s="38" t="s">
        <v>437</v>
      </c>
      <c r="D13" s="38" t="s">
        <v>438</v>
      </c>
      <c r="E13" s="39" t="s">
        <v>439</v>
      </c>
      <c r="F13" s="39" t="s">
        <v>440</v>
      </c>
      <c r="G13" s="38" t="s">
        <v>441</v>
      </c>
      <c r="H13" s="38" t="s">
        <v>441</v>
      </c>
      <c r="I13" s="38" t="s">
        <v>432</v>
      </c>
      <c r="J13" s="38" t="s">
        <v>432</v>
      </c>
      <c r="K13" s="38" t="s">
        <v>437</v>
      </c>
      <c r="L13" s="38"/>
      <c r="M13" s="38">
        <f t="shared" si="0"/>
        <v>1</v>
      </c>
      <c r="N13" s="24"/>
      <c r="O13" s="11" t="str">
        <f t="shared" si="1"/>
        <v>k</v>
      </c>
      <c r="P13" s="11" t="str">
        <f t="shared" si="2"/>
        <v>ㄎ</v>
      </c>
      <c r="R13" s="3" t="str">
        <f t="shared" si="5"/>
        <v>k</v>
      </c>
      <c r="S13" s="3" t="str">
        <f t="shared" si="6"/>
        <v>ㄎ</v>
      </c>
      <c r="T13" s="25"/>
      <c r="U13" s="26" t="str">
        <f t="shared" si="7"/>
        <v xml:space="preserve">    - xform/》k/ㄎ》/</v>
      </c>
      <c r="V13" s="24"/>
      <c r="W13" s="11" t="str">
        <f t="shared" si="3"/>
        <v>ㄎ</v>
      </c>
      <c r="X13" s="11" t="str">
        <f t="shared" si="4"/>
        <v>ㄎ</v>
      </c>
      <c r="Y13" s="25"/>
      <c r="Z13" s="26" t="str">
        <f t="shared" si="8"/>
        <v xml:space="preserve">    - xform/》ㄎ/ㄎ》/</v>
      </c>
    </row>
    <row r="14" spans="1:26" ht="30" thickBot="1">
      <c r="A14" s="38">
        <v>5</v>
      </c>
      <c r="B14" s="38" t="s">
        <v>442</v>
      </c>
      <c r="C14" s="38" t="s">
        <v>442</v>
      </c>
      <c r="D14" s="38" t="s">
        <v>442</v>
      </c>
      <c r="E14" s="39" t="s">
        <v>443</v>
      </c>
      <c r="F14" s="39" t="s">
        <v>444</v>
      </c>
      <c r="G14" s="38" t="s">
        <v>445</v>
      </c>
      <c r="H14" s="38" t="s">
        <v>445</v>
      </c>
      <c r="I14" s="38" t="s">
        <v>446</v>
      </c>
      <c r="J14" s="38" t="s">
        <v>446</v>
      </c>
      <c r="K14" s="38" t="s">
        <v>442</v>
      </c>
      <c r="L14" s="38"/>
      <c r="M14" s="38">
        <f t="shared" si="0"/>
        <v>1</v>
      </c>
      <c r="N14" s="24"/>
      <c r="O14" s="11" t="str">
        <f t="shared" si="1"/>
        <v>d</v>
      </c>
      <c r="P14" s="11" t="str">
        <f t="shared" si="2"/>
        <v>ㄉ</v>
      </c>
      <c r="R14" s="3" t="str">
        <f t="shared" si="5"/>
        <v>d</v>
      </c>
      <c r="S14" s="3" t="str">
        <f t="shared" si="6"/>
        <v>ㄉ</v>
      </c>
      <c r="T14" s="25"/>
      <c r="U14" s="26" t="str">
        <f t="shared" si="7"/>
        <v xml:space="preserve">    - xform/》d/ㄉ》/</v>
      </c>
      <c r="V14" s="24"/>
      <c r="W14" s="11" t="str">
        <f t="shared" si="3"/>
        <v>ㄉ</v>
      </c>
      <c r="X14" s="11" t="str">
        <f t="shared" si="4"/>
        <v>ㄉ</v>
      </c>
      <c r="Y14" s="25"/>
      <c r="Z14" s="26" t="str">
        <f t="shared" si="8"/>
        <v xml:space="preserve">    - xform/》ㄉ/ㄉ》/</v>
      </c>
    </row>
    <row r="15" spans="1:26" ht="30" thickBot="1">
      <c r="A15" s="38">
        <v>6</v>
      </c>
      <c r="B15" s="38" t="s">
        <v>447</v>
      </c>
      <c r="C15" s="38" t="s">
        <v>447</v>
      </c>
      <c r="D15" s="38" t="s">
        <v>448</v>
      </c>
      <c r="E15" s="39" t="s">
        <v>449</v>
      </c>
      <c r="F15" s="39" t="s">
        <v>450</v>
      </c>
      <c r="G15" s="38" t="s">
        <v>451</v>
      </c>
      <c r="H15" s="38" t="s">
        <v>451</v>
      </c>
      <c r="I15" s="38" t="s">
        <v>427</v>
      </c>
      <c r="J15" s="38" t="s">
        <v>427</v>
      </c>
      <c r="K15" s="38" t="s">
        <v>447</v>
      </c>
      <c r="L15" s="38"/>
      <c r="M15" s="38">
        <f t="shared" si="0"/>
        <v>1</v>
      </c>
      <c r="N15" s="24"/>
      <c r="O15" s="11" t="str">
        <f t="shared" si="1"/>
        <v>p</v>
      </c>
      <c r="P15" s="11" t="str">
        <f t="shared" si="2"/>
        <v>ㄆ</v>
      </c>
      <c r="R15" s="3" t="str">
        <f t="shared" si="5"/>
        <v>p</v>
      </c>
      <c r="S15" s="3" t="str">
        <f t="shared" si="6"/>
        <v>ㄆ</v>
      </c>
      <c r="T15" s="25"/>
      <c r="U15" s="26" t="str">
        <f t="shared" si="7"/>
        <v xml:space="preserve">    - xform/》p/ㄆ》/</v>
      </c>
      <c r="V15" s="24"/>
      <c r="W15" s="11" t="str">
        <f t="shared" si="3"/>
        <v>ㄆ</v>
      </c>
      <c r="X15" s="11" t="str">
        <f t="shared" si="4"/>
        <v>ㄆ</v>
      </c>
      <c r="Y15" s="25"/>
      <c r="Z15" s="26" t="str">
        <f t="shared" si="8"/>
        <v xml:space="preserve">    - xform/》ㄆ/ㄆ》/</v>
      </c>
    </row>
    <row r="16" spans="1:26" ht="30" thickBot="1">
      <c r="A16" s="38">
        <v>7</v>
      </c>
      <c r="B16" s="38" t="s">
        <v>452</v>
      </c>
      <c r="C16" s="38" t="s">
        <v>452</v>
      </c>
      <c r="D16" s="38" t="s">
        <v>453</v>
      </c>
      <c r="E16" s="39" t="s">
        <v>454</v>
      </c>
      <c r="F16" s="39" t="s">
        <v>455</v>
      </c>
      <c r="G16" s="38" t="s">
        <v>456</v>
      </c>
      <c r="H16" s="38" t="s">
        <v>456</v>
      </c>
      <c r="I16" s="38" t="s">
        <v>442</v>
      </c>
      <c r="J16" s="38" t="s">
        <v>442</v>
      </c>
      <c r="K16" s="38" t="s">
        <v>452</v>
      </c>
      <c r="L16" s="38"/>
      <c r="M16" s="38">
        <f t="shared" si="0"/>
        <v>1</v>
      </c>
      <c r="N16" s="24"/>
      <c r="O16" s="11" t="str">
        <f t="shared" si="1"/>
        <v>t</v>
      </c>
      <c r="P16" s="11" t="str">
        <f t="shared" si="2"/>
        <v>ㄊ</v>
      </c>
      <c r="R16" s="3" t="str">
        <f t="shared" si="5"/>
        <v>t</v>
      </c>
      <c r="S16" s="3" t="str">
        <f t="shared" si="6"/>
        <v>ㄊ</v>
      </c>
      <c r="T16" s="25"/>
      <c r="U16" s="26" t="str">
        <f t="shared" si="7"/>
        <v xml:space="preserve">    - xform/》t/ㄊ》/</v>
      </c>
      <c r="V16" s="24"/>
      <c r="W16" s="11" t="str">
        <f t="shared" si="3"/>
        <v>ㄊ</v>
      </c>
      <c r="X16" s="11" t="str">
        <f t="shared" si="4"/>
        <v>ㄊ</v>
      </c>
      <c r="Y16" s="25"/>
      <c r="Z16" s="26" t="str">
        <f t="shared" si="8"/>
        <v xml:space="preserve">    - xform/》ㄊ/ㄊ》/</v>
      </c>
    </row>
    <row r="17" spans="1:26" ht="30" thickBot="1">
      <c r="A17" s="38">
        <v>8</v>
      </c>
      <c r="B17" s="38" t="s">
        <v>457</v>
      </c>
      <c r="C17" s="38" t="s">
        <v>458</v>
      </c>
      <c r="D17" s="38" t="s">
        <v>459</v>
      </c>
      <c r="E17" s="39" t="s">
        <v>460</v>
      </c>
      <c r="F17" s="39" t="s">
        <v>461</v>
      </c>
      <c r="G17" s="38" t="s">
        <v>462</v>
      </c>
      <c r="H17" s="38" t="s">
        <v>462</v>
      </c>
      <c r="I17" s="38" t="s">
        <v>458</v>
      </c>
      <c r="J17" s="38" t="s">
        <v>458</v>
      </c>
      <c r="K17" s="38" t="s">
        <v>463</v>
      </c>
      <c r="L17" s="38"/>
      <c r="M17" s="38">
        <f t="shared" si="0"/>
        <v>1</v>
      </c>
      <c r="N17" s="24"/>
      <c r="O17" s="11" t="str">
        <f t="shared" si="1"/>
        <v>z</v>
      </c>
      <c r="P17" s="11" t="str">
        <f t="shared" si="2"/>
        <v>ㄗ</v>
      </c>
      <c r="R17" s="3" t="str">
        <f t="shared" si="5"/>
        <v>z</v>
      </c>
      <c r="S17" s="3" t="str">
        <f t="shared" si="6"/>
        <v>ㄗ</v>
      </c>
      <c r="T17" s="25"/>
      <c r="U17" s="26" t="str">
        <f t="shared" si="7"/>
        <v xml:space="preserve">    - xform/》z/ㄗ》/</v>
      </c>
      <c r="V17" s="24"/>
      <c r="W17" s="11" t="str">
        <f t="shared" si="3"/>
        <v>ㄗ</v>
      </c>
      <c r="X17" s="11" t="str">
        <f t="shared" si="4"/>
        <v>ㄗ</v>
      </c>
      <c r="Y17" s="25"/>
      <c r="Z17" s="26" t="str">
        <f t="shared" si="8"/>
        <v xml:space="preserve">    - xform/》ㄗ/ㄗ》/</v>
      </c>
    </row>
    <row r="18" spans="1:26" ht="30" thickBot="1">
      <c r="A18" s="38">
        <v>10</v>
      </c>
      <c r="B18" s="38" t="s">
        <v>470</v>
      </c>
      <c r="C18" s="38" t="s">
        <v>470</v>
      </c>
      <c r="D18" s="38" t="s">
        <v>470</v>
      </c>
      <c r="E18" s="39" t="s">
        <v>471</v>
      </c>
      <c r="F18" s="41" t="s">
        <v>472</v>
      </c>
      <c r="G18" s="38" t="s">
        <v>473</v>
      </c>
      <c r="H18" s="38" t="s">
        <v>538</v>
      </c>
      <c r="I18" s="38" t="s">
        <v>470</v>
      </c>
      <c r="J18" s="38" t="s">
        <v>470</v>
      </c>
      <c r="K18" s="38" t="s">
        <v>470</v>
      </c>
      <c r="L18" s="38"/>
      <c r="M18" s="38">
        <f t="shared" si="0"/>
        <v>1</v>
      </c>
      <c r="N18" s="24"/>
      <c r="O18" s="11" t="str">
        <f t="shared" si="1"/>
        <v>s</v>
      </c>
      <c r="P18" s="11" t="str">
        <f t="shared" si="2"/>
        <v>ㄙ</v>
      </c>
      <c r="R18" s="3" t="str">
        <f t="shared" si="5"/>
        <v>s</v>
      </c>
      <c r="S18" s="3" t="str">
        <f t="shared" si="6"/>
        <v>ㄙ</v>
      </c>
      <c r="T18" s="25"/>
      <c r="U18" s="26" t="str">
        <f t="shared" si="7"/>
        <v xml:space="preserve">    - xform/》s/ㄙ》/</v>
      </c>
      <c r="V18" s="24"/>
      <c r="W18" s="11" t="str">
        <f t="shared" si="3"/>
        <v>ㄙ</v>
      </c>
      <c r="X18" s="11" t="str">
        <f t="shared" si="4"/>
        <v>ㄙ</v>
      </c>
      <c r="Y18" s="25"/>
      <c r="Z18" s="26" t="str">
        <f t="shared" si="8"/>
        <v xml:space="preserve">    - xform/》ㄙ/ㄙ》/</v>
      </c>
    </row>
    <row r="19" spans="1:26" ht="30" thickBot="1">
      <c r="A19" s="38">
        <v>11</v>
      </c>
      <c r="B19" s="38" t="s">
        <v>474</v>
      </c>
      <c r="C19" s="38" t="s">
        <v>474</v>
      </c>
      <c r="D19" s="38" t="s">
        <v>475</v>
      </c>
      <c r="E19" s="39" t="s">
        <v>476</v>
      </c>
      <c r="F19" s="42" t="s">
        <v>477</v>
      </c>
      <c r="G19" s="38" t="s">
        <v>474</v>
      </c>
      <c r="H19" s="38" t="s">
        <v>474</v>
      </c>
      <c r="I19" s="38" t="s">
        <v>474</v>
      </c>
      <c r="J19" s="38" t="s">
        <v>474</v>
      </c>
      <c r="K19" s="38" t="s">
        <v>474</v>
      </c>
      <c r="L19" s="38"/>
      <c r="M19" s="38">
        <f t="shared" si="0"/>
        <v>1</v>
      </c>
      <c r="N19" s="24"/>
      <c r="O19" s="11" t="str">
        <f t="shared" si="1"/>
        <v>Ø</v>
      </c>
      <c r="P19" s="11" t="str">
        <f t="shared" si="2"/>
        <v>Ø</v>
      </c>
      <c r="R19" s="3" t="str">
        <f t="shared" si="5"/>
        <v>Ø</v>
      </c>
      <c r="S19" s="3" t="str">
        <f t="shared" si="6"/>
        <v>Ø</v>
      </c>
      <c r="T19" s="25"/>
      <c r="U19" s="26" t="str">
        <f t="shared" si="7"/>
        <v xml:space="preserve">    - xform/》Ø/Ø》/</v>
      </c>
      <c r="V19" s="24"/>
      <c r="W19" s="11" t="str">
        <f t="shared" si="3"/>
        <v>Ø</v>
      </c>
      <c r="X19" s="11" t="str">
        <f t="shared" si="4"/>
        <v>Ø</v>
      </c>
      <c r="Y19" s="25"/>
      <c r="Z19" s="26" t="str">
        <f t="shared" si="8"/>
        <v xml:space="preserve">    - xform/》Ø/Ø》/</v>
      </c>
    </row>
    <row r="20" spans="1:26" ht="30" thickBot="1">
      <c r="A20" s="38">
        <v>14</v>
      </c>
      <c r="B20" s="38" t="s">
        <v>487</v>
      </c>
      <c r="C20" s="38" t="s">
        <v>488</v>
      </c>
      <c r="D20" s="38" t="s">
        <v>489</v>
      </c>
      <c r="E20" s="39" t="s">
        <v>490</v>
      </c>
      <c r="F20" s="39" t="s">
        <v>491</v>
      </c>
      <c r="G20" s="38" t="s">
        <v>492</v>
      </c>
      <c r="H20" s="38" t="s">
        <v>539</v>
      </c>
      <c r="I20" s="38" t="s">
        <v>488</v>
      </c>
      <c r="J20" s="38" t="s">
        <v>488</v>
      </c>
      <c r="K20" s="38" t="s">
        <v>493</v>
      </c>
      <c r="L20" s="38"/>
      <c r="M20" s="38">
        <f t="shared" si="0"/>
        <v>1</v>
      </c>
      <c r="N20" s="24"/>
      <c r="O20" s="11" t="str">
        <f t="shared" si="1"/>
        <v>c</v>
      </c>
      <c r="P20" s="11" t="str">
        <f t="shared" si="2"/>
        <v>ㄘ</v>
      </c>
      <c r="R20" s="3" t="str">
        <f t="shared" ref="R20:R23" si="9" xml:space="preserve"> _xlfn.CONCAT(O20, "")</f>
        <v>c</v>
      </c>
      <c r="S20" s="3" t="str">
        <f t="shared" ref="S20:S23" si="10" xml:space="preserve"> IFERROR( _xlfn.CONCAT(P20, ""), "" )</f>
        <v>ㄘ</v>
      </c>
      <c r="T20" s="25"/>
      <c r="U20" s="26" t="str">
        <f t="shared" ref="U20:U23" si="11" xml:space="preserve"> IF(AND(P20&lt;&gt;"", O20&lt;&gt;""), "    - xform/》" &amp; R20 &amp;  "/"  &amp; S20 &amp;  "》/", "")</f>
        <v xml:space="preserve">    - xform/》c/ㄘ》/</v>
      </c>
      <c r="V20" s="24"/>
      <c r="W20" s="11" t="str">
        <f t="shared" si="3"/>
        <v>ㄘ</v>
      </c>
      <c r="X20" s="11" t="str">
        <f t="shared" si="4"/>
        <v>ㄘ</v>
      </c>
      <c r="Y20" s="25"/>
      <c r="Z20" s="26" t="str">
        <f t="shared" si="8"/>
        <v xml:space="preserve">    - xform/》ㄘ/ㄘ》/</v>
      </c>
    </row>
    <row r="21" spans="1:26" ht="30" thickBot="1">
      <c r="A21" s="38">
        <v>15</v>
      </c>
      <c r="B21" s="38" t="s">
        <v>494</v>
      </c>
      <c r="C21" s="38" t="s">
        <v>494</v>
      </c>
      <c r="D21" s="38" t="s">
        <v>494</v>
      </c>
      <c r="E21" s="39" t="s">
        <v>495</v>
      </c>
      <c r="F21" s="39" t="s">
        <v>495</v>
      </c>
      <c r="G21" s="38" t="s">
        <v>496</v>
      </c>
      <c r="H21" s="38" t="s">
        <v>496</v>
      </c>
      <c r="I21" s="38" t="s">
        <v>494</v>
      </c>
      <c r="J21" s="38" t="s">
        <v>494</v>
      </c>
      <c r="K21" s="38" t="s">
        <v>494</v>
      </c>
      <c r="L21" s="38"/>
      <c r="M21" s="38">
        <f t="shared" si="0"/>
        <v>1</v>
      </c>
      <c r="N21" s="24"/>
      <c r="O21" s="11" t="str">
        <f t="shared" si="1"/>
        <v>h</v>
      </c>
      <c r="P21" s="11" t="str">
        <f t="shared" si="2"/>
        <v>ㄏ</v>
      </c>
      <c r="R21" s="3" t="str">
        <f t="shared" si="9"/>
        <v>h</v>
      </c>
      <c r="S21" s="3" t="str">
        <f t="shared" si="10"/>
        <v>ㄏ</v>
      </c>
      <c r="T21" s="25"/>
      <c r="U21" s="26" t="str">
        <f t="shared" si="11"/>
        <v xml:space="preserve">    - xform/》h/ㄏ》/</v>
      </c>
      <c r="V21" s="24"/>
      <c r="W21" s="11" t="str">
        <f t="shared" si="3"/>
        <v>ㄏ</v>
      </c>
      <c r="X21" s="11" t="str">
        <f t="shared" si="4"/>
        <v>ㄏ</v>
      </c>
      <c r="Y21" s="25"/>
      <c r="Z21" s="26" t="str">
        <f t="shared" si="8"/>
        <v xml:space="preserve">    - xform/》ㄏ/ㄏ》/</v>
      </c>
    </row>
    <row r="22" spans="1:26" ht="30" thickBot="1">
      <c r="A22" s="38">
        <v>16</v>
      </c>
      <c r="B22" s="38" t="s">
        <v>387</v>
      </c>
      <c r="C22" s="38" t="s">
        <v>387</v>
      </c>
      <c r="D22" s="38" t="s">
        <v>387</v>
      </c>
      <c r="E22" s="39" t="s">
        <v>497</v>
      </c>
      <c r="F22" s="39" t="s">
        <v>497</v>
      </c>
      <c r="G22" s="38" t="s">
        <v>498</v>
      </c>
      <c r="H22" s="38" t="s">
        <v>498</v>
      </c>
      <c r="I22" s="38" t="s">
        <v>387</v>
      </c>
      <c r="J22" s="38" t="s">
        <v>499</v>
      </c>
      <c r="K22" s="38" t="s">
        <v>387</v>
      </c>
      <c r="L22" s="44" t="s">
        <v>500</v>
      </c>
      <c r="M22" s="38">
        <f t="shared" si="0"/>
        <v>1</v>
      </c>
      <c r="O22" s="11" t="str">
        <f t="shared" si="1"/>
        <v>m</v>
      </c>
      <c r="P22" s="11" t="str">
        <f t="shared" si="2"/>
        <v>ㄇ</v>
      </c>
      <c r="R22" s="3" t="str">
        <f t="shared" si="9"/>
        <v>m</v>
      </c>
      <c r="S22" s="3" t="str">
        <f t="shared" si="10"/>
        <v>ㄇ</v>
      </c>
      <c r="T22" s="25"/>
      <c r="U22" s="26" t="str">
        <f t="shared" si="11"/>
        <v xml:space="preserve">    - xform/》m/ㄇ》/</v>
      </c>
      <c r="W22" s="11" t="str">
        <f t="shared" si="3"/>
        <v>ㄇ</v>
      </c>
      <c r="X22" s="11" t="str">
        <f t="shared" si="4"/>
        <v>ㄇ</v>
      </c>
      <c r="Y22" s="25"/>
      <c r="Z22" s="26" t="str">
        <f t="shared" si="8"/>
        <v xml:space="preserve">    - xform/》ㄇ/ㄇ》/</v>
      </c>
    </row>
    <row r="23" spans="1:26" ht="30" thickBot="1">
      <c r="A23" s="38">
        <v>17</v>
      </c>
      <c r="B23" s="38" t="s">
        <v>501</v>
      </c>
      <c r="C23" s="38" t="s">
        <v>501</v>
      </c>
      <c r="D23" s="38" t="s">
        <v>501</v>
      </c>
      <c r="E23" s="39" t="s">
        <v>502</v>
      </c>
      <c r="F23" s="39" t="s">
        <v>502</v>
      </c>
      <c r="G23" s="38" t="s">
        <v>503</v>
      </c>
      <c r="H23" s="38" t="s">
        <v>503</v>
      </c>
      <c r="I23" s="38" t="s">
        <v>501</v>
      </c>
      <c r="J23" s="38" t="s">
        <v>504</v>
      </c>
      <c r="K23" s="38" t="s">
        <v>501</v>
      </c>
      <c r="L23" s="45" t="s">
        <v>505</v>
      </c>
      <c r="M23" s="38">
        <f t="shared" si="0"/>
        <v>1</v>
      </c>
      <c r="O23" s="11" t="str">
        <f t="shared" si="1"/>
        <v>n</v>
      </c>
      <c r="P23" s="11" t="str">
        <f t="shared" si="2"/>
        <v>ㄋ</v>
      </c>
      <c r="R23" s="3" t="str">
        <f t="shared" si="9"/>
        <v>n</v>
      </c>
      <c r="S23" s="3" t="str">
        <f t="shared" si="10"/>
        <v>ㄋ</v>
      </c>
      <c r="T23" s="25"/>
      <c r="U23" s="26" t="str">
        <f t="shared" si="11"/>
        <v xml:space="preserve">    - xform/》n/ㄋ》/</v>
      </c>
      <c r="W23" s="11" t="str">
        <f t="shared" si="3"/>
        <v>ㄋ</v>
      </c>
      <c r="X23" s="11" t="str">
        <f t="shared" si="4"/>
        <v>ㄋ</v>
      </c>
      <c r="Y23" s="25"/>
      <c r="Z23" s="26" t="str">
        <f t="shared" si="8"/>
        <v xml:space="preserve">    - xform/》ㄋ/ㄋ》/</v>
      </c>
    </row>
    <row r="25" spans="1:26">
      <c r="G25" s="37" t="s">
        <v>542</v>
      </c>
      <c r="H25" s="37" t="str">
        <f>_xlfn.CONCAT(_xlfn.UNICHAR(HEX2DEC(RIGHT(G25, 4))), "ㄫ")</f>
        <v>ﾟㄫ</v>
      </c>
    </row>
    <row r="26" spans="1:26">
      <c r="G26" s="37" t="s">
        <v>543</v>
      </c>
      <c r="H26" s="37" t="str">
        <f t="shared" ref="H26:H28" si="12">_xlfn.CONCAT(_xlfn.UNICHAR(HEX2DEC(RIGHT(G26, 4))), "ㄫ")</f>
        <v>゚ㄫ</v>
      </c>
    </row>
    <row r="27" spans="1:26">
      <c r="G27" s="37" t="s">
        <v>544</v>
      </c>
      <c r="H27" s="37" t="str">
        <f t="shared" si="12"/>
        <v>゜ㄫ</v>
      </c>
    </row>
    <row r="28" spans="1:26">
      <c r="G28" s="37" t="s">
        <v>545</v>
      </c>
      <c r="H28" s="37" t="str">
        <f t="shared" si="12"/>
        <v>⁰ㄫ</v>
      </c>
    </row>
  </sheetData>
  <sortState xmlns:xlrd2="http://schemas.microsoft.com/office/spreadsheetml/2017/richdata2" ref="A2:M23">
    <sortCondition descending="1" ref="M2:M23"/>
  </sortState>
  <phoneticPr fontId="3" type="noConversion"/>
  <conditionalFormatting sqref="Z2:Z23">
    <cfRule type="expression" dxfId="0" priority="1">
      <formula>$W2&lt;&gt;$X2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B17D-6C8E-4FC8-90DB-8E26E275724A}">
  <dimension ref="A1:AC28"/>
  <sheetViews>
    <sheetView topLeftCell="H1" workbookViewId="0">
      <pane ySplit="1" topLeftCell="A2" activePane="bottomLeft" state="frozen"/>
      <selection pane="bottomLeft" activeCell="V1" sqref="V1:AC1048576"/>
    </sheetView>
  </sheetViews>
  <sheetFormatPr defaultRowHeight="25.5"/>
  <cols>
    <col min="1" max="1" width="9.625" style="37" bestFit="1" customWidth="1"/>
    <col min="2" max="11" width="13.5" style="37" customWidth="1"/>
    <col min="12" max="12" width="34.625" style="37" bestFit="1" customWidth="1"/>
    <col min="13" max="13" width="9.625" style="37" bestFit="1" customWidth="1"/>
    <col min="14" max="14" width="5.25" style="2" customWidth="1"/>
    <col min="15" max="16" width="15.125" style="2" customWidth="1"/>
    <col min="17" max="17" width="2.875" style="2" customWidth="1"/>
    <col min="18" max="18" width="13.75" style="3" bestFit="1" customWidth="1"/>
    <col min="19" max="19" width="16.75" style="3" customWidth="1"/>
    <col min="20" max="20" width="4.5" style="2" customWidth="1"/>
    <col min="21" max="21" width="30.75" style="6" bestFit="1" customWidth="1"/>
    <col min="30" max="16384" width="9" style="37"/>
  </cols>
  <sheetData>
    <row r="1" spans="1:21" ht="27.75" thickBot="1">
      <c r="A1" s="36" t="s">
        <v>412</v>
      </c>
      <c r="B1" s="36" t="s">
        <v>413</v>
      </c>
      <c r="C1" s="36" t="s">
        <v>414</v>
      </c>
      <c r="D1" s="36" t="s">
        <v>415</v>
      </c>
      <c r="E1" s="36" t="s">
        <v>416</v>
      </c>
      <c r="F1" s="36" t="s">
        <v>417</v>
      </c>
      <c r="G1" s="36" t="s">
        <v>418</v>
      </c>
      <c r="H1" s="36" t="s">
        <v>537</v>
      </c>
      <c r="I1" s="36" t="s">
        <v>419</v>
      </c>
      <c r="J1" s="36" t="s">
        <v>420</v>
      </c>
      <c r="K1" s="36" t="s">
        <v>421</v>
      </c>
      <c r="L1" s="36" t="s">
        <v>422</v>
      </c>
      <c r="M1" s="36" t="s">
        <v>11</v>
      </c>
      <c r="N1" s="13"/>
      <c r="O1" s="11" t="str">
        <f>C1</f>
        <v>台語音標</v>
      </c>
      <c r="P1" s="11" t="str">
        <f>H1</f>
        <v>台語注音</v>
      </c>
      <c r="R1" s="11" t="str">
        <f>O1</f>
        <v>台語音標</v>
      </c>
      <c r="S1" s="11" t="str">
        <f>P1</f>
        <v>台語注音</v>
      </c>
      <c r="U1" s="14"/>
    </row>
    <row r="2" spans="1:21" ht="30" thickBot="1">
      <c r="A2" s="46">
        <v>19</v>
      </c>
      <c r="B2" s="46" t="s">
        <v>511</v>
      </c>
      <c r="C2" s="46" t="s">
        <v>511</v>
      </c>
      <c r="D2" s="44" t="s">
        <v>512</v>
      </c>
      <c r="E2" s="47" t="s">
        <v>466</v>
      </c>
      <c r="F2" s="47" t="s">
        <v>467</v>
      </c>
      <c r="G2" s="44" t="s">
        <v>513</v>
      </c>
      <c r="H2" s="44" t="s">
        <v>513</v>
      </c>
      <c r="I2" s="46" t="s">
        <v>514</v>
      </c>
      <c r="J2" s="46" t="s">
        <v>515</v>
      </c>
      <c r="K2" s="46" t="s">
        <v>511</v>
      </c>
      <c r="L2" s="45" t="s">
        <v>516</v>
      </c>
      <c r="M2" s="46">
        <f t="shared" ref="M2:M23" si="0" xml:space="preserve"> LEN(O2)</f>
        <v>2</v>
      </c>
      <c r="N2" s="24"/>
      <c r="O2" s="11" t="str">
        <f t="shared" ref="O2:O23" si="1">C2</f>
        <v>ji</v>
      </c>
      <c r="P2" s="11" t="str">
        <f t="shared" ref="P2:P23" si="2">H2</f>
        <v>ㆢ</v>
      </c>
      <c r="R2" s="3" t="str">
        <f xml:space="preserve"> _xlfn.CONCAT(O2, "")</f>
        <v>ji</v>
      </c>
      <c r="S2" s="3" t="str">
        <f xml:space="preserve"> IFERROR( _xlfn.CONCAT(P2, ""), "" )</f>
        <v>ㆢ</v>
      </c>
      <c r="T2" s="25"/>
      <c r="U2" s="26" t="str">
        <f xml:space="preserve"> IF(AND(P2&lt;&gt;"", O2&lt;&gt;""), "    - xform/》" &amp; R2 &amp;  "/"  &amp; S2 &amp;  "》/", "")</f>
        <v xml:space="preserve">    - xform/》ji/ㆢ》/</v>
      </c>
    </row>
    <row r="3" spans="1:21" ht="30" thickBot="1">
      <c r="A3" s="46">
        <v>21</v>
      </c>
      <c r="B3" s="46" t="s">
        <v>524</v>
      </c>
      <c r="C3" s="46" t="s">
        <v>525</v>
      </c>
      <c r="D3" s="45" t="s">
        <v>526</v>
      </c>
      <c r="E3" s="47" t="s">
        <v>527</v>
      </c>
      <c r="F3" s="47" t="s">
        <v>491</v>
      </c>
      <c r="G3" s="45" t="s">
        <v>528</v>
      </c>
      <c r="H3" s="45" t="s">
        <v>528</v>
      </c>
      <c r="I3" s="46" t="s">
        <v>522</v>
      </c>
      <c r="J3" s="46" t="s">
        <v>525</v>
      </c>
      <c r="K3" s="46" t="s">
        <v>529</v>
      </c>
      <c r="L3" s="45" t="s">
        <v>530</v>
      </c>
      <c r="M3" s="46">
        <f t="shared" si="0"/>
        <v>2</v>
      </c>
      <c r="N3" s="24"/>
      <c r="O3" s="11" t="str">
        <f t="shared" si="1"/>
        <v>ci</v>
      </c>
      <c r="P3" s="11" t="str">
        <f t="shared" si="2"/>
        <v>ㄑ</v>
      </c>
      <c r="R3" s="3" t="str">
        <f t="shared" ref="R3:R23" si="3" xml:space="preserve"> _xlfn.CONCAT(O3, "")</f>
        <v>ci</v>
      </c>
      <c r="S3" s="3" t="str">
        <f t="shared" ref="S3:S23" si="4" xml:space="preserve"> IFERROR( _xlfn.CONCAT(P3, ""), "" )</f>
        <v>ㄑ</v>
      </c>
      <c r="T3" s="25"/>
      <c r="U3" s="26" t="str">
        <f t="shared" ref="U3:U23" si="5" xml:space="preserve"> IF(AND(P3&lt;&gt;"", O3&lt;&gt;""), "    - xform/》" &amp; R3 &amp;  "/"  &amp; S3 &amp;  "》/", "")</f>
        <v xml:space="preserve">    - xform/》ci/ㄑ》/</v>
      </c>
    </row>
    <row r="4" spans="1:21" ht="30" thickBot="1">
      <c r="A4" s="46">
        <v>22</v>
      </c>
      <c r="B4" s="46" t="s">
        <v>531</v>
      </c>
      <c r="C4" s="46" t="s">
        <v>531</v>
      </c>
      <c r="D4" s="45" t="s">
        <v>532</v>
      </c>
      <c r="E4" s="47" t="s">
        <v>533</v>
      </c>
      <c r="F4" s="47" t="s">
        <v>472</v>
      </c>
      <c r="G4" s="45" t="s">
        <v>534</v>
      </c>
      <c r="H4" s="45" t="s">
        <v>534</v>
      </c>
      <c r="I4" s="46" t="s">
        <v>535</v>
      </c>
      <c r="J4" s="46" t="s">
        <v>531</v>
      </c>
      <c r="K4" s="46" t="s">
        <v>531</v>
      </c>
      <c r="L4" s="45" t="s">
        <v>536</v>
      </c>
      <c r="M4" s="46">
        <f t="shared" si="0"/>
        <v>2</v>
      </c>
      <c r="N4" s="24"/>
      <c r="O4" s="11" t="str">
        <f t="shared" si="1"/>
        <v>si</v>
      </c>
      <c r="P4" s="11" t="str">
        <f t="shared" si="2"/>
        <v>ㄒ</v>
      </c>
      <c r="R4" s="3" t="str">
        <f t="shared" si="3"/>
        <v>si</v>
      </c>
      <c r="S4" s="3" t="str">
        <f t="shared" si="4"/>
        <v>ㄒ</v>
      </c>
      <c r="T4" s="25"/>
      <c r="U4" s="26" t="str">
        <f t="shared" si="5"/>
        <v xml:space="preserve">    - xform/》si/ㄒ》/</v>
      </c>
    </row>
    <row r="5" spans="1:21" ht="30" thickBot="1">
      <c r="A5" s="38">
        <v>18</v>
      </c>
      <c r="B5" s="38" t="s">
        <v>395</v>
      </c>
      <c r="C5" s="38" t="s">
        <v>395</v>
      </c>
      <c r="D5" s="38" t="s">
        <v>506</v>
      </c>
      <c r="E5" s="39" t="s">
        <v>507</v>
      </c>
      <c r="F5" s="39" t="s">
        <v>507</v>
      </c>
      <c r="G5" s="38" t="s">
        <v>508</v>
      </c>
      <c r="H5" s="48" t="str">
        <f>_xlfn.CONCAT(_xlfn.UNICHAR(HEX2DEC(RIGHT("U+2070", 4))), "ㄫ")</f>
        <v>⁰ㄫ</v>
      </c>
      <c r="I5" s="38" t="s">
        <v>395</v>
      </c>
      <c r="J5" s="38" t="s">
        <v>509</v>
      </c>
      <c r="K5" s="38" t="s">
        <v>395</v>
      </c>
      <c r="L5" s="45" t="s">
        <v>510</v>
      </c>
      <c r="M5" s="46">
        <f t="shared" si="0"/>
        <v>2</v>
      </c>
      <c r="N5" s="24"/>
      <c r="O5" s="11" t="str">
        <f t="shared" si="1"/>
        <v>ng</v>
      </c>
      <c r="P5" s="11" t="str">
        <f t="shared" si="2"/>
        <v>⁰ㄫ</v>
      </c>
      <c r="R5" s="3" t="str">
        <f t="shared" si="3"/>
        <v>ng</v>
      </c>
      <c r="S5" s="3" t="str">
        <f t="shared" si="4"/>
        <v>⁰ㄫ</v>
      </c>
      <c r="T5" s="25"/>
      <c r="U5" s="26" t="str">
        <f t="shared" si="5"/>
        <v xml:space="preserve">    - xform/》ng/⁰ㄫ》/</v>
      </c>
    </row>
    <row r="6" spans="1:21" ht="30" thickBot="1">
      <c r="A6" s="46">
        <v>20</v>
      </c>
      <c r="B6" s="46" t="s">
        <v>517</v>
      </c>
      <c r="C6" s="46" t="s">
        <v>518</v>
      </c>
      <c r="D6" s="45" t="s">
        <v>519</v>
      </c>
      <c r="E6" s="47" t="s">
        <v>520</v>
      </c>
      <c r="F6" s="47" t="s">
        <v>461</v>
      </c>
      <c r="G6" s="45" t="s">
        <v>521</v>
      </c>
      <c r="H6" s="45" t="s">
        <v>521</v>
      </c>
      <c r="I6" s="46" t="s">
        <v>511</v>
      </c>
      <c r="J6" s="46" t="s">
        <v>518</v>
      </c>
      <c r="K6" s="46" t="s">
        <v>522</v>
      </c>
      <c r="L6" s="45" t="s">
        <v>523</v>
      </c>
      <c r="M6" s="46">
        <f t="shared" si="0"/>
        <v>2</v>
      </c>
      <c r="N6" s="24"/>
      <c r="O6" s="11" t="str">
        <f t="shared" si="1"/>
        <v>zi</v>
      </c>
      <c r="P6" s="11" t="str">
        <f t="shared" si="2"/>
        <v>ㄐ</v>
      </c>
      <c r="R6" s="3" t="str">
        <f t="shared" si="3"/>
        <v>zi</v>
      </c>
      <c r="S6" s="3" t="str">
        <f t="shared" si="4"/>
        <v>ㄐ</v>
      </c>
      <c r="T6" s="25"/>
      <c r="U6" s="26" t="str">
        <f t="shared" si="5"/>
        <v xml:space="preserve">    - xform/》zi/ㄐ》/</v>
      </c>
    </row>
    <row r="7" spans="1:21" ht="30" thickBot="1">
      <c r="A7" s="38">
        <v>4</v>
      </c>
      <c r="B7" s="38" t="s">
        <v>437</v>
      </c>
      <c r="C7" s="38" t="s">
        <v>437</v>
      </c>
      <c r="D7" s="38" t="s">
        <v>438</v>
      </c>
      <c r="E7" s="39" t="s">
        <v>439</v>
      </c>
      <c r="F7" s="39" t="s">
        <v>440</v>
      </c>
      <c r="G7" s="38" t="s">
        <v>441</v>
      </c>
      <c r="H7" s="38" t="s">
        <v>441</v>
      </c>
      <c r="I7" s="38" t="s">
        <v>432</v>
      </c>
      <c r="J7" s="38" t="s">
        <v>432</v>
      </c>
      <c r="K7" s="38" t="s">
        <v>437</v>
      </c>
      <c r="L7" s="38"/>
      <c r="M7" s="46">
        <f t="shared" si="0"/>
        <v>2</v>
      </c>
      <c r="N7" s="24"/>
      <c r="O7" s="11" t="str">
        <f t="shared" si="1"/>
        <v>kh</v>
      </c>
      <c r="P7" s="11" t="str">
        <f t="shared" si="2"/>
        <v>ㄎ</v>
      </c>
      <c r="R7" s="3" t="str">
        <f t="shared" si="3"/>
        <v>kh</v>
      </c>
      <c r="S7" s="3" t="str">
        <f t="shared" si="4"/>
        <v>ㄎ</v>
      </c>
      <c r="T7" s="25"/>
      <c r="U7" s="26" t="str">
        <f t="shared" si="5"/>
        <v xml:space="preserve">    - xform/》kh/ㄎ》/</v>
      </c>
    </row>
    <row r="8" spans="1:21" ht="30" thickBot="1">
      <c r="A8" s="38">
        <v>6</v>
      </c>
      <c r="B8" s="38" t="s">
        <v>447</v>
      </c>
      <c r="C8" s="38" t="s">
        <v>447</v>
      </c>
      <c r="D8" s="38" t="s">
        <v>448</v>
      </c>
      <c r="E8" s="39" t="s">
        <v>449</v>
      </c>
      <c r="F8" s="39" t="s">
        <v>450</v>
      </c>
      <c r="G8" s="38" t="s">
        <v>451</v>
      </c>
      <c r="H8" s="38" t="s">
        <v>451</v>
      </c>
      <c r="I8" s="38" t="s">
        <v>427</v>
      </c>
      <c r="J8" s="38" t="s">
        <v>427</v>
      </c>
      <c r="K8" s="38" t="s">
        <v>447</v>
      </c>
      <c r="L8" s="38"/>
      <c r="M8" s="46">
        <f t="shared" si="0"/>
        <v>2</v>
      </c>
      <c r="N8" s="24"/>
      <c r="O8" s="11" t="str">
        <f t="shared" si="1"/>
        <v>ph</v>
      </c>
      <c r="P8" s="11" t="str">
        <f t="shared" si="2"/>
        <v>ㄆ</v>
      </c>
      <c r="R8" s="3" t="str">
        <f t="shared" si="3"/>
        <v>ph</v>
      </c>
      <c r="S8" s="3" t="str">
        <f t="shared" si="4"/>
        <v>ㄆ</v>
      </c>
      <c r="T8" s="25"/>
      <c r="U8" s="26" t="str">
        <f t="shared" si="5"/>
        <v xml:space="preserve">    - xform/》ph/ㄆ》/</v>
      </c>
    </row>
    <row r="9" spans="1:21" ht="30" thickBot="1">
      <c r="A9" s="38">
        <v>7</v>
      </c>
      <c r="B9" s="38" t="s">
        <v>452</v>
      </c>
      <c r="C9" s="38" t="s">
        <v>452</v>
      </c>
      <c r="D9" s="38" t="s">
        <v>453</v>
      </c>
      <c r="E9" s="39" t="s">
        <v>454</v>
      </c>
      <c r="F9" s="39" t="s">
        <v>455</v>
      </c>
      <c r="G9" s="38" t="s">
        <v>456</v>
      </c>
      <c r="H9" s="38" t="s">
        <v>456</v>
      </c>
      <c r="I9" s="38" t="s">
        <v>442</v>
      </c>
      <c r="J9" s="38" t="s">
        <v>442</v>
      </c>
      <c r="K9" s="38" t="s">
        <v>452</v>
      </c>
      <c r="L9" s="38"/>
      <c r="M9" s="46">
        <f t="shared" si="0"/>
        <v>2</v>
      </c>
      <c r="N9" s="24"/>
      <c r="O9" s="11" t="str">
        <f t="shared" si="1"/>
        <v>th</v>
      </c>
      <c r="P9" s="11" t="str">
        <f t="shared" si="2"/>
        <v>ㄊ</v>
      </c>
      <c r="R9" s="3" t="str">
        <f t="shared" si="3"/>
        <v>th</v>
      </c>
      <c r="S9" s="3" t="str">
        <f t="shared" si="4"/>
        <v>ㄊ</v>
      </c>
      <c r="T9" s="25"/>
      <c r="U9" s="26" t="str">
        <f t="shared" si="5"/>
        <v xml:space="preserve">    - xform/》th/ㄊ》/</v>
      </c>
    </row>
    <row r="10" spans="1:21" ht="30" thickBot="1">
      <c r="A10" s="38">
        <v>9</v>
      </c>
      <c r="B10" s="38" t="s">
        <v>464</v>
      </c>
      <c r="C10" s="38" t="s">
        <v>464</v>
      </c>
      <c r="D10" s="38" t="s">
        <v>465</v>
      </c>
      <c r="E10" s="40" t="s">
        <v>466</v>
      </c>
      <c r="F10" s="41" t="s">
        <v>467</v>
      </c>
      <c r="G10" s="38" t="s">
        <v>468</v>
      </c>
      <c r="H10" s="38" t="s">
        <v>468</v>
      </c>
      <c r="I10" s="38" t="s">
        <v>469</v>
      </c>
      <c r="J10" s="38" t="s">
        <v>469</v>
      </c>
      <c r="K10" s="38" t="s">
        <v>464</v>
      </c>
      <c r="L10" s="38"/>
      <c r="M10" s="46">
        <f t="shared" si="0"/>
        <v>1</v>
      </c>
      <c r="N10" s="24"/>
      <c r="O10" s="11" t="str">
        <f t="shared" si="1"/>
        <v>j</v>
      </c>
      <c r="P10" s="11" t="str">
        <f t="shared" si="2"/>
        <v>ㆡ</v>
      </c>
      <c r="R10" s="3" t="str">
        <f t="shared" si="3"/>
        <v>j</v>
      </c>
      <c r="S10" s="3" t="str">
        <f t="shared" si="4"/>
        <v>ㆡ</v>
      </c>
      <c r="T10" s="25"/>
      <c r="U10" s="26" t="str">
        <f t="shared" si="5"/>
        <v xml:space="preserve">    - xform/》j/ㆡ》/</v>
      </c>
    </row>
    <row r="11" spans="1:21" ht="30" thickBot="1">
      <c r="A11" s="38">
        <v>12</v>
      </c>
      <c r="B11" s="38" t="s">
        <v>431</v>
      </c>
      <c r="C11" s="38" t="s">
        <v>431</v>
      </c>
      <c r="D11" s="38" t="s">
        <v>431</v>
      </c>
      <c r="E11" s="39" t="s">
        <v>478</v>
      </c>
      <c r="F11" s="43" t="s">
        <v>479</v>
      </c>
      <c r="G11" s="38" t="s">
        <v>480</v>
      </c>
      <c r="H11" s="48" t="s">
        <v>540</v>
      </c>
      <c r="I11" s="38" t="s">
        <v>481</v>
      </c>
      <c r="J11" s="38" t="s">
        <v>481</v>
      </c>
      <c r="K11" s="38" t="s">
        <v>431</v>
      </c>
      <c r="L11" s="38"/>
      <c r="M11" s="46">
        <f t="shared" si="0"/>
        <v>1</v>
      </c>
      <c r="N11" s="24"/>
      <c r="O11" s="11" t="str">
        <f t="shared" si="1"/>
        <v>b</v>
      </c>
      <c r="P11" s="11" t="str">
        <f t="shared" si="2"/>
        <v>ㄪ</v>
      </c>
      <c r="R11" s="3" t="str">
        <f t="shared" si="3"/>
        <v>b</v>
      </c>
      <c r="S11" s="3" t="str">
        <f t="shared" si="4"/>
        <v>ㄪ</v>
      </c>
      <c r="T11" s="25"/>
      <c r="U11" s="26" t="str">
        <f t="shared" si="5"/>
        <v xml:space="preserve">    - xform/》b/ㄪ》/</v>
      </c>
    </row>
    <row r="12" spans="1:21" ht="30" thickBot="1">
      <c r="A12" s="38">
        <v>13</v>
      </c>
      <c r="B12" s="38" t="s">
        <v>436</v>
      </c>
      <c r="C12" s="38" t="s">
        <v>436</v>
      </c>
      <c r="D12" s="38" t="s">
        <v>482</v>
      </c>
      <c r="E12" s="39" t="s">
        <v>483</v>
      </c>
      <c r="F12" s="39" t="s">
        <v>484</v>
      </c>
      <c r="G12" s="38" t="s">
        <v>485</v>
      </c>
      <c r="H12" s="48" t="s">
        <v>541</v>
      </c>
      <c r="I12" s="38" t="s">
        <v>486</v>
      </c>
      <c r="J12" s="38" t="s">
        <v>486</v>
      </c>
      <c r="K12" s="38" t="s">
        <v>436</v>
      </c>
      <c r="L12" s="38"/>
      <c r="M12" s="46">
        <f t="shared" si="0"/>
        <v>1</v>
      </c>
      <c r="N12" s="24"/>
      <c r="O12" s="11" t="str">
        <f t="shared" si="1"/>
        <v>g</v>
      </c>
      <c r="P12" s="11" t="str">
        <f t="shared" si="2"/>
        <v>ㄫ</v>
      </c>
      <c r="R12" s="3" t="str">
        <f t="shared" si="3"/>
        <v>g</v>
      </c>
      <c r="S12" s="3" t="str">
        <f t="shared" si="4"/>
        <v>ㄫ</v>
      </c>
      <c r="T12" s="25"/>
      <c r="U12" s="26" t="str">
        <f t="shared" si="5"/>
        <v xml:space="preserve">    - xform/》g/ㄫ》/</v>
      </c>
    </row>
    <row r="13" spans="1:21" ht="30" thickBot="1">
      <c r="A13" s="38">
        <v>1</v>
      </c>
      <c r="B13" s="38" t="s">
        <v>423</v>
      </c>
      <c r="C13" s="38" t="s">
        <v>423</v>
      </c>
      <c r="D13" s="38" t="s">
        <v>423</v>
      </c>
      <c r="E13" s="39" t="s">
        <v>424</v>
      </c>
      <c r="F13" s="39" t="s">
        <v>425</v>
      </c>
      <c r="G13" s="38" t="s">
        <v>426</v>
      </c>
      <c r="H13" s="38" t="s">
        <v>426</v>
      </c>
      <c r="I13" s="38" t="s">
        <v>423</v>
      </c>
      <c r="J13" s="38" t="s">
        <v>423</v>
      </c>
      <c r="K13" s="38" t="s">
        <v>423</v>
      </c>
      <c r="L13" s="38"/>
      <c r="M13" s="46">
        <f t="shared" si="0"/>
        <v>1</v>
      </c>
      <c r="N13" s="24"/>
      <c r="O13" s="11" t="str">
        <f t="shared" si="1"/>
        <v>l</v>
      </c>
      <c r="P13" s="11" t="str">
        <f t="shared" si="2"/>
        <v>ㄌ</v>
      </c>
      <c r="R13" s="3" t="str">
        <f t="shared" si="3"/>
        <v>l</v>
      </c>
      <c r="S13" s="3" t="str">
        <f t="shared" si="4"/>
        <v>ㄌ</v>
      </c>
      <c r="T13" s="25"/>
      <c r="U13" s="26" t="str">
        <f t="shared" si="5"/>
        <v xml:space="preserve">    - xform/》l/ㄌ》/</v>
      </c>
    </row>
    <row r="14" spans="1:21" ht="30" thickBot="1">
      <c r="A14" s="38">
        <v>2</v>
      </c>
      <c r="B14" s="38" t="s">
        <v>427</v>
      </c>
      <c r="C14" s="38" t="s">
        <v>427</v>
      </c>
      <c r="D14" s="38" t="s">
        <v>427</v>
      </c>
      <c r="E14" s="39" t="s">
        <v>428</v>
      </c>
      <c r="F14" s="39" t="s">
        <v>429</v>
      </c>
      <c r="G14" s="38" t="s">
        <v>430</v>
      </c>
      <c r="H14" s="38" t="s">
        <v>430</v>
      </c>
      <c r="I14" s="38" t="s">
        <v>431</v>
      </c>
      <c r="J14" s="38" t="s">
        <v>431</v>
      </c>
      <c r="K14" s="38" t="s">
        <v>427</v>
      </c>
      <c r="L14" s="38"/>
      <c r="M14" s="46">
        <f t="shared" si="0"/>
        <v>1</v>
      </c>
      <c r="N14" s="24"/>
      <c r="O14" s="11" t="str">
        <f t="shared" si="1"/>
        <v>p</v>
      </c>
      <c r="P14" s="11" t="str">
        <f t="shared" si="2"/>
        <v>ㄅ</v>
      </c>
      <c r="R14" s="3" t="str">
        <f t="shared" si="3"/>
        <v>p</v>
      </c>
      <c r="S14" s="3" t="str">
        <f t="shared" si="4"/>
        <v>ㄅ</v>
      </c>
      <c r="T14" s="25"/>
      <c r="U14" s="26" t="str">
        <f t="shared" si="5"/>
        <v xml:space="preserve">    - xform/》p/ㄅ》/</v>
      </c>
    </row>
    <row r="15" spans="1:21" ht="30" thickBot="1">
      <c r="A15" s="38">
        <v>3</v>
      </c>
      <c r="B15" s="38" t="s">
        <v>432</v>
      </c>
      <c r="C15" s="38" t="s">
        <v>432</v>
      </c>
      <c r="D15" s="38" t="s">
        <v>432</v>
      </c>
      <c r="E15" s="39" t="s">
        <v>433</v>
      </c>
      <c r="F15" s="39" t="s">
        <v>434</v>
      </c>
      <c r="G15" s="38" t="s">
        <v>435</v>
      </c>
      <c r="H15" s="38" t="s">
        <v>435</v>
      </c>
      <c r="I15" s="38" t="s">
        <v>436</v>
      </c>
      <c r="J15" s="38" t="s">
        <v>436</v>
      </c>
      <c r="K15" s="38" t="s">
        <v>432</v>
      </c>
      <c r="L15" s="38"/>
      <c r="M15" s="46">
        <f t="shared" si="0"/>
        <v>1</v>
      </c>
      <c r="N15" s="24"/>
      <c r="O15" s="11" t="str">
        <f t="shared" si="1"/>
        <v>k</v>
      </c>
      <c r="P15" s="11" t="str">
        <f t="shared" si="2"/>
        <v>ㄍ</v>
      </c>
      <c r="R15" s="3" t="str">
        <f t="shared" si="3"/>
        <v>k</v>
      </c>
      <c r="S15" s="3" t="str">
        <f t="shared" si="4"/>
        <v>ㄍ</v>
      </c>
      <c r="T15" s="25"/>
      <c r="U15" s="26" t="str">
        <f t="shared" si="5"/>
        <v xml:space="preserve">    - xform/》k/ㄍ》/</v>
      </c>
    </row>
    <row r="16" spans="1:21" ht="30" thickBot="1">
      <c r="A16" s="38">
        <v>5</v>
      </c>
      <c r="B16" s="38" t="s">
        <v>442</v>
      </c>
      <c r="C16" s="38" t="s">
        <v>442</v>
      </c>
      <c r="D16" s="38" t="s">
        <v>442</v>
      </c>
      <c r="E16" s="39" t="s">
        <v>443</v>
      </c>
      <c r="F16" s="39" t="s">
        <v>444</v>
      </c>
      <c r="G16" s="38" t="s">
        <v>445</v>
      </c>
      <c r="H16" s="38" t="s">
        <v>445</v>
      </c>
      <c r="I16" s="38" t="s">
        <v>446</v>
      </c>
      <c r="J16" s="38" t="s">
        <v>446</v>
      </c>
      <c r="K16" s="38" t="s">
        <v>442</v>
      </c>
      <c r="L16" s="38"/>
      <c r="M16" s="46">
        <f t="shared" si="0"/>
        <v>1</v>
      </c>
      <c r="N16" s="24"/>
      <c r="O16" s="11" t="str">
        <f t="shared" si="1"/>
        <v>t</v>
      </c>
      <c r="P16" s="11" t="str">
        <f t="shared" si="2"/>
        <v>ㄉ</v>
      </c>
      <c r="R16" s="3" t="str">
        <f t="shared" si="3"/>
        <v>t</v>
      </c>
      <c r="S16" s="3" t="str">
        <f t="shared" si="4"/>
        <v>ㄉ</v>
      </c>
      <c r="T16" s="25"/>
      <c r="U16" s="26" t="str">
        <f t="shared" si="5"/>
        <v xml:space="preserve">    - xform/》t/ㄉ》/</v>
      </c>
    </row>
    <row r="17" spans="1:21" ht="30" thickBot="1">
      <c r="A17" s="38">
        <v>8</v>
      </c>
      <c r="B17" s="38" t="s">
        <v>457</v>
      </c>
      <c r="C17" s="38" t="s">
        <v>458</v>
      </c>
      <c r="D17" s="38" t="s">
        <v>459</v>
      </c>
      <c r="E17" s="39" t="s">
        <v>460</v>
      </c>
      <c r="F17" s="39" t="s">
        <v>461</v>
      </c>
      <c r="G17" s="38" t="s">
        <v>462</v>
      </c>
      <c r="H17" s="38" t="s">
        <v>462</v>
      </c>
      <c r="I17" s="38" t="s">
        <v>458</v>
      </c>
      <c r="J17" s="38" t="s">
        <v>458</v>
      </c>
      <c r="K17" s="38" t="s">
        <v>463</v>
      </c>
      <c r="L17" s="38"/>
      <c r="M17" s="46">
        <f t="shared" si="0"/>
        <v>1</v>
      </c>
      <c r="N17" s="24"/>
      <c r="O17" s="11" t="str">
        <f t="shared" si="1"/>
        <v>z</v>
      </c>
      <c r="P17" s="11" t="str">
        <f t="shared" si="2"/>
        <v>ㄗ</v>
      </c>
      <c r="R17" s="3" t="str">
        <f t="shared" si="3"/>
        <v>z</v>
      </c>
      <c r="S17" s="3" t="str">
        <f t="shared" si="4"/>
        <v>ㄗ</v>
      </c>
      <c r="T17" s="25"/>
      <c r="U17" s="26" t="str">
        <f t="shared" si="5"/>
        <v xml:space="preserve">    - xform/》z/ㄗ》/</v>
      </c>
    </row>
    <row r="18" spans="1:21" ht="30" thickBot="1">
      <c r="A18" s="38">
        <v>10</v>
      </c>
      <c r="B18" s="38" t="s">
        <v>470</v>
      </c>
      <c r="C18" s="38" t="s">
        <v>470</v>
      </c>
      <c r="D18" s="38" t="s">
        <v>470</v>
      </c>
      <c r="E18" s="39" t="s">
        <v>471</v>
      </c>
      <c r="F18" s="41" t="s">
        <v>472</v>
      </c>
      <c r="G18" s="38" t="s">
        <v>473</v>
      </c>
      <c r="H18" s="38" t="s">
        <v>538</v>
      </c>
      <c r="I18" s="38" t="s">
        <v>470</v>
      </c>
      <c r="J18" s="38" t="s">
        <v>470</v>
      </c>
      <c r="K18" s="38" t="s">
        <v>470</v>
      </c>
      <c r="L18" s="38"/>
      <c r="M18" s="46">
        <f t="shared" si="0"/>
        <v>1</v>
      </c>
      <c r="N18" s="24"/>
      <c r="O18" s="11" t="str">
        <f t="shared" si="1"/>
        <v>s</v>
      </c>
      <c r="P18" s="11" t="str">
        <f t="shared" si="2"/>
        <v>ㄙ</v>
      </c>
      <c r="R18" s="3" t="str">
        <f t="shared" si="3"/>
        <v>s</v>
      </c>
      <c r="S18" s="3" t="str">
        <f t="shared" si="4"/>
        <v>ㄙ</v>
      </c>
      <c r="T18" s="25"/>
      <c r="U18" s="26" t="str">
        <f t="shared" si="5"/>
        <v xml:space="preserve">    - xform/》s/ㄙ》/</v>
      </c>
    </row>
    <row r="19" spans="1:21" ht="30" thickBot="1">
      <c r="A19" s="38">
        <v>11</v>
      </c>
      <c r="B19" s="38" t="s">
        <v>474</v>
      </c>
      <c r="C19" s="38" t="s">
        <v>474</v>
      </c>
      <c r="D19" s="38" t="s">
        <v>475</v>
      </c>
      <c r="E19" s="39" t="s">
        <v>476</v>
      </c>
      <c r="F19" s="42" t="s">
        <v>477</v>
      </c>
      <c r="G19" s="38" t="s">
        <v>474</v>
      </c>
      <c r="H19" s="38" t="s">
        <v>474</v>
      </c>
      <c r="I19" s="38" t="s">
        <v>474</v>
      </c>
      <c r="J19" s="38" t="s">
        <v>474</v>
      </c>
      <c r="K19" s="38" t="s">
        <v>474</v>
      </c>
      <c r="L19" s="38"/>
      <c r="M19" s="46">
        <f t="shared" si="0"/>
        <v>1</v>
      </c>
      <c r="N19" s="24"/>
      <c r="O19" s="11" t="str">
        <f t="shared" si="1"/>
        <v>Ø</v>
      </c>
      <c r="P19" s="11" t="str">
        <f t="shared" si="2"/>
        <v>Ø</v>
      </c>
      <c r="R19" s="3" t="str">
        <f t="shared" si="3"/>
        <v>Ø</v>
      </c>
      <c r="S19" s="3" t="str">
        <f t="shared" si="4"/>
        <v>Ø</v>
      </c>
      <c r="T19" s="25"/>
      <c r="U19" s="26" t="str">
        <f t="shared" si="5"/>
        <v xml:space="preserve">    - xform/》Ø/Ø》/</v>
      </c>
    </row>
    <row r="20" spans="1:21" ht="30" thickBot="1">
      <c r="A20" s="38">
        <v>14</v>
      </c>
      <c r="B20" s="38" t="s">
        <v>487</v>
      </c>
      <c r="C20" s="38" t="s">
        <v>488</v>
      </c>
      <c r="D20" s="38" t="s">
        <v>489</v>
      </c>
      <c r="E20" s="39" t="s">
        <v>490</v>
      </c>
      <c r="F20" s="39" t="s">
        <v>491</v>
      </c>
      <c r="G20" s="38" t="s">
        <v>492</v>
      </c>
      <c r="H20" s="38" t="s">
        <v>539</v>
      </c>
      <c r="I20" s="38" t="s">
        <v>488</v>
      </c>
      <c r="J20" s="38" t="s">
        <v>488</v>
      </c>
      <c r="K20" s="38" t="s">
        <v>493</v>
      </c>
      <c r="L20" s="38"/>
      <c r="M20" s="46">
        <f t="shared" si="0"/>
        <v>1</v>
      </c>
      <c r="N20" s="24"/>
      <c r="O20" s="11" t="str">
        <f t="shared" si="1"/>
        <v>c</v>
      </c>
      <c r="P20" s="11" t="str">
        <f t="shared" si="2"/>
        <v>ㄘ</v>
      </c>
      <c r="R20" s="3" t="str">
        <f t="shared" si="3"/>
        <v>c</v>
      </c>
      <c r="S20" s="3" t="str">
        <f t="shared" si="4"/>
        <v>ㄘ</v>
      </c>
      <c r="T20" s="25"/>
      <c r="U20" s="26" t="str">
        <f t="shared" si="5"/>
        <v xml:space="preserve">    - xform/》c/ㄘ》/</v>
      </c>
    </row>
    <row r="21" spans="1:21" ht="30" thickBot="1">
      <c r="A21" s="38">
        <v>15</v>
      </c>
      <c r="B21" s="38" t="s">
        <v>494</v>
      </c>
      <c r="C21" s="38" t="s">
        <v>494</v>
      </c>
      <c r="D21" s="38" t="s">
        <v>494</v>
      </c>
      <c r="E21" s="39" t="s">
        <v>495</v>
      </c>
      <c r="F21" s="39" t="s">
        <v>495</v>
      </c>
      <c r="G21" s="38" t="s">
        <v>496</v>
      </c>
      <c r="H21" s="38" t="s">
        <v>496</v>
      </c>
      <c r="I21" s="38" t="s">
        <v>494</v>
      </c>
      <c r="J21" s="38" t="s">
        <v>494</v>
      </c>
      <c r="K21" s="38" t="s">
        <v>494</v>
      </c>
      <c r="L21" s="38"/>
      <c r="M21" s="46">
        <f t="shared" si="0"/>
        <v>1</v>
      </c>
      <c r="N21" s="24"/>
      <c r="O21" s="11" t="str">
        <f t="shared" si="1"/>
        <v>h</v>
      </c>
      <c r="P21" s="11" t="str">
        <f t="shared" si="2"/>
        <v>ㄏ</v>
      </c>
      <c r="R21" s="3" t="str">
        <f t="shared" si="3"/>
        <v>h</v>
      </c>
      <c r="S21" s="3" t="str">
        <f t="shared" si="4"/>
        <v>ㄏ</v>
      </c>
      <c r="T21" s="25"/>
      <c r="U21" s="26" t="str">
        <f t="shared" si="5"/>
        <v xml:space="preserve">    - xform/》h/ㄏ》/</v>
      </c>
    </row>
    <row r="22" spans="1:21" ht="30" thickBot="1">
      <c r="A22" s="38">
        <v>16</v>
      </c>
      <c r="B22" s="38" t="s">
        <v>387</v>
      </c>
      <c r="C22" s="38" t="s">
        <v>387</v>
      </c>
      <c r="D22" s="38" t="s">
        <v>387</v>
      </c>
      <c r="E22" s="39" t="s">
        <v>497</v>
      </c>
      <c r="F22" s="39" t="s">
        <v>497</v>
      </c>
      <c r="G22" s="38" t="s">
        <v>498</v>
      </c>
      <c r="H22" s="38" t="s">
        <v>498</v>
      </c>
      <c r="I22" s="38" t="s">
        <v>387</v>
      </c>
      <c r="J22" s="38" t="s">
        <v>499</v>
      </c>
      <c r="K22" s="38" t="s">
        <v>387</v>
      </c>
      <c r="L22" s="44" t="s">
        <v>500</v>
      </c>
      <c r="M22" s="46">
        <f t="shared" si="0"/>
        <v>1</v>
      </c>
      <c r="O22" s="11" t="str">
        <f t="shared" si="1"/>
        <v>m</v>
      </c>
      <c r="P22" s="11" t="str">
        <f t="shared" si="2"/>
        <v>ㄇ</v>
      </c>
      <c r="R22" s="3" t="str">
        <f t="shared" si="3"/>
        <v>m</v>
      </c>
      <c r="S22" s="3" t="str">
        <f t="shared" si="4"/>
        <v>ㄇ</v>
      </c>
      <c r="T22" s="25"/>
      <c r="U22" s="26" t="str">
        <f t="shared" si="5"/>
        <v xml:space="preserve">    - xform/》m/ㄇ》/</v>
      </c>
    </row>
    <row r="23" spans="1:21" ht="30" thickBot="1">
      <c r="A23" s="38">
        <v>17</v>
      </c>
      <c r="B23" s="38" t="s">
        <v>501</v>
      </c>
      <c r="C23" s="38" t="s">
        <v>501</v>
      </c>
      <c r="D23" s="38" t="s">
        <v>501</v>
      </c>
      <c r="E23" s="39" t="s">
        <v>502</v>
      </c>
      <c r="F23" s="39" t="s">
        <v>502</v>
      </c>
      <c r="G23" s="38" t="s">
        <v>503</v>
      </c>
      <c r="H23" s="38" t="s">
        <v>503</v>
      </c>
      <c r="I23" s="38" t="s">
        <v>501</v>
      </c>
      <c r="J23" s="38" t="s">
        <v>504</v>
      </c>
      <c r="K23" s="38" t="s">
        <v>501</v>
      </c>
      <c r="L23" s="45" t="s">
        <v>505</v>
      </c>
      <c r="M23" s="46">
        <f t="shared" si="0"/>
        <v>1</v>
      </c>
      <c r="O23" s="11" t="str">
        <f t="shared" si="1"/>
        <v>n</v>
      </c>
      <c r="P23" s="11" t="str">
        <f t="shared" si="2"/>
        <v>ㄋ</v>
      </c>
      <c r="R23" s="3" t="str">
        <f t="shared" si="3"/>
        <v>n</v>
      </c>
      <c r="S23" s="3" t="str">
        <f t="shared" si="4"/>
        <v>ㄋ</v>
      </c>
      <c r="T23" s="25"/>
      <c r="U23" s="26" t="str">
        <f t="shared" si="5"/>
        <v xml:space="preserve">    - xform/》n/ㄋ》/</v>
      </c>
    </row>
    <row r="25" spans="1:21">
      <c r="G25" s="37" t="s">
        <v>542</v>
      </c>
      <c r="H25" s="37" t="str">
        <f>_xlfn.CONCAT(_xlfn.UNICHAR(HEX2DEC(RIGHT(G25, 4))), "ㄫ")</f>
        <v>ﾟㄫ</v>
      </c>
    </row>
    <row r="26" spans="1:21">
      <c r="G26" s="37" t="s">
        <v>543</v>
      </c>
      <c r="H26" s="37" t="str">
        <f t="shared" ref="H26:H28" si="6">_xlfn.CONCAT(_xlfn.UNICHAR(HEX2DEC(RIGHT(G26, 4))), "ㄫ")</f>
        <v>゚ㄫ</v>
      </c>
    </row>
    <row r="27" spans="1:21">
      <c r="G27" s="37" t="s">
        <v>544</v>
      </c>
      <c r="H27" s="37" t="str">
        <f t="shared" si="6"/>
        <v>゜ㄫ</v>
      </c>
    </row>
    <row r="28" spans="1:21">
      <c r="G28" s="37" t="s">
        <v>545</v>
      </c>
      <c r="H28" s="37" t="str">
        <f t="shared" si="6"/>
        <v>⁰ㄫ</v>
      </c>
    </row>
  </sheetData>
  <sortState xmlns:xlrd2="http://schemas.microsoft.com/office/spreadsheetml/2017/richdata2" ref="A2:M23">
    <sortCondition descending="1" ref="M2:M23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1DF-73FB-4190-AA45-450864391596}">
  <dimension ref="A1:L97"/>
  <sheetViews>
    <sheetView showGridLines="0" workbookViewId="0">
      <pane ySplit="3" topLeftCell="A4" activePane="bottomLeft" state="frozen"/>
      <selection pane="bottomLeft" activeCell="K4" sqref="K4"/>
    </sheetView>
  </sheetViews>
  <sheetFormatPr defaultRowHeight="16.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6384" width="9" style="2"/>
  </cols>
  <sheetData>
    <row r="1" spans="1:12" ht="46.5" customHeight="1">
      <c r="A1" s="1"/>
      <c r="C1" s="1"/>
      <c r="D1" s="1"/>
      <c r="H1" s="1"/>
      <c r="I1" s="1"/>
      <c r="J1" s="1"/>
      <c r="K1" s="1"/>
    </row>
    <row r="2" spans="1:12" ht="26.25" thickBot="1">
      <c r="A2" s="9" t="s">
        <v>0</v>
      </c>
      <c r="C2" s="1"/>
      <c r="D2" s="1"/>
      <c r="H2" s="1"/>
      <c r="I2" s="1"/>
      <c r="J2" s="1"/>
      <c r="K2" s="1"/>
    </row>
    <row r="3" spans="1:12" ht="48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</row>
    <row r="4" spans="1:12" ht="27.75" thickBot="1">
      <c r="A4" s="19">
        <v>73</v>
      </c>
      <c r="B4" s="20" t="s">
        <v>358</v>
      </c>
      <c r="C4" s="21" t="s">
        <v>359</v>
      </c>
      <c r="D4" s="19" t="s">
        <v>360</v>
      </c>
      <c r="E4" s="19" t="s">
        <v>359</v>
      </c>
      <c r="F4" s="31" t="s">
        <v>359</v>
      </c>
      <c r="G4" s="22" t="s">
        <v>361</v>
      </c>
      <c r="H4" s="23" t="s">
        <v>362</v>
      </c>
      <c r="I4" s="19" t="s">
        <v>363</v>
      </c>
      <c r="J4" s="29" t="s">
        <v>32</v>
      </c>
      <c r="K4" s="23">
        <f t="shared" ref="K4:K35" si="0" xml:space="preserve"> LEN(C4)</f>
        <v>6</v>
      </c>
      <c r="L4" s="24"/>
    </row>
    <row r="5" spans="1:12" ht="30.75" thickBot="1">
      <c r="A5" s="19">
        <v>32</v>
      </c>
      <c r="B5" s="20" t="s">
        <v>164</v>
      </c>
      <c r="C5" s="21" t="s">
        <v>165</v>
      </c>
      <c r="D5" s="31" t="s">
        <v>165</v>
      </c>
      <c r="E5" s="31" t="s">
        <v>165</v>
      </c>
      <c r="F5" s="31" t="s">
        <v>165</v>
      </c>
      <c r="G5" s="31" t="s">
        <v>166</v>
      </c>
      <c r="H5" s="32" t="s">
        <v>162</v>
      </c>
      <c r="I5" s="33" t="s">
        <v>167</v>
      </c>
      <c r="J5" s="29" t="s">
        <v>32</v>
      </c>
      <c r="K5" s="23">
        <f t="shared" si="0"/>
        <v>5</v>
      </c>
      <c r="L5" s="24"/>
    </row>
    <row r="6" spans="1:12" ht="27.75" thickBot="1">
      <c r="A6" s="19">
        <v>40</v>
      </c>
      <c r="B6" s="20" t="s">
        <v>197</v>
      </c>
      <c r="C6" s="21" t="s">
        <v>198</v>
      </c>
      <c r="D6" s="19" t="s">
        <v>198</v>
      </c>
      <c r="E6" s="19" t="s">
        <v>198</v>
      </c>
      <c r="F6" s="19" t="s">
        <v>199</v>
      </c>
      <c r="G6" s="22" t="s">
        <v>200</v>
      </c>
      <c r="H6" s="23" t="s">
        <v>201</v>
      </c>
      <c r="I6" s="19" t="s">
        <v>202</v>
      </c>
      <c r="J6" s="29" t="s">
        <v>32</v>
      </c>
      <c r="K6" s="23">
        <f t="shared" si="0"/>
        <v>5</v>
      </c>
      <c r="L6" s="24"/>
    </row>
    <row r="7" spans="1:12" ht="30.75" thickBot="1">
      <c r="A7" s="19">
        <v>49</v>
      </c>
      <c r="B7" s="20" t="s">
        <v>243</v>
      </c>
      <c r="C7" s="21" t="s">
        <v>244</v>
      </c>
      <c r="D7" s="31" t="s">
        <v>244</v>
      </c>
      <c r="E7" s="31" t="s">
        <v>244</v>
      </c>
      <c r="F7" s="31" t="s">
        <v>245</v>
      </c>
      <c r="G7" s="31" t="s">
        <v>246</v>
      </c>
      <c r="H7" s="32" t="s">
        <v>247</v>
      </c>
      <c r="I7" s="33" t="s">
        <v>248</v>
      </c>
      <c r="J7" s="29" t="s">
        <v>32</v>
      </c>
      <c r="K7" s="23">
        <f t="shared" si="0"/>
        <v>5</v>
      </c>
      <c r="L7" s="24"/>
    </row>
    <row r="8" spans="1:12" ht="27.75" thickBot="1">
      <c r="A8" s="19">
        <v>71</v>
      </c>
      <c r="B8" s="20" t="s">
        <v>347</v>
      </c>
      <c r="C8" s="21" t="s">
        <v>348</v>
      </c>
      <c r="D8" s="19" t="s">
        <v>348</v>
      </c>
      <c r="E8" s="19" t="s">
        <v>348</v>
      </c>
      <c r="F8" s="19" t="s">
        <v>349</v>
      </c>
      <c r="G8" s="22" t="s">
        <v>350</v>
      </c>
      <c r="H8" s="23" t="s">
        <v>351</v>
      </c>
      <c r="I8" s="19" t="s">
        <v>352</v>
      </c>
      <c r="J8" s="29" t="s">
        <v>32</v>
      </c>
      <c r="K8" s="23">
        <f t="shared" si="0"/>
        <v>5</v>
      </c>
      <c r="L8" s="24"/>
    </row>
    <row r="9" spans="1:12" ht="27.75" thickBot="1">
      <c r="A9" s="19">
        <v>4</v>
      </c>
      <c r="B9" s="20" t="s">
        <v>39</v>
      </c>
      <c r="C9" s="21" t="s">
        <v>40</v>
      </c>
      <c r="D9" s="19" t="s">
        <v>41</v>
      </c>
      <c r="E9" s="19" t="s">
        <v>40</v>
      </c>
      <c r="F9" s="31" t="s">
        <v>42</v>
      </c>
      <c r="G9" s="22" t="s">
        <v>43</v>
      </c>
      <c r="H9" s="23" t="s">
        <v>44</v>
      </c>
      <c r="I9" s="19" t="s">
        <v>45</v>
      </c>
      <c r="J9" s="29" t="s">
        <v>32</v>
      </c>
      <c r="K9" s="23">
        <f t="shared" si="0"/>
        <v>4</v>
      </c>
      <c r="L9" s="24"/>
    </row>
    <row r="10" spans="1:12" ht="27.75" thickBot="1">
      <c r="A10" s="19">
        <v>12</v>
      </c>
      <c r="B10" s="20" t="s">
        <v>76</v>
      </c>
      <c r="C10" s="21" t="s">
        <v>77</v>
      </c>
      <c r="D10" s="19" t="s">
        <v>77</v>
      </c>
      <c r="E10" s="19" t="s">
        <v>77</v>
      </c>
      <c r="F10" s="19" t="s">
        <v>78</v>
      </c>
      <c r="G10" s="22" t="s">
        <v>79</v>
      </c>
      <c r="H10" s="23" t="s">
        <v>80</v>
      </c>
      <c r="I10" s="19" t="s">
        <v>81</v>
      </c>
      <c r="J10" s="29" t="s">
        <v>32</v>
      </c>
      <c r="K10" s="23">
        <f t="shared" si="0"/>
        <v>4</v>
      </c>
      <c r="L10" s="24"/>
    </row>
    <row r="11" spans="1:12" ht="30.75" thickBot="1">
      <c r="A11" s="19">
        <v>19</v>
      </c>
      <c r="B11" s="20" t="s">
        <v>109</v>
      </c>
      <c r="C11" s="21" t="s">
        <v>110</v>
      </c>
      <c r="D11" s="31" t="s">
        <v>110</v>
      </c>
      <c r="E11" s="31" t="s">
        <v>110</v>
      </c>
      <c r="F11" s="31" t="s">
        <v>110</v>
      </c>
      <c r="G11" s="31" t="s">
        <v>110</v>
      </c>
      <c r="H11" s="32" t="s">
        <v>111</v>
      </c>
      <c r="I11" s="34" t="s">
        <v>112</v>
      </c>
      <c r="J11" s="29" t="s">
        <v>32</v>
      </c>
      <c r="K11" s="23">
        <f t="shared" si="0"/>
        <v>4</v>
      </c>
      <c r="L11" s="24"/>
    </row>
    <row r="12" spans="1:12" ht="27.75" thickBot="1">
      <c r="A12" s="19">
        <v>30</v>
      </c>
      <c r="B12" s="20" t="s">
        <v>154</v>
      </c>
      <c r="C12" s="21" t="s">
        <v>155</v>
      </c>
      <c r="D12" s="19" t="s">
        <v>155</v>
      </c>
      <c r="E12" s="19" t="s">
        <v>155</v>
      </c>
      <c r="F12" s="19" t="s">
        <v>156</v>
      </c>
      <c r="G12" s="22" t="s">
        <v>157</v>
      </c>
      <c r="H12" s="23" t="s">
        <v>158</v>
      </c>
      <c r="I12" s="19" t="s">
        <v>159</v>
      </c>
      <c r="J12" s="29" t="s">
        <v>32</v>
      </c>
      <c r="K12" s="23">
        <f t="shared" si="0"/>
        <v>4</v>
      </c>
      <c r="L12" s="24"/>
    </row>
    <row r="13" spans="1:12" ht="27.75" thickBot="1">
      <c r="A13" s="19">
        <v>35</v>
      </c>
      <c r="B13" s="20" t="s">
        <v>176</v>
      </c>
      <c r="C13" s="21" t="s">
        <v>177</v>
      </c>
      <c r="D13" s="19" t="s">
        <v>177</v>
      </c>
      <c r="E13" s="19" t="s">
        <v>177</v>
      </c>
      <c r="F13" s="19" t="s">
        <v>177</v>
      </c>
      <c r="G13" s="22" t="s">
        <v>177</v>
      </c>
      <c r="H13" s="23" t="s">
        <v>178</v>
      </c>
      <c r="I13" s="19" t="s">
        <v>179</v>
      </c>
      <c r="J13" s="19"/>
      <c r="K13" s="23">
        <f t="shared" si="0"/>
        <v>4</v>
      </c>
      <c r="L13" s="24"/>
    </row>
    <row r="14" spans="1:12" ht="27.75" thickBot="1">
      <c r="A14" s="19">
        <v>41</v>
      </c>
      <c r="B14" s="20" t="s">
        <v>203</v>
      </c>
      <c r="C14" s="21" t="s">
        <v>204</v>
      </c>
      <c r="D14" s="19" t="s">
        <v>204</v>
      </c>
      <c r="E14" s="19" t="s">
        <v>204</v>
      </c>
      <c r="F14" s="19" t="s">
        <v>205</v>
      </c>
      <c r="G14" s="22" t="s">
        <v>204</v>
      </c>
      <c r="H14" s="23" t="s">
        <v>206</v>
      </c>
      <c r="I14" s="19" t="s">
        <v>207</v>
      </c>
      <c r="J14" s="19"/>
      <c r="K14" s="23">
        <f t="shared" si="0"/>
        <v>4</v>
      </c>
      <c r="L14" s="24"/>
    </row>
    <row r="15" spans="1:12" ht="27.75" thickBot="1">
      <c r="A15" s="19">
        <v>43</v>
      </c>
      <c r="B15" s="20" t="s">
        <v>213</v>
      </c>
      <c r="C15" s="21" t="s">
        <v>214</v>
      </c>
      <c r="D15" s="19" t="s">
        <v>214</v>
      </c>
      <c r="E15" s="19" t="s">
        <v>215</v>
      </c>
      <c r="F15" s="19" t="s">
        <v>216</v>
      </c>
      <c r="G15" s="22" t="s">
        <v>217</v>
      </c>
      <c r="H15" s="23" t="s">
        <v>218</v>
      </c>
      <c r="I15" s="19" t="s">
        <v>219</v>
      </c>
      <c r="J15" s="29" t="s">
        <v>32</v>
      </c>
      <c r="K15" s="23">
        <f t="shared" si="0"/>
        <v>4</v>
      </c>
      <c r="L15" s="24"/>
    </row>
    <row r="16" spans="1:12" ht="27.75" thickBot="1">
      <c r="A16" s="19">
        <v>45</v>
      </c>
      <c r="B16" s="20" t="s">
        <v>225</v>
      </c>
      <c r="C16" s="21" t="s">
        <v>226</v>
      </c>
      <c r="D16" s="19" t="s">
        <v>226</v>
      </c>
      <c r="E16" s="19" t="s">
        <v>226</v>
      </c>
      <c r="F16" s="19" t="s">
        <v>226</v>
      </c>
      <c r="G16" s="22" t="s">
        <v>226</v>
      </c>
      <c r="H16" s="23" t="s">
        <v>227</v>
      </c>
      <c r="I16" s="19" t="s">
        <v>228</v>
      </c>
      <c r="J16" s="19"/>
      <c r="K16" s="23">
        <f t="shared" si="0"/>
        <v>4</v>
      </c>
      <c r="L16" s="24"/>
    </row>
    <row r="17" spans="1:12" ht="27.75" thickBot="1">
      <c r="A17" s="19">
        <v>48</v>
      </c>
      <c r="B17" s="20" t="s">
        <v>237</v>
      </c>
      <c r="C17" s="21" t="s">
        <v>238</v>
      </c>
      <c r="D17" s="19" t="s">
        <v>238</v>
      </c>
      <c r="E17" s="19" t="s">
        <v>238</v>
      </c>
      <c r="F17" s="19" t="s">
        <v>239</v>
      </c>
      <c r="G17" s="22" t="s">
        <v>240</v>
      </c>
      <c r="H17" s="23" t="s">
        <v>241</v>
      </c>
      <c r="I17" s="19" t="s">
        <v>242</v>
      </c>
      <c r="J17" s="29" t="s">
        <v>32</v>
      </c>
      <c r="K17" s="23">
        <f t="shared" si="0"/>
        <v>4</v>
      </c>
      <c r="L17" s="24"/>
    </row>
    <row r="18" spans="1:12" ht="27.75" thickBot="1">
      <c r="A18" s="19">
        <v>55</v>
      </c>
      <c r="B18" s="20" t="s">
        <v>276</v>
      </c>
      <c r="C18" s="21" t="s">
        <v>277</v>
      </c>
      <c r="D18" s="19" t="s">
        <v>278</v>
      </c>
      <c r="E18" s="19" t="s">
        <v>277</v>
      </c>
      <c r="F18" s="19" t="s">
        <v>245</v>
      </c>
      <c r="G18" s="22" t="s">
        <v>279</v>
      </c>
      <c r="H18" s="23" t="s">
        <v>280</v>
      </c>
      <c r="I18" s="19" t="s">
        <v>281</v>
      </c>
      <c r="J18" s="29" t="s">
        <v>32</v>
      </c>
      <c r="K18" s="23">
        <f t="shared" si="0"/>
        <v>4</v>
      </c>
      <c r="L18" s="24"/>
    </row>
    <row r="19" spans="1:12" ht="27.75" thickBot="1">
      <c r="A19" s="19">
        <v>65</v>
      </c>
      <c r="B19" s="20" t="s">
        <v>318</v>
      </c>
      <c r="C19" s="21" t="s">
        <v>319</v>
      </c>
      <c r="D19" s="19" t="s">
        <v>319</v>
      </c>
      <c r="E19" s="19" t="s">
        <v>319</v>
      </c>
      <c r="F19" s="19" t="s">
        <v>320</v>
      </c>
      <c r="G19" s="22" t="s">
        <v>321</v>
      </c>
      <c r="H19" s="23" t="s">
        <v>322</v>
      </c>
      <c r="I19" s="19" t="s">
        <v>323</v>
      </c>
      <c r="J19" s="19"/>
      <c r="K19" s="23">
        <f t="shared" si="0"/>
        <v>4</v>
      </c>
      <c r="L19" s="24"/>
    </row>
    <row r="20" spans="1:12" ht="27.75" thickBot="1">
      <c r="A20" s="19">
        <v>68</v>
      </c>
      <c r="B20" s="20" t="s">
        <v>333</v>
      </c>
      <c r="C20" s="21" t="s">
        <v>334</v>
      </c>
      <c r="D20" s="19" t="s">
        <v>334</v>
      </c>
      <c r="E20" s="19" t="s">
        <v>334</v>
      </c>
      <c r="F20" s="19" t="s">
        <v>334</v>
      </c>
      <c r="G20" s="22" t="s">
        <v>335</v>
      </c>
      <c r="H20" s="23" t="s">
        <v>336</v>
      </c>
      <c r="I20" s="19" t="s">
        <v>337</v>
      </c>
      <c r="J20" s="19"/>
      <c r="K20" s="23">
        <f t="shared" si="0"/>
        <v>4</v>
      </c>
      <c r="L20" s="24"/>
    </row>
    <row r="21" spans="1:12" ht="27.75" thickBot="1">
      <c r="A21" s="19">
        <v>72</v>
      </c>
      <c r="B21" s="20" t="s">
        <v>353</v>
      </c>
      <c r="C21" s="21" t="s">
        <v>354</v>
      </c>
      <c r="D21" s="19" t="s">
        <v>354</v>
      </c>
      <c r="E21" s="19" t="s">
        <v>354</v>
      </c>
      <c r="F21" s="19" t="s">
        <v>354</v>
      </c>
      <c r="G21" s="22" t="s">
        <v>355</v>
      </c>
      <c r="H21" s="23" t="s">
        <v>356</v>
      </c>
      <c r="I21" s="19" t="s">
        <v>357</v>
      </c>
      <c r="J21" s="19"/>
      <c r="K21" s="23">
        <f t="shared" si="0"/>
        <v>4</v>
      </c>
      <c r="L21" s="24"/>
    </row>
    <row r="22" spans="1:12" ht="27.75" thickBot="1">
      <c r="A22" s="19">
        <v>77</v>
      </c>
      <c r="B22" s="20" t="s">
        <v>376</v>
      </c>
      <c r="C22" s="21" t="s">
        <v>377</v>
      </c>
      <c r="D22" s="19" t="s">
        <v>377</v>
      </c>
      <c r="E22" s="19" t="s">
        <v>377</v>
      </c>
      <c r="F22" s="19" t="s">
        <v>378</v>
      </c>
      <c r="G22" s="22" t="s">
        <v>379</v>
      </c>
      <c r="H22" s="23" t="s">
        <v>380</v>
      </c>
      <c r="I22" s="19" t="s">
        <v>381</v>
      </c>
      <c r="J22" s="19"/>
      <c r="K22" s="23">
        <f t="shared" si="0"/>
        <v>4</v>
      </c>
      <c r="L22" s="24"/>
    </row>
    <row r="23" spans="1:12" ht="27.75" thickBot="1">
      <c r="A23" s="19">
        <v>2</v>
      </c>
      <c r="B23" s="20" t="s">
        <v>26</v>
      </c>
      <c r="C23" s="21" t="s">
        <v>27</v>
      </c>
      <c r="D23" s="19" t="s">
        <v>27</v>
      </c>
      <c r="E23" s="19" t="s">
        <v>27</v>
      </c>
      <c r="F23" s="19" t="s">
        <v>28</v>
      </c>
      <c r="G23" s="22" t="s">
        <v>29</v>
      </c>
      <c r="H23" s="23" t="s">
        <v>30</v>
      </c>
      <c r="I23" s="19" t="s">
        <v>31</v>
      </c>
      <c r="J23" s="29" t="s">
        <v>32</v>
      </c>
      <c r="K23" s="23">
        <f t="shared" si="0"/>
        <v>3</v>
      </c>
      <c r="L23" s="24"/>
    </row>
    <row r="24" spans="1:12" ht="27.75" thickBot="1">
      <c r="A24" s="19">
        <v>7</v>
      </c>
      <c r="B24" s="20" t="s">
        <v>55</v>
      </c>
      <c r="C24" s="21" t="s">
        <v>56</v>
      </c>
      <c r="D24" s="19" t="s">
        <v>56</v>
      </c>
      <c r="E24" s="19" t="s">
        <v>56</v>
      </c>
      <c r="F24" s="19" t="s">
        <v>56</v>
      </c>
      <c r="G24" s="22" t="s">
        <v>56</v>
      </c>
      <c r="H24" s="23" t="s">
        <v>57</v>
      </c>
      <c r="I24" s="19" t="s">
        <v>58</v>
      </c>
      <c r="J24" s="19"/>
      <c r="K24" s="23">
        <f t="shared" si="0"/>
        <v>3</v>
      </c>
      <c r="L24" s="24"/>
    </row>
    <row r="25" spans="1:12" ht="30.75" thickBot="1">
      <c r="A25" s="19">
        <v>13</v>
      </c>
      <c r="B25" s="20" t="s">
        <v>82</v>
      </c>
      <c r="C25" s="21" t="s">
        <v>83</v>
      </c>
      <c r="D25" s="31" t="s">
        <v>83</v>
      </c>
      <c r="E25" s="31" t="s">
        <v>83</v>
      </c>
      <c r="F25" s="31" t="s">
        <v>83</v>
      </c>
      <c r="G25" s="31" t="s">
        <v>83</v>
      </c>
      <c r="H25" s="32" t="s">
        <v>84</v>
      </c>
      <c r="I25" s="33" t="s">
        <v>85</v>
      </c>
      <c r="J25" s="19"/>
      <c r="K25" s="23">
        <f t="shared" si="0"/>
        <v>3</v>
      </c>
      <c r="L25" s="24"/>
    </row>
    <row r="26" spans="1:12" ht="27.75" thickBot="1">
      <c r="A26" s="19">
        <v>15</v>
      </c>
      <c r="B26" s="20" t="s">
        <v>90</v>
      </c>
      <c r="C26" s="21" t="s">
        <v>91</v>
      </c>
      <c r="D26" s="19" t="s">
        <v>91</v>
      </c>
      <c r="E26" s="19" t="s">
        <v>91</v>
      </c>
      <c r="F26" s="19" t="s">
        <v>92</v>
      </c>
      <c r="G26" s="22" t="s">
        <v>91</v>
      </c>
      <c r="H26" s="23" t="s">
        <v>93</v>
      </c>
      <c r="I26" s="19" t="s">
        <v>94</v>
      </c>
      <c r="J26" s="19"/>
      <c r="K26" s="23">
        <f t="shared" si="0"/>
        <v>3</v>
      </c>
      <c r="L26" s="24"/>
    </row>
    <row r="27" spans="1:12" ht="27.75" thickBot="1">
      <c r="A27" s="19">
        <v>17</v>
      </c>
      <c r="B27" s="20" t="s">
        <v>99</v>
      </c>
      <c r="C27" s="21" t="s">
        <v>100</v>
      </c>
      <c r="D27" s="19" t="s">
        <v>100</v>
      </c>
      <c r="E27" s="19" t="s">
        <v>100</v>
      </c>
      <c r="F27" s="19" t="s">
        <v>101</v>
      </c>
      <c r="G27" s="22" t="s">
        <v>102</v>
      </c>
      <c r="H27" s="23" t="s">
        <v>103</v>
      </c>
      <c r="I27" s="19" t="s">
        <v>104</v>
      </c>
      <c r="J27" s="29" t="s">
        <v>32</v>
      </c>
      <c r="K27" s="23">
        <f t="shared" si="0"/>
        <v>3</v>
      </c>
      <c r="L27" s="24"/>
    </row>
    <row r="28" spans="1:12" ht="27.75" thickBot="1">
      <c r="A28" s="19">
        <v>21</v>
      </c>
      <c r="B28" s="20" t="s">
        <v>116</v>
      </c>
      <c r="C28" s="21" t="s">
        <v>117</v>
      </c>
      <c r="D28" s="19" t="s">
        <v>117</v>
      </c>
      <c r="E28" s="19" t="s">
        <v>117</v>
      </c>
      <c r="F28" s="19" t="s">
        <v>118</v>
      </c>
      <c r="G28" s="22" t="s">
        <v>119</v>
      </c>
      <c r="H28" s="23" t="s">
        <v>120</v>
      </c>
      <c r="I28" s="19" t="s">
        <v>121</v>
      </c>
      <c r="J28" s="29" t="s">
        <v>32</v>
      </c>
      <c r="K28" s="23">
        <f t="shared" si="0"/>
        <v>3</v>
      </c>
      <c r="L28" s="24"/>
    </row>
    <row r="29" spans="1:12" ht="27.75" thickBot="1">
      <c r="A29" s="19">
        <v>25</v>
      </c>
      <c r="B29" s="20" t="s">
        <v>132</v>
      </c>
      <c r="C29" s="21" t="s">
        <v>133</v>
      </c>
      <c r="D29" s="19" t="s">
        <v>133</v>
      </c>
      <c r="E29" s="19" t="s">
        <v>133</v>
      </c>
      <c r="F29" s="19" t="s">
        <v>133</v>
      </c>
      <c r="G29" s="22" t="s">
        <v>134</v>
      </c>
      <c r="H29" s="23" t="s">
        <v>135</v>
      </c>
      <c r="I29" s="19" t="s">
        <v>136</v>
      </c>
      <c r="J29" s="19"/>
      <c r="K29" s="23">
        <f t="shared" si="0"/>
        <v>3</v>
      </c>
      <c r="L29" s="24"/>
    </row>
    <row r="30" spans="1:12" ht="27.75" thickBot="1">
      <c r="A30" s="19">
        <v>31</v>
      </c>
      <c r="B30" s="20" t="s">
        <v>160</v>
      </c>
      <c r="C30" s="21" t="s">
        <v>161</v>
      </c>
      <c r="D30" s="19" t="s">
        <v>161</v>
      </c>
      <c r="E30" s="19" t="s">
        <v>161</v>
      </c>
      <c r="F30" s="19" t="s">
        <v>161</v>
      </c>
      <c r="G30" s="22" t="s">
        <v>161</v>
      </c>
      <c r="H30" s="23" t="s">
        <v>162</v>
      </c>
      <c r="I30" s="19" t="s">
        <v>163</v>
      </c>
      <c r="J30" s="19"/>
      <c r="K30" s="23">
        <f t="shared" si="0"/>
        <v>3</v>
      </c>
      <c r="L30" s="24"/>
    </row>
    <row r="31" spans="1:12" ht="27.75" thickBot="1">
      <c r="A31" s="19">
        <v>33</v>
      </c>
      <c r="B31" s="20" t="s">
        <v>168</v>
      </c>
      <c r="C31" s="21" t="s">
        <v>169</v>
      </c>
      <c r="D31" s="19" t="s">
        <v>169</v>
      </c>
      <c r="E31" s="19" t="s">
        <v>169</v>
      </c>
      <c r="F31" s="19" t="s">
        <v>169</v>
      </c>
      <c r="G31" s="22" t="s">
        <v>169</v>
      </c>
      <c r="H31" s="23" t="s">
        <v>170</v>
      </c>
      <c r="I31" s="19" t="s">
        <v>171</v>
      </c>
      <c r="J31" s="19"/>
      <c r="K31" s="23">
        <f t="shared" si="0"/>
        <v>3</v>
      </c>
      <c r="L31" s="24"/>
    </row>
    <row r="32" spans="1:12" ht="27.75" thickBot="1">
      <c r="A32" s="19">
        <v>34</v>
      </c>
      <c r="B32" s="20" t="s">
        <v>172</v>
      </c>
      <c r="C32" s="21" t="s">
        <v>173</v>
      </c>
      <c r="D32" s="19" t="s">
        <v>173</v>
      </c>
      <c r="E32" s="19" t="s">
        <v>173</v>
      </c>
      <c r="F32" s="19" t="s">
        <v>173</v>
      </c>
      <c r="G32" s="22" t="s">
        <v>173</v>
      </c>
      <c r="H32" s="23" t="s">
        <v>174</v>
      </c>
      <c r="I32" s="19" t="s">
        <v>175</v>
      </c>
      <c r="J32" s="19"/>
      <c r="K32" s="23">
        <f t="shared" si="0"/>
        <v>3</v>
      </c>
      <c r="L32" s="24"/>
    </row>
    <row r="33" spans="1:12" ht="27.75" thickBot="1">
      <c r="A33" s="19">
        <v>36</v>
      </c>
      <c r="B33" s="20" t="s">
        <v>180</v>
      </c>
      <c r="C33" s="21" t="s">
        <v>181</v>
      </c>
      <c r="D33" s="19" t="s">
        <v>181</v>
      </c>
      <c r="E33" s="19" t="s">
        <v>181</v>
      </c>
      <c r="F33" s="19" t="s">
        <v>181</v>
      </c>
      <c r="G33" s="22" t="s">
        <v>181</v>
      </c>
      <c r="H33" s="23" t="s">
        <v>182</v>
      </c>
      <c r="I33" s="19" t="s">
        <v>183</v>
      </c>
      <c r="J33" s="19"/>
      <c r="K33" s="23">
        <f t="shared" si="0"/>
        <v>3</v>
      </c>
      <c r="L33" s="24"/>
    </row>
    <row r="34" spans="1:12" ht="27.75" thickBot="1">
      <c r="A34" s="19">
        <v>37</v>
      </c>
      <c r="B34" s="20" t="s">
        <v>184</v>
      </c>
      <c r="C34" s="21" t="s">
        <v>185</v>
      </c>
      <c r="D34" s="19" t="s">
        <v>185</v>
      </c>
      <c r="E34" s="19" t="s">
        <v>185</v>
      </c>
      <c r="F34" s="19" t="s">
        <v>185</v>
      </c>
      <c r="G34" s="22" t="s">
        <v>185</v>
      </c>
      <c r="H34" s="23" t="s">
        <v>186</v>
      </c>
      <c r="I34" s="19" t="s">
        <v>187</v>
      </c>
      <c r="J34" s="19"/>
      <c r="K34" s="23">
        <f t="shared" si="0"/>
        <v>3</v>
      </c>
      <c r="L34" s="24"/>
    </row>
    <row r="35" spans="1:12" ht="27.75" thickBot="1">
      <c r="A35" s="19">
        <v>38</v>
      </c>
      <c r="B35" s="20" t="s">
        <v>188</v>
      </c>
      <c r="C35" s="21" t="s">
        <v>189</v>
      </c>
      <c r="D35" s="19" t="s">
        <v>189</v>
      </c>
      <c r="E35" s="19" t="s">
        <v>189</v>
      </c>
      <c r="F35" s="19" t="s">
        <v>189</v>
      </c>
      <c r="G35" s="22" t="s">
        <v>189</v>
      </c>
      <c r="H35" s="23" t="s">
        <v>190</v>
      </c>
      <c r="I35" s="19" t="s">
        <v>191</v>
      </c>
      <c r="J35" s="19"/>
      <c r="K35" s="23">
        <f t="shared" si="0"/>
        <v>3</v>
      </c>
      <c r="L35" s="24"/>
    </row>
    <row r="36" spans="1:12" ht="27.75" thickBot="1">
      <c r="A36" s="19">
        <v>39</v>
      </c>
      <c r="B36" s="20" t="s">
        <v>192</v>
      </c>
      <c r="C36" s="21" t="s">
        <v>193</v>
      </c>
      <c r="D36" s="19" t="s">
        <v>193</v>
      </c>
      <c r="E36" s="19" t="s">
        <v>193</v>
      </c>
      <c r="F36" s="19" t="s">
        <v>194</v>
      </c>
      <c r="G36" s="22" t="s">
        <v>193</v>
      </c>
      <c r="H36" s="23" t="s">
        <v>195</v>
      </c>
      <c r="I36" s="19" t="s">
        <v>196</v>
      </c>
      <c r="J36" s="19"/>
      <c r="K36" s="23">
        <f t="shared" ref="K36:K67" si="1" xml:space="preserve"> LEN(C36)</f>
        <v>3</v>
      </c>
      <c r="L36" s="24"/>
    </row>
    <row r="37" spans="1:12" ht="27.75" thickBot="1">
      <c r="A37" s="19">
        <v>44</v>
      </c>
      <c r="B37" s="20" t="s">
        <v>220</v>
      </c>
      <c r="C37" s="21" t="s">
        <v>221</v>
      </c>
      <c r="D37" s="19" t="s">
        <v>221</v>
      </c>
      <c r="E37" s="19" t="s">
        <v>222</v>
      </c>
      <c r="F37" s="19" t="s">
        <v>221</v>
      </c>
      <c r="G37" s="22" t="s">
        <v>221</v>
      </c>
      <c r="H37" s="23" t="s">
        <v>223</v>
      </c>
      <c r="I37" s="19" t="s">
        <v>224</v>
      </c>
      <c r="J37" s="19"/>
      <c r="K37" s="23">
        <f t="shared" si="1"/>
        <v>3</v>
      </c>
      <c r="L37" s="24"/>
    </row>
    <row r="38" spans="1:12" ht="27.75" thickBot="1">
      <c r="A38" s="19">
        <v>46</v>
      </c>
      <c r="B38" s="20" t="s">
        <v>229</v>
      </c>
      <c r="C38" s="21" t="s">
        <v>230</v>
      </c>
      <c r="D38" s="19" t="s">
        <v>230</v>
      </c>
      <c r="E38" s="19" t="s">
        <v>231</v>
      </c>
      <c r="F38" s="19" t="s">
        <v>230</v>
      </c>
      <c r="G38" s="22" t="s">
        <v>230</v>
      </c>
      <c r="H38" s="23" t="s">
        <v>232</v>
      </c>
      <c r="I38" s="19" t="s">
        <v>233</v>
      </c>
      <c r="J38" s="19"/>
      <c r="K38" s="23">
        <f t="shared" si="1"/>
        <v>3</v>
      </c>
      <c r="L38" s="24"/>
    </row>
    <row r="39" spans="1:12" ht="27.75" thickBot="1">
      <c r="A39" s="19">
        <v>52</v>
      </c>
      <c r="B39" s="20" t="s">
        <v>259</v>
      </c>
      <c r="C39" s="21" t="s">
        <v>260</v>
      </c>
      <c r="D39" s="19" t="s">
        <v>260</v>
      </c>
      <c r="E39" s="19" t="s">
        <v>261</v>
      </c>
      <c r="F39" s="19" t="s">
        <v>262</v>
      </c>
      <c r="G39" s="22" t="s">
        <v>263</v>
      </c>
      <c r="H39" s="23" t="s">
        <v>264</v>
      </c>
      <c r="I39" s="19" t="s">
        <v>265</v>
      </c>
      <c r="J39" s="19"/>
      <c r="K39" s="23">
        <f t="shared" si="1"/>
        <v>3</v>
      </c>
      <c r="L39" s="24"/>
    </row>
    <row r="40" spans="1:12" ht="30.75" thickBot="1">
      <c r="A40" s="19">
        <v>54</v>
      </c>
      <c r="B40" s="20" t="s">
        <v>271</v>
      </c>
      <c r="C40" s="21" t="s">
        <v>272</v>
      </c>
      <c r="D40" s="31" t="s">
        <v>272</v>
      </c>
      <c r="E40" s="31" t="s">
        <v>272</v>
      </c>
      <c r="F40" s="31" t="s">
        <v>272</v>
      </c>
      <c r="G40" s="31" t="s">
        <v>273</v>
      </c>
      <c r="H40" s="32" t="s">
        <v>274</v>
      </c>
      <c r="I40" s="34" t="s">
        <v>275</v>
      </c>
      <c r="J40" s="19"/>
      <c r="K40" s="23">
        <f t="shared" si="1"/>
        <v>3</v>
      </c>
      <c r="L40" s="24"/>
    </row>
    <row r="41" spans="1:12" ht="27.75" thickBot="1">
      <c r="A41" s="19">
        <v>57</v>
      </c>
      <c r="B41" s="20" t="s">
        <v>287</v>
      </c>
      <c r="C41" s="21" t="s">
        <v>288</v>
      </c>
      <c r="D41" s="19" t="s">
        <v>288</v>
      </c>
      <c r="E41" s="19" t="s">
        <v>288</v>
      </c>
      <c r="F41" s="19" t="s">
        <v>288</v>
      </c>
      <c r="G41" s="22" t="s">
        <v>288</v>
      </c>
      <c r="H41" s="23" t="s">
        <v>289</v>
      </c>
      <c r="I41" s="19" t="s">
        <v>290</v>
      </c>
      <c r="J41" s="19"/>
      <c r="K41" s="23">
        <f t="shared" si="1"/>
        <v>3</v>
      </c>
      <c r="L41" s="24"/>
    </row>
    <row r="42" spans="1:12" ht="27.75" thickBot="1">
      <c r="A42" s="19">
        <v>66</v>
      </c>
      <c r="B42" s="20" t="s">
        <v>324</v>
      </c>
      <c r="C42" s="21" t="s">
        <v>325</v>
      </c>
      <c r="D42" s="19" t="s">
        <v>325</v>
      </c>
      <c r="E42" s="19" t="s">
        <v>325</v>
      </c>
      <c r="F42" s="19" t="s">
        <v>325</v>
      </c>
      <c r="G42" s="22" t="s">
        <v>326</v>
      </c>
      <c r="H42" s="23" t="s">
        <v>327</v>
      </c>
      <c r="I42" s="19" t="s">
        <v>328</v>
      </c>
      <c r="J42" s="19"/>
      <c r="K42" s="23">
        <f t="shared" si="1"/>
        <v>3</v>
      </c>
      <c r="L42" s="24"/>
    </row>
    <row r="43" spans="1:12" ht="27.75" thickBot="1">
      <c r="A43" s="19">
        <v>67</v>
      </c>
      <c r="B43" s="20" t="s">
        <v>329</v>
      </c>
      <c r="C43" s="21" t="s">
        <v>329</v>
      </c>
      <c r="D43" s="19" t="s">
        <v>329</v>
      </c>
      <c r="E43" s="19" t="s">
        <v>329</v>
      </c>
      <c r="F43" s="19" t="s">
        <v>329</v>
      </c>
      <c r="G43" s="22" t="s">
        <v>330</v>
      </c>
      <c r="H43" s="23" t="s">
        <v>331</v>
      </c>
      <c r="I43" s="19" t="s">
        <v>332</v>
      </c>
      <c r="J43" s="19"/>
      <c r="K43" s="23">
        <f t="shared" si="1"/>
        <v>3</v>
      </c>
      <c r="L43" s="24"/>
    </row>
    <row r="44" spans="1:12" ht="27.75" thickBot="1">
      <c r="A44" s="19">
        <v>69</v>
      </c>
      <c r="B44" s="20" t="s">
        <v>338</v>
      </c>
      <c r="C44" s="21" t="s">
        <v>339</v>
      </c>
      <c r="D44" s="19" t="s">
        <v>339</v>
      </c>
      <c r="E44" s="19" t="s">
        <v>339</v>
      </c>
      <c r="F44" s="19" t="s">
        <v>339</v>
      </c>
      <c r="G44" s="22" t="s">
        <v>340</v>
      </c>
      <c r="H44" s="23" t="s">
        <v>341</v>
      </c>
      <c r="I44" s="19" t="s">
        <v>342</v>
      </c>
      <c r="J44" s="19"/>
      <c r="K44" s="23">
        <f t="shared" si="1"/>
        <v>3</v>
      </c>
      <c r="L44" s="24"/>
    </row>
    <row r="45" spans="1:12" ht="27.75" thickBot="1">
      <c r="A45" s="19">
        <v>70</v>
      </c>
      <c r="B45" s="20" t="s">
        <v>343</v>
      </c>
      <c r="C45" s="21" t="s">
        <v>343</v>
      </c>
      <c r="D45" s="19" t="s">
        <v>343</v>
      </c>
      <c r="E45" s="19" t="s">
        <v>343</v>
      </c>
      <c r="F45" s="19" t="s">
        <v>343</v>
      </c>
      <c r="G45" s="22" t="s">
        <v>344</v>
      </c>
      <c r="H45" s="23" t="s">
        <v>345</v>
      </c>
      <c r="I45" s="19" t="s">
        <v>346</v>
      </c>
      <c r="J45" s="19"/>
      <c r="K45" s="23">
        <f t="shared" si="1"/>
        <v>3</v>
      </c>
      <c r="L45" s="24"/>
    </row>
    <row r="46" spans="1:12" ht="27.75" thickBot="1">
      <c r="A46" s="19">
        <v>75</v>
      </c>
      <c r="B46" s="20" t="s">
        <v>368</v>
      </c>
      <c r="C46" s="21" t="s">
        <v>369</v>
      </c>
      <c r="D46" s="19" t="s">
        <v>369</v>
      </c>
      <c r="E46" s="19" t="s">
        <v>369</v>
      </c>
      <c r="F46" s="19" t="s">
        <v>369</v>
      </c>
      <c r="G46" s="22" t="s">
        <v>370</v>
      </c>
      <c r="H46" s="23" t="s">
        <v>371</v>
      </c>
      <c r="I46" s="19" t="s">
        <v>372</v>
      </c>
      <c r="J46" s="19"/>
      <c r="K46" s="23">
        <f t="shared" si="1"/>
        <v>3</v>
      </c>
      <c r="L46" s="24"/>
    </row>
    <row r="47" spans="1:12" ht="27.75" thickBot="1">
      <c r="A47" s="19">
        <v>78</v>
      </c>
      <c r="B47" s="20" t="s">
        <v>382</v>
      </c>
      <c r="C47" s="21" t="s">
        <v>383</v>
      </c>
      <c r="D47" s="31" t="s">
        <v>383</v>
      </c>
      <c r="E47" s="31" t="s">
        <v>383</v>
      </c>
      <c r="F47" s="31" t="s">
        <v>383</v>
      </c>
      <c r="G47" s="31" t="s">
        <v>383</v>
      </c>
      <c r="H47" s="35" t="s">
        <v>384</v>
      </c>
      <c r="I47" s="33" t="s">
        <v>385</v>
      </c>
      <c r="J47" s="29" t="s">
        <v>32</v>
      </c>
      <c r="K47" s="23">
        <f t="shared" si="1"/>
        <v>3</v>
      </c>
      <c r="L47" s="24"/>
    </row>
    <row r="48" spans="1:12" ht="27.75" thickBot="1">
      <c r="A48" s="19">
        <v>82</v>
      </c>
      <c r="B48" s="20" t="s">
        <v>398</v>
      </c>
      <c r="C48" s="21" t="s">
        <v>399</v>
      </c>
      <c r="D48" s="31" t="s">
        <v>399</v>
      </c>
      <c r="E48" s="31" t="s">
        <v>399</v>
      </c>
      <c r="F48" s="31" t="s">
        <v>399</v>
      </c>
      <c r="G48" s="31" t="s">
        <v>399</v>
      </c>
      <c r="H48" s="35" t="s">
        <v>400</v>
      </c>
      <c r="I48" s="34" t="s">
        <v>401</v>
      </c>
      <c r="J48" s="19"/>
      <c r="K48" s="23">
        <f t="shared" si="1"/>
        <v>3</v>
      </c>
      <c r="L48" s="24"/>
    </row>
    <row r="49" spans="1:12" ht="27.75" thickBot="1">
      <c r="A49" s="19">
        <v>3</v>
      </c>
      <c r="B49" s="20" t="s">
        <v>34</v>
      </c>
      <c r="C49" s="21" t="s">
        <v>35</v>
      </c>
      <c r="D49" s="19" t="s">
        <v>35</v>
      </c>
      <c r="E49" s="19" t="s">
        <v>35</v>
      </c>
      <c r="F49" s="19" t="s">
        <v>35</v>
      </c>
      <c r="G49" s="22" t="s">
        <v>35</v>
      </c>
      <c r="H49" s="23" t="s">
        <v>36</v>
      </c>
      <c r="I49" s="19" t="s">
        <v>37</v>
      </c>
      <c r="J49" s="19"/>
      <c r="K49" s="23">
        <f t="shared" si="1"/>
        <v>2</v>
      </c>
      <c r="L49" s="24"/>
    </row>
    <row r="50" spans="1:12" ht="27.75" thickBot="1">
      <c r="A50" s="19">
        <v>5</v>
      </c>
      <c r="B50" s="20" t="s">
        <v>47</v>
      </c>
      <c r="C50" s="21" t="s">
        <v>47</v>
      </c>
      <c r="D50" s="19" t="s">
        <v>47</v>
      </c>
      <c r="E50" s="19" t="s">
        <v>47</v>
      </c>
      <c r="F50" s="19" t="s">
        <v>47</v>
      </c>
      <c r="G50" s="22" t="s">
        <v>47</v>
      </c>
      <c r="H50" s="23" t="s">
        <v>48</v>
      </c>
      <c r="I50" s="19" t="s">
        <v>49</v>
      </c>
      <c r="J50" s="19"/>
      <c r="K50" s="23">
        <f t="shared" si="1"/>
        <v>2</v>
      </c>
      <c r="L50" s="24"/>
    </row>
    <row r="51" spans="1:12" ht="27.75" thickBot="1">
      <c r="A51" s="19">
        <v>6</v>
      </c>
      <c r="B51" s="20" t="s">
        <v>51</v>
      </c>
      <c r="C51" s="21" t="s">
        <v>51</v>
      </c>
      <c r="D51" s="19" t="s">
        <v>51</v>
      </c>
      <c r="E51" s="19" t="s">
        <v>51</v>
      </c>
      <c r="F51" s="19" t="s">
        <v>51</v>
      </c>
      <c r="G51" s="22" t="s">
        <v>51</v>
      </c>
      <c r="H51" s="23" t="s">
        <v>52</v>
      </c>
      <c r="I51" s="19" t="s">
        <v>53</v>
      </c>
      <c r="J51" s="19"/>
      <c r="K51" s="23">
        <f t="shared" si="1"/>
        <v>2</v>
      </c>
      <c r="L51" s="24"/>
    </row>
    <row r="52" spans="1:12" ht="27.75" thickBot="1">
      <c r="A52" s="19">
        <v>8</v>
      </c>
      <c r="B52" s="20" t="s">
        <v>60</v>
      </c>
      <c r="C52" s="21" t="s">
        <v>61</v>
      </c>
      <c r="D52" s="19" t="s">
        <v>61</v>
      </c>
      <c r="E52" s="19" t="s">
        <v>61</v>
      </c>
      <c r="F52" s="19" t="s">
        <v>61</v>
      </c>
      <c r="G52" s="22" t="s">
        <v>61</v>
      </c>
      <c r="H52" s="23" t="s">
        <v>62</v>
      </c>
      <c r="I52" s="19" t="s">
        <v>63</v>
      </c>
      <c r="J52" s="19"/>
      <c r="K52" s="23">
        <f t="shared" si="1"/>
        <v>2</v>
      </c>
      <c r="L52" s="24"/>
    </row>
    <row r="53" spans="1:12" ht="27.75" thickBot="1">
      <c r="A53" s="19">
        <v>9</v>
      </c>
      <c r="B53" s="20" t="s">
        <v>64</v>
      </c>
      <c r="C53" s="21" t="s">
        <v>65</v>
      </c>
      <c r="D53" s="19" t="s">
        <v>65</v>
      </c>
      <c r="E53" s="19" t="s">
        <v>65</v>
      </c>
      <c r="F53" s="19" t="s">
        <v>65</v>
      </c>
      <c r="G53" s="22" t="s">
        <v>65</v>
      </c>
      <c r="H53" s="23" t="s">
        <v>66</v>
      </c>
      <c r="I53" s="19" t="s">
        <v>67</v>
      </c>
      <c r="J53" s="19"/>
      <c r="K53" s="23">
        <f t="shared" si="1"/>
        <v>2</v>
      </c>
      <c r="L53" s="24"/>
    </row>
    <row r="54" spans="1:12" ht="27.75" thickBot="1">
      <c r="A54" s="19">
        <v>10</v>
      </c>
      <c r="B54" s="20" t="s">
        <v>68</v>
      </c>
      <c r="C54" s="21" t="s">
        <v>69</v>
      </c>
      <c r="D54" s="19" t="s">
        <v>69</v>
      </c>
      <c r="E54" s="19" t="s">
        <v>69</v>
      </c>
      <c r="F54" s="19" t="s">
        <v>69</v>
      </c>
      <c r="G54" s="22" t="s">
        <v>69</v>
      </c>
      <c r="H54" s="23" t="s">
        <v>70</v>
      </c>
      <c r="I54" s="19" t="s">
        <v>71</v>
      </c>
      <c r="J54" s="19"/>
      <c r="K54" s="23">
        <f t="shared" si="1"/>
        <v>2</v>
      </c>
      <c r="L54" s="24"/>
    </row>
    <row r="55" spans="1:12" ht="27.75" thickBot="1">
      <c r="A55" s="19">
        <v>11</v>
      </c>
      <c r="B55" s="20" t="s">
        <v>72</v>
      </c>
      <c r="C55" s="21" t="s">
        <v>73</v>
      </c>
      <c r="D55" s="19" t="s">
        <v>73</v>
      </c>
      <c r="E55" s="19" t="s">
        <v>73</v>
      </c>
      <c r="F55" s="19" t="s">
        <v>73</v>
      </c>
      <c r="G55" s="22" t="s">
        <v>73</v>
      </c>
      <c r="H55" s="23" t="s">
        <v>74</v>
      </c>
      <c r="I55" s="19" t="s">
        <v>75</v>
      </c>
      <c r="J55" s="19"/>
      <c r="K55" s="23">
        <f t="shared" si="1"/>
        <v>2</v>
      </c>
      <c r="L55" s="24"/>
    </row>
    <row r="56" spans="1:12" ht="27.75" thickBot="1">
      <c r="A56" s="19">
        <v>14</v>
      </c>
      <c r="B56" s="20" t="s">
        <v>86</v>
      </c>
      <c r="C56" s="21" t="s">
        <v>86</v>
      </c>
      <c r="D56" s="19" t="s">
        <v>86</v>
      </c>
      <c r="E56" s="19" t="s">
        <v>86</v>
      </c>
      <c r="F56" s="19" t="s">
        <v>87</v>
      </c>
      <c r="G56" s="22" t="s">
        <v>86</v>
      </c>
      <c r="H56" s="23" t="s">
        <v>88</v>
      </c>
      <c r="I56" s="19" t="s">
        <v>89</v>
      </c>
      <c r="J56" s="19"/>
      <c r="K56" s="23">
        <f t="shared" si="1"/>
        <v>2</v>
      </c>
      <c r="L56" s="24"/>
    </row>
    <row r="57" spans="1:12" ht="27.75" thickBot="1">
      <c r="A57" s="19">
        <v>18</v>
      </c>
      <c r="B57" s="20" t="s">
        <v>105</v>
      </c>
      <c r="C57" s="21" t="s">
        <v>106</v>
      </c>
      <c r="D57" s="19" t="s">
        <v>106</v>
      </c>
      <c r="E57" s="19" t="s">
        <v>106</v>
      </c>
      <c r="F57" s="19" t="s">
        <v>106</v>
      </c>
      <c r="G57" s="22" t="s">
        <v>106</v>
      </c>
      <c r="H57" s="23" t="s">
        <v>107</v>
      </c>
      <c r="I57" s="19" t="s">
        <v>108</v>
      </c>
      <c r="J57" s="19"/>
      <c r="K57" s="23">
        <f t="shared" si="1"/>
        <v>2</v>
      </c>
      <c r="L57" s="24"/>
    </row>
    <row r="58" spans="1:12" ht="27.75" thickBot="1">
      <c r="A58" s="19">
        <v>22</v>
      </c>
      <c r="B58" s="20" t="s">
        <v>122</v>
      </c>
      <c r="C58" s="21" t="s">
        <v>123</v>
      </c>
      <c r="D58" s="19" t="s">
        <v>123</v>
      </c>
      <c r="E58" s="19" t="s">
        <v>123</v>
      </c>
      <c r="F58" s="19" t="s">
        <v>123</v>
      </c>
      <c r="G58" s="22" t="s">
        <v>123</v>
      </c>
      <c r="H58" s="23" t="s">
        <v>124</v>
      </c>
      <c r="I58" s="19" t="s">
        <v>125</v>
      </c>
      <c r="J58" s="19"/>
      <c r="K58" s="23">
        <f t="shared" si="1"/>
        <v>2</v>
      </c>
      <c r="L58" s="24"/>
    </row>
    <row r="59" spans="1:12" ht="27.75" thickBot="1">
      <c r="A59" s="19">
        <v>23</v>
      </c>
      <c r="B59" s="20" t="s">
        <v>126</v>
      </c>
      <c r="C59" s="21" t="s">
        <v>126</v>
      </c>
      <c r="D59" s="19" t="s">
        <v>126</v>
      </c>
      <c r="E59" s="19" t="s">
        <v>126</v>
      </c>
      <c r="F59" s="19" t="s">
        <v>126</v>
      </c>
      <c r="G59" s="22" t="s">
        <v>126</v>
      </c>
      <c r="H59" s="23" t="s">
        <v>127</v>
      </c>
      <c r="I59" s="19" t="s">
        <v>128</v>
      </c>
      <c r="J59" s="19"/>
      <c r="K59" s="23">
        <f t="shared" si="1"/>
        <v>2</v>
      </c>
      <c r="L59" s="24"/>
    </row>
    <row r="60" spans="1:12" ht="27.75" thickBot="1">
      <c r="A60" s="19">
        <v>24</v>
      </c>
      <c r="B60" s="20" t="s">
        <v>129</v>
      </c>
      <c r="C60" s="21" t="s">
        <v>129</v>
      </c>
      <c r="D60" s="19" t="s">
        <v>129</v>
      </c>
      <c r="E60" s="19" t="s">
        <v>129</v>
      </c>
      <c r="F60" s="19" t="s">
        <v>129</v>
      </c>
      <c r="G60" s="22" t="s">
        <v>129</v>
      </c>
      <c r="H60" s="23" t="s">
        <v>130</v>
      </c>
      <c r="I60" s="19" t="s">
        <v>131</v>
      </c>
      <c r="J60" s="19"/>
      <c r="K60" s="23">
        <f t="shared" si="1"/>
        <v>2</v>
      </c>
      <c r="L60" s="24"/>
    </row>
    <row r="61" spans="1:12" ht="27.75" thickBot="1">
      <c r="A61" s="19">
        <v>26</v>
      </c>
      <c r="B61" s="20" t="s">
        <v>137</v>
      </c>
      <c r="C61" s="21" t="s">
        <v>138</v>
      </c>
      <c r="D61" s="19" t="s">
        <v>138</v>
      </c>
      <c r="E61" s="19" t="s">
        <v>138</v>
      </c>
      <c r="F61" s="19" t="s">
        <v>138</v>
      </c>
      <c r="G61" s="22" t="s">
        <v>138</v>
      </c>
      <c r="H61" s="23" t="s">
        <v>139</v>
      </c>
      <c r="I61" s="19" t="s">
        <v>140</v>
      </c>
      <c r="J61" s="19"/>
      <c r="K61" s="23">
        <f t="shared" si="1"/>
        <v>2</v>
      </c>
      <c r="L61" s="24"/>
    </row>
    <row r="62" spans="1:12" ht="27.75" thickBot="1">
      <c r="A62" s="19">
        <v>27</v>
      </c>
      <c r="B62" s="20" t="s">
        <v>141</v>
      </c>
      <c r="C62" s="21" t="s">
        <v>142</v>
      </c>
      <c r="D62" s="19" t="s">
        <v>142</v>
      </c>
      <c r="E62" s="19" t="s">
        <v>142</v>
      </c>
      <c r="F62" s="19" t="s">
        <v>142</v>
      </c>
      <c r="G62" s="22" t="s">
        <v>142</v>
      </c>
      <c r="H62" s="23" t="s">
        <v>143</v>
      </c>
      <c r="I62" s="19" t="s">
        <v>144</v>
      </c>
      <c r="J62" s="19"/>
      <c r="K62" s="23">
        <f t="shared" si="1"/>
        <v>2</v>
      </c>
      <c r="L62" s="24"/>
    </row>
    <row r="63" spans="1:12" ht="27.75" thickBot="1">
      <c r="A63" s="19">
        <v>28</v>
      </c>
      <c r="B63" s="20" t="s">
        <v>145</v>
      </c>
      <c r="C63" s="21" t="s">
        <v>146</v>
      </c>
      <c r="D63" s="19" t="s">
        <v>146</v>
      </c>
      <c r="E63" s="19" t="s">
        <v>146</v>
      </c>
      <c r="F63" s="19" t="s">
        <v>146</v>
      </c>
      <c r="G63" s="22" t="s">
        <v>147</v>
      </c>
      <c r="H63" s="23" t="s">
        <v>148</v>
      </c>
      <c r="I63" s="19" t="s">
        <v>149</v>
      </c>
      <c r="J63" s="19"/>
      <c r="K63" s="23">
        <f t="shared" si="1"/>
        <v>2</v>
      </c>
      <c r="L63" s="24"/>
    </row>
    <row r="64" spans="1:12" ht="27.75" thickBot="1">
      <c r="A64" s="19">
        <v>29</v>
      </c>
      <c r="B64" s="20" t="s">
        <v>150</v>
      </c>
      <c r="C64" s="21" t="s">
        <v>151</v>
      </c>
      <c r="D64" s="19" t="s">
        <v>151</v>
      </c>
      <c r="E64" s="19" t="s">
        <v>151</v>
      </c>
      <c r="F64" s="19" t="s">
        <v>151</v>
      </c>
      <c r="G64" s="22" t="s">
        <v>151</v>
      </c>
      <c r="H64" s="23" t="s">
        <v>152</v>
      </c>
      <c r="I64" s="19" t="s">
        <v>153</v>
      </c>
      <c r="J64" s="19"/>
      <c r="K64" s="23">
        <f t="shared" si="1"/>
        <v>2</v>
      </c>
      <c r="L64" s="24"/>
    </row>
    <row r="65" spans="1:12" ht="27.75" thickBot="1">
      <c r="A65" s="19">
        <v>42</v>
      </c>
      <c r="B65" s="20" t="s">
        <v>208</v>
      </c>
      <c r="C65" s="21" t="s">
        <v>209</v>
      </c>
      <c r="D65" s="19" t="s">
        <v>209</v>
      </c>
      <c r="E65" s="19" t="s">
        <v>210</v>
      </c>
      <c r="F65" s="19" t="s">
        <v>209</v>
      </c>
      <c r="G65" s="22" t="s">
        <v>209</v>
      </c>
      <c r="H65" s="23" t="s">
        <v>211</v>
      </c>
      <c r="I65" s="19" t="s">
        <v>212</v>
      </c>
      <c r="J65" s="19"/>
      <c r="K65" s="23">
        <f t="shared" si="1"/>
        <v>2</v>
      </c>
      <c r="L65" s="24"/>
    </row>
    <row r="66" spans="1:12" ht="27.75" thickBot="1">
      <c r="A66" s="19">
        <v>47</v>
      </c>
      <c r="B66" s="20" t="s">
        <v>234</v>
      </c>
      <c r="C66" s="21" t="s">
        <v>234</v>
      </c>
      <c r="D66" s="19" t="s">
        <v>234</v>
      </c>
      <c r="E66" s="19" t="s">
        <v>234</v>
      </c>
      <c r="F66" s="19" t="s">
        <v>234</v>
      </c>
      <c r="G66" s="22" t="s">
        <v>234</v>
      </c>
      <c r="H66" s="23" t="s">
        <v>235</v>
      </c>
      <c r="I66" s="19" t="s">
        <v>236</v>
      </c>
      <c r="J66" s="19"/>
      <c r="K66" s="23">
        <f t="shared" si="1"/>
        <v>2</v>
      </c>
      <c r="L66" s="24"/>
    </row>
    <row r="67" spans="1:12" ht="27.75" thickBot="1">
      <c r="A67" s="19">
        <v>51</v>
      </c>
      <c r="B67" s="20" t="s">
        <v>254</v>
      </c>
      <c r="C67" s="21" t="s">
        <v>255</v>
      </c>
      <c r="D67" s="19" t="s">
        <v>255</v>
      </c>
      <c r="E67" s="19" t="s">
        <v>255</v>
      </c>
      <c r="F67" s="19" t="s">
        <v>255</v>
      </c>
      <c r="G67" s="22" t="s">
        <v>256</v>
      </c>
      <c r="H67" s="23" t="s">
        <v>257</v>
      </c>
      <c r="I67" s="19" t="s">
        <v>258</v>
      </c>
      <c r="J67" s="19"/>
      <c r="K67" s="23">
        <f t="shared" si="1"/>
        <v>2</v>
      </c>
      <c r="L67" s="24"/>
    </row>
    <row r="68" spans="1:12" ht="27.75" thickBot="1">
      <c r="A68" s="19">
        <v>53</v>
      </c>
      <c r="B68" s="20" t="s">
        <v>266</v>
      </c>
      <c r="C68" s="21" t="s">
        <v>267</v>
      </c>
      <c r="D68" s="19" t="s">
        <v>267</v>
      </c>
      <c r="E68" s="19" t="s">
        <v>268</v>
      </c>
      <c r="F68" s="19" t="s">
        <v>267</v>
      </c>
      <c r="G68" s="22" t="s">
        <v>267</v>
      </c>
      <c r="H68" s="23" t="s">
        <v>269</v>
      </c>
      <c r="I68" s="19" t="s">
        <v>270</v>
      </c>
      <c r="J68" s="19"/>
      <c r="K68" s="23">
        <f t="shared" ref="K68:K85" si="2" xml:space="preserve"> LEN(C68)</f>
        <v>2</v>
      </c>
      <c r="L68" s="24"/>
    </row>
    <row r="69" spans="1:12" ht="27.75" thickBot="1">
      <c r="A69" s="19">
        <v>56</v>
      </c>
      <c r="B69" s="20" t="s">
        <v>282</v>
      </c>
      <c r="C69" s="21" t="s">
        <v>283</v>
      </c>
      <c r="D69" s="19" t="s">
        <v>283</v>
      </c>
      <c r="E69" s="19" t="s">
        <v>284</v>
      </c>
      <c r="F69" s="19" t="s">
        <v>283</v>
      </c>
      <c r="G69" s="22" t="s">
        <v>283</v>
      </c>
      <c r="H69" s="23" t="s">
        <v>285</v>
      </c>
      <c r="I69" s="19" t="s">
        <v>286</v>
      </c>
      <c r="J69" s="19"/>
      <c r="K69" s="23">
        <f t="shared" si="2"/>
        <v>2</v>
      </c>
      <c r="L69" s="24"/>
    </row>
    <row r="70" spans="1:12" ht="27.75" thickBot="1">
      <c r="A70" s="19">
        <v>58</v>
      </c>
      <c r="B70" s="20" t="s">
        <v>291</v>
      </c>
      <c r="C70" s="21" t="s">
        <v>292</v>
      </c>
      <c r="D70" s="19" t="s">
        <v>292</v>
      </c>
      <c r="E70" s="19" t="s">
        <v>293</v>
      </c>
      <c r="F70" s="19" t="s">
        <v>292</v>
      </c>
      <c r="G70" s="22" t="s">
        <v>292</v>
      </c>
      <c r="H70" s="23" t="s">
        <v>294</v>
      </c>
      <c r="I70" s="19" t="s">
        <v>295</v>
      </c>
      <c r="J70" s="19"/>
      <c r="K70" s="23">
        <f t="shared" si="2"/>
        <v>2</v>
      </c>
      <c r="L70" s="24"/>
    </row>
    <row r="71" spans="1:12" ht="27.75" thickBot="1">
      <c r="A71" s="19">
        <v>59</v>
      </c>
      <c r="B71" s="20" t="s">
        <v>296</v>
      </c>
      <c r="C71" s="21" t="s">
        <v>297</v>
      </c>
      <c r="D71" s="19" t="s">
        <v>297</v>
      </c>
      <c r="E71" s="19" t="s">
        <v>297</v>
      </c>
      <c r="F71" s="19" t="s">
        <v>297</v>
      </c>
      <c r="G71" s="22" t="s">
        <v>297</v>
      </c>
      <c r="H71" s="23" t="s">
        <v>298</v>
      </c>
      <c r="I71" s="19" t="s">
        <v>299</v>
      </c>
      <c r="J71" s="19"/>
      <c r="K71" s="23">
        <f t="shared" si="2"/>
        <v>2</v>
      </c>
      <c r="L71" s="24"/>
    </row>
    <row r="72" spans="1:12" ht="27.75" thickBot="1">
      <c r="A72" s="19">
        <v>61</v>
      </c>
      <c r="B72" s="20" t="s">
        <v>303</v>
      </c>
      <c r="C72" s="21" t="s">
        <v>304</v>
      </c>
      <c r="D72" s="19" t="s">
        <v>304</v>
      </c>
      <c r="E72" s="19" t="s">
        <v>304</v>
      </c>
      <c r="F72" s="19" t="s">
        <v>304</v>
      </c>
      <c r="G72" s="22" t="s">
        <v>304</v>
      </c>
      <c r="H72" s="23" t="s">
        <v>305</v>
      </c>
      <c r="I72" s="19" t="s">
        <v>306</v>
      </c>
      <c r="J72" s="19"/>
      <c r="K72" s="23">
        <f t="shared" si="2"/>
        <v>2</v>
      </c>
      <c r="L72" s="24"/>
    </row>
    <row r="73" spans="1:12" ht="27.75" thickBot="1">
      <c r="A73" s="19">
        <v>62</v>
      </c>
      <c r="B73" s="20" t="s">
        <v>307</v>
      </c>
      <c r="C73" s="21" t="s">
        <v>307</v>
      </c>
      <c r="D73" s="19" t="s">
        <v>307</v>
      </c>
      <c r="E73" s="19" t="s">
        <v>307</v>
      </c>
      <c r="F73" s="19" t="s">
        <v>307</v>
      </c>
      <c r="G73" s="22" t="s">
        <v>307</v>
      </c>
      <c r="H73" s="23" t="s">
        <v>308</v>
      </c>
      <c r="I73" s="19" t="s">
        <v>309</v>
      </c>
      <c r="J73" s="19"/>
      <c r="K73" s="23">
        <f t="shared" si="2"/>
        <v>2</v>
      </c>
      <c r="L73" s="24"/>
    </row>
    <row r="74" spans="1:12" ht="27.75" thickBot="1">
      <c r="A74" s="19">
        <v>63</v>
      </c>
      <c r="B74" s="20" t="s">
        <v>310</v>
      </c>
      <c r="C74" s="21" t="s">
        <v>311</v>
      </c>
      <c r="D74" s="19" t="s">
        <v>311</v>
      </c>
      <c r="E74" s="19" t="s">
        <v>311</v>
      </c>
      <c r="F74" s="19" t="s">
        <v>311</v>
      </c>
      <c r="G74" s="22" t="s">
        <v>311</v>
      </c>
      <c r="H74" s="23" t="s">
        <v>312</v>
      </c>
      <c r="I74" s="19" t="s">
        <v>313</v>
      </c>
      <c r="J74" s="19"/>
      <c r="K74" s="23">
        <f t="shared" si="2"/>
        <v>2</v>
      </c>
      <c r="L74" s="24"/>
    </row>
    <row r="75" spans="1:12" ht="27.75" thickBot="1">
      <c r="A75" s="19">
        <v>64</v>
      </c>
      <c r="B75" s="20" t="s">
        <v>314</v>
      </c>
      <c r="C75" s="21" t="s">
        <v>314</v>
      </c>
      <c r="D75" s="19" t="s">
        <v>314</v>
      </c>
      <c r="E75" s="19" t="s">
        <v>314</v>
      </c>
      <c r="F75" s="19" t="s">
        <v>314</v>
      </c>
      <c r="G75" s="22" t="s">
        <v>315</v>
      </c>
      <c r="H75" s="23" t="s">
        <v>316</v>
      </c>
      <c r="I75" s="19" t="s">
        <v>317</v>
      </c>
      <c r="J75" s="19"/>
      <c r="K75" s="23">
        <f t="shared" si="2"/>
        <v>2</v>
      </c>
      <c r="L75" s="24"/>
    </row>
    <row r="76" spans="1:12" ht="27.75" thickBot="1">
      <c r="A76" s="19">
        <v>74</v>
      </c>
      <c r="B76" s="20" t="s">
        <v>364</v>
      </c>
      <c r="C76" s="21" t="s">
        <v>364</v>
      </c>
      <c r="D76" s="19" t="s">
        <v>364</v>
      </c>
      <c r="E76" s="19" t="s">
        <v>364</v>
      </c>
      <c r="F76" s="19" t="s">
        <v>364</v>
      </c>
      <c r="G76" s="22" t="s">
        <v>365</v>
      </c>
      <c r="H76" s="23" t="s">
        <v>366</v>
      </c>
      <c r="I76" s="19" t="s">
        <v>367</v>
      </c>
      <c r="J76" s="19"/>
      <c r="K76" s="23">
        <f t="shared" si="2"/>
        <v>2</v>
      </c>
      <c r="L76" s="24"/>
    </row>
    <row r="77" spans="1:12" ht="27.75" thickBot="1">
      <c r="A77" s="19">
        <v>76</v>
      </c>
      <c r="B77" s="20" t="s">
        <v>373</v>
      </c>
      <c r="C77" s="21" t="s">
        <v>373</v>
      </c>
      <c r="D77" s="19" t="s">
        <v>373</v>
      </c>
      <c r="E77" s="19" t="s">
        <v>373</v>
      </c>
      <c r="F77" s="19" t="s">
        <v>373</v>
      </c>
      <c r="G77" s="22" t="s">
        <v>373</v>
      </c>
      <c r="H77" s="23" t="s">
        <v>374</v>
      </c>
      <c r="I77" s="19" t="s">
        <v>375</v>
      </c>
      <c r="J77" s="19"/>
      <c r="K77" s="23">
        <f t="shared" si="2"/>
        <v>2</v>
      </c>
      <c r="L77" s="24"/>
    </row>
    <row r="78" spans="1:12" ht="27.75" thickBot="1">
      <c r="A78" s="19">
        <v>80</v>
      </c>
      <c r="B78" s="20" t="s">
        <v>390</v>
      </c>
      <c r="C78" s="21" t="s">
        <v>391</v>
      </c>
      <c r="D78" s="31" t="s">
        <v>391</v>
      </c>
      <c r="E78" s="31" t="s">
        <v>391</v>
      </c>
      <c r="F78" s="31" t="s">
        <v>391</v>
      </c>
      <c r="G78" s="31" t="s">
        <v>391</v>
      </c>
      <c r="H78" s="35" t="s">
        <v>392</v>
      </c>
      <c r="I78" s="34" t="s">
        <v>393</v>
      </c>
      <c r="J78" s="19"/>
      <c r="K78" s="23">
        <f t="shared" si="2"/>
        <v>2</v>
      </c>
      <c r="L78" s="24"/>
    </row>
    <row r="79" spans="1:12" ht="27.75" thickBot="1">
      <c r="A79" s="19">
        <v>81</v>
      </c>
      <c r="B79" s="20" t="s">
        <v>394</v>
      </c>
      <c r="C79" s="21" t="s">
        <v>395</v>
      </c>
      <c r="D79" s="19" t="s">
        <v>395</v>
      </c>
      <c r="E79" s="19" t="s">
        <v>395</v>
      </c>
      <c r="F79" s="19" t="s">
        <v>395</v>
      </c>
      <c r="G79" s="22" t="s">
        <v>395</v>
      </c>
      <c r="H79" s="23" t="s">
        <v>396</v>
      </c>
      <c r="I79" s="19" t="s">
        <v>397</v>
      </c>
      <c r="J79" s="19"/>
      <c r="K79" s="23">
        <f t="shared" si="2"/>
        <v>2</v>
      </c>
      <c r="L79" s="24"/>
    </row>
    <row r="80" spans="1:12" ht="27.75" thickBot="1">
      <c r="A80" s="19">
        <v>1</v>
      </c>
      <c r="B80" s="20" t="s">
        <v>22</v>
      </c>
      <c r="C80" s="21" t="s">
        <v>22</v>
      </c>
      <c r="D80" s="19" t="s">
        <v>22</v>
      </c>
      <c r="E80" s="19" t="s">
        <v>22</v>
      </c>
      <c r="F80" s="19" t="s">
        <v>22</v>
      </c>
      <c r="G80" s="22" t="s">
        <v>22</v>
      </c>
      <c r="H80" s="23" t="s">
        <v>23</v>
      </c>
      <c r="I80" s="19" t="s">
        <v>24</v>
      </c>
      <c r="J80" s="19"/>
      <c r="K80" s="23">
        <f t="shared" si="2"/>
        <v>1</v>
      </c>
      <c r="L80" s="24"/>
    </row>
    <row r="81" spans="1:12" ht="27.75" thickBot="1">
      <c r="A81" s="19">
        <v>16</v>
      </c>
      <c r="B81" s="20" t="s">
        <v>95</v>
      </c>
      <c r="C81" s="21" t="s">
        <v>95</v>
      </c>
      <c r="D81" s="19" t="s">
        <v>96</v>
      </c>
      <c r="E81" s="19" t="s">
        <v>95</v>
      </c>
      <c r="F81" s="19" t="s">
        <v>95</v>
      </c>
      <c r="G81" s="22">
        <v>0</v>
      </c>
      <c r="H81" s="23" t="s">
        <v>97</v>
      </c>
      <c r="I81" s="19" t="s">
        <v>98</v>
      </c>
      <c r="J81" s="19"/>
      <c r="K81" s="23">
        <f t="shared" si="2"/>
        <v>1</v>
      </c>
      <c r="L81" s="24"/>
    </row>
    <row r="82" spans="1:12" ht="27.75" thickBot="1">
      <c r="A82" s="19">
        <v>20</v>
      </c>
      <c r="B82" s="20" t="s">
        <v>113</v>
      </c>
      <c r="C82" s="21" t="s">
        <v>113</v>
      </c>
      <c r="D82" s="19" t="s">
        <v>113</v>
      </c>
      <c r="E82" s="19" t="s">
        <v>113</v>
      </c>
      <c r="F82" s="19" t="s">
        <v>113</v>
      </c>
      <c r="G82" s="22" t="s">
        <v>113</v>
      </c>
      <c r="H82" s="23" t="s">
        <v>114</v>
      </c>
      <c r="I82" s="19" t="s">
        <v>115</v>
      </c>
      <c r="J82" s="19"/>
      <c r="K82" s="23">
        <f t="shared" si="2"/>
        <v>1</v>
      </c>
      <c r="L82" s="24"/>
    </row>
    <row r="83" spans="1:12" ht="27.75" thickBot="1">
      <c r="A83" s="19">
        <v>50</v>
      </c>
      <c r="B83" s="20" t="s">
        <v>249</v>
      </c>
      <c r="C83" s="21" t="s">
        <v>250</v>
      </c>
      <c r="D83" s="19" t="s">
        <v>250</v>
      </c>
      <c r="E83" s="19" t="s">
        <v>251</v>
      </c>
      <c r="F83" s="19" t="s">
        <v>250</v>
      </c>
      <c r="G83" s="22" t="s">
        <v>250</v>
      </c>
      <c r="H83" s="23" t="s">
        <v>252</v>
      </c>
      <c r="I83" s="19" t="s">
        <v>253</v>
      </c>
      <c r="J83" s="19"/>
      <c r="K83" s="23">
        <f t="shared" si="2"/>
        <v>1</v>
      </c>
      <c r="L83" s="24"/>
    </row>
    <row r="84" spans="1:12" ht="27.75" thickBot="1">
      <c r="A84" s="19">
        <v>60</v>
      </c>
      <c r="B84" s="20" t="s">
        <v>300</v>
      </c>
      <c r="C84" s="21" t="s">
        <v>300</v>
      </c>
      <c r="D84" s="19" t="s">
        <v>300</v>
      </c>
      <c r="E84" s="19" t="s">
        <v>300</v>
      </c>
      <c r="F84" s="19" t="s">
        <v>300</v>
      </c>
      <c r="G84" s="22" t="s">
        <v>300</v>
      </c>
      <c r="H84" s="23" t="s">
        <v>301</v>
      </c>
      <c r="I84" s="19" t="s">
        <v>302</v>
      </c>
      <c r="J84" s="19"/>
      <c r="K84" s="23">
        <f t="shared" si="2"/>
        <v>1</v>
      </c>
      <c r="L84" s="24"/>
    </row>
    <row r="85" spans="1:12" ht="27.75" thickBot="1">
      <c r="A85" s="19">
        <v>79</v>
      </c>
      <c r="B85" s="20" t="s">
        <v>386</v>
      </c>
      <c r="C85" s="21" t="s">
        <v>387</v>
      </c>
      <c r="D85" s="19" t="s">
        <v>387</v>
      </c>
      <c r="E85" s="19" t="s">
        <v>387</v>
      </c>
      <c r="F85" s="19" t="s">
        <v>387</v>
      </c>
      <c r="G85" s="22" t="s">
        <v>387</v>
      </c>
      <c r="H85" s="23" t="s">
        <v>388</v>
      </c>
      <c r="I85" s="19" t="s">
        <v>389</v>
      </c>
      <c r="J85" s="19"/>
      <c r="K85" s="23">
        <f t="shared" si="2"/>
        <v>1</v>
      </c>
      <c r="L85" s="24"/>
    </row>
    <row r="86" spans="1:12" ht="17.25" thickBot="1"/>
    <row r="87" spans="1:12" ht="48.75" thickBot="1">
      <c r="B87" s="11" t="s">
        <v>402</v>
      </c>
      <c r="C87" s="11" t="s">
        <v>403</v>
      </c>
      <c r="D87" s="11" t="s">
        <v>403</v>
      </c>
    </row>
    <row r="88" spans="1:12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12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12" ht="17.25" thickBot="1"/>
    <row r="91" spans="1:12" ht="24.75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12" ht="24.75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12" ht="17.25" thickBot="1"/>
    <row r="94" spans="1:12" ht="24.75" thickBot="1">
      <c r="B94" s="11" t="s">
        <v>408</v>
      </c>
      <c r="C94" s="11" t="s">
        <v>409</v>
      </c>
    </row>
    <row r="95" spans="1:12" ht="24.75" thickBot="1">
      <c r="B95" s="11" t="s">
        <v>410</v>
      </c>
      <c r="C95" s="11" t="s">
        <v>411</v>
      </c>
    </row>
    <row r="97" spans="1:1" ht="21">
      <c r="A97" s="1" t="str">
        <f xml:space="preserve"> "(""" &amp; _xlfn.TEXTJOIN(""",""",TRUE,F4:F85) &amp; """)"</f>
        <v>("uainnh","iannh","niao","niuh","nuai","nah","nai","ennh","nia","iang","iaoh","nioo","iong","niu","niuh","nua","uang","uaih","nui","na","ang","aih","aoh","ne","ni","ing","iah","iam","ian","iap","iat","iak","iao","ioh","iok","noo","ooh","ong","uah","uan","uat","uai","ueh","uih","ngh","ah","am","an","ap","at","ak","ai","ao","eh","ih","im","in","ip","it","ik","ia","io","iu","oo","oh","om","op","ok","uh","un","ut","ua","ue","ui","mh","ng","a","e","i","o","u","m")</v>
      </c>
    </row>
  </sheetData>
  <sortState xmlns:xlrd2="http://schemas.microsoft.com/office/spreadsheetml/2017/richdata2" ref="A4:K85">
    <sortCondition descending="1" ref="K4:K85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0F78-8639-4D67-AE59-1AEE7777B37C}">
  <dimension ref="A1:AU97"/>
  <sheetViews>
    <sheetView showGridLines="0" workbookViewId="0">
      <pane ySplit="3" topLeftCell="A15" activePane="bottomLeft" state="frozen"/>
      <selection pane="bottomLeft" activeCell="G4" sqref="G4:G85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3.75" style="3" bestFit="1" customWidth="1"/>
    <col min="17" max="17" width="9" style="5" customWidth="1" outlineLevel="1"/>
    <col min="18" max="18" width="9.25" style="5" customWidth="1" outlineLevel="1"/>
    <col min="19" max="19" width="16.75" style="3" customWidth="1"/>
    <col min="20" max="20" width="4.5" style="2" customWidth="1"/>
    <col min="21" max="21" width="51.75" style="6" customWidth="1"/>
    <col min="22" max="22" width="9" style="2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16384" width="9" style="2"/>
  </cols>
  <sheetData>
    <row r="1" spans="1:47" ht="46.5" customHeight="1">
      <c r="A1" s="1"/>
      <c r="C1" s="1"/>
      <c r="D1" s="1"/>
      <c r="H1" s="1"/>
      <c r="I1" s="1"/>
      <c r="J1" s="1"/>
      <c r="K1" s="1"/>
      <c r="Q1" s="4"/>
    </row>
    <row r="2" spans="1:47" ht="27" thickBot="1">
      <c r="A2" s="9" t="s">
        <v>0</v>
      </c>
      <c r="C2" s="1"/>
      <c r="D2" s="1"/>
      <c r="H2" s="1"/>
      <c r="I2" s="1"/>
      <c r="J2" s="1"/>
      <c r="K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54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 t="shared" ref="M3:M34" si="0">E3</f>
        <v>台語注音二式</v>
      </c>
      <c r="N3" s="11" t="str">
        <f t="shared" ref="N3:N34" si="1">I3</f>
        <v>方音符號</v>
      </c>
      <c r="P3" s="11" t="s">
        <v>3</v>
      </c>
      <c r="Q3" s="14" t="s">
        <v>12</v>
      </c>
      <c r="R3" s="15" t="s">
        <v>13</v>
      </c>
      <c r="S3" s="11" t="s">
        <v>4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8"/>
    </row>
    <row r="4" spans="1:47" ht="27.75" thickBot="1">
      <c r="A4" s="19">
        <v>1</v>
      </c>
      <c r="B4" s="20" t="s">
        <v>22</v>
      </c>
      <c r="C4" s="21" t="s">
        <v>22</v>
      </c>
      <c r="D4" s="19" t="s">
        <v>22</v>
      </c>
      <c r="E4" s="19" t="s">
        <v>22</v>
      </c>
      <c r="F4" s="19" t="s">
        <v>22</v>
      </c>
      <c r="G4" s="22" t="s">
        <v>22</v>
      </c>
      <c r="H4" s="23" t="s">
        <v>23</v>
      </c>
      <c r="I4" s="19" t="s">
        <v>24</v>
      </c>
      <c r="J4" s="19"/>
      <c r="K4" s="23">
        <f xml:space="preserve"> LEN(C4)</f>
        <v>1</v>
      </c>
      <c r="L4" s="24"/>
      <c r="M4" s="19" t="str">
        <f t="shared" si="0"/>
        <v>a</v>
      </c>
      <c r="N4" s="19" t="str">
        <f t="shared" si="1"/>
        <v>ㄚ</v>
      </c>
      <c r="P4" s="3" t="str">
        <f xml:space="preserve"> _xlfn.CONCAT(M4, "(\d)")</f>
        <v>a(\d)</v>
      </c>
      <c r="Q4" s="5" t="s">
        <v>25</v>
      </c>
      <c r="R4" s="5">
        <f xml:space="preserve"> IFERROR( IF(Q4="", "", SEARCH(Q4, $M4)), "")</f>
        <v>1</v>
      </c>
      <c r="S4" s="3" t="str">
        <f xml:space="preserve"> IFERROR( _xlfn.CONCAT(LEFT(M4,R4-1), "》", MID(M4,R4,1), "${1}", RIGHT(M4, LEN(M4)-R4)), "" )</f>
        <v>》a${1}</v>
      </c>
      <c r="T4" s="25"/>
      <c r="U4" s="26" t="str">
        <f xml:space="preserve"> IF(AND(N4&lt;&gt;"", M4&lt;&gt;""), "    - xform/》" &amp; P4 &amp;  "/"  &amp; S4 &amp;  "/", "")</f>
        <v xml:space="preserve">    - xform/》a(\d)/》a${1}/</v>
      </c>
      <c r="W4" s="7" t="s">
        <v>25</v>
      </c>
      <c r="X4" s="27" t="str">
        <f xml:space="preserve"> _xlfn.CONCAT($W4, IF(X$3="", "", _xlfn.UNICHAR( HEX2DEC( RIGHT(X$3,4)))))</f>
        <v>a</v>
      </c>
      <c r="Y4" s="27" t="str">
        <f t="shared" ref="Y4:AG4" si="2" xml:space="preserve"> _xlfn.CONCAT($W4, IF(Y$3="", "", _xlfn.UNICHAR( HEX2DEC( RIGHT(Y$3,4)))))</f>
        <v>á</v>
      </c>
      <c r="Z4" s="27" t="str">
        <f t="shared" si="2"/>
        <v>à</v>
      </c>
      <c r="AA4" s="27" t="str">
        <f t="shared" si="2"/>
        <v>a</v>
      </c>
      <c r="AB4" s="27" t="str">
        <f t="shared" si="2"/>
        <v>ǎ</v>
      </c>
      <c r="AC4" s="27" t="str">
        <f t="shared" si="2"/>
        <v>á</v>
      </c>
      <c r="AD4" s="27" t="str">
        <f t="shared" si="2"/>
        <v>ā</v>
      </c>
      <c r="AE4" s="27" t="str">
        <f t="shared" si="2"/>
        <v>a̍</v>
      </c>
      <c r="AF4" s="27" t="str">
        <f t="shared" si="2"/>
        <v>a̋</v>
      </c>
      <c r="AG4" s="27" t="str">
        <f t="shared" si="2"/>
        <v>å</v>
      </c>
      <c r="AI4" s="28" t="str">
        <f xml:space="preserve"> _xlfn.CONCAT("    - xform/》", $W4, X$2, "/", X4, "/")</f>
        <v xml:space="preserve">    - xform/》a1/a/</v>
      </c>
      <c r="AJ4" s="28" t="str">
        <f xml:space="preserve"> _xlfn.CONCAT("    - xform/》", $W4, Y$2, "/", Y4, "/")</f>
        <v xml:space="preserve">    - xform/》a2/á/</v>
      </c>
      <c r="AK4" s="28" t="str">
        <f t="shared" ref="AK4:AP10" si="3" xml:space="preserve"> _xlfn.CONCAT("    - xform/》", $W4, Z$2, "/", Z4, "/")</f>
        <v xml:space="preserve">    - xform/》a3/à/</v>
      </c>
      <c r="AL4" s="28" t="str">
        <f t="shared" si="3"/>
        <v xml:space="preserve">    - xform/》a4/a/</v>
      </c>
      <c r="AM4" s="28" t="str">
        <f t="shared" si="3"/>
        <v xml:space="preserve">    - xform/》a5/ǎ/</v>
      </c>
      <c r="AN4" s="28" t="str">
        <f t="shared" si="3"/>
        <v xml:space="preserve">    - xform/》a6/á/</v>
      </c>
      <c r="AO4" s="28" t="str">
        <f t="shared" si="3"/>
        <v xml:space="preserve">    - xform/》a7/ā/</v>
      </c>
      <c r="AP4" s="28" t="str">
        <f xml:space="preserve"> _xlfn.CONCAT("    - xform/》", $W4, AE$2, "/", AE4, "/")</f>
        <v xml:space="preserve">    - xform/》a8/a̍/</v>
      </c>
      <c r="AQ4" s="28" t="str">
        <f t="shared" ref="AQ4:AR10" si="4" xml:space="preserve"> _xlfn.CONCAT("    - xform/》", $W4, AF$2, "/", AF4, "/")</f>
        <v xml:space="preserve">    - xform/》a9/a̋/</v>
      </c>
      <c r="AR4" s="28" t="str">
        <f t="shared" si="4"/>
        <v xml:space="preserve">    - xform/》a9/å/</v>
      </c>
      <c r="AS4" s="27"/>
      <c r="AT4" s="27"/>
      <c r="AU4" s="7"/>
    </row>
    <row r="5" spans="1:47" ht="27.75" thickBot="1">
      <c r="A5" s="19">
        <v>2</v>
      </c>
      <c r="B5" s="20" t="s">
        <v>26</v>
      </c>
      <c r="C5" s="21" t="s">
        <v>27</v>
      </c>
      <c r="D5" s="19" t="s">
        <v>27</v>
      </c>
      <c r="E5" s="19" t="s">
        <v>27</v>
      </c>
      <c r="F5" s="19" t="s">
        <v>28</v>
      </c>
      <c r="G5" s="22" t="s">
        <v>29</v>
      </c>
      <c r="H5" s="23" t="s">
        <v>30</v>
      </c>
      <c r="I5" s="19" t="s">
        <v>31</v>
      </c>
      <c r="J5" s="29" t="s">
        <v>32</v>
      </c>
      <c r="K5" s="23">
        <f xml:space="preserve"> LEN(C5)</f>
        <v>3</v>
      </c>
      <c r="L5" s="24"/>
      <c r="M5" s="19" t="str">
        <f t="shared" si="0"/>
        <v>ann</v>
      </c>
      <c r="N5" s="19" t="str">
        <f t="shared" si="1"/>
        <v>ㆩ</v>
      </c>
      <c r="P5" s="3" t="str">
        <f t="shared" ref="P5:P68" si="5" xml:space="preserve"> _xlfn.CONCAT(M5, "(\d)")</f>
        <v>ann(\d)</v>
      </c>
      <c r="Q5" s="30" t="s">
        <v>25</v>
      </c>
      <c r="R5" s="5">
        <f t="shared" ref="R5:R68" si="6" xml:space="preserve"> IFERROR( IF(Q5="", "", SEARCH(Q5, $M5)), "")</f>
        <v>1</v>
      </c>
      <c r="S5" s="3" t="str">
        <f xml:space="preserve"> IFERROR( _xlfn.CONCAT(LEFT(M5,R5-1), "》", MID(M5,R5,1), "${1}", RIGHT(M5, LEN(M5)-R5)), "" )</f>
        <v>》a${1}nn</v>
      </c>
      <c r="T5" s="25"/>
      <c r="U5" s="26" t="str">
        <f t="shared" ref="U5:U68" si="7" xml:space="preserve"> IF(AND(N5&lt;&gt;"", M5&lt;&gt;""), "    - xform/》" &amp; P5 &amp;  "/"  &amp; S5 &amp;  "/", "")</f>
        <v xml:space="preserve">    - xform/》ann(\d)/》a${1}nn/</v>
      </c>
      <c r="W5" s="7" t="s">
        <v>33</v>
      </c>
      <c r="X5" s="27" t="str">
        <f t="shared" ref="X5:AG10" si="8" xml:space="preserve"> _xlfn.CONCAT($W5, IF(X$3="", "", _xlfn.UNICHAR( HEX2DEC( RIGHT(X$3,4)))))</f>
        <v>i</v>
      </c>
      <c r="Y5" s="27" t="str">
        <f t="shared" si="8"/>
        <v>í</v>
      </c>
      <c r="Z5" s="27" t="str">
        <f t="shared" si="8"/>
        <v>ì</v>
      </c>
      <c r="AA5" s="27" t="str">
        <f t="shared" si="8"/>
        <v>i</v>
      </c>
      <c r="AB5" s="27" t="str">
        <f t="shared" si="8"/>
        <v>ǐ</v>
      </c>
      <c r="AC5" s="27" t="str">
        <f t="shared" si="8"/>
        <v>í</v>
      </c>
      <c r="AD5" s="27" t="str">
        <f t="shared" si="8"/>
        <v>ī</v>
      </c>
      <c r="AE5" s="27" t="str">
        <f t="shared" si="8"/>
        <v>i̍</v>
      </c>
      <c r="AF5" s="27" t="str">
        <f t="shared" si="8"/>
        <v>i̋</v>
      </c>
      <c r="AG5" s="27" t="str">
        <f t="shared" si="8"/>
        <v>i̊</v>
      </c>
      <c r="AI5" s="28" t="str">
        <f t="shared" ref="AI5:AJ10" si="9" xml:space="preserve"> _xlfn.CONCAT("    - xform/》", $W5, X$2, "/", X5, "/")</f>
        <v xml:space="preserve">    - xform/》i1/i/</v>
      </c>
      <c r="AJ5" s="28" t="str">
        <f t="shared" si="9"/>
        <v xml:space="preserve">    - xform/》i2/í/</v>
      </c>
      <c r="AK5" s="28" t="str">
        <f t="shared" si="3"/>
        <v xml:space="preserve">    - xform/》i3/ì/</v>
      </c>
      <c r="AL5" s="28" t="str">
        <f t="shared" si="3"/>
        <v xml:space="preserve">    - xform/》i4/i/</v>
      </c>
      <c r="AM5" s="28" t="str">
        <f t="shared" si="3"/>
        <v xml:space="preserve">    - xform/》i5/ǐ/</v>
      </c>
      <c r="AN5" s="28" t="str">
        <f t="shared" si="3"/>
        <v xml:space="preserve">    - xform/》i6/í/</v>
      </c>
      <c r="AO5" s="28" t="str">
        <f t="shared" si="3"/>
        <v xml:space="preserve">    - xform/》i7/ī/</v>
      </c>
      <c r="AP5" s="28" t="str">
        <f t="shared" si="3"/>
        <v xml:space="preserve">    - xform/》i8/i̍/</v>
      </c>
      <c r="AQ5" s="28" t="str">
        <f t="shared" si="4"/>
        <v xml:space="preserve">    - xform/》i9/i̋/</v>
      </c>
      <c r="AR5" s="28" t="str">
        <f t="shared" si="4"/>
        <v xml:space="preserve">    - xform/》i9/i̊/</v>
      </c>
      <c r="AS5" s="27"/>
      <c r="AT5" s="27"/>
      <c r="AU5" s="7"/>
    </row>
    <row r="6" spans="1:47" ht="27.75" thickBot="1">
      <c r="A6" s="19">
        <v>3</v>
      </c>
      <c r="B6" s="20" t="s">
        <v>34</v>
      </c>
      <c r="C6" s="21" t="s">
        <v>35</v>
      </c>
      <c r="D6" s="19" t="s">
        <v>35</v>
      </c>
      <c r="E6" s="19" t="s">
        <v>35</v>
      </c>
      <c r="F6" s="19" t="s">
        <v>35</v>
      </c>
      <c r="G6" s="22" t="s">
        <v>35</v>
      </c>
      <c r="H6" s="23" t="s">
        <v>36</v>
      </c>
      <c r="I6" s="19" t="s">
        <v>37</v>
      </c>
      <c r="J6" s="19"/>
      <c r="K6" s="23">
        <f xml:space="preserve"> LEN(C6)</f>
        <v>2</v>
      </c>
      <c r="L6" s="24"/>
      <c r="M6" s="19" t="str">
        <f t="shared" si="0"/>
        <v>ah</v>
      </c>
      <c r="N6" s="19" t="str">
        <f t="shared" si="1"/>
        <v>ㄚㆷ</v>
      </c>
      <c r="P6" s="3" t="str">
        <f t="shared" si="5"/>
        <v>ah(\d)</v>
      </c>
      <c r="Q6" s="5" t="s">
        <v>25</v>
      </c>
      <c r="R6" s="5">
        <f t="shared" si="6"/>
        <v>1</v>
      </c>
      <c r="S6" s="3" t="str">
        <f t="shared" ref="S6:S69" si="10" xml:space="preserve"> IFERROR( _xlfn.CONCAT(LEFT(M6,R6-1), "》", MID(M6,R6,1), "${1}", RIGHT(M6, LEN(M6)-R6)), "" )</f>
        <v>》a${1}h</v>
      </c>
      <c r="T6" s="25"/>
      <c r="U6" s="26" t="str">
        <f t="shared" si="7"/>
        <v xml:space="preserve">    - xform/》ah(\d)/》a${1}h/</v>
      </c>
      <c r="W6" s="7" t="s">
        <v>38</v>
      </c>
      <c r="X6" s="27" t="str">
        <f t="shared" si="8"/>
        <v>u</v>
      </c>
      <c r="Y6" s="27" t="str">
        <f t="shared" si="8"/>
        <v>ú</v>
      </c>
      <c r="Z6" s="27" t="str">
        <f t="shared" si="8"/>
        <v>ù</v>
      </c>
      <c r="AA6" s="27" t="str">
        <f t="shared" si="8"/>
        <v>u</v>
      </c>
      <c r="AB6" s="27" t="str">
        <f t="shared" si="8"/>
        <v>ǔ</v>
      </c>
      <c r="AC6" s="27" t="str">
        <f t="shared" si="8"/>
        <v>ú</v>
      </c>
      <c r="AD6" s="27" t="str">
        <f t="shared" si="8"/>
        <v>ū</v>
      </c>
      <c r="AE6" s="27" t="str">
        <f t="shared" si="8"/>
        <v>u̍</v>
      </c>
      <c r="AF6" s="27" t="str">
        <f t="shared" si="8"/>
        <v>ű</v>
      </c>
      <c r="AG6" s="27" t="str">
        <f t="shared" si="8"/>
        <v>ů</v>
      </c>
      <c r="AI6" s="28" t="str">
        <f t="shared" si="9"/>
        <v xml:space="preserve">    - xform/》u1/u/</v>
      </c>
      <c r="AJ6" s="28" t="str">
        <f t="shared" si="9"/>
        <v xml:space="preserve">    - xform/》u2/ú/</v>
      </c>
      <c r="AK6" s="28" t="str">
        <f t="shared" si="3"/>
        <v xml:space="preserve">    - xform/》u3/ù/</v>
      </c>
      <c r="AL6" s="28" t="str">
        <f t="shared" si="3"/>
        <v xml:space="preserve">    - xform/》u4/u/</v>
      </c>
      <c r="AM6" s="28" t="str">
        <f t="shared" si="3"/>
        <v xml:space="preserve">    - xform/》u5/ǔ/</v>
      </c>
      <c r="AN6" s="28" t="str">
        <f t="shared" si="3"/>
        <v xml:space="preserve">    - xform/》u6/ú/</v>
      </c>
      <c r="AO6" s="28" t="str">
        <f t="shared" si="3"/>
        <v xml:space="preserve">    - xform/》u7/ū/</v>
      </c>
      <c r="AP6" s="28" t="str">
        <f t="shared" si="3"/>
        <v xml:space="preserve">    - xform/》u8/u̍/</v>
      </c>
      <c r="AQ6" s="28" t="str">
        <f t="shared" si="4"/>
        <v xml:space="preserve">    - xform/》u9/ű/</v>
      </c>
      <c r="AR6" s="28" t="str">
        <f t="shared" si="4"/>
        <v xml:space="preserve">    - xform/》u9/ů/</v>
      </c>
      <c r="AS6" s="27"/>
      <c r="AT6" s="27"/>
      <c r="AU6" s="7"/>
    </row>
    <row r="7" spans="1:47" ht="27.75" thickBot="1">
      <c r="A7" s="19">
        <v>4</v>
      </c>
      <c r="B7" s="20" t="s">
        <v>39</v>
      </c>
      <c r="C7" s="21" t="s">
        <v>40</v>
      </c>
      <c r="D7" s="19" t="s">
        <v>41</v>
      </c>
      <c r="E7" s="19" t="s">
        <v>40</v>
      </c>
      <c r="F7" s="31" t="s">
        <v>42</v>
      </c>
      <c r="G7" s="22" t="s">
        <v>43</v>
      </c>
      <c r="H7" s="23" t="s">
        <v>44</v>
      </c>
      <c r="I7" s="19" t="s">
        <v>45</v>
      </c>
      <c r="J7" s="29" t="s">
        <v>32</v>
      </c>
      <c r="K7" s="23">
        <f xml:space="preserve"> LEN(C7)</f>
        <v>4</v>
      </c>
      <c r="L7" s="24"/>
      <c r="M7" s="19" t="str">
        <f t="shared" si="0"/>
        <v>annh</v>
      </c>
      <c r="N7" s="19" t="str">
        <f t="shared" si="1"/>
        <v>ㆩㆷ</v>
      </c>
      <c r="P7" s="3" t="str">
        <f t="shared" si="5"/>
        <v>annh(\d)</v>
      </c>
      <c r="Q7" s="5" t="s">
        <v>25</v>
      </c>
      <c r="R7" s="5">
        <f t="shared" si="6"/>
        <v>1</v>
      </c>
      <c r="S7" s="3" t="str">
        <f t="shared" si="10"/>
        <v>》a${1}nnh</v>
      </c>
      <c r="T7" s="25"/>
      <c r="U7" s="26" t="str">
        <f t="shared" si="7"/>
        <v xml:space="preserve">    - xform/》annh(\d)/》a${1}nnh/</v>
      </c>
      <c r="W7" s="7" t="s">
        <v>46</v>
      </c>
      <c r="X7" s="27" t="str">
        <f t="shared" si="8"/>
        <v>e</v>
      </c>
      <c r="Y7" s="27" t="str">
        <f t="shared" si="8"/>
        <v>é</v>
      </c>
      <c r="Z7" s="27" t="str">
        <f t="shared" si="8"/>
        <v>è</v>
      </c>
      <c r="AA7" s="27" t="str">
        <f t="shared" si="8"/>
        <v>e</v>
      </c>
      <c r="AB7" s="27" t="str">
        <f t="shared" si="8"/>
        <v>ě</v>
      </c>
      <c r="AC7" s="27" t="str">
        <f t="shared" si="8"/>
        <v>é</v>
      </c>
      <c r="AD7" s="27" t="str">
        <f t="shared" si="8"/>
        <v>ē</v>
      </c>
      <c r="AE7" s="27" t="str">
        <f t="shared" si="8"/>
        <v>e̍</v>
      </c>
      <c r="AF7" s="27" t="str">
        <f t="shared" si="8"/>
        <v>e̋</v>
      </c>
      <c r="AG7" s="27" t="str">
        <f t="shared" si="8"/>
        <v>e̊</v>
      </c>
      <c r="AI7" s="28" t="str">
        <f t="shared" si="9"/>
        <v xml:space="preserve">    - xform/》e1/e/</v>
      </c>
      <c r="AJ7" s="28" t="str">
        <f t="shared" si="9"/>
        <v xml:space="preserve">    - xform/》e2/é/</v>
      </c>
      <c r="AK7" s="28" t="str">
        <f t="shared" si="3"/>
        <v xml:space="preserve">    - xform/》e3/è/</v>
      </c>
      <c r="AL7" s="28" t="str">
        <f t="shared" si="3"/>
        <v xml:space="preserve">    - xform/》e4/e/</v>
      </c>
      <c r="AM7" s="28" t="str">
        <f t="shared" si="3"/>
        <v xml:space="preserve">    - xform/》e5/ě/</v>
      </c>
      <c r="AN7" s="28" t="str">
        <f t="shared" si="3"/>
        <v xml:space="preserve">    - xform/》e6/é/</v>
      </c>
      <c r="AO7" s="28" t="str">
        <f t="shared" si="3"/>
        <v xml:space="preserve">    - xform/》e7/ē/</v>
      </c>
      <c r="AP7" s="28" t="str">
        <f t="shared" si="3"/>
        <v xml:space="preserve">    - xform/》e8/e̍/</v>
      </c>
      <c r="AQ7" s="28" t="str">
        <f t="shared" si="4"/>
        <v xml:space="preserve">    - xform/》e9/e̋/</v>
      </c>
      <c r="AR7" s="28" t="str">
        <f t="shared" si="4"/>
        <v xml:space="preserve">    - xform/》e9/e̊/</v>
      </c>
      <c r="AS7" s="27"/>
      <c r="AT7" s="27"/>
      <c r="AU7" s="7"/>
    </row>
    <row r="8" spans="1:47" ht="27.75" thickBot="1">
      <c r="A8" s="19">
        <v>5</v>
      </c>
      <c r="B8" s="20" t="s">
        <v>47</v>
      </c>
      <c r="C8" s="21" t="s">
        <v>47</v>
      </c>
      <c r="D8" s="19" t="s">
        <v>47</v>
      </c>
      <c r="E8" s="19" t="s">
        <v>47</v>
      </c>
      <c r="F8" s="19" t="s">
        <v>47</v>
      </c>
      <c r="G8" s="22" t="s">
        <v>47</v>
      </c>
      <c r="H8" s="23" t="s">
        <v>48</v>
      </c>
      <c r="I8" s="19" t="s">
        <v>49</v>
      </c>
      <c r="J8" s="19"/>
      <c r="K8" s="23">
        <f xml:space="preserve"> LEN(C8)</f>
        <v>2</v>
      </c>
      <c r="L8" s="24"/>
      <c r="M8" s="19" t="str">
        <f t="shared" si="0"/>
        <v>am</v>
      </c>
      <c r="N8" s="19" t="str">
        <f t="shared" si="1"/>
        <v>ㆰ</v>
      </c>
      <c r="P8" s="3" t="str">
        <f t="shared" si="5"/>
        <v>am(\d)</v>
      </c>
      <c r="Q8" s="5" t="s">
        <v>25</v>
      </c>
      <c r="R8" s="5">
        <f t="shared" si="6"/>
        <v>1</v>
      </c>
      <c r="S8" s="3" t="str">
        <f t="shared" si="10"/>
        <v>》a${1}m</v>
      </c>
      <c r="T8" s="25"/>
      <c r="U8" s="26" t="str">
        <f t="shared" si="7"/>
        <v xml:space="preserve">    - xform/》am(\d)/》a${1}m/</v>
      </c>
      <c r="W8" s="7" t="s">
        <v>50</v>
      </c>
      <c r="X8" s="27" t="str">
        <f t="shared" si="8"/>
        <v>o</v>
      </c>
      <c r="Y8" s="27" t="str">
        <f t="shared" si="8"/>
        <v>ó</v>
      </c>
      <c r="Z8" s="27" t="str">
        <f t="shared" si="8"/>
        <v>ò</v>
      </c>
      <c r="AA8" s="27" t="str">
        <f t="shared" si="8"/>
        <v>o</v>
      </c>
      <c r="AB8" s="27" t="str">
        <f t="shared" si="8"/>
        <v>ǒ</v>
      </c>
      <c r="AC8" s="27" t="str">
        <f t="shared" si="8"/>
        <v>ó</v>
      </c>
      <c r="AD8" s="27" t="str">
        <f t="shared" si="8"/>
        <v>ō</v>
      </c>
      <c r="AE8" s="27" t="str">
        <f t="shared" si="8"/>
        <v>o̍</v>
      </c>
      <c r="AF8" s="27" t="str">
        <f t="shared" si="8"/>
        <v>ő</v>
      </c>
      <c r="AG8" s="27" t="str">
        <f t="shared" si="8"/>
        <v>o̊</v>
      </c>
      <c r="AI8" s="28" t="str">
        <f t="shared" si="9"/>
        <v xml:space="preserve">    - xform/》o1/o/</v>
      </c>
      <c r="AJ8" s="28" t="str">
        <f t="shared" si="9"/>
        <v xml:space="preserve">    - xform/》o2/ó/</v>
      </c>
      <c r="AK8" s="28" t="str">
        <f t="shared" si="3"/>
        <v xml:space="preserve">    - xform/》o3/ò/</v>
      </c>
      <c r="AL8" s="28" t="str">
        <f t="shared" si="3"/>
        <v xml:space="preserve">    - xform/》o4/o/</v>
      </c>
      <c r="AM8" s="28" t="str">
        <f t="shared" si="3"/>
        <v xml:space="preserve">    - xform/》o5/ǒ/</v>
      </c>
      <c r="AN8" s="28" t="str">
        <f t="shared" si="3"/>
        <v xml:space="preserve">    - xform/》o6/ó/</v>
      </c>
      <c r="AO8" s="28" t="str">
        <f t="shared" si="3"/>
        <v xml:space="preserve">    - xform/》o7/ō/</v>
      </c>
      <c r="AP8" s="28" t="str">
        <f t="shared" si="3"/>
        <v xml:space="preserve">    - xform/》o8/o̍/</v>
      </c>
      <c r="AQ8" s="28" t="str">
        <f t="shared" si="4"/>
        <v xml:space="preserve">    - xform/》o9/ő/</v>
      </c>
      <c r="AR8" s="28" t="str">
        <f t="shared" si="4"/>
        <v xml:space="preserve">    - xform/》o9/o̊/</v>
      </c>
      <c r="AS8" s="27"/>
      <c r="AT8" s="27"/>
      <c r="AU8" s="7"/>
    </row>
    <row r="9" spans="1:47" ht="27.75" thickBot="1">
      <c r="A9" s="19">
        <v>6</v>
      </c>
      <c r="B9" s="20" t="s">
        <v>51</v>
      </c>
      <c r="C9" s="21" t="s">
        <v>51</v>
      </c>
      <c r="D9" s="19" t="s">
        <v>51</v>
      </c>
      <c r="E9" s="19" t="s">
        <v>51</v>
      </c>
      <c r="F9" s="19" t="s">
        <v>51</v>
      </c>
      <c r="G9" s="22" t="s">
        <v>51</v>
      </c>
      <c r="H9" s="23" t="s">
        <v>52</v>
      </c>
      <c r="I9" s="19" t="s">
        <v>53</v>
      </c>
      <c r="J9" s="19"/>
      <c r="K9" s="23">
        <f xml:space="preserve"> LEN(C9)</f>
        <v>2</v>
      </c>
      <c r="L9" s="24"/>
      <c r="M9" s="19" t="str">
        <f t="shared" si="0"/>
        <v>an</v>
      </c>
      <c r="N9" s="19" t="str">
        <f t="shared" si="1"/>
        <v>ㄢ</v>
      </c>
      <c r="P9" s="3" t="str">
        <f t="shared" si="5"/>
        <v>an(\d)</v>
      </c>
      <c r="Q9" s="5" t="s">
        <v>25</v>
      </c>
      <c r="R9" s="5">
        <f t="shared" si="6"/>
        <v>1</v>
      </c>
      <c r="S9" s="3" t="str">
        <f t="shared" si="10"/>
        <v>》a${1}n</v>
      </c>
      <c r="T9" s="25"/>
      <c r="U9" s="26" t="str">
        <f t="shared" si="7"/>
        <v xml:space="preserve">    - xform/》an(\d)/》a${1}n/</v>
      </c>
      <c r="W9" s="7" t="s">
        <v>54</v>
      </c>
      <c r="X9" s="27" t="str">
        <f t="shared" si="8"/>
        <v>m</v>
      </c>
      <c r="Y9" s="27" t="str">
        <f t="shared" si="8"/>
        <v>ḿ</v>
      </c>
      <c r="Z9" s="27" t="str">
        <f t="shared" si="8"/>
        <v>m̀</v>
      </c>
      <c r="AA9" s="27" t="str">
        <f t="shared" si="8"/>
        <v>m</v>
      </c>
      <c r="AB9" s="27" t="str">
        <f t="shared" si="8"/>
        <v>m̌</v>
      </c>
      <c r="AC9" s="27" t="str">
        <f t="shared" si="8"/>
        <v>ḿ</v>
      </c>
      <c r="AD9" s="27" t="str">
        <f t="shared" si="8"/>
        <v>m̄</v>
      </c>
      <c r="AE9" s="27" t="str">
        <f t="shared" si="8"/>
        <v>m̍</v>
      </c>
      <c r="AF9" s="27" t="str">
        <f t="shared" si="8"/>
        <v>m̋</v>
      </c>
      <c r="AG9" s="27" t="str">
        <f t="shared" si="8"/>
        <v>m̊</v>
      </c>
      <c r="AI9" s="28" t="str">
        <f t="shared" si="9"/>
        <v xml:space="preserve">    - xform/》m1/m/</v>
      </c>
      <c r="AJ9" s="28" t="str">
        <f t="shared" si="9"/>
        <v xml:space="preserve">    - xform/》m2/ḿ/</v>
      </c>
      <c r="AK9" s="28" t="str">
        <f t="shared" si="3"/>
        <v xml:space="preserve">    - xform/》m3/m̀/</v>
      </c>
      <c r="AL9" s="28" t="str">
        <f t="shared" si="3"/>
        <v xml:space="preserve">    - xform/》m4/m/</v>
      </c>
      <c r="AM9" s="28" t="str">
        <f t="shared" si="3"/>
        <v xml:space="preserve">    - xform/》m5/m̌/</v>
      </c>
      <c r="AN9" s="28" t="str">
        <f t="shared" si="3"/>
        <v xml:space="preserve">    - xform/》m6/ḿ/</v>
      </c>
      <c r="AO9" s="28" t="str">
        <f t="shared" si="3"/>
        <v xml:space="preserve">    - xform/》m7/m̄/</v>
      </c>
      <c r="AP9" s="28" t="str">
        <f t="shared" si="3"/>
        <v xml:space="preserve">    - xform/》m8/m̍/</v>
      </c>
      <c r="AQ9" s="28" t="str">
        <f t="shared" si="4"/>
        <v xml:space="preserve">    - xform/》m9/m̋/</v>
      </c>
      <c r="AR9" s="28" t="str">
        <f t="shared" si="4"/>
        <v xml:space="preserve">    - xform/》m9/m̊/</v>
      </c>
      <c r="AS9" s="27"/>
      <c r="AT9" s="27"/>
      <c r="AU9" s="7"/>
    </row>
    <row r="10" spans="1:47" ht="27.75" thickBot="1">
      <c r="A10" s="19">
        <v>7</v>
      </c>
      <c r="B10" s="20" t="s">
        <v>55</v>
      </c>
      <c r="C10" s="21" t="s">
        <v>56</v>
      </c>
      <c r="D10" s="19" t="s">
        <v>56</v>
      </c>
      <c r="E10" s="19" t="s">
        <v>56</v>
      </c>
      <c r="F10" s="19" t="s">
        <v>56</v>
      </c>
      <c r="G10" s="22" t="s">
        <v>56</v>
      </c>
      <c r="H10" s="23" t="s">
        <v>57</v>
      </c>
      <c r="I10" s="19" t="s">
        <v>58</v>
      </c>
      <c r="J10" s="19"/>
      <c r="K10" s="23">
        <f xml:space="preserve"> LEN(C10)</f>
        <v>3</v>
      </c>
      <c r="L10" s="24"/>
      <c r="M10" s="19" t="str">
        <f t="shared" si="0"/>
        <v>ang</v>
      </c>
      <c r="N10" s="19" t="str">
        <f t="shared" si="1"/>
        <v>ㄤ</v>
      </c>
      <c r="P10" s="3" t="str">
        <f t="shared" si="5"/>
        <v>ang(\d)</v>
      </c>
      <c r="Q10" s="5" t="s">
        <v>25</v>
      </c>
      <c r="R10" s="5">
        <f t="shared" si="6"/>
        <v>1</v>
      </c>
      <c r="S10" s="3" t="str">
        <f t="shared" si="10"/>
        <v>》a${1}ng</v>
      </c>
      <c r="T10" s="25"/>
      <c r="U10" s="26" t="str">
        <f t="shared" si="7"/>
        <v xml:space="preserve">    - xform/》ang(\d)/》a${1}ng/</v>
      </c>
      <c r="W10" s="7" t="s">
        <v>59</v>
      </c>
      <c r="X10" s="27" t="str">
        <f t="shared" si="8"/>
        <v>n</v>
      </c>
      <c r="Y10" s="27" t="str">
        <f t="shared" si="8"/>
        <v>ń</v>
      </c>
      <c r="Z10" s="27" t="str">
        <f t="shared" si="8"/>
        <v>ǹ</v>
      </c>
      <c r="AA10" s="27" t="str">
        <f t="shared" si="8"/>
        <v>n</v>
      </c>
      <c r="AB10" s="27" t="str">
        <f t="shared" si="8"/>
        <v>ň</v>
      </c>
      <c r="AC10" s="27" t="str">
        <f t="shared" si="8"/>
        <v>ń</v>
      </c>
      <c r="AD10" s="27" t="str">
        <f t="shared" si="8"/>
        <v>n̄</v>
      </c>
      <c r="AE10" s="27" t="str">
        <f t="shared" si="8"/>
        <v>n̍</v>
      </c>
      <c r="AF10" s="27" t="str">
        <f t="shared" si="8"/>
        <v>n̋</v>
      </c>
      <c r="AG10" s="27" t="str">
        <f t="shared" si="8"/>
        <v>n̊</v>
      </c>
      <c r="AI10" s="28" t="str">
        <f t="shared" si="9"/>
        <v xml:space="preserve">    - xform/》n1/n/</v>
      </c>
      <c r="AJ10" s="28" t="str">
        <f t="shared" si="9"/>
        <v xml:space="preserve">    - xform/》n2/ń/</v>
      </c>
      <c r="AK10" s="28" t="str">
        <f t="shared" si="3"/>
        <v xml:space="preserve">    - xform/》n3/ǹ/</v>
      </c>
      <c r="AL10" s="28" t="str">
        <f t="shared" si="3"/>
        <v xml:space="preserve">    - xform/》n4/n/</v>
      </c>
      <c r="AM10" s="28" t="str">
        <f t="shared" si="3"/>
        <v xml:space="preserve">    - xform/》n5/ň/</v>
      </c>
      <c r="AN10" s="28" t="str">
        <f t="shared" si="3"/>
        <v xml:space="preserve">    - xform/》n6/ń/</v>
      </c>
      <c r="AO10" s="28" t="str">
        <f t="shared" si="3"/>
        <v xml:space="preserve">    - xform/》n7/n̄/</v>
      </c>
      <c r="AP10" s="28" t="str">
        <f t="shared" si="3"/>
        <v xml:space="preserve">    - xform/》n8/n̍/</v>
      </c>
      <c r="AQ10" s="28" t="str">
        <f t="shared" si="4"/>
        <v xml:space="preserve">    - xform/》n9/n̋/</v>
      </c>
      <c r="AR10" s="28" t="str">
        <f t="shared" si="4"/>
        <v xml:space="preserve">    - xform/》n9/n̊/</v>
      </c>
      <c r="AS10" s="27"/>
      <c r="AT10" s="27"/>
      <c r="AU10" s="7"/>
    </row>
    <row r="11" spans="1:47" ht="27.75" thickBot="1">
      <c r="A11" s="19">
        <v>8</v>
      </c>
      <c r="B11" s="20" t="s">
        <v>60</v>
      </c>
      <c r="C11" s="21" t="s">
        <v>61</v>
      </c>
      <c r="D11" s="19" t="s">
        <v>61</v>
      </c>
      <c r="E11" s="19" t="s">
        <v>61</v>
      </c>
      <c r="F11" s="19" t="s">
        <v>61</v>
      </c>
      <c r="G11" s="22" t="s">
        <v>61</v>
      </c>
      <c r="H11" s="23" t="s">
        <v>62</v>
      </c>
      <c r="I11" s="19" t="s">
        <v>63</v>
      </c>
      <c r="J11" s="19"/>
      <c r="K11" s="23">
        <f xml:space="preserve"> LEN(C11)</f>
        <v>2</v>
      </c>
      <c r="L11" s="24"/>
      <c r="M11" s="19" t="str">
        <f t="shared" si="0"/>
        <v>ap</v>
      </c>
      <c r="N11" s="19" t="str">
        <f t="shared" si="1"/>
        <v>ㄚㆴ</v>
      </c>
      <c r="P11" s="3" t="str">
        <f t="shared" si="5"/>
        <v>ap(\d)</v>
      </c>
      <c r="Q11" s="5" t="s">
        <v>25</v>
      </c>
      <c r="R11" s="5">
        <f t="shared" si="6"/>
        <v>1</v>
      </c>
      <c r="S11" s="3" t="str">
        <f t="shared" si="10"/>
        <v>》a${1}p</v>
      </c>
      <c r="T11" s="25"/>
      <c r="U11" s="26" t="str">
        <f t="shared" si="7"/>
        <v xml:space="preserve">    - xform/》ap(\d)/》a${1}p/</v>
      </c>
    </row>
    <row r="12" spans="1:47" ht="27.75" thickBot="1">
      <c r="A12" s="19">
        <v>9</v>
      </c>
      <c r="B12" s="20" t="s">
        <v>64</v>
      </c>
      <c r="C12" s="21" t="s">
        <v>65</v>
      </c>
      <c r="D12" s="19" t="s">
        <v>65</v>
      </c>
      <c r="E12" s="19" t="s">
        <v>65</v>
      </c>
      <c r="F12" s="19" t="s">
        <v>65</v>
      </c>
      <c r="G12" s="22" t="s">
        <v>65</v>
      </c>
      <c r="H12" s="23" t="s">
        <v>66</v>
      </c>
      <c r="I12" s="19" t="s">
        <v>67</v>
      </c>
      <c r="J12" s="19"/>
      <c r="K12" s="23">
        <f xml:space="preserve"> LEN(C12)</f>
        <v>2</v>
      </c>
      <c r="L12" s="24"/>
      <c r="M12" s="19" t="str">
        <f t="shared" si="0"/>
        <v>at</v>
      </c>
      <c r="N12" s="19" t="str">
        <f t="shared" si="1"/>
        <v>ㄚㆵ</v>
      </c>
      <c r="P12" s="3" t="str">
        <f t="shared" si="5"/>
        <v>at(\d)</v>
      </c>
      <c r="Q12" s="5" t="s">
        <v>50</v>
      </c>
      <c r="R12" s="5" t="str">
        <f t="shared" si="6"/>
        <v/>
      </c>
      <c r="S12" s="3" t="str">
        <f t="shared" si="10"/>
        <v/>
      </c>
      <c r="T12" s="25"/>
      <c r="U12" s="26" t="str">
        <f t="shared" si="7"/>
        <v xml:space="preserve">    - xform/》at(\d)//</v>
      </c>
    </row>
    <row r="13" spans="1:47" ht="27.75" thickBot="1">
      <c r="A13" s="19">
        <v>10</v>
      </c>
      <c r="B13" s="20" t="s">
        <v>68</v>
      </c>
      <c r="C13" s="21" t="s">
        <v>69</v>
      </c>
      <c r="D13" s="19" t="s">
        <v>69</v>
      </c>
      <c r="E13" s="19" t="s">
        <v>69</v>
      </c>
      <c r="F13" s="19" t="s">
        <v>69</v>
      </c>
      <c r="G13" s="22" t="s">
        <v>69</v>
      </c>
      <c r="H13" s="23" t="s">
        <v>70</v>
      </c>
      <c r="I13" s="19" t="s">
        <v>71</v>
      </c>
      <c r="J13" s="19"/>
      <c r="K13" s="23">
        <f xml:space="preserve"> LEN(C13)</f>
        <v>2</v>
      </c>
      <c r="L13" s="24"/>
      <c r="M13" s="19" t="str">
        <f t="shared" si="0"/>
        <v>ak</v>
      </c>
      <c r="N13" s="19" t="str">
        <f t="shared" si="1"/>
        <v>ㄚㆻ</v>
      </c>
      <c r="P13" s="3" t="str">
        <f t="shared" si="5"/>
        <v>ak(\d)</v>
      </c>
      <c r="Q13" s="5" t="s">
        <v>46</v>
      </c>
      <c r="R13" s="5" t="str">
        <f t="shared" si="6"/>
        <v/>
      </c>
      <c r="S13" s="3" t="str">
        <f t="shared" si="10"/>
        <v/>
      </c>
      <c r="T13" s="25"/>
      <c r="U13" s="26" t="str">
        <f t="shared" si="7"/>
        <v xml:space="preserve">    - xform/》ak(\d)//</v>
      </c>
    </row>
    <row r="14" spans="1:47" ht="27.75" thickBot="1">
      <c r="A14" s="19">
        <v>11</v>
      </c>
      <c r="B14" s="20" t="s">
        <v>72</v>
      </c>
      <c r="C14" s="21" t="s">
        <v>73</v>
      </c>
      <c r="D14" s="19" t="s">
        <v>73</v>
      </c>
      <c r="E14" s="19" t="s">
        <v>73</v>
      </c>
      <c r="F14" s="19" t="s">
        <v>73</v>
      </c>
      <c r="G14" s="22" t="s">
        <v>73</v>
      </c>
      <c r="H14" s="23" t="s">
        <v>74</v>
      </c>
      <c r="I14" s="19" t="s">
        <v>75</v>
      </c>
      <c r="J14" s="19"/>
      <c r="K14" s="23">
        <f xml:space="preserve"> LEN(C14)</f>
        <v>2</v>
      </c>
      <c r="L14" s="24"/>
      <c r="M14" s="19" t="str">
        <f t="shared" si="0"/>
        <v>ai</v>
      </c>
      <c r="N14" s="19" t="str">
        <f t="shared" si="1"/>
        <v>ㄞ</v>
      </c>
      <c r="P14" s="3" t="str">
        <f t="shared" si="5"/>
        <v>ai(\d)</v>
      </c>
      <c r="Q14" s="5" t="s">
        <v>50</v>
      </c>
      <c r="R14" s="5" t="str">
        <f t="shared" si="6"/>
        <v/>
      </c>
      <c r="S14" s="3" t="str">
        <f t="shared" si="10"/>
        <v/>
      </c>
      <c r="T14" s="25"/>
      <c r="U14" s="26" t="str">
        <f t="shared" si="7"/>
        <v xml:space="preserve">    - xform/》ai(\d)//</v>
      </c>
    </row>
    <row r="15" spans="1:47" ht="27.75" thickBot="1">
      <c r="A15" s="19">
        <v>12</v>
      </c>
      <c r="B15" s="20" t="s">
        <v>76</v>
      </c>
      <c r="C15" s="21" t="s">
        <v>77</v>
      </c>
      <c r="D15" s="19" t="s">
        <v>77</v>
      </c>
      <c r="E15" s="19" t="s">
        <v>77</v>
      </c>
      <c r="F15" s="19" t="s">
        <v>78</v>
      </c>
      <c r="G15" s="22" t="s">
        <v>79</v>
      </c>
      <c r="H15" s="23" t="s">
        <v>80</v>
      </c>
      <c r="I15" s="19" t="s">
        <v>81</v>
      </c>
      <c r="J15" s="29" t="s">
        <v>32</v>
      </c>
      <c r="K15" s="23">
        <f xml:space="preserve"> LEN(C15)</f>
        <v>4</v>
      </c>
      <c r="L15" s="24"/>
      <c r="M15" s="19" t="str">
        <f t="shared" si="0"/>
        <v>ainn</v>
      </c>
      <c r="N15" s="19" t="str">
        <f t="shared" si="1"/>
        <v>ㆮ</v>
      </c>
      <c r="P15" s="3" t="str">
        <f t="shared" si="5"/>
        <v>ainn(\d)</v>
      </c>
      <c r="Q15" s="5" t="s">
        <v>25</v>
      </c>
      <c r="R15" s="5">
        <f t="shared" si="6"/>
        <v>1</v>
      </c>
      <c r="S15" s="3" t="str">
        <f t="shared" si="10"/>
        <v>》a${1}inn</v>
      </c>
      <c r="T15" s="25"/>
      <c r="U15" s="26" t="str">
        <f t="shared" si="7"/>
        <v xml:space="preserve">    - xform/》ainn(\d)/》a${1}inn/</v>
      </c>
    </row>
    <row r="16" spans="1:47" ht="30.75" thickBot="1">
      <c r="A16" s="19">
        <v>13</v>
      </c>
      <c r="B16" s="20" t="s">
        <v>82</v>
      </c>
      <c r="C16" s="21" t="s">
        <v>83</v>
      </c>
      <c r="D16" s="31" t="s">
        <v>83</v>
      </c>
      <c r="E16" s="31" t="s">
        <v>83</v>
      </c>
      <c r="F16" s="31" t="s">
        <v>83</v>
      </c>
      <c r="G16" s="31" t="s">
        <v>83</v>
      </c>
      <c r="H16" s="32" t="s">
        <v>84</v>
      </c>
      <c r="I16" s="33" t="s">
        <v>85</v>
      </c>
      <c r="J16" s="19"/>
      <c r="K16" s="23">
        <f xml:space="preserve"> LEN(C16)</f>
        <v>3</v>
      </c>
      <c r="L16" s="24"/>
      <c r="M16" s="19" t="str">
        <f t="shared" si="0"/>
        <v>aih</v>
      </c>
      <c r="N16" s="19" t="str">
        <f t="shared" si="1"/>
        <v>ㄞㆷ</v>
      </c>
      <c r="P16" s="3" t="str">
        <f t="shared" si="5"/>
        <v>aih(\d)</v>
      </c>
      <c r="Q16" s="5" t="s">
        <v>25</v>
      </c>
      <c r="R16" s="5">
        <f t="shared" si="6"/>
        <v>1</v>
      </c>
      <c r="S16" s="3" t="str">
        <f t="shared" si="10"/>
        <v>》a${1}ih</v>
      </c>
      <c r="T16" s="25"/>
      <c r="U16" s="26" t="str">
        <f t="shared" si="7"/>
        <v xml:space="preserve">    - xform/》aih(\d)/》a${1}ih/</v>
      </c>
    </row>
    <row r="17" spans="1:21" ht="27.75" thickBot="1">
      <c r="A17" s="19">
        <v>14</v>
      </c>
      <c r="B17" s="20" t="s">
        <v>86</v>
      </c>
      <c r="C17" s="21" t="s">
        <v>86</v>
      </c>
      <c r="D17" s="19" t="s">
        <v>86</v>
      </c>
      <c r="E17" s="19" t="s">
        <v>86</v>
      </c>
      <c r="F17" s="19" t="s">
        <v>87</v>
      </c>
      <c r="G17" s="22" t="s">
        <v>86</v>
      </c>
      <c r="H17" s="23" t="s">
        <v>88</v>
      </c>
      <c r="I17" s="19" t="s">
        <v>89</v>
      </c>
      <c r="J17" s="19"/>
      <c r="K17" s="23">
        <f xml:space="preserve"> LEN(C17)</f>
        <v>2</v>
      </c>
      <c r="L17" s="24"/>
      <c r="M17" s="19" t="str">
        <f t="shared" si="0"/>
        <v>au</v>
      </c>
      <c r="N17" s="19" t="str">
        <f t="shared" si="1"/>
        <v>ㄠ</v>
      </c>
      <c r="P17" s="3" t="str">
        <f t="shared" si="5"/>
        <v>au(\d)</v>
      </c>
      <c r="Q17" s="5" t="s">
        <v>25</v>
      </c>
      <c r="R17" s="5">
        <f t="shared" si="6"/>
        <v>1</v>
      </c>
      <c r="S17" s="3" t="str">
        <f t="shared" si="10"/>
        <v>》a${1}u</v>
      </c>
      <c r="T17" s="25"/>
      <c r="U17" s="26" t="str">
        <f t="shared" si="7"/>
        <v xml:space="preserve">    - xform/》au(\d)/》a${1}u/</v>
      </c>
    </row>
    <row r="18" spans="1:21" ht="27.75" thickBot="1">
      <c r="A18" s="19">
        <v>15</v>
      </c>
      <c r="B18" s="20" t="s">
        <v>90</v>
      </c>
      <c r="C18" s="21" t="s">
        <v>91</v>
      </c>
      <c r="D18" s="19" t="s">
        <v>91</v>
      </c>
      <c r="E18" s="19" t="s">
        <v>91</v>
      </c>
      <c r="F18" s="19" t="s">
        <v>92</v>
      </c>
      <c r="G18" s="22" t="s">
        <v>91</v>
      </c>
      <c r="H18" s="23" t="s">
        <v>93</v>
      </c>
      <c r="I18" s="19" t="s">
        <v>94</v>
      </c>
      <c r="J18" s="19"/>
      <c r="K18" s="23">
        <f xml:space="preserve"> LEN(C18)</f>
        <v>3</v>
      </c>
      <c r="L18" s="24"/>
      <c r="M18" s="19" t="str">
        <f t="shared" si="0"/>
        <v>auh</v>
      </c>
      <c r="N18" s="19" t="str">
        <f t="shared" si="1"/>
        <v>ㄠㆷ</v>
      </c>
      <c r="P18" s="3" t="str">
        <f t="shared" si="5"/>
        <v>auh(\d)</v>
      </c>
      <c r="Q18" s="5" t="s">
        <v>25</v>
      </c>
      <c r="R18" s="5">
        <f t="shared" si="6"/>
        <v>1</v>
      </c>
      <c r="S18" s="3" t="str">
        <f t="shared" si="10"/>
        <v>》a${1}uh</v>
      </c>
      <c r="T18" s="25"/>
      <c r="U18" s="26" t="str">
        <f t="shared" si="7"/>
        <v xml:space="preserve">    - xform/》auh(\d)/》a${1}uh/</v>
      </c>
    </row>
    <row r="19" spans="1:21" ht="27.75" thickBot="1">
      <c r="A19" s="19">
        <v>16</v>
      </c>
      <c r="B19" s="20" t="s">
        <v>95</v>
      </c>
      <c r="C19" s="21" t="s">
        <v>95</v>
      </c>
      <c r="D19" s="19" t="s">
        <v>96</v>
      </c>
      <c r="E19" s="19" t="s">
        <v>95</v>
      </c>
      <c r="F19" s="19" t="s">
        <v>95</v>
      </c>
      <c r="G19" s="22">
        <v>0</v>
      </c>
      <c r="H19" s="23" t="s">
        <v>97</v>
      </c>
      <c r="I19" s="19" t="s">
        <v>98</v>
      </c>
      <c r="J19" s="19"/>
      <c r="K19" s="23">
        <f xml:space="preserve"> LEN(C19)</f>
        <v>1</v>
      </c>
      <c r="L19" s="24"/>
      <c r="M19" s="19" t="str">
        <f t="shared" si="0"/>
        <v>e</v>
      </c>
      <c r="N19" s="19" t="str">
        <f t="shared" si="1"/>
        <v>ㆤ</v>
      </c>
      <c r="P19" s="3" t="str">
        <f t="shared" si="5"/>
        <v>e(\d)</v>
      </c>
      <c r="Q19" s="5" t="s">
        <v>33</v>
      </c>
      <c r="R19" s="5" t="str">
        <f t="shared" si="6"/>
        <v/>
      </c>
      <c r="S19" s="3" t="str">
        <f t="shared" si="10"/>
        <v/>
      </c>
      <c r="T19" s="25"/>
      <c r="U19" s="26" t="str">
        <f t="shared" si="7"/>
        <v xml:space="preserve">    - xform/》e(\d)//</v>
      </c>
    </row>
    <row r="20" spans="1:21" ht="27.75" thickBot="1">
      <c r="A20" s="19">
        <v>17</v>
      </c>
      <c r="B20" s="20" t="s">
        <v>99</v>
      </c>
      <c r="C20" s="21" t="s">
        <v>100</v>
      </c>
      <c r="D20" s="19" t="s">
        <v>100</v>
      </c>
      <c r="E20" s="19" t="s">
        <v>100</v>
      </c>
      <c r="F20" s="19" t="s">
        <v>101</v>
      </c>
      <c r="G20" s="22" t="s">
        <v>102</v>
      </c>
      <c r="H20" s="23" t="s">
        <v>103</v>
      </c>
      <c r="I20" s="19" t="s">
        <v>104</v>
      </c>
      <c r="J20" s="29" t="s">
        <v>32</v>
      </c>
      <c r="K20" s="23">
        <f xml:space="preserve"> LEN(C20)</f>
        <v>3</v>
      </c>
      <c r="L20" s="24"/>
      <c r="M20" s="19" t="str">
        <f t="shared" si="0"/>
        <v>enn</v>
      </c>
      <c r="N20" s="19" t="str">
        <f t="shared" si="1"/>
        <v>ㆥ</v>
      </c>
      <c r="P20" s="3" t="str">
        <f t="shared" si="5"/>
        <v>enn(\d)</v>
      </c>
      <c r="Q20" s="5" t="s">
        <v>33</v>
      </c>
      <c r="R20" s="5" t="str">
        <f t="shared" si="6"/>
        <v/>
      </c>
      <c r="S20" s="3" t="str">
        <f t="shared" si="10"/>
        <v/>
      </c>
      <c r="T20" s="25"/>
      <c r="U20" s="26" t="str">
        <f t="shared" si="7"/>
        <v xml:space="preserve">    - xform/》enn(\d)//</v>
      </c>
    </row>
    <row r="21" spans="1:21" ht="27.75" thickBot="1">
      <c r="A21" s="19">
        <v>18</v>
      </c>
      <c r="B21" s="20" t="s">
        <v>105</v>
      </c>
      <c r="C21" s="21" t="s">
        <v>106</v>
      </c>
      <c r="D21" s="19" t="s">
        <v>106</v>
      </c>
      <c r="E21" s="19" t="s">
        <v>106</v>
      </c>
      <c r="F21" s="19" t="s">
        <v>106</v>
      </c>
      <c r="G21" s="22" t="s">
        <v>106</v>
      </c>
      <c r="H21" s="23" t="s">
        <v>107</v>
      </c>
      <c r="I21" s="19" t="s">
        <v>108</v>
      </c>
      <c r="J21" s="19"/>
      <c r="K21" s="23">
        <f xml:space="preserve"> LEN(C21)</f>
        <v>2</v>
      </c>
      <c r="L21" s="24"/>
      <c r="M21" s="19" t="str">
        <f t="shared" si="0"/>
        <v>eh</v>
      </c>
      <c r="N21" s="19" t="str">
        <f t="shared" si="1"/>
        <v>ㆤㆷ</v>
      </c>
      <c r="P21" s="3" t="str">
        <f t="shared" si="5"/>
        <v>eh(\d)</v>
      </c>
      <c r="Q21" s="5" t="s">
        <v>25</v>
      </c>
      <c r="R21" s="5" t="str">
        <f t="shared" si="6"/>
        <v/>
      </c>
      <c r="S21" s="3" t="str">
        <f t="shared" si="10"/>
        <v/>
      </c>
      <c r="T21" s="25"/>
      <c r="U21" s="26" t="str">
        <f t="shared" si="7"/>
        <v xml:space="preserve">    - xform/》eh(\d)//</v>
      </c>
    </row>
    <row r="22" spans="1:21" ht="30.75" thickBot="1">
      <c r="A22" s="19">
        <v>19</v>
      </c>
      <c r="B22" s="20" t="s">
        <v>109</v>
      </c>
      <c r="C22" s="21" t="s">
        <v>110</v>
      </c>
      <c r="D22" s="31" t="s">
        <v>110</v>
      </c>
      <c r="E22" s="31" t="s">
        <v>110</v>
      </c>
      <c r="F22" s="31" t="s">
        <v>110</v>
      </c>
      <c r="G22" s="31" t="s">
        <v>110</v>
      </c>
      <c r="H22" s="32" t="s">
        <v>111</v>
      </c>
      <c r="I22" s="34" t="s">
        <v>112</v>
      </c>
      <c r="J22" s="29" t="s">
        <v>32</v>
      </c>
      <c r="K22" s="23">
        <f xml:space="preserve"> LEN(C22)</f>
        <v>4</v>
      </c>
      <c r="L22" s="24"/>
      <c r="M22" s="19" t="str">
        <f t="shared" si="0"/>
        <v>ennh</v>
      </c>
      <c r="N22" s="19" t="str">
        <f t="shared" si="1"/>
        <v>ㆥㆷ</v>
      </c>
      <c r="P22" s="3" t="str">
        <f t="shared" si="5"/>
        <v>ennh(\d)</v>
      </c>
      <c r="Q22" s="5" t="s">
        <v>33</v>
      </c>
      <c r="R22" s="5" t="str">
        <f t="shared" si="6"/>
        <v/>
      </c>
      <c r="S22" s="3" t="str">
        <f t="shared" si="10"/>
        <v/>
      </c>
      <c r="T22" s="25"/>
      <c r="U22" s="26" t="str">
        <f t="shared" si="7"/>
        <v xml:space="preserve">    - xform/》ennh(\d)//</v>
      </c>
    </row>
    <row r="23" spans="1:21" ht="27.75" thickBot="1">
      <c r="A23" s="19">
        <v>20</v>
      </c>
      <c r="B23" s="20" t="s">
        <v>113</v>
      </c>
      <c r="C23" s="21" t="s">
        <v>113</v>
      </c>
      <c r="D23" s="19" t="s">
        <v>113</v>
      </c>
      <c r="E23" s="19" t="s">
        <v>113</v>
      </c>
      <c r="F23" s="19" t="s">
        <v>113</v>
      </c>
      <c r="G23" s="22" t="s">
        <v>113</v>
      </c>
      <c r="H23" s="23" t="s">
        <v>114</v>
      </c>
      <c r="I23" s="19" t="s">
        <v>115</v>
      </c>
      <c r="J23" s="19"/>
      <c r="K23" s="23">
        <f xml:space="preserve"> LEN(C23)</f>
        <v>1</v>
      </c>
      <c r="L23" s="24"/>
      <c r="M23" s="19" t="str">
        <f t="shared" si="0"/>
        <v>i</v>
      </c>
      <c r="N23" s="19" t="str">
        <f t="shared" si="1"/>
        <v>ㄧ</v>
      </c>
      <c r="P23" s="3" t="str">
        <f t="shared" si="5"/>
        <v>i(\d)</v>
      </c>
      <c r="Q23" s="5" t="s">
        <v>50</v>
      </c>
      <c r="R23" s="5" t="str">
        <f t="shared" si="6"/>
        <v/>
      </c>
      <c r="S23" s="3" t="str">
        <f t="shared" si="10"/>
        <v/>
      </c>
      <c r="T23" s="25"/>
      <c r="U23" s="26" t="str">
        <f t="shared" si="7"/>
        <v xml:space="preserve">    - xform/》i(\d)//</v>
      </c>
    </row>
    <row r="24" spans="1:21" ht="27.75" thickBot="1">
      <c r="A24" s="19">
        <v>21</v>
      </c>
      <c r="B24" s="20" t="s">
        <v>116</v>
      </c>
      <c r="C24" s="21" t="s">
        <v>117</v>
      </c>
      <c r="D24" s="19" t="s">
        <v>117</v>
      </c>
      <c r="E24" s="19" t="s">
        <v>117</v>
      </c>
      <c r="F24" s="19" t="s">
        <v>118</v>
      </c>
      <c r="G24" s="22" t="s">
        <v>119</v>
      </c>
      <c r="H24" s="23" t="s">
        <v>120</v>
      </c>
      <c r="I24" s="19" t="s">
        <v>121</v>
      </c>
      <c r="J24" s="29" t="s">
        <v>32</v>
      </c>
      <c r="K24" s="23">
        <f xml:space="preserve"> LEN(C24)</f>
        <v>3</v>
      </c>
      <c r="L24" s="24"/>
      <c r="M24" s="19" t="str">
        <f t="shared" si="0"/>
        <v>inn</v>
      </c>
      <c r="N24" s="19" t="str">
        <f t="shared" si="1"/>
        <v>ㆪ</v>
      </c>
      <c r="P24" s="3" t="str">
        <f t="shared" si="5"/>
        <v>inn(\d)</v>
      </c>
      <c r="Q24" s="5" t="s">
        <v>50</v>
      </c>
      <c r="R24" s="5" t="str">
        <f t="shared" si="6"/>
        <v/>
      </c>
      <c r="S24" s="3" t="str">
        <f t="shared" si="10"/>
        <v/>
      </c>
      <c r="T24" s="25"/>
      <c r="U24" s="26" t="str">
        <f t="shared" si="7"/>
        <v xml:space="preserve">    - xform/》inn(\d)//</v>
      </c>
    </row>
    <row r="25" spans="1:21" ht="27.75" thickBot="1">
      <c r="A25" s="19">
        <v>22</v>
      </c>
      <c r="B25" s="20" t="s">
        <v>122</v>
      </c>
      <c r="C25" s="21" t="s">
        <v>123</v>
      </c>
      <c r="D25" s="19" t="s">
        <v>123</v>
      </c>
      <c r="E25" s="19" t="s">
        <v>123</v>
      </c>
      <c r="F25" s="19" t="s">
        <v>123</v>
      </c>
      <c r="G25" s="22" t="s">
        <v>123</v>
      </c>
      <c r="H25" s="23" t="s">
        <v>124</v>
      </c>
      <c r="I25" s="19" t="s">
        <v>125</v>
      </c>
      <c r="J25" s="19"/>
      <c r="K25" s="23">
        <f xml:space="preserve"> LEN(C25)</f>
        <v>2</v>
      </c>
      <c r="L25" s="24"/>
      <c r="M25" s="19" t="str">
        <f t="shared" si="0"/>
        <v>ih</v>
      </c>
      <c r="N25" s="19" t="str">
        <f t="shared" si="1"/>
        <v>ㄧㆷ</v>
      </c>
      <c r="P25" s="3" t="str">
        <f t="shared" si="5"/>
        <v>ih(\d)</v>
      </c>
      <c r="Q25" s="5" t="s">
        <v>25</v>
      </c>
      <c r="R25" s="5" t="str">
        <f t="shared" si="6"/>
        <v/>
      </c>
      <c r="S25" s="3" t="str">
        <f t="shared" si="10"/>
        <v/>
      </c>
      <c r="T25" s="25"/>
      <c r="U25" s="26" t="str">
        <f t="shared" si="7"/>
        <v xml:space="preserve">    - xform/》ih(\d)//</v>
      </c>
    </row>
    <row r="26" spans="1:21" ht="27.75" thickBot="1">
      <c r="A26" s="19">
        <v>23</v>
      </c>
      <c r="B26" s="20" t="s">
        <v>126</v>
      </c>
      <c r="C26" s="21" t="s">
        <v>126</v>
      </c>
      <c r="D26" s="19" t="s">
        <v>126</v>
      </c>
      <c r="E26" s="19" t="s">
        <v>126</v>
      </c>
      <c r="F26" s="19" t="s">
        <v>126</v>
      </c>
      <c r="G26" s="22" t="s">
        <v>126</v>
      </c>
      <c r="H26" s="23" t="s">
        <v>127</v>
      </c>
      <c r="I26" s="19" t="s">
        <v>128</v>
      </c>
      <c r="J26" s="19"/>
      <c r="K26" s="23">
        <f xml:space="preserve"> LEN(C26)</f>
        <v>2</v>
      </c>
      <c r="L26" s="24"/>
      <c r="M26" s="19" t="str">
        <f t="shared" si="0"/>
        <v>im</v>
      </c>
      <c r="N26" s="19" t="str">
        <f t="shared" si="1"/>
        <v>ㄧㆬ</v>
      </c>
      <c r="P26" s="3" t="str">
        <f t="shared" si="5"/>
        <v>im(\d)</v>
      </c>
      <c r="Q26" s="5" t="s">
        <v>46</v>
      </c>
      <c r="R26" s="5" t="str">
        <f t="shared" si="6"/>
        <v/>
      </c>
      <c r="S26" s="3" t="str">
        <f t="shared" si="10"/>
        <v/>
      </c>
      <c r="T26" s="25"/>
      <c r="U26" s="26" t="str">
        <f t="shared" si="7"/>
        <v xml:space="preserve">    - xform/》im(\d)//</v>
      </c>
    </row>
    <row r="27" spans="1:21" ht="27.75" thickBot="1">
      <c r="A27" s="19">
        <v>24</v>
      </c>
      <c r="B27" s="20" t="s">
        <v>129</v>
      </c>
      <c r="C27" s="21" t="s">
        <v>129</v>
      </c>
      <c r="D27" s="19" t="s">
        <v>129</v>
      </c>
      <c r="E27" s="19" t="s">
        <v>129</v>
      </c>
      <c r="F27" s="19" t="s">
        <v>129</v>
      </c>
      <c r="G27" s="22" t="s">
        <v>129</v>
      </c>
      <c r="H27" s="23" t="s">
        <v>130</v>
      </c>
      <c r="I27" s="19" t="s">
        <v>131</v>
      </c>
      <c r="J27" s="19"/>
      <c r="K27" s="23">
        <f xml:space="preserve"> LEN(C27)</f>
        <v>2</v>
      </c>
      <c r="L27" s="24"/>
      <c r="M27" s="19" t="str">
        <f t="shared" si="0"/>
        <v>in</v>
      </c>
      <c r="N27" s="19" t="str">
        <f t="shared" si="1"/>
        <v>ㄧㄣ</v>
      </c>
      <c r="P27" s="3" t="str">
        <f t="shared" si="5"/>
        <v>in(\d)</v>
      </c>
      <c r="Q27" s="5" t="s">
        <v>25</v>
      </c>
      <c r="R27" s="5" t="str">
        <f t="shared" si="6"/>
        <v/>
      </c>
      <c r="S27" s="3" t="str">
        <f t="shared" si="10"/>
        <v/>
      </c>
      <c r="T27" s="25"/>
      <c r="U27" s="26" t="str">
        <f t="shared" si="7"/>
        <v xml:space="preserve">    - xform/》in(\d)//</v>
      </c>
    </row>
    <row r="28" spans="1:21" ht="27.75" thickBot="1">
      <c r="A28" s="19">
        <v>25</v>
      </c>
      <c r="B28" s="20" t="s">
        <v>132</v>
      </c>
      <c r="C28" s="21" t="s">
        <v>133</v>
      </c>
      <c r="D28" s="19" t="s">
        <v>133</v>
      </c>
      <c r="E28" s="19" t="s">
        <v>133</v>
      </c>
      <c r="F28" s="19" t="s">
        <v>133</v>
      </c>
      <c r="G28" s="22" t="s">
        <v>134</v>
      </c>
      <c r="H28" s="23" t="s">
        <v>135</v>
      </c>
      <c r="I28" s="19" t="s">
        <v>136</v>
      </c>
      <c r="J28" s="19"/>
      <c r="K28" s="23">
        <f xml:space="preserve"> LEN(C28)</f>
        <v>3</v>
      </c>
      <c r="L28" s="24"/>
      <c r="M28" s="19" t="str">
        <f t="shared" si="0"/>
        <v>ing</v>
      </c>
      <c r="N28" s="19" t="str">
        <f t="shared" si="1"/>
        <v>ㄧㄥ</v>
      </c>
      <c r="P28" s="3" t="str">
        <f t="shared" si="5"/>
        <v>ing(\d)</v>
      </c>
      <c r="Q28" s="5" t="s">
        <v>25</v>
      </c>
      <c r="R28" s="5" t="str">
        <f t="shared" si="6"/>
        <v/>
      </c>
      <c r="S28" s="3" t="str">
        <f t="shared" si="10"/>
        <v/>
      </c>
      <c r="T28" s="25"/>
      <c r="U28" s="26" t="str">
        <f t="shared" si="7"/>
        <v xml:space="preserve">    - xform/》ing(\d)//</v>
      </c>
    </row>
    <row r="29" spans="1:21" ht="27.75" thickBot="1">
      <c r="A29" s="19">
        <v>26</v>
      </c>
      <c r="B29" s="20" t="s">
        <v>137</v>
      </c>
      <c r="C29" s="21" t="s">
        <v>138</v>
      </c>
      <c r="D29" s="19" t="s">
        <v>138</v>
      </c>
      <c r="E29" s="19" t="s">
        <v>138</v>
      </c>
      <c r="F29" s="19" t="s">
        <v>138</v>
      </c>
      <c r="G29" s="22" t="s">
        <v>138</v>
      </c>
      <c r="H29" s="23" t="s">
        <v>139</v>
      </c>
      <c r="I29" s="19" t="s">
        <v>140</v>
      </c>
      <c r="J29" s="19"/>
      <c r="K29" s="23">
        <f xml:space="preserve"> LEN(C29)</f>
        <v>2</v>
      </c>
      <c r="L29" s="24"/>
      <c r="M29" s="19" t="str">
        <f t="shared" si="0"/>
        <v>ip</v>
      </c>
      <c r="N29" s="19" t="str">
        <f t="shared" si="1"/>
        <v>一ㆴ</v>
      </c>
      <c r="P29" s="3" t="str">
        <f t="shared" si="5"/>
        <v>ip(\d)</v>
      </c>
      <c r="Q29" s="5" t="s">
        <v>25</v>
      </c>
      <c r="R29" s="5" t="str">
        <f t="shared" si="6"/>
        <v/>
      </c>
      <c r="S29" s="3" t="str">
        <f t="shared" si="10"/>
        <v/>
      </c>
      <c r="T29" s="25"/>
      <c r="U29" s="26" t="str">
        <f t="shared" si="7"/>
        <v xml:space="preserve">    - xform/》ip(\d)//</v>
      </c>
    </row>
    <row r="30" spans="1:21" ht="27.75" thickBot="1">
      <c r="A30" s="19">
        <v>27</v>
      </c>
      <c r="B30" s="20" t="s">
        <v>141</v>
      </c>
      <c r="C30" s="21" t="s">
        <v>142</v>
      </c>
      <c r="D30" s="19" t="s">
        <v>142</v>
      </c>
      <c r="E30" s="19" t="s">
        <v>142</v>
      </c>
      <c r="F30" s="19" t="s">
        <v>142</v>
      </c>
      <c r="G30" s="22" t="s">
        <v>142</v>
      </c>
      <c r="H30" s="23" t="s">
        <v>143</v>
      </c>
      <c r="I30" s="19" t="s">
        <v>144</v>
      </c>
      <c r="J30" s="19"/>
      <c r="K30" s="23">
        <f xml:space="preserve"> LEN(C30)</f>
        <v>2</v>
      </c>
      <c r="L30" s="24"/>
      <c r="M30" s="19" t="str">
        <f t="shared" si="0"/>
        <v>it</v>
      </c>
      <c r="N30" s="19" t="str">
        <f t="shared" si="1"/>
        <v>ㄧㆵ</v>
      </c>
      <c r="P30" s="3" t="str">
        <f t="shared" si="5"/>
        <v>it(\d)</v>
      </c>
      <c r="Q30" s="5" t="s">
        <v>25</v>
      </c>
      <c r="R30" s="5" t="str">
        <f t="shared" si="6"/>
        <v/>
      </c>
      <c r="S30" s="3" t="str">
        <f t="shared" si="10"/>
        <v/>
      </c>
      <c r="T30" s="25"/>
      <c r="U30" s="26" t="str">
        <f t="shared" si="7"/>
        <v xml:space="preserve">    - xform/》it(\d)//</v>
      </c>
    </row>
    <row r="31" spans="1:21" ht="27.75" thickBot="1">
      <c r="A31" s="19">
        <v>28</v>
      </c>
      <c r="B31" s="20" t="s">
        <v>145</v>
      </c>
      <c r="C31" s="21" t="s">
        <v>146</v>
      </c>
      <c r="D31" s="19" t="s">
        <v>146</v>
      </c>
      <c r="E31" s="19" t="s">
        <v>146</v>
      </c>
      <c r="F31" s="19" t="s">
        <v>146</v>
      </c>
      <c r="G31" s="22" t="s">
        <v>147</v>
      </c>
      <c r="H31" s="23" t="s">
        <v>148</v>
      </c>
      <c r="I31" s="19" t="s">
        <v>149</v>
      </c>
      <c r="J31" s="19"/>
      <c r="K31" s="23">
        <f xml:space="preserve"> LEN(C31)</f>
        <v>2</v>
      </c>
      <c r="L31" s="24"/>
      <c r="M31" s="19" t="str">
        <f t="shared" si="0"/>
        <v>ik</v>
      </c>
      <c r="N31" s="19" t="str">
        <f t="shared" si="1"/>
        <v>ㄧㆻ</v>
      </c>
      <c r="P31" s="3" t="str">
        <f t="shared" si="5"/>
        <v>ik(\d)</v>
      </c>
      <c r="Q31" s="5" t="s">
        <v>25</v>
      </c>
      <c r="R31" s="5" t="str">
        <f t="shared" si="6"/>
        <v/>
      </c>
      <c r="S31" s="3" t="str">
        <f t="shared" si="10"/>
        <v/>
      </c>
      <c r="T31" s="25"/>
      <c r="U31" s="26" t="str">
        <f t="shared" si="7"/>
        <v xml:space="preserve">    - xform/》ik(\d)//</v>
      </c>
    </row>
    <row r="32" spans="1:21" ht="27.75" thickBot="1">
      <c r="A32" s="19">
        <v>29</v>
      </c>
      <c r="B32" s="20" t="s">
        <v>150</v>
      </c>
      <c r="C32" s="21" t="s">
        <v>151</v>
      </c>
      <c r="D32" s="19" t="s">
        <v>151</v>
      </c>
      <c r="E32" s="19" t="s">
        <v>151</v>
      </c>
      <c r="F32" s="19" t="s">
        <v>151</v>
      </c>
      <c r="G32" s="22" t="s">
        <v>151</v>
      </c>
      <c r="H32" s="23" t="s">
        <v>152</v>
      </c>
      <c r="I32" s="19" t="s">
        <v>153</v>
      </c>
      <c r="J32" s="19"/>
      <c r="K32" s="23">
        <f xml:space="preserve"> LEN(C32)</f>
        <v>2</v>
      </c>
      <c r="L32" s="24"/>
      <c r="M32" s="19" t="str">
        <f t="shared" si="0"/>
        <v>ia</v>
      </c>
      <c r="N32" s="19" t="str">
        <f t="shared" si="1"/>
        <v>ㄧㄚ</v>
      </c>
      <c r="P32" s="3" t="str">
        <f t="shared" si="5"/>
        <v>ia(\d)</v>
      </c>
      <c r="Q32" s="5" t="s">
        <v>25</v>
      </c>
      <c r="R32" s="5">
        <f t="shared" si="6"/>
        <v>2</v>
      </c>
      <c r="S32" s="3" t="str">
        <f t="shared" si="10"/>
        <v>i》a${1}</v>
      </c>
      <c r="T32" s="25"/>
      <c r="U32" s="26" t="str">
        <f t="shared" si="7"/>
        <v xml:space="preserve">    - xform/》ia(\d)/i》a${1}/</v>
      </c>
    </row>
    <row r="33" spans="1:21" ht="27.75" thickBot="1">
      <c r="A33" s="19">
        <v>30</v>
      </c>
      <c r="B33" s="20" t="s">
        <v>154</v>
      </c>
      <c r="C33" s="21" t="s">
        <v>155</v>
      </c>
      <c r="D33" s="19" t="s">
        <v>155</v>
      </c>
      <c r="E33" s="19" t="s">
        <v>155</v>
      </c>
      <c r="F33" s="19" t="s">
        <v>156</v>
      </c>
      <c r="G33" s="22" t="s">
        <v>157</v>
      </c>
      <c r="H33" s="23" t="s">
        <v>158</v>
      </c>
      <c r="I33" s="19" t="s">
        <v>159</v>
      </c>
      <c r="J33" s="29" t="s">
        <v>32</v>
      </c>
      <c r="K33" s="23">
        <f xml:space="preserve"> LEN(C33)</f>
        <v>4</v>
      </c>
      <c r="L33" s="24"/>
      <c r="M33" s="19" t="str">
        <f t="shared" si="0"/>
        <v>iann</v>
      </c>
      <c r="N33" s="19" t="str">
        <f t="shared" si="1"/>
        <v>ㄧㆩ</v>
      </c>
      <c r="P33" s="3" t="str">
        <f t="shared" si="5"/>
        <v>iann(\d)</v>
      </c>
      <c r="Q33" s="5" t="s">
        <v>25</v>
      </c>
      <c r="R33" s="5">
        <f t="shared" si="6"/>
        <v>2</v>
      </c>
      <c r="S33" s="3" t="str">
        <f t="shared" si="10"/>
        <v>i》a${1}nn</v>
      </c>
      <c r="T33" s="25"/>
      <c r="U33" s="26" t="str">
        <f t="shared" si="7"/>
        <v xml:space="preserve">    - xform/》iann(\d)/i》a${1}nn/</v>
      </c>
    </row>
    <row r="34" spans="1:21" ht="27.75" thickBot="1">
      <c r="A34" s="19">
        <v>31</v>
      </c>
      <c r="B34" s="20" t="s">
        <v>160</v>
      </c>
      <c r="C34" s="21" t="s">
        <v>161</v>
      </c>
      <c r="D34" s="19" t="s">
        <v>161</v>
      </c>
      <c r="E34" s="19" t="s">
        <v>161</v>
      </c>
      <c r="F34" s="19" t="s">
        <v>161</v>
      </c>
      <c r="G34" s="22" t="s">
        <v>161</v>
      </c>
      <c r="H34" s="23" t="s">
        <v>162</v>
      </c>
      <c r="I34" s="19" t="s">
        <v>163</v>
      </c>
      <c r="J34" s="19"/>
      <c r="K34" s="23">
        <f xml:space="preserve"> LEN(C34)</f>
        <v>3</v>
      </c>
      <c r="L34" s="24"/>
      <c r="M34" s="19" t="str">
        <f t="shared" si="0"/>
        <v>iah</v>
      </c>
      <c r="N34" s="19" t="str">
        <f t="shared" si="1"/>
        <v>ㄧㄚㆷ</v>
      </c>
      <c r="P34" s="3" t="str">
        <f t="shared" si="5"/>
        <v>iah(\d)</v>
      </c>
      <c r="Q34" s="5" t="s">
        <v>25</v>
      </c>
      <c r="R34" s="5">
        <f t="shared" si="6"/>
        <v>2</v>
      </c>
      <c r="S34" s="3" t="str">
        <f t="shared" si="10"/>
        <v>i》a${1}h</v>
      </c>
      <c r="T34" s="25"/>
      <c r="U34" s="26" t="str">
        <f t="shared" si="7"/>
        <v xml:space="preserve">    - xform/》iah(\d)/i》a${1}h/</v>
      </c>
    </row>
    <row r="35" spans="1:21" ht="30.75" thickBot="1">
      <c r="A35" s="19">
        <v>32</v>
      </c>
      <c r="B35" s="20" t="s">
        <v>164</v>
      </c>
      <c r="C35" s="21" t="s">
        <v>165</v>
      </c>
      <c r="D35" s="31" t="s">
        <v>165</v>
      </c>
      <c r="E35" s="31" t="s">
        <v>165</v>
      </c>
      <c r="F35" s="31" t="s">
        <v>165</v>
      </c>
      <c r="G35" s="31" t="s">
        <v>166</v>
      </c>
      <c r="H35" s="32" t="s">
        <v>162</v>
      </c>
      <c r="I35" s="33" t="s">
        <v>167</v>
      </c>
      <c r="J35" s="29" t="s">
        <v>32</v>
      </c>
      <c r="K35" s="23">
        <f xml:space="preserve"> LEN(C35)</f>
        <v>5</v>
      </c>
      <c r="L35" s="24"/>
      <c r="M35" s="19" t="str">
        <f t="shared" ref="M35:M66" si="11">E35</f>
        <v>iannh</v>
      </c>
      <c r="N35" s="19" t="str">
        <f t="shared" ref="N35:N66" si="12">I35</f>
        <v>ㄧㆩㆷ</v>
      </c>
      <c r="P35" s="3" t="str">
        <f t="shared" si="5"/>
        <v>iannh(\d)</v>
      </c>
      <c r="Q35" s="5" t="s">
        <v>25</v>
      </c>
      <c r="R35" s="5">
        <f t="shared" si="6"/>
        <v>2</v>
      </c>
      <c r="S35" s="3" t="str">
        <f t="shared" si="10"/>
        <v>i》a${1}nnh</v>
      </c>
      <c r="T35" s="25"/>
      <c r="U35" s="26" t="str">
        <f t="shared" si="7"/>
        <v xml:space="preserve">    - xform/》iannh(\d)/i》a${1}nnh/</v>
      </c>
    </row>
    <row r="36" spans="1:21" ht="27.75" thickBot="1">
      <c r="A36" s="19">
        <v>33</v>
      </c>
      <c r="B36" s="20" t="s">
        <v>168</v>
      </c>
      <c r="C36" s="21" t="s">
        <v>169</v>
      </c>
      <c r="D36" s="19" t="s">
        <v>169</v>
      </c>
      <c r="E36" s="19" t="s">
        <v>169</v>
      </c>
      <c r="F36" s="19" t="s">
        <v>169</v>
      </c>
      <c r="G36" s="22" t="s">
        <v>169</v>
      </c>
      <c r="H36" s="23" t="s">
        <v>170</v>
      </c>
      <c r="I36" s="19" t="s">
        <v>171</v>
      </c>
      <c r="J36" s="19"/>
      <c r="K36" s="23">
        <f xml:space="preserve"> LEN(C36)</f>
        <v>3</v>
      </c>
      <c r="L36" s="24"/>
      <c r="M36" s="19" t="str">
        <f t="shared" si="11"/>
        <v>iam</v>
      </c>
      <c r="N36" s="19" t="str">
        <f t="shared" si="12"/>
        <v>ㄧㆰ</v>
      </c>
      <c r="P36" s="3" t="str">
        <f t="shared" si="5"/>
        <v>iam(\d)</v>
      </c>
      <c r="Q36" s="5" t="s">
        <v>33</v>
      </c>
      <c r="R36" s="5">
        <f t="shared" si="6"/>
        <v>1</v>
      </c>
      <c r="S36" s="3" t="str">
        <f t="shared" si="10"/>
        <v>》i${1}am</v>
      </c>
      <c r="T36" s="25"/>
      <c r="U36" s="26" t="str">
        <f t="shared" si="7"/>
        <v xml:space="preserve">    - xform/》iam(\d)/》i${1}am/</v>
      </c>
    </row>
    <row r="37" spans="1:21" ht="27.75" thickBot="1">
      <c r="A37" s="19">
        <v>34</v>
      </c>
      <c r="B37" s="20" t="s">
        <v>172</v>
      </c>
      <c r="C37" s="21" t="s">
        <v>173</v>
      </c>
      <c r="D37" s="19" t="s">
        <v>173</v>
      </c>
      <c r="E37" s="19" t="s">
        <v>173</v>
      </c>
      <c r="F37" s="19" t="s">
        <v>173</v>
      </c>
      <c r="G37" s="22" t="s">
        <v>173</v>
      </c>
      <c r="H37" s="23" t="s">
        <v>174</v>
      </c>
      <c r="I37" s="19" t="s">
        <v>175</v>
      </c>
      <c r="J37" s="19"/>
      <c r="K37" s="23">
        <f xml:space="preserve"> LEN(C37)</f>
        <v>3</v>
      </c>
      <c r="L37" s="24"/>
      <c r="M37" s="19" t="str">
        <f t="shared" si="11"/>
        <v>ian</v>
      </c>
      <c r="N37" s="19" t="str">
        <f t="shared" si="12"/>
        <v>ㄧㄢ</v>
      </c>
      <c r="P37" s="3" t="str">
        <f t="shared" si="5"/>
        <v>ian(\d)</v>
      </c>
      <c r="Q37" s="5" t="s">
        <v>33</v>
      </c>
      <c r="R37" s="5">
        <f t="shared" si="6"/>
        <v>1</v>
      </c>
      <c r="S37" s="3" t="str">
        <f t="shared" si="10"/>
        <v>》i${1}an</v>
      </c>
      <c r="T37" s="25"/>
      <c r="U37" s="26" t="str">
        <f t="shared" si="7"/>
        <v xml:space="preserve">    - xform/》ian(\d)/》i${1}an/</v>
      </c>
    </row>
    <row r="38" spans="1:21" ht="27.75" thickBot="1">
      <c r="A38" s="19">
        <v>35</v>
      </c>
      <c r="B38" s="20" t="s">
        <v>176</v>
      </c>
      <c r="C38" s="21" t="s">
        <v>177</v>
      </c>
      <c r="D38" s="19" t="s">
        <v>177</v>
      </c>
      <c r="E38" s="19" t="s">
        <v>177</v>
      </c>
      <c r="F38" s="19" t="s">
        <v>177</v>
      </c>
      <c r="G38" s="22" t="s">
        <v>177</v>
      </c>
      <c r="H38" s="23" t="s">
        <v>178</v>
      </c>
      <c r="I38" s="19" t="s">
        <v>179</v>
      </c>
      <c r="J38" s="19"/>
      <c r="K38" s="23">
        <f xml:space="preserve"> LEN(C38)</f>
        <v>4</v>
      </c>
      <c r="L38" s="24"/>
      <c r="M38" s="19" t="str">
        <f t="shared" si="11"/>
        <v>iang</v>
      </c>
      <c r="N38" s="19" t="str">
        <f t="shared" si="12"/>
        <v>ㄧㄤ</v>
      </c>
      <c r="P38" s="3" t="str">
        <f t="shared" si="5"/>
        <v>iang(\d)</v>
      </c>
      <c r="Q38" s="5" t="s">
        <v>33</v>
      </c>
      <c r="R38" s="5">
        <f t="shared" si="6"/>
        <v>1</v>
      </c>
      <c r="S38" s="3" t="str">
        <f t="shared" si="10"/>
        <v>》i${1}ang</v>
      </c>
      <c r="T38" s="25"/>
      <c r="U38" s="26" t="str">
        <f t="shared" si="7"/>
        <v xml:space="preserve">    - xform/》iang(\d)/》i${1}ang/</v>
      </c>
    </row>
    <row r="39" spans="1:21" ht="27.75" thickBot="1">
      <c r="A39" s="19">
        <v>36</v>
      </c>
      <c r="B39" s="20" t="s">
        <v>180</v>
      </c>
      <c r="C39" s="21" t="s">
        <v>181</v>
      </c>
      <c r="D39" s="19" t="s">
        <v>181</v>
      </c>
      <c r="E39" s="19" t="s">
        <v>181</v>
      </c>
      <c r="F39" s="19" t="s">
        <v>181</v>
      </c>
      <c r="G39" s="22" t="s">
        <v>181</v>
      </c>
      <c r="H39" s="23" t="s">
        <v>182</v>
      </c>
      <c r="I39" s="19" t="s">
        <v>183</v>
      </c>
      <c r="J39" s="19"/>
      <c r="K39" s="23">
        <f xml:space="preserve"> LEN(C39)</f>
        <v>3</v>
      </c>
      <c r="L39" s="24"/>
      <c r="M39" s="19" t="str">
        <f t="shared" si="11"/>
        <v>iap</v>
      </c>
      <c r="N39" s="19" t="str">
        <f t="shared" si="12"/>
        <v>ㄧㄚㆴ</v>
      </c>
      <c r="P39" s="3" t="str">
        <f t="shared" si="5"/>
        <v>iap(\d)</v>
      </c>
      <c r="Q39" s="5" t="s">
        <v>33</v>
      </c>
      <c r="R39" s="5">
        <f t="shared" si="6"/>
        <v>1</v>
      </c>
      <c r="S39" s="3" t="str">
        <f t="shared" si="10"/>
        <v>》i${1}ap</v>
      </c>
      <c r="T39" s="25"/>
      <c r="U39" s="26" t="str">
        <f t="shared" si="7"/>
        <v xml:space="preserve">    - xform/》iap(\d)/》i${1}ap/</v>
      </c>
    </row>
    <row r="40" spans="1:21" ht="27.75" thickBot="1">
      <c r="A40" s="19">
        <v>37</v>
      </c>
      <c r="B40" s="20" t="s">
        <v>184</v>
      </c>
      <c r="C40" s="21" t="s">
        <v>185</v>
      </c>
      <c r="D40" s="19" t="s">
        <v>185</v>
      </c>
      <c r="E40" s="19" t="s">
        <v>185</v>
      </c>
      <c r="F40" s="19" t="s">
        <v>185</v>
      </c>
      <c r="G40" s="22" t="s">
        <v>185</v>
      </c>
      <c r="H40" s="23" t="s">
        <v>186</v>
      </c>
      <c r="I40" s="19" t="s">
        <v>187</v>
      </c>
      <c r="J40" s="19"/>
      <c r="K40" s="23">
        <f xml:space="preserve"> LEN(C40)</f>
        <v>3</v>
      </c>
      <c r="L40" s="24"/>
      <c r="M40" s="19" t="str">
        <f t="shared" si="11"/>
        <v>iat</v>
      </c>
      <c r="N40" s="19" t="str">
        <f t="shared" si="12"/>
        <v>ㄧㄚㆵ</v>
      </c>
      <c r="P40" s="3" t="str">
        <f t="shared" si="5"/>
        <v>iat(\d)</v>
      </c>
      <c r="Q40" s="5" t="s">
        <v>46</v>
      </c>
      <c r="R40" s="5" t="str">
        <f t="shared" si="6"/>
        <v/>
      </c>
      <c r="S40" s="3" t="str">
        <f t="shared" si="10"/>
        <v/>
      </c>
      <c r="T40" s="25"/>
      <c r="U40" s="26" t="str">
        <f t="shared" si="7"/>
        <v xml:space="preserve">    - xform/》iat(\d)//</v>
      </c>
    </row>
    <row r="41" spans="1:21" ht="27.75" thickBot="1">
      <c r="A41" s="19">
        <v>38</v>
      </c>
      <c r="B41" s="20" t="s">
        <v>188</v>
      </c>
      <c r="C41" s="21" t="s">
        <v>189</v>
      </c>
      <c r="D41" s="19" t="s">
        <v>189</v>
      </c>
      <c r="E41" s="19" t="s">
        <v>189</v>
      </c>
      <c r="F41" s="19" t="s">
        <v>189</v>
      </c>
      <c r="G41" s="22" t="s">
        <v>189</v>
      </c>
      <c r="H41" s="23" t="s">
        <v>190</v>
      </c>
      <c r="I41" s="19" t="s">
        <v>191</v>
      </c>
      <c r="J41" s="19"/>
      <c r="K41" s="23">
        <f xml:space="preserve"> LEN(C41)</f>
        <v>3</v>
      </c>
      <c r="L41" s="24"/>
      <c r="M41" s="19" t="str">
        <f t="shared" si="11"/>
        <v>iak</v>
      </c>
      <c r="N41" s="19" t="str">
        <f t="shared" si="12"/>
        <v>ㄧㄚㆻ</v>
      </c>
      <c r="P41" s="3" t="str">
        <f t="shared" si="5"/>
        <v>iak(\d)</v>
      </c>
      <c r="Q41" s="5" t="s">
        <v>59</v>
      </c>
      <c r="R41" s="5" t="str">
        <f t="shared" si="6"/>
        <v/>
      </c>
      <c r="S41" s="3" t="str">
        <f t="shared" si="10"/>
        <v/>
      </c>
      <c r="T41" s="25"/>
      <c r="U41" s="26" t="str">
        <f t="shared" si="7"/>
        <v xml:space="preserve">    - xform/》iak(\d)//</v>
      </c>
    </row>
    <row r="42" spans="1:21" ht="27.75" thickBot="1">
      <c r="A42" s="19">
        <v>39</v>
      </c>
      <c r="B42" s="20" t="s">
        <v>192</v>
      </c>
      <c r="C42" s="21" t="s">
        <v>193</v>
      </c>
      <c r="D42" s="19" t="s">
        <v>193</v>
      </c>
      <c r="E42" s="19" t="s">
        <v>193</v>
      </c>
      <c r="F42" s="19" t="s">
        <v>194</v>
      </c>
      <c r="G42" s="22" t="s">
        <v>193</v>
      </c>
      <c r="H42" s="23" t="s">
        <v>195</v>
      </c>
      <c r="I42" s="19" t="s">
        <v>196</v>
      </c>
      <c r="J42" s="19"/>
      <c r="K42" s="23">
        <f xml:space="preserve"> LEN(C42)</f>
        <v>3</v>
      </c>
      <c r="L42" s="24"/>
      <c r="M42" s="19" t="str">
        <f t="shared" si="11"/>
        <v>iau</v>
      </c>
      <c r="N42" s="19" t="str">
        <f t="shared" si="12"/>
        <v>ㄧㄠ</v>
      </c>
      <c r="P42" s="3" t="str">
        <f t="shared" si="5"/>
        <v>iau(\d)</v>
      </c>
      <c r="Q42" s="5" t="s">
        <v>50</v>
      </c>
      <c r="R42" s="5" t="str">
        <f t="shared" si="6"/>
        <v/>
      </c>
      <c r="S42" s="3" t="str">
        <f t="shared" si="10"/>
        <v/>
      </c>
      <c r="T42" s="25"/>
      <c r="U42" s="26" t="str">
        <f t="shared" si="7"/>
        <v xml:space="preserve">    - xform/》iau(\d)//</v>
      </c>
    </row>
    <row r="43" spans="1:21" ht="27.75" thickBot="1">
      <c r="A43" s="19">
        <v>40</v>
      </c>
      <c r="B43" s="20" t="s">
        <v>197</v>
      </c>
      <c r="C43" s="21" t="s">
        <v>198</v>
      </c>
      <c r="D43" s="19" t="s">
        <v>198</v>
      </c>
      <c r="E43" s="19" t="s">
        <v>198</v>
      </c>
      <c r="F43" s="19" t="s">
        <v>199</v>
      </c>
      <c r="G43" s="22" t="s">
        <v>200</v>
      </c>
      <c r="H43" s="23" t="s">
        <v>201</v>
      </c>
      <c r="I43" s="19" t="s">
        <v>202</v>
      </c>
      <c r="J43" s="29" t="s">
        <v>32</v>
      </c>
      <c r="K43" s="23">
        <f xml:space="preserve"> LEN(C43)</f>
        <v>5</v>
      </c>
      <c r="L43" s="24"/>
      <c r="M43" s="19" t="str">
        <f t="shared" si="11"/>
        <v>iaunn</v>
      </c>
      <c r="N43" s="19" t="str">
        <f t="shared" si="12"/>
        <v>ㄧㆯ</v>
      </c>
      <c r="P43" s="3" t="str">
        <f t="shared" si="5"/>
        <v>iaunn(\d)</v>
      </c>
      <c r="Q43" s="5" t="s">
        <v>50</v>
      </c>
      <c r="R43" s="5" t="str">
        <f t="shared" si="6"/>
        <v/>
      </c>
      <c r="S43" s="3" t="str">
        <f t="shared" si="10"/>
        <v/>
      </c>
      <c r="T43" s="25"/>
      <c r="U43" s="26" t="str">
        <f t="shared" si="7"/>
        <v xml:space="preserve">    - xform/》iaunn(\d)//</v>
      </c>
    </row>
    <row r="44" spans="1:21" ht="27.75" thickBot="1">
      <c r="A44" s="19">
        <v>41</v>
      </c>
      <c r="B44" s="20" t="s">
        <v>203</v>
      </c>
      <c r="C44" s="21" t="s">
        <v>204</v>
      </c>
      <c r="D44" s="19" t="s">
        <v>204</v>
      </c>
      <c r="E44" s="19" t="s">
        <v>204</v>
      </c>
      <c r="F44" s="19" t="s">
        <v>205</v>
      </c>
      <c r="G44" s="22" t="s">
        <v>204</v>
      </c>
      <c r="H44" s="23" t="s">
        <v>206</v>
      </c>
      <c r="I44" s="19" t="s">
        <v>207</v>
      </c>
      <c r="J44" s="19"/>
      <c r="K44" s="23">
        <f xml:space="preserve"> LEN(C44)</f>
        <v>4</v>
      </c>
      <c r="L44" s="24"/>
      <c r="M44" s="19" t="str">
        <f t="shared" si="11"/>
        <v>iauh</v>
      </c>
      <c r="N44" s="19" t="str">
        <f t="shared" si="12"/>
        <v>ㄧㄠㆷ</v>
      </c>
      <c r="P44" s="3" t="str">
        <f t="shared" si="5"/>
        <v>iauh(\d)</v>
      </c>
      <c r="Q44" s="5" t="s">
        <v>50</v>
      </c>
      <c r="R44" s="5" t="str">
        <f t="shared" si="6"/>
        <v/>
      </c>
      <c r="S44" s="3" t="str">
        <f t="shared" si="10"/>
        <v/>
      </c>
      <c r="T44" s="25"/>
      <c r="U44" s="26" t="str">
        <f t="shared" si="7"/>
        <v xml:space="preserve">    - xform/》iauh(\d)//</v>
      </c>
    </row>
    <row r="45" spans="1:21" ht="27.75" thickBot="1">
      <c r="A45" s="19">
        <v>42</v>
      </c>
      <c r="B45" s="20" t="s">
        <v>208</v>
      </c>
      <c r="C45" s="21" t="s">
        <v>209</v>
      </c>
      <c r="D45" s="19" t="s">
        <v>209</v>
      </c>
      <c r="E45" s="19" t="s">
        <v>210</v>
      </c>
      <c r="F45" s="19" t="s">
        <v>209</v>
      </c>
      <c r="G45" s="22" t="s">
        <v>209</v>
      </c>
      <c r="H45" s="23" t="s">
        <v>211</v>
      </c>
      <c r="I45" s="19" t="s">
        <v>212</v>
      </c>
      <c r="J45" s="19"/>
      <c r="K45" s="23">
        <f xml:space="preserve"> LEN(C45)</f>
        <v>2</v>
      </c>
      <c r="L45" s="24"/>
      <c r="M45" s="19" t="str">
        <f t="shared" si="11"/>
        <v>ior</v>
      </c>
      <c r="N45" s="19" t="str">
        <f t="shared" si="12"/>
        <v>ㄧㄜ</v>
      </c>
      <c r="P45" s="3" t="str">
        <f t="shared" si="5"/>
        <v>ior(\d)</v>
      </c>
      <c r="Q45" s="5" t="s">
        <v>25</v>
      </c>
      <c r="R45" s="5" t="str">
        <f t="shared" si="6"/>
        <v/>
      </c>
      <c r="S45" s="3" t="str">
        <f t="shared" si="10"/>
        <v/>
      </c>
      <c r="T45" s="25"/>
      <c r="U45" s="26" t="str">
        <f t="shared" si="7"/>
        <v xml:space="preserve">    - xform/》ior(\d)//</v>
      </c>
    </row>
    <row r="46" spans="1:21" ht="27.75" thickBot="1">
      <c r="A46" s="19">
        <v>43</v>
      </c>
      <c r="B46" s="20" t="s">
        <v>213</v>
      </c>
      <c r="C46" s="21" t="s">
        <v>214</v>
      </c>
      <c r="D46" s="19" t="s">
        <v>214</v>
      </c>
      <c r="E46" s="19" t="s">
        <v>215</v>
      </c>
      <c r="F46" s="19" t="s">
        <v>216</v>
      </c>
      <c r="G46" s="22" t="s">
        <v>217</v>
      </c>
      <c r="H46" s="23" t="s">
        <v>218</v>
      </c>
      <c r="I46" s="19" t="s">
        <v>219</v>
      </c>
      <c r="J46" s="29" t="s">
        <v>32</v>
      </c>
      <c r="K46" s="23">
        <f xml:space="preserve"> LEN(C46)</f>
        <v>4</v>
      </c>
      <c r="L46" s="24"/>
      <c r="M46" s="19" t="str">
        <f t="shared" si="11"/>
        <v>ioonn</v>
      </c>
      <c r="N46" s="19" t="str">
        <f t="shared" si="12"/>
        <v>ㄧㆧ</v>
      </c>
      <c r="P46" s="3" t="str">
        <f t="shared" si="5"/>
        <v>ioonn(\d)</v>
      </c>
      <c r="Q46" s="5" t="s">
        <v>25</v>
      </c>
      <c r="R46" s="5" t="str">
        <f t="shared" si="6"/>
        <v/>
      </c>
      <c r="S46" s="3" t="str">
        <f t="shared" si="10"/>
        <v/>
      </c>
      <c r="T46" s="25"/>
      <c r="U46" s="26" t="str">
        <f t="shared" si="7"/>
        <v xml:space="preserve">    - xform/》ioonn(\d)//</v>
      </c>
    </row>
    <row r="47" spans="1:21" ht="27.75" thickBot="1">
      <c r="A47" s="19">
        <v>44</v>
      </c>
      <c r="B47" s="20" t="s">
        <v>220</v>
      </c>
      <c r="C47" s="21" t="s">
        <v>221</v>
      </c>
      <c r="D47" s="19" t="s">
        <v>221</v>
      </c>
      <c r="E47" s="19" t="s">
        <v>222</v>
      </c>
      <c r="F47" s="19" t="s">
        <v>221</v>
      </c>
      <c r="G47" s="22" t="s">
        <v>221</v>
      </c>
      <c r="H47" s="23" t="s">
        <v>223</v>
      </c>
      <c r="I47" s="19" t="s">
        <v>224</v>
      </c>
      <c r="J47" s="19"/>
      <c r="K47" s="23">
        <f xml:space="preserve"> LEN(C47)</f>
        <v>3</v>
      </c>
      <c r="L47" s="24"/>
      <c r="M47" s="19" t="str">
        <f t="shared" si="11"/>
        <v>iorh</v>
      </c>
      <c r="N47" s="19" t="str">
        <f t="shared" si="12"/>
        <v>ㄧㄜㆷ</v>
      </c>
      <c r="P47" s="3" t="str">
        <f t="shared" si="5"/>
        <v>iorh(\d)</v>
      </c>
      <c r="Q47" s="5" t="s">
        <v>25</v>
      </c>
      <c r="R47" s="5" t="str">
        <f t="shared" si="6"/>
        <v/>
      </c>
      <c r="S47" s="3" t="str">
        <f t="shared" si="10"/>
        <v/>
      </c>
      <c r="T47" s="25"/>
      <c r="U47" s="26" t="str">
        <f t="shared" si="7"/>
        <v xml:space="preserve">    - xform/》iorh(\d)//</v>
      </c>
    </row>
    <row r="48" spans="1:21" ht="27.75" thickBot="1">
      <c r="A48" s="19">
        <v>45</v>
      </c>
      <c r="B48" s="20" t="s">
        <v>225</v>
      </c>
      <c r="C48" s="21" t="s">
        <v>226</v>
      </c>
      <c r="D48" s="19" t="s">
        <v>226</v>
      </c>
      <c r="E48" s="19" t="s">
        <v>226</v>
      </c>
      <c r="F48" s="19" t="s">
        <v>226</v>
      </c>
      <c r="G48" s="22" t="s">
        <v>226</v>
      </c>
      <c r="H48" s="23" t="s">
        <v>227</v>
      </c>
      <c r="I48" s="19" t="s">
        <v>228</v>
      </c>
      <c r="J48" s="19"/>
      <c r="K48" s="23">
        <f xml:space="preserve"> LEN(C48)</f>
        <v>4</v>
      </c>
      <c r="L48" s="24"/>
      <c r="M48" s="19" t="str">
        <f t="shared" si="11"/>
        <v>iong</v>
      </c>
      <c r="N48" s="19" t="str">
        <f t="shared" si="12"/>
        <v>ㄧㆲ</v>
      </c>
      <c r="P48" s="3" t="str">
        <f t="shared" si="5"/>
        <v>iong(\d)</v>
      </c>
      <c r="Q48" s="5" t="s">
        <v>25</v>
      </c>
      <c r="R48" s="5" t="str">
        <f t="shared" si="6"/>
        <v/>
      </c>
      <c r="S48" s="3" t="str">
        <f t="shared" si="10"/>
        <v/>
      </c>
      <c r="T48" s="25"/>
      <c r="U48" s="26" t="str">
        <f t="shared" si="7"/>
        <v xml:space="preserve">    - xform/》iong(\d)//</v>
      </c>
    </row>
    <row r="49" spans="1:21" ht="27.75" thickBot="1">
      <c r="A49" s="19">
        <v>46</v>
      </c>
      <c r="B49" s="20" t="s">
        <v>229</v>
      </c>
      <c r="C49" s="21" t="s">
        <v>230</v>
      </c>
      <c r="D49" s="19" t="s">
        <v>230</v>
      </c>
      <c r="E49" s="19" t="s">
        <v>231</v>
      </c>
      <c r="F49" s="19" t="s">
        <v>230</v>
      </c>
      <c r="G49" s="22" t="s">
        <v>230</v>
      </c>
      <c r="H49" s="23" t="s">
        <v>232</v>
      </c>
      <c r="I49" s="19" t="s">
        <v>233</v>
      </c>
      <c r="J49" s="19"/>
      <c r="K49" s="23">
        <f xml:space="preserve"> LEN(C49)</f>
        <v>3</v>
      </c>
      <c r="L49" s="24"/>
      <c r="M49" s="19" t="str">
        <f t="shared" si="11"/>
        <v>iook</v>
      </c>
      <c r="N49" s="19" t="str">
        <f t="shared" si="12"/>
        <v>ㄧㆦㆻ</v>
      </c>
      <c r="P49" s="3" t="str">
        <f t="shared" si="5"/>
        <v>iook(\d)</v>
      </c>
      <c r="Q49" s="5" t="s">
        <v>46</v>
      </c>
      <c r="R49" s="5" t="str">
        <f t="shared" si="6"/>
        <v/>
      </c>
      <c r="S49" s="3" t="str">
        <f t="shared" si="10"/>
        <v/>
      </c>
      <c r="T49" s="25"/>
      <c r="U49" s="26" t="str">
        <f t="shared" si="7"/>
        <v xml:space="preserve">    - xform/》iook(\d)//</v>
      </c>
    </row>
    <row r="50" spans="1:21" ht="27.75" thickBot="1">
      <c r="A50" s="19">
        <v>47</v>
      </c>
      <c r="B50" s="20" t="s">
        <v>234</v>
      </c>
      <c r="C50" s="21" t="s">
        <v>234</v>
      </c>
      <c r="D50" s="19" t="s">
        <v>234</v>
      </c>
      <c r="E50" s="19" t="s">
        <v>234</v>
      </c>
      <c r="F50" s="19" t="s">
        <v>234</v>
      </c>
      <c r="G50" s="22" t="s">
        <v>234</v>
      </c>
      <c r="H50" s="23" t="s">
        <v>235</v>
      </c>
      <c r="I50" s="19" t="s">
        <v>236</v>
      </c>
      <c r="J50" s="19"/>
      <c r="K50" s="23">
        <f xml:space="preserve"> LEN(C50)</f>
        <v>2</v>
      </c>
      <c r="L50" s="24"/>
      <c r="M50" s="19" t="str">
        <f t="shared" si="11"/>
        <v>iu</v>
      </c>
      <c r="N50" s="19" t="str">
        <f t="shared" si="12"/>
        <v>ㄧㄨ</v>
      </c>
      <c r="P50" s="3" t="str">
        <f t="shared" si="5"/>
        <v>iu(\d)</v>
      </c>
      <c r="Q50" s="5" t="s">
        <v>25</v>
      </c>
      <c r="R50" s="5" t="str">
        <f t="shared" si="6"/>
        <v/>
      </c>
      <c r="S50" s="3" t="str">
        <f t="shared" si="10"/>
        <v/>
      </c>
      <c r="T50" s="25"/>
      <c r="U50" s="26" t="str">
        <f t="shared" si="7"/>
        <v xml:space="preserve">    - xform/》iu(\d)//</v>
      </c>
    </row>
    <row r="51" spans="1:21" ht="27.75" thickBot="1">
      <c r="A51" s="19">
        <v>48</v>
      </c>
      <c r="B51" s="20" t="s">
        <v>237</v>
      </c>
      <c r="C51" s="21" t="s">
        <v>238</v>
      </c>
      <c r="D51" s="19" t="s">
        <v>238</v>
      </c>
      <c r="E51" s="19" t="s">
        <v>238</v>
      </c>
      <c r="F51" s="19" t="s">
        <v>239</v>
      </c>
      <c r="G51" s="22" t="s">
        <v>240</v>
      </c>
      <c r="H51" s="23" t="s">
        <v>241</v>
      </c>
      <c r="I51" s="19" t="s">
        <v>242</v>
      </c>
      <c r="J51" s="29" t="s">
        <v>32</v>
      </c>
      <c r="K51" s="23">
        <f xml:space="preserve"> LEN(C51)</f>
        <v>4</v>
      </c>
      <c r="L51" s="24"/>
      <c r="M51" s="19" t="str">
        <f t="shared" si="11"/>
        <v>iunn</v>
      </c>
      <c r="N51" s="19" t="str">
        <f t="shared" si="12"/>
        <v>ㄧㆫ</v>
      </c>
      <c r="P51" s="3" t="str">
        <f t="shared" si="5"/>
        <v>iunn(\d)</v>
      </c>
      <c r="Q51" s="5" t="s">
        <v>33</v>
      </c>
      <c r="R51" s="5">
        <f t="shared" si="6"/>
        <v>1</v>
      </c>
      <c r="S51" s="3" t="str">
        <f t="shared" si="10"/>
        <v>》i${1}unn</v>
      </c>
      <c r="T51" s="25"/>
      <c r="U51" s="26" t="str">
        <f t="shared" si="7"/>
        <v xml:space="preserve">    - xform/》iunn(\d)/》i${1}unn/</v>
      </c>
    </row>
    <row r="52" spans="1:21" ht="30.75" thickBot="1">
      <c r="A52" s="19">
        <v>49</v>
      </c>
      <c r="B52" s="20" t="s">
        <v>243</v>
      </c>
      <c r="C52" s="21" t="s">
        <v>244</v>
      </c>
      <c r="D52" s="31" t="s">
        <v>244</v>
      </c>
      <c r="E52" s="31" t="s">
        <v>244</v>
      </c>
      <c r="F52" s="31" t="s">
        <v>245</v>
      </c>
      <c r="G52" s="31" t="s">
        <v>246</v>
      </c>
      <c r="H52" s="32" t="s">
        <v>247</v>
      </c>
      <c r="I52" s="33" t="s">
        <v>248</v>
      </c>
      <c r="J52" s="29" t="s">
        <v>32</v>
      </c>
      <c r="K52" s="23">
        <f xml:space="preserve"> LEN(C52)</f>
        <v>5</v>
      </c>
      <c r="L52" s="24"/>
      <c r="M52" s="19" t="str">
        <f t="shared" si="11"/>
        <v>iunnh</v>
      </c>
      <c r="N52" s="19" t="str">
        <f t="shared" si="12"/>
        <v>ㄧㆫㆷ</v>
      </c>
      <c r="P52" s="3" t="str">
        <f t="shared" si="5"/>
        <v>iunnh(\d)</v>
      </c>
      <c r="Q52" s="5" t="s">
        <v>25</v>
      </c>
      <c r="R52" s="5" t="str">
        <f t="shared" si="6"/>
        <v/>
      </c>
      <c r="S52" s="3" t="str">
        <f t="shared" si="10"/>
        <v/>
      </c>
      <c r="T52" s="25"/>
      <c r="U52" s="26" t="str">
        <f t="shared" si="7"/>
        <v xml:space="preserve">    - xform/》iunnh(\d)//</v>
      </c>
    </row>
    <row r="53" spans="1:21" ht="27.75" thickBot="1">
      <c r="A53" s="19">
        <v>50</v>
      </c>
      <c r="B53" s="20" t="s">
        <v>249</v>
      </c>
      <c r="C53" s="21" t="s">
        <v>250</v>
      </c>
      <c r="D53" s="19" t="s">
        <v>250</v>
      </c>
      <c r="E53" s="19" t="s">
        <v>251</v>
      </c>
      <c r="F53" s="19" t="s">
        <v>250</v>
      </c>
      <c r="G53" s="22" t="s">
        <v>250</v>
      </c>
      <c r="H53" s="23" t="s">
        <v>252</v>
      </c>
      <c r="I53" s="19" t="s">
        <v>253</v>
      </c>
      <c r="J53" s="19"/>
      <c r="K53" s="23">
        <f xml:space="preserve"> LEN(C53)</f>
        <v>1</v>
      </c>
      <c r="L53" s="24"/>
      <c r="M53" s="19" t="str">
        <f t="shared" si="11"/>
        <v>or</v>
      </c>
      <c r="N53" s="19" t="str">
        <f t="shared" si="12"/>
        <v>ㄜ</v>
      </c>
      <c r="P53" s="3" t="str">
        <f t="shared" si="5"/>
        <v>or(\d)</v>
      </c>
      <c r="Q53" s="5" t="s">
        <v>33</v>
      </c>
      <c r="R53" s="5" t="str">
        <f t="shared" si="6"/>
        <v/>
      </c>
      <c r="S53" s="3" t="str">
        <f t="shared" si="10"/>
        <v/>
      </c>
      <c r="T53" s="25"/>
      <c r="U53" s="26" t="str">
        <f t="shared" si="7"/>
        <v xml:space="preserve">    - xform/》or(\d)//</v>
      </c>
    </row>
    <row r="54" spans="1:21" ht="27.75" thickBot="1">
      <c r="A54" s="19">
        <v>51</v>
      </c>
      <c r="B54" s="20" t="s">
        <v>254</v>
      </c>
      <c r="C54" s="21" t="s">
        <v>255</v>
      </c>
      <c r="D54" s="19" t="s">
        <v>255</v>
      </c>
      <c r="E54" s="19" t="s">
        <v>255</v>
      </c>
      <c r="F54" s="19" t="s">
        <v>255</v>
      </c>
      <c r="G54" s="22" t="s">
        <v>256</v>
      </c>
      <c r="H54" s="23" t="s">
        <v>257</v>
      </c>
      <c r="I54" s="19" t="s">
        <v>258</v>
      </c>
      <c r="J54" s="19"/>
      <c r="K54" s="23">
        <f xml:space="preserve"> LEN(C54)</f>
        <v>2</v>
      </c>
      <c r="L54" s="24"/>
      <c r="M54" s="19" t="str">
        <f t="shared" si="11"/>
        <v>oo</v>
      </c>
      <c r="N54" s="19" t="str">
        <f t="shared" si="12"/>
        <v>ㆦ</v>
      </c>
      <c r="P54" s="3" t="str">
        <f t="shared" si="5"/>
        <v>oo(\d)</v>
      </c>
      <c r="Q54" s="5" t="s">
        <v>46</v>
      </c>
      <c r="R54" s="5" t="str">
        <f t="shared" si="6"/>
        <v/>
      </c>
      <c r="S54" s="3" t="str">
        <f t="shared" si="10"/>
        <v/>
      </c>
      <c r="T54" s="25"/>
      <c r="U54" s="26" t="str">
        <f t="shared" si="7"/>
        <v xml:space="preserve">    - xform/》oo(\d)//</v>
      </c>
    </row>
    <row r="55" spans="1:21" ht="27.75" thickBot="1">
      <c r="A55" s="19">
        <v>52</v>
      </c>
      <c r="B55" s="20" t="s">
        <v>259</v>
      </c>
      <c r="C55" s="21" t="s">
        <v>260</v>
      </c>
      <c r="D55" s="19" t="s">
        <v>260</v>
      </c>
      <c r="E55" s="19" t="s">
        <v>261</v>
      </c>
      <c r="F55" s="19" t="s">
        <v>262</v>
      </c>
      <c r="G55" s="22" t="s">
        <v>263</v>
      </c>
      <c r="H55" s="23" t="s">
        <v>264</v>
      </c>
      <c r="I55" s="19" t="s">
        <v>265</v>
      </c>
      <c r="J55" s="19"/>
      <c r="K55" s="23">
        <f xml:space="preserve"> LEN(C55)</f>
        <v>3</v>
      </c>
      <c r="L55" s="24"/>
      <c r="M55" s="19" t="str">
        <f t="shared" si="11"/>
        <v>oonn</v>
      </c>
      <c r="N55" s="19" t="str">
        <f t="shared" si="12"/>
        <v>ㆧ</v>
      </c>
      <c r="P55" s="3" t="str">
        <f t="shared" si="5"/>
        <v>oonn(\d)</v>
      </c>
      <c r="Q55" s="5" t="s">
        <v>46</v>
      </c>
      <c r="R55" s="5" t="str">
        <f t="shared" si="6"/>
        <v/>
      </c>
      <c r="S55" s="3" t="str">
        <f t="shared" si="10"/>
        <v/>
      </c>
      <c r="T55" s="25"/>
      <c r="U55" s="26" t="str">
        <f t="shared" si="7"/>
        <v xml:space="preserve">    - xform/》oonn(\d)//</v>
      </c>
    </row>
    <row r="56" spans="1:21" ht="27.75" thickBot="1">
      <c r="A56" s="19">
        <v>53</v>
      </c>
      <c r="B56" s="20" t="s">
        <v>266</v>
      </c>
      <c r="C56" s="21" t="s">
        <v>267</v>
      </c>
      <c r="D56" s="19" t="s">
        <v>267</v>
      </c>
      <c r="E56" s="19" t="s">
        <v>268</v>
      </c>
      <c r="F56" s="19" t="s">
        <v>267</v>
      </c>
      <c r="G56" s="22" t="s">
        <v>267</v>
      </c>
      <c r="H56" s="23" t="s">
        <v>269</v>
      </c>
      <c r="I56" s="19" t="s">
        <v>270</v>
      </c>
      <c r="J56" s="19"/>
      <c r="K56" s="23">
        <f xml:space="preserve"> LEN(C56)</f>
        <v>2</v>
      </c>
      <c r="L56" s="24"/>
      <c r="M56" s="19" t="str">
        <f t="shared" si="11"/>
        <v>orh</v>
      </c>
      <c r="N56" s="19" t="str">
        <f t="shared" si="12"/>
        <v>ㄜㆷ</v>
      </c>
      <c r="P56" s="3" t="str">
        <f t="shared" si="5"/>
        <v>orh(\d)</v>
      </c>
      <c r="Q56" s="5" t="s">
        <v>25</v>
      </c>
      <c r="R56" s="5" t="str">
        <f t="shared" si="6"/>
        <v/>
      </c>
      <c r="S56" s="3" t="str">
        <f t="shared" si="10"/>
        <v/>
      </c>
      <c r="T56" s="25"/>
      <c r="U56" s="26" t="str">
        <f t="shared" si="7"/>
        <v xml:space="preserve">    - xform/》orh(\d)//</v>
      </c>
    </row>
    <row r="57" spans="1:21" ht="30.75" thickBot="1">
      <c r="A57" s="19">
        <v>54</v>
      </c>
      <c r="B57" s="20" t="s">
        <v>551</v>
      </c>
      <c r="C57" s="21" t="s">
        <v>272</v>
      </c>
      <c r="D57" s="31" t="s">
        <v>272</v>
      </c>
      <c r="E57" s="31" t="s">
        <v>272</v>
      </c>
      <c r="F57" s="31" t="s">
        <v>272</v>
      </c>
      <c r="G57" s="31" t="str">
        <f xml:space="preserve"> _xlfn.CONCAT("o", _xlfn.UNICHAR(HEX2DEC(RIGHT("U+0358",4))), "h")</f>
        <v>o͘h</v>
      </c>
      <c r="H57" s="32" t="s">
        <v>274</v>
      </c>
      <c r="I57" s="34" t="s">
        <v>275</v>
      </c>
      <c r="J57" s="19"/>
      <c r="K57" s="23">
        <f xml:space="preserve"> LEN(C57)</f>
        <v>3</v>
      </c>
      <c r="L57" s="24"/>
      <c r="M57" s="19" t="str">
        <f t="shared" si="11"/>
        <v>ooh</v>
      </c>
      <c r="N57" s="19" t="str">
        <f t="shared" si="12"/>
        <v>ㆦㆷ</v>
      </c>
      <c r="P57" s="3" t="str">
        <f t="shared" si="5"/>
        <v>ooh(\d)</v>
      </c>
      <c r="Q57" s="5" t="s">
        <v>25</v>
      </c>
      <c r="R57" s="5" t="str">
        <f t="shared" si="6"/>
        <v/>
      </c>
      <c r="S57" s="3" t="str">
        <f t="shared" si="10"/>
        <v/>
      </c>
      <c r="T57" s="25"/>
      <c r="U57" s="26" t="str">
        <f t="shared" si="7"/>
        <v xml:space="preserve">    - xform/》ooh(\d)//</v>
      </c>
    </row>
    <row r="58" spans="1:21" ht="27.75" thickBot="1">
      <c r="A58" s="19">
        <v>55</v>
      </c>
      <c r="B58" s="20" t="s">
        <v>276</v>
      </c>
      <c r="C58" s="21" t="s">
        <v>277</v>
      </c>
      <c r="D58" s="19" t="s">
        <v>278</v>
      </c>
      <c r="E58" s="19" t="s">
        <v>277</v>
      </c>
      <c r="F58" s="19" t="s">
        <v>245</v>
      </c>
      <c r="G58" s="22" t="s">
        <v>279</v>
      </c>
      <c r="H58" s="23" t="s">
        <v>280</v>
      </c>
      <c r="I58" s="19" t="s">
        <v>281</v>
      </c>
      <c r="J58" s="29" t="s">
        <v>32</v>
      </c>
      <c r="K58" s="23">
        <f xml:space="preserve"> LEN(C58)</f>
        <v>4</v>
      </c>
      <c r="L58" s="24"/>
      <c r="M58" s="19" t="str">
        <f t="shared" si="11"/>
        <v>onnh</v>
      </c>
      <c r="N58" s="19" t="str">
        <f t="shared" si="12"/>
        <v>ㆧㆷ</v>
      </c>
      <c r="P58" s="3" t="str">
        <f t="shared" si="5"/>
        <v>onnh(\d)</v>
      </c>
      <c r="Q58" s="5" t="s">
        <v>25</v>
      </c>
      <c r="R58" s="5" t="str">
        <f t="shared" si="6"/>
        <v/>
      </c>
      <c r="S58" s="3" t="str">
        <f t="shared" si="10"/>
        <v/>
      </c>
      <c r="T58" s="25"/>
      <c r="U58" s="26" t="str">
        <f t="shared" si="7"/>
        <v xml:space="preserve">    - xform/》onnh(\d)//</v>
      </c>
    </row>
    <row r="59" spans="1:21" ht="27.75" thickBot="1">
      <c r="A59" s="19">
        <v>56</v>
      </c>
      <c r="B59" s="20" t="s">
        <v>282</v>
      </c>
      <c r="C59" s="21" t="s">
        <v>283</v>
      </c>
      <c r="D59" s="19" t="s">
        <v>283</v>
      </c>
      <c r="E59" s="19" t="s">
        <v>284</v>
      </c>
      <c r="F59" s="19" t="s">
        <v>283</v>
      </c>
      <c r="G59" s="22" t="s">
        <v>283</v>
      </c>
      <c r="H59" s="23" t="s">
        <v>285</v>
      </c>
      <c r="I59" s="19" t="s">
        <v>286</v>
      </c>
      <c r="J59" s="19"/>
      <c r="K59" s="23">
        <f xml:space="preserve"> LEN(C59)</f>
        <v>2</v>
      </c>
      <c r="L59" s="24"/>
      <c r="M59" s="19" t="str">
        <f t="shared" si="11"/>
        <v>oom</v>
      </c>
      <c r="N59" s="19" t="str">
        <f t="shared" si="12"/>
        <v>ㆱ</v>
      </c>
      <c r="P59" s="3" t="str">
        <f t="shared" si="5"/>
        <v>oom(\d)</v>
      </c>
      <c r="Q59" s="5" t="s">
        <v>25</v>
      </c>
      <c r="R59" s="5" t="str">
        <f t="shared" si="6"/>
        <v/>
      </c>
      <c r="S59" s="3" t="str">
        <f t="shared" si="10"/>
        <v/>
      </c>
      <c r="T59" s="25"/>
      <c r="U59" s="26" t="str">
        <f t="shared" si="7"/>
        <v xml:space="preserve">    - xform/》oom(\d)//</v>
      </c>
    </row>
    <row r="60" spans="1:21" ht="27.75" thickBot="1">
      <c r="A60" s="19">
        <v>57</v>
      </c>
      <c r="B60" s="20" t="s">
        <v>287</v>
      </c>
      <c r="C60" s="21" t="s">
        <v>288</v>
      </c>
      <c r="D60" s="19" t="s">
        <v>288</v>
      </c>
      <c r="E60" s="19" t="s">
        <v>288</v>
      </c>
      <c r="F60" s="19" t="s">
        <v>288</v>
      </c>
      <c r="G60" s="22" t="s">
        <v>288</v>
      </c>
      <c r="H60" s="23" t="s">
        <v>289</v>
      </c>
      <c r="I60" s="19" t="s">
        <v>290</v>
      </c>
      <c r="J60" s="19"/>
      <c r="K60" s="23">
        <f xml:space="preserve"> LEN(C60)</f>
        <v>3</v>
      </c>
      <c r="L60" s="24"/>
      <c r="M60" s="19" t="str">
        <f t="shared" si="11"/>
        <v>ong</v>
      </c>
      <c r="N60" s="19" t="str">
        <f t="shared" si="12"/>
        <v>ㆲ</v>
      </c>
      <c r="P60" s="3" t="str">
        <f t="shared" si="5"/>
        <v>ong(\d)</v>
      </c>
      <c r="Q60" s="5" t="s">
        <v>25</v>
      </c>
      <c r="R60" s="5" t="str">
        <f t="shared" si="6"/>
        <v/>
      </c>
      <c r="S60" s="3" t="str">
        <f t="shared" si="10"/>
        <v/>
      </c>
      <c r="T60" s="25"/>
      <c r="U60" s="26" t="str">
        <f t="shared" si="7"/>
        <v xml:space="preserve">    - xform/》ong(\d)//</v>
      </c>
    </row>
    <row r="61" spans="1:21" ht="27.75" thickBot="1">
      <c r="A61" s="19">
        <v>58</v>
      </c>
      <c r="B61" s="20" t="s">
        <v>291</v>
      </c>
      <c r="C61" s="21" t="s">
        <v>292</v>
      </c>
      <c r="D61" s="19" t="s">
        <v>292</v>
      </c>
      <c r="E61" s="19" t="s">
        <v>293</v>
      </c>
      <c r="F61" s="19" t="s">
        <v>292</v>
      </c>
      <c r="G61" s="22" t="s">
        <v>292</v>
      </c>
      <c r="H61" s="23" t="s">
        <v>294</v>
      </c>
      <c r="I61" s="19" t="s">
        <v>295</v>
      </c>
      <c r="J61" s="19"/>
      <c r="K61" s="23">
        <f xml:space="preserve"> LEN(C61)</f>
        <v>2</v>
      </c>
      <c r="L61" s="24"/>
      <c r="M61" s="19" t="str">
        <f t="shared" si="11"/>
        <v>oop</v>
      </c>
      <c r="N61" s="19" t="str">
        <f t="shared" si="12"/>
        <v>ㆦㆴ</v>
      </c>
      <c r="P61" s="3" t="str">
        <f t="shared" si="5"/>
        <v>oop(\d)</v>
      </c>
      <c r="Q61" s="5" t="s">
        <v>25</v>
      </c>
      <c r="R61" s="5" t="str">
        <f t="shared" si="6"/>
        <v/>
      </c>
      <c r="S61" s="3" t="str">
        <f t="shared" si="10"/>
        <v/>
      </c>
      <c r="T61" s="25"/>
      <c r="U61" s="26" t="str">
        <f t="shared" si="7"/>
        <v xml:space="preserve">    - xform/》oop(\d)//</v>
      </c>
    </row>
    <row r="62" spans="1:21" ht="27.75" thickBot="1">
      <c r="A62" s="19">
        <v>59</v>
      </c>
      <c r="B62" s="20" t="s">
        <v>296</v>
      </c>
      <c r="C62" s="21" t="s">
        <v>297</v>
      </c>
      <c r="D62" s="19" t="s">
        <v>297</v>
      </c>
      <c r="E62" s="19" t="s">
        <v>297</v>
      </c>
      <c r="F62" s="19" t="s">
        <v>297</v>
      </c>
      <c r="G62" s="22" t="s">
        <v>297</v>
      </c>
      <c r="H62" s="23" t="s">
        <v>298</v>
      </c>
      <c r="I62" s="19" t="s">
        <v>299</v>
      </c>
      <c r="J62" s="19"/>
      <c r="K62" s="23">
        <f xml:space="preserve"> LEN(C62)</f>
        <v>2</v>
      </c>
      <c r="L62" s="24"/>
      <c r="M62" s="19" t="str">
        <f t="shared" si="11"/>
        <v>ok</v>
      </c>
      <c r="N62" s="19" t="str">
        <f t="shared" si="12"/>
        <v>ㆦㆻ</v>
      </c>
      <c r="P62" s="3" t="str">
        <f t="shared" si="5"/>
        <v>ok(\d)</v>
      </c>
      <c r="Q62" s="5" t="s">
        <v>25</v>
      </c>
      <c r="R62" s="5" t="str">
        <f t="shared" si="6"/>
        <v/>
      </c>
      <c r="S62" s="3" t="str">
        <f t="shared" si="10"/>
        <v/>
      </c>
      <c r="T62" s="25"/>
      <c r="U62" s="26" t="str">
        <f t="shared" si="7"/>
        <v xml:space="preserve">    - xform/》ok(\d)//</v>
      </c>
    </row>
    <row r="63" spans="1:21" ht="27.75" thickBot="1">
      <c r="A63" s="19">
        <v>60</v>
      </c>
      <c r="B63" s="20" t="s">
        <v>300</v>
      </c>
      <c r="C63" s="21" t="s">
        <v>300</v>
      </c>
      <c r="D63" s="19" t="s">
        <v>300</v>
      </c>
      <c r="E63" s="19" t="s">
        <v>300</v>
      </c>
      <c r="F63" s="19" t="s">
        <v>300</v>
      </c>
      <c r="G63" s="22" t="s">
        <v>300</v>
      </c>
      <c r="H63" s="23" t="s">
        <v>301</v>
      </c>
      <c r="I63" s="19" t="s">
        <v>302</v>
      </c>
      <c r="J63" s="19"/>
      <c r="K63" s="23">
        <f xml:space="preserve"> LEN(C63)</f>
        <v>1</v>
      </c>
      <c r="L63" s="24"/>
      <c r="M63" s="19" t="str">
        <f t="shared" si="11"/>
        <v>u</v>
      </c>
      <c r="N63" s="19" t="str">
        <f t="shared" si="12"/>
        <v>ㄨ</v>
      </c>
      <c r="P63" s="3" t="str">
        <f t="shared" si="5"/>
        <v>u(\d)</v>
      </c>
      <c r="Q63" s="5" t="s">
        <v>25</v>
      </c>
      <c r="R63" s="5" t="str">
        <f t="shared" si="6"/>
        <v/>
      </c>
      <c r="S63" s="3" t="str">
        <f t="shared" si="10"/>
        <v/>
      </c>
      <c r="T63" s="25"/>
      <c r="U63" s="26" t="str">
        <f t="shared" si="7"/>
        <v xml:space="preserve">    - xform/》u(\d)//</v>
      </c>
    </row>
    <row r="64" spans="1:21" ht="27.75" thickBot="1">
      <c r="A64" s="19">
        <v>61</v>
      </c>
      <c r="B64" s="20" t="s">
        <v>303</v>
      </c>
      <c r="C64" s="21" t="s">
        <v>304</v>
      </c>
      <c r="D64" s="19" t="s">
        <v>304</v>
      </c>
      <c r="E64" s="19" t="s">
        <v>304</v>
      </c>
      <c r="F64" s="19" t="s">
        <v>304</v>
      </c>
      <c r="G64" s="22" t="s">
        <v>304</v>
      </c>
      <c r="H64" s="23" t="s">
        <v>305</v>
      </c>
      <c r="I64" s="19" t="s">
        <v>306</v>
      </c>
      <c r="J64" s="19"/>
      <c r="K64" s="23">
        <f xml:space="preserve"> LEN(C64)</f>
        <v>2</v>
      </c>
      <c r="L64" s="24"/>
      <c r="M64" s="19" t="str">
        <f t="shared" si="11"/>
        <v>uh</v>
      </c>
      <c r="N64" s="19" t="str">
        <f t="shared" si="12"/>
        <v>ㄨㆷ</v>
      </c>
      <c r="P64" s="3" t="str">
        <f t="shared" si="5"/>
        <v>uh(\d)</v>
      </c>
      <c r="Q64" s="5" t="s">
        <v>46</v>
      </c>
      <c r="R64" s="5" t="str">
        <f t="shared" si="6"/>
        <v/>
      </c>
      <c r="S64" s="3" t="str">
        <f t="shared" si="10"/>
        <v/>
      </c>
      <c r="T64" s="25"/>
      <c r="U64" s="26" t="str">
        <f t="shared" si="7"/>
        <v xml:space="preserve">    - xform/》uh(\d)//</v>
      </c>
    </row>
    <row r="65" spans="1:21" ht="27.75" thickBot="1">
      <c r="A65" s="19">
        <v>62</v>
      </c>
      <c r="B65" s="20" t="s">
        <v>307</v>
      </c>
      <c r="C65" s="21" t="s">
        <v>307</v>
      </c>
      <c r="D65" s="19" t="s">
        <v>307</v>
      </c>
      <c r="E65" s="19" t="s">
        <v>307</v>
      </c>
      <c r="F65" s="19" t="s">
        <v>307</v>
      </c>
      <c r="G65" s="22" t="s">
        <v>307</v>
      </c>
      <c r="H65" s="23" t="s">
        <v>308</v>
      </c>
      <c r="I65" s="19" t="s">
        <v>309</v>
      </c>
      <c r="J65" s="19"/>
      <c r="K65" s="23">
        <f xml:space="preserve"> LEN(C65)</f>
        <v>2</v>
      </c>
      <c r="L65" s="24"/>
      <c r="M65" s="19" t="str">
        <f t="shared" si="11"/>
        <v>un</v>
      </c>
      <c r="N65" s="19" t="str">
        <f t="shared" si="12"/>
        <v>ㄨㄣ</v>
      </c>
      <c r="P65" s="3" t="str">
        <f t="shared" si="5"/>
        <v>un(\d)</v>
      </c>
      <c r="Q65" s="5" t="s">
        <v>33</v>
      </c>
      <c r="R65" s="5" t="str">
        <f t="shared" si="6"/>
        <v/>
      </c>
      <c r="S65" s="3" t="str">
        <f t="shared" si="10"/>
        <v/>
      </c>
      <c r="T65" s="25"/>
      <c r="U65" s="26" t="str">
        <f t="shared" si="7"/>
        <v xml:space="preserve">    - xform/》un(\d)//</v>
      </c>
    </row>
    <row r="66" spans="1:21" ht="27.75" thickBot="1">
      <c r="A66" s="19">
        <v>63</v>
      </c>
      <c r="B66" s="20" t="s">
        <v>310</v>
      </c>
      <c r="C66" s="21" t="s">
        <v>311</v>
      </c>
      <c r="D66" s="19" t="s">
        <v>311</v>
      </c>
      <c r="E66" s="19" t="s">
        <v>311</v>
      </c>
      <c r="F66" s="19" t="s">
        <v>311</v>
      </c>
      <c r="G66" s="22" t="s">
        <v>311</v>
      </c>
      <c r="H66" s="23" t="s">
        <v>312</v>
      </c>
      <c r="I66" s="19" t="s">
        <v>313</v>
      </c>
      <c r="J66" s="19"/>
      <c r="K66" s="23">
        <f xml:space="preserve"> LEN(C66)</f>
        <v>2</v>
      </c>
      <c r="L66" s="24"/>
      <c r="M66" s="19" t="str">
        <f t="shared" si="11"/>
        <v>ut</v>
      </c>
      <c r="N66" s="19" t="str">
        <f t="shared" si="12"/>
        <v>ㄨㆵ</v>
      </c>
      <c r="P66" s="3" t="str">
        <f t="shared" si="5"/>
        <v>ut(\d)</v>
      </c>
      <c r="Q66" s="5" t="s">
        <v>25</v>
      </c>
      <c r="R66" s="5" t="str">
        <f t="shared" si="6"/>
        <v/>
      </c>
      <c r="S66" s="3" t="str">
        <f t="shared" si="10"/>
        <v/>
      </c>
      <c r="T66" s="25"/>
      <c r="U66" s="26" t="str">
        <f t="shared" si="7"/>
        <v xml:space="preserve">    - xform/》ut(\d)//</v>
      </c>
    </row>
    <row r="67" spans="1:21" ht="27.75" thickBot="1">
      <c r="A67" s="19">
        <v>64</v>
      </c>
      <c r="B67" s="20" t="s">
        <v>314</v>
      </c>
      <c r="C67" s="21" t="s">
        <v>314</v>
      </c>
      <c r="D67" s="19" t="s">
        <v>314</v>
      </c>
      <c r="E67" s="19" t="s">
        <v>314</v>
      </c>
      <c r="F67" s="19" t="s">
        <v>314</v>
      </c>
      <c r="G67" s="22" t="s">
        <v>315</v>
      </c>
      <c r="H67" s="23" t="s">
        <v>316</v>
      </c>
      <c r="I67" s="19" t="s">
        <v>317</v>
      </c>
      <c r="J67" s="19"/>
      <c r="K67" s="23">
        <f xml:space="preserve"> LEN(C67)</f>
        <v>2</v>
      </c>
      <c r="L67" s="24"/>
      <c r="M67" s="19" t="str">
        <f t="shared" ref="M67:M85" si="13">E67</f>
        <v>ua</v>
      </c>
      <c r="N67" s="19" t="str">
        <f t="shared" ref="N67:N85" si="14">I67</f>
        <v>ㄨㄚ</v>
      </c>
      <c r="P67" s="3" t="str">
        <f t="shared" si="5"/>
        <v>ua(\d)</v>
      </c>
      <c r="Q67" s="5" t="s">
        <v>46</v>
      </c>
      <c r="R67" s="5" t="str">
        <f t="shared" si="6"/>
        <v/>
      </c>
      <c r="S67" s="3" t="str">
        <f t="shared" si="10"/>
        <v/>
      </c>
      <c r="T67" s="25"/>
      <c r="U67" s="26" t="str">
        <f t="shared" si="7"/>
        <v xml:space="preserve">    - xform/》ua(\d)//</v>
      </c>
    </row>
    <row r="68" spans="1:21" ht="27.75" thickBot="1">
      <c r="A68" s="19">
        <v>65</v>
      </c>
      <c r="B68" s="20" t="s">
        <v>318</v>
      </c>
      <c r="C68" s="21" t="s">
        <v>319</v>
      </c>
      <c r="D68" s="19" t="s">
        <v>319</v>
      </c>
      <c r="E68" s="19" t="s">
        <v>319</v>
      </c>
      <c r="F68" s="19" t="s">
        <v>320</v>
      </c>
      <c r="G68" s="22" t="s">
        <v>321</v>
      </c>
      <c r="H68" s="23" t="s">
        <v>322</v>
      </c>
      <c r="I68" s="19" t="s">
        <v>323</v>
      </c>
      <c r="J68" s="19"/>
      <c r="K68" s="23">
        <f xml:space="preserve"> LEN(C68)</f>
        <v>4</v>
      </c>
      <c r="L68" s="24"/>
      <c r="M68" s="19" t="str">
        <f t="shared" si="13"/>
        <v>uann</v>
      </c>
      <c r="N68" s="19" t="str">
        <f t="shared" si="14"/>
        <v>ㄨㆩ</v>
      </c>
      <c r="P68" s="3" t="str">
        <f t="shared" si="5"/>
        <v>uann(\d)</v>
      </c>
      <c r="Q68" s="5" t="s">
        <v>33</v>
      </c>
      <c r="R68" s="5" t="str">
        <f t="shared" si="6"/>
        <v/>
      </c>
      <c r="S68" s="3" t="str">
        <f t="shared" si="10"/>
        <v/>
      </c>
      <c r="T68" s="25"/>
      <c r="U68" s="26" t="str">
        <f t="shared" si="7"/>
        <v xml:space="preserve">    - xform/》uann(\d)//</v>
      </c>
    </row>
    <row r="69" spans="1:21" ht="27.75" thickBot="1">
      <c r="A69" s="19">
        <v>66</v>
      </c>
      <c r="B69" s="20" t="s">
        <v>324</v>
      </c>
      <c r="C69" s="21" t="s">
        <v>325</v>
      </c>
      <c r="D69" s="19" t="s">
        <v>325</v>
      </c>
      <c r="E69" s="19" t="s">
        <v>325</v>
      </c>
      <c r="F69" s="19" t="s">
        <v>325</v>
      </c>
      <c r="G69" s="22" t="s">
        <v>326</v>
      </c>
      <c r="H69" s="23" t="s">
        <v>327</v>
      </c>
      <c r="I69" s="19" t="s">
        <v>328</v>
      </c>
      <c r="J69" s="19"/>
      <c r="K69" s="23">
        <f xml:space="preserve"> LEN(C69)</f>
        <v>3</v>
      </c>
      <c r="L69" s="24"/>
      <c r="M69" s="19" t="str">
        <f t="shared" si="13"/>
        <v>uah</v>
      </c>
      <c r="N69" s="19" t="str">
        <f t="shared" si="14"/>
        <v>ㄨㄚㆷ</v>
      </c>
      <c r="P69" s="3" t="str">
        <f t="shared" ref="P69:P85" si="15" xml:space="preserve"> _xlfn.CONCAT(M69, "(\d)")</f>
        <v>uah(\d)</v>
      </c>
      <c r="Q69" s="5" t="s">
        <v>33</v>
      </c>
      <c r="R69" s="5" t="str">
        <f t="shared" ref="R69:R85" si="16" xml:space="preserve"> IFERROR( IF(Q69="", "", SEARCH(Q69, $M69)), "")</f>
        <v/>
      </c>
      <c r="S69" s="3" t="str">
        <f t="shared" si="10"/>
        <v/>
      </c>
      <c r="T69" s="25"/>
      <c r="U69" s="26" t="str">
        <f t="shared" ref="U69:U85" si="17" xml:space="preserve"> IF(AND(N69&lt;&gt;"", M69&lt;&gt;""), "    - xform/》" &amp; P69 &amp;  "/"  &amp; S69 &amp;  "/", "")</f>
        <v xml:space="preserve">    - xform/》uah(\d)//</v>
      </c>
    </row>
    <row r="70" spans="1:21" ht="27.75" thickBot="1">
      <c r="A70" s="19">
        <v>67</v>
      </c>
      <c r="B70" s="20" t="s">
        <v>329</v>
      </c>
      <c r="C70" s="21" t="s">
        <v>329</v>
      </c>
      <c r="D70" s="19" t="s">
        <v>329</v>
      </c>
      <c r="E70" s="19" t="s">
        <v>329</v>
      </c>
      <c r="F70" s="19" t="s">
        <v>329</v>
      </c>
      <c r="G70" s="22" t="s">
        <v>330</v>
      </c>
      <c r="H70" s="23" t="s">
        <v>331</v>
      </c>
      <c r="I70" s="19" t="s">
        <v>332</v>
      </c>
      <c r="J70" s="19"/>
      <c r="K70" s="23">
        <f xml:space="preserve"> LEN(C70)</f>
        <v>3</v>
      </c>
      <c r="L70" s="24"/>
      <c r="M70" s="19" t="str">
        <f t="shared" si="13"/>
        <v>uan</v>
      </c>
      <c r="N70" s="19" t="str">
        <f t="shared" si="14"/>
        <v>ㄨㄢ</v>
      </c>
      <c r="P70" s="3" t="str">
        <f t="shared" si="15"/>
        <v>uan(\d)</v>
      </c>
      <c r="Q70" s="5" t="s">
        <v>33</v>
      </c>
      <c r="R70" s="5" t="str">
        <f t="shared" si="16"/>
        <v/>
      </c>
      <c r="S70" s="3" t="str">
        <f t="shared" ref="S70:S85" si="18" xml:space="preserve"> IFERROR( _xlfn.CONCAT(LEFT(M70,R70-1), "》", MID(M70,R70,1), "${1}", RIGHT(M70, LEN(M70)-R70)), "" )</f>
        <v/>
      </c>
      <c r="T70" s="25"/>
      <c r="U70" s="26" t="str">
        <f t="shared" si="17"/>
        <v xml:space="preserve">    - xform/》uan(\d)//</v>
      </c>
    </row>
    <row r="71" spans="1:21" ht="27.75" thickBot="1">
      <c r="A71" s="19">
        <v>68</v>
      </c>
      <c r="B71" s="20" t="s">
        <v>333</v>
      </c>
      <c r="C71" s="21" t="s">
        <v>334</v>
      </c>
      <c r="D71" s="19" t="s">
        <v>334</v>
      </c>
      <c r="E71" s="19" t="s">
        <v>334</v>
      </c>
      <c r="F71" s="19" t="s">
        <v>334</v>
      </c>
      <c r="G71" s="22" t="s">
        <v>335</v>
      </c>
      <c r="H71" s="23" t="s">
        <v>336</v>
      </c>
      <c r="I71" s="19" t="s">
        <v>337</v>
      </c>
      <c r="J71" s="19"/>
      <c r="K71" s="23">
        <f xml:space="preserve"> LEN(C71)</f>
        <v>4</v>
      </c>
      <c r="L71" s="24"/>
      <c r="M71" s="19" t="str">
        <f t="shared" si="13"/>
        <v>uang</v>
      </c>
      <c r="N71" s="19" t="str">
        <f t="shared" si="14"/>
        <v>ㄨㄤ</v>
      </c>
      <c r="P71" s="3" t="str">
        <f t="shared" si="15"/>
        <v>uang(\d)</v>
      </c>
      <c r="Q71" s="5" t="s">
        <v>33</v>
      </c>
      <c r="R71" s="5" t="str">
        <f t="shared" si="16"/>
        <v/>
      </c>
      <c r="S71" s="3" t="str">
        <f t="shared" si="18"/>
        <v/>
      </c>
      <c r="T71" s="25"/>
      <c r="U71" s="26" t="str">
        <f t="shared" si="17"/>
        <v xml:space="preserve">    - xform/》uang(\d)//</v>
      </c>
    </row>
    <row r="72" spans="1:21" ht="27.75" thickBot="1">
      <c r="A72" s="19">
        <v>69</v>
      </c>
      <c r="B72" s="20" t="s">
        <v>338</v>
      </c>
      <c r="C72" s="21" t="s">
        <v>339</v>
      </c>
      <c r="D72" s="19" t="s">
        <v>339</v>
      </c>
      <c r="E72" s="19" t="s">
        <v>339</v>
      </c>
      <c r="F72" s="19" t="s">
        <v>339</v>
      </c>
      <c r="G72" s="22" t="s">
        <v>340</v>
      </c>
      <c r="H72" s="23" t="s">
        <v>341</v>
      </c>
      <c r="I72" s="19" t="s">
        <v>342</v>
      </c>
      <c r="J72" s="19"/>
      <c r="K72" s="23">
        <f xml:space="preserve"> LEN(C72)</f>
        <v>3</v>
      </c>
      <c r="L72" s="24"/>
      <c r="M72" s="19" t="str">
        <f t="shared" si="13"/>
        <v>uat</v>
      </c>
      <c r="N72" s="19" t="str">
        <f t="shared" si="14"/>
        <v>ㄨㄚㆵ</v>
      </c>
      <c r="P72" s="3" t="str">
        <f t="shared" si="15"/>
        <v>uat(\d)</v>
      </c>
      <c r="Q72" s="5" t="s">
        <v>33</v>
      </c>
      <c r="R72" s="5" t="str">
        <f t="shared" si="16"/>
        <v/>
      </c>
      <c r="S72" s="3" t="str">
        <f t="shared" si="18"/>
        <v/>
      </c>
      <c r="T72" s="25"/>
      <c r="U72" s="26" t="str">
        <f t="shared" si="17"/>
        <v xml:space="preserve">    - xform/》uat(\d)//</v>
      </c>
    </row>
    <row r="73" spans="1:21" ht="27.75" thickBot="1">
      <c r="A73" s="19">
        <v>70</v>
      </c>
      <c r="B73" s="20" t="s">
        <v>343</v>
      </c>
      <c r="C73" s="21" t="s">
        <v>343</v>
      </c>
      <c r="D73" s="19" t="s">
        <v>343</v>
      </c>
      <c r="E73" s="19" t="s">
        <v>343</v>
      </c>
      <c r="F73" s="19" t="s">
        <v>343</v>
      </c>
      <c r="G73" s="22" t="s">
        <v>344</v>
      </c>
      <c r="H73" s="23" t="s">
        <v>345</v>
      </c>
      <c r="I73" s="19" t="s">
        <v>346</v>
      </c>
      <c r="J73" s="19"/>
      <c r="K73" s="23">
        <f xml:space="preserve"> LEN(C73)</f>
        <v>3</v>
      </c>
      <c r="L73" s="24"/>
      <c r="M73" s="19" t="str">
        <f t="shared" si="13"/>
        <v>uai</v>
      </c>
      <c r="N73" s="19" t="str">
        <f t="shared" si="14"/>
        <v>ㄨㄞ</v>
      </c>
      <c r="P73" s="3" t="str">
        <f t="shared" si="15"/>
        <v>uai(\d)</v>
      </c>
      <c r="Q73" s="5" t="s">
        <v>33</v>
      </c>
      <c r="R73" s="5">
        <f t="shared" si="16"/>
        <v>3</v>
      </c>
      <c r="S73" s="3" t="str">
        <f t="shared" si="18"/>
        <v>ua》i${1}</v>
      </c>
      <c r="T73" s="25"/>
      <c r="U73" s="26" t="str">
        <f t="shared" si="17"/>
        <v xml:space="preserve">    - xform/》uai(\d)/ua》i${1}/</v>
      </c>
    </row>
    <row r="74" spans="1:21" ht="27.75" thickBot="1">
      <c r="A74" s="19">
        <v>71</v>
      </c>
      <c r="B74" s="20" t="s">
        <v>347</v>
      </c>
      <c r="C74" s="21" t="s">
        <v>348</v>
      </c>
      <c r="D74" s="19" t="s">
        <v>348</v>
      </c>
      <c r="E74" s="19" t="s">
        <v>348</v>
      </c>
      <c r="F74" s="19" t="s">
        <v>349</v>
      </c>
      <c r="G74" s="22" t="s">
        <v>350</v>
      </c>
      <c r="H74" s="23" t="s">
        <v>351</v>
      </c>
      <c r="I74" s="19" t="s">
        <v>352</v>
      </c>
      <c r="J74" s="29" t="s">
        <v>32</v>
      </c>
      <c r="K74" s="23">
        <f xml:space="preserve"> LEN(C74)</f>
        <v>5</v>
      </c>
      <c r="L74" s="24"/>
      <c r="M74" s="19" t="str">
        <f t="shared" si="13"/>
        <v>uainn</v>
      </c>
      <c r="N74" s="19" t="str">
        <f t="shared" si="14"/>
        <v>ㄨㆮ</v>
      </c>
      <c r="P74" s="3" t="str">
        <f t="shared" si="15"/>
        <v>uainn(\d)</v>
      </c>
      <c r="Q74" s="5" t="s">
        <v>33</v>
      </c>
      <c r="R74" s="5">
        <f t="shared" si="16"/>
        <v>3</v>
      </c>
      <c r="S74" s="3" t="str">
        <f t="shared" si="18"/>
        <v>ua》i${1}nn</v>
      </c>
      <c r="T74" s="25"/>
      <c r="U74" s="26" t="str">
        <f t="shared" si="17"/>
        <v xml:space="preserve">    - xform/》uainn(\d)/ua》i${1}nn/</v>
      </c>
    </row>
    <row r="75" spans="1:21" ht="27.75" thickBot="1">
      <c r="A75" s="19">
        <v>72</v>
      </c>
      <c r="B75" s="20" t="s">
        <v>353</v>
      </c>
      <c r="C75" s="21" t="s">
        <v>354</v>
      </c>
      <c r="D75" s="19" t="s">
        <v>354</v>
      </c>
      <c r="E75" s="19" t="s">
        <v>354</v>
      </c>
      <c r="F75" s="19" t="s">
        <v>354</v>
      </c>
      <c r="G75" s="22" t="s">
        <v>355</v>
      </c>
      <c r="H75" s="23" t="s">
        <v>356</v>
      </c>
      <c r="I75" s="19" t="s">
        <v>357</v>
      </c>
      <c r="J75" s="19"/>
      <c r="K75" s="23">
        <f xml:space="preserve"> LEN(C75)</f>
        <v>4</v>
      </c>
      <c r="L75" s="24"/>
      <c r="M75" s="19" t="str">
        <f t="shared" si="13"/>
        <v>uaih</v>
      </c>
      <c r="N75" s="19" t="str">
        <f t="shared" si="14"/>
        <v>ㄨㄞㆷ</v>
      </c>
      <c r="P75" s="3" t="str">
        <f t="shared" si="15"/>
        <v>uaih(\d)</v>
      </c>
      <c r="Q75" s="5" t="s">
        <v>33</v>
      </c>
      <c r="R75" s="5">
        <f t="shared" si="16"/>
        <v>3</v>
      </c>
      <c r="S75" s="3" t="str">
        <f t="shared" si="18"/>
        <v>ua》i${1}h</v>
      </c>
      <c r="T75" s="25"/>
      <c r="U75" s="26" t="str">
        <f t="shared" si="17"/>
        <v xml:space="preserve">    - xform/》uaih(\d)/ua》i${1}h/</v>
      </c>
    </row>
    <row r="76" spans="1:21" ht="27.75" thickBot="1">
      <c r="A76" s="19">
        <v>73</v>
      </c>
      <c r="B76" s="20" t="s">
        <v>358</v>
      </c>
      <c r="C76" s="21" t="s">
        <v>359</v>
      </c>
      <c r="D76" s="19" t="s">
        <v>360</v>
      </c>
      <c r="E76" s="19" t="s">
        <v>359</v>
      </c>
      <c r="F76" s="31" t="s">
        <v>359</v>
      </c>
      <c r="G76" s="22" t="s">
        <v>361</v>
      </c>
      <c r="H76" s="23" t="s">
        <v>362</v>
      </c>
      <c r="I76" s="19" t="s">
        <v>363</v>
      </c>
      <c r="J76" s="29" t="s">
        <v>32</v>
      </c>
      <c r="K76" s="23">
        <f xml:space="preserve"> LEN(C76)</f>
        <v>6</v>
      </c>
      <c r="L76" s="24"/>
      <c r="M76" s="19" t="str">
        <f t="shared" si="13"/>
        <v>uainnh</v>
      </c>
      <c r="N76" s="19" t="str">
        <f t="shared" si="14"/>
        <v>ㄨㆮㆷ</v>
      </c>
      <c r="P76" s="3" t="str">
        <f t="shared" si="15"/>
        <v>uainnh(\d)</v>
      </c>
      <c r="Q76" s="5" t="s">
        <v>54</v>
      </c>
      <c r="R76" s="5" t="str">
        <f t="shared" si="16"/>
        <v/>
      </c>
      <c r="S76" s="3" t="str">
        <f t="shared" si="18"/>
        <v/>
      </c>
      <c r="T76" s="25"/>
      <c r="U76" s="26" t="str">
        <f t="shared" si="17"/>
        <v xml:space="preserve">    - xform/》uainnh(\d)//</v>
      </c>
    </row>
    <row r="77" spans="1:21" ht="27.75" thickBot="1">
      <c r="A77" s="19">
        <v>74</v>
      </c>
      <c r="B77" s="20" t="s">
        <v>364</v>
      </c>
      <c r="C77" s="21" t="s">
        <v>364</v>
      </c>
      <c r="D77" s="19" t="s">
        <v>364</v>
      </c>
      <c r="E77" s="19" t="s">
        <v>364</v>
      </c>
      <c r="F77" s="19" t="s">
        <v>364</v>
      </c>
      <c r="G77" s="22" t="s">
        <v>365</v>
      </c>
      <c r="H77" s="23" t="s">
        <v>366</v>
      </c>
      <c r="I77" s="19" t="s">
        <v>367</v>
      </c>
      <c r="J77" s="19"/>
      <c r="K77" s="23">
        <f xml:space="preserve"> LEN(C77)</f>
        <v>2</v>
      </c>
      <c r="L77" s="24"/>
      <c r="M77" s="19" t="str">
        <f t="shared" si="13"/>
        <v>ue</v>
      </c>
      <c r="N77" s="19" t="str">
        <f t="shared" si="14"/>
        <v>ㄨㆤ</v>
      </c>
      <c r="P77" s="3" t="str">
        <f t="shared" si="15"/>
        <v>ue(\d)</v>
      </c>
      <c r="Q77" s="5" t="s">
        <v>59</v>
      </c>
      <c r="R77" s="5" t="str">
        <f t="shared" si="16"/>
        <v/>
      </c>
      <c r="S77" s="3" t="str">
        <f t="shared" si="18"/>
        <v/>
      </c>
      <c r="T77" s="25"/>
      <c r="U77" s="26" t="str">
        <f t="shared" si="17"/>
        <v xml:space="preserve">    - xform/》ue(\d)//</v>
      </c>
    </row>
    <row r="78" spans="1:21" ht="27.75" thickBot="1">
      <c r="A78" s="19">
        <v>75</v>
      </c>
      <c r="B78" s="20" t="s">
        <v>368</v>
      </c>
      <c r="C78" s="21" t="s">
        <v>369</v>
      </c>
      <c r="D78" s="19" t="s">
        <v>369</v>
      </c>
      <c r="E78" s="19" t="s">
        <v>369</v>
      </c>
      <c r="F78" s="19" t="s">
        <v>369</v>
      </c>
      <c r="G78" s="22" t="s">
        <v>370</v>
      </c>
      <c r="H78" s="23" t="s">
        <v>371</v>
      </c>
      <c r="I78" s="19" t="s">
        <v>372</v>
      </c>
      <c r="J78" s="19"/>
      <c r="K78" s="23">
        <f xml:space="preserve"> LEN(C78)</f>
        <v>3</v>
      </c>
      <c r="L78" s="24"/>
      <c r="M78" s="19" t="str">
        <f t="shared" si="13"/>
        <v>ueh</v>
      </c>
      <c r="N78" s="19" t="str">
        <f t="shared" si="14"/>
        <v>ㄨㆤㆷ</v>
      </c>
      <c r="P78" s="3" t="str">
        <f t="shared" si="15"/>
        <v>ueh(\d)</v>
      </c>
      <c r="Q78" s="5" t="s">
        <v>50</v>
      </c>
      <c r="R78" s="5" t="str">
        <f t="shared" si="16"/>
        <v/>
      </c>
      <c r="S78" s="3" t="str">
        <f t="shared" si="18"/>
        <v/>
      </c>
      <c r="T78" s="25"/>
      <c r="U78" s="26" t="str">
        <f t="shared" si="17"/>
        <v xml:space="preserve">    - xform/》ueh(\d)//</v>
      </c>
    </row>
    <row r="79" spans="1:21" ht="27.75" thickBot="1">
      <c r="A79" s="19">
        <v>76</v>
      </c>
      <c r="B79" s="20" t="s">
        <v>373</v>
      </c>
      <c r="C79" s="21" t="s">
        <v>373</v>
      </c>
      <c r="D79" s="19" t="s">
        <v>373</v>
      </c>
      <c r="E79" s="19" t="s">
        <v>373</v>
      </c>
      <c r="F79" s="19" t="s">
        <v>373</v>
      </c>
      <c r="G79" s="22" t="s">
        <v>373</v>
      </c>
      <c r="H79" s="23" t="s">
        <v>374</v>
      </c>
      <c r="I79" s="19" t="s">
        <v>375</v>
      </c>
      <c r="J79" s="19"/>
      <c r="K79" s="23">
        <f xml:space="preserve"> LEN(C79)</f>
        <v>2</v>
      </c>
      <c r="L79" s="24"/>
      <c r="M79" s="19" t="str">
        <f t="shared" si="13"/>
        <v>ui</v>
      </c>
      <c r="N79" s="19" t="str">
        <f t="shared" si="14"/>
        <v>ㄨㄧ</v>
      </c>
      <c r="P79" s="3" t="str">
        <f t="shared" si="15"/>
        <v>ui(\d)</v>
      </c>
      <c r="Q79" s="5" t="s">
        <v>50</v>
      </c>
      <c r="R79" s="5" t="str">
        <f t="shared" si="16"/>
        <v/>
      </c>
      <c r="S79" s="3" t="str">
        <f t="shared" si="18"/>
        <v/>
      </c>
      <c r="T79" s="25"/>
      <c r="U79" s="26" t="str">
        <f t="shared" si="17"/>
        <v xml:space="preserve">    - xform/》ui(\d)//</v>
      </c>
    </row>
    <row r="80" spans="1:21" ht="27.75" thickBot="1">
      <c r="A80" s="19">
        <v>77</v>
      </c>
      <c r="B80" s="20" t="s">
        <v>376</v>
      </c>
      <c r="C80" s="21" t="s">
        <v>377</v>
      </c>
      <c r="D80" s="19" t="s">
        <v>377</v>
      </c>
      <c r="E80" s="19" t="s">
        <v>377</v>
      </c>
      <c r="F80" s="19" t="s">
        <v>378</v>
      </c>
      <c r="G80" s="22" t="s">
        <v>379</v>
      </c>
      <c r="H80" s="23" t="s">
        <v>380</v>
      </c>
      <c r="I80" s="19" t="s">
        <v>381</v>
      </c>
      <c r="J80" s="19"/>
      <c r="K80" s="23">
        <f xml:space="preserve"> LEN(C80)</f>
        <v>4</v>
      </c>
      <c r="L80" s="24"/>
      <c r="M80" s="19" t="str">
        <f t="shared" si="13"/>
        <v>uinn</v>
      </c>
      <c r="N80" s="19" t="str">
        <f t="shared" si="14"/>
        <v>ㄨㆪ</v>
      </c>
      <c r="P80" s="3" t="str">
        <f t="shared" si="15"/>
        <v>uinn(\d)</v>
      </c>
      <c r="Q80" s="5" t="s">
        <v>50</v>
      </c>
      <c r="R80" s="5" t="str">
        <f t="shared" si="16"/>
        <v/>
      </c>
      <c r="S80" s="3" t="str">
        <f t="shared" si="18"/>
        <v/>
      </c>
      <c r="T80" s="25"/>
      <c r="U80" s="26" t="str">
        <f t="shared" si="17"/>
        <v xml:space="preserve">    - xform/》uinn(\d)//</v>
      </c>
    </row>
    <row r="81" spans="1:21" ht="27.75" thickBot="1">
      <c r="A81" s="19">
        <v>78</v>
      </c>
      <c r="B81" s="20" t="s">
        <v>382</v>
      </c>
      <c r="C81" s="21" t="s">
        <v>383</v>
      </c>
      <c r="D81" s="31" t="s">
        <v>383</v>
      </c>
      <c r="E81" s="31" t="s">
        <v>383</v>
      </c>
      <c r="F81" s="31" t="s">
        <v>383</v>
      </c>
      <c r="G81" s="31" t="s">
        <v>383</v>
      </c>
      <c r="H81" s="35" t="s">
        <v>384</v>
      </c>
      <c r="I81" s="33" t="s">
        <v>385</v>
      </c>
      <c r="J81" s="29" t="s">
        <v>32</v>
      </c>
      <c r="K81" s="23">
        <f xml:space="preserve"> LEN(C81)</f>
        <v>3</v>
      </c>
      <c r="L81" s="24"/>
      <c r="M81" s="19" t="str">
        <f t="shared" si="13"/>
        <v>uih</v>
      </c>
      <c r="N81" s="19" t="str">
        <f t="shared" si="14"/>
        <v>ㄨㄧㆷ</v>
      </c>
      <c r="P81" s="3" t="str">
        <f t="shared" si="15"/>
        <v>uih(\d)</v>
      </c>
      <c r="Q81" s="5" t="s">
        <v>50</v>
      </c>
      <c r="R81" s="5" t="str">
        <f t="shared" si="16"/>
        <v/>
      </c>
      <c r="S81" s="3" t="str">
        <f t="shared" si="18"/>
        <v/>
      </c>
      <c r="T81" s="25"/>
      <c r="U81" s="26" t="str">
        <f t="shared" si="17"/>
        <v xml:space="preserve">    - xform/》uih(\d)//</v>
      </c>
    </row>
    <row r="82" spans="1:21" ht="27.75" thickBot="1">
      <c r="A82" s="19">
        <v>79</v>
      </c>
      <c r="B82" s="20" t="s">
        <v>386</v>
      </c>
      <c r="C82" s="21" t="s">
        <v>387</v>
      </c>
      <c r="D82" s="19" t="s">
        <v>387</v>
      </c>
      <c r="E82" s="19" t="s">
        <v>387</v>
      </c>
      <c r="F82" s="19" t="s">
        <v>387</v>
      </c>
      <c r="G82" s="22" t="s">
        <v>387</v>
      </c>
      <c r="H82" s="23" t="s">
        <v>388</v>
      </c>
      <c r="I82" s="19" t="s">
        <v>389</v>
      </c>
      <c r="J82" s="19"/>
      <c r="K82" s="23">
        <f xml:space="preserve"> LEN(C82)</f>
        <v>1</v>
      </c>
      <c r="L82" s="24"/>
      <c r="M82" s="19" t="str">
        <f t="shared" si="13"/>
        <v>m</v>
      </c>
      <c r="N82" s="19" t="str">
        <f t="shared" si="14"/>
        <v>ㆬ</v>
      </c>
      <c r="P82" s="3" t="str">
        <f t="shared" si="15"/>
        <v>m(\d)</v>
      </c>
      <c r="Q82" s="5" t="s">
        <v>38</v>
      </c>
      <c r="R82" s="5" t="str">
        <f t="shared" si="16"/>
        <v/>
      </c>
      <c r="S82" s="3" t="str">
        <f t="shared" si="18"/>
        <v/>
      </c>
      <c r="T82" s="25"/>
      <c r="U82" s="26" t="str">
        <f t="shared" si="17"/>
        <v xml:space="preserve">    - xform/》m(\d)//</v>
      </c>
    </row>
    <row r="83" spans="1:21" ht="27.75" thickBot="1">
      <c r="A83" s="19">
        <v>80</v>
      </c>
      <c r="B83" s="20" t="s">
        <v>390</v>
      </c>
      <c r="C83" s="21" t="s">
        <v>391</v>
      </c>
      <c r="D83" s="31" t="s">
        <v>391</v>
      </c>
      <c r="E83" s="31" t="s">
        <v>391</v>
      </c>
      <c r="F83" s="31" t="s">
        <v>391</v>
      </c>
      <c r="G83" s="31" t="s">
        <v>391</v>
      </c>
      <c r="H83" s="35" t="s">
        <v>392</v>
      </c>
      <c r="I83" s="34" t="s">
        <v>393</v>
      </c>
      <c r="J83" s="19"/>
      <c r="K83" s="23">
        <f xml:space="preserve"> LEN(C83)</f>
        <v>2</v>
      </c>
      <c r="L83" s="24"/>
      <c r="M83" s="19" t="str">
        <f t="shared" si="13"/>
        <v>mh</v>
      </c>
      <c r="N83" s="19" t="str">
        <f t="shared" si="14"/>
        <v>ㆬㆷ</v>
      </c>
      <c r="P83" s="3" t="str">
        <f t="shared" si="15"/>
        <v>mh(\d)</v>
      </c>
      <c r="Q83" s="5" t="s">
        <v>38</v>
      </c>
      <c r="R83" s="5" t="str">
        <f t="shared" si="16"/>
        <v/>
      </c>
      <c r="S83" s="3" t="str">
        <f t="shared" si="18"/>
        <v/>
      </c>
      <c r="T83" s="25"/>
      <c r="U83" s="26" t="str">
        <f t="shared" si="17"/>
        <v xml:space="preserve">    - xform/》mh(\d)//</v>
      </c>
    </row>
    <row r="84" spans="1:21" ht="27.75" thickBot="1">
      <c r="A84" s="19">
        <v>81</v>
      </c>
      <c r="B84" s="20" t="s">
        <v>394</v>
      </c>
      <c r="C84" s="21" t="s">
        <v>395</v>
      </c>
      <c r="D84" s="19" t="s">
        <v>395</v>
      </c>
      <c r="E84" s="19" t="s">
        <v>395</v>
      </c>
      <c r="F84" s="19" t="s">
        <v>395</v>
      </c>
      <c r="G84" s="22" t="s">
        <v>395</v>
      </c>
      <c r="H84" s="23" t="s">
        <v>396</v>
      </c>
      <c r="I84" s="19" t="s">
        <v>397</v>
      </c>
      <c r="J84" s="19"/>
      <c r="K84" s="23">
        <f xml:space="preserve"> LEN(C84)</f>
        <v>2</v>
      </c>
      <c r="L84" s="24"/>
      <c r="M84" s="19" t="str">
        <f t="shared" si="13"/>
        <v>ng</v>
      </c>
      <c r="N84" s="19" t="str">
        <f t="shared" si="14"/>
        <v>ㆭ</v>
      </c>
      <c r="P84" s="3" t="str">
        <f t="shared" si="15"/>
        <v>ng(\d)</v>
      </c>
      <c r="Q84" s="5" t="s">
        <v>38</v>
      </c>
      <c r="R84" s="5" t="str">
        <f t="shared" si="16"/>
        <v/>
      </c>
      <c r="S84" s="3" t="str">
        <f t="shared" si="18"/>
        <v/>
      </c>
      <c r="T84" s="25"/>
      <c r="U84" s="26" t="str">
        <f t="shared" si="17"/>
        <v xml:space="preserve">    - xform/》ng(\d)//</v>
      </c>
    </row>
    <row r="85" spans="1:21" ht="27.75" thickBot="1">
      <c r="A85" s="19">
        <v>82</v>
      </c>
      <c r="B85" s="20" t="s">
        <v>398</v>
      </c>
      <c r="C85" s="21" t="s">
        <v>399</v>
      </c>
      <c r="D85" s="31" t="s">
        <v>399</v>
      </c>
      <c r="E85" s="31" t="s">
        <v>399</v>
      </c>
      <c r="F85" s="31" t="s">
        <v>399</v>
      </c>
      <c r="G85" s="31" t="s">
        <v>399</v>
      </c>
      <c r="H85" s="35" t="s">
        <v>400</v>
      </c>
      <c r="I85" s="34" t="s">
        <v>401</v>
      </c>
      <c r="J85" s="19"/>
      <c r="K85" s="23">
        <f xml:space="preserve"> LEN(C85)</f>
        <v>3</v>
      </c>
      <c r="L85" s="24"/>
      <c r="M85" s="19" t="str">
        <f t="shared" si="13"/>
        <v>ngh</v>
      </c>
      <c r="N85" s="19" t="str">
        <f t="shared" si="14"/>
        <v>ㆭㆷ</v>
      </c>
      <c r="P85" s="3" t="str">
        <f t="shared" si="15"/>
        <v>ngh(\d)</v>
      </c>
      <c r="Q85" s="5" t="s">
        <v>38</v>
      </c>
      <c r="R85" s="5" t="str">
        <f t="shared" si="16"/>
        <v/>
      </c>
      <c r="S85" s="3" t="str">
        <f t="shared" si="18"/>
        <v/>
      </c>
      <c r="T85" s="25"/>
      <c r="U85" s="26" t="str">
        <f t="shared" si="17"/>
        <v xml:space="preserve">    - xform/》ngh(\d)//</v>
      </c>
    </row>
    <row r="86" spans="1:21" ht="27" thickBot="1"/>
    <row r="87" spans="1:21" ht="48.75" thickBot="1">
      <c r="B87" s="11" t="s">
        <v>402</v>
      </c>
      <c r="C87" s="11" t="s">
        <v>403</v>
      </c>
      <c r="D87" s="11" t="s">
        <v>403</v>
      </c>
    </row>
    <row r="88" spans="1:21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21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21" ht="27" thickBot="1"/>
    <row r="91" spans="1:21" ht="27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21" ht="27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21" ht="27" thickBot="1"/>
    <row r="94" spans="1:21" ht="27" thickBot="1">
      <c r="B94" s="11" t="s">
        <v>408</v>
      </c>
      <c r="C94" s="11" t="s">
        <v>409</v>
      </c>
    </row>
    <row r="95" spans="1:21" ht="27" thickBot="1">
      <c r="B95" s="11" t="s">
        <v>410</v>
      </c>
      <c r="C95" s="11" t="s">
        <v>411</v>
      </c>
    </row>
    <row r="97" spans="1:1">
      <c r="A97" s="1" t="str">
        <f xml:space="preserve"> "(""" &amp; _xlfn.TEXTJOIN(""",""",TRUE,F4:F85)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A4:K85">
    <sortCondition ref="A29:A8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【韻】韻母清單（工作表） </vt:lpstr>
      <vt:lpstr>【韻】韻母清單（白話字）</vt:lpstr>
      <vt:lpstr>【聲】聲母對照表（注音二式）</vt:lpstr>
      <vt:lpstr>【聲】聲母對照表 (台語注音)</vt:lpstr>
      <vt:lpstr>【韻】韻母清單（工作表）  (倒排序)</vt:lpstr>
      <vt:lpstr>【韻】韻母清單（工作表）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2026-05-08T04:09:33Z</dcterms:created>
  <dcterms:modified xsi:type="dcterms:W3CDTF">2026-05-08T14:24:13Z</dcterms:modified>
</cp:coreProperties>
</file>