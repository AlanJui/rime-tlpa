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22B2944D-8DC2-49E1-BDC3-2B8C97709FFC}" xr6:coauthVersionLast="47" xr6:coauthVersionMax="47" xr10:uidLastSave="{00000000-0000-0000-0000-000000000000}"/>
  <bookViews>
    <workbookView xWindow="-120" yWindow="-120" windowWidth="29040" windowHeight="15720" tabRatio="852" activeTab="4" xr2:uid="{7FF7F740-F631-4A1E-9C4D-C5EB90769954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RIME設定【閩拼】!$CS$1:$CS$2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RIME設定【閩拼】!$CS$4:$CX$4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6" i="5" l="1"/>
  <c r="BP6" i="5"/>
  <c r="BQ6" i="5"/>
  <c r="BO7" i="5"/>
  <c r="BP7" i="5"/>
  <c r="BQ7" i="5"/>
  <c r="BO8" i="5"/>
  <c r="BP8" i="5"/>
  <c r="BQ8" i="5"/>
  <c r="BO9" i="5"/>
  <c r="BP9" i="5"/>
  <c r="BQ9" i="5"/>
  <c r="BO10" i="5"/>
  <c r="BP10" i="5"/>
  <c r="BQ10" i="5"/>
  <c r="BO11" i="5"/>
  <c r="BP11" i="5"/>
  <c r="BQ11" i="5"/>
  <c r="BO12" i="5"/>
  <c r="BP12" i="5"/>
  <c r="BQ12" i="5"/>
  <c r="BO13" i="5"/>
  <c r="BP13" i="5"/>
  <c r="BQ13" i="5"/>
  <c r="BO14" i="5"/>
  <c r="BP14" i="5"/>
  <c r="BQ14" i="5"/>
  <c r="BO15" i="5"/>
  <c r="BP15" i="5"/>
  <c r="BQ15" i="5"/>
  <c r="BO16" i="5"/>
  <c r="BP16" i="5"/>
  <c r="BQ16" i="5"/>
  <c r="BO17" i="5"/>
  <c r="BP17" i="5"/>
  <c r="BQ17" i="5"/>
  <c r="BO18" i="5"/>
  <c r="BP18" i="5"/>
  <c r="BQ18" i="5"/>
  <c r="BO19" i="5"/>
  <c r="BP19" i="5"/>
  <c r="BQ19" i="5"/>
  <c r="BO20" i="5"/>
  <c r="BP20" i="5"/>
  <c r="BQ20" i="5"/>
  <c r="BO21" i="5"/>
  <c r="BP21" i="5"/>
  <c r="BQ21" i="5"/>
  <c r="BO22" i="5"/>
  <c r="BP22" i="5"/>
  <c r="BQ22" i="5"/>
  <c r="BO23" i="5"/>
  <c r="BP23" i="5"/>
  <c r="BQ23" i="5"/>
  <c r="BO24" i="5"/>
  <c r="BP24" i="5"/>
  <c r="BQ24" i="5"/>
  <c r="BO25" i="5"/>
  <c r="BP25" i="5"/>
  <c r="BQ25" i="5"/>
  <c r="BO26" i="5"/>
  <c r="BP26" i="5"/>
  <c r="BQ26" i="5"/>
  <c r="BO27" i="5"/>
  <c r="BP27" i="5"/>
  <c r="BQ27" i="5"/>
  <c r="BO28" i="5"/>
  <c r="BP28" i="5"/>
  <c r="BQ28" i="5"/>
  <c r="BO29" i="5"/>
  <c r="BP29" i="5"/>
  <c r="BQ29" i="5"/>
  <c r="BO30" i="5"/>
  <c r="BP30" i="5"/>
  <c r="BQ30" i="5"/>
  <c r="BO31" i="5"/>
  <c r="BP31" i="5"/>
  <c r="BQ31" i="5"/>
  <c r="BO32" i="5"/>
  <c r="BP32" i="5"/>
  <c r="BQ32" i="5"/>
  <c r="BO33" i="5"/>
  <c r="BP33" i="5"/>
  <c r="BQ33" i="5"/>
  <c r="BO34" i="5"/>
  <c r="BP34" i="5"/>
  <c r="BQ34" i="5"/>
  <c r="BO35" i="5"/>
  <c r="BP35" i="5"/>
  <c r="BQ35" i="5"/>
  <c r="BO36" i="5"/>
  <c r="BP36" i="5"/>
  <c r="BQ36" i="5"/>
  <c r="BO37" i="5"/>
  <c r="BP37" i="5"/>
  <c r="BQ37" i="5"/>
  <c r="BO38" i="5"/>
  <c r="BP38" i="5"/>
  <c r="BQ38" i="5"/>
  <c r="BO39" i="5"/>
  <c r="BP39" i="5"/>
  <c r="BQ39" i="5"/>
  <c r="BO40" i="5"/>
  <c r="BP40" i="5"/>
  <c r="BQ40" i="5"/>
  <c r="BO41" i="5"/>
  <c r="BP41" i="5"/>
  <c r="BQ41" i="5"/>
  <c r="BO42" i="5"/>
  <c r="BP42" i="5"/>
  <c r="BQ42" i="5"/>
  <c r="BO43" i="5"/>
  <c r="BP43" i="5"/>
  <c r="BQ43" i="5"/>
  <c r="BO44" i="5"/>
  <c r="BP44" i="5"/>
  <c r="BQ44" i="5"/>
  <c r="BO45" i="5"/>
  <c r="BP45" i="5"/>
  <c r="BQ45" i="5"/>
  <c r="BO46" i="5"/>
  <c r="BP46" i="5"/>
  <c r="BQ46" i="5"/>
  <c r="BO47" i="5"/>
  <c r="BP47" i="5"/>
  <c r="BQ47" i="5"/>
  <c r="BO48" i="5"/>
  <c r="BP48" i="5"/>
  <c r="BQ48" i="5"/>
  <c r="BO49" i="5"/>
  <c r="BP49" i="5"/>
  <c r="BQ49" i="5"/>
  <c r="BO50" i="5"/>
  <c r="BP50" i="5"/>
  <c r="BQ50" i="5"/>
  <c r="BO51" i="5"/>
  <c r="BP51" i="5"/>
  <c r="BQ51" i="5"/>
  <c r="BO52" i="5"/>
  <c r="BP52" i="5"/>
  <c r="BQ52" i="5"/>
  <c r="BO53" i="5"/>
  <c r="BP53" i="5"/>
  <c r="BQ53" i="5"/>
  <c r="BO54" i="5"/>
  <c r="BP54" i="5"/>
  <c r="BQ54" i="5"/>
  <c r="BO55" i="5"/>
  <c r="BP55" i="5"/>
  <c r="BQ55" i="5"/>
  <c r="BO56" i="5"/>
  <c r="BP56" i="5"/>
  <c r="BQ56" i="5"/>
  <c r="BO57" i="5"/>
  <c r="BP57" i="5"/>
  <c r="BQ57" i="5"/>
  <c r="BO58" i="5"/>
  <c r="BP58" i="5"/>
  <c r="BQ58" i="5"/>
  <c r="BO59" i="5"/>
  <c r="BP59" i="5"/>
  <c r="BQ59" i="5"/>
  <c r="BO60" i="5"/>
  <c r="BP60" i="5"/>
  <c r="BQ60" i="5"/>
  <c r="BO61" i="5"/>
  <c r="BP61" i="5"/>
  <c r="BQ61" i="5"/>
  <c r="BO62" i="5"/>
  <c r="BP62" i="5"/>
  <c r="BQ62" i="5"/>
  <c r="BO63" i="5"/>
  <c r="BP63" i="5"/>
  <c r="BQ63" i="5"/>
  <c r="BO64" i="5"/>
  <c r="BP64" i="5"/>
  <c r="BQ64" i="5"/>
  <c r="A5" i="33"/>
  <c r="A4" i="33"/>
  <c r="B2" i="33"/>
  <c r="B5" i="33" s="1"/>
  <c r="B1" i="33"/>
  <c r="B4" i="33" s="1"/>
  <c r="C1" i="33" l="1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BR58" i="5" l="1" a="1"/>
  <c r="BR58" i="5" s="1"/>
  <c r="BT58" i="5" s="1"/>
  <c r="BR59" i="5" a="1"/>
  <c r="BR59" i="5" s="1"/>
  <c r="BT59" i="5" s="1"/>
  <c r="BQ5" i="5"/>
  <c r="BP5" i="5"/>
  <c r="BO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O5" i="22" a="1"/>
  <c r="O5" i="22" s="1"/>
  <c r="N61" i="22"/>
  <c r="N62" i="22"/>
  <c r="N63" i="22"/>
  <c r="N64" i="22"/>
  <c r="DI56" i="5" l="1"/>
  <c r="DI55" i="5"/>
  <c r="DI54" i="5"/>
  <c r="DI53" i="5"/>
  <c r="DI52" i="5"/>
  <c r="DI51" i="5"/>
  <c r="DI50" i="5"/>
  <c r="DI49" i="5"/>
  <c r="DI48" i="5"/>
  <c r="DI47" i="5"/>
  <c r="DI46" i="5"/>
  <c r="DI45" i="5"/>
  <c r="DI44" i="5"/>
  <c r="DI43" i="5"/>
  <c r="DI42" i="5"/>
  <c r="DI41" i="5"/>
  <c r="DI40" i="5"/>
  <c r="DI39" i="5"/>
  <c r="DI38" i="5"/>
  <c r="DI37" i="5"/>
  <c r="DI36" i="5"/>
  <c r="DI35" i="5"/>
  <c r="DI34" i="5"/>
  <c r="DI33" i="5"/>
  <c r="DI31" i="5"/>
  <c r="DI30" i="5"/>
  <c r="DI29" i="5"/>
  <c r="DI28" i="5"/>
  <c r="DI27" i="5"/>
  <c r="DI26" i="5"/>
  <c r="BK16" i="5" a="1"/>
  <c r="BK16" i="5" s="1"/>
  <c r="BI16" i="5" a="1"/>
  <c r="BI16" i="5" s="1"/>
  <c r="BJ16" i="5" a="1"/>
  <c r="BJ16" i="5" s="1"/>
  <c r="DI19" i="5" l="1"/>
  <c r="DI18" i="5"/>
  <c r="DI17" i="5"/>
  <c r="DI16" i="5"/>
  <c r="DI15" i="5"/>
  <c r="DI20" i="5"/>
  <c r="DI21" i="5"/>
  <c r="DI9" i="5"/>
  <c r="DI10" i="5"/>
  <c r="DI22" i="5"/>
  <c r="DI11" i="5"/>
  <c r="DI12" i="5"/>
  <c r="DI24" i="5"/>
  <c r="DI13" i="5"/>
  <c r="DI25" i="5"/>
  <c r="DI23" i="5"/>
  <c r="DI14" i="5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2" i="31"/>
  <c r="G5" i="31" a="1"/>
  <c r="G5" i="31" s="1"/>
  <c r="BS7" i="5" s="1" a="1"/>
  <c r="BS7" i="5" s="1"/>
  <c r="H5" i="31" a="1"/>
  <c r="H5" i="31" s="1"/>
  <c r="I5" i="31" a="1"/>
  <c r="I5" i="31" s="1"/>
  <c r="J5" i="31" a="1"/>
  <c r="J5" i="31" s="1"/>
  <c r="BR7" i="5" s="1" a="1"/>
  <c r="BR7" i="5" s="1"/>
  <c r="BT7" i="5" s="1"/>
  <c r="G6" i="31" a="1"/>
  <c r="G6" i="31" s="1"/>
  <c r="BS8" i="5" s="1" a="1"/>
  <c r="BS8" i="5" s="1"/>
  <c r="H6" i="31" a="1"/>
  <c r="H6" i="31" s="1"/>
  <c r="I6" i="31" a="1"/>
  <c r="I6" i="31" s="1"/>
  <c r="J6" i="31" a="1"/>
  <c r="J6" i="31" s="1"/>
  <c r="BR8" i="5" s="1" a="1"/>
  <c r="BR8" i="5" s="1"/>
  <c r="BT8" i="5" s="1"/>
  <c r="H4" i="31" a="1"/>
  <c r="H4" i="31" s="1"/>
  <c r="I4" i="31" a="1"/>
  <c r="I4" i="31" s="1"/>
  <c r="J4" i="31" a="1"/>
  <c r="J4" i="31" s="1"/>
  <c r="BR6" i="5" s="1" a="1"/>
  <c r="BR6" i="5" s="1"/>
  <c r="BT6" i="5" s="1"/>
  <c r="G4" i="31" a="1"/>
  <c r="G4" i="31" s="1"/>
  <c r="BS6" i="5" s="1" a="1"/>
  <c r="BS6" i="5" s="1"/>
  <c r="B53" i="31"/>
  <c r="B58" i="31"/>
  <c r="B76" i="5" a="1"/>
  <c r="B76" i="5" s="1"/>
  <c r="B89" i="5" s="1"/>
  <c r="A70" i="5" s="1"/>
  <c r="B62" i="31"/>
  <c r="B60" i="31"/>
  <c r="B61" i="31"/>
  <c r="B59" i="31"/>
  <c r="B54" i="31"/>
  <c r="B57" i="31"/>
  <c r="B55" i="31"/>
  <c r="B56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105" i="5" a="1"/>
  <c r="R105" i="5" a="1"/>
  <c r="BD105" i="5" a="1"/>
  <c r="BE104" i="5" a="1"/>
  <c r="Q105" i="5" a="1"/>
  <c r="BB104" i="5" a="1"/>
  <c r="AV105" i="5" a="1"/>
  <c r="AD104" i="5" a="1"/>
  <c r="X104" i="5" a="1"/>
  <c r="BG105" i="5" a="1"/>
  <c r="Q104" i="5" a="1"/>
  <c r="AN105" i="5" a="1"/>
  <c r="L105" i="5" a="1"/>
  <c r="H104" i="5" a="1"/>
  <c r="AK105" i="5" a="1"/>
  <c r="S104" i="5" a="1"/>
  <c r="J105" i="5" a="1"/>
  <c r="AE105" i="5" a="1"/>
  <c r="AT104" i="5" a="1"/>
  <c r="B104" i="5" a="1"/>
  <c r="AS105" i="5" a="1"/>
  <c r="AI104" i="5" a="1"/>
  <c r="Z105" i="5" a="1"/>
  <c r="J104" i="5" a="1"/>
  <c r="AR104" i="5" a="1"/>
  <c r="AK104" i="5" a="1"/>
  <c r="BH105" i="5" a="1"/>
  <c r="AN104" i="5" a="1"/>
  <c r="C105" i="5" a="1"/>
  <c r="AA104" i="5" a="1"/>
  <c r="AJ104" i="5" a="1"/>
  <c r="G105" i="5" a="1"/>
  <c r="AS104" i="5" a="1"/>
  <c r="AY104" i="5" a="1"/>
  <c r="AY105" i="5" a="1"/>
  <c r="AJ105" i="5" a="1"/>
  <c r="AQ105" i="5" a="1"/>
  <c r="AQ104" i="5" a="1"/>
  <c r="BF104" i="5" a="1"/>
  <c r="BI104" i="5" a="1"/>
  <c r="AH105" i="5" a="1"/>
  <c r="I104" i="5" a="1"/>
  <c r="BH104" i="5" a="1"/>
  <c r="AB104" i="5" a="1"/>
  <c r="AG104" i="5" a="1"/>
  <c r="U105" i="5" a="1"/>
  <c r="AT105" i="5" a="1"/>
  <c r="BF105" i="5" a="1"/>
  <c r="W105" i="5" a="1"/>
  <c r="V104" i="5" a="1"/>
  <c r="AO104" i="5" a="1"/>
  <c r="B105" i="5" a="1"/>
  <c r="F105" i="5" a="1"/>
  <c r="Y104" i="5" a="1"/>
  <c r="AF105" i="5" a="1"/>
  <c r="AG105" i="5" a="1"/>
  <c r="AO105" i="5" a="1"/>
  <c r="AM104" i="5" a="1"/>
  <c r="K105" i="5" a="1"/>
  <c r="S105" i="5" a="1"/>
  <c r="F104" i="5" a="1"/>
  <c r="E105" i="5" a="1"/>
  <c r="AE104" i="5" a="1"/>
  <c r="T104" i="5" a="1"/>
  <c r="BG104" i="5" a="1"/>
  <c r="AX105" i="5" a="1"/>
  <c r="AH104" i="5" a="1"/>
  <c r="BA104" i="5" a="1"/>
  <c r="X105" i="5" a="1"/>
  <c r="AR105" i="5" a="1"/>
  <c r="AA105" i="5" a="1"/>
  <c r="AP105" i="5" a="1"/>
  <c r="P104" i="5" a="1"/>
  <c r="N104" i="5" a="1"/>
  <c r="Y69" i="5" a="1"/>
  <c r="K104" i="5" a="1"/>
  <c r="W104" i="5" a="1"/>
  <c r="AC105" i="5" a="1"/>
  <c r="C104" i="5" a="1"/>
  <c r="N105" i="5" a="1"/>
  <c r="BA105" i="5" a="1"/>
  <c r="BB105" i="5" a="1"/>
  <c r="AZ105" i="5" a="1"/>
  <c r="AD105" i="5" a="1"/>
  <c r="T105" i="5" a="1"/>
  <c r="D104" i="5" a="1"/>
  <c r="AM105" i="5" a="1"/>
  <c r="H105" i="5" a="1"/>
  <c r="G104" i="5" a="1"/>
  <c r="AZ104" i="5" a="1"/>
  <c r="V105" i="5" a="1"/>
  <c r="AP104" i="5" a="1"/>
  <c r="AF104" i="5" a="1"/>
  <c r="BC105" i="5" a="1"/>
  <c r="Z104" i="5" a="1"/>
  <c r="BD104" i="5" a="1"/>
  <c r="U104" i="5" a="1"/>
  <c r="BE105" i="5" a="1"/>
  <c r="O104" i="5" a="1"/>
  <c r="AL105" i="5" a="1"/>
  <c r="AB105" i="5" a="1"/>
  <c r="Y105" i="5" a="1"/>
  <c r="O105" i="5" a="1"/>
  <c r="E104" i="5" a="1"/>
  <c r="R104" i="5" a="1"/>
  <c r="I105" i="5" a="1"/>
  <c r="AU105" i="5" a="1"/>
  <c r="AC104" i="5" a="1"/>
  <c r="BC104" i="5" a="1"/>
  <c r="AW105" i="5" a="1"/>
  <c r="AI105" i="5" a="1"/>
  <c r="P105" i="5" a="1"/>
  <c r="L104" i="5" a="1"/>
  <c r="AL104" i="5" a="1"/>
  <c r="D105" i="5" a="1"/>
  <c r="BI105" i="5" a="1"/>
  <c r="BF18" i="5" l="1" a="1"/>
  <c r="BF18" i="5" s="1"/>
  <c r="I104" i="5"/>
  <c r="AG104" i="5"/>
  <c r="C105" i="5"/>
  <c r="AY105" i="5"/>
  <c r="D104" i="5"/>
  <c r="J104" i="5"/>
  <c r="P104" i="5"/>
  <c r="V104" i="5"/>
  <c r="AB104" i="5"/>
  <c r="AH104" i="5"/>
  <c r="AN104" i="5"/>
  <c r="AT104" i="5"/>
  <c r="AZ104" i="5"/>
  <c r="BF104" i="5"/>
  <c r="D105" i="5"/>
  <c r="J105" i="5"/>
  <c r="P105" i="5"/>
  <c r="V105" i="5"/>
  <c r="AB105" i="5"/>
  <c r="AH105" i="5"/>
  <c r="AN105" i="5"/>
  <c r="AT105" i="5"/>
  <c r="AZ105" i="5"/>
  <c r="BF105" i="5"/>
  <c r="U105" i="5"/>
  <c r="C104" i="5"/>
  <c r="U104" i="5"/>
  <c r="AY104" i="5"/>
  <c r="AG105" i="5"/>
  <c r="E104" i="5"/>
  <c r="K104" i="5"/>
  <c r="Q104" i="5"/>
  <c r="W104" i="5"/>
  <c r="AC104" i="5"/>
  <c r="AI104" i="5"/>
  <c r="AO104" i="5"/>
  <c r="BA104" i="5"/>
  <c r="BG104" i="5"/>
  <c r="E105" i="5"/>
  <c r="K105" i="5"/>
  <c r="Q105" i="5"/>
  <c r="W105" i="5"/>
  <c r="AC105" i="5"/>
  <c r="AI105" i="5"/>
  <c r="AO105" i="5"/>
  <c r="AU105" i="5"/>
  <c r="BA105" i="5"/>
  <c r="BG105" i="5"/>
  <c r="AA105" i="5"/>
  <c r="AS104" i="5"/>
  <c r="F104" i="5"/>
  <c r="L104" i="5"/>
  <c r="R104" i="5"/>
  <c r="X104" i="5"/>
  <c r="AD104" i="5"/>
  <c r="AJ104" i="5"/>
  <c r="AP104" i="5"/>
  <c r="BB104" i="5"/>
  <c r="BH104" i="5"/>
  <c r="F105" i="5"/>
  <c r="L105" i="5"/>
  <c r="R105" i="5"/>
  <c r="X105" i="5"/>
  <c r="AD105" i="5"/>
  <c r="AJ105" i="5"/>
  <c r="AP105" i="5"/>
  <c r="AV105" i="5"/>
  <c r="BB105" i="5"/>
  <c r="BH105" i="5"/>
  <c r="I105" i="5"/>
  <c r="O104" i="5"/>
  <c r="AM104" i="5"/>
  <c r="O105" i="5"/>
  <c r="G104" i="5"/>
  <c r="S104" i="5"/>
  <c r="Y104" i="5"/>
  <c r="AE104" i="5"/>
  <c r="AK104" i="5"/>
  <c r="AQ104" i="5"/>
  <c r="BC104" i="5"/>
  <c r="BI104" i="5"/>
  <c r="G105" i="5"/>
  <c r="M105" i="5"/>
  <c r="S105" i="5"/>
  <c r="Y105" i="5"/>
  <c r="AE105" i="5"/>
  <c r="AK105" i="5"/>
  <c r="AQ105" i="5"/>
  <c r="AW105" i="5"/>
  <c r="BC105" i="5"/>
  <c r="BI105" i="5"/>
  <c r="AS105" i="5"/>
  <c r="AA104" i="5"/>
  <c r="BE104" i="5"/>
  <c r="BE105" i="5"/>
  <c r="H104" i="5"/>
  <c r="N104" i="5"/>
  <c r="T104" i="5"/>
  <c r="Z104" i="5"/>
  <c r="AF104" i="5"/>
  <c r="AL104" i="5"/>
  <c r="AR104" i="5"/>
  <c r="BD104" i="5"/>
  <c r="H105" i="5"/>
  <c r="N105" i="5"/>
  <c r="T105" i="5"/>
  <c r="Z105" i="5"/>
  <c r="AF105" i="5"/>
  <c r="AL105" i="5"/>
  <c r="AR105" i="5"/>
  <c r="AX105" i="5"/>
  <c r="BD105" i="5"/>
  <c r="AM105" i="5"/>
  <c r="B105" i="5"/>
  <c r="B104" i="5"/>
  <c r="B94" i="5"/>
  <c r="A75" i="5" s="1"/>
  <c r="Y69" i="5"/>
  <c r="BH16" i="5" a="1"/>
  <c r="BH16" i="5" s="1"/>
  <c r="N60" i="22"/>
  <c r="B58" i="12"/>
  <c r="N59" i="22"/>
  <c r="BA16" i="5" a="1"/>
  <c r="BA16" i="5" s="1"/>
  <c r="CZ33" i="5"/>
  <c r="CZ34" i="5"/>
  <c r="CZ35" i="5"/>
  <c r="CZ36" i="5"/>
  <c r="CZ37" i="5"/>
  <c r="CZ38" i="5"/>
  <c r="CZ39" i="5"/>
  <c r="CZ40" i="5"/>
  <c r="CZ41" i="5"/>
  <c r="CZ42" i="5"/>
  <c r="CZ43" i="5"/>
  <c r="CZ44" i="5"/>
  <c r="CZ45" i="5"/>
  <c r="CZ46" i="5"/>
  <c r="CZ47" i="5"/>
  <c r="CZ48" i="5"/>
  <c r="CZ49" i="5"/>
  <c r="CZ50" i="5"/>
  <c r="CZ51" i="5"/>
  <c r="CZ52" i="5"/>
  <c r="CZ53" i="5"/>
  <c r="CZ54" i="5"/>
  <c r="CZ55" i="5"/>
  <c r="CZ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Z108" i="5" a="1"/>
  <c r="AL108" i="5" a="1"/>
  <c r="W108" i="5" a="1"/>
  <c r="AM108" i="5" a="1"/>
  <c r="AC108" i="5" a="1"/>
  <c r="Q108" i="5" a="1"/>
  <c r="BD108" i="5" a="1"/>
  <c r="U108" i="5" a="1"/>
  <c r="AO108" i="5" a="1"/>
  <c r="K108" i="5" a="1"/>
  <c r="BE108" i="5" a="1"/>
  <c r="AX108" i="5" a="1"/>
  <c r="O108" i="5" a="1"/>
  <c r="AI108" i="5" a="1"/>
  <c r="BB108" i="5" a="1"/>
  <c r="P108" i="5" a="1"/>
  <c r="J108" i="5" a="1"/>
  <c r="AT108" i="5" a="1"/>
  <c r="AQ108" i="5" a="1"/>
  <c r="G108" i="5" a="1"/>
  <c r="BH108" i="5" a="1"/>
  <c r="BI108" i="5" a="1"/>
  <c r="Y108" i="5" a="1"/>
  <c r="F108" i="5" a="1"/>
  <c r="N108" i="5" a="1"/>
  <c r="AJ108" i="5" a="1"/>
  <c r="AP108" i="5" a="1"/>
  <c r="C108" i="5" a="1"/>
  <c r="AF108" i="5" a="1"/>
  <c r="L108" i="5" a="1"/>
  <c r="AR108" i="5" a="1"/>
  <c r="AW108" i="5" a="1"/>
  <c r="AE108" i="5" a="1"/>
  <c r="T108" i="5" a="1"/>
  <c r="AN108" i="5" a="1"/>
  <c r="AV108" i="5" a="1"/>
  <c r="AD108" i="5" a="1"/>
  <c r="AZ108" i="5" a="1"/>
  <c r="B108" i="5" a="1"/>
  <c r="I108" i="5" a="1"/>
  <c r="S108" i="5" a="1"/>
  <c r="V108" i="5" a="1"/>
  <c r="R108" i="5" a="1"/>
  <c r="BF108" i="5" a="1"/>
  <c r="AU108" i="5" a="1"/>
  <c r="BG108" i="5" a="1"/>
  <c r="D108" i="5" a="1"/>
  <c r="AK108" i="5" a="1"/>
  <c r="X108" i="5" a="1"/>
  <c r="AS108" i="5" a="1"/>
  <c r="E108" i="5" a="1"/>
  <c r="AH108" i="5" a="1"/>
  <c r="AY108" i="5" a="1"/>
  <c r="H108" i="5" a="1"/>
  <c r="BA108" i="5" a="1"/>
  <c r="AB108" i="5" a="1"/>
  <c r="M108" i="5" a="1"/>
  <c r="AG108" i="5" a="1"/>
  <c r="BC108" i="5" a="1"/>
  <c r="AA108" i="5" a="1"/>
  <c r="B111" i="5" l="1"/>
  <c r="A93" i="5" s="1"/>
  <c r="B110" i="5"/>
  <c r="Y108" i="5"/>
  <c r="X108" i="5"/>
  <c r="BG108" i="5"/>
  <c r="J108" i="5"/>
  <c r="AS108" i="5"/>
  <c r="M108" i="5"/>
  <c r="F108" i="5"/>
  <c r="AU108" i="5"/>
  <c r="O108" i="5"/>
  <c r="AG108" i="5"/>
  <c r="BH108" i="5"/>
  <c r="AF108" i="5"/>
  <c r="AC108" i="5"/>
  <c r="AI108" i="5"/>
  <c r="AR108" i="5"/>
  <c r="AA108" i="5"/>
  <c r="BD108" i="5"/>
  <c r="BC108" i="5"/>
  <c r="E108" i="5"/>
  <c r="Q108" i="5"/>
  <c r="BF108" i="5"/>
  <c r="I108" i="5"/>
  <c r="AW108" i="5"/>
  <c r="BB108" i="5"/>
  <c r="K108" i="5"/>
  <c r="AZ108" i="5"/>
  <c r="AL108" i="5"/>
  <c r="AQ108" i="5"/>
  <c r="AV108" i="5"/>
  <c r="T108" i="5"/>
  <c r="AN108" i="5"/>
  <c r="AY108" i="5"/>
  <c r="AK108" i="5"/>
  <c r="AP108" i="5"/>
  <c r="BA108" i="5"/>
  <c r="AB108" i="5"/>
  <c r="AM108" i="5"/>
  <c r="AE108" i="5"/>
  <c r="AJ108" i="5"/>
  <c r="AO108" i="5"/>
  <c r="P108" i="5"/>
  <c r="U108" i="5"/>
  <c r="BE108" i="5"/>
  <c r="S108" i="5"/>
  <c r="AD108" i="5"/>
  <c r="W108" i="5"/>
  <c r="D108" i="5"/>
  <c r="Z108" i="5"/>
  <c r="BI108" i="5"/>
  <c r="G108" i="5"/>
  <c r="R108" i="5"/>
  <c r="AT108" i="5"/>
  <c r="C108" i="5"/>
  <c r="N108" i="5"/>
  <c r="V108" i="5"/>
  <c r="H108" i="5"/>
  <c r="L108" i="5"/>
  <c r="AH108" i="5"/>
  <c r="AX108" i="5"/>
  <c r="B108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B17" i="25" a="1"/>
  <c r="AT17" i="25" a="1"/>
  <c r="K17" i="25" a="1"/>
  <c r="AU17" i="25" a="1"/>
  <c r="AE17" i="25" a="1"/>
  <c r="AA17" i="25" a="1"/>
  <c r="L17" i="25" a="1"/>
  <c r="W17" i="25" a="1"/>
  <c r="E17" i="25" a="1"/>
  <c r="AZ17" i="25" a="1"/>
  <c r="AC17" i="25" a="1"/>
  <c r="AH17" i="25" a="1"/>
  <c r="AO17" i="25" a="1"/>
  <c r="S17" i="25" a="1"/>
  <c r="AG17" i="25" a="1"/>
  <c r="AP17" i="25" a="1"/>
  <c r="AM17" i="25" a="1"/>
  <c r="Q17" i="25" a="1"/>
  <c r="J17" i="25" a="1"/>
  <c r="G17" i="25" a="1"/>
  <c r="R17" i="25" a="1"/>
  <c r="P17" i="25" a="1"/>
  <c r="I17" i="25" a="1"/>
  <c r="BB17" i="25" a="1"/>
  <c r="T17" i="25" a="1"/>
  <c r="AX17" i="25" a="1"/>
  <c r="O17" i="25" a="1"/>
  <c r="D17" i="25" a="1"/>
  <c r="Z17" i="25" a="1"/>
  <c r="AR17" i="25" a="1"/>
  <c r="V17" i="25" a="1"/>
  <c r="AN17" i="25" a="1"/>
  <c r="BC17" i="25" a="1"/>
  <c r="BA17" i="25" a="1"/>
  <c r="AI17" i="25" a="1"/>
  <c r="AY17" i="25" a="1"/>
  <c r="AD17" i="25" a="1"/>
  <c r="AJ17" i="25" a="1"/>
  <c r="AV17" i="25" a="1"/>
  <c r="AQ17" i="25" a="1"/>
  <c r="F17" i="25" a="1"/>
  <c r="AF17" i="25" a="1"/>
  <c r="X17" i="25" a="1"/>
  <c r="AL17" i="25" a="1"/>
  <c r="N17" i="25" a="1"/>
  <c r="AS17" i="25" a="1"/>
  <c r="H17" i="25" a="1"/>
  <c r="U17" i="25" a="1"/>
  <c r="M17" i="25" a="1"/>
  <c r="AW17" i="25" a="1"/>
  <c r="Y17" i="25" a="1"/>
  <c r="AK17" i="25" a="1"/>
  <c r="BR54" i="5" l="1" a="1"/>
  <c r="BR54" i="5" s="1"/>
  <c r="BT54" i="5" s="1"/>
  <c r="J57" i="31" a="1"/>
  <c r="J57" i="31" s="1"/>
  <c r="BR57" i="5" s="1" a="1"/>
  <c r="BR57" i="5" s="1"/>
  <c r="BT57" i="5" s="1"/>
  <c r="BS55" i="5" a="1"/>
  <c r="BS55" i="5" s="1"/>
  <c r="G58" i="31" a="1"/>
  <c r="G58" i="31" s="1"/>
  <c r="BS58" i="5" s="1" a="1"/>
  <c r="BS58" i="5" s="1"/>
  <c r="BR55" i="5" a="1"/>
  <c r="BR55" i="5" s="1"/>
  <c r="BT55" i="5" s="1"/>
  <c r="BS56" i="5" a="1"/>
  <c r="BS56" i="5" s="1"/>
  <c r="I57" i="31" a="1"/>
  <c r="I57" i="31" s="1"/>
  <c r="BS54" i="5" a="1"/>
  <c r="BS54" i="5" s="1"/>
  <c r="H57" i="31" a="1"/>
  <c r="H57" i="31" s="1"/>
  <c r="BR56" i="5" a="1"/>
  <c r="BR56" i="5" s="1"/>
  <c r="BT56" i="5" s="1"/>
  <c r="G57" i="31" a="1"/>
  <c r="G57" i="31" s="1"/>
  <c r="BS57" i="5" s="1" a="1"/>
  <c r="BS57" i="5" s="1"/>
  <c r="G26" i="31" a="1"/>
  <c r="G26" i="31" s="1"/>
  <c r="BS28" i="5" s="1" a="1"/>
  <c r="BS28" i="5" s="1"/>
  <c r="G27" i="31" a="1"/>
  <c r="G27" i="31" s="1"/>
  <c r="BS29" i="5" s="1" a="1"/>
  <c r="BS29" i="5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H28" i="31" a="1"/>
  <c r="H28" i="31" s="1"/>
  <c r="J30" i="31" a="1"/>
  <c r="J30" i="31" s="1"/>
  <c r="BR32" i="5" s="1" a="1"/>
  <c r="BR32" i="5" s="1"/>
  <c r="BT32" i="5" s="1"/>
  <c r="G33" i="31" a="1"/>
  <c r="G33" i="31" s="1"/>
  <c r="BS35" i="5" s="1" a="1"/>
  <c r="BS35" i="5" s="1"/>
  <c r="I35" i="31" a="1"/>
  <c r="I35" i="31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BS63" i="5" s="1" a="1"/>
  <c r="BS63" i="5" s="1"/>
  <c r="G62" i="31" a="1"/>
  <c r="G62" i="31" s="1"/>
  <c r="BS64" i="5" s="1" a="1"/>
  <c r="BS64" i="5" s="1"/>
  <c r="G35" i="31" a="1"/>
  <c r="G35" i="31" s="1"/>
  <c r="BS37" i="5" s="1" a="1"/>
  <c r="BS37" i="5" s="1"/>
  <c r="I8" i="31" a="1"/>
  <c r="I8" i="31" s="1"/>
  <c r="I7" i="31" a="1"/>
  <c r="I7" i="31" s="1"/>
  <c r="I12" i="31" a="1"/>
  <c r="I12" i="31" s="1"/>
  <c r="I14" i="31" a="1"/>
  <c r="I14" i="31" s="1"/>
  <c r="I15" i="31" a="1"/>
  <c r="I15" i="31" s="1"/>
  <c r="I17" i="31" a="1"/>
  <c r="I17" i="31" s="1"/>
  <c r="I19" i="31" a="1"/>
  <c r="I19" i="31" s="1"/>
  <c r="I21" i="31" a="1"/>
  <c r="I21" i="31" s="1"/>
  <c r="I23" i="31" a="1"/>
  <c r="I23" i="31" s="1"/>
  <c r="J25" i="31" a="1"/>
  <c r="J25" i="31" s="1"/>
  <c r="BR27" i="5" s="1" a="1"/>
  <c r="BR27" i="5" s="1"/>
  <c r="BT27" i="5" s="1"/>
  <c r="I28" i="31" a="1"/>
  <c r="I28" i="31" s="1"/>
  <c r="H33" i="31" a="1"/>
  <c r="H33" i="31" s="1"/>
  <c r="J35" i="31" a="1"/>
  <c r="J35" i="31" s="1"/>
  <c r="BR37" i="5" s="1" a="1"/>
  <c r="BR37" i="5" s="1"/>
  <c r="BT37" i="5" s="1"/>
  <c r="G38" i="31" a="1"/>
  <c r="G38" i="31" s="1"/>
  <c r="BS40" i="5" s="1" a="1"/>
  <c r="BS40" i="5" s="1"/>
  <c r="I40" i="31" a="1"/>
  <c r="I40" i="31" s="1"/>
  <c r="I41" i="31" a="1"/>
  <c r="I41" i="31" s="1"/>
  <c r="I44" i="31" a="1"/>
  <c r="I44" i="31" s="1"/>
  <c r="I46" i="31" a="1"/>
  <c r="I46" i="31" s="1"/>
  <c r="I48" i="31" a="1"/>
  <c r="I48" i="31" s="1"/>
  <c r="I50" i="31" a="1"/>
  <c r="I50" i="31" s="1"/>
  <c r="I59" i="31" a="1"/>
  <c r="I59" i="31" s="1"/>
  <c r="H61" i="31" a="1"/>
  <c r="H61" i="31" s="1"/>
  <c r="H62" i="31" a="1"/>
  <c r="H62" i="31" s="1"/>
  <c r="J8" i="31" a="1"/>
  <c r="J8" i="31" s="1"/>
  <c r="BR10" i="5" s="1" a="1"/>
  <c r="BR10" i="5" s="1"/>
  <c r="BT10" i="5" s="1"/>
  <c r="J7" i="31" a="1"/>
  <c r="J7" i="31" s="1"/>
  <c r="BR9" i="5" s="1" a="1"/>
  <c r="BR9" i="5" s="1"/>
  <c r="BT9" i="5" s="1"/>
  <c r="J12" i="31" a="1"/>
  <c r="J12" i="31" s="1"/>
  <c r="BR14" i="5" s="1" a="1"/>
  <c r="BR14" i="5" s="1"/>
  <c r="BT14" i="5" s="1"/>
  <c r="J14" i="31" a="1"/>
  <c r="J14" i="31" s="1"/>
  <c r="BR16" i="5" s="1" a="1"/>
  <c r="BR16" i="5" s="1"/>
  <c r="BT16" i="5" s="1"/>
  <c r="J15" i="31" a="1"/>
  <c r="J15" i="31" s="1"/>
  <c r="BR17" i="5" s="1" a="1"/>
  <c r="BR17" i="5" s="1"/>
  <c r="BT17" i="5" s="1"/>
  <c r="J17" i="31" a="1"/>
  <c r="J17" i="31" s="1"/>
  <c r="BR19" i="5" s="1" a="1"/>
  <c r="BR19" i="5" s="1"/>
  <c r="BT19" i="5" s="1"/>
  <c r="J19" i="31" a="1"/>
  <c r="J19" i="31" s="1"/>
  <c r="BR21" i="5" s="1" a="1"/>
  <c r="BR21" i="5" s="1"/>
  <c r="BT21" i="5" s="1"/>
  <c r="J21" i="31" a="1"/>
  <c r="J21" i="31" s="1"/>
  <c r="BR23" i="5" s="1" a="1"/>
  <c r="BR23" i="5" s="1"/>
  <c r="BT23" i="5" s="1"/>
  <c r="J23" i="31" a="1"/>
  <c r="J23" i="31" s="1"/>
  <c r="BR25" i="5" s="1" a="1"/>
  <c r="BR25" i="5" s="1"/>
  <c r="BT25" i="5" s="1"/>
  <c r="J28" i="31" a="1"/>
  <c r="J28" i="31" s="1"/>
  <c r="BR30" i="5" s="1" a="1"/>
  <c r="BR30" i="5" s="1"/>
  <c r="BT30" i="5" s="1"/>
  <c r="G31" i="31" a="1"/>
  <c r="G31" i="31" s="1"/>
  <c r="BS33" i="5" s="1" a="1"/>
  <c r="BS33" i="5" s="1"/>
  <c r="I33" i="31" a="1"/>
  <c r="I33" i="31" s="1"/>
  <c r="H38" i="31" a="1"/>
  <c r="H38" i="31" s="1"/>
  <c r="J40" i="31" a="1"/>
  <c r="J40" i="31" s="1"/>
  <c r="BR42" i="5" s="1" a="1"/>
  <c r="BR42" i="5" s="1"/>
  <c r="BT42" i="5" s="1"/>
  <c r="J41" i="31" a="1"/>
  <c r="J41" i="31" s="1"/>
  <c r="BR43" i="5" s="1" a="1"/>
  <c r="BR43" i="5" s="1"/>
  <c r="BT43" i="5" s="1"/>
  <c r="J44" i="31" a="1"/>
  <c r="J44" i="31" s="1"/>
  <c r="BR46" i="5" s="1" a="1"/>
  <c r="BR46" i="5" s="1"/>
  <c r="BT46" i="5" s="1"/>
  <c r="J46" i="31" a="1"/>
  <c r="J46" i="31" s="1"/>
  <c r="BR48" i="5" s="1" a="1"/>
  <c r="BR48" i="5" s="1"/>
  <c r="BT48" i="5" s="1"/>
  <c r="J48" i="31" a="1"/>
  <c r="J48" i="31" s="1"/>
  <c r="BR50" i="5" s="1" a="1"/>
  <c r="BR50" i="5" s="1"/>
  <c r="BT50" i="5" s="1"/>
  <c r="J50" i="31" a="1"/>
  <c r="J50" i="31" s="1"/>
  <c r="BR52" i="5" s="1" a="1"/>
  <c r="BR52" i="5" s="1"/>
  <c r="BT52" i="5" s="1"/>
  <c r="J59" i="31" a="1"/>
  <c r="J59" i="31" s="1"/>
  <c r="BR61" i="5" s="1" a="1"/>
  <c r="BR61" i="5" s="1"/>
  <c r="BT61" i="5" s="1"/>
  <c r="I61" i="31" a="1"/>
  <c r="I61" i="31" s="1"/>
  <c r="I62" i="31" a="1"/>
  <c r="I62" i="31" s="1"/>
  <c r="H26" i="31" a="1"/>
  <c r="H26" i="31" s="1"/>
  <c r="H31" i="31" a="1"/>
  <c r="H31" i="31" s="1"/>
  <c r="J33" i="31" a="1"/>
  <c r="J33" i="31" s="1"/>
  <c r="BR35" i="5" s="1" a="1"/>
  <c r="BR35" i="5" s="1"/>
  <c r="BT35" i="5" s="1"/>
  <c r="G36" i="31" a="1"/>
  <c r="G36" i="31" s="1"/>
  <c r="BS38" i="5" s="1" a="1"/>
  <c r="BS38" i="5" s="1"/>
  <c r="I38" i="31" a="1"/>
  <c r="I38" i="31" s="1"/>
  <c r="J61" i="31" a="1"/>
  <c r="J61" i="31" s="1"/>
  <c r="BR63" i="5" s="1" a="1"/>
  <c r="BR63" i="5" s="1"/>
  <c r="BT63" i="5" s="1"/>
  <c r="J62" i="31" a="1"/>
  <c r="J62" i="31" s="1"/>
  <c r="BR64" i="5" s="1" a="1"/>
  <c r="BR64" i="5" s="1"/>
  <c r="BT64" i="5" s="1"/>
  <c r="G52" i="31" a="1"/>
  <c r="G52" i="31" s="1"/>
  <c r="BS59" i="5" s="1" a="1"/>
  <c r="BS59" i="5" s="1"/>
  <c r="I26" i="31" a="1"/>
  <c r="I26" i="31" s="1"/>
  <c r="G29" i="31" a="1"/>
  <c r="G29" i="31" s="1"/>
  <c r="BS31" i="5" s="1" a="1"/>
  <c r="BS31" i="5" s="1"/>
  <c r="I31" i="31" a="1"/>
  <c r="I31" i="31" s="1"/>
  <c r="H36" i="31" a="1"/>
  <c r="H36" i="31" s="1"/>
  <c r="J38" i="31" a="1"/>
  <c r="J38" i="31" s="1"/>
  <c r="BR40" i="5" s="1" a="1"/>
  <c r="BR40" i="5" s="1"/>
  <c r="BT40" i="5" s="1"/>
  <c r="J32" i="31" a="1"/>
  <c r="J32" i="31" s="1"/>
  <c r="BR34" i="5" s="1" a="1"/>
  <c r="BR34" i="5" s="1"/>
  <c r="BT34" i="5" s="1"/>
  <c r="BE18" i="5" a="1"/>
  <c r="BE18" i="5" s="1"/>
  <c r="G3" i="31" a="1"/>
  <c r="G3" i="31" s="1"/>
  <c r="BS5" i="5" s="1" a="1"/>
  <c r="BS5" i="5" s="1"/>
  <c r="G9" i="31" a="1"/>
  <c r="G9" i="31" s="1"/>
  <c r="BS11" i="5" s="1" a="1"/>
  <c r="BS11" i="5" s="1"/>
  <c r="G10" i="31" a="1"/>
  <c r="G10" i="31" s="1"/>
  <c r="BS12" i="5" s="1" a="1"/>
  <c r="BS12" i="5" s="1"/>
  <c r="G13" i="31" a="1"/>
  <c r="G13" i="31" s="1"/>
  <c r="BS15" i="5" s="1" a="1"/>
  <c r="BS15" i="5" s="1"/>
  <c r="G11" i="31" a="1"/>
  <c r="G11" i="31" s="1"/>
  <c r="BS13" i="5" s="1" a="1"/>
  <c r="BS13" i="5" s="1"/>
  <c r="G16" i="31" a="1"/>
  <c r="G16" i="31" s="1"/>
  <c r="BS18" i="5" s="1" a="1"/>
  <c r="BS18" i="5" s="1"/>
  <c r="G18" i="31" a="1"/>
  <c r="G18" i="31" s="1"/>
  <c r="BS20" i="5" s="1" a="1"/>
  <c r="BS20" i="5" s="1"/>
  <c r="G20" i="31" a="1"/>
  <c r="G20" i="31" s="1"/>
  <c r="BS22" i="5" s="1" a="1"/>
  <c r="BS22" i="5" s="1"/>
  <c r="G22" i="31" a="1"/>
  <c r="G22" i="31" s="1"/>
  <c r="BS24" i="5" s="1" a="1"/>
  <c r="BS24" i="5" s="1"/>
  <c r="G24" i="31" a="1"/>
  <c r="G24" i="31" s="1"/>
  <c r="BS26" i="5" s="1" a="1"/>
  <c r="BS26" i="5" s="1"/>
  <c r="J26" i="31" a="1"/>
  <c r="J26" i="31" s="1"/>
  <c r="BR28" i="5" s="1" a="1"/>
  <c r="BR28" i="5" s="1"/>
  <c r="BT28" i="5" s="1"/>
  <c r="H29" i="31" a="1"/>
  <c r="H29" i="31" s="1"/>
  <c r="J31" i="31" a="1"/>
  <c r="J31" i="31" s="1"/>
  <c r="BR33" i="5" s="1" a="1"/>
  <c r="BR33" i="5" s="1"/>
  <c r="BT33" i="5" s="1"/>
  <c r="G34" i="31" a="1"/>
  <c r="G34" i="31" s="1"/>
  <c r="BS36" i="5" s="1" a="1"/>
  <c r="BS36" i="5" s="1"/>
  <c r="I36" i="31" a="1"/>
  <c r="I36" i="31" s="1"/>
  <c r="G42" i="31" a="1"/>
  <c r="G42" i="31" s="1"/>
  <c r="BS44" i="5" s="1" a="1"/>
  <c r="BS44" i="5" s="1"/>
  <c r="G43" i="31" a="1"/>
  <c r="G43" i="31" s="1"/>
  <c r="BS45" i="5" s="1" a="1"/>
  <c r="BS45" i="5" s="1"/>
  <c r="G45" i="31" a="1"/>
  <c r="G45" i="31" s="1"/>
  <c r="BS47" i="5" s="1" a="1"/>
  <c r="BS47" i="5" s="1"/>
  <c r="G47" i="31" a="1"/>
  <c r="G47" i="31" s="1"/>
  <c r="BS49" i="5" s="1" a="1"/>
  <c r="BS49" i="5" s="1"/>
  <c r="G49" i="31" a="1"/>
  <c r="G49" i="31" s="1"/>
  <c r="BS51" i="5" s="1" a="1"/>
  <c r="BS51" i="5" s="1"/>
  <c r="G51" i="31" a="1"/>
  <c r="G51" i="31" s="1"/>
  <c r="BS53" i="5" s="1" a="1"/>
  <c r="BS53" i="5" s="1"/>
  <c r="G53" i="31" a="1"/>
  <c r="G53" i="31" s="1"/>
  <c r="BS60" i="5" s="1" a="1"/>
  <c r="BS60" i="5" s="1"/>
  <c r="G25" i="31" a="1"/>
  <c r="G25" i="31" s="1"/>
  <c r="BS27" i="5" s="1" a="1"/>
  <c r="BS27" i="5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I29" i="31" a="1"/>
  <c r="I29" i="31" s="1"/>
  <c r="H34" i="31" a="1"/>
  <c r="H34" i="31" s="1"/>
  <c r="J36" i="31" a="1"/>
  <c r="J36" i="31" s="1"/>
  <c r="BR38" i="5" s="1" a="1"/>
  <c r="BR38" i="5" s="1"/>
  <c r="BT38" i="5" s="1"/>
  <c r="G39" i="31" a="1"/>
  <c r="G39" i="31" s="1"/>
  <c r="BS41" i="5" s="1" a="1"/>
  <c r="BS41" i="5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3" i="31" a="1"/>
  <c r="H53" i="31" s="1"/>
  <c r="G60" i="31" a="1"/>
  <c r="G60" i="31" s="1"/>
  <c r="BS62" i="5" s="1" a="1"/>
  <c r="BS62" i="5" s="1"/>
  <c r="H30" i="31" a="1"/>
  <c r="H30" i="31" s="1"/>
  <c r="I3" i="31" a="1"/>
  <c r="I3" i="31" s="1"/>
  <c r="I9" i="31" a="1"/>
  <c r="I9" i="31" s="1"/>
  <c r="I10" i="31" a="1"/>
  <c r="I10" i="31" s="1"/>
  <c r="I13" i="31" a="1"/>
  <c r="I13" i="31" s="1"/>
  <c r="I11" i="31" a="1"/>
  <c r="I11" i="31" s="1"/>
  <c r="I16" i="31" a="1"/>
  <c r="I16" i="31" s="1"/>
  <c r="I18" i="31" a="1"/>
  <c r="I18" i="31" s="1"/>
  <c r="I20" i="31" a="1"/>
  <c r="I20" i="31" s="1"/>
  <c r="I22" i="31" a="1"/>
  <c r="I22" i="31" s="1"/>
  <c r="I24" i="31" a="1"/>
  <c r="I24" i="31" s="1"/>
  <c r="H27" i="31" a="1"/>
  <c r="H27" i="31" s="1"/>
  <c r="J29" i="31" a="1"/>
  <c r="J29" i="31" s="1"/>
  <c r="BR31" i="5" s="1" a="1"/>
  <c r="BR31" i="5" s="1"/>
  <c r="BT31" i="5" s="1"/>
  <c r="G32" i="31" a="1"/>
  <c r="G32" i="31" s="1"/>
  <c r="BS34" i="5" s="1" a="1"/>
  <c r="BS34" i="5" s="1"/>
  <c r="I34" i="31" a="1"/>
  <c r="I34" i="31" s="1"/>
  <c r="H39" i="31" a="1"/>
  <c r="H39" i="31" s="1"/>
  <c r="I42" i="31" a="1"/>
  <c r="I42" i="31" s="1"/>
  <c r="I43" i="31" a="1"/>
  <c r="I43" i="31" s="1"/>
  <c r="I45" i="31" a="1"/>
  <c r="I45" i="31" s="1"/>
  <c r="I47" i="31" a="1"/>
  <c r="I47" i="31" s="1"/>
  <c r="I49" i="31" a="1"/>
  <c r="I49" i="31" s="1"/>
  <c r="I51" i="31" a="1"/>
  <c r="I51" i="31" s="1"/>
  <c r="I53" i="31" a="1"/>
  <c r="I53" i="31" s="1"/>
  <c r="H60" i="31" a="1"/>
  <c r="H60" i="31" s="1"/>
  <c r="J3" i="31" a="1"/>
  <c r="J3" i="31" s="1"/>
  <c r="BR5" i="5" s="1" a="1"/>
  <c r="BR5" i="5" s="1"/>
  <c r="J9" i="31" a="1"/>
  <c r="J9" i="31" s="1"/>
  <c r="BR11" i="5" s="1" a="1"/>
  <c r="BR11" i="5" s="1"/>
  <c r="BT11" i="5" s="1"/>
  <c r="J10" i="31" a="1"/>
  <c r="J10" i="31" s="1"/>
  <c r="BR12" i="5" s="1" a="1"/>
  <c r="BR12" i="5" s="1"/>
  <c r="BT12" i="5" s="1"/>
  <c r="J13" i="31" a="1"/>
  <c r="J13" i="31" s="1"/>
  <c r="BR15" i="5" s="1" a="1"/>
  <c r="BR15" i="5" s="1"/>
  <c r="BT15" i="5" s="1"/>
  <c r="J11" i="31" a="1"/>
  <c r="J11" i="31" s="1"/>
  <c r="BR13" i="5" s="1" a="1"/>
  <c r="BR13" i="5" s="1"/>
  <c r="BT13" i="5" s="1"/>
  <c r="J16" i="31" a="1"/>
  <c r="J16" i="31" s="1"/>
  <c r="BR18" i="5" s="1" a="1"/>
  <c r="BR18" i="5" s="1"/>
  <c r="BT18" i="5" s="1"/>
  <c r="J18" i="31" a="1"/>
  <c r="J18" i="31" s="1"/>
  <c r="BR20" i="5" s="1" a="1"/>
  <c r="BR20" i="5" s="1"/>
  <c r="BT20" i="5" s="1"/>
  <c r="J20" i="31" a="1"/>
  <c r="J20" i="31" s="1"/>
  <c r="BR22" i="5" s="1" a="1"/>
  <c r="BR22" i="5" s="1"/>
  <c r="BT22" i="5" s="1"/>
  <c r="J22" i="31" a="1"/>
  <c r="J22" i="31" s="1"/>
  <c r="BR24" i="5" s="1" a="1"/>
  <c r="BR24" i="5" s="1"/>
  <c r="BT24" i="5" s="1"/>
  <c r="J24" i="31" a="1"/>
  <c r="J24" i="31" s="1"/>
  <c r="BR26" i="5" s="1" a="1"/>
  <c r="BR26" i="5" s="1"/>
  <c r="BT26" i="5" s="1"/>
  <c r="I27" i="31" a="1"/>
  <c r="I27" i="31" s="1"/>
  <c r="H32" i="31" a="1"/>
  <c r="H32" i="31" s="1"/>
  <c r="J34" i="31" a="1"/>
  <c r="J34" i="31" s="1"/>
  <c r="BR36" i="5" s="1" a="1"/>
  <c r="BR36" i="5" s="1"/>
  <c r="BT36" i="5" s="1"/>
  <c r="G37" i="31" a="1"/>
  <c r="G37" i="31" s="1"/>
  <c r="BS39" i="5" s="1" a="1"/>
  <c r="BS39" i="5" s="1"/>
  <c r="I39" i="31" a="1"/>
  <c r="I39" i="31" s="1"/>
  <c r="J42" i="31" a="1"/>
  <c r="J42" i="31" s="1"/>
  <c r="BR44" i="5" s="1" a="1"/>
  <c r="BR44" i="5" s="1"/>
  <c r="BT44" i="5" s="1"/>
  <c r="J43" i="31" a="1"/>
  <c r="J43" i="31" s="1"/>
  <c r="BR45" i="5" s="1" a="1"/>
  <c r="BR45" i="5" s="1"/>
  <c r="BT45" i="5" s="1"/>
  <c r="J45" i="31" a="1"/>
  <c r="J45" i="31" s="1"/>
  <c r="BR47" i="5" s="1" a="1"/>
  <c r="BR47" i="5" s="1"/>
  <c r="BT47" i="5" s="1"/>
  <c r="J47" i="31" a="1"/>
  <c r="J47" i="31" s="1"/>
  <c r="BR49" i="5" s="1" a="1"/>
  <c r="BR49" i="5" s="1"/>
  <c r="BT49" i="5" s="1"/>
  <c r="J49" i="31" a="1"/>
  <c r="J49" i="31" s="1"/>
  <c r="BR51" i="5" s="1" a="1"/>
  <c r="BR51" i="5" s="1"/>
  <c r="BT51" i="5" s="1"/>
  <c r="J51" i="31" a="1"/>
  <c r="J51" i="31" s="1"/>
  <c r="BR53" i="5" s="1" a="1"/>
  <c r="BR53" i="5" s="1"/>
  <c r="BT53" i="5" s="1"/>
  <c r="BR60" i="5" a="1"/>
  <c r="BR60" i="5" s="1"/>
  <c r="BT60" i="5" s="1"/>
  <c r="I60" i="31" a="1"/>
  <c r="I60" i="31" s="1"/>
  <c r="I37" i="31" a="1"/>
  <c r="I37" i="31" s="1"/>
  <c r="J27" i="31" a="1"/>
  <c r="J27" i="31" s="1"/>
  <c r="BR29" i="5" s="1" a="1"/>
  <c r="BR29" i="5" s="1"/>
  <c r="BT29" i="5" s="1"/>
  <c r="G30" i="31" a="1"/>
  <c r="G30" i="31" s="1"/>
  <c r="BS32" i="5" s="1" a="1"/>
  <c r="BS32" i="5" s="1"/>
  <c r="I32" i="31" a="1"/>
  <c r="I32" i="31" s="1"/>
  <c r="H37" i="31" a="1"/>
  <c r="H37" i="31" s="1"/>
  <c r="J39" i="31" a="1"/>
  <c r="J39" i="31" s="1"/>
  <c r="BR41" i="5" s="1" a="1"/>
  <c r="BR41" i="5" s="1"/>
  <c r="BT41" i="5" s="1"/>
  <c r="J60" i="31" a="1"/>
  <c r="J60" i="31" s="1"/>
  <c r="BR62" i="5" s="1" a="1"/>
  <c r="BR62" i="5" s="1"/>
  <c r="BT62" i="5" s="1"/>
  <c r="G8" i="31" a="1"/>
  <c r="G8" i="31" s="1"/>
  <c r="BS10" i="5" s="1" a="1"/>
  <c r="BS10" i="5" s="1"/>
  <c r="G7" i="31" a="1"/>
  <c r="G7" i="31" s="1"/>
  <c r="BS9" i="5" s="1" a="1"/>
  <c r="BS9" i="5" s="1"/>
  <c r="G12" i="31" a="1"/>
  <c r="G12" i="31" s="1"/>
  <c r="BS14" i="5" s="1" a="1"/>
  <c r="BS14" i="5" s="1"/>
  <c r="G14" i="31" a="1"/>
  <c r="G14" i="31" s="1"/>
  <c r="BS16" i="5" s="1" a="1"/>
  <c r="BS16" i="5" s="1"/>
  <c r="G15" i="31" a="1"/>
  <c r="G15" i="31" s="1"/>
  <c r="BS17" i="5" s="1" a="1"/>
  <c r="BS17" i="5" s="1"/>
  <c r="G17" i="31" a="1"/>
  <c r="G17" i="31" s="1"/>
  <c r="BS19" i="5" s="1" a="1"/>
  <c r="BS19" i="5" s="1"/>
  <c r="G19" i="31" a="1"/>
  <c r="G19" i="31" s="1"/>
  <c r="BS21" i="5" s="1" a="1"/>
  <c r="BS21" i="5" s="1"/>
  <c r="G21" i="31" a="1"/>
  <c r="G21" i="31" s="1"/>
  <c r="BS23" i="5" s="1" a="1"/>
  <c r="BS23" i="5" s="1"/>
  <c r="G23" i="31" a="1"/>
  <c r="G23" i="31" s="1"/>
  <c r="BS25" i="5" s="1" a="1"/>
  <c r="BS25" i="5" s="1"/>
  <c r="H25" i="31" a="1"/>
  <c r="H25" i="31" s="1"/>
  <c r="G28" i="31" a="1"/>
  <c r="G28" i="31" s="1"/>
  <c r="BS30" i="5" s="1" a="1"/>
  <c r="BS30" i="5" s="1"/>
  <c r="I30" i="31" a="1"/>
  <c r="I30" i="31" s="1"/>
  <c r="H35" i="31" a="1"/>
  <c r="H35" i="31" s="1"/>
  <c r="J37" i="31" a="1"/>
  <c r="J37" i="31" s="1"/>
  <c r="BR39" i="5" s="1" a="1"/>
  <c r="BR39" i="5" s="1"/>
  <c r="BT39" i="5" s="1"/>
  <c r="G40" i="31" a="1"/>
  <c r="G40" i="31" s="1"/>
  <c r="BS42" i="5" s="1" a="1"/>
  <c r="BS42" i="5" s="1"/>
  <c r="G41" i="31" a="1"/>
  <c r="G41" i="31" s="1"/>
  <c r="BS43" i="5" s="1" a="1"/>
  <c r="BS43" i="5" s="1"/>
  <c r="G44" i="31" a="1"/>
  <c r="G44" i="31" s="1"/>
  <c r="BS46" i="5" s="1" a="1"/>
  <c r="BS46" i="5" s="1"/>
  <c r="G46" i="31" a="1"/>
  <c r="G46" i="31" s="1"/>
  <c r="BS48" i="5" s="1" a="1"/>
  <c r="BS48" i="5" s="1"/>
  <c r="G48" i="31" a="1"/>
  <c r="G48" i="31" s="1"/>
  <c r="BS50" i="5" s="1" a="1"/>
  <c r="BS50" i="5" s="1"/>
  <c r="G50" i="31" a="1"/>
  <c r="G50" i="31" s="1"/>
  <c r="BS52" i="5" s="1" a="1"/>
  <c r="BS52" i="5" s="1"/>
  <c r="G59" i="31" a="1"/>
  <c r="G59" i="31" s="1"/>
  <c r="BS61" i="5" s="1" a="1"/>
  <c r="BS61" i="5" s="1"/>
  <c r="BG18" i="5" a="1"/>
  <c r="BG18" i="5" s="1"/>
  <c r="A92" i="5"/>
  <c r="B114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CJ5" i="5" l="1" a="1"/>
  <c r="CJ5" i="5" s="1"/>
  <c r="BT5" i="5"/>
  <c r="BV5" i="5"/>
  <c r="AP106" i="5" a="1"/>
  <c r="AP106" i="5" s="1"/>
  <c r="F106" i="5" a="1"/>
  <c r="F106" i="5" s="1"/>
  <c r="E106" i="5" a="1"/>
  <c r="E106" i="5" s="1"/>
  <c r="AR106" i="5" a="1"/>
  <c r="AR106" i="5" s="1"/>
  <c r="Y106" i="5" a="1"/>
  <c r="Y106" i="5" s="1"/>
  <c r="BK18" i="5" a="1"/>
  <c r="BK18" i="5" s="1"/>
  <c r="BV23" i="5"/>
  <c r="AL106" i="5" a="1"/>
  <c r="AL106" i="5" s="1"/>
  <c r="AV106" i="5" a="1"/>
  <c r="AV106" i="5" s="1"/>
  <c r="AN106" i="5" a="1"/>
  <c r="AN106" i="5" s="1"/>
  <c r="AK106" i="5" a="1"/>
  <c r="AK106" i="5" s="1"/>
  <c r="BA18" i="5" a="1"/>
  <c r="BA18" i="5" s="1"/>
  <c r="BF106" i="5" a="1"/>
  <c r="BF106" i="5" s="1"/>
  <c r="AC106" i="5" a="1"/>
  <c r="AC106" i="5" s="1"/>
  <c r="BJ18" i="5" a="1"/>
  <c r="BJ18" i="5" s="1"/>
  <c r="AJ106" i="5" a="1"/>
  <c r="AJ106" i="5" s="1"/>
  <c r="P106" i="5" a="1"/>
  <c r="P106" i="5" s="1"/>
  <c r="BE106" i="5" a="1"/>
  <c r="BE106" i="5" s="1"/>
  <c r="AD106" i="5" a="1"/>
  <c r="AD106" i="5" s="1"/>
  <c r="G106" i="5" a="1"/>
  <c r="G106" i="5" s="1"/>
  <c r="O106" i="5" a="1"/>
  <c r="O106" i="5" s="1"/>
  <c r="K106" i="5" a="1"/>
  <c r="K106" i="5" s="1"/>
  <c r="BI18" i="5" a="1"/>
  <c r="BI18" i="5" s="1"/>
  <c r="R106" i="5" a="1"/>
  <c r="R106" i="5" s="1"/>
  <c r="C106" i="5" a="1"/>
  <c r="C106" i="5" s="1"/>
  <c r="V106" i="5" a="1"/>
  <c r="V106" i="5" s="1"/>
  <c r="L106" i="5" a="1"/>
  <c r="L106" i="5" s="1"/>
  <c r="BG106" i="5" a="1"/>
  <c r="BG106" i="5" s="1"/>
  <c r="BV18" i="5"/>
  <c r="AM106" i="5" a="1"/>
  <c r="AM106" i="5" s="1"/>
  <c r="J106" i="5" a="1"/>
  <c r="J106" i="5" s="1"/>
  <c r="BA106" i="5" a="1"/>
  <c r="BA106" i="5" s="1"/>
  <c r="BH106" i="5" a="1"/>
  <c r="BH106" i="5" s="1"/>
  <c r="BI106" i="5" a="1"/>
  <c r="BI106" i="5" s="1"/>
  <c r="AA106" i="5" a="1"/>
  <c r="AA106" i="5" s="1"/>
  <c r="B106" i="5" a="1"/>
  <c r="B106" i="5" s="1"/>
  <c r="AF106" i="5" a="1"/>
  <c r="AF106" i="5" s="1"/>
  <c r="AG106" i="5" a="1"/>
  <c r="AG106" i="5" s="1"/>
  <c r="AX106" i="5" a="1"/>
  <c r="AX106" i="5" s="1"/>
  <c r="AQ106" i="5" a="1"/>
  <c r="AQ106" i="5" s="1"/>
  <c r="M106" i="5" a="1"/>
  <c r="M106" i="5" s="1"/>
  <c r="AU106" i="5" a="1"/>
  <c r="AU106" i="5" s="1"/>
  <c r="I106" i="5" a="1"/>
  <c r="I106" i="5" s="1"/>
  <c r="X106" i="5" a="1"/>
  <c r="X106" i="5" s="1"/>
  <c r="AO106" i="5" a="1"/>
  <c r="AO106" i="5" s="1"/>
  <c r="BC106" i="5" a="1"/>
  <c r="BC106" i="5" s="1"/>
  <c r="Q106" i="5" a="1"/>
  <c r="Q106" i="5" s="1"/>
  <c r="BV25" i="5"/>
  <c r="AI106" i="5" a="1"/>
  <c r="AI106" i="5" s="1"/>
  <c r="B74" i="5" a="1"/>
  <c r="BE19" i="5" a="1"/>
  <c r="BE19" i="5" s="1"/>
  <c r="BE17" i="5" a="1"/>
  <c r="BE17" i="5" s="1"/>
  <c r="B75" i="5" a="1"/>
  <c r="AT106" i="5" a="1"/>
  <c r="AT106" i="5" s="1"/>
  <c r="T106" i="5" a="1"/>
  <c r="T106" i="5" s="1"/>
  <c r="AY106" i="5" a="1"/>
  <c r="AY106" i="5" s="1"/>
  <c r="W106" i="5" a="1"/>
  <c r="W106" i="5" s="1"/>
  <c r="BD106" i="5" a="1"/>
  <c r="BD106" i="5" s="1"/>
  <c r="AZ106" i="5" a="1"/>
  <c r="AZ106" i="5" s="1"/>
  <c r="BH18" i="5" a="1"/>
  <c r="BH18" i="5" s="1"/>
  <c r="AW106" i="5" a="1"/>
  <c r="AW106" i="5" s="1"/>
  <c r="D106" i="5" a="1"/>
  <c r="D106" i="5" s="1"/>
  <c r="U106" i="5" a="1"/>
  <c r="U106" i="5" s="1"/>
  <c r="S106" i="5" a="1"/>
  <c r="S106" i="5" s="1"/>
  <c r="AH106" i="5" a="1"/>
  <c r="AH106" i="5" s="1"/>
  <c r="AS106" i="5" a="1"/>
  <c r="AS106" i="5" s="1"/>
  <c r="AE106" i="5" a="1"/>
  <c r="AE106" i="5" s="1"/>
  <c r="BG17" i="5" a="1"/>
  <c r="BG17" i="5" s="1"/>
  <c r="Z106" i="5" a="1"/>
  <c r="Z106" i="5" s="1"/>
  <c r="BB106" i="5" a="1"/>
  <c r="BB106" i="5" s="1"/>
  <c r="N106" i="5" a="1"/>
  <c r="N106" i="5" s="1"/>
  <c r="H106" i="5" a="1"/>
  <c r="H106" i="5" s="1"/>
  <c r="AB106" i="5" a="1"/>
  <c r="AB106" i="5" s="1"/>
  <c r="BV38" i="5"/>
  <c r="BV31" i="5"/>
  <c r="BV13" i="5"/>
  <c r="BV45" i="5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DB5" i="5" l="1" a="1"/>
  <c r="DI8" i="5" s="1"/>
  <c r="CS5" i="5" a="1"/>
  <c r="CQ5" i="5"/>
  <c r="CA5" i="5" a="1"/>
  <c r="BV53" i="5"/>
  <c r="BV41" i="5"/>
  <c r="BG19" i="5" a="1"/>
  <c r="BG19" i="5" s="1"/>
  <c r="BF17" i="5" a="1"/>
  <c r="BF17" i="5" s="1"/>
  <c r="BV51" i="5"/>
  <c r="BV57" i="5"/>
  <c r="BV47" i="5"/>
  <c r="BI17" i="5" a="1"/>
  <c r="BI17" i="5" s="1"/>
  <c r="BV49" i="5"/>
  <c r="BH20" i="5" a="1"/>
  <c r="BH20" i="5" s="1"/>
  <c r="BH17" i="5" a="1"/>
  <c r="BH17" i="5" s="1"/>
  <c r="BI19" i="5" a="1"/>
  <c r="BI19" i="5" s="1"/>
  <c r="BA17" i="5" a="1"/>
  <c r="BA17" i="5" s="1"/>
  <c r="BV24" i="5"/>
  <c r="BF19" i="5" a="1"/>
  <c r="BF19" i="5" s="1"/>
  <c r="BK19" i="5" a="1"/>
  <c r="BK19" i="5" s="1"/>
  <c r="BH19" i="5" a="1"/>
  <c r="BH19" i="5" s="1"/>
  <c r="BV27" i="5"/>
  <c r="BJ17" i="5" a="1"/>
  <c r="BJ17" i="5" s="1"/>
  <c r="BA19" i="5" a="1"/>
  <c r="BA19" i="5" s="1"/>
  <c r="BK17" i="5" a="1"/>
  <c r="BK17" i="5" s="1"/>
  <c r="BJ19" i="5" a="1"/>
  <c r="BJ19" i="5" s="1"/>
  <c r="BV8" i="5"/>
  <c r="BV9" i="5"/>
  <c r="BV17" i="5"/>
  <c r="BV11" i="5"/>
  <c r="BV37" i="5"/>
  <c r="BV34" i="5"/>
  <c r="BV40" i="5"/>
  <c r="BV56" i="5"/>
  <c r="BV43" i="5"/>
  <c r="BV52" i="5"/>
  <c r="BV50" i="5"/>
  <c r="BV20" i="5"/>
  <c r="BV10" i="5"/>
  <c r="BV59" i="5"/>
  <c r="BV35" i="5"/>
  <c r="BV54" i="5"/>
  <c r="BV46" i="5"/>
  <c r="BV44" i="5"/>
  <c r="BV48" i="5"/>
  <c r="BV29" i="5"/>
  <c r="BV15" i="5"/>
  <c r="BV60" i="5"/>
  <c r="BV61" i="5"/>
  <c r="BV14" i="5"/>
  <c r="BV58" i="5"/>
  <c r="BV39" i="5"/>
  <c r="BV30" i="5"/>
  <c r="BV42" i="5"/>
  <c r="BV36" i="5"/>
  <c r="BV12" i="5"/>
  <c r="BV28" i="5"/>
  <c r="BV19" i="5"/>
  <c r="BV21" i="5"/>
  <c r="B74" i="5"/>
  <c r="B83" i="5" s="1"/>
  <c r="BV6" i="5"/>
  <c r="B80" i="5"/>
  <c r="B75" i="5"/>
  <c r="B93" i="5" s="1"/>
  <c r="BV16" i="5"/>
  <c r="BV62" i="5"/>
  <c r="BG20" i="5" a="1"/>
  <c r="BG20" i="5" s="1"/>
  <c r="BV7" i="5"/>
  <c r="BF20" i="5" a="1"/>
  <c r="BF20" i="5" s="1"/>
  <c r="BV26" i="5"/>
  <c r="BE20" i="5" a="1"/>
  <c r="BE20" i="5" s="1"/>
  <c r="BV55" i="5"/>
  <c r="BV33" i="5"/>
  <c r="BI20" i="5" a="1"/>
  <c r="BI20" i="5" s="1"/>
  <c r="BV22" i="5"/>
  <c r="BJ20" i="5" a="1"/>
  <c r="BJ20" i="5" s="1"/>
  <c r="BK20" i="5" a="1"/>
  <c r="BK20" i="5" s="1"/>
  <c r="BA20" i="5" a="1"/>
  <c r="BA20" i="5" s="1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CZ26" i="5" l="1"/>
  <c r="CZ27" i="5"/>
  <c r="CZ28" i="5"/>
  <c r="CZ29" i="5"/>
  <c r="CZ30" i="5"/>
  <c r="CZ31" i="5"/>
  <c r="CA5" i="5"/>
  <c r="CH5" i="5" s="1"/>
  <c r="CS5" i="5"/>
  <c r="CZ5" i="5" s="1"/>
  <c r="DB5" i="5"/>
  <c r="DI5" i="5" s="1"/>
  <c r="CQ27" i="5"/>
  <c r="CQ15" i="5"/>
  <c r="CQ26" i="5"/>
  <c r="CQ14" i="5"/>
  <c r="CQ25" i="5"/>
  <c r="CQ13" i="5"/>
  <c r="CQ24" i="5"/>
  <c r="CQ12" i="5"/>
  <c r="CQ23" i="5"/>
  <c r="CQ11" i="5"/>
  <c r="CQ16" i="5"/>
  <c r="CQ22" i="5"/>
  <c r="CQ10" i="5"/>
  <c r="CQ21" i="5"/>
  <c r="CQ9" i="5"/>
  <c r="CQ20" i="5"/>
  <c r="CQ8" i="5"/>
  <c r="CQ19" i="5"/>
  <c r="CQ7" i="5"/>
  <c r="CQ18" i="5"/>
  <c r="CQ6" i="5"/>
  <c r="CQ17" i="5"/>
  <c r="B84" i="5"/>
  <c r="A66" i="5" s="1"/>
  <c r="B95" i="5"/>
  <c r="A74" i="5"/>
  <c r="B78" i="5"/>
  <c r="B79" i="5"/>
  <c r="B88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B85" i="5" l="1"/>
  <c r="CH6" i="5"/>
  <c r="CH18" i="5"/>
  <c r="CH27" i="5"/>
  <c r="CH7" i="5"/>
  <c r="CH19" i="5"/>
  <c r="CH8" i="5"/>
  <c r="CH20" i="5"/>
  <c r="CH15" i="5"/>
  <c r="CH9" i="5"/>
  <c r="CH21" i="5"/>
  <c r="CH10" i="5"/>
  <c r="CH22" i="5"/>
  <c r="CH11" i="5"/>
  <c r="CH23" i="5"/>
  <c r="CH12" i="5"/>
  <c r="CH24" i="5"/>
  <c r="CH16" i="5"/>
  <c r="CH13" i="5"/>
  <c r="CH25" i="5"/>
  <c r="CH14" i="5"/>
  <c r="CH26" i="5"/>
  <c r="CH17" i="5"/>
  <c r="CZ18" i="5"/>
  <c r="CZ16" i="5"/>
  <c r="CZ15" i="5"/>
  <c r="CZ9" i="5"/>
  <c r="CZ7" i="5"/>
  <c r="CZ12" i="5"/>
  <c r="CZ21" i="5"/>
  <c r="CZ19" i="5"/>
  <c r="CZ25" i="5"/>
  <c r="CZ24" i="5"/>
  <c r="CZ8" i="5"/>
  <c r="CZ14" i="5"/>
  <c r="CZ10" i="5"/>
  <c r="CZ22" i="5"/>
  <c r="CZ13" i="5"/>
  <c r="CZ23" i="5"/>
  <c r="CZ17" i="5"/>
  <c r="CZ11" i="5"/>
  <c r="CZ6" i="5"/>
  <c r="CZ20" i="5"/>
  <c r="B90" i="5"/>
  <c r="A69" i="5"/>
  <c r="DI7" i="5"/>
  <c r="DI6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7" i="7" a="1"/>
  <c r="K53" i="7" a="1"/>
  <c r="K31" i="7" a="1"/>
  <c r="K5" i="7" a="1"/>
  <c r="K9" i="7" a="1"/>
  <c r="K15" i="7" a="1"/>
  <c r="K13" i="7" a="1"/>
  <c r="K17" i="7" a="1"/>
  <c r="K47" i="7" a="1"/>
  <c r="K12" i="7" a="1"/>
  <c r="K23" i="7" a="1"/>
  <c r="K27" i="7" a="1"/>
  <c r="K19" i="7" a="1"/>
  <c r="K22" i="7" a="1"/>
  <c r="K11" i="7" a="1"/>
  <c r="K29" i="7" a="1"/>
  <c r="K38" i="7" a="1"/>
  <c r="K26" i="7" a="1"/>
  <c r="K36" i="7" a="1"/>
  <c r="K20" i="7" a="1"/>
  <c r="K21" i="7" a="1"/>
  <c r="K44" i="7" a="1"/>
  <c r="K32" i="7" a="1"/>
  <c r="K51" i="7" a="1"/>
  <c r="K25" i="7" a="1"/>
  <c r="K14" i="7" a="1"/>
  <c r="K50" i="7" a="1"/>
  <c r="K24" i="7" a="1"/>
  <c r="K3" i="7" a="1"/>
  <c r="K4" i="7" a="1"/>
  <c r="K34" i="7" a="1"/>
  <c r="K40" i="7" a="1"/>
  <c r="K39" i="7" a="1"/>
  <c r="K43" i="7" a="1"/>
  <c r="K45" i="7" a="1"/>
  <c r="K49" i="7" a="1"/>
  <c r="K10" i="7" a="1"/>
  <c r="K28" i="7" a="1"/>
  <c r="K52" i="7" a="1"/>
  <c r="K48" i="7" a="1"/>
  <c r="K18" i="7" a="1"/>
  <c r="K6" i="7" a="1"/>
  <c r="K8" i="7" a="1"/>
  <c r="K33" i="7" a="1"/>
  <c r="K54" i="7" a="1"/>
  <c r="K37" i="7" a="1"/>
  <c r="K41" i="7" a="1"/>
  <c r="K42" i="7" a="1"/>
  <c r="K30" i="7" a="1"/>
  <c r="K46" i="7" a="1"/>
  <c r="K35" i="7" a="1"/>
  <c r="K16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W20" i="5" s="1" a="1"/>
  <c r="W20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D20" i="5" s="1" a="1"/>
  <c r="BD20" i="5" s="1"/>
  <c r="BC16" i="5" a="1"/>
  <c r="BC16" i="5" s="1"/>
  <c r="BC20" i="5" s="1" a="1"/>
  <c r="BC20" i="5" s="1"/>
  <c r="BB16" i="5" a="1"/>
  <c r="BB16" i="5" s="1"/>
  <c r="BB20" i="5" s="1" a="1"/>
  <c r="BB20" i="5" s="1"/>
  <c r="AZ16" i="5" a="1"/>
  <c r="AZ16" i="5" s="1"/>
  <c r="AZ20" i="5" s="1" a="1"/>
  <c r="AZ20" i="5" s="1"/>
  <c r="AY16" i="5" a="1"/>
  <c r="AY16" i="5" s="1"/>
  <c r="AY20" i="5" s="1" a="1"/>
  <c r="AY20" i="5" s="1"/>
  <c r="AX16" i="5" a="1"/>
  <c r="AX16" i="5" s="1"/>
  <c r="AX20" i="5" s="1" a="1"/>
  <c r="AX20" i="5" s="1"/>
  <c r="AW16" i="5" a="1"/>
  <c r="AW16" i="5" s="1"/>
  <c r="AW20" i="5" s="1" a="1"/>
  <c r="AW20" i="5" s="1"/>
  <c r="AV16" i="5" a="1"/>
  <c r="AV16" i="5" s="1"/>
  <c r="AV20" i="5" s="1" a="1"/>
  <c r="AV20" i="5" s="1"/>
  <c r="AU16" i="5" a="1"/>
  <c r="AU16" i="5" s="1"/>
  <c r="AU20" i="5" s="1" a="1"/>
  <c r="AU20" i="5" s="1"/>
  <c r="AT16" i="5" a="1"/>
  <c r="AT16" i="5" s="1"/>
  <c r="AT20" i="5" s="1" a="1"/>
  <c r="AT20" i="5" s="1"/>
  <c r="AS16" i="5" a="1"/>
  <c r="AS16" i="5" s="1"/>
  <c r="AS20" i="5" s="1" a="1"/>
  <c r="AS20" i="5" s="1"/>
  <c r="AR16" i="5" a="1"/>
  <c r="AR16" i="5" s="1"/>
  <c r="AR20" i="5" s="1" a="1"/>
  <c r="AR20" i="5" s="1"/>
  <c r="AQ16" i="5" a="1"/>
  <c r="AQ16" i="5" s="1"/>
  <c r="AQ20" i="5" s="1" a="1"/>
  <c r="AQ20" i="5" s="1"/>
  <c r="AP16" i="5" a="1"/>
  <c r="AP16" i="5" s="1"/>
  <c r="AP20" i="5" s="1" a="1"/>
  <c r="AP20" i="5" s="1"/>
  <c r="AO16" i="5" a="1"/>
  <c r="AO16" i="5" s="1"/>
  <c r="AO20" i="5" s="1" a="1"/>
  <c r="AO20" i="5" s="1"/>
  <c r="AN16" i="5" a="1"/>
  <c r="AN16" i="5" s="1"/>
  <c r="AN20" i="5" s="1" a="1"/>
  <c r="AN20" i="5" s="1"/>
  <c r="AM16" i="5" a="1"/>
  <c r="AM16" i="5" s="1"/>
  <c r="AM20" i="5" s="1" a="1"/>
  <c r="AM20" i="5" s="1"/>
  <c r="AL16" i="5" a="1"/>
  <c r="AL16" i="5" s="1"/>
  <c r="AL20" i="5" s="1" a="1"/>
  <c r="AL20" i="5" s="1"/>
  <c r="AK16" i="5" a="1"/>
  <c r="AK16" i="5" s="1"/>
  <c r="AK20" i="5" s="1" a="1"/>
  <c r="AK20" i="5" s="1"/>
  <c r="AJ16" i="5" a="1"/>
  <c r="AJ16" i="5" s="1"/>
  <c r="AJ20" i="5" s="1" a="1"/>
  <c r="AJ20" i="5" s="1"/>
  <c r="AI16" i="5" a="1"/>
  <c r="AI16" i="5" s="1"/>
  <c r="AI20" i="5" s="1" a="1"/>
  <c r="AI20" i="5" s="1"/>
  <c r="AH16" i="5" a="1"/>
  <c r="AH16" i="5" s="1"/>
  <c r="AH20" i="5" s="1" a="1"/>
  <c r="AH20" i="5" s="1"/>
  <c r="AG16" i="5" a="1"/>
  <c r="AG16" i="5" s="1"/>
  <c r="AG20" i="5" s="1" a="1"/>
  <c r="AG20" i="5" s="1"/>
  <c r="AF16" i="5" a="1"/>
  <c r="AF16" i="5" s="1"/>
  <c r="AF20" i="5" s="1" a="1"/>
  <c r="AF20" i="5" s="1"/>
  <c r="AE16" i="5" a="1"/>
  <c r="AE16" i="5" s="1"/>
  <c r="AE20" i="5" s="1" a="1"/>
  <c r="AE20" i="5" s="1"/>
  <c r="AD16" i="5" a="1"/>
  <c r="AD16" i="5" s="1"/>
  <c r="AD20" i="5" s="1" a="1"/>
  <c r="AD20" i="5" s="1"/>
  <c r="AC16" i="5" a="1"/>
  <c r="AC16" i="5" s="1"/>
  <c r="AC20" i="5" s="1" a="1"/>
  <c r="AC20" i="5" s="1"/>
  <c r="AB16" i="5" a="1"/>
  <c r="AB16" i="5" s="1"/>
  <c r="AB20" i="5" s="1" a="1"/>
  <c r="AB20" i="5" s="1"/>
  <c r="AA16" i="5" a="1"/>
  <c r="AA16" i="5" s="1"/>
  <c r="AA20" i="5" s="1" a="1"/>
  <c r="AA20" i="5" s="1"/>
  <c r="Z16" i="5" a="1"/>
  <c r="Z16" i="5" s="1"/>
  <c r="Z20" i="5" s="1" a="1"/>
  <c r="Z20" i="5" s="1"/>
  <c r="Y16" i="5" a="1"/>
  <c r="Y16" i="5" s="1"/>
  <c r="Y20" i="5" s="1" a="1"/>
  <c r="Y20" i="5" s="1"/>
  <c r="X16" i="5" a="1"/>
  <c r="X16" i="5" s="1"/>
  <c r="X20" i="5" s="1" a="1"/>
  <c r="X20" i="5" s="1"/>
  <c r="V16" i="5" a="1"/>
  <c r="V16" i="5" s="1"/>
  <c r="V20" i="5" s="1" a="1"/>
  <c r="V20" i="5" s="1"/>
  <c r="U16" i="5" a="1"/>
  <c r="U16" i="5" s="1"/>
  <c r="U20" i="5" s="1" a="1"/>
  <c r="U20" i="5" s="1"/>
  <c r="T16" i="5" a="1"/>
  <c r="T16" i="5" s="1"/>
  <c r="T20" i="5" s="1" a="1"/>
  <c r="T20" i="5" s="1"/>
  <c r="S16" i="5" a="1"/>
  <c r="S16" i="5" s="1"/>
  <c r="S20" i="5" s="1" a="1"/>
  <c r="S20" i="5" s="1"/>
  <c r="R16" i="5" a="1"/>
  <c r="R16" i="5" s="1"/>
  <c r="R20" i="5" s="1" a="1"/>
  <c r="R20" i="5" s="1"/>
  <c r="Q16" i="5" a="1"/>
  <c r="Q16" i="5" s="1"/>
  <c r="Q20" i="5" s="1" a="1"/>
  <c r="Q20" i="5" s="1"/>
  <c r="P16" i="5" a="1"/>
  <c r="P16" i="5" s="1"/>
  <c r="P20" i="5" s="1" a="1"/>
  <c r="P20" i="5" s="1"/>
  <c r="O16" i="5" a="1"/>
  <c r="O16" i="5" s="1"/>
  <c r="O20" i="5" s="1" a="1"/>
  <c r="O20" i="5" s="1"/>
  <c r="N16" i="5" a="1"/>
  <c r="N16" i="5" s="1"/>
  <c r="N20" i="5" s="1" a="1"/>
  <c r="N20" i="5" s="1"/>
  <c r="M16" i="5" a="1"/>
  <c r="M16" i="5" s="1"/>
  <c r="M20" i="5" s="1" a="1"/>
  <c r="M20" i="5" s="1"/>
  <c r="L16" i="5" a="1"/>
  <c r="L16" i="5" s="1"/>
  <c r="L20" i="5" s="1" a="1"/>
  <c r="L20" i="5" s="1"/>
  <c r="K16" i="5" a="1"/>
  <c r="K16" i="5" s="1"/>
  <c r="K20" i="5" s="1" a="1"/>
  <c r="K20" i="5" s="1"/>
  <c r="J16" i="5" a="1"/>
  <c r="J16" i="5" s="1"/>
  <c r="J20" i="5" s="1" a="1"/>
  <c r="J20" i="5" s="1"/>
  <c r="I16" i="5" a="1"/>
  <c r="I16" i="5" s="1"/>
  <c r="I20" i="5" s="1" a="1"/>
  <c r="I20" i="5" s="1"/>
  <c r="H16" i="5" a="1"/>
  <c r="H16" i="5" s="1"/>
  <c r="H20" i="5" s="1" a="1"/>
  <c r="H20" i="5" s="1"/>
  <c r="G16" i="5" a="1"/>
  <c r="G16" i="5" s="1"/>
  <c r="G20" i="5" s="1" a="1"/>
  <c r="G20" i="5" s="1"/>
  <c r="F16" i="5" a="1"/>
  <c r="F16" i="5" s="1"/>
  <c r="F20" i="5" s="1" a="1"/>
  <c r="F20" i="5" s="1"/>
  <c r="E16" i="5" a="1"/>
  <c r="E16" i="5" s="1"/>
  <c r="E20" i="5" s="1" a="1"/>
  <c r="E20" i="5" s="1"/>
  <c r="D16" i="5" a="1"/>
  <c r="D16" i="5" s="1"/>
  <c r="D20" i="5" s="1" a="1"/>
  <c r="D20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K19" i="5" l="1" a="1"/>
  <c r="K19" i="5" s="1"/>
  <c r="K18" i="5" a="1"/>
  <c r="K18" i="5" s="1"/>
  <c r="K17" i="5" a="1"/>
  <c r="K17" i="5" s="1"/>
  <c r="X18" i="5" a="1"/>
  <c r="X18" i="5" s="1"/>
  <c r="X17" i="5" a="1"/>
  <c r="X17" i="5" s="1"/>
  <c r="X19" i="5" a="1"/>
  <c r="X19" i="5" s="1"/>
  <c r="AJ19" i="5" a="1"/>
  <c r="AJ19" i="5" s="1"/>
  <c r="AJ18" i="5" a="1"/>
  <c r="AJ18" i="5" s="1"/>
  <c r="AJ17" i="5" a="1"/>
  <c r="AJ17" i="5" s="1"/>
  <c r="AV19" i="5" a="1"/>
  <c r="AV19" i="5" s="1"/>
  <c r="AV17" i="5" a="1"/>
  <c r="AV17" i="5" s="1"/>
  <c r="AV18" i="5" a="1"/>
  <c r="AV18" i="5" s="1"/>
  <c r="N17" i="5" a="1"/>
  <c r="N17" i="5" s="1"/>
  <c r="N18" i="5" a="1"/>
  <c r="N18" i="5" s="1"/>
  <c r="N19" i="5" a="1"/>
  <c r="N19" i="5" s="1"/>
  <c r="AA19" i="5" a="1"/>
  <c r="AA19" i="5" s="1"/>
  <c r="AA18" i="5" a="1"/>
  <c r="AA18" i="5" s="1"/>
  <c r="AA17" i="5" a="1"/>
  <c r="AA17" i="5" s="1"/>
  <c r="AM19" i="5" a="1"/>
  <c r="AM19" i="5" s="1"/>
  <c r="AM18" i="5" a="1"/>
  <c r="AM18" i="5" s="1"/>
  <c r="AM17" i="5" a="1"/>
  <c r="AM17" i="5" s="1"/>
  <c r="AY18" i="5" a="1"/>
  <c r="AY18" i="5" s="1"/>
  <c r="AY17" i="5" a="1"/>
  <c r="AY17" i="5" s="1"/>
  <c r="AY19" i="5" a="1"/>
  <c r="AY19" i="5" s="1"/>
  <c r="AK19" i="5" a="1"/>
  <c r="AK19" i="5" s="1"/>
  <c r="AK18" i="5" a="1"/>
  <c r="AK18" i="5" s="1"/>
  <c r="AK17" i="5" a="1"/>
  <c r="AK17" i="5" s="1"/>
  <c r="O18" i="5" a="1"/>
  <c r="O18" i="5" s="1"/>
  <c r="O17" i="5" a="1"/>
  <c r="O17" i="5" s="1"/>
  <c r="O19" i="5" a="1"/>
  <c r="O19" i="5" s="1"/>
  <c r="AB19" i="5" a="1"/>
  <c r="AB19" i="5" s="1"/>
  <c r="AB18" i="5" a="1"/>
  <c r="AB18" i="5" s="1"/>
  <c r="AB17" i="5" a="1"/>
  <c r="AB17" i="5" s="1"/>
  <c r="AN19" i="5" a="1"/>
  <c r="AN19" i="5" s="1"/>
  <c r="AN17" i="5" a="1"/>
  <c r="AN17" i="5" s="1"/>
  <c r="AN18" i="5" a="1"/>
  <c r="AN18" i="5" s="1"/>
  <c r="AZ17" i="5" a="1"/>
  <c r="AZ17" i="5" s="1"/>
  <c r="AZ18" i="5" a="1"/>
  <c r="AZ18" i="5" s="1"/>
  <c r="AZ19" i="5" a="1"/>
  <c r="AZ19" i="5" s="1"/>
  <c r="Z18" i="5" a="1"/>
  <c r="Z18" i="5" s="1"/>
  <c r="Z17" i="5" a="1"/>
  <c r="Z17" i="5" s="1"/>
  <c r="Z19" i="5" a="1"/>
  <c r="Z19" i="5" s="1"/>
  <c r="D17" i="5" a="1"/>
  <c r="D17" i="5" s="1"/>
  <c r="D19" i="5" a="1"/>
  <c r="D19" i="5" s="1"/>
  <c r="D18" i="5" a="1"/>
  <c r="D18" i="5" s="1"/>
  <c r="P18" i="5" a="1"/>
  <c r="P18" i="5" s="1"/>
  <c r="P17" i="5" a="1"/>
  <c r="P17" i="5" s="1"/>
  <c r="P19" i="5" a="1"/>
  <c r="P19" i="5" s="1"/>
  <c r="AC19" i="5" a="1"/>
  <c r="AC19" i="5" s="1"/>
  <c r="AC18" i="5" a="1"/>
  <c r="AC18" i="5" s="1"/>
  <c r="AC17" i="5" a="1"/>
  <c r="AC17" i="5" s="1"/>
  <c r="AO18" i="5" a="1"/>
  <c r="AO18" i="5" s="1"/>
  <c r="AO17" i="5" a="1"/>
  <c r="AO17" i="5" s="1"/>
  <c r="AO19" i="5" a="1"/>
  <c r="AO19" i="5" s="1"/>
  <c r="BB19" i="5" a="1"/>
  <c r="BB19" i="5" s="1"/>
  <c r="BB17" i="5" a="1"/>
  <c r="BB17" i="5" s="1"/>
  <c r="BB18" i="5" a="1"/>
  <c r="BB18" i="5" s="1"/>
  <c r="Y18" i="5" a="1"/>
  <c r="Y18" i="5" s="1"/>
  <c r="Y17" i="5" a="1"/>
  <c r="Y17" i="5" s="1"/>
  <c r="Y19" i="5" a="1"/>
  <c r="Y19" i="5" s="1"/>
  <c r="E18" i="5" a="1"/>
  <c r="E18" i="5" s="1"/>
  <c r="E17" i="5" a="1"/>
  <c r="E17" i="5" s="1"/>
  <c r="E19" i="5" a="1"/>
  <c r="E19" i="5" s="1"/>
  <c r="Q17" i="5" a="1"/>
  <c r="Q17" i="5" s="1"/>
  <c r="Q18" i="5" a="1"/>
  <c r="Q18" i="5" s="1"/>
  <c r="Q19" i="5" a="1"/>
  <c r="Q19" i="5" s="1"/>
  <c r="AD19" i="5" a="1"/>
  <c r="AD19" i="5" s="1"/>
  <c r="AD17" i="5" a="1"/>
  <c r="AD17" i="5" s="1"/>
  <c r="AD18" i="5" a="1"/>
  <c r="AD18" i="5" s="1"/>
  <c r="AP18" i="5" a="1"/>
  <c r="AP18" i="5" s="1"/>
  <c r="AP17" i="5" a="1"/>
  <c r="AP17" i="5" s="1"/>
  <c r="AP19" i="5" a="1"/>
  <c r="AP19" i="5" s="1"/>
  <c r="BC19" i="5" a="1"/>
  <c r="BC19" i="5" s="1"/>
  <c r="BC17" i="5" a="1"/>
  <c r="BC17" i="5" s="1"/>
  <c r="BC18" i="5" a="1"/>
  <c r="BC18" i="5" s="1"/>
  <c r="W18" i="5" a="1"/>
  <c r="W18" i="5" s="1"/>
  <c r="W17" i="5" a="1"/>
  <c r="W17" i="5" s="1"/>
  <c r="W19" i="5" a="1"/>
  <c r="W19" i="5" s="1"/>
  <c r="F18" i="5" a="1"/>
  <c r="F18" i="5" s="1"/>
  <c r="F17" i="5" a="1"/>
  <c r="F17" i="5" s="1"/>
  <c r="F19" i="5" a="1"/>
  <c r="F19" i="5" s="1"/>
  <c r="R19" i="5" a="1"/>
  <c r="R19" i="5" s="1"/>
  <c r="R17" i="5" a="1"/>
  <c r="R17" i="5" s="1"/>
  <c r="R18" i="5" a="1"/>
  <c r="R18" i="5" s="1"/>
  <c r="AE17" i="5" a="1"/>
  <c r="AE17" i="5" s="1"/>
  <c r="AE19" i="5" a="1"/>
  <c r="AE19" i="5" s="1"/>
  <c r="AE18" i="5" a="1"/>
  <c r="AE18" i="5" s="1"/>
  <c r="AQ18" i="5" a="1"/>
  <c r="AQ18" i="5" s="1"/>
  <c r="AQ17" i="5" a="1"/>
  <c r="AQ17" i="5" s="1"/>
  <c r="AQ19" i="5" a="1"/>
  <c r="AQ19" i="5" s="1"/>
  <c r="BD19" i="5" a="1"/>
  <c r="BD19" i="5" s="1"/>
  <c r="BD17" i="5" a="1"/>
  <c r="BD17" i="5" s="1"/>
  <c r="BD18" i="5" a="1"/>
  <c r="BD18" i="5" s="1"/>
  <c r="M17" i="5" a="1"/>
  <c r="M17" i="5" s="1"/>
  <c r="M19" i="5" a="1"/>
  <c r="M19" i="5" s="1"/>
  <c r="M18" i="5" a="1"/>
  <c r="M18" i="5" s="1"/>
  <c r="G18" i="5" a="1"/>
  <c r="G18" i="5" s="1"/>
  <c r="G17" i="5" a="1"/>
  <c r="G17" i="5" s="1"/>
  <c r="G19" i="5" a="1"/>
  <c r="G19" i="5" s="1"/>
  <c r="S19" i="5" a="1"/>
  <c r="S19" i="5" s="1"/>
  <c r="S18" i="5" a="1"/>
  <c r="S18" i="5" s="1"/>
  <c r="S17" i="5" a="1"/>
  <c r="S17" i="5" s="1"/>
  <c r="AF17" i="5" a="1"/>
  <c r="AF17" i="5" s="1"/>
  <c r="AF18" i="5" a="1"/>
  <c r="AF18" i="5" s="1"/>
  <c r="AF19" i="5" a="1"/>
  <c r="AF19" i="5" s="1"/>
  <c r="AR18" i="5" a="1"/>
  <c r="AR18" i="5" s="1"/>
  <c r="AR17" i="5" a="1"/>
  <c r="AR17" i="5" s="1"/>
  <c r="AR19" i="5" a="1"/>
  <c r="AR19" i="5" s="1"/>
  <c r="L19" i="5" a="1"/>
  <c r="L19" i="5" s="1"/>
  <c r="L18" i="5" a="1"/>
  <c r="L18" i="5" s="1"/>
  <c r="L17" i="5" a="1"/>
  <c r="L17" i="5" s="1"/>
  <c r="AL19" i="5" a="1"/>
  <c r="AL19" i="5" s="1"/>
  <c r="AL18" i="5" a="1"/>
  <c r="AL18" i="5" s="1"/>
  <c r="AL17" i="5" a="1"/>
  <c r="AL17" i="5" s="1"/>
  <c r="H18" i="5" a="1"/>
  <c r="H18" i="5" s="1"/>
  <c r="H17" i="5" a="1"/>
  <c r="H17" i="5" s="1"/>
  <c r="H19" i="5" a="1"/>
  <c r="H19" i="5" s="1"/>
  <c r="T17" i="5" a="1"/>
  <c r="T17" i="5" s="1"/>
  <c r="T19" i="5" a="1"/>
  <c r="T19" i="5" s="1"/>
  <c r="T18" i="5" a="1"/>
  <c r="T18" i="5" s="1"/>
  <c r="AG18" i="5" a="1"/>
  <c r="AG18" i="5" s="1"/>
  <c r="AG17" i="5" a="1"/>
  <c r="AG17" i="5" s="1"/>
  <c r="AG19" i="5" a="1"/>
  <c r="AG19" i="5" s="1"/>
  <c r="AS19" i="5" a="1"/>
  <c r="AS19" i="5" s="1"/>
  <c r="AS18" i="5" a="1"/>
  <c r="AS18" i="5" s="1"/>
  <c r="AS17" i="5" a="1"/>
  <c r="AS17" i="5" s="1"/>
  <c r="AW19" i="5" a="1"/>
  <c r="AW19" i="5" s="1"/>
  <c r="AW18" i="5" a="1"/>
  <c r="AW18" i="5" s="1"/>
  <c r="AW17" i="5" a="1"/>
  <c r="AW17" i="5" s="1"/>
  <c r="I18" i="5" a="1"/>
  <c r="I18" i="5" s="1"/>
  <c r="I19" i="5" a="1"/>
  <c r="I19" i="5" s="1"/>
  <c r="I17" i="5" a="1"/>
  <c r="I17" i="5" s="1"/>
  <c r="U17" i="5" a="1"/>
  <c r="U17" i="5" s="1"/>
  <c r="U19" i="5" a="1"/>
  <c r="U19" i="5" s="1"/>
  <c r="U18" i="5" a="1"/>
  <c r="U18" i="5" s="1"/>
  <c r="AH18" i="5" a="1"/>
  <c r="AH18" i="5" s="1"/>
  <c r="AH17" i="5" a="1"/>
  <c r="AH17" i="5" s="1"/>
  <c r="AH19" i="5" a="1"/>
  <c r="AH19" i="5" s="1"/>
  <c r="AT19" i="5" a="1"/>
  <c r="AT19" i="5" s="1"/>
  <c r="AT18" i="5" a="1"/>
  <c r="AT18" i="5" s="1"/>
  <c r="AT17" i="5" a="1"/>
  <c r="AT17" i="5" s="1"/>
  <c r="AX17" i="5" a="1"/>
  <c r="AX17" i="5" s="1"/>
  <c r="AX18" i="5" a="1"/>
  <c r="AX18" i="5" s="1"/>
  <c r="AX19" i="5" a="1"/>
  <c r="AX19" i="5" s="1"/>
  <c r="J19" i="5" a="1"/>
  <c r="J19" i="5" s="1"/>
  <c r="J18" i="5" a="1"/>
  <c r="J18" i="5" s="1"/>
  <c r="J17" i="5" a="1"/>
  <c r="J17" i="5" s="1"/>
  <c r="V17" i="5" a="1"/>
  <c r="V17" i="5" s="1"/>
  <c r="V19" i="5" a="1"/>
  <c r="V19" i="5" s="1"/>
  <c r="V18" i="5" a="1"/>
  <c r="V18" i="5" s="1"/>
  <c r="AI18" i="5" a="1"/>
  <c r="AI18" i="5" s="1"/>
  <c r="AI17" i="5" a="1"/>
  <c r="AI17" i="5" s="1"/>
  <c r="AI19" i="5" a="1"/>
  <c r="AI19" i="5" s="1"/>
  <c r="AU19" i="5" a="1"/>
  <c r="AU19" i="5" s="1"/>
  <c r="AU17" i="5" a="1"/>
  <c r="AU17" i="5" s="1"/>
  <c r="AU18" i="5" a="1"/>
  <c r="AU18" i="5" s="1"/>
  <c r="X40" i="4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AF38" i="5" l="1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AW23" i="5"/>
  <c r="BI23" i="5"/>
  <c r="D24" i="5"/>
  <c r="P24" i="5"/>
  <c r="B24" i="5"/>
  <c r="AX23" i="5"/>
  <c r="BJ23" i="5"/>
  <c r="BH23" i="5"/>
  <c r="E24" i="5"/>
  <c r="Q24" i="5"/>
  <c r="AM23" i="5"/>
  <c r="AY23" i="5"/>
  <c r="BK23" i="5"/>
  <c r="F24" i="5"/>
  <c r="R24" i="5"/>
  <c r="AN23" i="5"/>
  <c r="AZ23" i="5"/>
  <c r="AL23" i="5"/>
  <c r="Z24" i="5"/>
  <c r="G24" i="5"/>
  <c r="S24" i="5"/>
  <c r="AO23" i="5"/>
  <c r="BA23" i="5"/>
  <c r="H24" i="5"/>
  <c r="T24" i="5"/>
  <c r="AP23" i="5"/>
  <c r="BB23" i="5"/>
  <c r="I24" i="5"/>
  <c r="U24" i="5"/>
  <c r="AQ23" i="5"/>
  <c r="BC23" i="5"/>
  <c r="AV23" i="5"/>
  <c r="J24" i="5"/>
  <c r="V24" i="5"/>
  <c r="AR23" i="5"/>
  <c r="BD23" i="5"/>
  <c r="K24" i="5"/>
  <c r="W24" i="5"/>
  <c r="AS23" i="5"/>
  <c r="BE23" i="5"/>
  <c r="BF23" i="5"/>
  <c r="L24" i="5"/>
  <c r="X24" i="5"/>
  <c r="AT23" i="5"/>
  <c r="M24" i="5"/>
  <c r="Y24" i="5"/>
  <c r="AU23" i="5"/>
  <c r="BG23" i="5"/>
  <c r="N24" i="5"/>
  <c r="C23" i="5"/>
  <c r="O23" i="5"/>
  <c r="AA23" i="5"/>
  <c r="W23" i="5"/>
  <c r="Z23" i="5"/>
  <c r="D23" i="5"/>
  <c r="P23" i="5"/>
  <c r="B23" i="5"/>
  <c r="M23" i="5"/>
  <c r="E23" i="5"/>
  <c r="Q23" i="5"/>
  <c r="Y23" i="5"/>
  <c r="F23" i="5"/>
  <c r="R23" i="5"/>
  <c r="K23" i="5"/>
  <c r="G23" i="5"/>
  <c r="S23" i="5"/>
  <c r="L23" i="5"/>
  <c r="H23" i="5"/>
  <c r="T23" i="5"/>
  <c r="I23" i="5"/>
  <c r="U23" i="5"/>
  <c r="V23" i="5"/>
  <c r="X23" i="5"/>
  <c r="N23" i="5"/>
  <c r="J23" i="5"/>
  <c r="BE42" i="5"/>
  <c r="AF42" i="5"/>
  <c r="E42" i="5"/>
  <c r="BE41" i="5"/>
  <c r="BD41" i="5" s="1"/>
  <c r="AF41" i="5"/>
  <c r="AE41" i="5" s="1"/>
  <c r="E41" i="5"/>
  <c r="B36" i="5"/>
  <c r="E53" i="5"/>
  <c r="B35" i="5"/>
  <c r="B34" i="5"/>
  <c r="E54" i="5"/>
  <c r="E65" i="5"/>
  <c r="E66" i="5"/>
  <c r="C59" i="5" l="1"/>
  <c r="O59" i="5"/>
  <c r="AA59" i="5"/>
  <c r="AM59" i="5"/>
  <c r="AY59" i="5"/>
  <c r="AI59" i="5"/>
  <c r="L59" i="5"/>
  <c r="BI59" i="5"/>
  <c r="Z59" i="5"/>
  <c r="D59" i="5"/>
  <c r="P59" i="5"/>
  <c r="AB59" i="5"/>
  <c r="AN59" i="5"/>
  <c r="AZ59" i="5"/>
  <c r="AV59" i="5"/>
  <c r="Y59" i="5"/>
  <c r="B59" i="5"/>
  <c r="E59" i="5"/>
  <c r="Q59" i="5"/>
  <c r="AC59" i="5"/>
  <c r="AO59" i="5"/>
  <c r="BA59" i="5"/>
  <c r="BB59" i="5"/>
  <c r="BG59" i="5"/>
  <c r="AJ59" i="5"/>
  <c r="AW59" i="5"/>
  <c r="F59" i="5"/>
  <c r="R59" i="5"/>
  <c r="AD59" i="5"/>
  <c r="AP59" i="5"/>
  <c r="X59" i="5"/>
  <c r="G59" i="5"/>
  <c r="S59" i="5"/>
  <c r="AE59" i="5"/>
  <c r="AQ59" i="5"/>
  <c r="BC59" i="5"/>
  <c r="W59" i="5"/>
  <c r="M59" i="5"/>
  <c r="H59" i="5"/>
  <c r="T59" i="5"/>
  <c r="AF59" i="5"/>
  <c r="AR59" i="5"/>
  <c r="BD59" i="5"/>
  <c r="I59" i="5"/>
  <c r="U59" i="5"/>
  <c r="AG59" i="5"/>
  <c r="AS59" i="5"/>
  <c r="BE59" i="5"/>
  <c r="V59" i="5"/>
  <c r="AU59" i="5"/>
  <c r="AL59" i="5"/>
  <c r="J59" i="5"/>
  <c r="AH59" i="5"/>
  <c r="AT59" i="5"/>
  <c r="BF59" i="5"/>
  <c r="BH59" i="5"/>
  <c r="AK59" i="5"/>
  <c r="AX59" i="5"/>
  <c r="K59" i="5"/>
  <c r="N59" i="5"/>
  <c r="D60" i="5"/>
  <c r="P60" i="5"/>
  <c r="AB60" i="5"/>
  <c r="AN60" i="5"/>
  <c r="AZ60" i="5"/>
  <c r="S60" i="5"/>
  <c r="AG60" i="5"/>
  <c r="E60" i="5"/>
  <c r="Q60" i="5"/>
  <c r="AC60" i="5"/>
  <c r="AO60" i="5"/>
  <c r="BA60" i="5"/>
  <c r="G60" i="5"/>
  <c r="BE60" i="5"/>
  <c r="BG60" i="5"/>
  <c r="L60" i="5"/>
  <c r="AV60" i="5"/>
  <c r="C60" i="5"/>
  <c r="F60" i="5"/>
  <c r="R60" i="5"/>
  <c r="AD60" i="5"/>
  <c r="AP60" i="5"/>
  <c r="BB60" i="5"/>
  <c r="AQ60" i="5"/>
  <c r="U60" i="5"/>
  <c r="AU60" i="5"/>
  <c r="BH60" i="5"/>
  <c r="B60" i="5"/>
  <c r="AE60" i="5"/>
  <c r="BC60" i="5"/>
  <c r="O60" i="5"/>
  <c r="H60" i="5"/>
  <c r="T60" i="5"/>
  <c r="AF60" i="5"/>
  <c r="AR60" i="5"/>
  <c r="BD60" i="5"/>
  <c r="Y60" i="5"/>
  <c r="AA60" i="5"/>
  <c r="I60" i="5"/>
  <c r="AS60" i="5"/>
  <c r="AK60" i="5"/>
  <c r="Z60" i="5"/>
  <c r="AM60" i="5"/>
  <c r="J60" i="5"/>
  <c r="V60" i="5"/>
  <c r="AH60" i="5"/>
  <c r="AT60" i="5"/>
  <c r="BF60" i="5"/>
  <c r="K60" i="5"/>
  <c r="AI60" i="5"/>
  <c r="AJ60" i="5"/>
  <c r="M60" i="5"/>
  <c r="BI60" i="5"/>
  <c r="N60" i="5"/>
  <c r="AX60" i="5"/>
  <c r="W60" i="5"/>
  <c r="X60" i="5"/>
  <c r="AW60" i="5"/>
  <c r="AL60" i="5"/>
  <c r="AY60" i="5"/>
  <c r="AY56" i="5" s="1"/>
  <c r="D48" i="5"/>
  <c r="P48" i="5"/>
  <c r="AB48" i="5"/>
  <c r="AN48" i="5"/>
  <c r="AZ48" i="5"/>
  <c r="BE48" i="5"/>
  <c r="AU48" i="5"/>
  <c r="L48" i="5"/>
  <c r="AJ48" i="5"/>
  <c r="O48" i="5"/>
  <c r="E48" i="5"/>
  <c r="Q48" i="5"/>
  <c r="AC48" i="5"/>
  <c r="AO48" i="5"/>
  <c r="BA48" i="5"/>
  <c r="I48" i="5"/>
  <c r="U48" i="5"/>
  <c r="AI48" i="5"/>
  <c r="BH48" i="5"/>
  <c r="BI48" i="5"/>
  <c r="N48" i="5"/>
  <c r="F48" i="5"/>
  <c r="R48" i="5"/>
  <c r="AD48" i="5"/>
  <c r="AP48" i="5"/>
  <c r="BB48" i="5"/>
  <c r="AS48" i="5"/>
  <c r="M48" i="5"/>
  <c r="AX48" i="5"/>
  <c r="AA48" i="5"/>
  <c r="G48" i="5"/>
  <c r="S48" i="5"/>
  <c r="AE48" i="5"/>
  <c r="AQ48" i="5"/>
  <c r="BC48" i="5"/>
  <c r="H48" i="5"/>
  <c r="T48" i="5"/>
  <c r="AF48" i="5"/>
  <c r="AR48" i="5"/>
  <c r="BD48" i="5"/>
  <c r="AG48" i="5"/>
  <c r="Y48" i="5"/>
  <c r="AL48" i="5"/>
  <c r="C48" i="5"/>
  <c r="J48" i="5"/>
  <c r="V48" i="5"/>
  <c r="AH48" i="5"/>
  <c r="AT48" i="5"/>
  <c r="BF48" i="5"/>
  <c r="K48" i="5"/>
  <c r="W48" i="5"/>
  <c r="BG48" i="5"/>
  <c r="X48" i="5"/>
  <c r="AV48" i="5"/>
  <c r="AW48" i="5"/>
  <c r="Z48" i="5"/>
  <c r="AM48" i="5"/>
  <c r="AK48" i="5"/>
  <c r="B48" i="5"/>
  <c r="AY48" i="5"/>
  <c r="D41" i="5"/>
  <c r="C47" i="5"/>
  <c r="O47" i="5"/>
  <c r="AA47" i="5"/>
  <c r="AM47" i="5"/>
  <c r="AY47" i="5"/>
  <c r="BD47" i="5"/>
  <c r="X47" i="5"/>
  <c r="AK47" i="5"/>
  <c r="D47" i="5"/>
  <c r="P47" i="5"/>
  <c r="AB47" i="5"/>
  <c r="AN47" i="5"/>
  <c r="AZ47" i="5"/>
  <c r="BG47" i="5"/>
  <c r="AV47" i="5"/>
  <c r="Z47" i="5"/>
  <c r="E47" i="5"/>
  <c r="Q47" i="5"/>
  <c r="AC47" i="5"/>
  <c r="AO47" i="5"/>
  <c r="BA47" i="5"/>
  <c r="T47" i="5"/>
  <c r="K47" i="5"/>
  <c r="M47" i="5"/>
  <c r="F47" i="5"/>
  <c r="R47" i="5"/>
  <c r="AD47" i="5"/>
  <c r="AP47" i="5"/>
  <c r="BB47" i="5"/>
  <c r="AR47" i="5"/>
  <c r="W47" i="5"/>
  <c r="BH47" i="5"/>
  <c r="Y47" i="5"/>
  <c r="AX47" i="5"/>
  <c r="B47" i="5"/>
  <c r="G47" i="5"/>
  <c r="S47" i="5"/>
  <c r="AE47" i="5"/>
  <c r="AQ47" i="5"/>
  <c r="BC47" i="5"/>
  <c r="AF47" i="5"/>
  <c r="AI47" i="5"/>
  <c r="AJ47" i="5"/>
  <c r="AW47" i="5"/>
  <c r="H47" i="5"/>
  <c r="I47" i="5"/>
  <c r="U47" i="5"/>
  <c r="AG47" i="5"/>
  <c r="AS47" i="5"/>
  <c r="BE47" i="5"/>
  <c r="J47" i="5"/>
  <c r="AH47" i="5"/>
  <c r="AT47" i="5"/>
  <c r="BF47" i="5"/>
  <c r="L47" i="5"/>
  <c r="AL47" i="5"/>
  <c r="V47" i="5"/>
  <c r="BI47" i="5"/>
  <c r="AU47" i="5"/>
  <c r="N47" i="5"/>
  <c r="BE43" i="5"/>
  <c r="B43" i="5"/>
  <c r="AF43" i="5"/>
  <c r="AE42" i="5"/>
  <c r="D42" i="5"/>
  <c r="BD42" i="5"/>
  <c r="D5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V5" i="3" a="1"/>
  <c r="W4" i="3" a="1"/>
  <c r="V3" i="3" a="1"/>
  <c r="W5" i="3" a="1"/>
  <c r="V4" i="3" a="1"/>
  <c r="V6" i="3" a="1"/>
  <c r="W3" i="3" a="1"/>
  <c r="W6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5" i="3" a="1"/>
  <c r="AA4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5" i="3" a="1"/>
  <c r="AB6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3" i="3" a="1"/>
  <c r="AC4" i="3" a="1"/>
  <c r="AC5" i="3" a="1"/>
  <c r="AC6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5" i="3" a="1"/>
  <c r="AD6" i="3" a="1"/>
  <c r="AD4" i="3" a="1"/>
  <c r="AD3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4" i="3" a="1"/>
  <c r="AE6" i="3" a="1"/>
  <c r="AE5" i="3" a="1"/>
  <c r="AE3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4" i="3" a="1"/>
  <c r="AH3" i="3" a="1"/>
  <c r="AH6" i="3" a="1"/>
  <c r="AH6" i="3" l="1"/>
  <c r="AH4" i="3"/>
  <c r="AH5" i="3"/>
  <c r="AH3" i="3"/>
  <c r="AJ2" i="3"/>
  <c r="AI5" i="3" a="1"/>
  <c r="AI3" i="3" a="1"/>
  <c r="AI6" i="3" a="1"/>
  <c r="AI4" i="3" a="1"/>
  <c r="AI3" i="3" l="1"/>
  <c r="AI4" i="3"/>
  <c r="AI6" i="3"/>
  <c r="AI5" i="3"/>
  <c r="AK2" i="3"/>
  <c r="AJ5" i="3" a="1"/>
  <c r="AJ6" i="3" a="1"/>
  <c r="AJ3" i="3" a="1"/>
  <c r="AJ4" i="3" a="1"/>
  <c r="AJ6" i="3" l="1"/>
  <c r="AJ4" i="3"/>
  <c r="AJ3" i="3"/>
  <c r="AJ5" i="3"/>
  <c r="AL2" i="3"/>
  <c r="AK5" i="3" a="1"/>
  <c r="AK4" i="3" a="1"/>
  <c r="AK6" i="3" a="1"/>
  <c r="AK3" i="3" a="1"/>
  <c r="AK3" i="3" l="1"/>
  <c r="AK6" i="3"/>
  <c r="AK5" i="3"/>
  <c r="AK4" i="3"/>
  <c r="AM2" i="3"/>
  <c r="AL6" i="3" a="1"/>
  <c r="AL4" i="3" a="1"/>
  <c r="AL5" i="3" a="1"/>
  <c r="AL3" i="3" a="1"/>
  <c r="AL6" i="3" l="1"/>
  <c r="AL4" i="3"/>
  <c r="AL5" i="3"/>
  <c r="AL3" i="3"/>
  <c r="AN2" i="3"/>
  <c r="AM4" i="3" a="1"/>
  <c r="AM3" i="3" a="1"/>
  <c r="AM6" i="3" a="1"/>
  <c r="AM5" i="3" a="1"/>
  <c r="AM5" i="3" l="1"/>
  <c r="AM6" i="3"/>
  <c r="AM3" i="3"/>
  <c r="AM4" i="3"/>
  <c r="AO2" i="3"/>
  <c r="AN5" i="3" a="1"/>
  <c r="AN4" i="3" a="1"/>
  <c r="AN3" i="3" a="1"/>
  <c r="AN6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4" i="3" a="1"/>
  <c r="AP3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4" i="3" a="1"/>
  <c r="AS5" i="3" a="1"/>
  <c r="AS6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4" i="3" a="1"/>
  <c r="AU6" i="3" a="1"/>
  <c r="AU5" i="3" a="1"/>
  <c r="AU3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4" i="3" a="1"/>
  <c r="AX3" i="3" a="1"/>
  <c r="AX5" i="3" a="1"/>
  <c r="AX3" i="3" l="1"/>
  <c r="AX5" i="3"/>
  <c r="AX4" i="3"/>
  <c r="AX6" i="3"/>
  <c r="AZ2" i="3"/>
  <c r="AY5" i="3" a="1"/>
  <c r="AY6" i="3" a="1"/>
  <c r="AY4" i="3" a="1"/>
  <c r="AY3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4" i="3" a="1"/>
  <c r="BB5" i="3" a="1"/>
  <c r="BB6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4" i="3" a="1"/>
  <c r="BN3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6" i="3" a="1"/>
  <c r="BP4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3" i="3" a="1"/>
  <c r="BT6" i="3" a="1"/>
  <c r="BT5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3" i="3" a="1"/>
  <c r="BW4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54" i="5"/>
  <c r="D66" i="5"/>
  <c r="B55" i="5" l="1"/>
  <c r="D65" i="5" l="1"/>
  <c r="B6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<sst xmlns="http://schemas.openxmlformats.org/spreadsheetml/2006/main" count="25363" uniqueCount="8821">
  <si>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</si>
  <si>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</si>
  <si>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</si>
  <si>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</si>
  <si>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</si>
  <si>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</si>
  <si>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</si>
  <si>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</si>
  <si>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</si>
  <si>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</si>
  <si>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</si>
  <si>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</si>
  <si>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</si>
  <si>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</si>
  <si>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</si>
  <si>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</si>
  <si>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</si>
  <si>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</si>
  <si>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</si>
  <si>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</si>
  <si>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</si>
  <si>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</si>
  <si>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</si>
  <si>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</si>
  <si>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</si>
  <si>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</si>
  <si>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</si>
  <si>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</si>
  <si>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</si>
  <si>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</si>
  <si>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</si>
  <si>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</si>
  <si>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</si>
  <si>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</si>
  <si>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</si>
  <si>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</si>
  <si>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</si>
  <si>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</si>
  <si>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</si>
  <si>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</si>
  <si>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</si>
  <si>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</si>
  <si>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</si>
  <si>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</si>
  <si>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</si>
  <si>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</si>
  <si>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</si>
  <si>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</si>
  <si>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</si>
  <si>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</si>
  <si>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</si>
  <si>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</si>
  <si>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</si>
  <si>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</si>
  <si>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</si>
  <si>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</si>
  <si>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</si>
  <si>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</si>
  <si>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</si>
  <si>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</si>
  <si>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</si>
  <si>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</si>
  <si>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</si>
  <si>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</si>
  <si>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</si>
  <si>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</si>
  <si>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</si>
  <si>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</si>
  <si>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</si>
  <si>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</si>
  <si>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</si>
  <si>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</si>
  <si>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</si>
  <si>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</si>
  <si>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</si>
  <si>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</si>
  <si>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</si>
  <si>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</si>
  <si>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</si>
  <si>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</si>
  <si>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</si>
  <si>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</si>
  <si>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</si>
  <si>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</si>
  <si>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</si>
  <si>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</si>
  <si>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</si>
  <si>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</si>
  <si>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</si>
  <si>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</si>
  <si>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</si>
  <si>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</si>
  <si>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</si>
  <si>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</si>
  <si>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</si>
  <si>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</si>
  <si>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</si>
  <si>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</si>
  <si>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</si>
  <si>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</si>
  <si>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</si>
  <si>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</si>
  <si>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</si>
  <si>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</si>
  <si>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</si>
  <si>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</si>
  <si>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</si>
  <si>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</si>
  <si>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</si>
  <si>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</si>
  <si>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</si>
  <si>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</si>
  <si>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</si>
  <si>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</si>
  <si>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</si>
  <si>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</si>
  <si>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</si>
  <si>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</si>
  <si>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</si>
  <si>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</si>
  <si>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</si>
  <si>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</si>
  <si>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</si>
  <si>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</si>
  <si>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</si>
  <si>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</si>
  <si>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</si>
  <si>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</si>
  <si>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</si>
  <si>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</si>
  <si>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</si>
  <si>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</si>
  <si>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</si>
  <si>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</si>
  <si>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</si>
  <si>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</si>
  <si>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</si>
  <si>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</si>
  <si>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</si>
  <si>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</si>
  <si>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</si>
  <si>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</si>
  <si>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</si>
  <si>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</si>
  <si>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</si>
  <si>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</si>
  <si>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</si>
  <si>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</si>
  <si>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</si>
  <si>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</si>
  <si>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</si>
  <si>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</si>
  <si>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</si>
  <si>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</si>
  <si>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</si>
  <si>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</si>
  <si>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</si>
  <si>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</si>
  <si>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</si>
  <si>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</si>
  <si>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</si>
  <si>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</si>
  <si>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</si>
  <si>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</si>
  <si>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</si>
  <si>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</si>
  <si>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</si>
  <si>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</si>
  <si>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</si>
  <si>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</si>
  <si>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</si>
  <si>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</si>
  <si>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</si>
  <si>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</si>
  <si>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</si>
  <si>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</si>
  <si>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</si>
  <si>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</si>
  <si>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</si>
  <si>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</si>
  <si>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</si>
  <si>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</si>
  <si>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</si>
  <si>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</si>
  <si>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</si>
  <si>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</si>
  <si>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</si>
  <si>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</si>
  <si>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</si>
  <si>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</si>
  <si>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</si>
  <si>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</si>
  <si>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</si>
  <si>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</si>
  <si>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</si>
  <si>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</si>
  <si>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</si>
  <si>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</si>
  <si>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</si>
  <si>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</si>
  <si>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</si>
  <si>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</si>
  <si>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</si>
  <si>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</si>
  <si>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</si>
  <si>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</si>
  <si>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</si>
  <si>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</si>
  <si>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</si>
  <si>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</si>
  <si>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</si>
  <si>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</si>
  <si>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</si>
  <si>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</si>
  <si>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</si>
  <si>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</si>
  <si>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</si>
  <si>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</si>
  <si>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</si>
  <si>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</si>
  <si>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</si>
  <si>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</si>
  <si>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</si>
  <si>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</si>
  <si>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</si>
  <si>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</si>
  <si>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</si>
  <si>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</si>
  <si>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</si>
  <si>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</si>
  <si>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</si>
  <si>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</si>
  <si>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</si>
  <si>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</si>
  <si>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</si>
  <si>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</si>
  <si>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</si>
  <si>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</si>
  <si>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</si>
  <si>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</si>
  <si>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</si>
  <si>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</si>
  <si>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</si>
  <si>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</si>
  <si>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</si>
  <si>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</si>
  <si>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</si>
  <si>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</si>
  <si>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</si>
  <si>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</si>
  <si>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</si>
  <si>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</si>
  <si>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</si>
  <si>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</si>
  <si>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</si>
  <si>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</si>
  <si>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</si>
  <si>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</si>
  <si>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</si>
  <si>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</si>
  <si>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</si>
  <si>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</si>
  <si>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</si>
  <si>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</si>
  <si>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</si>
  <si>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</si>
  <si>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</si>
  <si>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</si>
  <si>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</si>
  <si>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</si>
  <si>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</si>
  <si>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</si>
  <si>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</si>
  <si>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</si>
  <si>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</si>
  <si>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</si>
  <si>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</si>
  <si>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</si>
  <si>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</si>
  <si>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</si>
  <si>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</si>
  <si>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</si>
  <si>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</si>
  <si>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</si>
  <si>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</si>
  <si>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</si>
  <si>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</si>
  <si>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</si>
  <si>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</si>
  <si>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</si>
  <si>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</si>
  <si>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</si>
  <si>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</si>
  <si>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</si>
  <si>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</si>
  <si>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</si>
  <si>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</si>
  <si>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</si>
  <si>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</si>
  <si>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</si>
  <si>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</si>
  <si>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</si>
  <si>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</si>
  <si>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</si>
  <si>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</si>
  <si>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</si>
  <si>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</si>
  <si>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</si>
  <si>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</si>
  <si>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</si>
  <si>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</si>
  <si>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</si>
  <si>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</si>
  <si>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</si>
  <si>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</si>
  <si>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</si>
  <si>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</si>
  <si>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</si>
  <si>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</si>
  <si>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</si>
  <si>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</si>
  <si>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</si>
  <si>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</si>
  <si>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</si>
  <si>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</si>
  <si>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</si>
  <si>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</si>
  <si>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</si>
  <si>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</si>
  <si>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</si>
  <si>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</si>
  <si>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</si>
  <si>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</si>
  <si>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</si>
  <si>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</si>
  <si>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</si>
  <si>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</si>
  <si>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</si>
  <si>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</si>
  <si>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</si>
  <si>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</si>
  <si>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</si>
  <si>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</si>
  <si>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</si>
  <si>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</si>
  <si>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</si>
  <si>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</si>
  <si>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</si>
  <si>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</si>
  <si>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</si>
  <si>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</si>
  <si>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</si>
  <si>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</si>
  <si>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</si>
  <si>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</si>
  <si>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</si>
  <si>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</si>
  <si>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</si>
  <si>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</si>
  <si>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</si>
  <si>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</si>
  <si>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</si>
  <si>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</si>
  <si>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</si>
  <si>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</si>
  <si>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</si>
  <si>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</si>
  <si>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</si>
  <si>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</si>
  <si>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</si>
  <si>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</si>
  <si>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</si>
  <si>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</si>
  <si>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</si>
  <si>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</si>
  <si>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</si>
  <si>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</si>
  <si>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</si>
  <si>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</si>
  <si>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</si>
  <si>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</si>
  <si>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</si>
  <si>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</si>
  <si>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</si>
  <si>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</si>
  <si>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</si>
  <si>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</si>
  <si>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</si>
  <si>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</si>
  <si>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</si>
  <si>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</si>
  <si>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</si>
  <si>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</si>
  <si>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</si>
  <si>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</si>
  <si>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</si>
  <si>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</si>
  <si>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</si>
  <si>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</si>
  <si>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</si>
  <si>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</si>
  <si>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</si>
  <si>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</si>
  <si>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</si>
  <si>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</si>
  <si>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</si>
  <si>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</si>
  <si>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</si>
  <si>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</si>
  <si>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</si>
  <si>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</si>
  <si>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</si>
  <si>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</si>
  <si>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</si>
  <si>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</si>
  <si>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</si>
  <si>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</si>
  <si>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</si>
  <si>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</si>
  <si>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</si>
  <si>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</si>
  <si>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</si>
  <si>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</si>
  <si>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</si>
  <si>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</si>
  <si>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</si>
  <si>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</si>
  <si>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</si>
  <si>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</si>
  <si>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</si>
  <si>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</si>
  <si>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</si>
  <si>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</si>
  <si>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</si>
  <si>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</si>
  <si>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</si>
  <si>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</si>
  <si>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</si>
  <si>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</si>
  <si>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</si>
  <si>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</si>
  <si>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</si>
  <si>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</si>
  <si>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</si>
  <si>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</si>
  <si>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</si>
  <si>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</si>
  <si>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</si>
  <si>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</si>
  <si>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</si>
  <si>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</si>
  <si>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</si>
  <si>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</si>
  <si>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</si>
  <si>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</si>
  <si>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</si>
  <si>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</si>
  <si>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</si>
  <si>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</si>
  <si>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</si>
  <si>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</si>
  <si>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</si>
  <si>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</si>
  <si>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</si>
  <si>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</si>
  <si>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</si>
  <si>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</si>
  <si>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</si>
  <si>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</si>
  <si>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</si>
  <si>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</si>
  <si>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</si>
  <si>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</si>
  <si>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</si>
  <si>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</si>
  <si>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</si>
  <si>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</si>
  <si>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</si>
  <si>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</si>
  <si>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</si>
  <si>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</si>
  <si>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</si>
  <si>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</si>
  <si>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</si>
  <si>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</si>
  <si>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</si>
  <si>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</si>
  <si>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</si>
  <si>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</si>
  <si>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</si>
  <si>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</si>
  <si>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</si>
  <si>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</si>
  <si>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</si>
  <si>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</si>
  <si>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</si>
  <si>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</si>
  <si>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</si>
  <si>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</si>
  <si>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</si>
  <si>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</si>
  <si>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</si>
  <si>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</si>
  <si>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</si>
  <si>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</si>
  <si>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</si>
  <si>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</si>
  <si>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</si>
  <si>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</si>
  <si>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</si>
  <si>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</si>
  <si>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</si>
  <si>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</si>
  <si>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</si>
  <si>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</si>
  <si>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</si>
  <si>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</si>
  <si>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</si>
  <si>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</si>
  <si>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</si>
  <si>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</si>
  <si>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</si>
  <si>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</si>
  <si>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</si>
  <si>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</si>
  <si>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</si>
  <si>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</si>
  <si>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</si>
  <si>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</si>
  <si>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</si>
  <si>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</si>
  <si>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</si>
  <si>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</si>
  <si>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</si>
  <si>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</si>
  <si>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</si>
  <si>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</si>
  <si>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</si>
  <si>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</si>
  <si>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</si>
  <si>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</si>
  <si>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</si>
  <si>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</si>
  <si>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</si>
  <si>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</si>
  <si>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</si>
  <si>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</si>
  <si>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</si>
  <si>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</si>
  <si>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</si>
  <si>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</si>
  <si>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</si>
  <si>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</si>
  <si>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</si>
  <si>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</si>
  <si>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</si>
  <si>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</si>
  <si>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</si>
  <si>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</si>
  <si>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</si>
  <si>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</si>
  <si>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</si>
  <si>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</si>
  <si>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</si>
  <si>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</si>
  <si>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</si>
  <si>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</si>
  <si>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</si>
  <si>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</si>
  <si>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</si>
  <si>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</si>
  <si>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</si>
  <si>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</si>
  <si>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</si>
  <si>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</si>
  <si>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</si>
  <si>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</si>
  <si>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</si>
  <si>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</si>
  <si>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</si>
  <si>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</si>
  <si>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</si>
  <si>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</si>
  <si>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</si>
  <si>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</si>
  <si>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</si>
  <si>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</si>
  <si>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</si>
  <si>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</si>
  <si>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</si>
  <si>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</si>
  <si>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</si>
  <si>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</si>
  <si>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</si>
  <si>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</si>
  <si>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</si>
  <si>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</si>
  <si>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</si>
  <si>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</si>
  <si>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</si>
  <si>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</si>
  <si>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</si>
  <si>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</si>
  <si>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</si>
  <si>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</si>
  <si>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</si>
  <si>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</si>
  <si>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</si>
  <si>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</si>
  <si>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</si>
  <si>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</si>
  <si>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</si>
  <si>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</si>
  <si>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</si>
  <si>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</si>
  <si>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</si>
  <si>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</si>
  <si>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</si>
  <si>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</si>
  <si>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</si>
  <si>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</si>
  <si>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</si>
  <si>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</si>
  <si>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</si>
  <si>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</si>
  <si>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</si>
  <si>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</si>
  <si>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</si>
  <si>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</si>
  <si>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</si>
  <si>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</si>
  <si>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</si>
  <si>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</si>
  <si>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</si>
  <si>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</si>
  <si>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</si>
  <si>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</si>
  <si>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</si>
  <si>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</si>
  <si>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</si>
  <si>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</si>
  <si>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</si>
  <si>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</si>
  <si>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</si>
  <si>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</si>
  <si>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</si>
  <si>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</si>
  <si>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</si>
  <si>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</si>
  <si>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</si>
  <si>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</si>
  <si>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</si>
  <si>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</si>
  <si>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</si>
  <si>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</si>
  <si>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</si>
  <si>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</si>
  <si>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</si>
  <si>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</si>
  <si>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</si>
  <si>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</si>
  <si>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</si>
  <si>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</si>
  <si>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</si>
  <si>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</si>
  <si>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</si>
  <si>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</si>
  <si>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</si>
  <si>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</si>
  <si>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</si>
  <si>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</si>
  <si>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</si>
  <si>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</si>
  <si>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</si>
  <si>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</si>
  <si>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</si>
  <si>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</si>
  <si>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</si>
  <si>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</si>
  <si>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</si>
  <si>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</si>
  <si>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</si>
  <si>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</si>
  <si>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</si>
  <si>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</si>
  <si>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</si>
  <si>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</si>
  <si>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</si>
  <si>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</si>
  <si>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</si>
  <si>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</si>
  <si>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</si>
  <si>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</si>
  <si>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</si>
  <si>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</si>
  <si>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</si>
  <si>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</si>
  <si>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</si>
  <si>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</si>
  <si>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</si>
  <si>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</si>
  <si>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</si>
  <si>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</si>
  <si>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</si>
  <si>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</si>
  <si>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</si>
  <si>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</si>
  <si>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</si>
  <si>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</si>
  <si>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</si>
  <si>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</si>
  <si>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</si>
  <si>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</si>
  <si>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</si>
  <si>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</si>
  <si>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</si>
  <si>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</si>
  <si>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</si>
  <si>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</si>
  <si>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</si>
  <si>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</si>
  <si>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</si>
  <si>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</si>
  <si>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</si>
  <si>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</si>
  <si>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</si>
  <si>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</si>
  <si>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</si>
  <si>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</si>
  <si>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</si>
  <si>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</si>
  <si>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</si>
  <si>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</si>
  <si>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</si>
  <si>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</si>
  <si>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</si>
  <si>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</si>
  <si>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</si>
  <si>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</si>
  <si>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</si>
  <si>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</si>
  <si>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</si>
  <si>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</si>
  <si>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</si>
  <si>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</si>
  <si>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</si>
  <si>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</si>
  <si>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</si>
  <si>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</si>
  <si>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</si>
  <si>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</si>
  <si>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</si>
  <si>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</si>
  <si>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</si>
  <si>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</si>
  <si>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</si>
  <si>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</si>
  <si>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</si>
  <si>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</si>
  <si>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</si>
  <si>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</si>
  <si>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</si>
  <si>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</si>
  <si>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</si>
  <si>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</si>
  <si>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</si>
  <si>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</si>
  <si>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</si>
  <si>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</si>
  <si>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</si>
  <si>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</si>
  <si>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</si>
  <si>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</si>
  <si>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</si>
  <si>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</si>
  <si>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</si>
  <si>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</si>
  <si>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</si>
  <si>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</si>
  <si>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</si>
  <si>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</si>
  <si>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</si>
  <si>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</si>
  <si>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</si>
  <si>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</si>
  <si>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</si>
  <si>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</si>
  <si>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</si>
  <si>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</si>
  <si>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</si>
  <si>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</si>
  <si>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</si>
  <si>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</si>
  <si>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</si>
  <si>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</si>
  <si>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</si>
  <si>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</si>
  <si>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</si>
  <si>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</si>
  <si>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</si>
  <si>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</si>
  <si>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</si>
  <si>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</si>
  <si>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</si>
  <si>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</si>
  <si>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</si>
  <si>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</si>
  <si>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</si>
  <si>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</si>
  <si>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</si>
  <si>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</si>
  <si>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</si>
  <si>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</si>
  <si>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</si>
  <si>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</si>
  <si>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</si>
  <si>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</si>
  <si>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</si>
  <si>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</si>
  <si>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</si>
  <si>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</si>
  <si>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</si>
  <si>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</si>
  <si>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</si>
  <si>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</si>
  <si>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</si>
  <si>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</si>
  <si>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</si>
  <si>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</si>
  <si>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</si>
  <si>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</si>
  <si>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</si>
  <si>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</si>
  <si>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</si>
  <si>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</si>
  <si>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</si>
  <si>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</si>
  <si>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</si>
  <si>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</si>
  <si>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</si>
  <si>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</si>
  <si>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</si>
  <si>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</si>
  <si>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</si>
  <si>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</si>
  <si>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</si>
  <si>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</si>
  <si>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</si>
  <si>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</si>
  <si>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</si>
  <si>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</si>
  <si>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</si>
  <si>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</si>
  <si>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</si>
  <si>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</si>
  <si>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</si>
  <si>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</si>
  <si>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</si>
  <si>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</si>
  <si>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</si>
  <si>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</si>
  <si>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</si>
  <si>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</si>
  <si>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</si>
  <si>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</si>
  <si>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</si>
  <si>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</si>
  <si>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</si>
  <si>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</si>
  <si>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</si>
  <si>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</si>
  <si>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</si>
  <si>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</si>
  <si>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</si>
  <si>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</si>
  <si>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</si>
  <si>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</si>
  <si>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</si>
  <si>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</si>
  <si>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</si>
  <si>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</si>
  <si>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</si>
  <si>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</si>
  <si>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</si>
  <si>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</si>
  <si>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</si>
  <si>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</si>
  <si>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</si>
  <si>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</si>
  <si>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</si>
  <si>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</si>
  <si>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</si>
  <si>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</si>
  <si>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</si>
  <si>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</si>
  <si>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</si>
  <si>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</si>
  <si>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</si>
  <si>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</si>
  <si>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</si>
  <si>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</si>
  <si>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</si>
  <si>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</si>
  <si>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</si>
  <si>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</si>
  <si>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</si>
  <si>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</si>
  <si>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</si>
  <si>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</si>
  <si>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</si>
  <si>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</si>
  <si>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</si>
  <si>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</si>
  <si>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</si>
  <si>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</si>
  <si>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</si>
  <si>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</si>
  <si>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</si>
  <si>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</si>
  <si>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</si>
  <si>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</si>
  <si>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</si>
  <si>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</si>
  <si>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</si>
  <si>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</si>
  <si>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</si>
  <si>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</si>
  <si>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</si>
  <si>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</si>
  <si>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</si>
  <si>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</si>
  <si>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</si>
  <si>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</si>
  <si>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</si>
  <si>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</si>
  <si>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</si>
  <si>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</si>
  <si>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</si>
  <si>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</si>
  <si>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</si>
  <si>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</si>
  <si>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</si>
  <si>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</si>
  <si>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</si>
  <si>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</si>
  <si>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</si>
  <si>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</si>
  <si>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</si>
  <si>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</si>
  <si>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</si>
  <si>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</si>
  <si>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</si>
  <si>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</si>
  <si>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</si>
  <si>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</si>
  <si>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</si>
  <si>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</si>
  <si>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</si>
  <si>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</si>
  <si>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</si>
  <si>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</si>
  <si>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</si>
  <si>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</si>
  <si>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</si>
  <si>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</si>
  <si>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</si>
  <si>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</si>
  <si>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</si>
  <si>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</si>
  <si>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</si>
  <si>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</si>
  <si>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</si>
  <si>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</si>
  <si>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</si>
  <si>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</si>
  <si>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</si>
  <si>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</si>
  <si>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</si>
  <si>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</si>
  <si>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</si>
  <si>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</si>
  <si>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</si>
  <si>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</si>
  <si>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</si>
  <si>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</si>
  <si>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</si>
  <si>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</si>
  <si>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</si>
  <si>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</si>
  <si>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</si>
  <si>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</si>
  <si>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</si>
  <si>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</si>
  <si>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</si>
  <si>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</si>
  <si>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</si>
  <si>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</si>
  <si>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</si>
  <si>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</si>
  <si>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</si>
  <si>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</si>
  <si>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</si>
  <si>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</si>
  <si>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</si>
  <si>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</si>
  <si>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</si>
  <si>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</si>
  <si>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</si>
  <si>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</si>
  <si>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</si>
  <si>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</si>
  <si>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</si>
  <si>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</si>
  <si>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</si>
  <si>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</si>
  <si>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</si>
  <si>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</si>
  <si>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</si>
  <si>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</si>
  <si>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</si>
  <si>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</si>
  <si>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</si>
  <si>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</si>
  <si>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</si>
  <si>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</si>
  <si>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</si>
  <si>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</si>
  <si>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</si>
  <si>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</si>
  <si>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</si>
  <si>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</si>
  <si>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</si>
  <si>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</si>
  <si>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</si>
  <si>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</si>
  <si>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</si>
  <si>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</si>
  <si>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</si>
  <si>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</si>
  <si>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</si>
  <si>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</si>
  <si>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</si>
  <si>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</si>
  <si>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</si>
  <si>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</si>
  <si>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</si>
  <si>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</si>
  <si>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</si>
  <si>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</si>
  <si>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</si>
  <si>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</si>
  <si>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</si>
  <si>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</si>
  <si>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</si>
  <si>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</si>
  <si>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</si>
  <si>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</si>
  <si>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</si>
  <si>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</si>
  <si>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</si>
  <si>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</si>
  <si>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</si>
  <si>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</si>
  <si>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</si>
  <si>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</si>
  <si>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</si>
  <si>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</si>
  <si>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</si>
  <si>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</si>
  <si>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</si>
  <si>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</si>
  <si>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</si>
  <si>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</si>
  <si>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</si>
  <si>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</si>
  <si>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</si>
  <si>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</si>
  <si>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</si>
  <si>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</si>
  <si>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</si>
  <si>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</si>
  <si>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</si>
  <si>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</si>
  <si>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</si>
  <si>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</si>
  <si>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</si>
  <si>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</si>
  <si>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</si>
  <si>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</si>
  <si>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</si>
  <si>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</si>
  <si>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</si>
  <si>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</si>
  <si>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</si>
  <si>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</si>
  <si>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</si>
  <si>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</si>
  <si>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</si>
  <si>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</si>
  <si>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</si>
  <si>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</si>
  <si>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</si>
  <si>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</si>
  <si>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</si>
  <si>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</si>
  <si>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</si>
  <si>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</si>
  <si>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</si>
  <si>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</si>
  <si>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</si>
  <si>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</si>
  <si>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</si>
  <si>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</si>
  <si>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</si>
  <si>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</si>
  <si>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</si>
  <si>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</si>
  <si>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</si>
  <si>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</si>
  <si>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</si>
  <si>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</si>
  <si>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</si>
  <si>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</si>
  <si>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</si>
  <si>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</si>
  <si>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</si>
  <si>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</si>
  <si>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</si>
  <si>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</si>
  <si>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</si>
  <si>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</si>
  <si>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</si>
  <si>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</si>
  <si>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</si>
  <si>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</si>
  <si>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</si>
  <si>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</si>
  <si>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</si>
  <si>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</si>
  <si>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</si>
  <si>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</si>
  <si>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</si>
  <si>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</si>
  <si>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</si>
  <si>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</si>
  <si>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</si>
  <si>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</si>
  <si>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</si>
  <si>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</si>
  <si>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</si>
  <si>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</si>
  <si>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</si>
  <si>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</si>
  <si>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</si>
  <si>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</si>
  <si>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</si>
  <si>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</si>
  <si>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</si>
  <si>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</si>
  <si>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</si>
  <si>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</si>
  <si>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</si>
  <si>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</si>
  <si>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</si>
  <si>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</si>
  <si>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</si>
  <si>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</si>
  <si>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</si>
  <si>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</si>
  <si>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</si>
  <si>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</si>
  <si>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</si>
  <si>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</si>
  <si>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</si>
  <si>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</si>
  <si>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</si>
  <si>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</si>
  <si>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</si>
  <si>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</si>
  <si>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</si>
  <si>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</si>
  <si>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</si>
  <si>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</si>
  <si>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</si>
  <si>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</si>
  <si>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</si>
  <si>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</si>
  <si>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</si>
  <si>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</si>
  <si>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</si>
  <si>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</si>
  <si>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</si>
  <si>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</si>
  <si>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</si>
  <si>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</si>
  <si>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</si>
  <si>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</si>
  <si>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</si>
  <si>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</si>
  <si>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</si>
  <si>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</si>
  <si>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</si>
  <si>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</si>
  <si>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</si>
  <si>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</si>
  <si>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</si>
  <si>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</si>
  <si>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</si>
  <si>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</si>
  <si>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</si>
  <si>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</si>
  <si>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</si>
  <si>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</si>
  <si>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</si>
  <si>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</si>
  <si>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</si>
  <si>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</si>
  <si>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</si>
  <si>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</si>
  <si>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</si>
  <si>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</si>
  <si>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</si>
  <si>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</si>
  <si>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</si>
  <si>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</si>
  <si>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</si>
  <si>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</si>
  <si>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</si>
  <si>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</si>
  <si>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</si>
  <si>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</si>
  <si>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</si>
  <si>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</si>
  <si>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</si>
  <si>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</si>
  <si>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</si>
  <si>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</si>
  <si>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</si>
  <si>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</si>
  <si>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</si>
  <si>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</si>
  <si>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</si>
  <si>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</si>
  <si>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</si>
  <si>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</si>
  <si>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</si>
  <si>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</si>
  <si>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</si>
  <si>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</si>
  <si>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</si>
  <si>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</si>
  <si>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</si>
  <si>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</si>
  <si>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</si>
  <si>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</si>
  <si>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</si>
  <si>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</si>
  <si>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</si>
  <si>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</si>
  <si>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</si>
  <si>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</si>
  <si>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</si>
  <si>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</si>
  <si>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</si>
  <si>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</si>
  <si>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</si>
  <si>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</si>
  <si>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</si>
  <si>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</si>
  <si>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</si>
  <si>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</si>
  <si>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</si>
  <si>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</si>
  <si>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</si>
  <si>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</si>
  <si>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</si>
  <si>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</si>
  <si>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</si>
  <si>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</si>
  <si>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</si>
  <si>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</si>
  <si>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</si>
  <si>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</si>
  <si>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</si>
  <si>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</si>
  <si>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</si>
  <si>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</si>
  <si>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</si>
  <si>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</si>
  <si>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</si>
  <si>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</si>
  <si>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</si>
  <si>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</si>
  <si>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</si>
  <si>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</si>
  <si>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</si>
  <si>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</si>
  <si>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</si>
  <si>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</si>
  <si>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</si>
  <si>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</si>
  <si>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</si>
  <si>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</si>
  <si>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</si>
  <si>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</si>
  <si>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</si>
  <si>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</si>
  <si>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</si>
  <si>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</si>
  <si>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</si>
  <si>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</si>
  <si>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</si>
  <si>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</si>
  <si>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</si>
  <si>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</si>
  <si>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</si>
  <si>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</si>
  <si>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</si>
  <si>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</si>
  <si>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</si>
  <si>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</si>
  <si>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</si>
  <si>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</si>
  <si>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</si>
  <si>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</si>
  <si>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</si>
  <si>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</si>
  <si>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</si>
  <si>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</si>
  <si>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</si>
  <si>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</si>
  <si>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</si>
  <si>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</si>
  <si>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</si>
  <si>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</si>
  <si>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</si>
  <si>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</si>
  <si>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</si>
  <si>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</si>
  <si>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</si>
  <si>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</si>
  <si>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</si>
  <si>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</si>
  <si>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</si>
  <si>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</si>
  <si>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</si>
  <si>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</si>
  <si>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</si>
  <si>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</si>
  <si>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</si>
  <si>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</si>
  <si>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</si>
  <si>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</si>
  <si>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</si>
  <si>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</si>
  <si>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</si>
  <si>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</si>
  <si>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</si>
  <si>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</si>
  <si>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</si>
  <si>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</si>
  <si>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</si>
  <si>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</si>
  <si>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</si>
  <si>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</si>
  <si>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</si>
  <si>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</si>
  <si>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</si>
  <si>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</si>
  <si>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</si>
  <si>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</si>
  <si>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</si>
  <si>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</si>
  <si>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</si>
  <si>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</si>
  <si>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</si>
  <si>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</si>
  <si>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</si>
  <si>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</si>
  <si>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</si>
  <si>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</si>
  <si>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</si>
  <si>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</si>
  <si>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</si>
  <si>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</si>
  <si>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</si>
  <si>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</si>
  <si>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</si>
  <si>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</si>
  <si>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</si>
  <si>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</si>
  <si>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</si>
  <si>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</si>
  <si>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</si>
  <si>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</si>
  <si>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</si>
  <si>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</si>
  <si>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</si>
  <si>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</si>
  <si>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</si>
  <si>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</si>
  <si>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</si>
  <si>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</si>
  <si>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</si>
  <si>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</si>
  <si>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</si>
  <si>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</si>
  <si>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</si>
  <si>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</si>
  <si>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</si>
  <si>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</si>
  <si>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</si>
  <si>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</si>
  <si>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</si>
  <si>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</si>
  <si>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</si>
  <si>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</si>
  <si>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</si>
  <si>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</si>
  <si>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</si>
  <si>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</si>
  <si>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</si>
  <si>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</si>
  <si>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</si>
  <si>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</si>
  <si>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</si>
  <si>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</si>
  <si>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</si>
  <si>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</si>
  <si>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</si>
  <si>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</si>
  <si>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</si>
  <si>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</si>
  <si>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</si>
  <si>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</si>
  <si>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</si>
  <si>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</si>
  <si>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</si>
  <si>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</si>
  <si>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</si>
  <si>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</si>
  <si>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</si>
  <si>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</si>
  <si>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</si>
  <si>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</si>
  <si>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</si>
  <si>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</si>
  <si>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</si>
  <si>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</si>
  <si>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</si>
  <si>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</si>
  <si>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</si>
  <si>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</si>
  <si>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</si>
  <si>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</si>
  <si>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</si>
  <si>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</si>
  <si>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</si>
  <si>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</si>
  <si>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</si>
  <si>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</si>
  <si>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</si>
  <si>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</si>
  <si>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</si>
  <si>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</si>
  <si>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</si>
  <si>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</si>
  <si>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</si>
  <si>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</si>
  <si>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</si>
  <si>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</si>
  <si>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</si>
  <si>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</si>
  <si>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</si>
  <si>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</si>
  <si>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</si>
  <si>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</si>
  <si>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</si>
  <si>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</si>
  <si>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</si>
  <si>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</si>
  <si>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</si>
  <si>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</si>
  <si>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</si>
  <si>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</si>
  <si>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</si>
  <si>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</si>
  <si>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</si>
  <si>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</si>
  <si>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</si>
  <si>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</si>
  <si>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</si>
  <si>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</si>
  <si>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</si>
  <si>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</si>
  <si>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</si>
  <si>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</si>
  <si>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</si>
  <si>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</si>
  <si>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</si>
  <si>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</si>
  <si>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</si>
  <si>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</si>
  <si>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</si>
  <si>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</si>
  <si>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</si>
  <si>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</si>
  <si>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</si>
  <si>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</si>
  <si>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</si>
  <si>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</si>
  <si>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</si>
  <si>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</si>
  <si>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</si>
  <si>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</si>
  <si>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</si>
  <si>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</si>
  <si>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</si>
  <si>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</si>
  <si>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</si>
  <si>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</si>
  <si>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</si>
  <si>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</si>
  <si>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</si>
  <si>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</si>
  <si>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</si>
  <si>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</si>
  <si>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</si>
  <si>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</si>
  <si>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</si>
  <si>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</si>
  <si>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</si>
  <si>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</si>
  <si>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</si>
  <si>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</si>
  <si>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</si>
  <si>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</si>
  <si>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</si>
  <si>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</si>
  <si>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</si>
  <si>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</si>
  <si>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</si>
  <si>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</si>
  <si>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</si>
  <si>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</si>
  <si>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</si>
  <si>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</si>
  <si>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</si>
  <si>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</si>
  <si>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</si>
  <si>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</si>
  <si>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</si>
  <si>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</si>
  <si>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</si>
  <si>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</si>
  <si>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</si>
  <si>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</si>
  <si>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</si>
  <si>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</si>
  <si>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</si>
  <si>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</si>
  <si>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</si>
  <si>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</si>
  <si>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</si>
  <si>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</si>
  <si>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</si>
  <si>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</si>
  <si>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</si>
  <si>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</si>
  <si>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</si>
  <si>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</si>
  <si>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</si>
  <si>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</si>
  <si>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</si>
  <si>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</si>
  <si>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</si>
  <si>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</si>
  <si>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</si>
  <si>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</si>
  <si>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</si>
  <si>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</si>
  <si>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</si>
  <si>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</si>
  <si>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</si>
  <si>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</si>
  <si>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</si>
  <si>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</si>
  <si>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</si>
  <si>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</si>
  <si>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</si>
  <si>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</si>
  <si>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</si>
  <si>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</si>
  <si>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</si>
  <si>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</si>
  <si>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</si>
  <si>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</si>
  <si>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</si>
  <si>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</si>
  <si>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</si>
  <si>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</si>
  <si>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</si>
  <si>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</si>
  <si>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</si>
  <si>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</si>
  <si>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</si>
  <si>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</si>
  <si>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</si>
  <si>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</si>
  <si>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</si>
  <si>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</si>
  <si>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</si>
  <si>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</si>
  <si>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</si>
  <si>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</si>
  <si>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</si>
  <si>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</si>
  <si>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</si>
  <si>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</si>
  <si>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</si>
  <si>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</si>
  <si>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</si>
  <si>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</si>
  <si>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</si>
  <si>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</si>
  <si>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</si>
  <si>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</si>
  <si>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</si>
  <si>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</si>
  <si>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</si>
  <si>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</si>
  <si>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</si>
  <si>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</si>
  <si>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</si>
  <si>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</si>
  <si>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</si>
  <si>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</si>
  <si>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</si>
  <si>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</si>
  <si>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</si>
  <si>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</si>
  <si>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</si>
  <si>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</si>
  <si>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</si>
  <si>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</si>
  <si>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</si>
  <si>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</si>
  <si>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</si>
  <si>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</si>
  <si>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</si>
  <si>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</si>
  <si>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</si>
  <si>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</si>
  <si>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</si>
  <si>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</si>
  <si>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</si>
  <si>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</si>
  <si>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</si>
  <si>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</si>
  <si>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</si>
  <si>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</si>
  <si>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</si>
  <si>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</si>
  <si>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</si>
  <si>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</si>
  <si>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</si>
  <si>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</si>
  <si>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</si>
  <si>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</si>
  <si>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</si>
  <si>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</si>
  <si>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</si>
  <si>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</si>
  <si>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</si>
  <si>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</si>
  <si>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</si>
  <si>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</si>
  <si>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</si>
  <si>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</si>
  <si>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</si>
  <si>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</si>
  <si>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</si>
  <si>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</si>
  <si>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</si>
  <si>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</si>
  <si>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</si>
  <si>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</si>
  <si>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</si>
  <si>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</si>
  <si>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</si>
  <si>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</si>
  <si>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</si>
  <si>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</si>
  <si>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</si>
  <si>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</si>
  <si>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</si>
  <si>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</si>
  <si>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</si>
  <si>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</si>
  <si>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</si>
  <si>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</si>
  <si>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</si>
  <si>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</si>
  <si>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</si>
  <si>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</si>
  <si>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</si>
  <si>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</si>
  <si>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</si>
  <si>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</si>
  <si>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</si>
  <si>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</si>
  <si>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</si>
  <si>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</si>
  <si>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</si>
  <si>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</si>
  <si>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</si>
  <si>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</si>
  <si>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</si>
  <si>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</si>
  <si>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</si>
  <si>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</si>
  <si>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</si>
  <si>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</si>
  <si>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</si>
  <si>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</si>
  <si>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</si>
  <si>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</si>
  <si>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</si>
  <si>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</si>
  <si>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</si>
  <si>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</si>
  <si>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</si>
  <si>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</si>
  <si>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</si>
  <si>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</si>
  <si>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</si>
  <si>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</si>
  <si>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</si>
  <si>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</si>
  <si>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</si>
  <si>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</si>
  <si>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</si>
  <si>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</si>
  <si>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</si>
  <si>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</si>
  <si>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</si>
  <si>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</si>
  <si>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</si>
  <si>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</si>
  <si>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</si>
  <si>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</si>
  <si>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</si>
  <si>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</si>
  <si>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</si>
  <si>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</si>
  <si>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</si>
  <si>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</si>
  <si>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</si>
  <si>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</si>
  <si>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</si>
  <si>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</si>
  <si>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</si>
  <si>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</si>
  <si>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</si>
  <si>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</si>
  <si>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</si>
  <si>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</si>
  <si>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</si>
  <si>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</si>
  <si>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</si>
  <si>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</si>
  <si>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</si>
  <si>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</si>
  <si>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</si>
  <si>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</si>
  <si>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</si>
  <si>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</si>
  <si>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</si>
  <si>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</si>
  <si>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</si>
  <si>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</si>
  <si>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</si>
  <si>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</si>
  <si>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</si>
  <si>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</si>
  <si>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</si>
  <si>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</si>
  <si>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</si>
  <si>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</si>
  <si>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</si>
  <si>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</si>
  <si>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</si>
  <si>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</si>
  <si>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</si>
  <si>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</si>
  <si>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</si>
  <si>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</si>
  <si>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</si>
  <si>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</si>
  <si>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</si>
  <si>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</si>
  <si>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</si>
  <si>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</si>
  <si>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</si>
  <si>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</si>
  <si>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</si>
  <si>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</si>
  <si>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</si>
  <si>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</si>
  <si>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</si>
  <si>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</si>
  <si>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</si>
  <si>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</si>
  <si>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</si>
  <si>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</si>
  <si>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</si>
  <si>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</si>
  <si>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</si>
  <si>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</si>
  <si>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</si>
  <si>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</si>
  <si>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</si>
  <si>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</si>
  <si>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</si>
  <si>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</si>
  <si>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</si>
  <si>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</si>
  <si>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</si>
  <si>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</si>
  <si>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</si>
  <si>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</si>
  <si>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</si>
  <si>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</si>
  <si>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</si>
  <si>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</si>
  <si>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</si>
  <si>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</si>
  <si>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</si>
  <si>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</si>
  <si>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</si>
  <si>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</si>
  <si>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</si>
  <si>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</si>
  <si>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</si>
  <si>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</si>
  <si>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</si>
  <si>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</si>
  <si>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</si>
  <si>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</si>
  <si>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</si>
  <si>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</si>
  <si>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</si>
  <si>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</si>
  <si>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</si>
  <si>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</si>
  <si>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</si>
  <si>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</si>
  <si>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</si>
  <si>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</si>
  <si>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</si>
  <si>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</si>
  <si>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</si>
  <si>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</si>
  <si>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</si>
  <si>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</si>
  <si>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</si>
  <si>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</si>
  <si>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</si>
  <si>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</si>
  <si>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</si>
  <si>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</si>
  <si>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</si>
  <si>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</si>
  <si>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</si>
  <si>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</si>
  <si>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</si>
  <si>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</si>
  <si>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</si>
  <si>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</si>
  <si>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</si>
  <si>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</si>
  <si>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</si>
  <si>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</si>
  <si>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</si>
  <si>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</si>
  <si>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</si>
  <si>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</si>
  <si>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</si>
  <si>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</si>
  <si>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</si>
  <si>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</si>
  <si>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</si>
  <si>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</si>
  <si>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</si>
  <si>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</si>
  <si>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</si>
  <si>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</si>
  <si>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</si>
  <si>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</si>
  <si>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</si>
  <si>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</si>
  <si>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</si>
  <si>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</si>
  <si>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</si>
  <si>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</si>
  <si>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</si>
  <si>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</si>
  <si>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</si>
  <si>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</si>
  <si>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</si>
  <si>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</si>
  <si>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</si>
  <si>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</si>
  <si>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</si>
  <si>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</si>
  <si>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</si>
  <si>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</si>
  <si>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</si>
  <si>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</si>
  <si>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</si>
  <si>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</si>
  <si>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</si>
  <si>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</si>
  <si>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</si>
  <si>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</si>
  <si>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</si>
  <si>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</si>
  <si>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</si>
  <si>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</si>
  <si>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</si>
  <si>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</si>
  <si>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</si>
  <si>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</si>
  <si>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</si>
  <si>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</si>
  <si>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</si>
  <si>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</si>
  <si>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</si>
  <si>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</si>
  <si>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</si>
  <si>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</si>
  <si>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</si>
  <si>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</si>
  <si>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</si>
  <si>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</si>
  <si>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</si>
  <si>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</si>
  <si>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</si>
  <si>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</si>
  <si>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</si>
  <si>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</si>
  <si>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</si>
  <si>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</si>
  <si>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</si>
  <si>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</si>
  <si>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</si>
  <si>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</si>
  <si>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</si>
  <si>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</si>
  <si>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</si>
  <si>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</si>
  <si>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</si>
  <si>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</si>
  <si>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</si>
  <si>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</si>
  <si>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</si>
  <si>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</si>
  <si>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</si>
  <si>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</si>
  <si>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</si>
  <si>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</si>
  <si>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</si>
  <si>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</si>
  <si>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</si>
  <si>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</si>
  <si>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</si>
  <si>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</si>
  <si>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</si>
  <si>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</si>
  <si>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</si>
  <si>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</si>
  <si>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</si>
  <si>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</si>
  <si>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</si>
  <si>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</si>
  <si>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</si>
  <si>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</si>
  <si>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</si>
  <si>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</si>
  <si>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</si>
  <si>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</si>
  <si>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</si>
  <si>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</si>
  <si>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</si>
  <si>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</si>
  <si>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</si>
  <si>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</si>
  <si>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</si>
  <si>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</si>
  <si>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</si>
  <si>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</si>
  <si>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</si>
  <si>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</si>
  <si>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</si>
  <si>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</si>
  <si>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</si>
  <si>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</si>
  <si>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</si>
  <si>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</si>
  <si>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</si>
  <si>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</si>
  <si>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</si>
  <si>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</si>
  <si>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</si>
  <si>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</si>
  <si>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</si>
  <si>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</si>
  <si>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</si>
  <si>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</si>
  <si>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</si>
  <si>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</si>
  <si>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</si>
  <si>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</si>
  <si>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</si>
  <si>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</si>
  <si>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</si>
  <si>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</si>
  <si>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</si>
  <si>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</si>
  <si>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</si>
  <si>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</si>
  <si>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</si>
  <si>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</si>
  <si>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</si>
  <si>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</si>
  <si>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</si>
  <si>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</si>
  <si>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</si>
  <si>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</si>
  <si>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</si>
  <si>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</si>
  <si>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</si>
  <si>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</si>
  <si>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</si>
  <si>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</si>
  <si>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</si>
  <si>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</si>
  <si>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</si>
  <si>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</si>
  <si>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</si>
  <si>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</si>
  <si>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</si>
  <si>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</si>
  <si>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</si>
  <si>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</si>
  <si>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</si>
  <si>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</si>
  <si>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</si>
  <si>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</si>
  <si>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</si>
  <si>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</si>
  <si>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</si>
  <si>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</si>
  <si>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</si>
  <si>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</si>
  <si>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</si>
  <si>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</si>
  <si>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</si>
  <si>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</si>
  <si>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</si>
  <si>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</si>
  <si>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</si>
  <si>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</si>
  <si>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</si>
  <si>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</si>
  <si>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</si>
  <si>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</si>
  <si>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</si>
  <si>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</si>
  <si>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</si>
  <si>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</si>
  <si>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</si>
  <si>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</si>
  <si>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</si>
  <si>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</si>
  <si>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</si>
  <si>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</si>
  <si>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</si>
  <si>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</si>
  <si>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</si>
  <si>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</si>
  <si>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</si>
  <si>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</si>
  <si>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</si>
  <si>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</si>
  <si>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</si>
  <si>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</si>
  <si>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</si>
  <si>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</si>
  <si>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</si>
  <si>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</si>
  <si>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</si>
  <si>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</si>
  <si>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</si>
  <si>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</si>
  <si>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</si>
  <si>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</si>
  <si>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</si>
  <si>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</si>
  <si>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</si>
  <si>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</si>
  <si>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</si>
  <si>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</si>
  <si>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</si>
  <si>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</si>
  <si>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</si>
  <si>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</si>
  <si>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</si>
  <si>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</si>
  <si>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</si>
  <si>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</si>
  <si>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</si>
  <si>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</si>
  <si>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</si>
  <si>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</si>
  <si>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</si>
  <si>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</si>
  <si>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</si>
  <si>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</si>
  <si>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</si>
  <si>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</si>
  <si>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</si>
  <si>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</si>
  <si>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</si>
  <si>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</si>
  <si>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</si>
  <si>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</si>
  <si>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</si>
  <si>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</si>
  <si>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</si>
  <si>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</si>
  <si>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</si>
  <si>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</si>
  <si>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</si>
  <si>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</si>
  <si>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</si>
  <si>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</si>
  <si>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</si>
  <si>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</si>
  <si>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</si>
  <si>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</si>
  <si>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</si>
  <si>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</si>
  <si>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</si>
  <si>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</si>
  <si>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</si>
  <si>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</si>
  <si>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</si>
  <si>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</si>
  <si>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</si>
  <si>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</si>
  <si>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</si>
  <si>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</si>
  <si>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</si>
  <si>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</si>
  <si>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</si>
  <si>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</si>
  <si>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</si>
  <si>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</si>
  <si>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</si>
  <si>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</si>
  <si>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</si>
  <si>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</si>
  <si>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</si>
  <si>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</si>
  <si>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</si>
  <si>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</si>
  <si>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</si>
  <si>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</si>
  <si>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</si>
  <si>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</si>
  <si>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</si>
  <si>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</si>
  <si>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</si>
  <si>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</si>
  <si>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</si>
  <si>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</si>
  <si>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</si>
  <si>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</si>
  <si>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</si>
  <si>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</si>
  <si>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</si>
  <si>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</si>
  <si>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</si>
  <si>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</si>
  <si>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</si>
  <si>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</si>
  <si>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</si>
  <si>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</si>
  <si>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</si>
  <si>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</si>
  <si>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</si>
  <si>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</si>
  <si>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</si>
  <si>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</si>
  <si>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</si>
  <si>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</si>
  <si>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</si>
  <si>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</si>
  <si>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</si>
  <si>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</si>
  <si>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</si>
  <si>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</si>
  <si>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</si>
  <si>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</si>
  <si>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</si>
  <si>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</si>
  <si>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</si>
  <si>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</si>
  <si>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</si>
  <si>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</si>
  <si>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</si>
  <si>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</si>
  <si>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</si>
  <si>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</si>
  <si>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</si>
  <si>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</si>
  <si>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</si>
  <si>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</si>
  <si>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</si>
  <si>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</si>
  <si>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</si>
  <si>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</si>
  <si>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</si>
  <si>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</si>
  <si>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</si>
  <si>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</si>
  <si>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</si>
  <si>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</si>
  <si>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</si>
  <si>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</si>
  <si>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</si>
  <si>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</si>
  <si>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</si>
  <si>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</si>
  <si>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</si>
  <si>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</si>
  <si>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</si>
  <si>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</si>
  <si>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</si>
  <si>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</si>
  <si>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</si>
  <si>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</si>
  <si>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</si>
  <si>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</si>
  <si>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</si>
  <si>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</si>
  <si>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</si>
  <si>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</si>
  <si>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</si>
  <si>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</si>
  <si>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</si>
  <si>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</si>
  <si>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</si>
  <si>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</si>
  <si>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</si>
  <si>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</si>
  <si>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</si>
  <si>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</si>
  <si>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</si>
  <si>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</si>
  <si>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</si>
  <si>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</si>
  <si>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</si>
  <si>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</si>
  <si>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</si>
  <si>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</si>
  <si>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</si>
  <si>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</si>
  <si>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</si>
  <si>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</si>
  <si>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</si>
  <si>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</si>
  <si>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</si>
  <si>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</si>
  <si>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</si>
  <si>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</si>
  <si>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</si>
  <si>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</si>
  <si>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</si>
  <si>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</si>
  <si>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</si>
  <si>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</si>
  <si>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</si>
  <si>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</si>
  <si>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</si>
  <si>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</si>
  <si>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</si>
  <si>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</si>
  <si>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</si>
  <si>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</si>
  <si>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</si>
  <si>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</si>
  <si>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</si>
  <si>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</si>
  <si>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</si>
  <si>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</si>
  <si>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</si>
  <si>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</si>
  <si>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</si>
  <si>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</si>
  <si>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</si>
  <si>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</si>
  <si>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</si>
  <si>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</si>
  <si>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</si>
  <si>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</si>
  <si>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</si>
  <si>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</si>
  <si>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</si>
  <si>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</si>
  <si>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</si>
  <si>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</si>
  <si>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</si>
  <si>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</si>
  <si>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</si>
  <si>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</si>
  <si>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</si>
  <si>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</si>
  <si>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</si>
  <si>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</si>
  <si>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</si>
  <si>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</si>
  <si>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</si>
  <si>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</si>
  <si>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</si>
  <si>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</si>
  <si>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</si>
  <si>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</si>
  <si>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</si>
  <si>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</si>
  <si>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</si>
  <si>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</si>
  <si>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</si>
  <si>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</si>
  <si>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</si>
  <si>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</si>
  <si>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</si>
  <si>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</si>
  <si>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</si>
  <si>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</si>
  <si>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</si>
  <si>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</si>
  <si>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</si>
  <si>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</si>
  <si>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</si>
  <si>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</si>
  <si>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</si>
  <si>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</si>
  <si>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</si>
  <si>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</si>
  <si>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</si>
  <si>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</si>
  <si>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</si>
  <si>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</si>
  <si>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</si>
  <si>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</si>
  <si>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</si>
  <si>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</si>
  <si>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</si>
  <si>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</si>
  <si>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</si>
  <si>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</si>
  <si>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</si>
  <si>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</si>
  <si>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</si>
  <si>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</si>
  <si>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</si>
  <si>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</si>
  <si>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</si>
  <si>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</si>
  <si>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</si>
  <si>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</si>
  <si>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</si>
  <si>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</si>
  <si>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</si>
  <si>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</si>
  <si>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</si>
  <si>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</si>
  <si>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</si>
  <si>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</si>
  <si>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</si>
  <si>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</si>
  <si>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</si>
  <si>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</si>
  <si>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</si>
  <si>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</si>
  <si>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</si>
  <si>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</si>
  <si>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</si>
  <si>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</si>
  <si>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</si>
  <si>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</si>
  <si>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</si>
  <si>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</si>
  <si>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</si>
  <si>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</si>
  <si>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</si>
  <si>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</si>
  <si>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</si>
  <si>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</si>
  <si>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</si>
  <si>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</si>
  <si>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</si>
  <si>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</si>
  <si>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</si>
  <si>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</si>
  <si>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</si>
  <si>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</si>
  <si>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</si>
  <si>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</si>
  <si>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</si>
  <si>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</si>
  <si>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</si>
  <si>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</si>
  <si>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</si>
  <si>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</si>
  <si>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</si>
  <si>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</si>
  <si>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</si>
  <si>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</si>
  <si>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</si>
  <si>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</si>
  <si>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</si>
  <si>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</si>
  <si>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</si>
  <si>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</si>
  <si>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</si>
  <si>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</si>
  <si>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</si>
  <si>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</si>
  <si>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</si>
  <si>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</si>
  <si>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</si>
  <si>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</si>
  <si>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</si>
  <si>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</si>
  <si>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</si>
  <si>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</si>
  <si>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</si>
  <si>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</si>
  <si>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</si>
  <si>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</si>
  <si>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</si>
  <si>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</si>
  <si>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</si>
  <si>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</si>
  <si>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</si>
  <si>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</si>
  <si>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</si>
  <si>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</si>
  <si>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</si>
  <si>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</si>
  <si>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</si>
  <si>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</si>
  <si>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</si>
  <si>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</si>
  <si>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</si>
  <si>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</si>
  <si>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</si>
  <si>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</si>
  <si>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</si>
  <si>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</si>
  <si>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</si>
  <si>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</si>
  <si>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</si>
  <si>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</si>
  <si>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</si>
  <si>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</si>
  <si>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</si>
  <si>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</si>
  <si>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</si>
  <si>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</si>
  <si>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</si>
  <si>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</si>
  <si>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</si>
  <si>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</si>
  <si>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</si>
  <si>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</si>
  <si>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</si>
  <si>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</si>
  <si>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</si>
  <si>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</si>
  <si>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</si>
  <si>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</si>
  <si>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</si>
  <si>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</si>
  <si>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</si>
  <si>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</si>
  <si>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</si>
  <si>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</si>
  <si>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</si>
  <si>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</si>
  <si>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</si>
  <si>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</si>
  <si>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</si>
  <si>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</si>
  <si>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</si>
  <si>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</si>
  <si>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</si>
  <si>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</si>
  <si>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</si>
  <si>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</si>
  <si>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</si>
  <si>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</si>
  <si>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</si>
  <si>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</si>
  <si>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</si>
  <si>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</si>
  <si>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</si>
  <si>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</si>
  <si>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</si>
  <si>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</si>
  <si>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</si>
  <si>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</si>
  <si>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</si>
  <si>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</si>
  <si>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</si>
  <si>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</si>
  <si>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</si>
  <si>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</si>
  <si>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</si>
  <si>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</si>
  <si>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</si>
  <si>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</si>
  <si>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</si>
  <si>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</si>
  <si>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</si>
  <si>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</si>
  <si>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</si>
  <si>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</si>
  <si>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</si>
  <si>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</si>
  <si>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</si>
  <si>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</si>
  <si>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</si>
  <si>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</si>
  <si>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</si>
  <si>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</si>
  <si>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</si>
  <si>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</si>
  <si>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</si>
  <si>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</si>
  <si>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</si>
  <si>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</si>
  <si>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</si>
  <si>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</si>
  <si>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</si>
  <si>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</si>
  <si>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</si>
  <si>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</si>
  <si>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</si>
  <si>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</si>
  <si>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</si>
  <si>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</si>
  <si>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</si>
  <si>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</si>
  <si>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</si>
  <si>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</si>
  <si>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</si>
  <si>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</si>
  <si>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</si>
  <si>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</si>
  <si>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</si>
  <si>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</si>
  <si>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</si>
  <si>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</si>
  <si>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</si>
  <si>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</si>
  <si>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</si>
  <si>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</si>
  <si>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</si>
  <si>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</si>
  <si>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</si>
  <si>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</si>
  <si>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</si>
  <si>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</si>
  <si>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</si>
  <si>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</si>
  <si>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</si>
  <si>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</si>
  <si>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</si>
  <si>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</si>
  <si>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</si>
  <si>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</si>
  <si>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</si>
  <si>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</si>
  <si>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</si>
  <si>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</si>
  <si>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</si>
  <si>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</si>
  <si>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</si>
  <si>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</si>
  <si>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</si>
  <si>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</si>
  <si>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</si>
  <si>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</si>
  <si>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</si>
  <si>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</si>
  <si>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</si>
  <si>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</si>
  <si>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</si>
  <si>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</si>
  <si>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</si>
  <si>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</si>
  <si>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</si>
  <si>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</si>
  <si>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</si>
  <si>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</si>
  <si>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</si>
  <si>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</si>
  <si>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</si>
  <si>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</si>
  <si>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</si>
  <si>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</si>
  <si>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</si>
  <si>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</si>
  <si>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</si>
  <si>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</si>
  <si>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</si>
  <si>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</si>
  <si>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</si>
  <si>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</si>
  <si>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</si>
  <si>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</si>
  <si>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</si>
  <si>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</si>
  <si>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</si>
  <si>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</si>
  <si>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</si>
  <si>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</si>
  <si>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</si>
  <si>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</si>
  <si>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</si>
  <si>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</si>
  <si>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</si>
  <si>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</si>
  <si>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</si>
  <si>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</si>
  <si>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</si>
  <si>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</si>
  <si>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</si>
  <si>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</si>
  <si>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</si>
  <si>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</si>
  <si>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</si>
  <si>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</si>
  <si>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</si>
  <si>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</si>
  <si>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</si>
  <si>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</si>
  <si>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</si>
  <si>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</si>
  <si>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</si>
  <si>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</si>
  <si>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</si>
  <si>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</si>
  <si>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</si>
  <si>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</si>
  <si>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</si>
  <si>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</si>
  <si>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</si>
  <si>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</si>
  <si>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</si>
  <si>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</si>
  <si>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</si>
  <si>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</si>
  <si>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</si>
  <si>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</si>
  <si>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</si>
  <si>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</si>
  <si>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</si>
  <si>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</si>
  <si>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</si>
  <si>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</si>
  <si>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</si>
  <si>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</si>
  <si>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</si>
  <si>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</si>
  <si>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</si>
  <si>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</si>
  <si>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</si>
  <si>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</si>
  <si>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</si>
  <si>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</si>
  <si>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</si>
  <si>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</si>
  <si>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</si>
  <si>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</si>
  <si>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</si>
  <si>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</si>
  <si>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</si>
  <si>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</si>
  <si>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</si>
  <si>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</si>
  <si>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</si>
  <si>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</si>
  <si>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</si>
  <si>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</si>
  <si>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</si>
  <si>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</si>
  <si>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</si>
  <si>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</si>
  <si>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</si>
  <si>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</si>
  <si>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</si>
  <si>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</si>
  <si>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</si>
  <si>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</si>
  <si>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</si>
  <si>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</si>
  <si>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</si>
  <si>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</si>
  <si>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</si>
  <si>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</si>
  <si>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</si>
  <si>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</si>
  <si>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</si>
  <si>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</si>
  <si>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</si>
  <si>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</si>
  <si>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</si>
  <si>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</si>
  <si>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</si>
  <si>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</si>
  <si>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</si>
  <si>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</si>
  <si>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</si>
  <si>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</si>
  <si>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</si>
  <si>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</si>
  <si>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</si>
  <si>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</si>
  <si>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</si>
  <si>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</si>
  <si>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</si>
  <si>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</si>
  <si>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</si>
  <si>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</si>
  <si>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</si>
  <si>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</si>
  <si>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</si>
  <si>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</si>
  <si>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</si>
  <si>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</si>
  <si>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</si>
  <si>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</si>
  <si>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</si>
  <si>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</si>
  <si>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</si>
  <si>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</si>
  <si>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</si>
  <si>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</si>
  <si>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</si>
  <si>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</si>
  <si>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</si>
  <si>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</si>
  <si>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</si>
  <si>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</si>
  <si>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</si>
  <si>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</si>
  <si>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</si>
  <si>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</si>
  <si>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</si>
  <si>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</si>
  <si>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</si>
  <si>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</si>
  <si>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</si>
  <si>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</si>
  <si>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</si>
  <si>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</si>
  <si>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</si>
  <si>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</si>
  <si>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</si>
  <si>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</si>
  <si>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</si>
  <si>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</si>
  <si>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</si>
  <si>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</si>
  <si>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</si>
  <si>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</si>
  <si>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</si>
  <si>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</si>
  <si>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</si>
  <si>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</si>
  <si>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</si>
  <si>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</si>
  <si>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</si>
  <si>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</si>
  <si>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</si>
  <si>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</si>
  <si>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</si>
  <si>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</si>
  <si>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</si>
  <si>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</si>
  <si>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</si>
  <si>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</si>
  <si>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</si>
  <si>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</si>
  <si>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</si>
  <si>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</si>
  <si>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</si>
  <si>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</si>
  <si>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</si>
  <si>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</si>
  <si>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</si>
  <si>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</si>
  <si>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</si>
  <si>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</si>
  <si>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</si>
  <si>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</si>
  <si>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</si>
  <si>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</si>
  <si>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</si>
  <si>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</si>
  <si>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</si>
  <si>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</si>
  <si>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</si>
  <si>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</si>
  <si>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</si>
  <si>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</si>
  <si>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</si>
  <si>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</si>
  <si>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</si>
  <si>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</si>
  <si>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</si>
  <si>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</si>
  <si>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</si>
  <si>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</si>
  <si>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</si>
  <si>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</si>
  <si>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</si>
  <si>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</si>
  <si>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</si>
  <si>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</si>
  <si>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</si>
  <si>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</si>
  <si>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</si>
  <si>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</si>
  <si>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</si>
  <si>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</si>
  <si>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</si>
  <si>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</si>
  <si>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</si>
  <si>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</si>
  <si>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</si>
  <si>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</si>
  <si>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</si>
  <si>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</si>
  <si>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</si>
  <si>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</si>
  <si>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</si>
  <si>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</si>
  <si>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</si>
  <si>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</si>
  <si>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</si>
  <si>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</si>
  <si>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</si>
  <si>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</si>
  <si>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</si>
  <si>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</si>
  <si>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</si>
  <si>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</si>
  <si>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</si>
  <si>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</si>
  <si>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</si>
  <si>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</si>
  <si>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</si>
  <si>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</si>
  <si>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</si>
  <si>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</si>
  <si>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</si>
  <si>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</si>
  <si>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</si>
  <si>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</si>
  <si>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</si>
  <si>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</si>
  <si>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</si>
  <si>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</si>
  <si>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</si>
  <si>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</si>
  <si>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</si>
  <si>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</si>
  <si>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</si>
  <si>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</si>
  <si>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</si>
  <si>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</si>
  <si>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</si>
  <si>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</si>
  <si>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</si>
  <si>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</si>
  <si>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</si>
  <si>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</si>
  <si>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</si>
  <si>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</si>
  <si>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</si>
  <si>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</si>
  <si>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</si>
  <si>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</si>
  <si>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</si>
  <si>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</si>
  <si>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</si>
  <si>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</si>
  <si>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</si>
  <si>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</si>
  <si>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</si>
  <si>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</si>
  <si>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</si>
  <si>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</si>
  <si>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</si>
  <si>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</si>
  <si>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</si>
  <si>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</si>
  <si>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</si>
  <si>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</si>
  <si>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</si>
  <si>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</si>
  <si>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</si>
  <si>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</si>
  <si>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</si>
  <si>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</si>
  <si>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</si>
  <si>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</si>
  <si>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</si>
  <si>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</si>
  <si>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</si>
  <si>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</si>
  <si>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</si>
  <si>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</si>
  <si>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</si>
  <si>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</si>
  <si>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</si>
  <si>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</si>
  <si>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</si>
  <si>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</si>
  <si>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</si>
  <si>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</si>
  <si>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</si>
  <si>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</si>
  <si>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</si>
  <si>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</si>
  <si>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</si>
  <si>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</si>
  <si>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</si>
  <si>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</si>
  <si>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</si>
  <si>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</si>
  <si>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</si>
  <si>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</si>
  <si>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</si>
  <si>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</si>
  <si>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</si>
  <si>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</si>
  <si>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</si>
  <si>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</si>
  <si>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</si>
  <si>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</si>
  <si>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</si>
  <si>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</si>
  <si>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</si>
  <si>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</si>
  <si>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</si>
  <si>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</si>
  <si>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</si>
  <si>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</si>
  <si>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</si>
  <si>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</si>
  <si>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</si>
  <si>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</si>
  <si>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</si>
  <si>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</si>
  <si>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</si>
  <si>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</si>
  <si>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</si>
  <si>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</si>
  <si>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</si>
  <si>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</si>
  <si>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</si>
  <si>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</si>
  <si>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</si>
  <si>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</si>
  <si>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</si>
  <si>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</si>
  <si>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</si>
  <si>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</si>
  <si>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</si>
  <si>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</si>
  <si>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</si>
  <si>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</si>
  <si>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</si>
  <si>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</si>
  <si>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</si>
  <si>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</si>
  <si>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</si>
  <si>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</si>
  <si>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</si>
  <si>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</si>
  <si>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</si>
  <si>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</si>
  <si>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</si>
  <si>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</si>
  <si>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</si>
  <si>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</si>
  <si>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</si>
  <si>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</si>
  <si>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</si>
  <si>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</si>
  <si>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</si>
  <si>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</si>
  <si>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</si>
  <si>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</si>
  <si>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</si>
  <si>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</si>
  <si>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</si>
  <si>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</si>
  <si>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</si>
  <si>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</si>
  <si>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</si>
  <si>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</si>
  <si>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</si>
  <si>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</si>
  <si>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</si>
  <si>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</si>
  <si>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</si>
  <si>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</si>
  <si>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</si>
  <si>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</si>
  <si>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</si>
  <si>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</si>
  <si>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</si>
  <si>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</si>
  <si>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</si>
  <si>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</si>
  <si>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</si>
  <si>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</si>
  <si>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</si>
  <si>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</si>
  <si>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</si>
  <si>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</si>
  <si>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</si>
  <si>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</si>
  <si>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</si>
  <si>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</si>
  <si>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</si>
  <si>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</si>
  <si>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</si>
  <si>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</si>
  <si>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</si>
  <si>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</si>
  <si>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</si>
  <si>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</si>
  <si>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</si>
  <si>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</si>
  <si>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</si>
  <si>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</si>
  <si>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</si>
  <si>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</si>
  <si>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</si>
  <si>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</si>
  <si>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</si>
  <si>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</si>
  <si>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</si>
  <si>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</si>
  <si>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</si>
  <si>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</si>
  <si>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</si>
  <si>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</si>
  <si>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</si>
  <si>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</si>
  <si>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</si>
  <si>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</si>
  <si>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</si>
  <si>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</si>
  <si>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</si>
  <si>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</si>
  <si>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</si>
  <si>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</si>
  <si>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</si>
  <si>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</si>
  <si>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</si>
  <si>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</si>
  <si>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</si>
  <si>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</si>
  <si>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</si>
  <si>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</si>
  <si>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</si>
  <si>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</si>
  <si>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</si>
  <si>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</si>
  <si>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</si>
  <si>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</si>
  <si>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</si>
  <si>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</si>
  <si>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</si>
  <si>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</si>
  <si>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</si>
  <si>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</si>
  <si>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</si>
  <si>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</si>
  <si>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</si>
  <si>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</si>
  <si>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</si>
  <si>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</si>
  <si>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</si>
  <si>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</si>
  <si>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</si>
  <si>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</si>
  <si>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</si>
  <si>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</si>
  <si>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</si>
  <si>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</si>
  <si>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</si>
  <si>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</si>
  <si>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</si>
  <si>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</si>
  <si>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</si>
  <si>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</si>
  <si>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</si>
  <si>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</si>
  <si>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</si>
  <si>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</si>
  <si>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</si>
  <si>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</si>
  <si>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</si>
  <si>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</si>
  <si>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</si>
  <si>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</si>
  <si>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</si>
  <si>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</si>
  <si>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</si>
  <si>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</si>
  <si>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</si>
  <si>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</si>
  <si>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</si>
  <si>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</si>
  <si>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</si>
  <si>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</si>
  <si>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</si>
  <si>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</si>
  <si>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</si>
  <si>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</si>
  <si>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</si>
  <si>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</si>
  <si>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</si>
  <si>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</si>
  <si>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</si>
  <si>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</si>
  <si>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</si>
  <si>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</si>
  <si>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</si>
  <si>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</si>
  <si>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</si>
  <si>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</si>
  <si>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</si>
  <si>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</si>
  <si>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</si>
  <si>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</si>
  <si>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</si>
  <si>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</si>
  <si>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</si>
  <si>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</si>
  <si>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</si>
  <si>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</si>
  <si>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</si>
  <si>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</si>
  <si>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</si>
  <si>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</si>
  <si>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</si>
  <si>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</si>
  <si>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</si>
  <si>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</si>
  <si>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</si>
  <si>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</si>
  <si>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</si>
  <si>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</si>
  <si>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</si>
  <si>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</si>
  <si>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</si>
  <si>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</si>
  <si>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</si>
  <si>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</si>
  <si>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</si>
  <si>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</si>
  <si>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</si>
  <si>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</si>
  <si>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</si>
  <si>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</si>
  <si>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</si>
  <si>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</si>
  <si>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</si>
  <si>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</si>
  <si>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</si>
  <si>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</si>
  <si>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</si>
  <si>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</si>
  <si>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</si>
  <si>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</si>
  <si>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</si>
  <si>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</si>
  <si>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</si>
  <si>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</si>
  <si>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</si>
  <si>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</si>
  <si>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</si>
  <si>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</si>
  <si>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</si>
  <si>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</si>
  <si>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</si>
  <si>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</si>
  <si>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</si>
  <si>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</si>
  <si>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</si>
  <si>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</si>
  <si>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</si>
  <si>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</si>
  <si>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</si>
  <si>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</si>
  <si>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</si>
  <si>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</si>
  <si>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</si>
  <si>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</si>
  <si>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</si>
  <si>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</si>
  <si>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</si>
  <si>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</si>
  <si>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</si>
  <si>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</si>
  <si>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</si>
  <si>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</si>
  <si>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</si>
  <si>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</si>
  <si>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</si>
  <si>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</si>
  <si>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</si>
  <si>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</si>
  <si>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</si>
  <si>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</si>
  <si>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</si>
  <si>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</si>
  <si>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</si>
  <si>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</si>
  <si>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</si>
  <si>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</si>
  <si>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</si>
  <si>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</si>
  <si>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</si>
  <si>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</si>
  <si>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</si>
  <si>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</si>
  <si>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</si>
  <si>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</si>
  <si>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</si>
  <si>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</si>
  <si>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</si>
  <si>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</si>
  <si>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</si>
  <si>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</si>
  <si>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</si>
  <si>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</si>
  <si>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</si>
  <si>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</si>
  <si>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</si>
  <si>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</si>
  <si>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</si>
  <si>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</si>
  <si>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</si>
  <si>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</si>
  <si>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</si>
  <si>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</si>
  <si>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</si>
  <si>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</si>
  <si>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</si>
  <si>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</si>
  <si>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</si>
  <si>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</si>
  <si>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</si>
  <si>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</si>
  <si>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</si>
  <si>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</si>
  <si>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</si>
  <si>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</si>
  <si>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</si>
  <si>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</si>
  <si>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</si>
  <si>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</si>
  <si>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</si>
  <si>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</si>
  <si>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</si>
  <si>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</si>
  <si>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</si>
  <si>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</si>
  <si>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</si>
  <si>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</si>
  <si>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</si>
  <si>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</si>
  <si>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</si>
  <si>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</si>
  <si>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</si>
  <si>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</si>
  <si>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</si>
  <si>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</si>
  <si>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</si>
  <si>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</si>
  <si>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</si>
  <si>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</si>
  <si>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</si>
  <si>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</si>
  <si>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</si>
  <si>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</si>
  <si>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</si>
  <si>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</si>
  <si>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</si>
  <si>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</si>
  <si>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</si>
  <si>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</si>
  <si>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</si>
  <si>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</si>
  <si>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</si>
  <si>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</si>
  <si>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</si>
  <si>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</si>
  <si>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</si>
  <si>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</si>
  <si>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</si>
  <si>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</si>
  <si>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</si>
  <si>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</si>
  <si>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</si>
  <si>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</si>
  <si>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</si>
  <si>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</si>
  <si>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</si>
  <si>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</si>
  <si>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</si>
  <si>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</si>
  <si>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</si>
  <si>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</si>
  <si>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</si>
  <si>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</si>
  <si>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</si>
  <si>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</si>
  <si>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</si>
  <si>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</si>
  <si>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</si>
  <si>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</si>
  <si>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</si>
  <si>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</si>
  <si>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</si>
  <si>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</si>
  <si>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</si>
  <si>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</si>
  <si>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</si>
  <si>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</si>
  <si>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</si>
  <si>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</si>
  <si>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</si>
  <si>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</si>
  <si>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</si>
  <si>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</si>
  <si>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</si>
  <si>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</si>
  <si>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</si>
  <si>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</si>
  <si>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</si>
  <si>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</si>
  <si>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</si>
  <si>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</si>
  <si>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</si>
  <si>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</si>
  <si>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</si>
  <si>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</si>
  <si>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</si>
  <si>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</si>
  <si>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</si>
  <si>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</si>
  <si>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</si>
  <si>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</si>
  <si>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</si>
  <si>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</si>
  <si>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</si>
  <si>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</si>
  <si>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</si>
  <si>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</si>
  <si>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</si>
  <si>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</si>
  <si>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</si>
  <si>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</si>
  <si>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</si>
  <si>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</si>
  <si>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</si>
  <si>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</si>
  <si>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</si>
  <si>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</si>
  <si>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</si>
  <si>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</si>
  <si>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</si>
  <si>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</si>
  <si>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</si>
  <si>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</si>
  <si>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</si>
  <si>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</si>
  <si>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</si>
  <si>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</si>
  <si>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</si>
  <si>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</si>
  <si>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</si>
  <si>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</si>
  <si>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</si>
  <si>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</si>
  <si>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</si>
  <si>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</si>
  <si>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</si>
  <si>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</si>
  <si>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</si>
  <si>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</si>
  <si>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</si>
  <si>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</si>
  <si>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</si>
  <si>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</si>
  <si>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</si>
  <si>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</si>
  <si>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</si>
  <si>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</si>
  <si>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</si>
  <si>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</si>
  <si>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</si>
  <si>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</si>
  <si>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</si>
  <si>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</si>
  <si>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</si>
  <si>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</si>
  <si>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</si>
  <si>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</si>
  <si>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</si>
  <si>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</si>
  <si>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</si>
  <si>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</si>
  <si>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</si>
  <si>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</si>
  <si>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</si>
  <si>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</si>
  <si>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</si>
  <si>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</si>
  <si>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</si>
  <si>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</si>
  <si>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</si>
  <si>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</si>
  <si>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</si>
  <si>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</si>
  <si>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</si>
  <si>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</si>
  <si>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</si>
  <si>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</si>
  <si>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</si>
  <si>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</si>
  <si>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</si>
  <si>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</si>
  <si>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</si>
  <si>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</si>
  <si>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</si>
  <si>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</si>
  <si>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</si>
  <si>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</si>
  <si>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</si>
  <si>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</si>
  <si>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</si>
  <si>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</si>
  <si>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</si>
  <si>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</si>
  <si>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</si>
  <si>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</si>
  <si>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</si>
  <si>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</si>
  <si>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</si>
  <si>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</si>
  <si>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</si>
  <si>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</si>
  <si>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</si>
  <si>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</si>
  <si>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</si>
  <si>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</si>
  <si>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</si>
  <si>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</si>
  <si>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</si>
  <si>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</si>
  <si>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</si>
  <si>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</si>
  <si>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</si>
  <si>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</si>
  <si>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</si>
  <si>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</si>
  <si>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</si>
  <si>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</si>
  <si>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</si>
  <si>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</si>
  <si>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</si>
  <si>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</si>
  <si>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</si>
  <si>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</si>
  <si>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</si>
  <si>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</si>
  <si>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</si>
  <si>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</si>
  <si>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</si>
  <si>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</si>
  <si>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</si>
  <si>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</si>
  <si>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</si>
  <si>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</si>
  <si>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</si>
  <si>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</si>
  <si>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</si>
  <si>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</si>
  <si>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</si>
  <si>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</si>
  <si>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</si>
  <si>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</si>
  <si>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</si>
  <si>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</si>
  <si>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</si>
  <si>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</si>
  <si>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</si>
  <si>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</si>
  <si>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</si>
  <si>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</si>
  <si>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</si>
  <si>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</si>
  <si>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</si>
  <si>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</si>
  <si>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</si>
  <si>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</si>
  <si>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</si>
  <si>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</si>
  <si>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</si>
  <si>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</si>
  <si>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</si>
  <si>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</si>
  <si>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</si>
  <si>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</si>
  <si>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</si>
  <si>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</si>
  <si>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</si>
  <si>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</si>
  <si>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</si>
  <si>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</si>
  <si>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</si>
  <si>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</si>
  <si>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</si>
  <si>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</si>
  <si>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</si>
  <si>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</si>
  <si>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</si>
  <si>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</si>
  <si>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</si>
  <si>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</si>
  <si>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</si>
  <si>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</si>
  <si>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</si>
  <si>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</si>
  <si>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</si>
  <si>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</si>
  <si>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</si>
  <si>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</si>
  <si>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</si>
  <si>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</si>
  <si>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</si>
  <si>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</si>
  <si>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</si>
  <si>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</si>
  <si>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</si>
  <si>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</si>
  <si>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</si>
  <si>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</si>
  <si>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</si>
  <si>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</si>
  <si>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</si>
  <si>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</si>
  <si>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</si>
  <si>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</si>
  <si>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</si>
  <si>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</si>
  <si>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</si>
  <si>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</si>
  <si>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</si>
  <si>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</si>
  <si>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</si>
  <si>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</si>
  <si>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</si>
  <si>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</si>
  <si>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</si>
  <si>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</si>
  <si>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</si>
  <si>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</si>
  <si>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</si>
  <si>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</si>
  <si>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</si>
  <si>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</si>
  <si>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</si>
  <si>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</si>
  <si>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</si>
  <si>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</si>
  <si>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</si>
  <si>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</si>
  <si>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</si>
  <si>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</si>
  <si>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</si>
  <si>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</si>
  <si>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</si>
  <si>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</si>
  <si>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</si>
  <si>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</si>
  <si>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</si>
  <si>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</si>
  <si>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</si>
  <si>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</si>
  <si>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</si>
  <si>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</si>
  <si>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</si>
  <si>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</si>
  <si>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</si>
  <si>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</si>
  <si>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</si>
  <si>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</si>
  <si>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</si>
  <si>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</si>
  <si>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</si>
  <si>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</si>
  <si>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</si>
  <si>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</si>
  <si>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</si>
  <si>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</si>
  <si>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</si>
  <si>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</si>
  <si>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</si>
  <si>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</si>
  <si>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</si>
  <si>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</si>
  <si>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</si>
  <si>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</si>
  <si>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</si>
  <si>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</si>
  <si>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</si>
  <si>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</si>
  <si>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</si>
  <si>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</si>
  <si>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</si>
  <si>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</si>
  <si>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</si>
  <si>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</si>
  <si>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</si>
  <si>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</si>
  <si>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</si>
  <si>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</si>
  <si>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</si>
  <si>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</si>
  <si>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</si>
  <si>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</si>
  <si>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</si>
  <si>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</si>
  <si>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</si>
  <si>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</si>
  <si>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</si>
  <si>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</si>
  <si>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</si>
  <si>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</si>
  <si>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</si>
  <si>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</si>
  <si>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</si>
  <si>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</si>
  <si>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</si>
  <si>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</si>
  <si>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</si>
  <si>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</si>
  <si>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</si>
  <si>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</si>
  <si>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</si>
  <si>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</si>
  <si>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</si>
  <si>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</si>
  <si>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</si>
  <si>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</si>
  <si>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</si>
  <si>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</si>
  <si>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</si>
  <si>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</si>
  <si>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</si>
  <si>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</si>
  <si>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</si>
  <si>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</si>
  <si>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</si>
  <si>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</si>
  <si>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</si>
  <si>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</si>
  <si>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</si>
  <si>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</si>
  <si>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</si>
  <si>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</si>
  <si>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</si>
  <si>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</si>
  <si>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</si>
  <si>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</si>
  <si>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</si>
  <si>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</si>
  <si>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</si>
  <si>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</si>
  <si>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</si>
  <si>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</si>
  <si>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</si>
  <si>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</si>
  <si>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</si>
  <si>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</si>
  <si>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</si>
  <si>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</si>
  <si>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</si>
  <si>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</si>
  <si>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</si>
  <si>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</si>
  <si>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</si>
  <si>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</si>
  <si>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</si>
  <si>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</si>
  <si>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</si>
  <si>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</si>
  <si>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</si>
  <si>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</si>
  <si>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</si>
  <si>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</si>
  <si>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</si>
  <si>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</si>
  <si>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</si>
  <si>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</si>
  <si>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</si>
  <si>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</si>
  <si>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</si>
  <si>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</si>
  <si>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</si>
  <si>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</si>
  <si>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</si>
  <si>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</si>
  <si>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</si>
  <si>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</si>
  <si>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</si>
  <si>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</si>
  <si>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</si>
  <si>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</si>
  <si>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</si>
  <si>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</si>
  <si>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</si>
  <si>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</si>
  <si>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</si>
  <si>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</si>
  <si>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</si>
  <si>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</si>
  <si>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</si>
  <si>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</si>
  <si>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</si>
  <si>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</si>
  <si>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</si>
  <si>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</si>
  <si>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</si>
  <si>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</si>
  <si>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</si>
  <si>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</si>
  <si>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</si>
  <si>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</si>
  <si>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</si>
  <si>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</si>
  <si>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</si>
  <si>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</si>
  <si>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</si>
  <si>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</si>
  <si>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</si>
  <si>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</si>
  <si>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</si>
  <si>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</si>
  <si>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</si>
  <si>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</si>
  <si>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</si>
  <si>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</si>
  <si>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</si>
  <si>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</si>
  <si>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</si>
  <si>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</si>
  <si>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</si>
  <si>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</si>
  <si>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</si>
  <si>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</si>
  <si>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</si>
  <si>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</si>
  <si>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</si>
  <si>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</si>
  <si>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</si>
  <si>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</si>
  <si>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</si>
  <si>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</si>
  <si>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</si>
  <si>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</si>
  <si>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</si>
  <si>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</si>
  <si>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</si>
  <si>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</si>
  <si>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</si>
  <si>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</si>
  <si>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</si>
  <si>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</si>
  <si>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</si>
  <si>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</si>
  <si>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</si>
  <si>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</si>
  <si>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</si>
  <si>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</si>
  <si>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</si>
  <si>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</si>
  <si>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</si>
  <si>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</si>
  <si>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</si>
  <si>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</si>
  <si>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</si>
  <si>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</si>
  <si>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</si>
  <si>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</si>
  <si>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</si>
  <si>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</si>
  <si>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</si>
  <si>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</si>
  <si>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</si>
  <si>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</si>
  <si>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</si>
  <si>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</si>
  <si>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</si>
  <si>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</si>
  <si>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</si>
  <si>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</si>
  <si>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</si>
  <si>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</si>
  <si>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</si>
  <si>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</si>
  <si>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</si>
  <si>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</si>
  <si>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</si>
  <si>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</si>
  <si>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</si>
  <si>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</si>
  <si>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</si>
  <si>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</si>
  <si>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</si>
  <si>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</si>
  <si>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</si>
  <si>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</si>
  <si>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</si>
  <si>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</si>
  <si>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</si>
  <si>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</si>
  <si>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</si>
  <si>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</si>
  <si>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</si>
  <si>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</si>
  <si>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</si>
  <si>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</si>
  <si>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</si>
  <si>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</si>
  <si>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</si>
  <si>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</si>
  <si>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</si>
  <si>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</si>
  <si>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</si>
  <si>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</si>
  <si>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</si>
  <si>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</si>
  <si>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</si>
  <si>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</si>
  <si>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</si>
  <si>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</si>
  <si>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</si>
  <si>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</si>
  <si>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</si>
  <si>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</si>
  <si>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</si>
  <si>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</si>
  <si>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</si>
  <si>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</si>
  <si>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</si>
  <si>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</si>
  <si>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</si>
  <si>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</si>
  <si>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</si>
  <si>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</si>
  <si>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</si>
  <si>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</si>
  <si>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</si>
  <si>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</si>
  <si>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</si>
  <si>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</si>
  <si>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</si>
  <si>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</si>
  <si>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</si>
  <si>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</si>
  <si>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</si>
  <si>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</si>
  <si>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</si>
  <si>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</si>
  <si>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</si>
  <si>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</si>
  <si>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</si>
  <si>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</si>
  <si>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</si>
  <si>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</si>
  <si>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</si>
  <si>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</si>
  <si>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</si>
  <si>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</si>
  <si>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</si>
  <si>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</si>
  <si>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</si>
  <si>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</si>
  <si>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</si>
  <si>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</si>
  <si>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</si>
  <si>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</si>
  <si>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</si>
  <si>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</si>
  <si>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</si>
  <si>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</si>
  <si>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</si>
  <si>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</si>
  <si>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</si>
  <si>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</si>
  <si>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</si>
  <si>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</si>
  <si>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</si>
  <si>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</si>
  <si>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</si>
  <si>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</si>
  <si>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</si>
  <si>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</si>
  <si>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</si>
  <si>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</si>
  <si>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</si>
  <si>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</si>
  <si>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</si>
  <si>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</si>
  <si>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</si>
  <si>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</si>
  <si>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</si>
  <si>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</si>
  <si>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</si>
  <si>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</si>
  <si>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</si>
  <si>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</si>
  <si>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</si>
  <si>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</si>
  <si>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</si>
  <si>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</si>
  <si>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</si>
  <si>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</si>
  <si>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</si>
  <si>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</si>
  <si>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</si>
  <si>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</si>
  <si>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</si>
  <si>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</si>
  <si>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</si>
  <si>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</si>
  <si>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</si>
  <si>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</si>
  <si>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</si>
  <si>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</si>
  <si>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</si>
  <si>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</si>
  <si>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</si>
  <si>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</si>
  <si>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</si>
  <si>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</si>
  <si>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</si>
  <si>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</si>
  <si>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</si>
  <si>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</si>
  <si>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</si>
  <si>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</si>
  <si>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</si>
  <si>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</si>
  <si>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</si>
  <si>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</si>
  <si>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</si>
  <si>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</si>
  <si>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</si>
  <si>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</si>
  <si>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</si>
  <si>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</si>
  <si>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</si>
  <si>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</si>
  <si>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</si>
  <si>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</si>
  <si>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</si>
  <si>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</si>
  <si>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</si>
  <si>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</si>
  <si>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</si>
  <si>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</si>
  <si>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</si>
  <si>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</si>
  <si>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</si>
  <si>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</si>
  <si>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</si>
  <si>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</si>
  <si>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</si>
  <si>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</si>
  <si>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</si>
  <si>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</si>
  <si>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</si>
  <si>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</si>
  <si>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</si>
  <si>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</si>
  <si>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</si>
  <si>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</si>
  <si>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</si>
  <si>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</si>
  <si>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</si>
  <si>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</si>
  <si>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</si>
  <si>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</si>
  <si>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</si>
  <si>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</si>
  <si>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</si>
  <si>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</si>
  <si>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</si>
  <si>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</si>
  <si>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</si>
  <si>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</si>
  <si>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</si>
  <si>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</si>
  <si>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</si>
  <si>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</si>
  <si>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</si>
  <si>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</si>
  <si>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</si>
  <si>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</si>
  <si>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</si>
  <si>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</si>
  <si>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</si>
  <si>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</si>
  <si>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</si>
  <si>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</si>
  <si>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</si>
  <si>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</si>
  <si>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</si>
  <si>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</si>
  <si>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</si>
  <si>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</si>
  <si>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</si>
  <si>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</si>
  <si>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</si>
  <si>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</si>
  <si>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</si>
  <si>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</si>
  <si>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</si>
  <si>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</si>
  <si>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</si>
  <si>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</si>
  <si>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</si>
  <si>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</si>
  <si>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</si>
  <si>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</si>
  <si>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</si>
  <si>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</si>
  <si>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</si>
  <si>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</si>
  <si>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</si>
  <si>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</si>
  <si>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</si>
  <si>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</si>
  <si>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</si>
  <si>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</si>
  <si>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</si>
  <si>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</si>
  <si>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</si>
  <si>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</si>
  <si>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</si>
  <si>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</si>
  <si>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</si>
  <si>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</si>
  <si>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</si>
  <si>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</si>
  <si>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</si>
  <si>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</si>
  <si>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</si>
  <si>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</si>
  <si>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</si>
  <si>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</si>
  <si>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</si>
  <si>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</si>
  <si>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</si>
  <si>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</si>
  <si>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</si>
  <si>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</si>
  <si>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</si>
  <si>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</si>
  <si>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</si>
  <si>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</si>
  <si>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</si>
  <si>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</si>
  <si>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</si>
  <si>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</si>
  <si>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</si>
  <si>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</si>
  <si>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</si>
  <si>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</si>
  <si>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</si>
  <si>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</si>
  <si>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</si>
  <si>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</si>
  <si>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</si>
  <si>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</si>
  <si>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</si>
  <si>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</si>
  <si>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</si>
  <si>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</si>
  <si>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</si>
  <si>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</si>
  <si>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</si>
  <si>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</si>
  <si>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</si>
  <si>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</si>
  <si>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</si>
  <si>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</si>
  <si>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</si>
  <si>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</si>
  <si>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</si>
  <si>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</si>
  <si>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</si>
  <si>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</si>
  <si>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</si>
  <si>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</si>
  <si>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</si>
  <si>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</si>
  <si>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</si>
  <si>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</si>
  <si>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</si>
  <si>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</si>
  <si>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</si>
  <si>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</si>
  <si>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</si>
  <si>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</si>
  <si>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</si>
  <si>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</si>
  <si>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</si>
  <si>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</si>
  <si>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</si>
  <si>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</si>
  <si>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</si>
  <si>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</si>
  <si>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</si>
  <si>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</si>
  <si>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</si>
  <si>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</si>
  <si>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</si>
  <si>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</si>
  <si>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</si>
  <si>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</si>
  <si>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</si>
  <si>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</si>
  <si>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</si>
  <si>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</si>
  <si>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</si>
  <si>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</si>
  <si>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</si>
  <si>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</si>
  <si>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</si>
  <si>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</si>
  <si>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</si>
  <si>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</si>
  <si>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</si>
  <si>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</si>
  <si>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</si>
  <si>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</si>
  <si>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</si>
  <si>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</si>
  <si>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</si>
  <si>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</si>
  <si>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</si>
  <si>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</si>
  <si>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</si>
  <si>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</si>
  <si>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</si>
  <si>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</si>
  <si>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</si>
  <si>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</si>
  <si>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</si>
  <si>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</si>
  <si>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</si>
  <si>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</si>
  <si>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</si>
  <si>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</si>
  <si>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</si>
  <si>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</si>
  <si>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</si>
  <si>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</si>
  <si>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</si>
  <si>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</si>
  <si>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</si>
  <si>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</si>
  <si>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</si>
  <si>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</si>
  <si>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</si>
  <si>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</si>
  <si>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</si>
  <si>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</si>
  <si>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</si>
  <si>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</si>
  <si>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</si>
  <si>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</si>
  <si>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</si>
  <si>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</si>
  <si>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</si>
  <si>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</si>
  <si>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</si>
  <si>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</si>
  <si>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</si>
  <si>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</si>
  <si>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</si>
  <si>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</si>
  <si>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</si>
  <si>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</si>
  <si>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</si>
  <si>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</si>
  <si>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</si>
  <si>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</si>
  <si>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</si>
  <si>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</si>
  <si>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</si>
  <si>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</si>
  <si>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</si>
  <si>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</si>
  <si>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</si>
  <si>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</si>
  <si>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</si>
  <si>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</si>
  <si>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</si>
  <si>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</si>
  <si>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</si>
  <si>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</si>
  <si>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</si>
  <si>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</si>
  <si>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</si>
  <si>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</si>
  <si>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</si>
  <si>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</si>
  <si>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</si>
  <si>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</si>
  <si>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</si>
  <si>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</si>
  <si>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</si>
  <si>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</si>
  <si>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</si>
  <si>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</si>
  <si>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</si>
  <si>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</si>
  <si>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</si>
  <si>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</si>
  <si>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</si>
  <si>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</si>
  <si>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</si>
  <si>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</si>
  <si>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</si>
  <si>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</si>
  <si>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</si>
  <si>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</si>
  <si>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</si>
  <si>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</si>
  <si>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</si>
  <si>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</si>
  <si>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</si>
  <si>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</si>
  <si>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</si>
  <si>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</si>
  <si>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</si>
  <si>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</si>
  <si>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</si>
  <si>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</si>
  <si>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</si>
  <si>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</si>
  <si>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</si>
  <si>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</si>
  <si>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</si>
  <si>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</si>
  <si>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</si>
  <si>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</si>
  <si>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</si>
  <si>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</si>
  <si>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</si>
  <si>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</si>
  <si>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</si>
  <si>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</si>
  <si>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</si>
  <si>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</si>
  <si>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</si>
  <si>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</si>
  <si>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</si>
  <si>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</si>
  <si>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</si>
  <si>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</si>
  <si>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</si>
  <si>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</si>
  <si>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</si>
  <si>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</si>
  <si>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</si>
  <si>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</si>
  <si>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</si>
  <si>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</si>
  <si>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</si>
  <si>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</si>
  <si>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</si>
  <si>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</si>
  <si>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</si>
  <si>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</si>
  <si>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</si>
  <si>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</si>
  <si>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</si>
  <si>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</si>
  <si>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</si>
  <si>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</si>
  <si>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</si>
  <si>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</si>
  <si>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</si>
  <si>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</si>
  <si>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</si>
  <si>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</si>
  <si>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</si>
  <si>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</si>
  <si>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</si>
  <si>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</si>
  <si>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</si>
  <si>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</si>
  <si>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</si>
  <si>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</si>
  <si>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</si>
  <si>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</si>
  <si>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</si>
  <si>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</si>
  <si>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</si>
  <si>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</si>
  <si>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</si>
  <si>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</si>
  <si>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</si>
  <si>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</si>
  <si>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</si>
  <si>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</si>
  <si>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</si>
  <si>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</si>
  <si>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</si>
  <si>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</si>
  <si>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</si>
  <si>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</si>
  <si>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</si>
  <si>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</si>
  <si>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</si>
  <si>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</si>
  <si>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</si>
  <si>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</si>
  <si>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</si>
  <si>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</si>
  <si>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</si>
  <si>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</si>
  <si>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</si>
  <si>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</si>
  <si>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</si>
  <si>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</si>
  <si>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</si>
  <si>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</si>
  <si>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</si>
  <si>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</si>
  <si>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</si>
  <si>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</si>
  <si>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</si>
  <si>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</si>
  <si>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</si>
  <si>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</si>
  <si>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</si>
  <si>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</si>
  <si>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</si>
  <si>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</si>
  <si>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</si>
  <si>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</si>
  <si>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</si>
  <si>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</si>
  <si>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</si>
  <si>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</si>
  <si>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</si>
  <si>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</si>
  <si>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</si>
  <si>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</si>
  <si>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</si>
  <si>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</si>
  <si>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</si>
  <si>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</si>
  <si>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</si>
  <si>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</si>
  <si>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</si>
  <si>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</si>
  <si>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</si>
  <si>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</si>
  <si>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</si>
  <si>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</si>
  <si>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</si>
  <si>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</si>
  <si>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</si>
  <si>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</si>
  <si>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</si>
  <si>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</si>
  <si>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</si>
  <si>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</si>
  <si>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</si>
  <si>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</si>
  <si>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</si>
  <si>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</si>
  <si>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</si>
  <si>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</si>
  <si>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</si>
  <si>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</si>
  <si>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</si>
  <si>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</si>
  <si>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</si>
  <si>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</si>
  <si>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</si>
  <si>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</si>
  <si>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</si>
  <si>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</si>
  <si>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</si>
  <si>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</si>
  <si>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</si>
  <si>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</si>
  <si>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</si>
  <si>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</si>
  <si>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</si>
  <si>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</si>
  <si>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</si>
  <si>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</si>
  <si>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</si>
  <si>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</si>
  <si>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</si>
  <si>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</si>
  <si>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</si>
  <si>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</si>
  <si>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</si>
  <si>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</si>
  <si>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</si>
  <si>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</si>
  <si>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</si>
  <si>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</si>
  <si>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</si>
  <si>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</si>
  <si>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</si>
  <si>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</si>
  <si>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</si>
  <si>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</si>
  <si>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</si>
  <si>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</si>
  <si>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</si>
  <si>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</si>
  <si>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</si>
  <si>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</si>
  <si>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</si>
  <si>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</si>
  <si>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</si>
  <si>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</si>
  <si>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</si>
  <si>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</si>
  <si>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</si>
  <si>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</si>
  <si>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</si>
  <si>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</si>
  <si>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</si>
  <si>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</si>
  <si>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</si>
  <si>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</si>
  <si>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</si>
  <si>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</si>
  <si>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</si>
  <si>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</si>
  <si>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</si>
  <si>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</si>
  <si>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</si>
  <si>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</si>
  <si>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</si>
  <si>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</si>
  <si>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</si>
  <si>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</si>
  <si>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</si>
  <si>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</si>
  <si>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</si>
  <si>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</si>
  <si>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</si>
  <si>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</si>
  <si>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</si>
  <si>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</si>
  <si>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</si>
  <si>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</si>
  <si>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</si>
  <si>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</si>
  <si>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</si>
  <si>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</si>
  <si>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</si>
  <si>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</si>
  <si>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</si>
  <si>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</si>
  <si>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</si>
  <si>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</si>
  <si>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</si>
  <si>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</si>
  <si>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</si>
  <si>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</si>
  <si>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</si>
  <si>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</si>
  <si>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</si>
  <si>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</si>
  <si>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</si>
  <si>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</si>
  <si>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</si>
  <si>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</si>
  <si>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</si>
  <si>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</si>
  <si>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</si>
  <si>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</si>
  <si>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</si>
  <si>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</si>
  <si>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</si>
  <si>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</si>
  <si>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</si>
  <si>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</si>
  <si>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</si>
  <si>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</si>
  <si>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</si>
  <si>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</si>
  <si>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</si>
  <si>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</si>
  <si>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</si>
  <si>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</si>
  <si>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</si>
  <si>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</si>
  <si>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</si>
  <si>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</si>
  <si>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</si>
  <si>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</si>
  <si>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</si>
  <si>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</si>
  <si>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</si>
  <si>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</si>
  <si>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</si>
  <si>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</si>
  <si>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</si>
  <si>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</si>
  <si>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</si>
  <si>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</si>
  <si>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</si>
  <si>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</si>
  <si>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</si>
  <si>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</si>
  <si>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</si>
  <si>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</si>
  <si>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</si>
  <si>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</si>
  <si>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</si>
  <si>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</si>
  <si>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</si>
  <si>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</si>
  <si>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</si>
  <si>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</si>
  <si>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</si>
  <si>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</si>
  <si>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</si>
  <si>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</si>
  <si>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</si>
  <si>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</si>
  <si>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</si>
  <si>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</si>
  <si>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</si>
  <si>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</si>
  <si>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</si>
  <si>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</si>
  <si>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</si>
  <si>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</si>
  <si>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</si>
  <si>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</si>
  <si>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</si>
  <si>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</si>
  <si>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</si>
  <si>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</si>
  <si>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</si>
  <si>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</si>
  <si>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</si>
  <si>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</si>
  <si>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</si>
  <si>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</si>
  <si>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</si>
  <si>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</si>
  <si>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</si>
  <si>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</si>
  <si>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</si>
  <si>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</si>
  <si>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</si>
  <si>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</si>
  <si>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</si>
  <si>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</si>
  <si>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</si>
  <si>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</si>
  <si>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</si>
  <si>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</si>
  <si>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</si>
  <si>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</si>
  <si>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</si>
  <si>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</si>
  <si>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</si>
  <si>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</si>
  <si>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</si>
  <si>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</si>
  <si>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</si>
  <si>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</si>
  <si>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</si>
  <si>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</si>
  <si>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</si>
  <si>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</si>
  <si>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</si>
  <si>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</si>
  <si>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</si>
  <si>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</si>
  <si>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</si>
  <si>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</si>
  <si>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</si>
  <si>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</si>
  <si>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</si>
  <si>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</si>
  <si>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</si>
  <si>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</si>
  <si>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</si>
  <si>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</si>
  <si>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</si>
  <si>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</si>
  <si>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</si>
  <si>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</si>
  <si>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</si>
  <si>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</si>
  <si>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</si>
  <si>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</si>
  <si>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</si>
  <si>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</si>
  <si>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</si>
  <si>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</si>
  <si>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</si>
  <si>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</si>
  <si>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</si>
  <si>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</si>
  <si>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</si>
  <si>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</si>
  <si>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</si>
  <si>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</si>
  <si>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</si>
  <si>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</si>
  <si>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</si>
  <si>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</si>
  <si>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</si>
  <si>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</si>
  <si>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</si>
  <si>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</si>
  <si>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</si>
  <si>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</si>
  <si>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</si>
  <si>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</si>
  <si>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</si>
  <si>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</si>
  <si>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</si>
  <si>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</si>
  <si>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</si>
  <si>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</si>
  <si>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</si>
  <si>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</si>
  <si>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</si>
  <si>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</si>
  <si>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</si>
  <si>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</si>
  <si>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</si>
  <si>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</si>
  <si>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</si>
  <si>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</si>
  <si>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</si>
  <si>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</si>
  <si>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</si>
  <si>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</si>
  <si>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</si>
  <si>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</si>
  <si>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</si>
  <si>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</si>
  <si>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</si>
  <si>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</si>
  <si>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</si>
  <si>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</si>
  <si>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</si>
  <si>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</si>
  <si>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</si>
  <si>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</si>
  <si>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</si>
  <si>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</si>
  <si>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</si>
  <si>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</si>
  <si>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</si>
  <si>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</si>
  <si>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</si>
  <si>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</si>
  <si>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</si>
  <si>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</si>
  <si>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</si>
  <si>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</si>
  <si>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</si>
  <si>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</si>
  <si>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</si>
  <si>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</si>
  <si>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</si>
  <si>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</si>
  <si>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</si>
  <si>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</si>
  <si>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</si>
  <si>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</si>
  <si>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</si>
  <si>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</si>
  <si>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</si>
  <si>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</si>
  <si>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</si>
  <si>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</si>
  <si>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</si>
  <si>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</si>
  <si>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</si>
  <si>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</si>
  <si>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</si>
  <si>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</si>
  <si>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</si>
  <si>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</si>
  <si>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</si>
  <si>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</si>
  <si>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</si>
  <si>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</si>
  <si>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</si>
  <si>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</si>
  <si>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</si>
  <si>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</si>
  <si>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</si>
  <si>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</si>
  <si>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</si>
  <si>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</si>
  <si>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</si>
  <si>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</si>
  <si>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</si>
  <si>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</si>
  <si>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</si>
  <si>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</si>
  <si>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</si>
  <si>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</si>
  <si>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</si>
  <si>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</si>
  <si>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</si>
  <si>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</si>
  <si>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</si>
  <si>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</si>
  <si>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</si>
  <si>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</si>
  <si>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</si>
  <si>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</si>
  <si>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</si>
  <si>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</si>
  <si>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</si>
  <si>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</si>
  <si>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</si>
  <si>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</si>
  <si>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</si>
  <si>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</si>
  <si>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</si>
  <si>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</si>
  <si>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</si>
  <si>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</si>
  <si>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</si>
  <si>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</si>
  <si>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</si>
  <si>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</si>
  <si>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</si>
  <si>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</si>
  <si>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</si>
  <si>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</si>
  <si>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</si>
  <si>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</si>
  <si>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</si>
  <si>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</si>
  <si>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</si>
  <si>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</si>
  <si>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</si>
  <si>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</si>
  <si>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</si>
  <si>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</si>
  <si>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</si>
  <si>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</si>
  <si>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</si>
  <si>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</si>
  <si>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</si>
  <si>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</si>
  <si>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</si>
  <si>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</si>
  <si>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</si>
  <si>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</si>
  <si>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</si>
  <si>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</si>
  <si>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</si>
  <si>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</si>
  <si>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</si>
  <si>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</si>
  <si>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</si>
  <si>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</si>
  <si>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</si>
  <si>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</si>
  <si>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</si>
  <si>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</si>
  <si>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</si>
  <si>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</si>
  <si>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</si>
  <si>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</si>
  <si>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</si>
  <si>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</si>
  <si>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</si>
  <si>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</si>
  <si>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</si>
  <si>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</si>
  <si>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</si>
  <si>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</si>
  <si>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</si>
  <si>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</si>
  <si>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</si>
  <si>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</si>
  <si>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</si>
  <si>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</si>
  <si>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</si>
  <si>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</si>
  <si>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</si>
  <si>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</si>
  <si>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</si>
  <si>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</si>
  <si>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</si>
  <si>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</si>
  <si>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</si>
  <si>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</si>
  <si>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</si>
  <si>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</si>
  <si>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</si>
  <si>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</si>
  <si>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</si>
  <si>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</si>
  <si>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</si>
  <si>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</si>
  <si>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</si>
  <si>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</si>
  <si>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</si>
  <si>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</si>
  <si>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</si>
  <si>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</si>
  <si>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</si>
  <si>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</si>
  <si>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</si>
  <si>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</si>
  <si>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</si>
  <si>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</si>
  <si>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</si>
  <si>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</si>
  <si>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</si>
  <si>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</si>
  <si>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</si>
  <si>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</si>
  <si>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</si>
  <si>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</si>
  <si>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</si>
  <si>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</si>
  <si>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</si>
  <si>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</si>
  <si>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</si>
  <si>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</si>
  <si>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</si>
  <si>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</si>
  <si>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</si>
  <si>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</si>
  <si>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</si>
  <si>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</si>
  <si>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</si>
  <si>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</si>
  <si>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</si>
  <si>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</si>
  <si>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</si>
  <si>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</si>
  <si>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</si>
  <si>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</si>
  <si>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</si>
  <si>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</si>
  <si>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</si>
  <si>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</si>
  <si>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</si>
  <si>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</si>
  <si>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</si>
  <si>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</si>
  <si>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</si>
  <si>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</si>
  <si>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</si>
  <si>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</si>
  <si>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</si>
  <si>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</si>
  <si>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</si>
  <si>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</si>
  <si>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</si>
  <si>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</si>
  <si>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</si>
  <si>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</si>
  <si>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</si>
  <si>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</si>
  <si>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</si>
  <si>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</si>
  <si>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</si>
  <si>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</si>
  <si>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</si>
  <si>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</si>
  <si>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</si>
  <si>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</si>
  <si>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</si>
  <si>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</si>
  <si>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</si>
  <si>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</si>
  <si>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</si>
  <si>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</si>
  <si>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</si>
  <si>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</si>
  <si>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</si>
  <si>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</si>
  <si>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</si>
  <si>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</si>
  <si>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</si>
  <si>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</si>
  <si>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</si>
  <si>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</si>
  <si>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</si>
  <si>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</si>
  <si>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</si>
  <si>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</si>
  <si>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</si>
  <si>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</si>
  <si>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</si>
  <si>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</si>
  <si>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</si>
  <si>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</si>
  <si>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</si>
  <si>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</si>
  <si>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</si>
  <si>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</si>
  <si>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</si>
  <si>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</si>
  <si>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</si>
  <si>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</si>
  <si>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</si>
  <si>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</si>
  <si>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</si>
  <si>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</si>
  <si>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</si>
  <si>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</si>
  <si>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</si>
  <si>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</si>
  <si>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</si>
  <si>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</si>
  <si>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</si>
  <si>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</si>
  <si>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</si>
  <si>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</si>
  <si>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</si>
  <si>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</si>
  <si>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</si>
  <si>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</si>
  <si>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</si>
  <si>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</si>
  <si>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</si>
  <si>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</si>
  <si>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</si>
  <si>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</si>
  <si>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</si>
  <si>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</si>
  <si>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</si>
  <si>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</si>
  <si>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</si>
  <si>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</si>
  <si>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</si>
  <si>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</si>
  <si>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</si>
  <si>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</si>
  <si>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</si>
  <si>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</si>
  <si>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</si>
  <si>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</si>
  <si>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</si>
  <si>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</si>
  <si>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</si>
  <si>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</si>
  <si>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</si>
  <si>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</si>
  <si>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</si>
  <si>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</si>
  <si>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</si>
  <si>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</si>
  <si>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</si>
  <si>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</si>
  <si>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</si>
  <si>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</si>
  <si>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</si>
  <si>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</si>
  <si>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</si>
  <si>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</si>
  <si>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</si>
  <si>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</si>
  <si>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</si>
  <si>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</si>
  <si>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</si>
  <si>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</si>
  <si>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</si>
  <si>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</si>
  <si>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</si>
  <si>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</si>
  <si>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</si>
  <si>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</si>
  <si>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</si>
  <si>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</si>
  <si>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</si>
  <si>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</si>
  <si>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</si>
  <si>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</si>
  <si>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</si>
  <si>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</si>
  <si>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</si>
  <si>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</si>
  <si>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</si>
  <si>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</si>
  <si>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</si>
  <si>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</si>
  <si>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</si>
  <si>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</si>
  <si>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</si>
  <si>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</si>
  <si>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</si>
  <si>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</si>
  <si>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</si>
  <si>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</si>
  <si>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</si>
  <si>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</si>
  <si>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</si>
  <si>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</si>
  <si>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</si>
  <si>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</si>
  <si>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</si>
  <si>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</si>
  <si>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</si>
  <si>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</si>
  <si>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</si>
  <si>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</si>
  <si>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</si>
  <si>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</si>
  <si>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</si>
  <si>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</si>
  <si>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</si>
  <si>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</si>
  <si>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</si>
  <si>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</si>
  <si>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</si>
  <si>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</si>
  <si>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</si>
  <si>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</si>
  <si>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</si>
  <si>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</si>
  <si>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</si>
  <si>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</si>
  <si>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</si>
  <si>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</si>
  <si>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</si>
  <si>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</si>
  <si>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</si>
  <si>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</si>
  <si>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</si>
  <si>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</si>
  <si>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</si>
  <si>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</si>
  <si>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</si>
  <si>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</si>
  <si>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</si>
  <si>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</si>
  <si>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</si>
  <si>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</si>
  <si>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</si>
  <si>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</si>
  <si>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</si>
  <si>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</si>
  <si>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</si>
  <si>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</si>
  <si>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</si>
  <si>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</si>
  <si>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</si>
  <si>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</si>
  <si>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</si>
  <si>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</si>
  <si>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</si>
  <si>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</si>
  <si>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</si>
  <si>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</si>
  <si>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</si>
  <si>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</si>
  <si>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</si>
  <si>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</si>
  <si>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</si>
  <si>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</si>
  <si>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</si>
  <si>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</si>
  <si>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</si>
  <si>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</si>
  <si>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</si>
  <si>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</si>
  <si>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</si>
  <si>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</si>
  <si>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</si>
  <si>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</si>
  <si>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</si>
  <si>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</si>
  <si>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</si>
  <si>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</si>
  <si>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</si>
  <si>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</si>
  <si>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</si>
  <si>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</si>
  <si>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</si>
  <si>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</si>
  <si>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</si>
  <si>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</si>
  <si>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</si>
  <si>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</si>
  <si>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</si>
  <si>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</si>
  <si>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</si>
  <si>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</si>
  <si>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</si>
  <si>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</si>
  <si>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</si>
  <si>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</si>
  <si>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</si>
  <si>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</si>
  <si>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</si>
  <si>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</si>
  <si>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</si>
  <si>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</si>
  <si>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</si>
  <si>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</si>
  <si>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</si>
  <si>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</si>
  <si>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</si>
  <si>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</si>
  <si>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</si>
  <si>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</si>
  <si>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</si>
  <si>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</si>
  <si>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</si>
  <si>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</si>
  <si>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</si>
  <si>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</si>
  <si>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</si>
  <si>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</si>
  <si>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</si>
  <si>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</si>
  <si>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</si>
  <si>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</si>
  <si>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</si>
  <si>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</si>
  <si>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</si>
  <si>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</si>
  <si>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</si>
  <si>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</si>
  <si>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</si>
  <si>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</si>
  <si>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</si>
  <si>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</si>
  <si>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</si>
  <si>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</si>
  <si>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</si>
  <si>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</si>
  <si>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</si>
  <si>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</si>
  <si>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</si>
  <si>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</si>
  <si>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</si>
  <si>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</si>
  <si>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</si>
  <si>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</si>
  <si>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</si>
  <si>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</si>
  <si>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</si>
  <si>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</si>
  <si>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</si>
  <si>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</si>
  <si>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</si>
  <si>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</si>
  <si>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</si>
  <si>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</si>
  <si>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</si>
  <si>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</si>
  <si>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</si>
  <si>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</si>
  <si>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</si>
  <si>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</si>
  <si>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</si>
  <si>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</si>
  <si>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</si>
  <si>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</si>
  <si>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</si>
  <si>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</si>
  <si>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</si>
  <si>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</si>
  <si>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</si>
  <si>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</si>
  <si>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</si>
  <si>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</si>
  <si>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</si>
  <si>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</si>
  <si>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</si>
  <si>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</si>
  <si>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</si>
  <si>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</si>
  <si>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</si>
  <si>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</si>
  <si>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</si>
  <si>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</si>
  <si>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</si>
  <si>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</si>
  <si>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</si>
  <si>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</si>
  <si>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</si>
  <si>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</si>
  <si>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</si>
  <si>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</si>
  <si>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</si>
  <si>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</si>
  <si>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</si>
  <si>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</si>
  <si>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</si>
  <si>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</si>
  <si>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</si>
  <si>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</si>
  <si>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</si>
  <si>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</si>
  <si>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</si>
  <si>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</si>
  <si>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</si>
  <si>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</si>
  <si>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</si>
  <si>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</si>
  <si>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</si>
  <si>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</si>
  <si>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</si>
  <si>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</si>
  <si>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</si>
  <si>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</si>
  <si>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</si>
  <si>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</si>
  <si>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</si>
  <si>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</si>
  <si>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</si>
  <si>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</si>
  <si>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</si>
  <si>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</si>
  <si>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</si>
  <si>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</si>
  <si>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</si>
  <si>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</si>
  <si>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</si>
  <si>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</si>
  <si>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</si>
  <si>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</si>
  <si>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</si>
  <si>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</si>
  <si>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</si>
  <si>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</si>
  <si>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</si>
  <si>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</si>
  <si>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</si>
  <si>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</si>
  <si>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</si>
  <si>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</si>
  <si>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</si>
  <si>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</si>
  <si>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</si>
  <si>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</si>
  <si>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</si>
  <si>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</si>
  <si>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</si>
  <si>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</si>
  <si>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</si>
  <si>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</si>
  <si>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</si>
  <si>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</si>
  <si>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</si>
  <si>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</si>
  <si>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</si>
  <si>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</si>
  <si>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</si>
  <si>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</si>
  <si>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</si>
  <si>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</si>
  <si>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</si>
  <si>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</si>
  <si>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</si>
  <si>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</si>
  <si>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</si>
  <si>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</si>
  <si>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</si>
  <si>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</si>
  <si>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</si>
  <si>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</si>
  <si>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</si>
  <si>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</si>
  <si>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</si>
  <si>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</si>
  <si>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</si>
  <si>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</si>
  <si>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</si>
  <si>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</si>
  <si>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</si>
  <si>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</si>
  <si>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</si>
  <si>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</si>
  <si>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</si>
  <si>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</si>
  <si>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</si>
  <si>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</si>
  <si>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</si>
  <si>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</si>
  <si>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</si>
  <si>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</si>
  <si>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</si>
  <si>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</si>
  <si>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</si>
  <si>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</si>
  <si>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</si>
  <si>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</si>
  <si>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</si>
  <si>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</si>
  <si>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</si>
  <si>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</si>
  <si>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</si>
  <si>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</si>
  <si>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</si>
  <si>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</si>
  <si>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</si>
  <si>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</si>
  <si>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</si>
  <si>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</si>
  <si>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</si>
  <si>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</si>
  <si>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</si>
  <si>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</si>
  <si>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</si>
  <si>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</si>
  <si>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</si>
  <si>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</si>
  <si>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</si>
  <si>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</si>
  <si>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</si>
  <si>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</si>
  <si>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</si>
  <si>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</si>
  <si>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</si>
  <si>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</si>
  <si>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</si>
  <si>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</si>
  <si>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</si>
  <si>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</si>
  <si>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</si>
  <si>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</si>
  <si>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</si>
  <si>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</si>
  <si>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</si>
  <si>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</si>
  <si>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</si>
  <si>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</si>
  <si>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</si>
  <si>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</si>
  <si>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</si>
  <si>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</si>
  <si>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</si>
  <si>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</si>
  <si>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</si>
  <si>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</si>
  <si>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</si>
  <si>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</si>
  <si>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</si>
  <si>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</si>
  <si>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</si>
  <si>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</si>
  <si>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</si>
  <si>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</si>
  <si>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</si>
  <si>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</si>
  <si>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</si>
  <si>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</si>
  <si>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</si>
  <si>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</si>
  <si>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</si>
  <si>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</si>
  <si>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</si>
  <si>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</si>
  <si>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</si>
  <si>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</si>
  <si>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</si>
  <si>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</si>
  <si>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</si>
  <si>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</si>
  <si>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</si>
  <si>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</si>
  <si>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</si>
  <si>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</si>
  <si>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</si>
  <si>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</si>
  <si>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</si>
  <si>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</si>
  <si>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</si>
  <si>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</si>
  <si>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</si>
  <si>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</si>
  <si>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</si>
  <si>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</si>
  <si>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</si>
  <si>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</si>
  <si>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</si>
  <si>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</si>
  <si>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</si>
  <si>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</si>
  <si>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</si>
  <si>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</si>
  <si>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</si>
  <si>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</si>
  <si>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</si>
  <si>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</si>
  <si>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</si>
  <si>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</si>
  <si>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</si>
  <si>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</si>
  <si>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</si>
  <si>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</si>
  <si>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</si>
  <si>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</si>
  <si>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</si>
  <si>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</si>
  <si>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</si>
  <si>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</si>
  <si>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</si>
  <si>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</si>
  <si>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</si>
  <si>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</si>
  <si>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</si>
  <si>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</si>
  <si>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</si>
  <si>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</si>
  <si>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</si>
  <si>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</si>
  <si>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</si>
  <si>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</si>
  <si>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</si>
  <si>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</si>
  <si>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</si>
  <si>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</si>
  <si>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</si>
  <si>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</si>
  <si>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</si>
  <si>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</si>
  <si>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</si>
  <si>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</si>
  <si>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</si>
  <si>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</si>
  <si>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</si>
  <si>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</si>
  <si>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</si>
  <si>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</si>
  <si>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</si>
  <si>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</si>
  <si>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</si>
  <si>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</si>
  <si>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</si>
  <si>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</si>
  <si>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</si>
  <si>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</si>
  <si>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</si>
  <si>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</si>
  <si>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</si>
  <si>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</si>
  <si>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</si>
  <si>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</si>
  <si>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</si>
  <si>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</si>
  <si>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</si>
  <si>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</si>
  <si>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</si>
  <si>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</si>
  <si>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</si>
  <si>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</si>
  <si>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</si>
  <si>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</si>
  <si>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</si>
  <si>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</si>
  <si>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</si>
  <si>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</si>
  <si>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</si>
  <si>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</si>
  <si>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</si>
  <si>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</si>
  <si>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</si>
  <si>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</si>
  <si>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</si>
  <si>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</si>
  <si>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</si>
  <si>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</si>
  <si>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</si>
  <si>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</si>
  <si>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</si>
  <si>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</si>
  <si>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</si>
  <si>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</si>
  <si>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</si>
  <si>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</si>
  <si>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</si>
  <si>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</si>
  <si>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</si>
  <si>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</si>
  <si>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</si>
  <si>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</si>
  <si>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</si>
  <si>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</si>
  <si>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</si>
  <si>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</si>
  <si>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</si>
  <si>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</si>
  <si>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</si>
  <si>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</si>
  <si>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</si>
  <si>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</si>
  <si>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</si>
  <si>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</si>
  <si>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</si>
  <si>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</si>
  <si>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</si>
  <si>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</si>
  <si>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</si>
  <si>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</si>
  <si>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</si>
  <si>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</si>
  <si>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</si>
  <si>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</si>
  <si>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</si>
  <si>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</si>
  <si>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</si>
  <si>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</si>
  <si>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</si>
  <si>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</si>
  <si>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</si>
  <si>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</si>
  <si>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</si>
  <si>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</si>
  <si>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</si>
  <si>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</si>
  <si>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</si>
  <si>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</si>
  <si>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</si>
  <si>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</si>
  <si>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</si>
  <si>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</si>
  <si>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</si>
  <si>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</si>
  <si>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</si>
  <si>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</si>
  <si>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</si>
  <si>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</si>
  <si>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</si>
  <si>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</si>
  <si>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</si>
  <si>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</si>
  <si>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</si>
  <si>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</si>
  <si>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</si>
  <si>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</si>
  <si>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</si>
  <si>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</si>
  <si>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</si>
  <si>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</si>
  <si>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</si>
  <si>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</si>
  <si>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</si>
  <si>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</si>
  <si>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</si>
  <si>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</si>
  <si>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</si>
  <si>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</si>
  <si>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</si>
  <si>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</si>
  <si>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</si>
  <si>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</si>
  <si>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</si>
  <si>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</si>
  <si>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</si>
  <si>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</si>
  <si>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</si>
  <si>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</si>
  <si>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</si>
  <si>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</si>
  <si>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</si>
  <si>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</si>
  <si>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</si>
  <si>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</si>
  <si>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</si>
  <si>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</si>
  <si>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</si>
  <si>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</si>
  <si>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</si>
  <si>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</si>
  <si>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</si>
  <si>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</si>
  <si>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</si>
  <si>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</si>
  <si>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</si>
  <si>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</si>
  <si>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</si>
  <si>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</si>
  <si>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</si>
  <si>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</si>
  <si>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</si>
  <si>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</si>
  <si>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</si>
  <si>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</si>
  <si>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</si>
  <si>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</si>
  <si>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</si>
  <si>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</si>
  <si>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</si>
  <si>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</si>
  <si>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</si>
  <si>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</si>
  <si>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</si>
  <si>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</si>
  <si>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</si>
  <si>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</si>
  <si>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</si>
  <si>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</si>
  <si>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</si>
  <si>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</si>
  <si>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</si>
  <si>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</si>
  <si>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</si>
  <si>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</si>
  <si>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</si>
  <si>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</si>
  <si>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</si>
  <si>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</si>
  <si>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</si>
  <si>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</si>
  <si>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</si>
  <si>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</si>
  <si>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</si>
  <si>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</si>
  <si>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</si>
  <si>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</si>
  <si>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</si>
  <si>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</si>
  <si>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</si>
  <si>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</si>
  <si>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</si>
  <si>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</si>
  <si>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</si>
  <si>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</si>
  <si>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</si>
  <si>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</si>
  <si>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</si>
  <si>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</si>
  <si>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</si>
  <si>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</si>
  <si>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</si>
  <si>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</si>
  <si>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</si>
  <si>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</si>
  <si>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</si>
  <si>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</si>
  <si>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</si>
  <si>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</si>
  <si>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</si>
  <si>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</si>
  <si>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</si>
  <si>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</si>
  <si>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</si>
  <si>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</si>
  <si>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</si>
  <si>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</si>
  <si>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</si>
  <si>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</si>
  <si>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</si>
  <si>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</si>
  <si>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</si>
  <si>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</si>
  <si>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</si>
  <si>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</si>
  <si>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</si>
  <si>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</si>
  <si>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</si>
  <si>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</si>
  <si>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</si>
  <si>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</si>
  <si>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</si>
  <si>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</si>
  <si>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</si>
  <si>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</si>
  <si>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</si>
  <si>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</si>
  <si>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</si>
  <si>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</si>
  <si>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</si>
  <si>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</si>
  <si>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</si>
  <si>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</si>
  <si>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</si>
  <si>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</si>
  <si>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</si>
  <si>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</si>
  <si>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</si>
  <si>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</si>
  <si>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</si>
  <si>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</si>
  <si>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</si>
  <si>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</si>
  <si>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</si>
  <si>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</si>
  <si>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</si>
  <si>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</si>
  <si>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</si>
  <si>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</si>
  <si>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</si>
  <si>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</si>
  <si>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</si>
  <si>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</si>
  <si>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</si>
  <si>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</si>
  <si>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</si>
  <si>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</si>
  <si>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</si>
  <si>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</si>
  <si>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</si>
  <si>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</si>
  <si>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</si>
  <si>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</si>
  <si>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</si>
  <si>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</si>
  <si>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</si>
  <si>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</si>
  <si>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</si>
  <si>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</si>
  <si>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</si>
  <si>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</si>
  <si>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</si>
  <si>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</si>
  <si>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</si>
  <si>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</si>
  <si>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</si>
  <si>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</si>
  <si>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</si>
  <si>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</si>
  <si>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</si>
  <si>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</si>
  <si>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</si>
  <si>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</si>
  <si>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</si>
  <si>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</si>
  <si>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</si>
  <si>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</si>
  <si>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</si>
  <si>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</si>
  <si>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</si>
  <si>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</si>
  <si>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</si>
  <si>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</si>
  <si>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</si>
  <si>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</si>
  <si>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</si>
  <si>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</si>
  <si>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</si>
  <si>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</si>
  <si>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</si>
  <si>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</si>
  <si>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</si>
  <si>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</si>
  <si>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</si>
  <si>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</si>
  <si>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</si>
  <si>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</si>
  <si>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</si>
  <si>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</si>
  <si>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</si>
  <si>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</si>
  <si>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</si>
  <si>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</si>
  <si>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</si>
  <si>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</si>
  <si>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</si>
  <si>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</si>
  <si>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</si>
  <si>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</si>
  <si>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</si>
  <si>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</si>
  <si>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</si>
  <si>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</si>
  <si>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</si>
  <si>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</si>
  <si>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</si>
  <si>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</si>
  <si>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</si>
  <si>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</si>
  <si>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</si>
  <si>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</si>
  <si>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</si>
  <si>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</si>
  <si>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</si>
  <si>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</si>
  <si>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</si>
  <si>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</si>
  <si>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</si>
  <si>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</si>
  <si>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</si>
  <si>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</si>
  <si>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</si>
  <si>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</si>
  <si>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</si>
  <si>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</si>
  <si>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</si>
  <si>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</si>
  <si>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</si>
  <si>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</si>
  <si>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</si>
  <si>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</si>
  <si>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</si>
  <si>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</si>
  <si>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</si>
  <si>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</si>
  <si>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</si>
  <si>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</si>
  <si>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</si>
  <si>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</si>
  <si>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</si>
  <si>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</si>
  <si>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</si>
  <si>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</si>
  <si>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</si>
  <si>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</si>
  <si>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</si>
  <si>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</si>
  <si>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</si>
  <si>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</si>
  <si>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</si>
  <si>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</si>
  <si>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</si>
  <si>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</si>
  <si>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</si>
  <si>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</si>
  <si>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</si>
  <si>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</si>
  <si>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</si>
  <si>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</si>
  <si>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</si>
  <si>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</si>
  <si>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</si>
  <si>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</si>
  <si>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</si>
  <si>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</si>
  <si>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</si>
  <si>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</si>
  <si>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</si>
  <si>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</si>
  <si>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</si>
  <si>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</si>
  <si>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</si>
  <si>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</si>
  <si>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</si>
  <si>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</si>
  <si>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</si>
  <si>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</si>
  <si>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</si>
  <si>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</si>
  <si>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</si>
  <si>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</si>
  <si>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</si>
  <si>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</si>
  <si>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</si>
  <si>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</si>
  <si>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</si>
  <si>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</si>
  <si>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</si>
  <si>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</si>
  <si>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</si>
  <si>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</si>
  <si>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</si>
  <si>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</si>
  <si>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</si>
  <si>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</si>
  <si>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</si>
  <si>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</si>
  <si>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</si>
  <si>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</si>
  <si>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</si>
  <si>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</si>
  <si>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</si>
  <si>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</si>
  <si>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</si>
  <si>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</si>
  <si>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</si>
  <si>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</si>
  <si>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</si>
  <si>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</si>
  <si>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</si>
  <si>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</si>
  <si>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</si>
  <si>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</si>
  <si>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</si>
  <si>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</si>
  <si>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</si>
  <si>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</si>
  <si>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</si>
  <si>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</si>
  <si>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</si>
  <si>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</si>
  <si>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</si>
  <si>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</si>
  <si>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</si>
  <si>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</si>
  <si>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</si>
  <si>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</si>
  <si>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</si>
  <si>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</si>
  <si>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</si>
  <si>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</si>
  <si>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</si>
  <si>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</si>
  <si>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</si>
  <si>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</si>
  <si>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</si>
  <si>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</si>
  <si>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</si>
  <si>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</si>
  <si>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</si>
  <si>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</si>
  <si>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</si>
  <si>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</si>
  <si>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</si>
  <si>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</si>
  <si>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</si>
  <si>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</si>
  <si>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</si>
  <si>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</si>
  <si>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</si>
  <si>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</si>
  <si>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</si>
  <si>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</si>
  <si>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</si>
  <si>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</si>
  <si>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</si>
  <si>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</si>
  <si>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</si>
  <si>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</si>
  <si>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</si>
  <si>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</si>
  <si>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</si>
  <si>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</si>
  <si>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</si>
  <si>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</si>
  <si>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</si>
  <si>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</si>
  <si>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</si>
  <si>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</si>
  <si>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</si>
  <si>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</si>
  <si>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</si>
  <si>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</si>
  <si>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</si>
  <si>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</si>
  <si>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</si>
  <si>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</si>
  <si>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</si>
  <si>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</si>
  <si>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</si>
  <si>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</si>
  <si>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</si>
  <si>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</si>
  <si>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</si>
  <si>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</si>
  <si>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</si>
  <si>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</si>
  <si>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</si>
  <si>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</si>
  <si>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</si>
  <si>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</si>
  <si>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</si>
  <si>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</si>
  <si>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</si>
  <si>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</si>
  <si>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</si>
  <si>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</si>
  <si>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</si>
  <si>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</si>
  <si>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</si>
  <si>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</si>
  <si>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</si>
  <si>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</si>
  <si>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</si>
  <si>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</si>
  <si>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</si>
  <si>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</si>
  <si>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</si>
  <si>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</si>
  <si>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</si>
  <si>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</si>
  <si>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</si>
  <si>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</si>
  <si>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</si>
  <si>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</si>
  <si>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</si>
  <si>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</si>
  <si>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</si>
  <si>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</si>
  <si>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</si>
  <si>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</si>
  <si>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</si>
  <si>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</si>
  <si>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</si>
  <si>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</si>
  <si>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</si>
  <si>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</si>
  <si>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</si>
  <si>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</si>
  <si>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</si>
  <si>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</si>
  <si>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</si>
  <si>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</si>
  <si>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</si>
  <si>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</si>
  <si>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</si>
  <si>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</si>
  <si>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</si>
  <si>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</si>
  <si>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</si>
  <si>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</si>
  <si>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</si>
  <si>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</si>
  <si>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</si>
  <si>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</si>
  <si>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</si>
  <si>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</si>
  <si>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</si>
  <si>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</si>
  <si>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</si>
  <si>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</si>
  <si>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</si>
  <si>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</si>
  <si>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</si>
  <si>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</si>
  <si>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</si>
  <si>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</si>
  <si>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</si>
  <si>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</si>
  <si>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</si>
  <si>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</si>
  <si>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</si>
  <si>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</si>
  <si>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</si>
  <si>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</si>
  <si>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</si>
  <si>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</si>
  <si>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</si>
  <si>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</si>
  <si>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</si>
  <si>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</si>
  <si>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</si>
  <si>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</si>
  <si>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</si>
  <si>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</si>
  <si>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</si>
  <si>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</si>
  <si>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</si>
  <si>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</si>
  <si>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</si>
  <si>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</si>
  <si>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</si>
  <si>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</si>
  <si>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</si>
  <si>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</si>
  <si>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</si>
  <si>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</si>
  <si>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</si>
  <si>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</si>
  <si>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</si>
  <si>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</si>
  <si>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</si>
  <si>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</si>
  <si>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</si>
  <si>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</si>
  <si>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</si>
  <si>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</si>
  <si>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</si>
  <si>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</si>
  <si>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</si>
  <si>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</si>
  <si>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</si>
  <si>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</si>
  <si>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</si>
  <si>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</si>
  <si>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</si>
  <si>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</si>
  <si>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</si>
  <si>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</si>
  <si>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</si>
  <si>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</si>
  <si>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</si>
  <si>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</si>
  <si>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</si>
  <si>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</si>
  <si>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</si>
  <si>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</si>
  <si>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</si>
  <si>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</si>
  <si>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</si>
  <si>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</si>
  <si>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</si>
  <si>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</si>
  <si>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</si>
  <si>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</si>
  <si>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</si>
  <si>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</si>
  <si>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</si>
  <si>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</si>
  <si>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</si>
  <si>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</si>
  <si>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</si>
  <si>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</si>
  <si>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</si>
  <si>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</si>
  <si>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</si>
  <si>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</si>
  <si>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</si>
  <si>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</si>
  <si>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</si>
  <si>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</si>
  <si>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</si>
  <si>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</si>
  <si>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</si>
  <si>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</si>
  <si>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</si>
  <si>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</si>
  <si>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</si>
  <si>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</si>
  <si>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</si>
  <si>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</si>
  <si>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</si>
  <si>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</si>
  <si>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</si>
  <si>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</si>
  <si>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</si>
  <si>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</si>
  <si>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</si>
  <si>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</si>
  <si>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</si>
  <si>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</si>
  <si>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</si>
  <si>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</si>
  <si>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</si>
  <si>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</si>
  <si>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</si>
  <si>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</si>
  <si>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</si>
  <si>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</si>
  <si>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</si>
  <si>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</si>
  <si>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</si>
  <si>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</si>
  <si>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</si>
  <si>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</si>
  <si>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</si>
  <si>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</si>
  <si>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</si>
  <si>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</si>
  <si>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</si>
  <si>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</si>
  <si>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</si>
  <si>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</si>
  <si>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</si>
  <si>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</si>
  <si>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</si>
  <si>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</si>
  <si>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</si>
  <si>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</si>
  <si>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</si>
  <si>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</si>
  <si>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</si>
  <si>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</si>
  <si>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</si>
  <si>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</si>
  <si>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</si>
  <si>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</si>
  <si>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</si>
  <si>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</si>
  <si>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</si>
  <si>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</si>
  <si>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</si>
  <si>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</si>
  <si>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</si>
  <si>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</si>
  <si>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</si>
  <si>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</si>
  <si>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</si>
  <si>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</si>
  <si>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</si>
  <si>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</si>
  <si>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</si>
  <si>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</si>
  <si>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</si>
  <si>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</si>
  <si>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</si>
  <si>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</si>
  <si>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</si>
  <si>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</si>
  <si>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</si>
  <si>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</si>
  <si>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</si>
  <si>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</si>
  <si>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</si>
  <si>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</si>
  <si>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</si>
  <si>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</si>
  <si>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</si>
  <si>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</si>
  <si>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</si>
  <si>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</si>
  <si>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</si>
  <si>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</si>
  <si>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</si>
  <si>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</si>
  <si>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</si>
  <si>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</si>
  <si>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</si>
  <si>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</si>
  <si>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</si>
  <si>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</si>
  <si>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</si>
  <si>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</si>
  <si>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</si>
  <si>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</si>
  <si>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</si>
  <si>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</si>
  <si>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</si>
  <si>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</si>
  <si>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</si>
  <si>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</si>
  <si>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</si>
  <si>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</si>
  <si>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</si>
  <si>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</si>
  <si>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</si>
  <si>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</si>
  <si>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</si>
  <si>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</si>
  <si>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</si>
  <si>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</si>
  <si>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</si>
  <si>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</si>
  <si>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</si>
  <si>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</si>
  <si>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</si>
  <si>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</si>
  <si>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</si>
  <si>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</si>
  <si>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</si>
  <si>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</si>
  <si>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</si>
  <si>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</si>
  <si>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</si>
  <si>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</si>
  <si>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</si>
  <si>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</si>
  <si>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</si>
  <si>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</si>
  <si>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</si>
  <si>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</si>
  <si>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</si>
  <si>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</si>
  <si>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</si>
  <si>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</si>
  <si>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</si>
  <si>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</si>
  <si>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</si>
  <si>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</si>
  <si>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</si>
  <si>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</si>
  <si>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</si>
  <si>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</si>
  <si>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</si>
  <si>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</si>
  <si>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</si>
  <si>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</si>
  <si>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</si>
  <si>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</si>
  <si>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</si>
  <si>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</si>
  <si>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</si>
  <si>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</si>
  <si>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</si>
  <si>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</si>
  <si>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</si>
  <si>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</si>
  <si>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</si>
  <si>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</si>
  <si>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</si>
  <si>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</si>
  <si>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</si>
  <si>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</si>
  <si>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</si>
  <si>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</si>
  <si>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</si>
  <si>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</si>
  <si>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</si>
  <si>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</si>
  <si>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</si>
  <si>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</si>
  <si>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</si>
  <si>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</si>
  <si>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</si>
  <si>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</si>
  <si>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</si>
  <si>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</si>
  <si>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</si>
  <si>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</si>
  <si>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</si>
  <si>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</si>
  <si>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</si>
  <si>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</si>
  <si>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</si>
  <si>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</si>
  <si>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</si>
  <si>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</si>
  <si>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</si>
  <si>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</si>
  <si>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</si>
  <si>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</si>
  <si>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</si>
  <si>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</si>
  <si>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</si>
  <si>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</si>
  <si>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</si>
  <si>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</si>
  <si>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</si>
  <si>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</si>
  <si>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</si>
  <si>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</si>
  <si>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</si>
  <si>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</si>
  <si>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</si>
  <si>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</si>
  <si>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</si>
  <si>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</si>
  <si>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</si>
  <si>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</si>
  <si>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</si>
  <si>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</si>
  <si>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</si>
  <si>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</si>
  <si>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</si>
  <si>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</si>
  <si>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</si>
  <si>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</si>
  <si>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</si>
  <si>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</si>
  <si>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</si>
  <si>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</si>
  <si>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</si>
  <si>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</si>
  <si>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</si>
  <si>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</si>
  <si>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</si>
  <si>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</si>
  <si>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</si>
  <si>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</si>
  <si>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</si>
  <si>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</si>
  <si>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</si>
  <si>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</si>
  <si>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</si>
  <si>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</si>
  <si>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</si>
  <si>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</si>
  <si>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</si>
  <si>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</si>
  <si>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</si>
  <si>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</si>
  <si>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</si>
  <si>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</si>
  <si>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</si>
  <si>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</si>
  <si>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</si>
  <si>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</si>
  <si>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</si>
  <si>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</si>
  <si>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</si>
  <si>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</si>
  <si>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</si>
  <si>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</si>
  <si>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</si>
  <si>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</si>
  <si>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</si>
  <si>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</si>
  <si>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</si>
  <si>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</si>
  <si>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</si>
  <si>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</si>
  <si>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</si>
  <si>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</si>
  <si>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</si>
  <si>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</si>
  <si>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</si>
  <si>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</si>
  <si>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</si>
  <si>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</si>
  <si>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</si>
  <si>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</si>
  <si>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</si>
  <si>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</si>
  <si>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</si>
  <si>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</si>
  <si>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</si>
  <si>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</si>
  <si>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</si>
  <si>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</si>
  <si>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</si>
  <si>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</si>
  <si>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</si>
  <si>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</si>
  <si>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</si>
  <si>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</si>
  <si>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</si>
  <si>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</si>
  <si>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</si>
  <si>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</si>
  <si>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</si>
  <si>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</si>
  <si>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</si>
  <si>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</si>
  <si>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</si>
  <si>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</si>
  <si>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</si>
  <si>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</si>
  <si>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</si>
  <si>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</si>
  <si>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</si>
  <si>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</si>
  <si>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</si>
  <si>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</si>
  <si>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</si>
  <si>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</si>
  <si>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</si>
  <si>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</si>
  <si>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</si>
  <si>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</si>
  <si>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</si>
  <si>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</si>
  <si>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</si>
  <si>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</si>
  <si>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</si>
  <si>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</si>
  <si>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</si>
  <si>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</si>
  <si>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</si>
  <si>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</si>
  <si>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</si>
  <si>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</si>
  <si>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</si>
  <si>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</si>
  <si>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</si>
  <si>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</si>
  <si>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</si>
  <si>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</si>
  <si>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</si>
  <si>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</si>
  <si>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</si>
  <si>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</si>
  <si>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</si>
  <si>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</si>
  <si>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</si>
  <si>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</si>
  <si>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</si>
  <si>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</si>
  <si>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</si>
  <si>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</si>
  <si>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</si>
  <si>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</si>
  <si>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</si>
  <si>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</si>
  <si>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</si>
  <si>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</si>
  <si>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</si>
  <si>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</si>
  <si>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</si>
  <si>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</si>
  <si>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</si>
  <si>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</si>
  <si>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</si>
  <si>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</si>
  <si>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</si>
  <si>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</si>
  <si>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</si>
  <si>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</si>
  <si>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</si>
  <si>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</si>
  <si>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</si>
  <si>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</si>
  <si>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</si>
  <si>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</si>
  <si>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</si>
  <si>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</si>
  <si>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</si>
  <si>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</si>
  <si>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</si>
  <si>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</si>
  <si>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</si>
  <si>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</si>
  <si>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</si>
  <si>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</si>
  <si>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</si>
  <si>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</si>
  <si>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</si>
  <si>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</si>
  <si>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</si>
  <si>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</si>
  <si>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</si>
  <si>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</si>
  <si>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</si>
  <si>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</si>
  <si>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</si>
  <si>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</si>
  <si>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</si>
  <si>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</si>
  <si>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</si>
  <si>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</si>
  <si>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</si>
  <si>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</si>
  <si>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</si>
  <si>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</si>
  <si>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</si>
  <si>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</si>
  <si>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</si>
  <si>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</si>
  <si>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</si>
  <si>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</si>
  <si>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</si>
  <si>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</si>
  <si>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</si>
  <si>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</si>
  <si>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</si>
  <si>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</si>
  <si>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</si>
  <si>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</si>
  <si>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</si>
  <si>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</si>
  <si>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</si>
  <si>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</si>
  <si>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</si>
  <si>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</si>
  <si>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</si>
  <si>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</si>
  <si>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</si>
  <si>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</si>
  <si>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</si>
  <si>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</si>
  <si>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</si>
  <si>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</si>
  <si>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</si>
  <si>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</si>
  <si>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</si>
  <si>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</si>
  <si>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</si>
  <si>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</si>
  <si>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</si>
  <si>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</si>
  <si>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</si>
  <si>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</si>
  <si>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</si>
  <si>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</si>
  <si>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</si>
  <si>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</si>
  <si>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</si>
  <si>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</si>
  <si>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</si>
  <si>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</si>
  <si>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</si>
  <si>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</si>
  <si>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</si>
  <si>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</si>
  <si>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</si>
  <si>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</si>
  <si>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</si>
  <si>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</si>
  <si>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</si>
  <si>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</si>
  <si>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</si>
  <si>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</si>
  <si>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</si>
  <si>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</si>
  <si>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</si>
  <si>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</si>
  <si>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</si>
  <si>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</si>
  <si>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</si>
  <si>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</si>
  <si>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</si>
  <si>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</si>
  <si>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</si>
  <si>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</si>
  <si>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</si>
  <si>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</si>
  <si>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</si>
  <si>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</si>
  <si>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</si>
  <si>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</si>
  <si>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</si>
  <si>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</si>
  <si>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</si>
  <si>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</si>
  <si>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</si>
  <si>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</si>
  <si>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</si>
  <si>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</si>
  <si>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</si>
  <si>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</si>
  <si>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</si>
  <si>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</si>
  <si>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</si>
  <si>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</si>
  <si>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</si>
  <si>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</si>
  <si>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</si>
  <si>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</si>
  <si>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</si>
  <si>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</si>
  <si>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</si>
  <si>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</si>
  <si>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</si>
  <si>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</si>
  <si>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</si>
  <si>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</si>
  <si>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</si>
  <si>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</si>
  <si>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</si>
  <si>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</si>
  <si>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</si>
  <si>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</si>
  <si>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</si>
  <si>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</si>
  <si>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</si>
  <si>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</si>
  <si>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</si>
  <si>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</si>
  <si>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</si>
  <si>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</si>
  <si>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</si>
  <si>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</si>
  <si>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</si>
  <si>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</si>
  <si>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</si>
  <si>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</si>
  <si>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</si>
  <si>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</si>
  <si>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</si>
  <si>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</si>
  <si>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</si>
  <si>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</si>
  <si>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</si>
  <si>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</si>
  <si>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</si>
  <si>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</si>
  <si>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</si>
  <si>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</si>
  <si>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</si>
  <si>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</si>
  <si>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</si>
  <si>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</si>
  <si>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</si>
  <si>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</si>
  <si>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</si>
  <si>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</si>
  <si>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</si>
  <si>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</si>
  <si>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</si>
  <si>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</si>
  <si>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</si>
  <si>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</si>
  <si>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</si>
  <si>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</si>
  <si>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</si>
  <si>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</si>
  <si>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</si>
  <si>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</si>
  <si>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</si>
  <si>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</si>
  <si>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</si>
  <si>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</si>
  <si>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</si>
  <si>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</si>
  <si>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</si>
  <si>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</si>
  <si>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</si>
  <si>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</si>
  <si>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</si>
  <si>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</si>
  <si>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</si>
  <si>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</si>
  <si>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</si>
  <si>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</si>
  <si>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</si>
  <si>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</si>
  <si>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</si>
  <si>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</si>
  <si>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</si>
  <si>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</si>
  <si>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</si>
  <si>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</si>
  <si>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</si>
  <si>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</si>
  <si>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</si>
  <si>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</si>
  <si>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</si>
  <si>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</si>
  <si>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</si>
  <si>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</si>
  <si>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</si>
  <si>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</si>
  <si>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</si>
  <si>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</si>
  <si>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</si>
  <si>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</si>
  <si>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</si>
  <si>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</si>
  <si>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</si>
  <si>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</si>
  <si>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</si>
  <si>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</si>
  <si>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</si>
  <si>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</si>
  <si>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</si>
  <si>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</si>
  <si>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</si>
  <si>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</si>
  <si>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</si>
  <si>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</si>
  <si>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</si>
  <si>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</si>
  <si>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</si>
  <si>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</si>
  <si>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</si>
  <si>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</si>
  <si>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</si>
  <si>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</si>
  <si>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</si>
  <si>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</si>
  <si>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</si>
  <si>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</si>
  <si>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</si>
  <si>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</si>
  <si>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</si>
  <si>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</si>
  <si>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</si>
  <si>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</si>
  <si>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</si>
  <si>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</si>
  <si>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</si>
  <si>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</si>
  <si>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</si>
  <si>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</si>
  <si>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</si>
  <si>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</si>
  <si>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</si>
  <si>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</si>
  <si>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</si>
  <si>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</si>
  <si>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</si>
  <si>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</si>
  <si>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</si>
  <si>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</si>
  <si>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</si>
  <si>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</si>
  <si>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</si>
  <si>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</si>
  <si>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</si>
  <si>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</si>
  <si>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</si>
  <si>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</si>
  <si>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</si>
  <si>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</si>
  <si>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</si>
  <si>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</si>
  <si>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</si>
  <si>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</si>
  <si>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</si>
  <si>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</si>
  <si>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</si>
  <si>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</si>
  <si>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</si>
  <si>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</si>
  <si>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</si>
  <si>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</si>
  <si>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</si>
  <si>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</si>
  <si>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</si>
  <si>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</si>
  <si>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</si>
  <si>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</si>
  <si>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</si>
  <si>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</si>
  <si>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</si>
  <si>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</si>
  <si>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</si>
  <si>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</si>
  <si>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</si>
  <si>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</si>
  <si>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</si>
  <si>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</si>
  <si>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</si>
  <si>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</si>
  <si>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</si>
  <si>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</si>
  <si>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</si>
  <si>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</si>
  <si>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</si>
  <si>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</si>
  <si>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</si>
  <si>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</si>
  <si>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</si>
  <si>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</si>
  <si>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</si>
  <si>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</si>
  <si>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</si>
  <si>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</si>
  <si>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</si>
  <si>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</si>
  <si>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</si>
  <si>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</si>
  <si>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</si>
  <si>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</si>
  <si>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</si>
  <si>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</si>
  <si>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</si>
  <si>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</si>
  <si>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</si>
  <si>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</si>
  <si>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</si>
  <si>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</si>
  <si>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</si>
  <si>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</si>
  <si>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</si>
  <si>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</si>
  <si>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</si>
  <si>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</si>
  <si>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</si>
  <si>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</si>
  <si>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</si>
  <si>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</si>
  <si>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</si>
  <si>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</si>
  <si>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</si>
  <si>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</si>
  <si>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</si>
  <si>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</si>
  <si>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</si>
  <si>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</si>
  <si>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</si>
  <si>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</si>
  <si>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</si>
  <si>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</si>
  <si>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</si>
  <si>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</si>
  <si>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</si>
  <si>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</si>
  <si>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</si>
  <si>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</si>
  <si>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</si>
  <si>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</si>
  <si>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</si>
  <si>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</si>
  <si>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</si>
  <si>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</si>
  <si>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</si>
  <si>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</si>
  <si>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</si>
  <si>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</si>
  <si>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</si>
  <si>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</si>
  <si>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</si>
  <si>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</si>
  <si>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</si>
  <si>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</si>
  <si>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</si>
  <si>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</si>
  <si>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</si>
  <si>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</si>
  <si>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</si>
  <si>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</si>
  <si>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</si>
  <si>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</si>
  <si>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</si>
  <si>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</si>
  <si>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</si>
  <si>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</si>
  <si>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</si>
  <si>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</si>
  <si>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</si>
  <si>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</si>
  <si>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</si>
  <si>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</si>
  <si>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</si>
  <si>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</si>
  <si>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</si>
  <si>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</si>
  <si>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</si>
  <si>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</si>
  <si>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</si>
  <si>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</si>
  <si>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</si>
  <si>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</si>
  <si>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</si>
  <si>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</si>
  <si>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</si>
  <si>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</si>
  <si>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</si>
  <si>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</si>
  <si>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</si>
  <si>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</si>
  <si>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</si>
  <si>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</si>
  <si>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</si>
  <si>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</si>
  <si>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</si>
  <si>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</si>
  <si>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</si>
  <si>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</si>
  <si>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</si>
  <si>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</si>
  <si>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</si>
  <si>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</si>
  <si>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</si>
  <si>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</si>
  <si>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</si>
  <si>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</si>
  <si>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</si>
  <si>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</si>
  <si>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</si>
  <si>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</si>
  <si>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</si>
  <si>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</si>
  <si>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</si>
  <si>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</si>
  <si>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</si>
  <si>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</si>
  <si>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</si>
  <si>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</si>
  <si>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</si>
  <si>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</si>
  <si>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</si>
  <si>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</si>
  <si>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</si>
  <si>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</si>
  <si>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</si>
  <si>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</si>
  <si>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</si>
  <si>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</si>
  <si>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</si>
  <si>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</si>
  <si>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</si>
  <si>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</si>
  <si>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</si>
  <si>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</si>
  <si>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</si>
  <si>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</si>
  <si>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</si>
  <si>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</si>
  <si>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</si>
  <si>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</si>
  <si>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</si>
  <si>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</si>
  <si>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</si>
  <si>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</si>
  <si>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</si>
  <si>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</si>
  <si>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</si>
  <si>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</si>
  <si>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</si>
  <si>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</si>
  <si>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</si>
  <si>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</si>
  <si>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</si>
  <si>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</si>
  <si>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</si>
  <si>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</si>
  <si>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</si>
  <si>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</si>
  <si>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</si>
  <si>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</si>
  <si>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</si>
  <si>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</si>
  <si>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</si>
  <si>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</si>
  <si>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</si>
  <si>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</si>
  <si>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</si>
  <si>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</si>
  <si>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</si>
  <si>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</si>
  <si>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</si>
  <si>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</si>
  <si>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</si>
  <si>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</si>
  <si>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</si>
  <si>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</si>
  <si>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</si>
  <si>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</si>
  <si>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</si>
  <si>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</si>
  <si>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</si>
  <si>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</si>
  <si>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</si>
  <si>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</si>
  <si>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</si>
  <si>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</si>
  <si>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</si>
  <si>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</si>
  <si>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</si>
  <si>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</si>
  <si>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</si>
  <si>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</si>
  <si>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</si>
  <si>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</si>
  <si>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</si>
  <si>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</si>
  <si>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</si>
  <si>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</si>
  <si>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</si>
  <si>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</si>
  <si>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</si>
  <si>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</si>
  <si>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</si>
  <si>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</si>
  <si>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</si>
  <si>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</si>
  <si>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</si>
  <si>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</si>
  <si>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</si>
  <si>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</si>
  <si>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</si>
  <si>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</si>
  <si>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</si>
  <si>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</si>
  <si>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</si>
  <si>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</si>
  <si>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</si>
  <si>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</si>
  <si>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</si>
  <si>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</si>
  <si>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</si>
  <si>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</si>
  <si>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</si>
  <si>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</si>
  <si>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</si>
  <si>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</si>
  <si>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</si>
  <si>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</si>
  <si>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</si>
  <si>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</si>
  <si>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</si>
  <si>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</si>
  <si>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</si>
  <si>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</si>
  <si>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</si>
  <si>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</si>
  <si>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</si>
  <si>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</si>
  <si>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</si>
  <si>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</si>
  <si>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</si>
  <si>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</si>
  <si>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</si>
  <si>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</si>
  <si>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</si>
  <si>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</si>
  <si>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</si>
  <si>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</si>
  <si>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</si>
  <si>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</si>
  <si>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</si>
  <si>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</si>
  <si>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</si>
  <si>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</si>
  <si>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</si>
  <si>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</si>
  <si>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</si>
  <si>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</si>
  <si>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</si>
  <si>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</si>
  <si>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</si>
  <si>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</si>
  <si>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</si>
  <si>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</si>
  <si>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</si>
  <si>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</si>
  <si>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</si>
  <si>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</si>
  <si>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</si>
  <si>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</si>
  <si>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</si>
  <si>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</si>
  <si>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</si>
  <si>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</si>
  <si>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</si>
  <si>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</si>
  <si>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</si>
  <si>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</si>
  <si>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</si>
  <si>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</si>
  <si>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</si>
  <si>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</si>
  <si>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</si>
  <si>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</si>
  <si>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</si>
  <si>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</si>
  <si>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</si>
  <si>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</si>
  <si>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</si>
  <si>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</si>
  <si>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</si>
  <si>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</si>
  <si>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</si>
  <si>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</si>
  <si>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</si>
  <si>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</si>
  <si>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</si>
  <si>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</si>
  <si>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</si>
  <si>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</si>
  <si>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</si>
  <si>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</si>
  <si>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</si>
  <si>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</si>
  <si>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</si>
  <si>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</si>
  <si>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</si>
  <si>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</si>
  <si>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</si>
  <si>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</si>
  <si>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</si>
  <si>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</si>
  <si>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</si>
  <si>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</si>
  <si>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</si>
  <si>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</si>
  <si>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</si>
  <si>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</si>
  <si>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</si>
  <si>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</si>
  <si>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</si>
  <si>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</si>
  <si>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</si>
  <si>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</si>
  <si>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</si>
  <si>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</si>
  <si>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</si>
  <si>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</si>
  <si>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</si>
  <si>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</si>
  <si>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</si>
  <si>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</si>
  <si>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</si>
  <si>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</si>
  <si>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</si>
  <si>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</si>
  <si>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</si>
  <si>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</si>
  <si>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</si>
  <si>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</si>
  <si>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</si>
  <si>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</si>
  <si>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</si>
  <si>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</si>
  <si>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</si>
  <si>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</si>
  <si>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</si>
  <si>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</si>
  <si>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</si>
  <si>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</si>
  <si>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</si>
  <si>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</si>
  <si>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</si>
  <si>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</si>
  <si>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</si>
  <si>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</si>
  <si>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</si>
  <si>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</si>
  <si>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</si>
  <si>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</si>
  <si>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</si>
  <si>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</si>
  <si>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</si>
  <si>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</si>
  <si>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</si>
  <si>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</si>
  <si>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</si>
  <si>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</si>
  <si>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</si>
  <si>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</si>
  <si>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</si>
  <si>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</si>
  <si>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</si>
  <si>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</si>
  <si>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</si>
  <si>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</si>
  <si>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</si>
  <si>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</si>
  <si>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</si>
  <si>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</si>
  <si>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</si>
  <si>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</si>
  <si>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</si>
  <si>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</si>
  <si>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</si>
  <si>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</si>
  <si>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</si>
  <si>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</si>
  <si>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</si>
  <si>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</si>
  <si>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</si>
  <si>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</si>
  <si>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</si>
  <si>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</si>
  <si>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</si>
  <si>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</si>
  <si>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</si>
  <si>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</si>
  <si>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</si>
  <si>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</si>
  <si>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</si>
  <si>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</si>
  <si>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</si>
  <si>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</si>
  <si>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</si>
  <si>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</si>
  <si>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</si>
  <si>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</si>
  <si>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</si>
  <si>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</si>
  <si>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</si>
  <si>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</si>
  <si>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</si>
  <si>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</si>
  <si>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</si>
  <si>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</si>
  <si>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</si>
  <si>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</si>
  <si>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</si>
  <si>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</si>
  <si>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</si>
  <si>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</si>
  <si>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</si>
  <si>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</si>
  <si>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</si>
  <si>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</si>
  <si>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</si>
  <si>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</si>
  <si>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</si>
  <si>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</si>
  <si>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</si>
  <si>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</si>
  <si>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</si>
  <si>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</si>
  <si>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</si>
  <si>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</si>
  <si>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</si>
  <si>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</si>
  <si>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</si>
  <si>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</si>
  <si>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</si>
  <si>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</si>
  <si>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</si>
  <si>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</si>
  <si>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</si>
  <si>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</si>
  <si>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</si>
  <si>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</si>
  <si>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</si>
  <si>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</si>
  <si>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</si>
  <si>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</si>
  <si>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</si>
  <si>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</si>
  <si>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</si>
  <si>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</si>
  <si>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</si>
  <si>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</si>
  <si>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</si>
  <si>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</si>
  <si>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</si>
  <si>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</si>
  <si>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</si>
  <si>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</si>
  <si>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</si>
  <si>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</si>
  <si>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</si>
  <si>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</si>
  <si>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</si>
  <si>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</si>
  <si>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</si>
  <si>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</si>
  <si>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</si>
  <si>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</si>
  <si>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</si>
  <si>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</si>
  <si>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</si>
  <si>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</si>
  <si>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</si>
  <si>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</si>
  <si>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</si>
  <si>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</si>
  <si>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</si>
  <si>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</si>
  <si>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</si>
  <si>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</si>
  <si>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</si>
  <si>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</si>
  <si>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</si>
  <si>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</si>
  <si>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</si>
  <si>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</si>
  <si>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</si>
  <si>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</si>
  <si>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</si>
  <si>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</si>
  <si>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</si>
  <si>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</si>
  <si>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</si>
  <si>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</si>
  <si>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</si>
  <si>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</si>
  <si>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</si>
  <si>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</si>
  <si>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</si>
  <si>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</si>
  <si>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</si>
  <si>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</si>
  <si>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</si>
  <si>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</si>
  <si>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</si>
  <si>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</si>
  <si>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</si>
  <si>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</si>
  <si>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</si>
  <si>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</si>
  <si>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</si>
  <si>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</si>
  <si>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</si>
  <si>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</si>
  <si>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</si>
  <si>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</si>
  <si>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</si>
  <si>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</si>
  <si>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</si>
  <si>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</si>
  <si>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</si>
  <si>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</si>
  <si>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</si>
  <si>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</si>
  <si>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</si>
  <si>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</si>
  <si>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</si>
  <si>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</si>
  <si>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</si>
  <si>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</si>
  <si>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</si>
  <si>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</si>
  <si>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</si>
  <si>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</si>
  <si>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</si>
  <si>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</si>
  <si>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</si>
  <si>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</si>
  <si>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</si>
  <si>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</si>
  <si>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</si>
  <si>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</si>
  <si>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</si>
  <si>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</si>
  <si>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</si>
  <si>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</si>
  <si>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</si>
  <si>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</si>
  <si>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</si>
  <si>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</si>
  <si>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</si>
  <si>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</si>
  <si>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</si>
  <si>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</si>
  <si>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</si>
  <si>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</si>
  <si>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</si>
  <si>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</si>
  <si>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</si>
  <si>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</si>
  <si>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</si>
  <si>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</si>
  <si>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</si>
  <si>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</si>
  <si>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</si>
  <si>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</si>
  <si>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</si>
  <si>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</si>
  <si>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</si>
  <si>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</si>
  <si>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</si>
  <si>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</si>
  <si>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</si>
  <si>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</si>
  <si>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</si>
  <si>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</si>
  <si>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</si>
  <si>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</si>
  <si>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</si>
  <si>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</si>
  <si>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</si>
  <si>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</si>
  <si>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</si>
  <si>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</si>
  <si>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</si>
  <si>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</si>
  <si>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</si>
  <si>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</si>
  <si>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</si>
  <si>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</si>
  <si>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</si>
  <si>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</si>
  <si>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</si>
  <si>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</si>
  <si>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</si>
  <si>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</si>
  <si>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</si>
  <si>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</si>
  <si>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</si>
  <si>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</si>
  <si>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</si>
  <si>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</si>
  <si>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</si>
  <si>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</si>
  <si>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</si>
  <si>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</si>
  <si>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</si>
  <si>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</si>
  <si>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</si>
  <si>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</si>
  <si>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</si>
  <si>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</si>
  <si>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</si>
  <si>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</si>
  <si>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</si>
  <si>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</si>
  <si>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</si>
  <si>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</si>
  <si>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</si>
  <si>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</si>
  <si>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</si>
  <si>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</si>
  <si>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</si>
  <si>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</si>
  <si>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</si>
  <si>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</si>
  <si>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</si>
  <si>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</si>
  <si>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</si>
  <si>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</si>
  <si>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</si>
  <si>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</si>
  <si>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</si>
  <si>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</si>
  <si>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</si>
  <si>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</si>
  <si>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</si>
  <si>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</si>
  <si>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</si>
  <si>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</si>
  <si>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</si>
  <si>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</si>
  <si>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</si>
  <si>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</si>
  <si>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</si>
  <si>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</si>
  <si>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</si>
  <si>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</si>
  <si>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</si>
  <si>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</si>
  <si>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</si>
  <si>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</si>
  <si>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</si>
  <si>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</si>
  <si>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</si>
  <si>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</si>
  <si>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</si>
  <si>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</si>
  <si>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</si>
  <si>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</si>
  <si>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</si>
  <si>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</si>
  <si>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</si>
  <si>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</si>
  <si>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</si>
  <si>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</si>
  <si>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</si>
  <si>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</si>
  <si>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</si>
  <si>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</si>
  <si>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</si>
  <si>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</si>
  <si>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</si>
  <si>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</si>
  <si>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</si>
  <si>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</si>
  <si>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</si>
  <si>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</si>
  <si>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</si>
  <si>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</si>
  <si>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</si>
  <si>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</si>
  <si>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</si>
  <si>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</si>
  <si>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</si>
  <si>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</si>
  <si>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</si>
  <si>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</si>
  <si>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</si>
  <si>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</si>
  <si>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</si>
  <si>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</si>
  <si>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</si>
  <si>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</si>
  <si>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</si>
  <si>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</si>
  <si>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</si>
  <si>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</si>
  <si>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</si>
  <si>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</si>
  <si>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</si>
  <si>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</si>
  <si>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</si>
  <si>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</si>
  <si>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</si>
  <si>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</si>
  <si>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</si>
  <si>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</si>
  <si>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</si>
  <si>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</si>
  <si>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</si>
  <si>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</si>
  <si>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</si>
  <si>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</si>
  <si>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</si>
  <si>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</si>
  <si>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</si>
  <si>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</si>
  <si>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</si>
  <si>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</si>
  <si>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</si>
  <si>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</si>
  <si>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</si>
  <si>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</si>
  <si>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</si>
  <si>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</si>
  <si>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</si>
  <si>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</si>
  <si>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</si>
  <si>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</si>
  <si>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</si>
  <si>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</si>
  <si>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</si>
  <si>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</si>
  <si>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</si>
  <si>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</si>
  <si>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</si>
  <si>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</si>
  <si>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</si>
  <si>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</si>
  <si>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</si>
  <si>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</si>
  <si>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</si>
  <si>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</si>
  <si>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</si>
  <si>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</si>
  <si>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</si>
  <si>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</si>
  <si>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</si>
  <si>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</si>
  <si>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</si>
  <si>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</si>
  <si>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</si>
  <si>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</si>
  <si>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</si>
  <si>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</si>
  <si>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</si>
  <si>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</si>
  <si>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</si>
  <si>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</si>
  <si>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</si>
  <si>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</si>
  <si>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</si>
  <si>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</si>
  <si>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</si>
  <si>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</si>
  <si>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</si>
  <si>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</si>
  <si>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</si>
  <si>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</si>
  <si>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</si>
  <si>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</si>
  <si>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</si>
  <si>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</si>
  <si>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</si>
  <si>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</si>
  <si>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</si>
  <si>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</si>
  <si>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</si>
  <si>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</si>
  <si>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</si>
  <si>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</si>
  <si>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</si>
  <si>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</si>
  <si>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</si>
  <si>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</si>
  <si>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</si>
  <si>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</si>
  <si>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</si>
  <si>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</si>
  <si>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</si>
  <si>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</si>
  <si>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</si>
  <si>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</si>
  <si>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</si>
  <si>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</si>
  <si>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</si>
  <si>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</si>
  <si>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</si>
  <si>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</si>
  <si>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</si>
  <si>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</si>
  <si>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</si>
  <si>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</si>
  <si>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</si>
  <si>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</si>
  <si>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</si>
  <si>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</si>
  <si>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</si>
  <si>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</si>
  <si>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</si>
  <si>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</si>
  <si>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</si>
  <si>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</si>
  <si>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</si>
  <si>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</si>
  <si>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</si>
  <si>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</si>
  <si>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</si>
  <si>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</si>
  <si>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</si>
  <si>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</si>
  <si>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</si>
  <si>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</si>
  <si>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</si>
  <si>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</si>
  <si>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</si>
  <si>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</si>
  <si>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</si>
  <si>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</si>
  <si>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</si>
  <si>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</si>
  <si>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</si>
  <si>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</si>
  <si>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</si>
  <si>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</si>
  <si>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</si>
  <si>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</si>
  <si>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</si>
  <si>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</si>
  <si>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</si>
  <si>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</si>
  <si>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</si>
  <si>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</si>
  <si>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</si>
  <si>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</si>
  <si>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</si>
  <si>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</si>
  <si>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</si>
  <si>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</si>
  <si>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</si>
  <si>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</si>
  <si>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</si>
  <si>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</si>
  <si>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</si>
  <si>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</si>
  <si>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</si>
  <si>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</si>
  <si>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</si>
  <si>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</si>
  <si>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</si>
  <si>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</si>
  <si>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</si>
  <si>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</si>
  <si>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</si>
  <si>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</si>
  <si>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</si>
  <si>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</si>
  <si>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</si>
  <si>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</si>
  <si>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</si>
  <si>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</si>
  <si>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</si>
  <si>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</si>
  <si>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</si>
  <si>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</si>
  <si>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</si>
  <si>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</si>
  <si>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</si>
  <si>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</si>
  <si>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</si>
  <si>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</si>
  <si>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</si>
  <si>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</si>
  <si>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</si>
  <si>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</si>
  <si>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</si>
  <si>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</si>
  <si>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</si>
  <si>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</si>
  <si>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</si>
  <si>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</si>
  <si>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</si>
  <si>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</si>
  <si>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</si>
  <si>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</si>
  <si>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</si>
  <si>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</si>
  <si>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</si>
  <si>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</si>
  <si>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</si>
  <si>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</si>
  <si>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</si>
  <si>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</si>
  <si>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</si>
  <si>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</si>
  <si>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</si>
  <si>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</si>
  <si>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</si>
  <si>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</si>
  <si>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</si>
  <si>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</si>
  <si>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</si>
  <si>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</si>
  <si>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</si>
  <si>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</si>
  <si>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</si>
  <si>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</si>
  <si>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</si>
  <si>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</si>
  <si>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</si>
  <si>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</si>
  <si>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</si>
  <si>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</si>
  <si>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</si>
  <si>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</si>
  <si>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</si>
  <si>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</si>
  <si>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</si>
  <si>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</si>
  <si>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</si>
  <si>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</si>
  <si>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</si>
  <si>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</si>
  <si>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</si>
  <si>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</si>
  <si>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</si>
  <si>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</si>
  <si>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</si>
  <si>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</si>
  <si>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</si>
  <si>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</si>
  <si>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</si>
  <si>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</si>
  <si>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</si>
  <si>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</si>
  <si>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</si>
  <si>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</si>
  <si>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</si>
  <si>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</si>
  <si>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</si>
  <si>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</si>
  <si>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</si>
  <si>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</si>
  <si>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</si>
  <si>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</si>
  <si>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</si>
  <si>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</si>
  <si>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</si>
  <si>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</si>
  <si>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</si>
  <si>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</si>
  <si>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</si>
  <si>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</si>
  <si>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</si>
  <si>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</si>
  <si>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</si>
  <si>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</si>
  <si>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</si>
  <si>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</si>
  <si>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</si>
  <si>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</si>
  <si>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</si>
  <si>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</si>
  <si>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</si>
  <si>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</si>
  <si>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</si>
  <si>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</si>
  <si>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</si>
  <si>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</si>
  <si>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</si>
  <si>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</si>
  <si>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</si>
  <si>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</si>
  <si>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</si>
  <si>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</si>
  <si>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</si>
  <si>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</si>
  <si>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</si>
  <si>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</si>
  <si>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</si>
  <si>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</si>
  <si>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</si>
  <si>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</si>
  <si>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</si>
  <si>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</si>
  <si>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</si>
  <si>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</si>
  <si>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</si>
  <si>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</si>
  <si>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</si>
  <si>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</si>
  <si>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</si>
  <si>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</si>
  <si>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</si>
  <si>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</si>
  <si>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</si>
  <si>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</si>
  <si>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</si>
  <si>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</si>
  <si>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</si>
  <si>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</si>
  <si>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</si>
  <si>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</si>
  <si>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</si>
  <si>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</si>
  <si>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</si>
  <si>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</si>
  <si>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</si>
  <si>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</si>
  <si>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</si>
  <si>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</si>
  <si>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</si>
  <si>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</si>
  <si>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</si>
  <si>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</si>
  <si>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</si>
  <si>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</si>
  <si>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</si>
  <si>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</si>
  <si>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</si>
  <si>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</si>
  <si>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</si>
  <si>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</si>
  <si>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</si>
  <si>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</si>
  <si>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</si>
  <si>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</si>
  <si>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</si>
  <si>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</si>
  <si>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</si>
  <si>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</si>
  <si>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</si>
  <si>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</si>
  <si>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</si>
  <si>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</si>
  <si>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</si>
  <si>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</si>
  <si>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</si>
  <si>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</si>
  <si>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</si>
  <si>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</si>
  <si>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</si>
  <si>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</si>
  <si>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</si>
  <si>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</si>
  <si>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</si>
  <si>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</si>
  <si>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</si>
  <si>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</si>
  <si>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</si>
  <si>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</si>
  <si>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</si>
  <si>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</si>
  <si>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</si>
  <si>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</si>
  <si>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</si>
  <si>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</si>
  <si>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</si>
  <si>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</si>
  <si>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</si>
  <si>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</si>
  <si>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</si>
  <si>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</si>
  <si>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</si>
  <si>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</si>
  <si>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</si>
  <si>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</si>
  <si>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</si>
  <si>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</si>
  <si>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</si>
  <si>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</si>
  <si>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</si>
  <si>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</si>
  <si>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</si>
  <si>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</si>
  <si>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</si>
  <si>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</si>
  <si>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</si>
  <si>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</si>
  <si>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</si>
  <si>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</si>
  <si>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</si>
  <si>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</si>
  <si>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</si>
  <si>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</si>
  <si>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</si>
  <si>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</si>
  <si>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</si>
  <si>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</si>
  <si>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</si>
  <si>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</si>
  <si>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</si>
  <si>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</si>
  <si>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</si>
  <si>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</si>
  <si>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</si>
  <si>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</si>
  <si>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</si>
  <si>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</si>
  <si>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</si>
  <si>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</si>
  <si>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</si>
  <si>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</si>
  <si>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</si>
  <si>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</si>
  <si>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</si>
  <si>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</si>
  <si>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</si>
  <si>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</si>
  <si>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</si>
  <si>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</si>
  <si>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</si>
  <si>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</si>
  <si>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</si>
  <si>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</si>
  <si>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</si>
  <si>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</si>
  <si>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</si>
  <si>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</si>
  <si>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</si>
  <si>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</si>
  <si>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</si>
  <si>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</si>
  <si>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</si>
  <si>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</si>
  <si>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</si>
  <si>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</si>
  <si>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</si>
  <si>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</si>
  <si>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</si>
  <si>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</si>
  <si>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</si>
  <si>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</si>
  <si>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</si>
  <si>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</si>
  <si>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</si>
  <si>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</si>
  <si>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</si>
  <si>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</si>
  <si>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</si>
  <si>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</si>
  <si>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</si>
  <si>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</si>
  <si>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</si>
  <si>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</si>
  <si>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</si>
  <si>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</si>
  <si>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</si>
  <si>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</si>
  <si>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</si>
  <si>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</si>
  <si>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</si>
  <si>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</si>
  <si>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</si>
  <si>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</si>
  <si>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</si>
  <si>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</si>
  <si>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</si>
  <si>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</si>
  <si>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</si>
  <si>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</si>
  <si>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</si>
  <si>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</si>
  <si>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</si>
  <si>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</si>
  <si>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</si>
  <si>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</si>
  <si>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</si>
  <si>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</si>
  <si>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</si>
  <si>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</si>
  <si>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</si>
  <si>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</si>
  <si>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</si>
  <si>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</si>
  <si>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</si>
  <si>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</si>
  <si>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</si>
  <si>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</si>
  <si>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</si>
  <si>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</si>
  <si>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</si>
  <si>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</si>
  <si>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</si>
  <si>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</si>
  <si>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</si>
  <si>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</si>
  <si>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</si>
  <si>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</si>
  <si>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</si>
  <si>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</si>
  <si>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</si>
  <si>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</si>
  <si>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</si>
  <si>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</si>
  <si>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</si>
  <si>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</si>
  <si>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</si>
  <si>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</si>
  <si>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</si>
  <si>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</si>
  <si>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</si>
  <si>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</si>
  <si>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</si>
  <si>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</si>
  <si>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</si>
  <si>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</si>
  <si>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</si>
  <si>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</si>
  <si>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</si>
  <si>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</si>
  <si>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</si>
  <si>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</si>
  <si>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</si>
  <si>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</si>
  <si>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</si>
  <si>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</si>
  <si>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</si>
  <si>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</si>
  <si>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</si>
  <si>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</si>
  <si>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</si>
  <si>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</si>
  <si>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</si>
  <si>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</si>
  <si>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</si>
  <si>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</si>
  <si>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</si>
  <si>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</si>
  <si>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</si>
  <si>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</si>
  <si>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</si>
  <si>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</si>
  <si>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</si>
  <si>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</si>
  <si>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</si>
  <si>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</si>
  <si>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</si>
  <si>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</si>
  <si>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</si>
  <si>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</si>
  <si>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</si>
  <si>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</si>
  <si>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</si>
  <si>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</si>
  <si>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</si>
  <si>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</si>
  <si>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</si>
  <si>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</si>
  <si>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</si>
  <si>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</si>
  <si>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</si>
  <si>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</si>
  <si>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</si>
  <si>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</si>
  <si>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</si>
  <si>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</si>
  <si>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</si>
  <si>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</si>
  <si>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</si>
  <si>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</si>
  <si>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</si>
  <si>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</si>
  <si>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</si>
  <si>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</si>
  <si>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</si>
  <si>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</si>
  <si>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</si>
  <si>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</si>
  <si>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</si>
  <si>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</si>
  <si>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</si>
  <si>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</si>
  <si>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</si>
  <si>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</si>
  <si>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</si>
  <si>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</si>
  <si>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</si>
  <si>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</si>
  <si>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</si>
  <si>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</si>
  <si>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</si>
  <si>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</si>
  <si>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</si>
  <si>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</si>
  <si>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</si>
  <si>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</si>
  <si>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</si>
  <si>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</si>
  <si>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</si>
  <si>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</si>
  <si>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</si>
  <si>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</si>
  <si>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</si>
  <si>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</si>
  <si>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</si>
  <si>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</si>
  <si>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</si>
  <si>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</si>
  <si>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</si>
  <si>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</si>
  <si>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</si>
  <si>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</si>
  <si>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</si>
  <si>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</si>
  <si>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</si>
  <si>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</si>
  <si>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</si>
  <si>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</si>
  <si>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</si>
  <si>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</si>
  <si>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</si>
  <si>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</si>
  <si>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</si>
  <si>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</si>
  <si>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</si>
  <si>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</si>
  <si>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</si>
  <si>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</si>
  <si>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</si>
  <si>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</si>
  <si>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</si>
  <si>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</si>
  <si>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</si>
  <si>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</si>
  <si>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</si>
  <si>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</si>
  <si>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</si>
  <si>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</si>
  <si>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</si>
  <si>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</si>
  <si>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</si>
  <si>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</si>
  <si>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</si>
  <si>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</si>
  <si>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</si>
  <si>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</si>
  <si>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</si>
  <si>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</si>
  <si>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</si>
  <si>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</si>
  <si>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</si>
  <si>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</si>
  <si>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</si>
  <si>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</si>
  <si>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</si>
  <si>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</si>
  <si>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</si>
  <si>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</si>
  <si>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</si>
  <si>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</si>
  <si>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</si>
  <si>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</si>
  <si>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</si>
  <si>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</si>
  <si>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</si>
  <si>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</si>
  <si>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</si>
  <si>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</si>
  <si>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</si>
  <si>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</si>
  <si>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</si>
  <si>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</si>
  <si>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</si>
  <si>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</si>
  <si>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</si>
  <si>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</si>
  <si>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</si>
  <si>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</si>
  <si>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</si>
  <si>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</si>
  <si>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</si>
  <si>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</si>
  <si>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</si>
  <si>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</si>
  <si>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</si>
  <si>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</si>
  <si>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</si>
  <si>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</si>
  <si>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</si>
  <si>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</si>
  <si>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</si>
  <si>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</si>
  <si>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</si>
  <si>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</si>
  <si>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</si>
  <si>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</si>
  <si>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</si>
  <si>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</si>
  <si>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</si>
  <si>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</si>
  <si>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</si>
  <si>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</si>
  <si>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</si>
  <si>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</si>
  <si>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</si>
  <si>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</si>
  <si>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</si>
  <si>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</si>
  <si>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</si>
  <si>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</si>
  <si>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</si>
  <si>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</si>
  <si>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</si>
  <si>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</si>
  <si>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</si>
  <si>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</si>
  <si>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</si>
  <si>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</si>
  <si>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</si>
  <si>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</si>
  <si>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</si>
  <si>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</si>
  <si>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</si>
  <si>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</si>
  <si>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</si>
  <si>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</si>
  <si>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</si>
  <si>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</si>
  <si>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</si>
  <si>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</si>
  <si>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</si>
  <si>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</si>
  <si>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</si>
  <si>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</si>
  <si>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</si>
  <si>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</si>
  <si>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</si>
  <si>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</si>
  <si>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</si>
  <si>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</si>
  <si>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</si>
  <si>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</si>
  <si>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</si>
  <si>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</si>
  <si>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</si>
  <si>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</si>
  <si>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</si>
  <si>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</si>
  <si>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</si>
  <si>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</si>
  <si>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</si>
  <si>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</si>
  <si>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</si>
  <si>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</si>
  <si>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</si>
  <si>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</si>
  <si>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</si>
  <si>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</si>
  <si>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</si>
  <si>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</si>
  <si>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</si>
  <si>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</si>
  <si>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</si>
  <si>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</si>
  <si>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</si>
  <si>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</si>
  <si>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</si>
  <si>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</si>
  <si>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</si>
  <si>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</si>
  <si>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</si>
  <si>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</si>
  <si>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</si>
  <si>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</si>
  <si>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</si>
  <si>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</si>
  <si>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</si>
  <si>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</si>
  <si>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</si>
  <si>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</si>
  <si>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</si>
  <si>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</si>
  <si>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</si>
  <si>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</si>
  <si>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</si>
  <si>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</si>
  <si>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</si>
  <si>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</si>
  <si>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</si>
  <si>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</si>
  <si>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</si>
  <si>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</si>
  <si>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</si>
  <si>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</si>
  <si>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</si>
  <si>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</si>
  <si>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</si>
  <si>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</si>
  <si>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</si>
  <si>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</si>
  <si>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</si>
  <si>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</si>
  <si>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</si>
  <si>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</si>
  <si>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</si>
  <si>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</si>
  <si>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</si>
  <si>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</si>
  <si>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</si>
  <si>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</si>
  <si>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</si>
  <si>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</si>
  <si>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</si>
  <si>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</si>
  <si>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</si>
  <si>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</si>
  <si>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</si>
  <si>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</si>
  <si>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</si>
  <si>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</si>
  <si>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</si>
  <si>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</si>
  <si>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</si>
  <si>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</si>
  <si>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</si>
  <si>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</si>
  <si>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</si>
  <si>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</si>
  <si>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</si>
  <si>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</si>
  <si>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</si>
  <si>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</si>
  <si>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</si>
  <si>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</si>
  <si>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</si>
  <si>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</si>
  <si>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</si>
  <si>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</si>
  <si>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</si>
  <si>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</si>
  <si>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</si>
  <si>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</si>
  <si>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</si>
  <si>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</si>
  <si>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</si>
  <si>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</si>
  <si>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</si>
  <si>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</si>
  <si>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</si>
  <si>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</si>
  <si>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</si>
  <si>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</si>
  <si>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</si>
  <si>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</si>
  <si>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</si>
  <si>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</si>
  <si>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</si>
  <si>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</si>
  <si>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</si>
  <si>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</si>
  <si>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</si>
  <si>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</si>
  <si>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</si>
  <si>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</si>
  <si>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</si>
  <si>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</si>
  <si>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</si>
  <si>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</si>
  <si>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</si>
  <si>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</si>
  <si>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</si>
  <si>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</si>
  <si>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</si>
  <si>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</si>
  <si>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</si>
  <si>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</si>
  <si>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</si>
  <si>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</si>
  <si>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</si>
  <si>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</si>
  <si>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</si>
  <si>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</si>
  <si>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</si>
  <si>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</si>
  <si>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</si>
  <si>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</si>
  <si>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</si>
  <si>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</si>
  <si>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</si>
  <si>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</si>
  <si>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</si>
  <si>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</si>
  <si>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</si>
  <si>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</si>
  <si>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</si>
  <si>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</si>
  <si>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</si>
  <si>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</si>
  <si>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</si>
  <si>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</si>
  <si>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</si>
  <si>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</si>
  <si>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</si>
  <si>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</si>
  <si>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</si>
  <si>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</si>
  <si>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</si>
  <si>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</si>
  <si>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</si>
  <si>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</si>
  <si>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</si>
  <si>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</si>
  <si>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</si>
  <si>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</si>
  <si>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</si>
  <si>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</si>
  <si>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</si>
  <si>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</si>
  <si>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</si>
  <si>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</si>
  <si>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</si>
  <si>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</si>
  <si>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</si>
  <si>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</si>
  <si>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</si>
  <si>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</si>
  <si>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</si>
  <si>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</si>
  <si>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</si>
  <si>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</si>
  <si>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</si>
  <si>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</si>
  <si>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</si>
  <si>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</si>
  <si>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</si>
  <si>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</si>
  <si>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</si>
  <si>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</si>
  <si>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</si>
  <si>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</si>
  <si>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</si>
  <si>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</si>
  <si>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</si>
  <si>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</si>
  <si>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</si>
  <si>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</si>
  <si>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</si>
  <si>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</si>
  <si>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</si>
  <si>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</si>
  <si>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</si>
  <si>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</si>
  <si>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</si>
  <si>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</si>
  <si>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</si>
  <si>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</si>
  <si>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</si>
  <si>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</si>
  <si>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</si>
  <si>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</si>
  <si>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</si>
  <si>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</si>
  <si>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</si>
  <si>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</si>
  <si>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</si>
  <si>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</si>
  <si>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</si>
  <si>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</si>
  <si>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</si>
  <si>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</si>
  <si>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</si>
  <si>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</si>
  <si>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</si>
  <si>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</si>
  <si>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</si>
  <si>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</si>
  <si>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</si>
  <si>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</si>
  <si>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</si>
  <si>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</si>
  <si>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</si>
  <si>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</si>
  <si>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</si>
  <si>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</si>
  <si>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</si>
  <si>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</si>
  <si>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</si>
  <si>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</si>
  <si>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</si>
  <si>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</si>
  <si>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</si>
  <si>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</si>
  <si>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</si>
  <si>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</si>
  <si>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</si>
  <si>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</si>
  <si>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</si>
  <si>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</si>
  <si>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</si>
  <si>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</si>
  <si>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</si>
  <si>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</si>
  <si>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</si>
  <si>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</si>
  <si>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</si>
  <si>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</si>
  <si>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</si>
  <si>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</si>
  <si>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</si>
  <si>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</si>
  <si>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</si>
  <si>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</si>
  <si>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</si>
  <si>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</si>
  <si>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</si>
  <si>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</si>
  <si>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</si>
  <si>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</si>
  <si>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</si>
  <si>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</si>
  <si>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</si>
  <si>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</si>
  <si>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</si>
  <si>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</si>
  <si>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</si>
  <si>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</si>
  <si>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</si>
  <si>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</si>
  <si>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</si>
  <si>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</si>
  <si>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</si>
  <si>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</si>
  <si>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</si>
  <si>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</si>
  <si>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</si>
  <si>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</si>
  <si>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</si>
  <si>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</si>
  <si>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</si>
  <si>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</si>
  <si>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</si>
  <si>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</si>
  <si>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</si>
  <si>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</si>
  <si>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</si>
  <si>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</si>
  <si>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</si>
  <si>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</si>
  <si>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</si>
  <si>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</si>
  <si>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</si>
  <si>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</si>
  <si>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</si>
  <si>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</si>
  <si>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</si>
  <si>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</si>
  <si>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</si>
  <si>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</si>
  <si>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</si>
  <si>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</si>
  <si>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</si>
  <si>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</si>
  <si>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</si>
  <si>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</si>
  <si>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</si>
  <si>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</si>
  <si>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</si>
  <si>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</si>
  <si>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</si>
  <si>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</si>
  <si>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</si>
  <si>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</si>
  <si>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</si>
  <si>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</si>
  <si>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</si>
  <si>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</si>
  <si>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</si>
  <si>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</si>
  <si>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</si>
  <si>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</si>
  <si>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</si>
  <si>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</si>
  <si>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</si>
  <si>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</si>
  <si>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</si>
  <si>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</si>
  <si>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</si>
  <si>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</si>
  <si>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</si>
  <si>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</si>
  <si>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</si>
  <si>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</si>
  <si>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</si>
  <si>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</si>
  <si>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</si>
  <si>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</si>
  <si>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</si>
  <si>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</si>
  <si>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</si>
  <si>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</si>
  <si>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</si>
  <si>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</si>
  <si>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</si>
  <si>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</si>
  <si>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</si>
  <si>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</si>
  <si>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</si>
  <si>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</si>
  <si>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</si>
  <si>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</si>
  <si>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</si>
  <si>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</si>
  <si>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</si>
  <si>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</si>
  <si>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</si>
  <si>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</si>
  <si>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</si>
  <si>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</si>
  <si>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</si>
  <si>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</si>
  <si>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</si>
  <si>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</si>
  <si>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</si>
  <si>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</si>
  <si>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</si>
  <si>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</si>
  <si>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</si>
  <si>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</si>
  <si>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</si>
  <si>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</si>
  <si>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</si>
  <si>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</si>
  <si>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</si>
  <si>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</si>
  <si>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</si>
  <si>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</si>
  <si>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</si>
  <si>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</si>
  <si>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</si>
  <si>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</si>
  <si>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</si>
  <si>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</si>
  <si>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</si>
  <si>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</si>
  <si>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</si>
  <si>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</si>
  <si>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</si>
  <si>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</si>
  <si>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</si>
  <si>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</si>
  <si>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</si>
  <si>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</si>
  <si>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</si>
  <si>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</si>
  <si>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</si>
  <si>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</si>
  <si>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</si>
  <si>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</si>
  <si>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</si>
  <si>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</si>
  <si>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</si>
  <si>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</si>
  <si>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</si>
  <si>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</si>
  <si>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</si>
  <si>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</si>
  <si>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</si>
  <si>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</si>
  <si>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</si>
  <si>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</si>
  <si>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</si>
  <si>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</si>
  <si>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</si>
  <si>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</si>
  <si>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</si>
  <si>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</si>
  <si>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</si>
  <si>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</si>
  <si>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</si>
  <si>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</si>
  <si>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</si>
  <si>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</si>
  <si>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</si>
  <si>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</si>
  <si>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</si>
  <si>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</si>
  <si>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</si>
  <si>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</si>
  <si>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</si>
  <si>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</si>
  <si>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</si>
  <si>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</si>
  <si>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</si>
  <si>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</si>
  <si>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</si>
  <si>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</si>
  <si>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</si>
  <si>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</si>
  <si>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</si>
  <si>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</si>
  <si>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</si>
  <si>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</si>
  <si>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</si>
  <si>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</si>
  <si>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</si>
  <si>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</si>
  <si>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</si>
  <si>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</si>
  <si>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</si>
  <si>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</si>
  <si>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</si>
  <si>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</si>
  <si>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</si>
  <si>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</si>
  <si>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</si>
  <si>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</si>
  <si>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</si>
  <si>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</si>
  <si>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</si>
  <si>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</si>
  <si>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</si>
  <si>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</si>
  <si>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</si>
  <si>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</si>
  <si>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</si>
  <si>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</si>
  <si>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</si>
  <si>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</si>
  <si>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</si>
  <si>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</si>
  <si>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</si>
  <si>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</si>
  <si>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</si>
  <si>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</si>
  <si>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f</t>
    <phoneticPr fontId="9" type="noConversion"/>
  </si>
  <si>
    <t>q</t>
    <phoneticPr fontId="9" type="noConversion"/>
  </si>
  <si>
    <t>r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</si>
  <si>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</si>
  <si>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</si>
  <si>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</si>
  <si>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=</t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</si>
  <si>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</si>
  <si>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</si>
  <si>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</si>
  <si>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</si>
  <si>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</si>
  <si>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</si>
  <si>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</si>
  <si>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</si>
  <si>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</si>
  <si>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</si>
  <si>
    <t>ˋ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</si>
</sst>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41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28"/>
      <color rgb="FF000000"/>
      <name val="新細明體"/>
      <family val="1"/>
      <scheme val="minor"/>
    </font>
    <font>
      <sz val="36"/>
      <color rgb="FF000000"/>
      <name val="JetBrainsMonoNL NF Medium"/>
      <family val="3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47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0" borderId="16" xfId="1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 vertical="center"/>
    </xf>
    <xf numFmtId="0" fontId="223" fillId="30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2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5" fillId="28" borderId="28" xfId="4" applyFont="1" applyFill="1" applyBorder="1" applyAlignment="1">
      <alignment horizontal="center" vertical="center"/>
    </xf>
    <xf numFmtId="0" fontId="131" fillId="4" borderId="13" xfId="0" applyFont="1" applyFill="1" applyBorder="1" applyAlignment="1">
      <alignment horizontal="center" vertical="center"/>
    </xf>
    <xf numFmtId="0" fontId="180" fillId="4" borderId="13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45" fillId="4" borderId="13" xfId="0" applyFont="1" applyFill="1" applyBorder="1" applyAlignment="1">
      <alignment horizontal="center" vertical="center"/>
    </xf>
    <xf numFmtId="0" fontId="164" fillId="5" borderId="13" xfId="0" applyFont="1" applyFill="1" applyBorder="1" applyAlignment="1">
      <alignment horizontal="center" vertical="center"/>
    </xf>
    <xf numFmtId="0" fontId="156" fillId="4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6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7" fillId="0" borderId="0" xfId="0" applyFont="1"/>
    <xf numFmtId="0" fontId="222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9" fillId="19" borderId="0" xfId="2" applyFont="1" applyFill="1" applyAlignment="1">
      <alignment vertical="center"/>
    </xf>
    <xf numFmtId="0" fontId="229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1" fillId="0" borderId="0" xfId="0" applyFont="1" applyAlignment="1">
      <alignment horizontal="center" vertical="center"/>
    </xf>
    <xf numFmtId="0" fontId="231" fillId="0" borderId="0" xfId="0" quotePrefix="1" applyFont="1" applyAlignment="1">
      <alignment horizontal="center" vertical="center"/>
    </xf>
    <xf numFmtId="0" fontId="231" fillId="0" borderId="16" xfId="0" applyFont="1" applyBorder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30" fillId="34" borderId="16" xfId="0" applyFont="1" applyFill="1" applyBorder="1" applyAlignment="1">
      <alignment horizontal="center" vertical="center"/>
    </xf>
    <xf numFmtId="0" fontId="231" fillId="0" borderId="0" xfId="0" applyFont="1" applyAlignment="1">
      <alignment horizontal="left" vertical="center"/>
    </xf>
    <xf numFmtId="0" fontId="232" fillId="0" borderId="16" xfId="2" applyFont="1" applyBorder="1" applyAlignment="1">
      <alignment horizontal="center" vertical="center"/>
    </xf>
    <xf numFmtId="0" fontId="232" fillId="35" borderId="16" xfId="2" applyFont="1" applyFill="1" applyBorder="1" applyAlignment="1">
      <alignment horizontal="center" vertical="center"/>
    </xf>
    <xf numFmtId="0" fontId="67" fillId="0" borderId="16" xfId="2" applyFont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232" fillId="0" borderId="0" xfId="2" applyFont="1" applyAlignment="1">
      <alignment horizontal="center" vertical="center"/>
    </xf>
    <xf numFmtId="0" fontId="224" fillId="25" borderId="0" xfId="2" applyFont="1" applyFill="1" applyAlignment="1">
      <alignment horizontal="center" vertical="center"/>
    </xf>
    <xf numFmtId="0" fontId="223" fillId="36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2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33" fillId="0" borderId="0" xfId="2" applyFont="1"/>
    <xf numFmtId="0" fontId="233" fillId="0" borderId="0" xfId="2" applyFont="1" applyAlignment="1">
      <alignment horizontal="left" vertical="center"/>
    </xf>
    <xf numFmtId="0" fontId="233" fillId="0" borderId="0" xfId="2" applyFont="1" applyAlignment="1">
      <alignment horizontal="center" vertical="center"/>
    </xf>
    <xf numFmtId="0" fontId="234" fillId="0" borderId="0" xfId="1" applyFont="1" applyAlignment="1">
      <alignment horizontal="center" vertical="center"/>
    </xf>
    <xf numFmtId="0" fontId="234" fillId="0" borderId="0" xfId="1" applyFont="1" applyAlignment="1">
      <alignment horizontal="left" vertical="center"/>
    </xf>
    <xf numFmtId="0" fontId="235" fillId="18" borderId="12" xfId="0" applyFont="1" applyFill="1" applyBorder="1" applyAlignment="1">
      <alignment horizontal="center" vertical="center"/>
    </xf>
    <xf numFmtId="0" fontId="236" fillId="7" borderId="13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center" vertical="center"/>
    </xf>
    <xf numFmtId="0" fontId="236" fillId="18" borderId="12" xfId="0" applyFont="1" applyFill="1" applyBorder="1" applyAlignment="1">
      <alignment horizontal="center" vertical="center"/>
    </xf>
    <xf numFmtId="0" fontId="236" fillId="5" borderId="13" xfId="0" applyFont="1" applyFill="1" applyBorder="1" applyAlignment="1">
      <alignment horizontal="left" vertical="center" indent="3"/>
    </xf>
    <xf numFmtId="0" fontId="236" fillId="5" borderId="13" xfId="0" applyFont="1" applyFill="1" applyBorder="1" applyAlignment="1">
      <alignment horizontal="center" vertical="center"/>
    </xf>
    <xf numFmtId="0" fontId="236" fillId="5" borderId="14" xfId="0" applyFont="1" applyFill="1" applyBorder="1" applyAlignment="1">
      <alignment horizontal="left" vertical="center" indent="3"/>
    </xf>
    <xf numFmtId="0" fontId="237" fillId="18" borderId="16" xfId="2" applyFont="1" applyFill="1" applyBorder="1" applyAlignment="1">
      <alignment horizontal="center" vertical="center"/>
    </xf>
    <xf numFmtId="0" fontId="238" fillId="18" borderId="16" xfId="2" applyFont="1" applyFill="1" applyBorder="1" applyAlignment="1">
      <alignment horizontal="center" vertical="center"/>
    </xf>
    <xf numFmtId="0" fontId="236" fillId="7" borderId="16" xfId="4" applyFont="1" applyFill="1" applyBorder="1" applyAlignment="1">
      <alignment horizontal="center" vertical="center"/>
    </xf>
    <xf numFmtId="0" fontId="239" fillId="0" borderId="0" xfId="0" applyFont="1"/>
    <xf numFmtId="0" fontId="240" fillId="0" borderId="0" xfId="2" applyFont="1" applyAlignment="1">
      <alignment vertical="center"/>
    </xf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08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07" dataDxfId="105" headerRowBorderDxfId="106" tableBorderDxfId="104" headerRowCellStyle="一般 2" dataCellStyle="一般 2">
  <tableColumns count="9">
    <tableColumn id="1" xr3:uid="{423B74D9-3D3F-4B2B-8D68-A4E9171D5CB7}" name="序號" dataDxfId="103" dataCellStyle="一般 2"/>
    <tableColumn id="2" xr3:uid="{396D49D7-AA99-4DEA-9619-65E7FD5D39AB}" name="鍵盤按鍵" dataDxfId="102" dataCellStyle="一般 2"/>
    <tableColumn id="4" xr3:uid="{235A3757-E71F-4A17-A84D-41CE930C6F69}" name="方音符號" dataDxfId="101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0" dataCellStyle="一般 2"/>
    <tableColumn id="6" xr3:uid="{43C98D01-F75F-4F2F-A863-AE225770CCD0}" name="台語音標" dataDxfId="99" dataCellStyle="一般 2"/>
    <tableColumn id="5" xr3:uid="{FD87CD5D-A668-47A2-81A3-7C73ADB50A00}" name="注音二式" dataDxfId="98" dataCellStyle="一般 2"/>
    <tableColumn id="9" xr3:uid="{740AB951-BE37-47AA-A7ED-9C808A3139CE}" name="閩拼方案" dataDxfId="97" dataCellStyle="一般 2"/>
    <tableColumn id="7" xr3:uid="{F1056CD8-A3DD-470F-BA01-3A47106881E2}" name="聲韻調" dataDxfId="96" dataCellStyle="一般 2"/>
    <tableColumn id="8" xr3:uid="{283E1CF3-6561-41D8-B4DF-0A3C621707B0}" name="附註" dataDxfId="95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4" tableBorderDxfId="93">
  <autoFilter ref="B2:J62" xr:uid="{779076CF-6DEF-4E4E-89FE-E37B7352A3DC}"/>
  <tableColumns count="9">
    <tableColumn id="1" xr3:uid="{54A56422-F653-4F43-A4BC-B7E408DB967F}" name="序號" dataDxfId="92">
      <calculatedColumnFormula>ROW() - 2</calculatedColumnFormula>
    </tableColumn>
    <tableColumn id="2" xr3:uid="{5A5D3F24-31DF-4DA1-90A3-3528AC1BB140}" name="鍵盤按鍵" dataDxfId="91" dataCellStyle="一般 4"/>
    <tableColumn id="4" xr3:uid="{7697EFEF-572C-4518-9C44-021ED2D17180}" name="方音符號" dataDxfId="90"/>
    <tableColumn id="3" xr3:uid="{141DBB4F-3B84-415F-90EB-264F04B73BB3}" name="字典編碼" dataDxfId="89"/>
    <tableColumn id="7" xr3:uid="{68891DDC-3F35-4319-9039-E9F7A8C68D7E}" name="國際音標" dataDxfId="88"/>
    <tableColumn id="5" xr3:uid="{8BB33926-9000-49E8-BA4C-48F0AB9CE640}" name="聲韻調" dataDxfId="87">
      <calculatedColumnFormula array="1">IFERROR( INDEX(鍵盤設計表[聲韻調], MATCH(TRUE, EXACT(注音編碼對照表[[#This Row],[方音符號]], 鍵盤設計表[方音符號]),0)), "")</calculatedColumnFormula>
    </tableColumn>
    <tableColumn id="6" xr3:uid="{DA2F3FE8-33AD-4080-8A02-15751E5C76A4}" name="台語音標" dataDxfId="86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85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84">
      <calculatedColumnFormula array="1">IFERROR( INDEX(鍵盤設計表[閩拼方案],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83" tableBorderDxfId="82">
  <autoFilter ref="B2:I59" xr:uid="{779076CF-6DEF-4E4E-89FE-E37B7352A3DC}"/>
  <tableColumns count="8">
    <tableColumn id="1" xr3:uid="{7ED75D5E-652B-4A3F-A63F-E28CD639A2D8}" name="序號" dataDxfId="81">
      <calculatedColumnFormula>ROW() - 2</calculatedColumnFormula>
    </tableColumn>
    <tableColumn id="4" xr3:uid="{529434D2-88AB-4124-93AE-208E9AF52CB4}" name="方音符號" dataDxfId="80"/>
    <tableColumn id="7" xr3:uid="{F4C14CB4-A82C-41D9-AF30-BE553CA46FA3}" name="國際音標" dataDxfId="79"/>
    <tableColumn id="5" xr3:uid="{D8D8222D-C8AE-4DF4-A34E-931893A344C9}" name="聲韻調" dataDxfId="78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77"/>
    <tableColumn id="10" xr3:uid="{DA350350-8F6D-4C8C-83BA-6A539A0C0C5C}" name="注音二式" dataDxfId="76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75">
      <calculatedColumnFormula xml:space="preserve"> IFERROR( INDEX(#REF!, MATCH($AC3,#REF!, 0)), "")</calculatedColumnFormula>
    </tableColumn>
    <tableColumn id="2" xr3:uid="{A7CD0E37-FA88-4B7F-9344-02DCFD03CA57}" name="鍵盤按鍵" dataDxfId="74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73" dataDxfId="71" headerRowBorderDxfId="72" tableBorderDxfId="70" totalsRowBorderDxfId="69">
  <autoFilter ref="B98:H104" xr:uid="{6A40958B-9384-4E59-AE7A-3C944257DC11}"/>
  <tableColumns count="7">
    <tableColumn id="1" xr3:uid="{8F368751-5DB2-45B7-AEA8-1EA789D18D9E}" name="發音部位" dataDxfId="68"/>
    <tableColumn id="2" xr3:uid="{565C2DE6-6770-43E6-8E08-95DB3D74F449}" name="塞音_x000a_(不送氣)" dataDxfId="67"/>
    <tableColumn id="3" xr3:uid="{C60AB197-3C88-4553-AC8F-FA44CBAED771}" name="塞音_x000a_(送氣)" dataDxfId="66"/>
    <tableColumn id="4" xr3:uid="{D3AC809B-436F-4540-B125-7D7963B95663}" name="濁音" dataDxfId="65"/>
    <tableColumn id="5" xr3:uid="{E45EF470-ADED-4F00-ADA7-0F1E5230D10E}" name="鼻音" dataDxfId="64"/>
    <tableColumn id="6" xr3:uid="{67CD2B7D-B586-43C6-A726-BDF60FE9AE6C}" name="擦音" dataDxfId="63"/>
    <tableColumn id="7" xr3:uid="{0BF3A333-A1A0-4499-BCC9-FE62942F95E5}" name="邊音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61">
  <autoFilter ref="C4:G56" xr:uid="{CBD99B6E-1695-45CA-A35A-919D424705A0}"/>
  <tableColumns count="5">
    <tableColumn id="1" xr3:uid="{23C441A4-A9BF-4AF3-9A00-C54EFA849863}" name="按鍵字元" dataDxfId="60"/>
    <tableColumn id="2" xr3:uid="{BF68382C-29B0-42B3-B1E7-6BBFB43FDBF8}" name="注音符號" dataDxfId="59"/>
    <tableColumn id="3" xr3:uid="{53638260-1BF6-4965-A4AE-956982740802}" name="方音符號" dataDxfId="58"/>
    <tableColumn id="4" xr3:uid="{DCF6B5DB-F2BF-4A75-8F81-445A20F5EFEC}" name="音標編碼" dataDxfId="57"/>
    <tableColumn id="5" xr3:uid="{138EEA27-F029-4B76-B6E7-B073EAAE87F1}" name="台語音標" dataDxfId="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55" dataDxfId="54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53">
      <calculatedColumnFormula xml:space="preserve"> J3</calculatedColumnFormula>
    </tableColumn>
    <tableColumn id="4" xr3:uid="{7407D282-3312-489C-B29B-19D43E4E79D6}" name="注音編碼" dataDxfId="52" dataCellStyle="一般 4">
      <calculatedColumnFormula>I3</calculatedColumnFormula>
    </tableColumn>
    <tableColumn id="2" xr3:uid="{DAFEC160-B656-4EE0-9837-61A87BB277BC}" name="注音符號" dataDxfId="51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0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49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48">
      <calculatedColumnFormula>H3</calculatedColumnFormula>
    </tableColumn>
    <tableColumn id="4" xr3:uid="{52141FD4-4282-4655-8FDB-25D018179FEA}" name="字典編碼" dataDxfId="47" dataCellStyle="一般 4">
      <calculatedColumnFormula>G3</calculatedColumnFormula>
    </tableColumn>
    <tableColumn id="2" xr3:uid="{59B967E3-C71C-4CF6-991D-C8F093BAB101}" name="方音符號" dataDxfId="46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45" dataDxfId="43" headerRowBorderDxfId="44" tableBorderDxfId="42" totalsRowBorderDxfId="41">
  <autoFilter ref="B3:H9" xr:uid="{CB332761-5FFA-4AA1-A510-7EB68827E47D}"/>
  <tableColumns count="7">
    <tableColumn id="1" xr3:uid="{D99DF20F-51FB-47D5-B4CC-DA04A48AAC2D}" name="發音部位" dataDxfId="40"/>
    <tableColumn id="2" xr3:uid="{6BC15A71-E0D5-404C-A6A6-8B01367E9B89}" name="塞音(不送氣)" dataDxfId="39"/>
    <tableColumn id="3" xr3:uid="{44295C3E-0304-4D25-AA15-E5C51BA36FD4}" name="塞音(送氣)" dataDxfId="38"/>
    <tableColumn id="4" xr3:uid="{F4CC72CD-7170-4DE4-8D5A-C18C426CA527}" name="濁音" dataDxfId="37"/>
    <tableColumn id="5" xr3:uid="{CE151E5C-E9DA-4A02-AD63-353CCFA6087C}" name="鼻音" dataDxfId="36"/>
    <tableColumn id="6" xr3:uid="{69AB656D-E99F-4EEB-9854-42DF77ECEB05}" name="擦音" dataDxfId="35"/>
    <tableColumn id="7" xr3:uid="{F61BA027-9E56-47A1-8224-3F0734C11F32}" name="邊音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33" dataDxfId="31" headerRowBorderDxfId="32" tableBorderDxfId="30" totalsRowBorderDxfId="29">
  <tableColumns count="20">
    <tableColumn id="1" xr3:uid="{D5BB5D32-B8B3-4985-99FE-4CAE416F8896}" name="韻腹" dataDxfId="28"/>
    <tableColumn id="2" xr3:uid="{2E75F452-C9EB-485A-898D-31B0B52F386A}" name="a" dataDxfId="27"/>
    <tableColumn id="3" xr3:uid="{232D45FA-6A65-4DC6-83E0-957B07FDBA26}" name="aɪ" dataDxfId="26"/>
    <tableColumn id="4" xr3:uid="{70955649-D6B5-40D6-8690-B978B91DB6A6}" name="aʊ" dataDxfId="25"/>
    <tableColumn id="5" xr3:uid="{17517C7F-5843-41D1-B4A0-D822E2A05A3F}" name="e" dataDxfId="24"/>
    <tableColumn id="6" xr3:uid="{A32FB388-F51D-4A09-8143-A8FE8C2735DE}" name="i" dataDxfId="23"/>
    <tableColumn id="7" xr3:uid="{0E349367-F4AB-4C53-8AD3-78E3A14DA801}" name="ɪa" dataDxfId="22"/>
    <tableColumn id="8" xr3:uid="{79DEC6A5-E8D0-4D21-9F9D-F46FE120B69D}" name="ɪaʊ" dataDxfId="21"/>
    <tableColumn id="9" xr3:uid="{9744BF02-11F5-4A49-94C9-F7ABD46F3CF7}" name="ɪə" dataDxfId="20"/>
    <tableColumn id="10" xr3:uid="{7ECBA68D-4E2D-4AE6-95E9-14B150FB60F3}" name="ɪɔ" dataDxfId="19"/>
    <tableColumn id="11" xr3:uid="{AA74AB0B-66F4-4084-A3FE-D313C4537337}" name="iu" dataDxfId="18"/>
    <tableColumn id="12" xr3:uid="{952CA3C9-B72B-4B4A-8975-0116A219DC35}" name="ə" dataDxfId="17"/>
    <tableColumn id="13" xr3:uid="{889BAAAD-336F-4D7B-A274-546C3C9BAC2F}" name="ɔ" dataDxfId="16"/>
    <tableColumn id="14" xr3:uid="{91C2AF01-8439-4A47-A026-6CDF055DF255}" name="u" dataDxfId="15"/>
    <tableColumn id="15" xr3:uid="{5AC88F01-3D1A-4AB5-A9A0-C569C4DDA3AA}" name="ua" dataDxfId="14"/>
    <tableColumn id="16" xr3:uid="{53FD8BAA-0AD0-4BA5-A488-E8FBF6E3B776}" name="uaɪ" dataDxfId="13"/>
    <tableColumn id="17" xr3:uid="{AA997DB6-667B-42B6-9983-F5C6536CECFC}" name="ue" dataDxfId="12"/>
    <tableColumn id="18" xr3:uid="{07146182-EDC0-48F7-B098-DF65D5099290}" name="ui" dataDxfId="11"/>
    <tableColumn id="19" xr3:uid="{C0F0792E-1F02-4269-AD48-9C7CAC2FFDA8}" name="m" dataDxfId="10"/>
    <tableColumn id="20" xr3:uid="{CC92EBF2-6977-48AE-A3D3-E116BF9C29F9}" name="ŋ" dataDxfId="9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31" activePane="bottomLeft" state="frozen"/>
      <selection pane="bottomLeft" activeCell="E43" sqref="E43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8798</v>
      </c>
      <c r="I4" s="708" t="s">
        <v>8713</v>
      </c>
      <c r="J4" s="710" t="s">
        <v>8589</v>
      </c>
      <c r="K4" s="673"/>
      <c r="L4" s="729" t="s">
        <v>8808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8797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8782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8801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 t="str">
        <v>3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K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8783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 t="str">
        <v>2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627" t="s">
        <v>191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316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7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 t="str">
        <v>5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627" t="s">
        <v>347</v>
      </c>
      <c r="F29" s="627">
        <v>2</v>
      </c>
      <c r="G29" s="627">
        <v>2</v>
      </c>
      <c r="H29" s="777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f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627">
        <v>7</v>
      </c>
      <c r="F37" s="627">
        <v>7</v>
      </c>
      <c r="G37" s="627">
        <v>7</v>
      </c>
      <c r="H37" s="777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q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P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D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627" t="s">
        <v>170</v>
      </c>
      <c r="F45" s="627">
        <v>5</v>
      </c>
      <c r="G45" s="627">
        <v>5</v>
      </c>
      <c r="H45" s="777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r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8784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8803</v>
      </c>
      <c r="F56" s="648" t="s">
        <v>513</v>
      </c>
      <c r="G56" s="648" t="s">
        <v>513</v>
      </c>
      <c r="H56" s="648" t="s">
        <v>8811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8804</v>
      </c>
      <c r="F58" s="648" t="s">
        <v>518</v>
      </c>
      <c r="G58" s="648" t="s">
        <v>518</v>
      </c>
      <c r="H58" s="648" t="s">
        <v>8812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8796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-</v>
      </c>
      <c r="P60" s="629" t="str">
        <v>ñ</v>
      </c>
      <c r="Q60" s="586" t="str">
        <v>*</v>
      </c>
      <c r="R60" s="629" t="str">
        <v>*nn</v>
      </c>
      <c r="S60" s="629" t="str">
        <v>*nn</v>
      </c>
      <c r="T60" s="629" t="str">
        <v>*nn</v>
      </c>
      <c r="U60" s="629" t="str">
        <v>鍵</v>
      </c>
      <c r="V60" s="663" t="str">
        <v>Ƞ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[</v>
      </c>
      <c r="P61" s="629" t="str">
        <v>ˉ</v>
      </c>
      <c r="Q61" s="586">
        <v>4</v>
      </c>
      <c r="R61" s="629">
        <v>4</v>
      </c>
      <c r="S61" s="629">
        <v>4</v>
      </c>
      <c r="T61" s="629">
        <v>4</v>
      </c>
      <c r="U61" s="629" t="str">
        <v>調</v>
      </c>
      <c r="V61" s="663">
        <v>0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358</v>
      </c>
      <c r="F62" s="629" t="s">
        <v>276</v>
      </c>
      <c r="G62" s="629" t="s">
        <v>276</v>
      </c>
      <c r="H62" s="629" t="s">
        <v>8786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'</v>
      </c>
      <c r="P62" s="629" t="str">
        <v>ˉ</v>
      </c>
      <c r="Q62" s="586">
        <v>1</v>
      </c>
      <c r="R62" s="629">
        <v>1</v>
      </c>
      <c r="S62" s="629">
        <v>1</v>
      </c>
      <c r="T62" s="629">
        <v>1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=</v>
      </c>
      <c r="P63" s="629" t="str">
        <v>ㄥ</v>
      </c>
      <c r="Q63" s="586" t="str">
        <v>L</v>
      </c>
      <c r="R63" s="629" t="str">
        <v>nn</v>
      </c>
      <c r="S63" s="629" t="str">
        <v>nn</v>
      </c>
      <c r="T63" s="629" t="str">
        <v>nn</v>
      </c>
      <c r="U63" s="629" t="str">
        <v>鍵</v>
      </c>
      <c r="V63" s="663" t="str">
        <v>輸入【鼻音化韻母】的【前置識別符】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426</v>
      </c>
      <c r="F64" s="648" t="s">
        <v>273</v>
      </c>
      <c r="G64" s="648" t="s">
        <v>864</v>
      </c>
      <c r="H64" s="648" t="s">
        <v>8785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8787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8802</v>
      </c>
      <c r="F66" s="648" t="s">
        <v>522</v>
      </c>
      <c r="G66" s="648" t="s">
        <v>522</v>
      </c>
      <c r="H66" s="648" t="s">
        <v>8788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8805</v>
      </c>
      <c r="F68" s="629" t="s">
        <v>270</v>
      </c>
      <c r="G68" s="629" t="s">
        <v>270</v>
      </c>
      <c r="H68" s="629" t="s">
        <v>8789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8800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8806</v>
      </c>
      <c r="F70" s="629" t="s">
        <v>268</v>
      </c>
      <c r="G70" s="629" t="s">
        <v>268</v>
      </c>
      <c r="H70" s="629" t="s">
        <v>8790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8794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8795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8807</v>
      </c>
      <c r="F74" s="648" t="s">
        <v>265</v>
      </c>
      <c r="G74" s="648" t="s">
        <v>265</v>
      </c>
      <c r="H74" s="648" t="s">
        <v>8791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8" t="s">
        <v>500</v>
      </c>
      <c r="D75" s="749" t="s">
        <v>8768</v>
      </c>
      <c r="E75" s="749">
        <v>9</v>
      </c>
      <c r="F75" s="749">
        <v>9</v>
      </c>
      <c r="G75" s="749">
        <v>9</v>
      </c>
      <c r="H75" s="749">
        <v>9</v>
      </c>
      <c r="I75" s="749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50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8793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29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8792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586" t="s">
        <v>517</v>
      </c>
      <c r="D84" s="629"/>
      <c r="E84" s="629"/>
      <c r="F84" s="629"/>
      <c r="G84" s="629"/>
      <c r="H84" s="629"/>
      <c r="I84" s="648"/>
      <c r="J84" s="664"/>
      <c r="K84" s="673"/>
      <c r="L84" s="729">
        <f>LEN(鍵盤設計表[[#This Row],[方音符號]])</f>
        <v>0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8781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629">
        <v>4</v>
      </c>
      <c r="F87" s="629">
        <v>4</v>
      </c>
      <c r="G87" s="629">
        <v>4</v>
      </c>
      <c r="H87" s="629">
        <v>4</v>
      </c>
      <c r="I87" s="776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76" t="s">
        <v>2619</v>
      </c>
      <c r="J89" s="663"/>
      <c r="K89" s="673"/>
      <c r="L89" s="729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 t="s">
        <v>127</v>
      </c>
      <c r="E91" s="627" t="s">
        <v>231</v>
      </c>
      <c r="F91" s="627" t="s">
        <v>8766</v>
      </c>
      <c r="G91" s="627" t="s">
        <v>8766</v>
      </c>
      <c r="H91" s="627" t="s">
        <v>8766</v>
      </c>
      <c r="I91" s="627" t="s">
        <v>7878</v>
      </c>
      <c r="J91" s="662" t="s">
        <v>8767</v>
      </c>
      <c r="K91" s="673"/>
      <c r="L91" s="729">
        <f>LEN(鍵盤設計表[[#This Row],[方音符號]])</f>
        <v>1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629">
        <v>8</v>
      </c>
      <c r="F93" s="629">
        <v>8</v>
      </c>
      <c r="G93" s="629">
        <v>8</v>
      </c>
      <c r="H93" s="629">
        <v>8</v>
      </c>
      <c r="I93" s="776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B5:J27 W5:W94 B28:C28 B29:J59 B60:C60 B61:J71 B72:C72 B73:J75 B76:C76 B77:J82 B83:C83 B84:J94 L102:M102">
    <cfRule type="cellIs" dxfId="8" priority="6" operator="equal">
      <formula>CHAR(32)</formula>
    </cfRule>
  </conditionalFormatting>
  <conditionalFormatting sqref="Y55">
    <cfRule type="cellIs" dxfId="7" priority="4" operator="equal">
      <formula>CHAR(32)</formula>
    </cfRule>
  </conditionalFormatting>
  <conditionalFormatting sqref="AD5:AH14">
    <cfRule type="cellIs" dxfId="6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5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4" activePane="bottomLeft" state="frozen"/>
      <selection pane="bottomLeft" activeCell="G58" sqref="G58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4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8" t="s">
        <v>14</v>
      </c>
      <c r="C2" s="792" t="s">
        <v>19</v>
      </c>
      <c r="D2" s="789" t="s">
        <v>386</v>
      </c>
      <c r="E2" s="791" t="s">
        <v>17</v>
      </c>
      <c r="F2" s="790" t="s">
        <v>362</v>
      </c>
      <c r="G2" s="789" t="s">
        <v>8713</v>
      </c>
      <c r="H2" s="790" t="s">
        <v>388</v>
      </c>
      <c r="I2" s="789" t="s">
        <v>835</v>
      </c>
      <c r="J2" s="789" t="s">
        <v>8799</v>
      </c>
      <c r="L2"/>
      <c r="M2" s="370"/>
      <c r="Q2"/>
      <c r="R2"/>
      <c r="T2"/>
      <c r="W2"/>
    </row>
    <row r="3" spans="2:23" ht="33" thickTop="1">
      <c r="B3" s="786">
        <f t="shared" ref="B3:B34" si="0">ROW() - 2</f>
        <v>1</v>
      </c>
      <c r="C3" s="73" t="s">
        <v>351</v>
      </c>
      <c r="D3" s="56" t="s">
        <v>83</v>
      </c>
      <c r="E3" s="424" t="s">
        <v>143</v>
      </c>
      <c r="F3" s="775" t="s">
        <v>84</v>
      </c>
      <c r="G3" s="42" t="str" cm="1">
        <f t="array" ref="G3">IFERROR( INDEX(鍵盤設計表[聲韻調], MATCH(TRUE, EXACT(注音編碼對照表[[#This Row],[方音符號]], 鍵盤設計表[方音符號]),0)), "")</f>
        <v>聲</v>
      </c>
      <c r="H3" s="793" t="str" cm="1">
        <f t="array" ref="H3">IFERROR( INDEX(鍵盤設計表[台語音標], MATCH(TRUE, EXACT(注音編碼對照表[[#This Row],[方音符號]], 鍵盤設計表[方音符號]),0)), "")</f>
        <v>m</v>
      </c>
      <c r="I3" s="509" t="str" cm="1">
        <f t="array" ref="I3">IFERROR( INDEX(鍵盤設計表[注音二式], MATCH(TRUE, EXACT(注音編碼對照表[[#This Row],[方音符號]], 鍵盤設計表[方音符號]),0)),"")</f>
        <v>m</v>
      </c>
      <c r="J3" s="509" t="str" cm="1">
        <f t="array" ref="J3">IFERROR( INDEX(鍵盤設計表[閩拼方案], MATCH(TRUE, EXACT(注音編碼對照表[[#This Row],[方音符號]], 鍵盤設計表[方音符號]),0)), "")</f>
        <v>bbn</v>
      </c>
      <c r="L3"/>
      <c r="M3" s="370"/>
      <c r="Q3"/>
      <c r="R3"/>
      <c r="T3"/>
      <c r="W3"/>
    </row>
    <row r="4" spans="2:23" ht="32.25">
      <c r="B4" s="787">
        <f t="shared" si="0"/>
        <v>2</v>
      </c>
      <c r="C4" s="73" t="s">
        <v>394</v>
      </c>
      <c r="D4" s="42" t="s">
        <v>27</v>
      </c>
      <c r="E4" s="424" t="s">
        <v>144</v>
      </c>
      <c r="F4" s="766" t="s">
        <v>28</v>
      </c>
      <c r="G4" s="42" t="str" cm="1">
        <f t="array" ref="G4">IFERROR( INDEX(鍵盤設計表[聲韻調], MATCH(TRUE, EXACT(注音編碼對照表[[#This Row],[方音符號]], 鍵盤設計表[方音符號]),0)), "")</f>
        <v>聲</v>
      </c>
      <c r="H4" s="793" t="str" cm="1">
        <f t="array" ref="H4">IFERROR( INDEX(鍵盤設計表[台語音標], MATCH(TRUE, EXACT(注音編碼對照表[[#This Row],[方音符號]], 鍵盤設計表[方音符號]),0)), "")</f>
        <v>b</v>
      </c>
      <c r="I4" s="509" t="str" cm="1">
        <f t="array" ref="I4">IFERROR( INDEX(鍵盤設計表[注音二式], MATCH(TRUE, EXACT(注音編碼對照表[[#This Row],[方音符號]], 鍵盤設計表[方音符號]),0)),"")</f>
        <v>bb</v>
      </c>
      <c r="J4" s="509" t="str" cm="1">
        <f t="array" ref="J4">IFERROR( INDEX(鍵盤設計表[閩拼方案], MATCH(TRUE, EXACT(注音編碼對照表[[#This Row],[方音符號]], 鍵盤設計表[方音符號]),0)), "")</f>
        <v>bb</v>
      </c>
      <c r="L4"/>
      <c r="M4" s="370"/>
      <c r="Q4"/>
      <c r="R4"/>
      <c r="T4"/>
      <c r="W4"/>
    </row>
    <row r="5" spans="2:23" ht="32.25">
      <c r="B5" s="786">
        <f t="shared" si="0"/>
        <v>3</v>
      </c>
      <c r="C5" s="73" t="s">
        <v>361</v>
      </c>
      <c r="D5" s="56" t="s">
        <v>20</v>
      </c>
      <c r="E5" s="424" t="s">
        <v>190</v>
      </c>
      <c r="F5" s="775" t="s">
        <v>21</v>
      </c>
      <c r="G5" s="42" t="str" cm="1">
        <f t="array" ref="G5">IFERROR( INDEX(鍵盤設計表[聲韻調], MATCH(TRUE, EXACT(注音編碼對照表[[#This Row],[方音符號]], 鍵盤設計表[方音符號]),0)), "")</f>
        <v>聲</v>
      </c>
      <c r="H5" s="793" t="str" cm="1">
        <f t="array" ref="H5">IFERROR( INDEX(鍵盤設計表[台語音標], MATCH(TRUE, EXACT(注音編碼對照表[[#This Row],[方音符號]], 鍵盤設計表[方音符號]),0)), "")</f>
        <v>p</v>
      </c>
      <c r="I5" s="509" t="str" cm="1">
        <f t="array" ref="I5">IFERROR( INDEX(鍵盤設計表[注音二式], MATCH(TRUE, EXACT(注音編碼對照表[[#This Row],[方音符號]], 鍵盤設計表[方音符號]),0)),"")</f>
        <v>b</v>
      </c>
      <c r="J5" s="509" t="str" cm="1">
        <f t="array" ref="J5">IFERROR( INDEX(鍵盤設計表[閩拼方案], MATCH(TRUE, EXACT(注音編碼對照表[[#This Row],[方音符號]], 鍵盤設計表[方音符號]),0)), "")</f>
        <v>b</v>
      </c>
      <c r="L5"/>
      <c r="M5" s="370"/>
      <c r="Q5"/>
      <c r="R5"/>
      <c r="T5"/>
      <c r="W5"/>
    </row>
    <row r="6" spans="2:23" ht="32.25">
      <c r="B6" s="786">
        <f t="shared" si="0"/>
        <v>4</v>
      </c>
      <c r="C6" s="73" t="s">
        <v>353</v>
      </c>
      <c r="D6" s="56" t="s">
        <v>23</v>
      </c>
      <c r="E6" s="424" t="s">
        <v>217</v>
      </c>
      <c r="F6" s="775" t="s">
        <v>708</v>
      </c>
      <c r="G6" s="42" t="str" cm="1">
        <f t="array" ref="G6">IFERROR( INDEX(鍵盤設計表[聲韻調], MATCH(TRUE, EXACT(注音編碼對照表[[#This Row],[方音符號]], 鍵盤設計表[方音符號]),0)), "")</f>
        <v>聲</v>
      </c>
      <c r="H6" s="793" t="str" cm="1">
        <f t="array" ref="H6">IFERROR( INDEX(鍵盤設計表[台語音標], MATCH(TRUE, EXACT(注音編碼對照表[[#This Row],[方音符號]], 鍵盤設計表[方音符號]),0)), "")</f>
        <v>ph</v>
      </c>
      <c r="I6" s="509" t="str" cm="1">
        <f t="array" ref="I6">IFERROR( INDEX(鍵盤設計表[注音二式], MATCH(TRUE, EXACT(注音編碼對照表[[#This Row],[方音符號]], 鍵盤設計表[方音符號]),0)),"")</f>
        <v>p</v>
      </c>
      <c r="J6" s="509" t="str" cm="1">
        <f t="array" ref="J6">IFERROR( INDEX(鍵盤設計表[閩拼方案], MATCH(TRUE, EXACT(注音編碼對照表[[#This Row],[方音符號]], 鍵盤設計表[方音符號]),0)), "")</f>
        <v>p</v>
      </c>
      <c r="L6"/>
      <c r="M6" s="370"/>
      <c r="Q6"/>
      <c r="R6"/>
      <c r="T6"/>
      <c r="W6"/>
    </row>
    <row r="7" spans="2:23" ht="32.25">
      <c r="B7" s="786">
        <f t="shared" si="0"/>
        <v>5</v>
      </c>
      <c r="C7" s="73" t="s">
        <v>338</v>
      </c>
      <c r="D7" s="56" t="s">
        <v>33</v>
      </c>
      <c r="E7" s="424" t="s">
        <v>34</v>
      </c>
      <c r="F7" s="775" t="s">
        <v>372</v>
      </c>
      <c r="G7" s="42" t="str" cm="1">
        <f t="array" ref="G7">IFERROR( INDEX(鍵盤設計表[聲韻調], MATCH(TRUE, EXACT(注音編碼對照表[[#This Row],[方音符號]], 鍵盤設計表[方音符號]),0)), "")</f>
        <v>聲</v>
      </c>
      <c r="H7" s="793" t="str" cm="1">
        <f t="array" ref="H7">IFERROR( INDEX(鍵盤設計表[台語音標], MATCH(TRUE, EXACT(注音編碼對照表[[#This Row],[方音符號]], 鍵盤設計表[方音符號]),0)), "")</f>
        <v>n</v>
      </c>
      <c r="I7" s="509" t="str" cm="1">
        <f t="array" ref="I7">IFERROR( INDEX(鍵盤設計表[注音二式], MATCH(TRUE, EXACT(注音編碼對照表[[#This Row],[方音符號]], 鍵盤設計表[方音符號]),0)),"")</f>
        <v>n</v>
      </c>
      <c r="J7" s="509" t="str" cm="1">
        <f t="array" ref="J7">IFERROR( INDEX(鍵盤設計表[閩拼方案], MATCH(TRUE, EXACT(注音編碼對照表[[#This Row],[方音符號]], 鍵盤設計表[方音符號]),0)), "")</f>
        <v>ln</v>
      </c>
      <c r="L7"/>
      <c r="M7" s="370"/>
      <c r="Q7"/>
      <c r="R7"/>
      <c r="T7"/>
      <c r="W7"/>
    </row>
    <row r="8" spans="2:23" ht="32.25">
      <c r="B8" s="786">
        <f t="shared" si="0"/>
        <v>6</v>
      </c>
      <c r="C8" s="73" t="s">
        <v>347</v>
      </c>
      <c r="D8" s="56" t="s">
        <v>29</v>
      </c>
      <c r="E8" s="424" t="s">
        <v>309</v>
      </c>
      <c r="F8" s="775" t="s">
        <v>340</v>
      </c>
      <c r="G8" s="42" t="str" cm="1">
        <f t="array" ref="G8">IFERROR( INDEX(鍵盤設計表[聲韻調], MATCH(TRUE, EXACT(注音編碼對照表[[#This Row],[方音符號]], 鍵盤設計表[方音符號]),0)), "")</f>
        <v>聲</v>
      </c>
      <c r="H8" s="793" t="str" cm="1">
        <f t="array" ref="H8">IFERROR( INDEX(鍵盤設計表[台語音標], MATCH(TRUE, EXACT(注音編碼對照表[[#This Row],[方音符號]], 鍵盤設計表[方音符號]),0)), "")</f>
        <v>t</v>
      </c>
      <c r="I8" s="509" t="str" cm="1">
        <f t="array" ref="I8">IFERROR( INDEX(鍵盤設計表[注音二式], MATCH(TRUE, EXACT(注音編碼對照表[[#This Row],[方音符號]], 鍵盤設計表[方音符號]),0)),"")</f>
        <v>d</v>
      </c>
      <c r="J8" s="509" t="str" cm="1">
        <f t="array" ref="J8">IFERROR( INDEX(鍵盤設計表[閩拼方案], MATCH(TRUE, EXACT(注音編碼對照表[[#This Row],[方音符號]], 鍵盤設計表[方音符號]),0)), "")</f>
        <v>d</v>
      </c>
      <c r="L8"/>
      <c r="M8" s="370"/>
      <c r="Q8"/>
      <c r="R8"/>
      <c r="T8"/>
      <c r="W8"/>
    </row>
    <row r="9" spans="2:23" ht="32.25">
      <c r="B9" s="786">
        <f t="shared" si="0"/>
        <v>7</v>
      </c>
      <c r="C9" s="73" t="s">
        <v>341</v>
      </c>
      <c r="D9" s="56" t="s">
        <v>31</v>
      </c>
      <c r="E9" s="424" t="s">
        <v>30</v>
      </c>
      <c r="F9" s="775" t="s">
        <v>709</v>
      </c>
      <c r="G9" s="42" t="str" cm="1">
        <f t="array" ref="G9">IFERROR( INDEX(鍵盤設計表[聲韻調], MATCH(TRUE, EXACT(注音編碼對照表[[#This Row],[方音符號]], 鍵盤設計表[方音符號]),0)), "")</f>
        <v>聲</v>
      </c>
      <c r="H9" s="793" t="str" cm="1">
        <f t="array" ref="H9">IFERROR( INDEX(鍵盤設計表[台語音標], MATCH(TRUE, EXACT(注音編碼對照表[[#This Row],[方音符號]], 鍵盤設計表[方音符號]),0)), "")</f>
        <v>th</v>
      </c>
      <c r="I9" s="509" t="str" cm="1">
        <f t="array" ref="I9">IFERROR( INDEX(鍵盤設計表[注音二式], MATCH(TRUE, EXACT(注音編碼對照表[[#This Row],[方音符號]], 鍵盤設計表[方音符號]),0)),"")</f>
        <v>t</v>
      </c>
      <c r="J9" s="509" t="str" cm="1">
        <f t="array" ref="J9">IFERROR( INDEX(鍵盤設計表[閩拼方案], MATCH(TRUE, EXACT(注音編碼對照表[[#This Row],[方音符號]], 鍵盤設計表[方音符號]),0)), "")</f>
        <v>t</v>
      </c>
      <c r="L9"/>
      <c r="M9" s="370"/>
      <c r="Q9"/>
      <c r="R9"/>
      <c r="T9"/>
      <c r="W9"/>
    </row>
    <row r="10" spans="2:23" ht="32.25">
      <c r="B10" s="786">
        <f t="shared" si="0"/>
        <v>8</v>
      </c>
      <c r="C10" s="73" t="s">
        <v>332</v>
      </c>
      <c r="D10" s="56" t="s">
        <v>85</v>
      </c>
      <c r="E10" s="424" t="s">
        <v>86</v>
      </c>
      <c r="F10" s="775" t="s">
        <v>496</v>
      </c>
      <c r="G10" s="42" t="str" cm="1">
        <f t="array" ref="G10">IFERROR( INDEX(鍵盤設計表[聲韻調], MATCH(TRUE, EXACT(注音編碼對照表[[#This Row],[方音符號]], 鍵盤設計表[方音符號]),0)), "")</f>
        <v>聲</v>
      </c>
      <c r="H10" s="793" t="str" cm="1">
        <f t="array" ref="H10">IFERROR( INDEX(鍵盤設計表[台語音標], MATCH(TRUE, EXACT(注音編碼對照表[[#This Row],[方音符號]], 鍵盤設計表[方音符號]),0)), "")</f>
        <v>l</v>
      </c>
      <c r="I10" s="509" t="str" cm="1">
        <f t="array" ref="I10">IFERROR( INDEX(鍵盤設計表[注音二式], MATCH(TRUE, EXACT(注音編碼對照表[[#This Row],[方音符號]], 鍵盤設計表[方音符號]),0)),"")</f>
        <v>l</v>
      </c>
      <c r="J10" s="509" t="str" cm="1">
        <f t="array" ref="J10">IFERROR( INDEX(鍵盤設計表[閩拼方案], MATCH(TRUE, EXACT(注音編碼對照表[[#This Row],[方音符號]], 鍵盤設計表[方音符號]),0)), "")</f>
        <v>l</v>
      </c>
      <c r="L10"/>
      <c r="M10" s="370"/>
      <c r="Q10"/>
      <c r="R10"/>
      <c r="T10"/>
      <c r="W10"/>
    </row>
    <row r="11" spans="2:23" ht="32.25">
      <c r="B11" s="786">
        <f t="shared" si="0"/>
        <v>9</v>
      </c>
      <c r="C11" s="73" t="s">
        <v>569</v>
      </c>
      <c r="D11" s="778" t="s">
        <v>625</v>
      </c>
      <c r="E11" s="424" t="s">
        <v>8595</v>
      </c>
      <c r="F11" s="775" t="s">
        <v>711</v>
      </c>
      <c r="G11" s="42" t="str" cm="1">
        <f t="array" ref="G11">IFERROR( INDEX(鍵盤設計表[聲韻調], MATCH(TRUE, EXACT(注音編碼對照表[[#This Row],[方音符號]], 鍵盤設計表[方音符號]),0)), "")</f>
        <v>聲</v>
      </c>
      <c r="H11" s="793" t="str" cm="1">
        <f t="array" ref="H11">IFERROR( INDEX(鍵盤設計表[台語音標], MATCH(TRUE, EXACT(注音編碼對照表[[#This Row],[方音符號]], 鍵盤設計表[方音符號]),0)), "")</f>
        <v>ng</v>
      </c>
      <c r="I11" s="509" t="str" cm="1">
        <f t="array" ref="I11">IFERROR( INDEX(鍵盤設計表[注音二式], MATCH(TRUE, EXACT(注音編碼對照表[[#This Row],[方音符號]], 鍵盤設計表[方音符號]),0)),"")</f>
        <v>ng</v>
      </c>
      <c r="J11" s="509" t="str" cm="1">
        <f t="array" ref="J11">IFERROR( INDEX(鍵盤設計表[閩拼方案], MATCH(TRUE, EXACT(注音編碼對照表[[#This Row],[方音符號]], 鍵盤設計表[方音符號]),0)), "")</f>
        <v>ggn</v>
      </c>
      <c r="L11"/>
      <c r="Q11"/>
      <c r="R11"/>
      <c r="T11"/>
      <c r="W11"/>
    </row>
    <row r="12" spans="2:23" ht="32.25">
      <c r="B12" s="786">
        <f t="shared" si="0"/>
        <v>10</v>
      </c>
      <c r="C12" s="73" t="s">
        <v>322</v>
      </c>
      <c r="D12" s="56" t="s">
        <v>41</v>
      </c>
      <c r="E12" s="424" t="s">
        <v>443</v>
      </c>
      <c r="F12" s="775" t="s">
        <v>42</v>
      </c>
      <c r="G12" s="42" t="str" cm="1">
        <f t="array" ref="G12">IFERROR( INDEX(鍵盤設計表[聲韻調], MATCH(TRUE, EXACT(注音編碼對照表[[#This Row],[方音符號]], 鍵盤設計表[方音符號]),0)), "")</f>
        <v>聲</v>
      </c>
      <c r="H12" s="793" t="str" cm="1">
        <f t="array" ref="H12">IFERROR( INDEX(鍵盤設計表[台語音標], MATCH(TRUE, EXACT(注音編碼對照表[[#This Row],[方音符號]], 鍵盤設計表[方音符號]),0)), "")</f>
        <v>g</v>
      </c>
      <c r="I12" s="509" t="str" cm="1">
        <f t="array" ref="I12">IFERROR( INDEX(鍵盤設計表[注音二式], MATCH(TRUE, EXACT(注音編碼對照表[[#This Row],[方音符號]], 鍵盤設計表[方音符號]),0)),"")</f>
        <v>gg</v>
      </c>
      <c r="J12" s="509" t="str" cm="1">
        <f t="array" ref="J12">IFERROR( INDEX(鍵盤設計表[閩拼方案], MATCH(TRUE, EXACT(注音編碼對照表[[#This Row],[方音符號]], 鍵盤設計表[方音符號]),0)), "")</f>
        <v>gg</v>
      </c>
      <c r="L12"/>
      <c r="Q12"/>
      <c r="R12"/>
      <c r="T12"/>
      <c r="W12"/>
    </row>
    <row r="13" spans="2:23" ht="32.25">
      <c r="B13" s="786">
        <f t="shared" si="0"/>
        <v>11</v>
      </c>
      <c r="C13" s="73" t="s">
        <v>329</v>
      </c>
      <c r="D13" s="56" t="s">
        <v>36</v>
      </c>
      <c r="E13" s="424" t="s">
        <v>184</v>
      </c>
      <c r="F13" s="775" t="s">
        <v>321</v>
      </c>
      <c r="G13" s="42" t="str" cm="1">
        <f t="array" ref="G13">IFERROR( INDEX(鍵盤設計表[聲韻調], MATCH(TRUE, EXACT(注音編碼對照表[[#This Row],[方音符號]], 鍵盤設計表[方音符號]),0)), "")</f>
        <v>聲</v>
      </c>
      <c r="H13" s="793" t="str" cm="1">
        <f t="array" ref="H13">IFERROR( INDEX(鍵盤設計表[台語音標], MATCH(TRUE, EXACT(注音編碼對照表[[#This Row],[方音符號]], 鍵盤設計表[方音符號]),0)), "")</f>
        <v>k</v>
      </c>
      <c r="I13" s="509" t="str" cm="1">
        <f t="array" ref="I13">IFERROR( INDEX(鍵盤設計表[注音二式], MATCH(TRUE, EXACT(注音編碼對照表[[#This Row],[方音符號]], 鍵盤設計表[方音符號]),0)),"")</f>
        <v>g</v>
      </c>
      <c r="J13" s="509" t="str" cm="1">
        <f t="array" ref="J13">IFERROR( INDEX(鍵盤設計表[閩拼方案], MATCH(TRUE, EXACT(注音編碼對照表[[#This Row],[方音符號]], 鍵盤設計表[方音符號]),0)), "")</f>
        <v>g</v>
      </c>
      <c r="L13"/>
      <c r="Q13"/>
      <c r="R13"/>
      <c r="T13"/>
      <c r="W13"/>
    </row>
    <row r="14" spans="2:23" ht="32.25">
      <c r="B14" s="786">
        <f t="shared" si="0"/>
        <v>12</v>
      </c>
      <c r="C14" s="73" t="s">
        <v>309</v>
      </c>
      <c r="D14" s="56" t="s">
        <v>38</v>
      </c>
      <c r="E14" s="424" t="s">
        <v>37</v>
      </c>
      <c r="F14" s="775" t="s">
        <v>710</v>
      </c>
      <c r="G14" s="42" t="str" cm="1">
        <f t="array" ref="G14">IFERROR( INDEX(鍵盤設計表[聲韻調], MATCH(TRUE, EXACT(注音編碼對照表[[#This Row],[方音符號]], 鍵盤設計表[方音符號]),0)), "")</f>
        <v>聲</v>
      </c>
      <c r="H14" s="793" t="str" cm="1">
        <f t="array" ref="H14">IFERROR( INDEX(鍵盤設計表[台語音標], MATCH(TRUE, EXACT(注音編碼對照表[[#This Row],[方音符號]], 鍵盤設計表[方音符號]),0)), "")</f>
        <v>kh</v>
      </c>
      <c r="I14" s="509" t="str" cm="1">
        <f t="array" ref="I14">IFERROR( INDEX(鍵盤設計表[注音二式], MATCH(TRUE, EXACT(注音編碼對照表[[#This Row],[方音符號]], 鍵盤設計表[方音符號]),0)),"")</f>
        <v>k</v>
      </c>
      <c r="J14" s="509" t="str" cm="1">
        <f t="array" ref="J14">IFERROR( INDEX(鍵盤設計表[閩拼方案], MATCH(TRUE, EXACT(注音編碼對照表[[#This Row],[方音符號]], 鍵盤設計表[方音符號]),0)), "")</f>
        <v>k</v>
      </c>
      <c r="L14"/>
      <c r="Q14"/>
      <c r="R14"/>
      <c r="T14"/>
      <c r="W14"/>
    </row>
    <row r="15" spans="2:23" ht="32.25">
      <c r="B15" s="786">
        <f t="shared" si="0"/>
        <v>13</v>
      </c>
      <c r="C15" s="73" t="s">
        <v>447</v>
      </c>
      <c r="D15" s="56" t="s">
        <v>442</v>
      </c>
      <c r="E15" s="424" t="s">
        <v>449</v>
      </c>
      <c r="F15" s="775" t="s">
        <v>702</v>
      </c>
      <c r="G15" s="42" t="str" cm="1">
        <f t="array" ref="G15">IFERROR( INDEX(鍵盤設計表[聲韻調], MATCH(TRUE, EXACT(注音編碼對照表[[#This Row],[方音符號]], 鍵盤設計表[方音符號]),0)), "")</f>
        <v>聲</v>
      </c>
      <c r="H15" s="793" t="str" cm="1">
        <f t="array" ref="H15">IFERROR( INDEX(鍵盤設計表[台語音標], MATCH(TRUE, EXACT(注音編碼對照表[[#This Row],[方音符號]], 鍵盤設計表[方音符號]),0)), "")</f>
        <v>j</v>
      </c>
      <c r="I15" s="509" t="str" cm="1">
        <f t="array" ref="I15">IFERROR( INDEX(鍵盤設計表[注音二式], MATCH(TRUE, EXACT(注音編碼對照表[[#This Row],[方音符號]], 鍵盤設計表[方音符號]),0)),"")</f>
        <v>zz</v>
      </c>
      <c r="J15" s="509" t="str" cm="1">
        <f t="array" ref="J15">IFERROR( INDEX(鍵盤設計表[閩拼方案], MATCH(TRUE, EXACT(注音編碼對照表[[#This Row],[方音符號]], 鍵盤設計表[方音符號]),0)), "")</f>
        <v>zz</v>
      </c>
      <c r="L15"/>
      <c r="Q15"/>
      <c r="R15"/>
      <c r="T15"/>
      <c r="W15"/>
    </row>
    <row r="16" spans="2:23" ht="32.25">
      <c r="B16" s="786">
        <f t="shared" si="0"/>
        <v>14</v>
      </c>
      <c r="C16" s="73" t="s">
        <v>588</v>
      </c>
      <c r="D16" s="778" t="s">
        <v>43</v>
      </c>
      <c r="E16" s="424" t="s">
        <v>179</v>
      </c>
      <c r="F16" s="775" t="s">
        <v>701</v>
      </c>
      <c r="G16" s="42" t="str" cm="1">
        <f t="array" ref="G16">IFERROR( INDEX(鍵盤設計表[聲韻調], MATCH(TRUE, EXACT(注音編碼對照表[[#This Row],[方音符號]], 鍵盤設計表[方音符號]),0)), "")</f>
        <v>聲</v>
      </c>
      <c r="H16" s="793" t="str" cm="1">
        <f t="array" ref="H16">IFERROR( INDEX(鍵盤設計表[台語音標], MATCH(TRUE, EXACT(注音編碼對照表[[#This Row],[方音符號]], 鍵盤設計表[方音符號]),0)), "")</f>
        <v>z</v>
      </c>
      <c r="I16" s="509" t="str" cm="1">
        <f t="array" ref="I16">IFERROR( INDEX(鍵盤設計表[注音二式], MATCH(TRUE, EXACT(注音編碼對照表[[#This Row],[方音符號]], 鍵盤設計表[方音符號]),0)),"")</f>
        <v>z</v>
      </c>
      <c r="J16" s="509" t="str" cm="1">
        <f t="array" ref="J16">IFERROR( INDEX(鍵盤設計表[閩拼方案], MATCH(TRUE, EXACT(注音編碼對照表[[#This Row],[方音符號]], 鍵盤設計表[方音符號]),0)), "")</f>
        <v>z</v>
      </c>
      <c r="L16"/>
      <c r="Q16"/>
      <c r="R16"/>
      <c r="T16"/>
      <c r="W16"/>
    </row>
    <row r="17" spans="2:23" ht="32.25">
      <c r="B17" s="786">
        <f t="shared" si="0"/>
        <v>15</v>
      </c>
      <c r="C17" s="73" t="s">
        <v>422</v>
      </c>
      <c r="D17" s="778" t="s">
        <v>46</v>
      </c>
      <c r="E17" s="424" t="s">
        <v>305</v>
      </c>
      <c r="F17" s="775" t="s">
        <v>700</v>
      </c>
      <c r="G17" s="42" t="str" cm="1">
        <f t="array" ref="G17">IFERROR( INDEX(鍵盤設計表[聲韻調], MATCH(TRUE, EXACT(注音編碼對照表[[#This Row],[方音符號]], 鍵盤設計表[方音符號]),0)), "")</f>
        <v>聲</v>
      </c>
      <c r="H17" s="793" t="str" cm="1">
        <f t="array" ref="H17">IFERROR( INDEX(鍵盤設計表[台語音標], MATCH(TRUE, EXACT(注音編碼對照表[[#This Row],[方音符號]], 鍵盤設計表[方音符號]),0)), "")</f>
        <v>c</v>
      </c>
      <c r="I17" s="509" t="str" cm="1">
        <f t="array" ref="I17">IFERROR( INDEX(鍵盤設計表[注音二式], MATCH(TRUE, EXACT(注音編碼對照表[[#This Row],[方音符號]], 鍵盤設計表[方音符號]),0)),"")</f>
        <v>c</v>
      </c>
      <c r="J17" s="509" t="str" cm="1">
        <f t="array" ref="J17">IFERROR( INDEX(鍵盤設計表[閩拼方案], MATCH(TRUE, EXACT(注音編碼對照表[[#This Row],[方音符號]], 鍵盤設計表[方音符號]),0)), "")</f>
        <v>c</v>
      </c>
      <c r="L17"/>
      <c r="Q17"/>
      <c r="R17"/>
      <c r="T17"/>
      <c r="W17"/>
    </row>
    <row r="18" spans="2:23" ht="32.25">
      <c r="B18" s="786">
        <f t="shared" si="0"/>
        <v>16</v>
      </c>
      <c r="C18" s="73" t="s">
        <v>34</v>
      </c>
      <c r="D18" s="778" t="s">
        <v>50</v>
      </c>
      <c r="E18" s="424" t="s">
        <v>338</v>
      </c>
      <c r="F18" s="775" t="s">
        <v>51</v>
      </c>
      <c r="G18" s="42" t="str" cm="1">
        <f t="array" ref="G18">IFERROR( INDEX(鍵盤設計表[聲韻調], MATCH(TRUE, EXACT(注音編碼對照表[[#This Row],[方音符號]], 鍵盤設計表[方音符號]),0)), "")</f>
        <v>聲</v>
      </c>
      <c r="H18" s="793" t="str" cm="1">
        <f t="array" ref="H18">IFERROR( INDEX(鍵盤設計表[台語音標], MATCH(TRUE, EXACT(注音編碼對照表[[#This Row],[方音符號]], 鍵盤設計表[方音符號]),0)), "")</f>
        <v>s</v>
      </c>
      <c r="I18" s="509" t="str" cm="1">
        <f t="array" ref="I18">IFERROR( INDEX(鍵盤設計表[注音二式], MATCH(TRUE, EXACT(注音編碼對照表[[#This Row],[方音符號]], 鍵盤設計表[方音符號]),0)),"")</f>
        <v>s</v>
      </c>
      <c r="J18" s="509" t="str" cm="1">
        <f t="array" ref="J18">IFERROR( INDEX(鍵盤設計表[閩拼方案], MATCH(TRUE, EXACT(注音編碼對照表[[#This Row],[方音符號]], 鍵盤設計表[方音符號]),0)), "")</f>
        <v>s</v>
      </c>
      <c r="L18"/>
      <c r="Q18"/>
      <c r="R18"/>
      <c r="T18"/>
      <c r="W18"/>
    </row>
    <row r="19" spans="2:23" ht="32.25">
      <c r="B19" s="786">
        <f t="shared" si="0"/>
        <v>17</v>
      </c>
      <c r="C19" s="73" t="s">
        <v>560</v>
      </c>
      <c r="D19" s="779" t="s">
        <v>109</v>
      </c>
      <c r="E19" s="424" t="s">
        <v>249</v>
      </c>
      <c r="F19" s="775" t="s">
        <v>893</v>
      </c>
      <c r="G19" s="42" t="str" cm="1">
        <f t="array" ref="G19">IFERROR( INDEX(鍵盤設計表[聲韻調], MATCH(TRUE, EXACT(注音編碼對照表[[#This Row],[方音符號]], 鍵盤設計表[方音符號]),0)), "")</f>
        <v>聲</v>
      </c>
      <c r="H19" s="793" t="str" cm="1">
        <f t="array" ref="H19">IFERROR( INDEX(鍵盤設計表[台語音標], MATCH(TRUE, EXACT(注音編碼對照表[[#This Row],[方音符號]], 鍵盤設計表[方音符號]),0)), "")</f>
        <v>ji</v>
      </c>
      <c r="I19" s="509" t="str" cm="1">
        <f t="array" ref="I19">IFERROR( INDEX(鍵盤設計表[注音二式], MATCH(TRUE, EXACT(注音編碼對照表[[#This Row],[方音符號]], 鍵盤設計表[方音符號]),0)),"")</f>
        <v>jj</v>
      </c>
      <c r="J19" s="509" t="str" cm="1">
        <f t="array" ref="J19">IFERROR( INDEX(鍵盤設計表[閩拼方案], MATCH(TRUE, EXACT(注音編碼對照表[[#This Row],[方音符號]], 鍵盤設計表[方音符號]),0)), "")</f>
        <v>jj</v>
      </c>
      <c r="L19"/>
      <c r="Q19"/>
      <c r="R19"/>
      <c r="T19"/>
      <c r="W19"/>
    </row>
    <row r="20" spans="2:23" ht="32.25">
      <c r="B20" s="786">
        <f t="shared" si="0"/>
        <v>18</v>
      </c>
      <c r="C20" s="73" t="s">
        <v>283</v>
      </c>
      <c r="D20" s="779" t="s">
        <v>89</v>
      </c>
      <c r="E20" s="424" t="s">
        <v>254</v>
      </c>
      <c r="F20" s="775" t="s">
        <v>90</v>
      </c>
      <c r="G20" s="42" t="str" cm="1">
        <f t="array" ref="G20">IFERROR( INDEX(鍵盤設計表[聲韻調], MATCH(TRUE, EXACT(注音編碼對照表[[#This Row],[方音符號]], 鍵盤設計表[方音符號]),0)), "")</f>
        <v>聲</v>
      </c>
      <c r="H20" s="793" t="str" cm="1">
        <f t="array" ref="H20">IFERROR( INDEX(鍵盤設計表[台語音標], MATCH(TRUE, EXACT(注音編碼對照表[[#This Row],[方音符號]], 鍵盤設計表[方音符號]),0)), "")</f>
        <v>zi</v>
      </c>
      <c r="I20" s="509" t="str" cm="1">
        <f t="array" ref="I20">IFERROR( INDEX(鍵盤設計表[注音二式], MATCH(TRUE, EXACT(注音編碼對照表[[#This Row],[方音符號]], 鍵盤設計表[方音符號]),0)),"")</f>
        <v>j</v>
      </c>
      <c r="J20" s="509" t="str" cm="1">
        <f t="array" ref="J20">IFERROR( INDEX(鍵盤設計表[閩拼方案], MATCH(TRUE, EXACT(注音編碼對照表[[#This Row],[方音符號]], 鍵盤設計表[方音符號]),0)), "")</f>
        <v>j</v>
      </c>
      <c r="L20"/>
      <c r="Q20"/>
      <c r="R20"/>
      <c r="T20"/>
      <c r="W20"/>
    </row>
    <row r="21" spans="2:23" ht="32.25">
      <c r="B21" s="786">
        <f t="shared" si="0"/>
        <v>19</v>
      </c>
      <c r="C21" s="73" t="s">
        <v>600</v>
      </c>
      <c r="D21" s="779" t="s">
        <v>91</v>
      </c>
      <c r="E21" s="424" t="s">
        <v>456</v>
      </c>
      <c r="F21" s="775" t="s">
        <v>892</v>
      </c>
      <c r="G21" s="42" t="str" cm="1">
        <f t="array" ref="G21">IFERROR( INDEX(鍵盤設計表[聲韻調], MATCH(TRUE, EXACT(注音編碼對照表[[#This Row],[方音符號]], 鍵盤設計表[方音符號]),0)), "")</f>
        <v>聲</v>
      </c>
      <c r="H21" s="793" t="str" cm="1">
        <f t="array" ref="H21">IFERROR( INDEX(鍵盤設計表[台語音標], MATCH(TRUE, EXACT(注音編碼對照表[[#This Row],[方音符號]], 鍵盤設計表[方音符號]),0)), "")</f>
        <v>ci</v>
      </c>
      <c r="I21" s="509" t="str" cm="1">
        <f t="array" ref="I21">IFERROR( INDEX(鍵盤設計表[注音二式], MATCH(TRUE, EXACT(注音編碼對照表[[#This Row],[方音符號]], 鍵盤設計表[方音符號]),0)),"")</f>
        <v>ch</v>
      </c>
      <c r="J21" s="509" t="str" cm="1">
        <f t="array" ref="J21">IFERROR( INDEX(鍵盤設計表[閩拼方案], MATCH(TRUE, EXACT(注音編碼對照表[[#This Row],[方音符號]], 鍵盤設計表[方音符號]),0)), "")</f>
        <v>ch</v>
      </c>
      <c r="L21"/>
      <c r="Q21"/>
      <c r="R21"/>
      <c r="T21"/>
      <c r="W21"/>
    </row>
    <row r="22" spans="2:23" ht="32.25">
      <c r="B22" s="786">
        <f t="shared" si="0"/>
        <v>20</v>
      </c>
      <c r="C22" s="73" t="s">
        <v>601</v>
      </c>
      <c r="D22" s="779" t="s">
        <v>284</v>
      </c>
      <c r="E22" s="424" t="s">
        <v>460</v>
      </c>
      <c r="F22" s="775" t="s">
        <v>94</v>
      </c>
      <c r="G22" s="42" t="str" cm="1">
        <f t="array" ref="G22">IFERROR( INDEX(鍵盤設計表[聲韻調], MATCH(TRUE, EXACT(注音編碼對照表[[#This Row],[方音符號]], 鍵盤設計表[方音符號]),0)), "")</f>
        <v>聲</v>
      </c>
      <c r="H22" s="793" t="str" cm="1">
        <f t="array" ref="H22">IFERROR( INDEX(鍵盤設計表[台語音標], MATCH(TRUE, EXACT(注音編碼對照表[[#This Row],[方音符號]], 鍵盤設計表[方音符號]),0)), "")</f>
        <v>si</v>
      </c>
      <c r="I22" s="509" t="str" cm="1">
        <f t="array" ref="I22">IFERROR( INDEX(鍵盤設計表[注音二式], MATCH(TRUE, EXACT(注音編碼對照表[[#This Row],[方音符號]], 鍵盤設計表[方音符號]),0)),"")</f>
        <v>sh</v>
      </c>
      <c r="J22" s="509" t="str" cm="1">
        <f t="array" ref="J22">IFERROR( INDEX(鍵盤設計表[閩拼方案], MATCH(TRUE, EXACT(注音編碼對照表[[#This Row],[方音符號]], 鍵盤設計表[方音符號]),0)), "")</f>
        <v>sh</v>
      </c>
      <c r="L22"/>
      <c r="Q22"/>
      <c r="R22"/>
      <c r="T22"/>
      <c r="W22"/>
    </row>
    <row r="23" spans="2:23" ht="32.25">
      <c r="B23" s="786">
        <f t="shared" si="0"/>
        <v>21</v>
      </c>
      <c r="C23" s="73" t="s">
        <v>305</v>
      </c>
      <c r="D23" s="56" t="s">
        <v>52</v>
      </c>
      <c r="E23" s="424" t="s">
        <v>422</v>
      </c>
      <c r="F23" s="775" t="s">
        <v>53</v>
      </c>
      <c r="G23" s="42" t="str" cm="1">
        <f t="array" ref="G23">IFERROR( INDEX(鍵盤設計表[聲韻調], MATCH(TRUE, EXACT(注音編碼對照表[[#This Row],[方音符號]], 鍵盤設計表[方音符號]),0)), "")</f>
        <v>聲</v>
      </c>
      <c r="H23" s="793" t="str" cm="1">
        <f t="array" ref="H23">IFERROR( INDEX(鍵盤設計表[台語音標], MATCH(TRUE, EXACT(注音編碼對照表[[#This Row],[方音符號]], 鍵盤設計表[方音符號]),0)), "")</f>
        <v>h</v>
      </c>
      <c r="I23" s="509" t="str" cm="1">
        <f t="array" ref="I23">IFERROR( INDEX(鍵盤設計表[注音二式], MATCH(TRUE, EXACT(注音編碼對照表[[#This Row],[方音符號]], 鍵盤設計表[方音符號]),0)),"")</f>
        <v>h</v>
      </c>
      <c r="J23" s="509" t="str" cm="1">
        <f t="array" ref="J23">IFERROR( INDEX(鍵盤設計表[閩拼方案], MATCH(TRUE, EXACT(注音編碼對照表[[#This Row],[方音符號]], 鍵盤設計表[方音符號]),0)), "")</f>
        <v>h</v>
      </c>
      <c r="L23"/>
      <c r="Q23"/>
      <c r="R23"/>
      <c r="T23"/>
      <c r="W23"/>
    </row>
    <row r="24" spans="2:23" ht="32.25">
      <c r="B24" s="780">
        <f t="shared" si="0"/>
        <v>22</v>
      </c>
      <c r="C24" s="73" t="s">
        <v>589</v>
      </c>
      <c r="D24" s="56" t="s">
        <v>58</v>
      </c>
      <c r="E24" s="424" t="s">
        <v>351</v>
      </c>
      <c r="F24" s="775" t="s">
        <v>59</v>
      </c>
      <c r="G24" s="42" t="str" cm="1">
        <f t="array" ref="G24">IFERROR( INDEX(鍵盤設計表[聲韻調], MATCH(TRUE, EXACT(注音編碼對照表[[#This Row],[方音符號]], 鍵盤設計表[方音符號]),0)), "")</f>
        <v>韻</v>
      </c>
      <c r="H24" s="793" t="str" cm="1">
        <f t="array" ref="H24">IFERROR( INDEX(鍵盤設計表[台語音標], MATCH(TRUE, EXACT(注音編碼對照表[[#This Row],[方音符號]], 鍵盤設計表[方音符號]),0)), "")</f>
        <v>a</v>
      </c>
      <c r="I24" s="509" t="str" cm="1">
        <f t="array" ref="I24">IFERROR( INDEX(鍵盤設計表[注音二式], MATCH(TRUE, EXACT(注音編碼對照表[[#This Row],[方音符號]], 鍵盤設計表[方音符號]),0)),"")</f>
        <v>a</v>
      </c>
      <c r="J24" s="509" t="str" cm="1">
        <f t="array" ref="J24">IFERROR( INDEX(鍵盤設計表[閩拼方案], MATCH(TRUE, EXACT(注音編碼對照表[[#This Row],[方音符號]], 鍵盤設計表[方音符號]),0)), "")</f>
        <v>a</v>
      </c>
      <c r="L24"/>
      <c r="Q24"/>
      <c r="R24"/>
      <c r="T24"/>
      <c r="W24"/>
    </row>
    <row r="25" spans="2:23" ht="32.25">
      <c r="B25" s="780">
        <f t="shared" si="0"/>
        <v>23</v>
      </c>
      <c r="C25" s="73" t="s">
        <v>196</v>
      </c>
      <c r="D25" s="778" t="s">
        <v>54</v>
      </c>
      <c r="E25" s="424" t="s">
        <v>279</v>
      </c>
      <c r="F25" s="775" t="s">
        <v>55</v>
      </c>
      <c r="G25" s="42" t="str" cm="1">
        <f t="array" ref="G25">IFERROR( INDEX(鍵盤設計表[聲韻調], MATCH(TRUE, EXACT(注音編碼對照表[[#This Row],[方音符號]], 鍵盤設計表[方音符號]),0)), "")</f>
        <v>韻</v>
      </c>
      <c r="H25" s="793" t="str" cm="1">
        <f t="array" ref="H25">IFERROR( INDEX(鍵盤設計表[台語音標], MATCH(TRUE, EXACT(注音編碼對照表[[#This Row],[方音符號]], 鍵盤設計表[方音符號]),0)), "")</f>
        <v>i</v>
      </c>
      <c r="I25" s="509" t="str" cm="1">
        <f t="array" ref="I25">IFERROR( INDEX(鍵盤設計表[注音二式], MATCH(TRUE, EXACT(注音編碼對照表[[#This Row],[方音符號]], 鍵盤設計表[方音符號]),0)),"")</f>
        <v>i</v>
      </c>
      <c r="J25" s="509" t="str" cm="1">
        <f t="array" ref="J25">IFERROR( INDEX(鍵盤設計表[閩拼方案], MATCH(TRUE, EXACT(注音編碼對照表[[#This Row],[方音符號]], 鍵盤設計表[方音符號]),0)), "")</f>
        <v>i</v>
      </c>
      <c r="L25"/>
      <c r="Q25"/>
      <c r="R25"/>
      <c r="T25"/>
      <c r="W25"/>
    </row>
    <row r="26" spans="2:23" ht="32.25">
      <c r="B26" s="780">
        <f t="shared" si="0"/>
        <v>24</v>
      </c>
      <c r="C26" s="73" t="s">
        <v>425</v>
      </c>
      <c r="D26" s="56" t="s">
        <v>591</v>
      </c>
      <c r="E26" s="424" t="s">
        <v>341</v>
      </c>
      <c r="F26" s="775" t="s">
        <v>8780</v>
      </c>
      <c r="G26" s="42" t="str" cm="1">
        <f t="array" ref="G26">IFERROR( INDEX(鍵盤設計表[聲韻調], MATCH(TRUE, EXACT(注音編碼對照表[[#This Row],[方音符號]], 鍵盤設計表[方音符號]),0)), "")</f>
        <v>韻</v>
      </c>
      <c r="H26" s="793" t="str" cm="1">
        <f t="array" ref="H26">IFERROR( INDEX(鍵盤設計表[台語音標], MATCH(TRUE, EXACT(注音編碼對照表[[#This Row],[方音符號]], 鍵盤設計表[方音符號]),0)), "")</f>
        <v>ir</v>
      </c>
      <c r="I26" s="509" t="str" cm="1">
        <f t="array" ref="I26">IFERROR( INDEX(鍵盤設計表[注音二式], MATCH(TRUE, EXACT(注音編碼對照表[[#This Row],[方音符號]], 鍵盤設計表[方音符號]),0)),"")</f>
        <v>ir</v>
      </c>
      <c r="J26" s="509" t="str" cm="1">
        <f t="array" ref="J26">IFERROR( INDEX(鍵盤設計表[閩拼方案], MATCH(TRUE, EXACT(注音編碼對照表[[#This Row],[方音符號]], 鍵盤設計表[方音符號]),0)), "")</f>
        <v>eu</v>
      </c>
      <c r="L26"/>
      <c r="Q26"/>
      <c r="R26"/>
      <c r="T26"/>
      <c r="W26"/>
    </row>
    <row r="27" spans="2:23" ht="32.25">
      <c r="B27" s="780">
        <f t="shared" si="0"/>
        <v>25</v>
      </c>
      <c r="C27" s="73" t="s">
        <v>254</v>
      </c>
      <c r="D27" s="778" t="s">
        <v>56</v>
      </c>
      <c r="E27" s="424" t="s">
        <v>196</v>
      </c>
      <c r="F27" s="775" t="s">
        <v>57</v>
      </c>
      <c r="G27" s="42" t="str" cm="1">
        <f t="array" ref="G27">IFERROR( INDEX(鍵盤設計表[聲韻調], MATCH(TRUE, EXACT(注音編碼對照表[[#This Row],[方音符號]], 鍵盤設計表[方音符號]),0)), "")</f>
        <v>韻</v>
      </c>
      <c r="H27" s="793" t="str" cm="1">
        <f t="array" ref="H27">IFERROR( INDEX(鍵盤設計表[台語音標], MATCH(TRUE, EXACT(注音編碼對照表[[#This Row],[方音符號]], 鍵盤設計表[方音符號]),0)), "")</f>
        <v>u</v>
      </c>
      <c r="I27" s="509" t="str" cm="1">
        <f t="array" ref="I27">IFERROR( INDEX(鍵盤設計表[注音二式], MATCH(TRUE, EXACT(注音編碼對照表[[#This Row],[方音符號]], 鍵盤設計表[方音符號]),0)),"")</f>
        <v>u</v>
      </c>
      <c r="J27" s="509" t="str" cm="1">
        <f t="array" ref="J27">IFERROR( INDEX(鍵盤設計表[閩拼方案], MATCH(TRUE, EXACT(注音編碼對照表[[#This Row],[方音符號]], 鍵盤設計表[方音符號]),0)), "")</f>
        <v>u</v>
      </c>
      <c r="L27"/>
      <c r="Q27"/>
      <c r="R27"/>
      <c r="T27"/>
      <c r="W27"/>
    </row>
    <row r="28" spans="2:23" ht="32.25">
      <c r="B28" s="780">
        <f t="shared" si="0"/>
        <v>26</v>
      </c>
      <c r="C28" s="73" t="s">
        <v>225</v>
      </c>
      <c r="D28" s="781" t="s">
        <v>61</v>
      </c>
      <c r="E28" s="424" t="s">
        <v>329</v>
      </c>
      <c r="F28" s="782" t="s">
        <v>62</v>
      </c>
      <c r="G28" s="42" t="str" cm="1">
        <f t="array" ref="G28">IFERROR( INDEX(鍵盤設計表[聲韻調], MATCH(TRUE, EXACT(注音編碼對照表[[#This Row],[方音符號]], 鍵盤設計表[方音符號]),0)), "")</f>
        <v>韻</v>
      </c>
      <c r="H28" s="793" t="str" cm="1">
        <f t="array" ref="H28">IFERROR( INDEX(鍵盤設計表[台語音標], MATCH(TRUE, EXACT(注音編碼對照表[[#This Row],[方音符號]], 鍵盤設計表[方音符號]),0)), "")</f>
        <v>e</v>
      </c>
      <c r="I28" s="509" t="str" cm="1">
        <f t="array" ref="I28">IFERROR( INDEX(鍵盤設計表[注音二式], MATCH(TRUE, EXACT(注音編碼對照表[[#This Row],[方音符號]], 鍵盤設計表[方音符號]),0)),"")</f>
        <v>e</v>
      </c>
      <c r="J28" s="509" t="str" cm="1">
        <f t="array" ref="J28">IFERROR( INDEX(鍵盤設計表[閩拼方案], MATCH(TRUE, EXACT(注音編碼對照表[[#This Row],[方音符號]], 鍵盤設計表[方音符號]),0)), "")</f>
        <v>e</v>
      </c>
      <c r="L28"/>
      <c r="Q28"/>
      <c r="R28"/>
      <c r="T28"/>
      <c r="W28"/>
    </row>
    <row r="29" spans="2:23" ht="32.25">
      <c r="B29" s="780">
        <f t="shared" si="0"/>
        <v>27</v>
      </c>
      <c r="C29" s="73" t="s">
        <v>279</v>
      </c>
      <c r="D29" s="56" t="s">
        <v>67</v>
      </c>
      <c r="E29" s="424" t="s">
        <v>267</v>
      </c>
      <c r="F29" s="775" t="s">
        <v>712</v>
      </c>
      <c r="G29" s="42" t="str" cm="1">
        <f t="array" ref="G29">IFERROR( INDEX(鍵盤設計表[聲韻調], MATCH(TRUE, EXACT(注音編碼對照表[[#This Row],[方音符號]], 鍵盤設計表[方音符號]),0)), "")</f>
        <v>韻</v>
      </c>
      <c r="H29" s="793" t="str" cm="1">
        <f t="array" ref="H29">IFERROR( INDEX(鍵盤設計表[台語音標], MATCH(TRUE, EXACT(注音編碼對照表[[#This Row],[方音符號]], 鍵盤設計表[方音符號]),0)), "")</f>
        <v>oo</v>
      </c>
      <c r="I29" s="509" t="str" cm="1">
        <f t="array" ref="I29">IFERROR( INDEX(鍵盤設計表[注音二式], MATCH(TRUE, EXACT(注音編碼對照表[[#This Row],[方音符號]], 鍵盤設計表[方音符號]),0)),"")</f>
        <v>oo</v>
      </c>
      <c r="J29" s="509" t="str" cm="1">
        <f t="array" ref="J29">IFERROR( INDEX(鍵盤設計表[閩拼方案], MATCH(TRUE, EXACT(注音編碼對照表[[#This Row],[方音符號]], 鍵盤設計表[方音符號]),0)), "")</f>
        <v>oo</v>
      </c>
      <c r="L29"/>
      <c r="Q29"/>
      <c r="R29"/>
      <c r="T29"/>
      <c r="W29"/>
    </row>
    <row r="30" spans="2:23" ht="32.25">
      <c r="B30" s="780">
        <f t="shared" si="0"/>
        <v>28</v>
      </c>
      <c r="C30" s="73" t="s">
        <v>37</v>
      </c>
      <c r="D30" s="56" t="s">
        <v>473</v>
      </c>
      <c r="E30" s="424" t="s">
        <v>65</v>
      </c>
      <c r="F30" s="775" t="s">
        <v>713</v>
      </c>
      <c r="G30" s="42" t="str" cm="1">
        <f t="array" ref="G30">IFERROR( INDEX(鍵盤設計表[聲韻調], MATCH(TRUE, EXACT(注音編碼對照表[[#This Row],[方音符號]], 鍵盤設計表[方音符號]),0)), "")</f>
        <v>韻</v>
      </c>
      <c r="H30" s="793" t="str" cm="1">
        <f t="array" ref="H30">IFERROR( INDEX(鍵盤設計表[台語音標], MATCH(TRUE, EXACT(注音編碼對照表[[#This Row],[方音符號]], 鍵盤設計表[方音符號]),0)), "")</f>
        <v>o</v>
      </c>
      <c r="I30" s="509" t="str" cm="1">
        <f t="array" ref="I30">IFERROR( INDEX(鍵盤設計表[注音二式], MATCH(TRUE, EXACT(注音編碼對照表[[#This Row],[方音符號]], 鍵盤設計表[方音符號]),0)),"")</f>
        <v>or</v>
      </c>
      <c r="J30" s="509" t="str" cm="1">
        <f t="array" ref="J30">IFERROR( INDEX(鍵盤設計表[閩拼方案], MATCH(TRUE, EXACT(注音編碼對照表[[#This Row],[方音符號]], 鍵盤設計表[方音符號]),0)), "")</f>
        <v>o</v>
      </c>
      <c r="L30"/>
      <c r="Q30"/>
      <c r="R30"/>
      <c r="T30"/>
      <c r="W30"/>
    </row>
    <row r="31" spans="2:23" ht="32.25">
      <c r="B31" s="780">
        <f t="shared" si="0"/>
        <v>29</v>
      </c>
      <c r="C31" s="73" t="s">
        <v>264</v>
      </c>
      <c r="D31" s="781" t="s">
        <v>241</v>
      </c>
      <c r="E31" s="424" t="s">
        <v>275</v>
      </c>
      <c r="F31" s="775" t="s">
        <v>71</v>
      </c>
      <c r="G31" s="42" t="str" cm="1">
        <f t="array" ref="G31">IFERROR( INDEX(鍵盤設計表[聲韻調], MATCH(TRUE, EXACT(注音編碼對照表[[#This Row],[方音符號]], 鍵盤設計表[方音符號]),0)), "")</f>
        <v>韻</v>
      </c>
      <c r="H31" s="793" t="str" cm="1">
        <f t="array" ref="H31">IFERROR( INDEX(鍵盤設計表[台語音標], MATCH(TRUE, EXACT(注音編碼對照表[[#This Row],[方音符號]], 鍵盤設計表[方音符號]),0)), "")</f>
        <v>ai</v>
      </c>
      <c r="I31" s="509" t="str" cm="1">
        <f t="array" ref="I31">IFERROR( INDEX(鍵盤設計表[注音二式], MATCH(TRUE, EXACT(注音編碼對照表[[#This Row],[方音符號]], 鍵盤設計表[方音符號]),0)),"")</f>
        <v>ai</v>
      </c>
      <c r="J31" s="509" t="str" cm="1">
        <f t="array" ref="J31">IFERROR( INDEX(鍵盤設計表[閩拼方案], MATCH(TRUE, EXACT(注音編碼對照表[[#This Row],[方音符號]], 鍵盤設計表[方音符號]),0)), "")</f>
        <v>ai</v>
      </c>
      <c r="L31"/>
      <c r="Q31"/>
      <c r="R31"/>
      <c r="T31"/>
      <c r="W31"/>
    </row>
    <row r="32" spans="2:23" ht="32.25">
      <c r="B32" s="780">
        <f t="shared" si="0"/>
        <v>30</v>
      </c>
      <c r="C32" s="73" t="s">
        <v>86</v>
      </c>
      <c r="D32" s="56" t="s">
        <v>72</v>
      </c>
      <c r="E32" s="424" t="s">
        <v>259</v>
      </c>
      <c r="F32" s="775" t="s">
        <v>73</v>
      </c>
      <c r="G32" s="42" t="str" cm="1">
        <f t="array" ref="G32">IFERROR( INDEX(鍵盤設計表[聲韻調], MATCH(TRUE, EXACT(注音編碼對照表[[#This Row],[方音符號]], 鍵盤設計表[方音符號]),0)), "")</f>
        <v>韻</v>
      </c>
      <c r="H32" s="793" t="str" cm="1">
        <f t="array" ref="H32">IFERROR( INDEX(鍵盤設計表[台語音標], MATCH(TRUE, EXACT(注音編碼對照表[[#This Row],[方音符號]], 鍵盤設計表[方音符號]),0)), "")</f>
        <v>au</v>
      </c>
      <c r="I32" s="509" t="str" cm="1">
        <f t="array" ref="I32">IFERROR( INDEX(鍵盤設計表[注音二式], MATCH(TRUE, EXACT(注音編碼對照表[[#This Row],[方音符號]], 鍵盤設計表[方音符號]),0)),"")</f>
        <v>au</v>
      </c>
      <c r="J32" s="509" t="str" cm="1">
        <f t="array" ref="J32">IFERROR( INDEX(鍵盤設計表[閩拼方案], MATCH(TRUE, EXACT(注音編碼對照表[[#This Row],[方音符號]], 鍵盤設計表[方音符號]),0)), "")</f>
        <v>au</v>
      </c>
      <c r="L32"/>
      <c r="Q32"/>
      <c r="R32"/>
      <c r="T32"/>
      <c r="W32"/>
    </row>
    <row r="33" spans="2:23" ht="32.25">
      <c r="B33" s="780">
        <f t="shared" si="0"/>
        <v>31</v>
      </c>
      <c r="C33" s="73" t="s">
        <v>281</v>
      </c>
      <c r="D33" s="56" t="s">
        <v>115</v>
      </c>
      <c r="E33" s="823" t="s">
        <v>436</v>
      </c>
      <c r="F33" s="775" t="s">
        <v>349</v>
      </c>
      <c r="G33" s="42" t="str" cm="1">
        <f t="array" ref="G33">IFERROR( INDEX(鍵盤設計表[聲韻調], MATCH(TRUE, EXACT(注音編碼對照表[[#This Row],[方音符號]], 鍵盤設計表[方音符號]),0)), "")</f>
        <v>韻</v>
      </c>
      <c r="H33" s="793" t="str" cm="1">
        <f t="array" ref="H33">IFERROR( INDEX(鍵盤設計表[台語音標], MATCH(TRUE, EXACT(注音編碼對照表[[#This Row],[方音符號]], 鍵盤設計表[方音符號]),0)), "")</f>
        <v>ann</v>
      </c>
      <c r="I33" s="509" t="str" cm="1">
        <f t="array" ref="I33">IFERROR( INDEX(鍵盤設計表[注音二式], MATCH(TRUE, EXACT(注音編碼對照表[[#This Row],[方音符號]], 鍵盤設計表[方音符號]),0)),"")</f>
        <v>ann</v>
      </c>
      <c r="J33" s="509" t="str" cm="1">
        <f t="array" ref="J33">IFERROR( INDEX(鍵盤設計表[閩拼方案], MATCH(TRUE, EXACT(注音編碼對照表[[#This Row],[方音符號]], 鍵盤設計表[方音符號]),0)), "")</f>
        <v>na</v>
      </c>
      <c r="L33"/>
      <c r="Q33"/>
      <c r="R33"/>
      <c r="T33"/>
      <c r="W33"/>
    </row>
    <row r="34" spans="2:23" ht="32.25">
      <c r="B34" s="780">
        <f t="shared" si="0"/>
        <v>32</v>
      </c>
      <c r="C34" s="73" t="s">
        <v>259</v>
      </c>
      <c r="D34" s="56" t="s">
        <v>8696</v>
      </c>
      <c r="E34" s="823" t="s">
        <v>426</v>
      </c>
      <c r="F34" s="775" t="s">
        <v>725</v>
      </c>
      <c r="G34" s="42" t="str" cm="1">
        <f t="array" ref="G34">IFERROR( INDEX(鍵盤設計表[聲韻調], MATCH(TRUE, EXACT(注音編碼對照表[[#This Row],[方音符號]], 鍵盤設計表[方音符號]),0)), "")</f>
        <v>韻</v>
      </c>
      <c r="H34" s="793" t="str" cm="1">
        <f t="array" ref="H34">IFERROR( INDEX(鍵盤設計表[台語音標], MATCH(TRUE, EXACT(注音編碼對照表[[#This Row],[方音符號]], 鍵盤設計表[方音符號]),0)), "")</f>
        <v>inn</v>
      </c>
      <c r="I34" s="509" t="str" cm="1">
        <f t="array" ref="I34">IFERROR( INDEX(鍵盤設計表[注音二式], MATCH(TRUE, EXACT(注音編碼對照表[[#This Row],[方音符號]], 鍵盤設計表[方音符號]),0)),"")</f>
        <v>inn</v>
      </c>
      <c r="J34" s="509" t="str" cm="1">
        <f t="array" ref="J34">IFERROR( INDEX(鍵盤設計表[閩拼方案], MATCH(TRUE, EXACT(注音編碼對照表[[#This Row],[方音符號]], 鍵盤設計表[方音符號]),0)), "")</f>
        <v>ni</v>
      </c>
      <c r="L34"/>
      <c r="Q34"/>
      <c r="R34"/>
      <c r="T34"/>
      <c r="W34"/>
    </row>
    <row r="35" spans="2:23" ht="32.25">
      <c r="B35" s="780">
        <f t="shared" ref="B35:B62" si="1">ROW() - 2</f>
        <v>33</v>
      </c>
      <c r="C35" s="73" t="s">
        <v>249</v>
      </c>
      <c r="D35" s="778" t="s">
        <v>113</v>
      </c>
      <c r="E35" s="823" t="s">
        <v>414</v>
      </c>
      <c r="F35" s="775" t="s">
        <v>724</v>
      </c>
      <c r="G35" s="42" t="str" cm="1">
        <f t="array" ref="G35">IFERROR( INDEX(鍵盤設計表[聲韻調], MATCH(TRUE, EXACT(注音編碼對照表[[#This Row],[方音符號]], 鍵盤設計表[方音符號]),0)), "")</f>
        <v>韻</v>
      </c>
      <c r="H35" s="793" t="str" cm="1">
        <f t="array" ref="H35">IFERROR( INDEX(鍵盤設計表[台語音標], MATCH(TRUE, EXACT(注音編碼對照表[[#This Row],[方音符號]], 鍵盤設計表[方音符號]),0)), "")</f>
        <v>unn</v>
      </c>
      <c r="I35" s="509" t="str" cm="1">
        <f t="array" ref="I35">IFERROR( INDEX(鍵盤設計表[注音二式], MATCH(TRUE, EXACT(注音編碼對照表[[#This Row],[方音符號]], 鍵盤設計表[方音符號]),0)),"")</f>
        <v>unn</v>
      </c>
      <c r="J35" s="509" t="str" cm="1">
        <f t="array" ref="J35">IFERROR( INDEX(鍵盤設計表[閩拼方案], MATCH(TRUE, EXACT(注音編碼對照表[[#This Row],[方音符號]], 鍵盤設計表[方音符號]),0)), "")</f>
        <v>nu</v>
      </c>
      <c r="K35" s="370"/>
      <c r="L35"/>
      <c r="Q35"/>
      <c r="R35"/>
      <c r="T35"/>
      <c r="W35"/>
    </row>
    <row r="36" spans="2:23" ht="32.25">
      <c r="B36" s="780">
        <f t="shared" si="1"/>
        <v>34</v>
      </c>
      <c r="C36" s="73" t="s">
        <v>223</v>
      </c>
      <c r="D36" s="56" t="s">
        <v>119</v>
      </c>
      <c r="E36" s="823" t="s">
        <v>421</v>
      </c>
      <c r="F36" s="775" t="s">
        <v>726</v>
      </c>
      <c r="G36" s="42" t="str" cm="1">
        <f t="array" ref="G36">IFERROR( INDEX(鍵盤設計表[聲韻調], MATCH(TRUE, EXACT(注音編碼對照表[[#This Row],[方音符號]], 鍵盤設計表[方音符號]),0)), "")</f>
        <v>韻</v>
      </c>
      <c r="H36" s="793" t="str" cm="1">
        <f t="array" ref="H36">IFERROR( INDEX(鍵盤設計表[台語音標], MATCH(TRUE, EXACT(注音編碼對照表[[#This Row],[方音符號]], 鍵盤設計表[方音符號]),0)), "")</f>
        <v>enn</v>
      </c>
      <c r="I36" s="509" t="str" cm="1">
        <f t="array" ref="I36">IFERROR( INDEX(鍵盤設計表[注音二式], MATCH(TRUE, EXACT(注音編碼對照表[[#This Row],[方音符號]], 鍵盤設計表[方音符號]),0)),"")</f>
        <v>enn</v>
      </c>
      <c r="J36" s="509" t="str" cm="1">
        <f t="array" ref="J36">IFERROR( INDEX(鍵盤設計表[閩拼方案], MATCH(TRUE, EXACT(注音編碼對照表[[#This Row],[方音符號]], 鍵盤設計表[方音符號]),0)), "")</f>
        <v>ne</v>
      </c>
      <c r="K36" s="370"/>
      <c r="L36"/>
      <c r="Q36"/>
      <c r="R36"/>
      <c r="T36"/>
      <c r="W36"/>
    </row>
    <row r="37" spans="2:23" ht="32.25">
      <c r="B37" s="780">
        <f t="shared" si="1"/>
        <v>35</v>
      </c>
      <c r="C37" s="73" t="s">
        <v>275</v>
      </c>
      <c r="D37" s="56" t="s">
        <v>121</v>
      </c>
      <c r="E37" s="424" t="s">
        <v>397</v>
      </c>
      <c r="F37" s="775" t="s">
        <v>729</v>
      </c>
      <c r="G37" s="42" t="str" cm="1">
        <f t="array" ref="G37">IFERROR( INDEX(鍵盤設計表[聲韻調], MATCH(TRUE, EXACT(注音編碼對照表[[#This Row],[方音符號]], 鍵盤設計表[方音符號]),0)), "")</f>
        <v>韻</v>
      </c>
      <c r="H37" s="793" t="str" cm="1">
        <f t="array" ref="H37">IFERROR( INDEX(鍵盤設計表[台語音標], MATCH(TRUE, EXACT(注音編碼對照表[[#This Row],[方音符號]], 鍵盤設計表[方音符號]),0)), "")</f>
        <v>onn</v>
      </c>
      <c r="I37" s="509" t="str" cm="1">
        <f t="array" ref="I37">IFERROR( INDEX(鍵盤設計表[注音二式], MATCH(TRUE, EXACT(注音編碼對照表[[#This Row],[方音符號]], 鍵盤設計表[方音符號]),0)),"")</f>
        <v>oonn</v>
      </c>
      <c r="J37" s="509" t="str" cm="1">
        <f t="array" ref="J37">IFERROR( INDEX(鍵盤設計表[閩拼方案], MATCH(TRUE, EXACT(注音編碼對照表[[#This Row],[方音符號]], 鍵盤設計表[方音符號]),0)), "")</f>
        <v>no</v>
      </c>
      <c r="L37"/>
      <c r="Q37"/>
      <c r="R37"/>
      <c r="T37"/>
      <c r="W37"/>
    </row>
    <row r="38" spans="2:23" ht="32.25">
      <c r="B38" s="780">
        <f t="shared" si="1"/>
        <v>36</v>
      </c>
      <c r="C38" s="73" t="s">
        <v>240</v>
      </c>
      <c r="D38" s="56" t="s">
        <v>117</v>
      </c>
      <c r="E38" s="424" t="s">
        <v>332</v>
      </c>
      <c r="F38" s="775" t="s">
        <v>8778</v>
      </c>
      <c r="G38" s="42" t="str" cm="1">
        <f t="array" ref="G38">IFERROR( INDEX(鍵盤設計表[聲韻調], MATCH(TRUE, EXACT(注音編碼對照表[[#This Row],[方音符號]], 鍵盤設計表[方音符號]),0)), "")</f>
        <v>韻</v>
      </c>
      <c r="H38" s="793" t="str" cm="1">
        <f t="array" ref="H38">IFERROR( INDEX(鍵盤設計表[台語音標], MATCH(TRUE, EXACT(注音編碼對照表[[#This Row],[方音符號]], 鍵盤設計表[方音符號]),0)), "")</f>
        <v>ainn</v>
      </c>
      <c r="I38" s="509" t="str" cm="1">
        <f t="array" ref="I38">IFERROR( INDEX(鍵盤設計表[注音二式], MATCH(TRUE, EXACT(注音編碼對照表[[#This Row],[方音符號]], 鍵盤設計表[方音符號]),0)),"")</f>
        <v>ainn</v>
      </c>
      <c r="J38" s="509" t="str" cm="1">
        <f t="array" ref="J38">IFERROR( INDEX(鍵盤設計表[閩拼方案], MATCH(TRUE, EXACT(注音編碼對照表[[#This Row],[方音符號]], 鍵盤設計表[方音符號]),0)), "")</f>
        <v>nai</v>
      </c>
      <c r="L38"/>
      <c r="Q38"/>
      <c r="R38"/>
      <c r="T38"/>
      <c r="W38"/>
    </row>
    <row r="39" spans="2:23" ht="32.25">
      <c r="B39" s="780">
        <f t="shared" si="1"/>
        <v>37</v>
      </c>
      <c r="C39" s="73" t="s">
        <v>231</v>
      </c>
      <c r="D39" s="56" t="s">
        <v>123</v>
      </c>
      <c r="E39" s="424" t="s">
        <v>588</v>
      </c>
      <c r="F39" s="775" t="s">
        <v>8779</v>
      </c>
      <c r="G39" s="42" t="str" cm="1">
        <f t="array" ref="G39">IFERROR( INDEX(鍵盤設計表[聲韻調], MATCH(TRUE, EXACT(注音編碼對照表[[#This Row],[方音符號]], 鍵盤設計表[方音符號]),0)), "")</f>
        <v>韻</v>
      </c>
      <c r="H39" s="793" t="str" cm="1">
        <f t="array" ref="H39">IFERROR( INDEX(鍵盤設計表[台語音標], MATCH(TRUE, EXACT(注音編碼對照表[[#This Row],[方音符號]], 鍵盤設計表[方音符號]),0)), "")</f>
        <v>aunn</v>
      </c>
      <c r="I39" s="509" t="str" cm="1">
        <f t="array" ref="I39">IFERROR( INDEX(鍵盤設計表[注音二式], MATCH(TRUE, EXACT(注音編碼對照表[[#This Row],[方音符號]], 鍵盤設計表[方音符號]),0)),"")</f>
        <v>aunn</v>
      </c>
      <c r="J39" s="509" t="str" cm="1">
        <f t="array" ref="J39">IFERROR( INDEX(鍵盤設計表[閩拼方案], MATCH(TRUE, EXACT(注音編碼對照表[[#This Row],[方音符號]], 鍵盤設計表[方音符號]),0)), "")</f>
        <v>nau</v>
      </c>
      <c r="L39"/>
      <c r="Q39"/>
      <c r="R39"/>
      <c r="T39"/>
      <c r="W39"/>
    </row>
    <row r="40" spans="2:23" ht="32.25">
      <c r="B40" s="780">
        <f t="shared" si="1"/>
        <v>38</v>
      </c>
      <c r="C40" s="73" t="s">
        <v>143</v>
      </c>
      <c r="D40" s="56" t="s">
        <v>145</v>
      </c>
      <c r="E40" s="424" t="s">
        <v>525</v>
      </c>
      <c r="F40" s="775" t="s">
        <v>745</v>
      </c>
      <c r="G40" s="42" t="str" cm="1">
        <f t="array" ref="G40">IFERROR( INDEX(鍵盤設計表[聲韻調], MATCH(TRUE, EXACT(注音編碼對照表[[#This Row],[方音符號]], 鍵盤設計表[方音符號]),0)), "")</f>
        <v>韻</v>
      </c>
      <c r="H40" s="793" t="str" cm="1">
        <f t="array" ref="H40">IFERROR( INDEX(鍵盤設計表[台語音標], MATCH(TRUE, EXACT(注音編碼對照表[[#This Row],[方音符號]], 鍵盤設計表[方音符號]),0)), "")</f>
        <v>m</v>
      </c>
      <c r="I40" s="509" t="str" cm="1">
        <f t="array" ref="I40">IFERROR( INDEX(鍵盤設計表[注音二式], MATCH(TRUE, EXACT(注音編碼對照表[[#This Row],[方音符號]], 鍵盤設計表[方音符號]),0)),"")</f>
        <v>m</v>
      </c>
      <c r="J40" s="509" t="str" cm="1">
        <f t="array" ref="J40">IFERROR( INDEX(鍵盤設計表[閩拼方案], MATCH(TRUE, EXACT(注音編碼對照表[[#This Row],[方音符號]], 鍵盤設計表[方音符號]),0)), "")</f>
        <v>m</v>
      </c>
      <c r="L40"/>
      <c r="Q40"/>
      <c r="R40"/>
      <c r="T40"/>
      <c r="W40"/>
    </row>
    <row r="41" spans="2:23" ht="32.25">
      <c r="B41" s="780">
        <f t="shared" si="1"/>
        <v>39</v>
      </c>
      <c r="C41" s="73" t="s">
        <v>217</v>
      </c>
      <c r="D41" s="779" t="s">
        <v>740</v>
      </c>
      <c r="E41" s="424" t="s">
        <v>569</v>
      </c>
      <c r="F41" s="775" t="s">
        <v>739</v>
      </c>
      <c r="G41" s="42" t="str" cm="1">
        <f t="array" ref="G41">IFERROR( INDEX(鍵盤設計表[聲韻調], MATCH(TRUE, EXACT(注音編碼對照表[[#This Row],[方音符號]], 鍵盤設計表[方音符號]),0)), "")</f>
        <v>韻</v>
      </c>
      <c r="H41" s="793" t="str" cm="1">
        <f t="array" ref="H41">IFERROR( INDEX(鍵盤設計表[台語音標], MATCH(TRUE, EXACT(注音編碼對照表[[#This Row],[方音符號]], 鍵盤設計表[方音符號]),0)), "")</f>
        <v>n</v>
      </c>
      <c r="I41" s="509" t="str" cm="1">
        <f t="array" ref="I41">IFERROR( INDEX(鍵盤設計表[注音二式], MATCH(TRUE, EXACT(注音編碼對照表[[#This Row],[方音符號]], 鍵盤設計表[方音符號]),0)),"")</f>
        <v>n</v>
      </c>
      <c r="J41" s="509" t="str" cm="1">
        <f t="array" ref="J41">IFERROR( INDEX(鍵盤設計表[閩拼方案], MATCH(TRUE, EXACT(注音編碼對照表[[#This Row],[方音符號]], 鍵盤設計表[方音符號]),0)), "")</f>
        <v>n</v>
      </c>
      <c r="L41"/>
      <c r="Q41"/>
      <c r="R41"/>
      <c r="T41"/>
      <c r="W41"/>
    </row>
    <row r="42" spans="2:23" ht="32.25">
      <c r="B42" s="780">
        <f t="shared" si="1"/>
        <v>40</v>
      </c>
      <c r="C42" s="73" t="s">
        <v>202</v>
      </c>
      <c r="D42" s="56" t="s">
        <v>74</v>
      </c>
      <c r="E42" s="424" t="s">
        <v>141</v>
      </c>
      <c r="F42" s="775" t="s">
        <v>746</v>
      </c>
      <c r="G42" s="42" t="str" cm="1">
        <f t="array" ref="G42">IFERROR( INDEX(鍵盤設計表[聲韻調], MATCH(TRUE, EXACT(注音編碼對照表[[#This Row],[方音符號]], 鍵盤設計表[方音符號]),0)), "")</f>
        <v>韻</v>
      </c>
      <c r="H42" s="793" t="str" cm="1">
        <f t="array" ref="H42">IFERROR( INDEX(鍵盤設計表[台語音標], MATCH(TRUE, EXACT(注音編碼對照表[[#This Row],[方音符號]], 鍵盤設計表[方音符號]),0)), "")</f>
        <v>ng</v>
      </c>
      <c r="I42" s="509" t="str" cm="1">
        <f t="array" ref="I42">IFERROR( INDEX(鍵盤設計表[注音二式], MATCH(TRUE, EXACT(注音編碼對照表[[#This Row],[方音符號]], 鍵盤設計表[方音符號]),0)),"")</f>
        <v>ng</v>
      </c>
      <c r="J42" s="509" t="str" cm="1">
        <f t="array" ref="J42">IFERROR( INDEX(鍵盤設計表[閩拼方案], MATCH(TRUE, EXACT(注音編碼對照表[[#This Row],[方音符號]], 鍵盤設計表[方音符號]),0)), "")</f>
        <v>ng</v>
      </c>
      <c r="L42"/>
      <c r="Q42"/>
      <c r="R42"/>
      <c r="T42"/>
      <c r="W42"/>
    </row>
    <row r="43" spans="2:23" ht="32.25">
      <c r="B43" s="780">
        <f t="shared" si="1"/>
        <v>41</v>
      </c>
      <c r="C43" s="73" t="s">
        <v>525</v>
      </c>
      <c r="D43" s="56" t="s">
        <v>99</v>
      </c>
      <c r="E43" s="424" t="s">
        <v>447</v>
      </c>
      <c r="F43" s="775" t="s">
        <v>100</v>
      </c>
      <c r="G43" s="42" t="str" cm="1">
        <f t="array" ref="G43">IFERROR( INDEX(鍵盤設計表[聲韻調], MATCH(TRUE, EXACT(注音編碼對照表[[#This Row],[方音符號]], 鍵盤設計表[方音符號]),0)), "")</f>
        <v>韻</v>
      </c>
      <c r="H43" s="793" t="str" cm="1">
        <f t="array" ref="H43">IFERROR( INDEX(鍵盤設計表[台語音標], MATCH(TRUE, EXACT(注音編碼對照表[[#This Row],[方音符號]], 鍵盤設計表[方音符號]),0)), "")</f>
        <v>am</v>
      </c>
      <c r="I43" s="509" t="str" cm="1">
        <f t="array" ref="I43">IFERROR( INDEX(鍵盤設計表[注音二式], MATCH(TRUE, EXACT(注音編碼對照表[[#This Row],[方音符號]], 鍵盤設計表[方音符號]),0)),"")</f>
        <v>am</v>
      </c>
      <c r="J43" s="509" t="str" cm="1">
        <f t="array" ref="J43">IFERROR( INDEX(鍵盤設計表[閩拼方案], MATCH(TRUE, EXACT(注音編碼對照表[[#This Row],[方音符號]], 鍵盤設計表[方音符號]),0)), "")</f>
        <v>am</v>
      </c>
      <c r="L43"/>
      <c r="Q43"/>
      <c r="R43"/>
      <c r="T43"/>
      <c r="W43"/>
    </row>
    <row r="44" spans="2:23" ht="32.25">
      <c r="B44" s="780">
        <f t="shared" si="1"/>
        <v>42</v>
      </c>
      <c r="C44" s="73" t="s">
        <v>219</v>
      </c>
      <c r="D44" s="56" t="s">
        <v>97</v>
      </c>
      <c r="E44" s="424" t="s">
        <v>611</v>
      </c>
      <c r="F44" s="775" t="s">
        <v>98</v>
      </c>
      <c r="G44" s="42" t="str" cm="1">
        <f t="array" ref="G44">IFERROR( INDEX(鍵盤設計表[聲韻調], MATCH(TRUE, EXACT(注音編碼對照表[[#This Row],[方音符號]], 鍵盤設計表[方音符號]),0)), "")</f>
        <v>韻</v>
      </c>
      <c r="H44" s="793" t="str" cm="1">
        <f t="array" ref="H44">IFERROR( INDEX(鍵盤設計表[台語音標], MATCH(TRUE, EXACT(注音編碼對照表[[#This Row],[方音符號]], 鍵盤設計表[方音符號]),0)), "")</f>
        <v>an</v>
      </c>
      <c r="I44" s="509" t="str" cm="1">
        <f t="array" ref="I44">IFERROR( INDEX(鍵盤設計表[注音二式], MATCH(TRUE, EXACT(注音編碼對照表[[#This Row],[方音符號]], 鍵盤設計表[方音符號]),0)),"")</f>
        <v>an</v>
      </c>
      <c r="J44" s="509" t="str" cm="1">
        <f t="array" ref="J44">IFERROR( INDEX(鍵盤設計表[閩拼方案], MATCH(TRUE, EXACT(注音編碼對照表[[#This Row],[方音符號]], 鍵盤設計表[方音符號]),0)), "")</f>
        <v>an</v>
      </c>
      <c r="L44"/>
      <c r="Q44"/>
      <c r="R44"/>
      <c r="T44"/>
      <c r="W44"/>
    </row>
    <row r="45" spans="2:23" ht="32.25">
      <c r="B45" s="780">
        <f t="shared" si="1"/>
        <v>43</v>
      </c>
      <c r="C45" s="73" t="s">
        <v>212</v>
      </c>
      <c r="D45" s="56" t="s">
        <v>95</v>
      </c>
      <c r="E45" s="424" t="s">
        <v>609</v>
      </c>
      <c r="F45" s="775" t="s">
        <v>720</v>
      </c>
      <c r="G45" s="42" t="str" cm="1">
        <f t="array" ref="G45">IFERROR( INDEX(鍵盤設計表[聲韻調], MATCH(TRUE, EXACT(注音編碼對照表[[#This Row],[方音符號]], 鍵盤設計表[方音符號]),0)), "")</f>
        <v>韻</v>
      </c>
      <c r="H45" s="793" t="str" cm="1">
        <f t="array" ref="H45">IFERROR( INDEX(鍵盤設計表[台語音標], MATCH(TRUE, EXACT(注音編碼對照表[[#This Row],[方音符號]], 鍵盤設計表[方音符號]),0)), "")</f>
        <v>ang</v>
      </c>
      <c r="I45" s="509" t="str" cm="1">
        <f t="array" ref="I45">IFERROR( INDEX(鍵盤設計表[注音二式], MATCH(TRUE, EXACT(注音編碼對照表[[#This Row],[方音符號]], 鍵盤設計表[方音符號]),0)),"")</f>
        <v>ang</v>
      </c>
      <c r="J45" s="509" t="str" cm="1">
        <f t="array" ref="J45">IFERROR( INDEX(鍵盤設計表[閩拼方案], MATCH(TRUE, EXACT(注音編碼對照表[[#This Row],[方音符號]], 鍵盤設計表[方音符號]),0)), "")</f>
        <v>ang</v>
      </c>
      <c r="L45"/>
      <c r="Q45"/>
      <c r="R45"/>
      <c r="T45"/>
      <c r="W45"/>
    </row>
    <row r="46" spans="2:23" ht="32.25">
      <c r="B46" s="780">
        <f t="shared" si="1"/>
        <v>44</v>
      </c>
      <c r="C46" s="73" t="s">
        <v>267</v>
      </c>
      <c r="D46" s="783" t="s">
        <v>125</v>
      </c>
      <c r="E46" s="424" t="s">
        <v>559</v>
      </c>
      <c r="F46" s="775" t="s">
        <v>126</v>
      </c>
      <c r="G46" s="42" t="str" cm="1">
        <f t="array" ref="G46">IFERROR( INDEX(鍵盤設計表[聲韻調], MATCH(TRUE, EXACT(注音編碼對照表[[#This Row],[方音符號]], 鍵盤設計表[方音符號]),0)), "")</f>
        <v>韻</v>
      </c>
      <c r="H46" s="793" t="str" cm="1">
        <f t="array" ref="H46">IFERROR( INDEX(鍵盤設計表[台語音標], MATCH(TRUE, EXACT(注音編碼對照表[[#This Row],[方音符號]], 鍵盤設計表[方音符號]),0)), "")</f>
        <v>om</v>
      </c>
      <c r="I46" s="509" t="str" cm="1">
        <f t="array" ref="I46">IFERROR( INDEX(鍵盤設計表[注音二式], MATCH(TRUE, EXACT(注音編碼對照表[[#This Row],[方音符號]], 鍵盤設計表[方音符號]),0)),"")</f>
        <v>om</v>
      </c>
      <c r="J46" s="509" t="str" cm="1">
        <f t="array" ref="J46">IFERROR( INDEX(鍵盤設計表[閩拼方案], MATCH(TRUE, EXACT(注音編碼對照表[[#This Row],[方音符號]], 鍵盤設計表[方音符號]),0)), "")</f>
        <v>om</v>
      </c>
      <c r="L46"/>
      <c r="Q46"/>
      <c r="R46"/>
      <c r="T46"/>
      <c r="W46"/>
    </row>
    <row r="47" spans="2:23" ht="32.25">
      <c r="B47" s="780">
        <f t="shared" si="1"/>
        <v>45</v>
      </c>
      <c r="C47" s="73" t="s">
        <v>65</v>
      </c>
      <c r="D47" s="56" t="s">
        <v>101</v>
      </c>
      <c r="E47" s="424" t="s">
        <v>454</v>
      </c>
      <c r="F47" s="775" t="s">
        <v>741</v>
      </c>
      <c r="G47" s="42" t="str" cm="1">
        <f t="array" ref="G47">IFERROR( INDEX(鍵盤設計表[聲韻調], MATCH(TRUE, EXACT(注音編碼對照表[[#This Row],[方音符號]], 鍵盤設計表[方音符號]),0)), "")</f>
        <v>韻</v>
      </c>
      <c r="H47" s="793" t="str" cm="1">
        <f t="array" ref="H47">IFERROR( INDEX(鍵盤設計表[台語音標], MATCH(TRUE, EXACT(注音編碼對照表[[#This Row],[方音符號]], 鍵盤設計表[方音符號]),0)), "")</f>
        <v>ong</v>
      </c>
      <c r="I47" s="509" t="str" cm="1">
        <f t="array" ref="I47">IFERROR( INDEX(鍵盤設計表[注音二式], MATCH(TRUE, EXACT(注音編碼對照表[[#This Row],[方音符號]], 鍵盤設計表[方音符號]),0)),"")</f>
        <v>ong</v>
      </c>
      <c r="J47" s="509" t="str" cm="1">
        <f t="array" ref="J47">IFERROR( INDEX(鍵盤設計表[閩拼方案], MATCH(TRUE, EXACT(注音編碼對照表[[#This Row],[方音符號]], 鍵盤設計表[方音符號]),0)), "")</f>
        <v>ong</v>
      </c>
      <c r="L47"/>
      <c r="Q47"/>
      <c r="R47"/>
      <c r="T47"/>
      <c r="W47"/>
    </row>
    <row r="48" spans="2:23" ht="32.25">
      <c r="B48" s="780">
        <f t="shared" si="1"/>
        <v>46</v>
      </c>
      <c r="C48" s="73" t="s">
        <v>190</v>
      </c>
      <c r="D48" s="56" t="s">
        <v>128</v>
      </c>
      <c r="E48" s="424" t="s">
        <v>358</v>
      </c>
      <c r="F48" s="784" t="s">
        <v>747</v>
      </c>
      <c r="G48" s="42" t="str" cm="1">
        <f t="array" ref="G48">IFERROR( INDEX(鍵盤設計表[聲韻調], MATCH(TRUE, EXACT(注音編碼對照表[[#This Row],[方音符號]], 鍵盤設計表[方音符號]),0)), "")</f>
        <v>韻尾</v>
      </c>
      <c r="H48" s="793" t="str" cm="1">
        <f t="array" ref="H48">IFERROR( INDEX(鍵盤設計表[台語音標], MATCH(TRUE, EXACT(注音編碼對照表[[#This Row],[方音符號]], 鍵盤設計表[方音符號]),0)), "")</f>
        <v>p</v>
      </c>
      <c r="I48" s="509" t="str" cm="1">
        <f t="array" ref="I48">IFERROR( INDEX(鍵盤設計表[注音二式], MATCH(TRUE, EXACT(注音編碼對照表[[#This Row],[方音符號]], 鍵盤設計表[方音符號]),0)),"")</f>
        <v>p</v>
      </c>
      <c r="J48" s="509" t="str" cm="1">
        <f t="array" ref="J48">IFERROR( INDEX(鍵盤設計表[閩拼方案], MATCH(TRUE, EXACT(注音編碼對照表[[#This Row],[方音符號]], 鍵盤設計表[方音符號]),0)), "")</f>
        <v>p</v>
      </c>
      <c r="L48"/>
      <c r="Q48"/>
      <c r="R48"/>
      <c r="T48"/>
      <c r="W48"/>
    </row>
    <row r="49" spans="2:23" ht="32.25">
      <c r="B49" s="780">
        <f t="shared" si="1"/>
        <v>47</v>
      </c>
      <c r="C49" s="73" t="s">
        <v>30</v>
      </c>
      <c r="D49" s="56" t="s">
        <v>130</v>
      </c>
      <c r="E49" s="424" t="s">
        <v>337</v>
      </c>
      <c r="F49" s="784" t="s">
        <v>748</v>
      </c>
      <c r="G49" s="42" t="str" cm="1">
        <f t="array" ref="G49">IFERROR( INDEX(鍵盤設計表[聲韻調], MATCH(TRUE, EXACT(注音編碼對照表[[#This Row],[方音符號]], 鍵盤設計表[方音符號]),0)), "")</f>
        <v>韻尾</v>
      </c>
      <c r="H49" s="793" t="str" cm="1">
        <f t="array" ref="H49">IFERROR( INDEX(鍵盤設計表[台語音標], MATCH(TRUE, EXACT(注音編碼對照表[[#This Row],[方音符號]], 鍵盤設計表[方音符號]),0)), "")</f>
        <v>t</v>
      </c>
      <c r="I49" s="509" t="str" cm="1">
        <f t="array" ref="I49">IFERROR( INDEX(鍵盤設計表[注音二式], MATCH(TRUE, EXACT(注音編碼對照表[[#This Row],[方音符號]], 鍵盤設計表[方音符號]),0)),"")</f>
        <v>t</v>
      </c>
      <c r="J49" s="509" t="str" cm="1">
        <f t="array" ref="J49">IFERROR( INDEX(鍵盤設計表[閩拼方案], MATCH(TRUE, EXACT(注音編碼對照表[[#This Row],[方音符號]], 鍵盤設計表[方音符號]),0)), "")</f>
        <v>t</v>
      </c>
      <c r="L49"/>
      <c r="Q49"/>
      <c r="R49"/>
      <c r="T49"/>
      <c r="W49"/>
    </row>
    <row r="50" spans="2:23" ht="32.25">
      <c r="B50" s="780">
        <f t="shared" si="1"/>
        <v>48</v>
      </c>
      <c r="C50" s="73" t="s">
        <v>184</v>
      </c>
      <c r="D50" s="56" t="s">
        <v>132</v>
      </c>
      <c r="E50" s="424" t="s">
        <v>316</v>
      </c>
      <c r="F50" s="784" t="s">
        <v>749</v>
      </c>
      <c r="G50" s="42" t="str" cm="1">
        <f t="array" ref="G50">IFERROR( INDEX(鍵盤設計表[聲韻調], MATCH(TRUE, EXACT(注音編碼對照表[[#This Row],[方音符號]], 鍵盤設計表[方音符號]),0)), "")</f>
        <v>韻尾</v>
      </c>
      <c r="H50" s="793" t="str" cm="1">
        <f t="array" ref="H50">IFERROR( INDEX(鍵盤設計表[台語音標], MATCH(TRUE, EXACT(注音編碼對照表[[#This Row],[方音符號]], 鍵盤設計表[方音符號]),0)), "")</f>
        <v>k</v>
      </c>
      <c r="I50" s="509" t="str" cm="1">
        <f t="array" ref="I50">IFERROR( INDEX(鍵盤設計表[注音二式], MATCH(TRUE, EXACT(注音編碼對照表[[#This Row],[方音符號]], 鍵盤設計表[方音符號]),0)),"")</f>
        <v>k</v>
      </c>
      <c r="J50" s="509" t="str" cm="1">
        <f t="array" ref="J50">IFERROR( INDEX(鍵盤設計表[閩拼方案], MATCH(TRUE, EXACT(注音編碼對照表[[#This Row],[方音符號]], 鍵盤設計表[方音符號]),0)), "")</f>
        <v>k</v>
      </c>
      <c r="L50"/>
      <c r="Q50"/>
      <c r="R50"/>
      <c r="T50"/>
      <c r="W50"/>
    </row>
    <row r="51" spans="2:23" ht="32.25">
      <c r="B51" s="780">
        <f t="shared" si="1"/>
        <v>49</v>
      </c>
      <c r="C51" s="73" t="s">
        <v>179</v>
      </c>
      <c r="D51" s="56" t="s">
        <v>627</v>
      </c>
      <c r="E51" s="424" t="s">
        <v>568</v>
      </c>
      <c r="F51" s="784" t="s">
        <v>750</v>
      </c>
      <c r="G51" s="42" t="str" cm="1">
        <f t="array" ref="G51">IFERROR( INDEX(鍵盤設計表[聲韻調], MATCH(TRUE, EXACT(注音編碼對照表[[#This Row],[方音符號]], 鍵盤設計表[方音符號]),0)), "")</f>
        <v>韻尾</v>
      </c>
      <c r="H51" s="793" t="str" cm="1">
        <f t="array" ref="H51">IFERROR( INDEX(鍵盤設計表[台語音標], MATCH(TRUE, EXACT(注音編碼對照表[[#This Row],[方音符號]], 鍵盤設計表[方音符號]),0)), "")</f>
        <v>h</v>
      </c>
      <c r="I51" s="509" t="str" cm="1">
        <f t="array" ref="I51">IFERROR( INDEX(鍵盤設計表[注音二式], MATCH(TRUE, EXACT(注音編碼對照表[[#This Row],[方音符號]], 鍵盤設計表[方音符號]),0)),"")</f>
        <v>h</v>
      </c>
      <c r="J51" s="509" t="str" cm="1">
        <f t="array" ref="J51">IFERROR( INDEX(鍵盤設計表[閩拼方案], MATCH(TRUE, EXACT(注音編碼對照表[[#This Row],[方音符號]], 鍵盤設計表[方音符號]),0)), "")</f>
        <v>h</v>
      </c>
      <c r="L51"/>
      <c r="Q51"/>
      <c r="R51"/>
      <c r="T51"/>
      <c r="W51"/>
    </row>
    <row r="52" spans="2:23" ht="32.25">
      <c r="B52" s="780">
        <f t="shared" si="1"/>
        <v>50</v>
      </c>
      <c r="C52" s="794" t="s">
        <v>526</v>
      </c>
      <c r="D52" s="56" t="s">
        <v>531</v>
      </c>
      <c r="E52" s="424">
        <v>1</v>
      </c>
      <c r="F52" s="775"/>
      <c r="G52" s="56" t="str" cm="1">
        <f t="array" ref="G52">IFERROR( INDEX(鍵盤設計表[聲韻調], MATCH(TRUE, EXACT(注音編碼對照表[[#This Row],[方音符號]], 鍵盤設計表[方音符號]),0)), "")</f>
        <v>調</v>
      </c>
      <c r="H52" s="793">
        <v>1</v>
      </c>
      <c r="I52" s="509">
        <v>1</v>
      </c>
      <c r="J52" s="509">
        <v>1</v>
      </c>
      <c r="L52" s="370" t="s">
        <v>532</v>
      </c>
      <c r="Q52"/>
      <c r="R52"/>
      <c r="T52"/>
      <c r="W52"/>
    </row>
    <row r="53" spans="2:23" ht="32.25">
      <c r="B53" s="780">
        <f t="shared" si="1"/>
        <v>51</v>
      </c>
      <c r="C53" s="73" t="s">
        <v>886</v>
      </c>
      <c r="D53" s="56" t="s">
        <v>531</v>
      </c>
      <c r="E53" s="424">
        <v>7</v>
      </c>
      <c r="F53" s="775"/>
      <c r="G53" s="42" t="str" cm="1">
        <f t="array" ref="G53">IFERROR( INDEX(鍵盤設計表[聲韻調], MATCH(TRUE, EXACT(注音編碼對照表[[#This Row],[方音符號]], 鍵盤設計表[方音符號]),0)), "")</f>
        <v>調</v>
      </c>
      <c r="H53" s="793" cm="1">
        <f t="array" ref="H53">IFERROR( INDEX(鍵盤設計表[台語音標], MATCH(TRUE, EXACT(注音編碼對照表[[#This Row],[方音符號]], 鍵盤設計表[方音符號]),0)), "")</f>
        <v>4</v>
      </c>
      <c r="I53" s="509" cm="1">
        <f t="array" ref="I53">IFERROR( INDEX(鍵盤設計表[注音二式], MATCH(TRUE, EXACT(注音編碼對照表[[#This Row],[方音符號]], 鍵盤設計表[方音符號]),0)),"")</f>
        <v>4</v>
      </c>
      <c r="J53" s="509">
        <v>7</v>
      </c>
      <c r="L53" s="370" t="s">
        <v>532</v>
      </c>
      <c r="Q53"/>
      <c r="R53"/>
      <c r="T53"/>
      <c r="W53"/>
    </row>
    <row r="54" spans="2:23" ht="38.25">
      <c r="B54" s="780">
        <f t="shared" si="1"/>
        <v>52</v>
      </c>
      <c r="C54" s="73">
        <v>5</v>
      </c>
      <c r="D54" s="56" t="s">
        <v>467</v>
      </c>
      <c r="E54" s="424">
        <v>6</v>
      </c>
      <c r="F54" s="775"/>
      <c r="G54" s="42" t="s">
        <v>8715</v>
      </c>
      <c r="H54" s="793">
        <v>7</v>
      </c>
      <c r="I54" s="509">
        <v>7</v>
      </c>
      <c r="J54" s="509">
        <v>6</v>
      </c>
      <c r="L54" s="796" t="s">
        <v>107</v>
      </c>
      <c r="Q54"/>
      <c r="R54"/>
      <c r="T54"/>
      <c r="W54"/>
    </row>
    <row r="55" spans="2:23" ht="38.25">
      <c r="B55" s="780">
        <f t="shared" si="1"/>
        <v>53</v>
      </c>
      <c r="C55" s="73">
        <v>3</v>
      </c>
      <c r="D55" s="56" t="s">
        <v>8820</v>
      </c>
      <c r="E55" s="424">
        <v>5</v>
      </c>
      <c r="F55" s="775"/>
      <c r="G55" s="42" t="s">
        <v>8715</v>
      </c>
      <c r="H55" s="793">
        <v>3</v>
      </c>
      <c r="I55" s="509">
        <v>3</v>
      </c>
      <c r="J55" s="509">
        <v>5</v>
      </c>
      <c r="L55" s="845" t="s">
        <v>105</v>
      </c>
      <c r="Q55"/>
      <c r="R55"/>
      <c r="T55"/>
      <c r="W55"/>
    </row>
    <row r="56" spans="2:23" ht="38.25">
      <c r="B56" s="780">
        <f t="shared" si="1"/>
        <v>54</v>
      </c>
      <c r="C56" s="73">
        <v>4</v>
      </c>
      <c r="D56" s="56" t="s">
        <v>535</v>
      </c>
      <c r="E56" s="424">
        <v>3</v>
      </c>
      <c r="F56" s="775"/>
      <c r="G56" s="42" t="s">
        <v>8715</v>
      </c>
      <c r="H56" s="793">
        <v>2</v>
      </c>
      <c r="I56" s="509">
        <v>2</v>
      </c>
      <c r="J56" s="509">
        <v>3</v>
      </c>
      <c r="L56" s="845" t="s">
        <v>104</v>
      </c>
      <c r="Q56"/>
      <c r="R56"/>
      <c r="T56"/>
      <c r="W56"/>
    </row>
    <row r="57" spans="2:23" ht="38.25">
      <c r="B57" s="780">
        <f t="shared" si="1"/>
        <v>55</v>
      </c>
      <c r="C57" s="73">
        <v>6</v>
      </c>
      <c r="D57" s="56" t="s">
        <v>106</v>
      </c>
      <c r="E57" s="424">
        <v>2</v>
      </c>
      <c r="F57" s="775"/>
      <c r="G57" s="42" t="str" cm="1">
        <f t="array" ref="G57">IFERROR( INDEX(鍵盤設計表[聲韻調], MATCH(TRUE, EXACT(注音編碼對照表[[#This Row],[方音符號]], 鍵盤設計表[方音符號]),0)), "")</f>
        <v>調</v>
      </c>
      <c r="H57" s="793" cm="1">
        <f t="array" ref="H57">IFERROR( INDEX(鍵盤設計表[台語音標], MATCH(TRUE, EXACT(注音編碼對照表[[#This Row],[方音符號]], 鍵盤設計表[方音符號]),0)), "")</f>
        <v>5</v>
      </c>
      <c r="I57" s="509" cm="1">
        <f t="array" ref="I57">IFERROR( INDEX(鍵盤設計表[注音二式], MATCH(TRUE, EXACT(注音編碼對照表[[#This Row],[方音符號]], 鍵盤設計表[方音符號]),0)),"")</f>
        <v>5</v>
      </c>
      <c r="J57" s="509" cm="1">
        <f t="array" ref="J57">IFERROR( INDEX(鍵盤設計表[閩拼方案], MATCH(TRUE, EXACT(注音編碼對照表[[#This Row],[方音符號]], 鍵盤設計表[方音符號]),0)), "")</f>
        <v>2</v>
      </c>
      <c r="L57" s="845" t="s">
        <v>106</v>
      </c>
      <c r="Q57"/>
      <c r="R57"/>
      <c r="T57"/>
      <c r="W57"/>
    </row>
    <row r="58" spans="2:23" ht="38.25">
      <c r="B58" s="780">
        <f t="shared" si="1"/>
        <v>56</v>
      </c>
      <c r="C58" s="73" t="s">
        <v>511</v>
      </c>
      <c r="D58" s="56" t="s">
        <v>106</v>
      </c>
      <c r="E58" s="424">
        <v>8</v>
      </c>
      <c r="F58" s="775"/>
      <c r="G58" s="42" t="str" cm="1">
        <f t="array" ref="G58">IFERROR( INDEX(鍵盤設計表[聲韻調], MATCH(TRUE, EXACT(注音編碼對照表[[#This Row],[方音符號]], 鍵盤設計表[方音符號]),0)), "")</f>
        <v>調</v>
      </c>
      <c r="H58" s="793">
        <v>8</v>
      </c>
      <c r="I58" s="509">
        <v>8</v>
      </c>
      <c r="J58" s="509">
        <v>8</v>
      </c>
      <c r="L58" s="845" t="s">
        <v>108</v>
      </c>
      <c r="Q58"/>
      <c r="R58"/>
      <c r="T58"/>
      <c r="W58"/>
    </row>
    <row r="59" spans="2:23" ht="38.25">
      <c r="B59" s="780">
        <f t="shared" si="1"/>
        <v>57</v>
      </c>
      <c r="C59" s="73">
        <v>7</v>
      </c>
      <c r="D59" s="56" t="s">
        <v>108</v>
      </c>
      <c r="E59" s="424">
        <v>0</v>
      </c>
      <c r="F59" s="775"/>
      <c r="G59" s="42" t="str" cm="1">
        <f t="array" ref="G59">IFERROR( INDEX(鍵盤設計表[聲韻調], MATCH(TRUE, EXACT(注音編碼對照表[[#This Row],[方音符號]], 鍵盤設計表[方音符號]),0)), "")</f>
        <v>調</v>
      </c>
      <c r="H59" s="793" cm="1">
        <f t="array" ref="H59">IFERROR( INDEX(鍵盤設計表[台語音標], MATCH(TRUE, EXACT(注音編碼對照表[[#This Row],[方音符號]], 鍵盤設計表[方音符號]),0)), "")</f>
        <v>0</v>
      </c>
      <c r="I59" s="509" cm="1">
        <f t="array" ref="I59">IFERROR( INDEX(鍵盤設計表[注音二式], MATCH(TRUE, EXACT(注音編碼對照表[[#This Row],[方音符號]], 鍵盤設計表[方音符號]),0)),"")</f>
        <v>0</v>
      </c>
      <c r="J59" s="509" cm="1">
        <f t="array" ref="J59">IFERROR( INDEX(鍵盤設計表[閩拼方案], MATCH(TRUE, EXACT(注音編碼對照表[[#This Row],[方音符號]], 鍵盤設計表[方音符號]),0)), "")</f>
        <v>0</v>
      </c>
      <c r="L59" s="845" t="s">
        <v>108</v>
      </c>
      <c r="Q59"/>
      <c r="R59"/>
      <c r="T59"/>
      <c r="W59"/>
    </row>
    <row r="60" spans="2:23" ht="32.25">
      <c r="B60" s="785">
        <f t="shared" si="1"/>
        <v>58</v>
      </c>
      <c r="C60" s="73" t="s">
        <v>594</v>
      </c>
      <c r="D60" s="779" t="s">
        <v>8768</v>
      </c>
      <c r="E60" s="424">
        <v>9</v>
      </c>
      <c r="F60" s="775"/>
      <c r="G60" s="42" t="str" cm="1">
        <f t="array" ref="G60">IFERROR( INDEX(鍵盤設計表[聲韻調], MATCH(TRUE, EXACT(注音編碼對照表[[#This Row],[方音符號]], 鍵盤設計表[方音符號]),0)), "")</f>
        <v>鍵</v>
      </c>
      <c r="H60" s="793" cm="1">
        <f t="array" ref="H60">IFERROR( INDEX(鍵盤設計表[台語音標], MATCH(TRUE, EXACT(注音編碼對照表[[#This Row],[方音符號]], 鍵盤設計表[方音符號]),0)), "")</f>
        <v>9</v>
      </c>
      <c r="I60" s="509" cm="1">
        <f t="array" ref="I60">IFERROR( INDEX(鍵盤設計表[注音二式], MATCH(TRUE, EXACT(注音編碼對照表[[#This Row],[方音符號]], 鍵盤設計表[方音符號]),0)),"")</f>
        <v>9</v>
      </c>
      <c r="J60" s="509" cm="1">
        <f t="array" ref="J60">IFERROR( INDEX(鍵盤設計表[閩拼方案], MATCH(TRUE, EXACT(注音編碼對照表[[#This Row],[方音符號]], 鍵盤設計表[方音符號]),0)), "")</f>
        <v>9</v>
      </c>
      <c r="L60"/>
      <c r="Q60"/>
      <c r="R60"/>
      <c r="T60"/>
      <c r="W60"/>
    </row>
    <row r="61" spans="2:23" ht="32.25">
      <c r="B61" s="785">
        <f t="shared" si="1"/>
        <v>59</v>
      </c>
      <c r="C61" s="73" t="s">
        <v>8809</v>
      </c>
      <c r="D61" s="779" t="s">
        <v>626</v>
      </c>
      <c r="E61" s="424" t="s">
        <v>231</v>
      </c>
      <c r="F61" s="775"/>
      <c r="G61" s="42" t="str" cm="1">
        <f t="array" ref="G61">IFERROR( INDEX(鍵盤設計表[聲韻調], MATCH(TRUE, EXACT(注音編碼對照表[[#This Row],[方音符號]], 鍵盤設計表[方音符號]),0)), "")</f>
        <v>鍵</v>
      </c>
      <c r="H61" s="793" t="str" cm="1">
        <f t="array" ref="H61">IFERROR( INDEX(鍵盤設計表[台語音標], MATCH(TRUE, EXACT(注音編碼對照表[[#This Row],[方音符號]], 鍵盤設計表[方音符號]),0)), "")</f>
        <v>nn</v>
      </c>
      <c r="I61" s="509" t="str" cm="1">
        <f t="array" ref="I61">IFERROR( INDEX(鍵盤設計表[注音二式], MATCH(TRUE, EXACT(注音編碼對照表[[#This Row],[方音符號]], 鍵盤設計表[方音符號]),0)),"")</f>
        <v>nn</v>
      </c>
      <c r="J61" s="509" t="str" cm="1">
        <f t="array" ref="J61">IFERROR( INDEX(鍵盤設計表[閩拼方案], MATCH(TRUE, EXACT(注音編碼對照表[[#This Row],[方音符號]], 鍵盤設計表[方音符號]),0)), "")</f>
        <v>nn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26" t="s">
        <v>8765</v>
      </c>
      <c r="E62" s="424" t="s">
        <v>281</v>
      </c>
      <c r="F62" s="455"/>
      <c r="G62" s="42" t="str" cm="1">
        <f t="array" ref="G62">IFERROR( INDEX(鍵盤設計表[聲韻調], MATCH(TRUE, EXACT(注音編碼對照表[[#This Row],[方音符號]], 鍵盤設計表[方音符號]),0)), "")</f>
        <v>鍵</v>
      </c>
      <c r="H62" s="793" t="str" cm="1">
        <f t="array" ref="H62">IFERROR( INDEX(鍵盤設計表[台語音標], MATCH(TRUE, EXACT(注音編碼對照表[[#This Row],[方音符號]], 鍵盤設計表[方音符號]),0)), "")</f>
        <v>*nn</v>
      </c>
      <c r="I62" s="509" t="str" cm="1">
        <f t="array" ref="I62">IFERROR( INDEX(鍵盤設計表[注音二式], MATCH(TRUE, EXACT(注音編碼對照表[[#This Row],[方音符號]], 鍵盤設計表[方音符號]),0)),"")</f>
        <v>*nn</v>
      </c>
      <c r="J62" s="509" t="str" cm="1">
        <f t="array" ref="J62">IFERROR( INDEX(鍵盤設計表[閩拼方案], MATCH(TRUE, EXACT(注音編碼對照表[[#This Row],[方音符號]], 鍵盤設計表[方音符號]),0)), "")</f>
        <v>*nn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4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I114"/>
  <sheetViews>
    <sheetView tabSelected="1" topLeftCell="A37" zoomScale="40" zoomScaleNormal="40" workbookViewId="0">
      <selection activeCell="B55" sqref="B55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29" customWidth="1"/>
    <col min="69" max="69" width="13.69921875" style="830" customWidth="1"/>
    <col min="70" max="70" width="13.69921875" style="829" customWidth="1"/>
    <col min="71" max="71" width="13.69921875" style="831" customWidth="1"/>
    <col min="72" max="72" width="13.69921875" style="829" customWidth="1"/>
    <col min="73" max="73" width="7.19921875" style="145"/>
    <col min="74" max="74" width="62.296875" style="548" customWidth="1"/>
    <col min="75" max="75" width="7.19921875" style="145"/>
    <col min="76" max="76" width="8.796875" style="236" bestFit="1" customWidth="1"/>
    <col min="77" max="77" width="23.796875" style="237" bestFit="1" customWidth="1"/>
    <col min="79" max="79" width="15.19921875" style="145" customWidth="1"/>
    <col min="80" max="80" width="15.19921875" customWidth="1"/>
    <col min="81" max="84" width="15.19921875" style="145" customWidth="1"/>
    <col min="85" max="85" width="7.19921875" style="145"/>
    <col min="86" max="86" width="52.19921875" style="698" customWidth="1"/>
    <col min="88" max="88" width="15.19921875" style="145" customWidth="1"/>
    <col min="89" max="89" width="15.19921875" customWidth="1"/>
    <col min="90" max="93" width="15.19921875" style="145" customWidth="1"/>
    <col min="94" max="94" width="7.19921875" style="145"/>
    <col min="95" max="95" width="52.19921875" style="698" customWidth="1"/>
    <col min="97" max="97" width="15.19921875" customWidth="1"/>
    <col min="98" max="102" width="15.19921875" style="145" customWidth="1"/>
    <col min="103" max="103" width="7.19921875" style="145"/>
    <col min="104" max="104" width="52.19921875" style="698" customWidth="1"/>
    <col min="106" max="106" width="15.19921875" customWidth="1"/>
    <col min="107" max="111" width="15.19921875" style="145" customWidth="1"/>
    <col min="112" max="112" width="7.19921875" style="145"/>
    <col min="113" max="113" width="52.19921875" style="698" customWidth="1"/>
    <col min="114" max="16384" width="7.19921875" style="145"/>
  </cols>
  <sheetData>
    <row r="1" spans="1:113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CA1" s="699" t="s">
        <v>8713</v>
      </c>
      <c r="CB1" s="699" t="s">
        <v>8713</v>
      </c>
      <c r="CC1" s="699" t="s">
        <v>835</v>
      </c>
      <c r="CJ1" s="699" t="s">
        <v>8713</v>
      </c>
      <c r="CK1" s="699" t="s">
        <v>8713</v>
      </c>
      <c r="CL1" s="699" t="s">
        <v>8810</v>
      </c>
      <c r="CS1" s="699" t="s">
        <v>8713</v>
      </c>
      <c r="CT1" s="699" t="s">
        <v>835</v>
      </c>
      <c r="CU1" s="147"/>
      <c r="DB1" s="699" t="s">
        <v>8713</v>
      </c>
      <c r="DC1" s="147"/>
      <c r="DD1" s="147"/>
    </row>
    <row r="2" spans="1:113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29"/>
      <c r="BP2" s="829"/>
      <c r="BQ2" s="830"/>
      <c r="BR2" s="829"/>
      <c r="BS2" s="831"/>
      <c r="BT2" s="829"/>
      <c r="BU2" s="145"/>
      <c r="BV2" s="548"/>
      <c r="BW2" s="145"/>
      <c r="BX2" s="236"/>
      <c r="BY2" s="237"/>
      <c r="CA2" s="697" t="s">
        <v>8716</v>
      </c>
      <c r="CB2" s="697" t="s">
        <v>8719</v>
      </c>
      <c r="CC2" s="697" t="s">
        <v>484</v>
      </c>
      <c r="CH2" s="698"/>
      <c r="CJ2" s="697" t="s">
        <v>8716</v>
      </c>
      <c r="CK2" s="697" t="s">
        <v>8719</v>
      </c>
      <c r="CL2" s="697"/>
      <c r="CQ2" s="698"/>
      <c r="CS2" s="697" t="s">
        <v>8714</v>
      </c>
      <c r="CT2" s="697" t="s">
        <v>484</v>
      </c>
      <c r="CZ2" s="698"/>
      <c r="DB2" s="697" t="s">
        <v>8755</v>
      </c>
      <c r="DI2" s="698"/>
    </row>
    <row r="3" spans="1:113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6" t="s">
        <v>550</v>
      </c>
      <c r="BO3" s="829"/>
      <c r="BP3" s="832"/>
      <c r="BQ3" s="833"/>
      <c r="BR3" s="832"/>
      <c r="BS3" s="832"/>
      <c r="BT3" s="832"/>
      <c r="BV3" s="548"/>
      <c r="BX3" s="740"/>
      <c r="BY3" s="242"/>
      <c r="CH3" s="698"/>
      <c r="CQ3" s="698"/>
      <c r="CZ3" s="698"/>
      <c r="DI3" s="698"/>
    </row>
    <row r="4" spans="1:113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4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34" t="s">
        <v>17</v>
      </c>
      <c r="BP4" s="835" t="s">
        <v>8736</v>
      </c>
      <c r="BQ4" s="732" t="s">
        <v>386</v>
      </c>
      <c r="BR4" s="836" t="s">
        <v>8799</v>
      </c>
      <c r="BS4" s="836" t="s">
        <v>8713</v>
      </c>
      <c r="BT4" s="837" t="s">
        <v>8712</v>
      </c>
      <c r="BU4" s="147"/>
      <c r="BW4" s="147"/>
      <c r="BX4" s="740"/>
      <c r="BY4" s="242"/>
      <c r="CA4" s="807" t="s">
        <v>17</v>
      </c>
      <c r="CB4" s="114" t="s">
        <v>19</v>
      </c>
      <c r="CC4" s="739" t="s">
        <v>386</v>
      </c>
      <c r="CD4" s="736" t="s">
        <v>8799</v>
      </c>
      <c r="CE4" s="736" t="s">
        <v>8713</v>
      </c>
      <c r="CF4" s="738" t="s">
        <v>8712</v>
      </c>
      <c r="CJ4" s="807" t="s">
        <v>17</v>
      </c>
      <c r="CK4" s="114" t="s">
        <v>19</v>
      </c>
      <c r="CL4" s="739" t="s">
        <v>386</v>
      </c>
      <c r="CM4" s="736" t="s">
        <v>8799</v>
      </c>
      <c r="CN4" s="736" t="s">
        <v>8713</v>
      </c>
      <c r="CO4" s="738" t="s">
        <v>8712</v>
      </c>
      <c r="CS4" s="807" t="s">
        <v>17</v>
      </c>
      <c r="CT4" s="114" t="s">
        <v>19</v>
      </c>
      <c r="CU4" s="739" t="s">
        <v>386</v>
      </c>
      <c r="CV4" s="736" t="s">
        <v>8799</v>
      </c>
      <c r="CW4" s="736" t="s">
        <v>8713</v>
      </c>
      <c r="CX4" s="738" t="s">
        <v>8712</v>
      </c>
      <c r="DB4" s="807" t="s">
        <v>17</v>
      </c>
      <c r="DC4" s="114" t="s">
        <v>19</v>
      </c>
      <c r="DD4" s="739" t="s">
        <v>386</v>
      </c>
      <c r="DE4" s="736" t="s">
        <v>8799</v>
      </c>
      <c r="DF4" s="736" t="s">
        <v>8713</v>
      </c>
      <c r="DG4" s="738" t="s">
        <v>8712</v>
      </c>
    </row>
    <row r="5" spans="1:113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38" t="str">
        <f>注音編碼對照表!E3</f>
        <v>m</v>
      </c>
      <c r="BP5" s="835" t="str">
        <f>注音編碼對照表!C3</f>
        <v>a</v>
      </c>
      <c r="BQ5" s="732" t="str">
        <f>注音編碼對照表!D3</f>
        <v>ㄇ</v>
      </c>
      <c r="BR5" s="839" t="str" cm="1">
        <f t="array" ref="BR5" xml:space="preserve"> INDEX(注音編碼對照表[閩拼方案], MATCH(TRUE, EXACT($BP5, 注音編碼對照表[鍵盤按鍵]), 0))</f>
        <v>bbn</v>
      </c>
      <c r="BS5" s="840" t="str" cm="1">
        <f t="array" ref="BS5" xml:space="preserve"> INDEX(注音編碼對照表[聲韻調], MATCH(TRUE, EXACT($BP5, 注音編碼對照表[鍵盤按鍵]), 0))</f>
        <v>聲</v>
      </c>
      <c r="BT5" s="841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145"/>
      <c r="BX5" s="740"/>
      <c r="BY5" s="263"/>
      <c r="CA5" s="808" t="str" cm="1">
        <f t="array" ref="CA5:CF28" xml:space="preserve"> _xlfn._xlws.FILTER($BO5:$BT65,($BS5:$BS65=CA2)*($BS5:$BS65&lt;&gt;CB2), "無符合資料")</f>
        <v>a</v>
      </c>
      <c r="CB5" s="734" t="str">
        <v>8</v>
      </c>
      <c r="CC5" s="732" t="str">
        <v>ㄚ</v>
      </c>
      <c r="CD5" s="113" t="str">
        <v>a</v>
      </c>
      <c r="CE5" s="733" t="str">
        <v>韻</v>
      </c>
      <c r="CF5" s="735">
        <v>1</v>
      </c>
      <c r="CH5" s="698" t="str">
        <f xml:space="preserve"> IFERROR( IF(CD5=0, "", IF(CA5=CD5, "", "    - xform/" &amp; CD5 &amp; "/" &amp; CA5 &amp; "/  # "  &amp; CE5 &amp; " " &amp; CC5 &amp; " [" &amp; CD5 &amp; "]")), "")</f>
        <v/>
      </c>
      <c r="CJ5" s="808" t="str" cm="1">
        <f t="array" ref="CJ5:CO13" xml:space="preserve"> _xlfn._xlws.FILTER($BO5:$BT65,($BS5:$BS65=CJ2)*(LEFT($BR5:$BR65, 1) = "n"), "無符合資料")</f>
        <v>R</v>
      </c>
      <c r="CK5" s="734" t="str">
        <v>*</v>
      </c>
      <c r="CL5" s="732" t="str">
        <v>ㆩ</v>
      </c>
      <c r="CM5" s="113" t="str">
        <v>na</v>
      </c>
      <c r="CN5" s="733" t="str">
        <v>韻</v>
      </c>
      <c r="CO5" s="735">
        <v>2</v>
      </c>
      <c r="CQ5" s="698" t="str">
        <f xml:space="preserve"> IFERROR( IF(CM5=0, "", IF(CJ5=CM5, "", "    - xform/" &amp; CM5 &amp; "/" &amp; CJ5 &amp; "/  # "  &amp; CN5 &amp; " " &amp; CL5 &amp; " [" &amp; CM5 &amp; "]")), "")</f>
        <v xml:space="preserve">    - xform/na/R/  # 韻 ㆩ [na]</v>
      </c>
      <c r="CS5" s="808" t="str" cm="1">
        <f t="array" ref="CS5:CX25" xml:space="preserve"> _xlfn._xlws.FILTER($BO$5:$BT$65,($BS5:$BS65=CS2)*($BR5:$BR65&lt;&gt;CT2), "無符合資料")</f>
        <v>m</v>
      </c>
      <c r="CT5" s="734" t="str">
        <v>a</v>
      </c>
      <c r="CU5" s="732" t="str">
        <v>ㄇ</v>
      </c>
      <c r="CV5" s="113" t="str">
        <v>bbn</v>
      </c>
      <c r="CW5" s="733" t="str">
        <v>聲</v>
      </c>
      <c r="CX5" s="735">
        <v>3</v>
      </c>
      <c r="CZ5" s="698" t="str">
        <f xml:space="preserve"> IF(CW5=0, "", "    - xform/^" &amp; CW5 &amp; "(?!\d)/" &amp; CV5 &amp; "/  # " &amp; CS5 &amp; " [ " &amp; CW5 &amp; "]")</f>
        <v xml:space="preserve">    - xform/^聲(?!\d)/bbn/  # m [ 聲]</v>
      </c>
      <c r="DB5" s="808" cm="1">
        <f t="array" ref="DB5:DG7" xml:space="preserve"> _xlfn._xlws.FILTER($BO$5:$BT$65,($BS5:$BS65=DB2), "無符合資料")</f>
        <v>9</v>
      </c>
      <c r="DC5" s="734" t="str">
        <v>.</v>
      </c>
      <c r="DD5" s="732" t="str">
        <v>入</v>
      </c>
      <c r="DE5" s="113">
        <v>9</v>
      </c>
      <c r="DF5" s="733" t="str">
        <v>鍵</v>
      </c>
      <c r="DG5" s="735">
        <v>1</v>
      </c>
      <c r="DI5" s="698" t="str">
        <f xml:space="preserve"> IF(DF5=0, "", "    - xform/^" &amp; DF5 &amp; "(?!\d)/" &amp; DE5 &amp; "/  # " &amp; DB5 &amp; " [ " &amp; DF5 &amp; "]")</f>
        <v xml:space="preserve">    - xform/^鍵(?!\d)/9/  # 9 [ 鍵]</v>
      </c>
    </row>
    <row r="6" spans="1:113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0" xml:space="preserve"> ROW() - 4</f>
        <v>2</v>
      </c>
      <c r="BO6" s="838" t="str">
        <f>注音編碼對照表!E4</f>
        <v>B</v>
      </c>
      <c r="BP6" s="835" t="str">
        <f>注音編碼對照表!C4</f>
        <v>!</v>
      </c>
      <c r="BQ6" s="732" t="str">
        <f>注音編碼對照表!D4</f>
        <v>ㆠ</v>
      </c>
      <c r="BR6" s="839" t="str" cm="1">
        <f t="array" ref="BR6" xml:space="preserve"> INDEX(注音編碼對照表[閩拼方案], MATCH(TRUE, EXACT($BP6, 注音編碼對照表[鍵盤按鍵]), 0))</f>
        <v>bb</v>
      </c>
      <c r="BS6" s="840" t="str" cm="1">
        <f t="array" ref="BS6" xml:space="preserve"> INDEX(注音編碼對照表[聲韻調], MATCH(TRUE, EXACT($BP6, 注音編碼對照表[鍵盤按鍵]), 0))</f>
        <v>聲</v>
      </c>
      <c r="BT6" s="841">
        <f t="shared" ref="BT6:BT64" si="1" xml:space="preserve"> LEN(BR6)</f>
        <v>2</v>
      </c>
      <c r="BV6" s="549" t="str">
        <f t="shared" ref="BV6:BV31" si="2" xml:space="preserve"> "    """ &amp; BP6 &amp; """: { commit: """ &amp; BQ6 &amp; """ }" &amp; "  # " &amp; "/" &amp; BR7 &amp; "/ ==&gt; " &amp; BO6</f>
        <v xml:space="preserve">    "!": { commit: "ㆠ" }  # /b/ ==&gt; B</v>
      </c>
      <c r="BX6" s="740"/>
      <c r="BY6" s="263"/>
      <c r="CA6" s="808" t="str">
        <v>i</v>
      </c>
      <c r="CB6" s="734" t="str">
        <v>u</v>
      </c>
      <c r="CC6" s="732" t="str">
        <v>ㄧ</v>
      </c>
      <c r="CD6" s="113" t="str">
        <v>i</v>
      </c>
      <c r="CE6" s="733" t="str">
        <v>韻</v>
      </c>
      <c r="CF6" s="735">
        <v>1</v>
      </c>
      <c r="CH6" s="698" t="str">
        <f t="shared" ref="CH6:CH27" si="3" xml:space="preserve"> IFERROR( IF(CD6=0, "", IF(CA6=CD6, "", "    - xform/" &amp; CD6 &amp; "/" &amp; CA6 &amp; "/  # "  &amp; CE6 &amp; " " &amp; CC6 &amp; " [" &amp; CD6 &amp; "]")), "")</f>
        <v/>
      </c>
      <c r="CJ6" s="808" t="str">
        <v>D</v>
      </c>
      <c r="CK6" s="734" t="str">
        <v>U</v>
      </c>
      <c r="CL6" s="732" t="str">
        <v>ㆪ</v>
      </c>
      <c r="CM6" s="113" t="str">
        <v>ni</v>
      </c>
      <c r="CN6" s="733" t="str">
        <v>韻</v>
      </c>
      <c r="CO6" s="735">
        <v>2</v>
      </c>
      <c r="CQ6" s="698" t="str">
        <f t="shared" ref="CQ6:CQ27" si="4" xml:space="preserve"> IFERROR( IF(CM6=0, "", IF(CJ6=CM6, "", "    - xform/" &amp; CM6 &amp; "/" &amp; CJ6 &amp; "/  # "  &amp; CN6 &amp; " " &amp; CL6 &amp; " [" &amp; CM6 &amp; "]")), "")</f>
        <v xml:space="preserve">    - xform/ni/D/  # 韻 ㆪ [ni]</v>
      </c>
      <c r="CS6" s="808" t="str">
        <v>B</v>
      </c>
      <c r="CT6" s="734" t="str">
        <v>!</v>
      </c>
      <c r="CU6" s="732" t="str">
        <v>ㆠ</v>
      </c>
      <c r="CV6" s="113" t="str">
        <v>bb</v>
      </c>
      <c r="CW6" s="733" t="str">
        <v>聲</v>
      </c>
      <c r="CX6" s="735">
        <v>2</v>
      </c>
      <c r="CZ6" s="698" t="str">
        <f t="shared" ref="CZ6:CZ56" si="5" xml:space="preserve"> IF(CW6=0, "", "    - xform/^" &amp; CW6 &amp; "(?!\d)/" &amp; CV6 &amp; "/  # " &amp; CS6 &amp; " [ " &amp; CW6 &amp; "]")</f>
        <v xml:space="preserve">    - xform/^聲(?!\d)/bb/  # B [ 聲]</v>
      </c>
      <c r="DB6" s="808" t="str">
        <v>L</v>
      </c>
      <c r="DC6" s="734" t="str">
        <v>=</v>
      </c>
      <c r="DD6" s="732" t="str">
        <v>ㄥ</v>
      </c>
      <c r="DE6" s="113" t="str">
        <v>nn</v>
      </c>
      <c r="DF6" s="733" t="str">
        <v>鍵</v>
      </c>
      <c r="DG6" s="735">
        <v>2</v>
      </c>
      <c r="DI6" s="698" t="str">
        <f t="shared" ref="DI6:DI56" si="6" xml:space="preserve"> IF(DF6=0, "", "    - xform/^" &amp; DF6 &amp; "(?!\d)/" &amp; DE6 &amp; "/  # " &amp; DB6 &amp; " [ " &amp; DF6 &amp; "]")</f>
        <v xml:space="preserve">    - xform/^鍵(?!\d)/nn/  # L [ 鍵]</v>
      </c>
    </row>
    <row r="7" spans="1:113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3</v>
      </c>
      <c r="BO7" s="838" t="str">
        <f>注音編碼對照表!E5</f>
        <v>b</v>
      </c>
      <c r="BP7" s="835" t="str">
        <f>注音編碼對照表!C5</f>
        <v>1</v>
      </c>
      <c r="BQ7" s="732" t="str">
        <f>注音編碼對照表!D5</f>
        <v>ㄅ</v>
      </c>
      <c r="BR7" s="839" t="str" cm="1">
        <f t="array" ref="BR7" xml:space="preserve"> INDEX(注音編碼對照表[閩拼方案], MATCH(TRUE, EXACT($BP7, 注音編碼對照表[鍵盤按鍵]), 0))</f>
        <v>b</v>
      </c>
      <c r="BS7" s="840" t="str" cm="1">
        <f t="array" ref="BS7" xml:space="preserve"> INDEX(注音編碼對照表[聲韻調], MATCH(TRUE, EXACT($BP7, 注音編碼對照表[鍵盤按鍵]), 0))</f>
        <v>聲</v>
      </c>
      <c r="BT7" s="841">
        <f t="shared" si="1"/>
        <v>1</v>
      </c>
      <c r="BU7" s="147"/>
      <c r="BV7" s="549" t="str">
        <f t="shared" si="2"/>
        <v xml:space="preserve">    "1": { commit: "ㄅ" }  # /p/ ==&gt; b</v>
      </c>
      <c r="BW7" s="147"/>
      <c r="BX7" s="740"/>
      <c r="BY7" s="263"/>
      <c r="CA7" s="808" t="str">
        <v>w</v>
      </c>
      <c r="CB7" s="734" t="str">
        <v>K</v>
      </c>
      <c r="CC7" s="732" t="str">
        <v>ㆨ</v>
      </c>
      <c r="CD7" s="113" t="str">
        <v>eu</v>
      </c>
      <c r="CE7" s="733" t="str">
        <v>韻</v>
      </c>
      <c r="CF7" s="735">
        <v>2</v>
      </c>
      <c r="CH7" s="698" t="str">
        <f t="shared" si="3"/>
        <v xml:space="preserve">    - xform/eu/w/  # 韻 ㆨ [eu]</v>
      </c>
      <c r="CJ7" s="808" t="str">
        <v>X</v>
      </c>
      <c r="CK7" s="734" t="str">
        <v>J</v>
      </c>
      <c r="CL7" s="732" t="str">
        <v>ㆫ</v>
      </c>
      <c r="CM7" s="113" t="str">
        <v>nu</v>
      </c>
      <c r="CN7" s="733" t="str">
        <v>韻</v>
      </c>
      <c r="CO7" s="735">
        <v>2</v>
      </c>
      <c r="CQ7" s="698" t="str">
        <f t="shared" si="4"/>
        <v xml:space="preserve">    - xform/nu/X/  # 韻 ㆫ [nu]</v>
      </c>
      <c r="CS7" s="808" t="str">
        <v>b</v>
      </c>
      <c r="CT7" s="734" t="str">
        <v>1</v>
      </c>
      <c r="CU7" s="732" t="str">
        <v>ㄅ</v>
      </c>
      <c r="CV7" s="113" t="str">
        <v>b</v>
      </c>
      <c r="CW7" s="733" t="str">
        <v>聲</v>
      </c>
      <c r="CX7" s="735">
        <v>1</v>
      </c>
      <c r="CZ7" s="698" t="str">
        <f t="shared" si="5"/>
        <v xml:space="preserve">    - xform/^聲(?!\d)/b/  # b [ 聲]</v>
      </c>
      <c r="DB7" s="808" t="str">
        <v>*</v>
      </c>
      <c r="DC7" s="734" t="str">
        <v>-</v>
      </c>
      <c r="DD7" s="732" t="str">
        <v>ñ</v>
      </c>
      <c r="DE7" s="113" t="str">
        <v>*nn</v>
      </c>
      <c r="DF7" s="733" t="str">
        <v>鍵</v>
      </c>
      <c r="DG7" s="735">
        <v>3</v>
      </c>
      <c r="DI7" s="698" t="str">
        <f t="shared" si="6"/>
        <v xml:space="preserve">    - xform/^鍵(?!\d)/*nn/  # * [ 鍵]</v>
      </c>
    </row>
    <row r="8" spans="1:113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4</v>
      </c>
      <c r="BO8" s="838" t="str">
        <f>注音編碼對照表!E6</f>
        <v>p</v>
      </c>
      <c r="BP8" s="835" t="str">
        <f>注音編碼對照表!C6</f>
        <v>q</v>
      </c>
      <c r="BQ8" s="732" t="str">
        <f>注音編碼對照表!D6</f>
        <v>ㄆ</v>
      </c>
      <c r="BR8" s="839" t="str" cm="1">
        <f t="array" ref="BR8" xml:space="preserve"> INDEX(注音編碼對照表[閩拼方案], MATCH(TRUE, EXACT($BP8, 注音編碼對照表[鍵盤按鍵]), 0))</f>
        <v>p</v>
      </c>
      <c r="BS8" s="840" t="str" cm="1">
        <f t="array" ref="BS8" xml:space="preserve"> INDEX(注音編碼對照表[聲韻調], MATCH(TRUE, EXACT($BP8, 注音編碼對照表[鍵盤按鍵]), 0))</f>
        <v>聲</v>
      </c>
      <c r="BT8" s="841">
        <f t="shared" si="1"/>
        <v>1</v>
      </c>
      <c r="BU8" s="145"/>
      <c r="BV8" s="549" t="str">
        <f t="shared" si="2"/>
        <v xml:space="preserve">    "q": { commit: "ㄆ" }  # /ln/ ==&gt; p</v>
      </c>
      <c r="BW8" s="145"/>
      <c r="BX8" s="236"/>
      <c r="BY8" s="263"/>
      <c r="CA8" s="808" t="str">
        <v>u</v>
      </c>
      <c r="CB8" s="734" t="str">
        <v>j</v>
      </c>
      <c r="CC8" s="732" t="str">
        <v>ㄨ</v>
      </c>
      <c r="CD8" s="113" t="str">
        <v>u</v>
      </c>
      <c r="CE8" s="733" t="str">
        <v>韻</v>
      </c>
      <c r="CF8" s="735">
        <v>1</v>
      </c>
      <c r="CH8" s="698" t="str">
        <f t="shared" si="3"/>
        <v/>
      </c>
      <c r="CJ8" s="808" t="str">
        <v>E</v>
      </c>
      <c r="CK8" s="734" t="str">
        <v>&lt;</v>
      </c>
      <c r="CL8" s="732" t="str">
        <v>ㆥ</v>
      </c>
      <c r="CM8" s="113" t="str">
        <v>ne</v>
      </c>
      <c r="CN8" s="733" t="str">
        <v>韻</v>
      </c>
      <c r="CO8" s="735">
        <v>2</v>
      </c>
      <c r="CQ8" s="698" t="str">
        <f t="shared" si="4"/>
        <v xml:space="preserve">    - xform/ne/E/  # 韻 ㆥ [ne]</v>
      </c>
      <c r="CS8" s="808" t="str">
        <v>p</v>
      </c>
      <c r="CT8" s="734" t="str">
        <v>q</v>
      </c>
      <c r="CU8" s="732" t="str">
        <v>ㄆ</v>
      </c>
      <c r="CV8" s="113" t="str">
        <v>p</v>
      </c>
      <c r="CW8" s="733" t="str">
        <v>聲</v>
      </c>
      <c r="CX8" s="735">
        <v>1</v>
      </c>
      <c r="CZ8" s="698" t="str">
        <f t="shared" si="5"/>
        <v xml:space="preserve">    - xform/^聲(?!\d)/p/  # p [ 聲]</v>
      </c>
      <c r="DB8" s="808"/>
      <c r="DC8" s="734"/>
      <c r="DD8" s="732"/>
      <c r="DE8" s="113"/>
      <c r="DF8" s="733"/>
      <c r="DG8" s="735"/>
      <c r="DI8" s="698" t="str">
        <f t="shared" si="6"/>
        <v/>
      </c>
    </row>
    <row r="9" spans="1:113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5</v>
      </c>
      <c r="BO9" s="838" t="str">
        <f>注音編碼對照表!E7</f>
        <v>n</v>
      </c>
      <c r="BP9" s="835" t="str">
        <f>注音編碼對照表!C7</f>
        <v>s</v>
      </c>
      <c r="BQ9" s="732" t="str">
        <f>注音編碼對照表!D7</f>
        <v>ㄋ</v>
      </c>
      <c r="BR9" s="839" t="str" cm="1">
        <f t="array" ref="BR9" xml:space="preserve"> INDEX(注音編碼對照表[閩拼方案], MATCH(TRUE, EXACT($BP9, 注音編碼對照表[鍵盤按鍵]), 0))</f>
        <v>ln</v>
      </c>
      <c r="BS9" s="840" t="str" cm="1">
        <f t="array" ref="BS9" xml:space="preserve"> INDEX(注音編碼對照表[聲韻調], MATCH(TRUE, EXACT($BP9, 注音編碼對照表[鍵盤按鍵]), 0))</f>
        <v>聲</v>
      </c>
      <c r="BT9" s="841">
        <f t="shared" si="1"/>
        <v>2</v>
      </c>
      <c r="BV9" s="549" t="str">
        <f t="shared" si="2"/>
        <v xml:space="preserve">    "s": { commit: "ㄋ" }  # /d/ ==&gt; n</v>
      </c>
      <c r="BX9" s="740"/>
      <c r="BY9" s="263"/>
      <c r="CA9" s="808" t="str">
        <v>e</v>
      </c>
      <c r="CB9" s="734" t="str">
        <v>,</v>
      </c>
      <c r="CC9" s="732" t="str">
        <v>ㆤ</v>
      </c>
      <c r="CD9" s="113" t="str">
        <v>e</v>
      </c>
      <c r="CE9" s="733" t="str">
        <v>韻</v>
      </c>
      <c r="CF9" s="735">
        <v>1</v>
      </c>
      <c r="CH9" s="698" t="str">
        <f t="shared" si="3"/>
        <v/>
      </c>
      <c r="CJ9" s="808" t="str">
        <v>Q</v>
      </c>
      <c r="CK9" s="734" t="str">
        <v>I</v>
      </c>
      <c r="CL9" s="732" t="str">
        <v>ㆧ</v>
      </c>
      <c r="CM9" s="113" t="str">
        <v>no</v>
      </c>
      <c r="CN9" s="733" t="str">
        <v>韻</v>
      </c>
      <c r="CO9" s="735">
        <v>2</v>
      </c>
      <c r="CQ9" s="698" t="str">
        <f t="shared" si="4"/>
        <v xml:space="preserve">    - xform/no/Q/  # 韻 ㆧ [no]</v>
      </c>
      <c r="CS9" s="808" t="str">
        <v>n</v>
      </c>
      <c r="CT9" s="734" t="str">
        <v>s</v>
      </c>
      <c r="CU9" s="732" t="str">
        <v>ㄋ</v>
      </c>
      <c r="CV9" s="113" t="str">
        <v>ln</v>
      </c>
      <c r="CW9" s="733" t="str">
        <v>聲</v>
      </c>
      <c r="CX9" s="735">
        <v>2</v>
      </c>
      <c r="CZ9" s="698" t="str">
        <f t="shared" si="5"/>
        <v xml:space="preserve">    - xform/^聲(?!\d)/ln/  # n [ 聲]</v>
      </c>
      <c r="DB9" s="808"/>
      <c r="DC9" s="734"/>
      <c r="DD9" s="732"/>
      <c r="DE9" s="113"/>
      <c r="DF9" s="733"/>
      <c r="DG9" s="735"/>
      <c r="DI9" s="698" t="str">
        <f t="shared" si="6"/>
        <v/>
      </c>
    </row>
    <row r="10" spans="1:113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6</v>
      </c>
      <c r="BO10" s="838" t="str">
        <f>注音編碼對照表!E8</f>
        <v>d</v>
      </c>
      <c r="BP10" s="835" t="str">
        <f>注音編碼對照表!C8</f>
        <v>2</v>
      </c>
      <c r="BQ10" s="732" t="str">
        <f>注音編碼對照表!D8</f>
        <v>ㄉ</v>
      </c>
      <c r="BR10" s="839" t="str" cm="1">
        <f t="array" ref="BR10" xml:space="preserve"> INDEX(注音編碼對照表[閩拼方案], MATCH(TRUE, EXACT($BP10, 注音編碼對照表[鍵盤按鍵]), 0))</f>
        <v>d</v>
      </c>
      <c r="BS10" s="840" t="str" cm="1">
        <f t="array" ref="BS10" xml:space="preserve"> INDEX(注音編碼對照表[聲韻調], MATCH(TRUE, EXACT($BP10, 注音編碼對照表[鍵盤按鍵]), 0))</f>
        <v>聲</v>
      </c>
      <c r="BT10" s="841">
        <f t="shared" si="1"/>
        <v>1</v>
      </c>
      <c r="BU10" s="147"/>
      <c r="BV10" s="549" t="str">
        <f t="shared" si="2"/>
        <v xml:space="preserve">    "2": { commit: "ㄉ" }  # /t/ ==&gt; d</v>
      </c>
      <c r="BW10" s="147"/>
      <c r="BX10" s="740"/>
      <c r="BY10" s="263"/>
      <c r="CA10" s="808" t="str">
        <v>O</v>
      </c>
      <c r="CB10" s="734" t="str">
        <v>i</v>
      </c>
      <c r="CC10" s="732" t="str">
        <v>ㆦ</v>
      </c>
      <c r="CD10" s="113" t="str">
        <v>oo</v>
      </c>
      <c r="CE10" s="733" t="str">
        <v>韻</v>
      </c>
      <c r="CF10" s="735">
        <v>2</v>
      </c>
      <c r="CH10" s="698" t="str">
        <f t="shared" si="3"/>
        <v xml:space="preserve">    - xform/oo/O/  # 韻 ㆦ [oo]</v>
      </c>
      <c r="CJ10" s="808" t="str">
        <v>x</v>
      </c>
      <c r="CK10" s="734" t="str">
        <v>(</v>
      </c>
      <c r="CL10" s="732" t="str">
        <v>ㆮ</v>
      </c>
      <c r="CM10" s="113" t="str">
        <v>nai</v>
      </c>
      <c r="CN10" s="733" t="str">
        <v>韻</v>
      </c>
      <c r="CO10" s="735">
        <v>3</v>
      </c>
      <c r="CQ10" s="698" t="str">
        <f t="shared" si="4"/>
        <v xml:space="preserve">    - xform/nai/x/  # 韻 ㆮ [nai]</v>
      </c>
      <c r="CS10" s="808" t="str">
        <v>d</v>
      </c>
      <c r="CT10" s="734" t="str">
        <v>2</v>
      </c>
      <c r="CU10" s="732" t="str">
        <v>ㄉ</v>
      </c>
      <c r="CV10" s="113" t="str">
        <v>d</v>
      </c>
      <c r="CW10" s="733" t="str">
        <v>聲</v>
      </c>
      <c r="CX10" s="735">
        <v>1</v>
      </c>
      <c r="CZ10" s="698" t="str">
        <f t="shared" si="5"/>
        <v xml:space="preserve">    - xform/^聲(?!\d)/d/  # d [ 聲]</v>
      </c>
      <c r="DB10" s="808"/>
      <c r="DC10" s="734"/>
      <c r="DD10" s="732"/>
      <c r="DE10" s="113"/>
      <c r="DF10" s="733"/>
      <c r="DG10" s="735"/>
      <c r="DI10" s="698" t="str">
        <f t="shared" si="6"/>
        <v/>
      </c>
    </row>
    <row r="11" spans="1:113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7</v>
      </c>
      <c r="BO11" s="838" t="str">
        <f>注音編碼對照表!E9</f>
        <v>t</v>
      </c>
      <c r="BP11" s="835" t="str">
        <f>注音編碼對照表!C9</f>
        <v>w</v>
      </c>
      <c r="BQ11" s="732" t="str">
        <f>注音編碼對照表!D9</f>
        <v>ㄊ</v>
      </c>
      <c r="BR11" s="839" t="str" cm="1">
        <f t="array" ref="BR11" xml:space="preserve"> INDEX(注音編碼對照表[閩拼方案], MATCH(TRUE, EXACT($BP11, 注音編碼對照表[鍵盤按鍵]), 0))</f>
        <v>t</v>
      </c>
      <c r="BS11" s="840" t="str" cm="1">
        <f t="array" ref="BS11" xml:space="preserve"> INDEX(注音編碼對照表[聲韻調], MATCH(TRUE, EXACT($BP11, 注音編碼對照表[鍵盤按鍵]), 0))</f>
        <v>聲</v>
      </c>
      <c r="BT11" s="841">
        <f t="shared" si="1"/>
        <v>1</v>
      </c>
      <c r="BU11" s="145"/>
      <c r="BV11" s="549" t="str">
        <f t="shared" si="2"/>
        <v xml:space="preserve">    "w": { commit: "ㄊ" }  # /l/ ==&gt; t</v>
      </c>
      <c r="BW11" s="145"/>
      <c r="BX11" s="236"/>
      <c r="BY11" s="263"/>
      <c r="CA11" s="808" t="str">
        <v>o</v>
      </c>
      <c r="CB11" s="734" t="str">
        <v>k</v>
      </c>
      <c r="CC11" s="732" t="str">
        <v>ㄜ</v>
      </c>
      <c r="CD11" s="113" t="str">
        <v>o</v>
      </c>
      <c r="CE11" s="733" t="str">
        <v>韻</v>
      </c>
      <c r="CF11" s="735">
        <v>1</v>
      </c>
      <c r="CH11" s="698" t="str">
        <f t="shared" si="3"/>
        <v/>
      </c>
      <c r="CJ11" s="808" t="str">
        <v>y</v>
      </c>
      <c r="CK11" s="734" t="str">
        <v>L</v>
      </c>
      <c r="CL11" s="732" t="str">
        <v>ㆯ</v>
      </c>
      <c r="CM11" s="113" t="str">
        <v>nau</v>
      </c>
      <c r="CN11" s="733" t="str">
        <v>韻</v>
      </c>
      <c r="CO11" s="735">
        <v>3</v>
      </c>
      <c r="CQ11" s="698" t="str">
        <f t="shared" si="4"/>
        <v xml:space="preserve">    - xform/nau/y/  # 韻 ㆯ [nau]</v>
      </c>
      <c r="CS11" s="808" t="str">
        <v>t</v>
      </c>
      <c r="CT11" s="734" t="str">
        <v>w</v>
      </c>
      <c r="CU11" s="732" t="str">
        <v>ㄊ</v>
      </c>
      <c r="CV11" s="113" t="str">
        <v>t</v>
      </c>
      <c r="CW11" s="733" t="str">
        <v>聲</v>
      </c>
      <c r="CX11" s="735">
        <v>1</v>
      </c>
      <c r="CZ11" s="698" t="str">
        <f t="shared" si="5"/>
        <v xml:space="preserve">    - xform/^聲(?!\d)/t/  # t [ 聲]</v>
      </c>
      <c r="DB11" s="808"/>
      <c r="DC11" s="734"/>
      <c r="DD11" s="732"/>
      <c r="DE11" s="113"/>
      <c r="DF11" s="733"/>
      <c r="DG11" s="735"/>
      <c r="DI11" s="698" t="str">
        <f t="shared" si="6"/>
        <v/>
      </c>
    </row>
    <row r="12" spans="1:113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5" t="s">
        <v>8758</v>
      </c>
      <c r="AD12" s="746"/>
      <c r="AE12" s="747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8</v>
      </c>
      <c r="BO12" s="838" t="str">
        <f>注音編碼對照表!E10</f>
        <v>l</v>
      </c>
      <c r="BP12" s="835" t="str">
        <f>注音編碼對照表!C10</f>
        <v>x</v>
      </c>
      <c r="BQ12" s="732" t="str">
        <f>注音編碼對照表!D10</f>
        <v>ㄌ</v>
      </c>
      <c r="BR12" s="839" t="str" cm="1">
        <f t="array" ref="BR12" xml:space="preserve"> INDEX(注音編碼對照表[閩拼方案], MATCH(TRUE, EXACT($BP12, 注音編碼對照表[鍵盤按鍵]), 0))</f>
        <v>l</v>
      </c>
      <c r="BS12" s="840" t="str" cm="1">
        <f t="array" ref="BS12" xml:space="preserve"> INDEX(注音編碼對照表[聲韻調], MATCH(TRUE, EXACT($BP12, 注音編碼對照表[鍵盤按鍵]), 0))</f>
        <v>聲</v>
      </c>
      <c r="BT12" s="841">
        <f t="shared" si="1"/>
        <v>1</v>
      </c>
      <c r="BV12" s="549" t="str">
        <f t="shared" si="2"/>
        <v xml:space="preserve">    "x": { commit: "ㄌ" }  # /ggn/ ==&gt; l</v>
      </c>
      <c r="BX12" s="740"/>
      <c r="BY12" s="263"/>
      <c r="CA12" s="808" t="str">
        <v>I</v>
      </c>
      <c r="CB12" s="734" t="str">
        <v>9</v>
      </c>
      <c r="CC12" s="732" t="str">
        <v>ㄞ</v>
      </c>
      <c r="CD12" s="113" t="str">
        <v>ai</v>
      </c>
      <c r="CE12" s="733" t="str">
        <v>韻</v>
      </c>
      <c r="CF12" s="735">
        <v>2</v>
      </c>
      <c r="CH12" s="698" t="str">
        <f t="shared" si="3"/>
        <v xml:space="preserve">    - xform/ai/I/  # 韻 ㄞ [ai]</v>
      </c>
      <c r="CJ12" s="808" t="str">
        <v>N</v>
      </c>
      <c r="CK12" s="734" t="str">
        <v>p</v>
      </c>
      <c r="CL12" s="732" t="str">
        <v>ㄣ</v>
      </c>
      <c r="CM12" s="113" t="str">
        <v>n</v>
      </c>
      <c r="CN12" s="733" t="str">
        <v>韻</v>
      </c>
      <c r="CO12" s="735">
        <v>1</v>
      </c>
      <c r="CQ12" s="698" t="str">
        <f t="shared" si="4"/>
        <v/>
      </c>
      <c r="CS12" s="808" t="str">
        <v>l</v>
      </c>
      <c r="CT12" s="734" t="str">
        <v>x</v>
      </c>
      <c r="CU12" s="732" t="str">
        <v>ㄌ</v>
      </c>
      <c r="CV12" s="113" t="str">
        <v>l</v>
      </c>
      <c r="CW12" s="733" t="str">
        <v>聲</v>
      </c>
      <c r="CX12" s="735">
        <v>1</v>
      </c>
      <c r="CZ12" s="698" t="str">
        <f t="shared" si="5"/>
        <v xml:space="preserve">    - xform/^聲(?!\d)/l/  # l [ 聲]</v>
      </c>
      <c r="DB12" s="808"/>
      <c r="DC12" s="734"/>
      <c r="DD12" s="732"/>
      <c r="DE12" s="113"/>
      <c r="DF12" s="733"/>
      <c r="DG12" s="735"/>
      <c r="DI12" s="698" t="str">
        <f t="shared" si="6"/>
        <v/>
      </c>
    </row>
    <row r="13" spans="1:113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0"/>
        <v>9</v>
      </c>
      <c r="BO13" s="838" t="str">
        <f>注音編碼對照表!E11</f>
        <v>ŋ</v>
      </c>
      <c r="BP13" s="835" t="str">
        <f>注音編碼對照表!C11</f>
        <v>N</v>
      </c>
      <c r="BQ13" s="732" t="str">
        <f>注音編碼對照表!D11</f>
        <v>ㄫ</v>
      </c>
      <c r="BR13" s="839" t="str" cm="1">
        <f t="array" ref="BR13" xml:space="preserve"> INDEX(注音編碼對照表[閩拼方案], MATCH(TRUE, EXACT($BP13, 注音編碼對照表[鍵盤按鍵]), 0))</f>
        <v>ggn</v>
      </c>
      <c r="BS13" s="840" t="str" cm="1">
        <f t="array" ref="BS13" xml:space="preserve"> INDEX(注音編碼對照表[聲韻調], MATCH(TRUE, EXACT($BP13, 注音編碼對照表[鍵盤按鍵]), 0))</f>
        <v>聲</v>
      </c>
      <c r="BT13" s="841">
        <f t="shared" si="1"/>
        <v>3</v>
      </c>
      <c r="BU13" s="147"/>
      <c r="BV13" s="549" t="str">
        <f t="shared" si="2"/>
        <v xml:space="preserve">    "N": { commit: "ㄫ" }  # /gg/ ==&gt; ŋ</v>
      </c>
      <c r="BW13" s="147"/>
      <c r="BX13" s="740"/>
      <c r="BY13" s="263"/>
      <c r="CA13" s="808" t="str">
        <v>U</v>
      </c>
      <c r="CB13" s="734" t="str">
        <v>l</v>
      </c>
      <c r="CC13" s="732" t="str">
        <v>ㄠ</v>
      </c>
      <c r="CD13" s="113" t="str">
        <v>au</v>
      </c>
      <c r="CE13" s="733" t="str">
        <v>韻</v>
      </c>
      <c r="CF13" s="735">
        <v>2</v>
      </c>
      <c r="CH13" s="698" t="str">
        <f t="shared" si="3"/>
        <v xml:space="preserve">    - xform/au/U/  # 韻 ㄠ [au]</v>
      </c>
      <c r="CJ13" s="808" t="str">
        <v>G</v>
      </c>
      <c r="CK13" s="734" t="str">
        <v>/</v>
      </c>
      <c r="CL13" s="732" t="str">
        <v>ㆭ</v>
      </c>
      <c r="CM13" s="113" t="str">
        <v>ng</v>
      </c>
      <c r="CN13" s="733" t="str">
        <v>韻</v>
      </c>
      <c r="CO13" s="735">
        <v>2</v>
      </c>
      <c r="CQ13" s="698" t="str">
        <f t="shared" si="4"/>
        <v xml:space="preserve">    - xform/ng/G/  # 韻 ㆭ [ng]</v>
      </c>
      <c r="CS13" s="808" t="str">
        <v>ŋ</v>
      </c>
      <c r="CT13" s="734" t="str">
        <v>N</v>
      </c>
      <c r="CU13" s="732" t="str">
        <v>ㄫ</v>
      </c>
      <c r="CV13" s="113" t="str">
        <v>ggn</v>
      </c>
      <c r="CW13" s="733" t="str">
        <v>聲</v>
      </c>
      <c r="CX13" s="735">
        <v>3</v>
      </c>
      <c r="CZ13" s="698" t="str">
        <f t="shared" si="5"/>
        <v xml:space="preserve">    - xform/^聲(?!\d)/ggn/  # ŋ [ 聲]</v>
      </c>
      <c r="DB13" s="808"/>
      <c r="DC13" s="734"/>
      <c r="DD13" s="732"/>
      <c r="DE13" s="113"/>
      <c r="DF13" s="733"/>
      <c r="DG13" s="735"/>
      <c r="DI13" s="698" t="str">
        <f t="shared" si="6"/>
        <v/>
      </c>
    </row>
    <row r="14" spans="1:113" ht="45" customHeight="1">
      <c r="BJ14" s="147"/>
      <c r="BK14" s="147"/>
      <c r="BN14" s="262">
        <f t="shared" si="0"/>
        <v>10</v>
      </c>
      <c r="BO14" s="838" t="str">
        <f>注音編碼對照表!E12</f>
        <v>v</v>
      </c>
      <c r="BP14" s="835" t="str">
        <f>注音編碼對照表!C12</f>
        <v>E</v>
      </c>
      <c r="BQ14" s="732" t="str">
        <f>注音編碼對照表!D12</f>
        <v>ㆣ</v>
      </c>
      <c r="BR14" s="839" t="str" cm="1">
        <f t="array" ref="BR14" xml:space="preserve"> INDEX(注音編碼對照表[閩拼方案], MATCH(TRUE, EXACT($BP14, 注音編碼對照表[鍵盤按鍵]), 0))</f>
        <v>gg</v>
      </c>
      <c r="BS14" s="840" t="str" cm="1">
        <f t="array" ref="BS14" xml:space="preserve"> INDEX(注音編碼對照表[聲韻調], MATCH(TRUE, EXACT($BP14, 注音編碼對照表[鍵盤按鍵]), 0))</f>
        <v>聲</v>
      </c>
      <c r="BT14" s="841">
        <f t="shared" si="1"/>
        <v>2</v>
      </c>
      <c r="BV14" s="549" t="str">
        <f t="shared" si="2"/>
        <v xml:space="preserve">    "E": { commit: "ㆣ" }  # /g/ ==&gt; v</v>
      </c>
      <c r="BY14" s="263"/>
      <c r="CA14" s="808" t="str">
        <v>R</v>
      </c>
      <c r="CB14" s="734" t="str">
        <v>*</v>
      </c>
      <c r="CC14" s="732" t="str">
        <v>ㆩ</v>
      </c>
      <c r="CD14" s="113" t="str">
        <v>na</v>
      </c>
      <c r="CE14" s="733" t="str">
        <v>韻</v>
      </c>
      <c r="CF14" s="735">
        <v>2</v>
      </c>
      <c r="CH14" s="698" t="str">
        <f t="shared" si="3"/>
        <v xml:space="preserve">    - xform/na/R/  # 韻 ㆩ [na]</v>
      </c>
      <c r="CJ14" s="808"/>
      <c r="CK14" s="734"/>
      <c r="CL14" s="732"/>
      <c r="CM14" s="113"/>
      <c r="CN14" s="733"/>
      <c r="CO14" s="735"/>
      <c r="CQ14" s="698" t="str">
        <f t="shared" si="4"/>
        <v/>
      </c>
      <c r="CS14" s="808" t="str">
        <v>v</v>
      </c>
      <c r="CT14" s="734" t="str">
        <v>E</v>
      </c>
      <c r="CU14" s="732" t="str">
        <v>ㆣ</v>
      </c>
      <c r="CV14" s="113" t="str">
        <v>gg</v>
      </c>
      <c r="CW14" s="733" t="str">
        <v>聲</v>
      </c>
      <c r="CX14" s="735">
        <v>2</v>
      </c>
      <c r="CZ14" s="698" t="str">
        <f t="shared" si="5"/>
        <v xml:space="preserve">    - xform/^聲(?!\d)/gg/  # v [ 聲]</v>
      </c>
      <c r="DB14" s="808"/>
      <c r="DC14" s="734"/>
      <c r="DD14" s="732"/>
      <c r="DE14" s="113"/>
      <c r="DF14" s="733"/>
      <c r="DG14" s="735"/>
      <c r="DI14" s="698" t="str">
        <f t="shared" si="6"/>
        <v/>
      </c>
    </row>
    <row r="15" spans="1:113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11</v>
      </c>
      <c r="BO15" s="838" t="str">
        <f>注音編碼對照表!E13</f>
        <v>g</v>
      </c>
      <c r="BP15" s="835" t="str">
        <f>注音編碼對照表!C13</f>
        <v>e</v>
      </c>
      <c r="BQ15" s="732" t="str">
        <f>注音編碼對照表!D13</f>
        <v>ㄍ</v>
      </c>
      <c r="BR15" s="839" t="str" cm="1">
        <f t="array" ref="BR15" xml:space="preserve"> INDEX(注音編碼對照表[閩拼方案], MATCH(TRUE, EXACT($BP15, 注音編碼對照表[鍵盤按鍵]), 0))</f>
        <v>g</v>
      </c>
      <c r="BS15" s="840" t="str" cm="1">
        <f t="array" ref="BS15" xml:space="preserve"> INDEX(注音編碼對照表[聲韻調], MATCH(TRUE, EXACT($BP15, 注音編碼對照表[鍵盤按鍵]), 0))</f>
        <v>聲</v>
      </c>
      <c r="BT15" s="841">
        <f t="shared" si="1"/>
        <v>1</v>
      </c>
      <c r="BU15" s="145"/>
      <c r="BV15" s="549" t="str">
        <f t="shared" si="2"/>
        <v xml:space="preserve">    "e": { commit: "ㄍ" }  # /k/ ==&gt; g</v>
      </c>
      <c r="BW15" s="145"/>
      <c r="BX15" s="236"/>
      <c r="BY15" s="263"/>
      <c r="CA15" s="808" t="str">
        <v>D</v>
      </c>
      <c r="CB15" s="734" t="str">
        <v>U</v>
      </c>
      <c r="CC15" s="732" t="str">
        <v>ㆪ</v>
      </c>
      <c r="CD15" s="113" t="str">
        <v>ni</v>
      </c>
      <c r="CE15" s="733" t="str">
        <v>韻</v>
      </c>
      <c r="CF15" s="735">
        <v>2</v>
      </c>
      <c r="CH15" s="698" t="str">
        <f t="shared" si="3"/>
        <v xml:space="preserve">    - xform/ni/D/  # 韻 ㆪ [ni]</v>
      </c>
      <c r="CJ15" s="808"/>
      <c r="CK15" s="734"/>
      <c r="CL15" s="732"/>
      <c r="CM15" s="113"/>
      <c r="CN15" s="733"/>
      <c r="CO15" s="735"/>
      <c r="CQ15" s="698" t="str">
        <f t="shared" si="4"/>
        <v/>
      </c>
      <c r="CS15" s="808" t="str">
        <v>g</v>
      </c>
      <c r="CT15" s="734" t="str">
        <v>e</v>
      </c>
      <c r="CU15" s="732" t="str">
        <v>ㄍ</v>
      </c>
      <c r="CV15" s="113" t="str">
        <v>g</v>
      </c>
      <c r="CW15" s="733" t="str">
        <v>聲</v>
      </c>
      <c r="CX15" s="735">
        <v>1</v>
      </c>
      <c r="CZ15" s="698" t="str">
        <f t="shared" si="5"/>
        <v xml:space="preserve">    - xform/^聲(?!\d)/g/  # g [ 聲]</v>
      </c>
      <c r="DB15" s="808"/>
      <c r="DC15" s="734"/>
      <c r="DD15" s="732"/>
      <c r="DE15" s="113"/>
      <c r="DF15" s="733"/>
      <c r="DG15" s="735"/>
      <c r="DI15" s="698" t="str">
        <f t="shared" si="6"/>
        <v/>
      </c>
    </row>
    <row r="16" spans="1:113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0"/>
        <v>12</v>
      </c>
      <c r="BO16" s="838" t="str">
        <f>注音編碼對照表!E14</f>
        <v>k</v>
      </c>
      <c r="BP16" s="835" t="str">
        <f>注音編碼對照表!C14</f>
        <v>d</v>
      </c>
      <c r="BQ16" s="732" t="str">
        <f>注音編碼對照表!D14</f>
        <v>ㄎ</v>
      </c>
      <c r="BR16" s="839" t="str" cm="1">
        <f t="array" ref="BR16" xml:space="preserve"> INDEX(注音編碼對照表[閩拼方案], MATCH(TRUE, EXACT($BP16, 注音編碼對照表[鍵盤按鍵]), 0))</f>
        <v>k</v>
      </c>
      <c r="BS16" s="840" t="str" cm="1">
        <f t="array" ref="BS16" xml:space="preserve"> INDEX(注音編碼對照表[聲韻調], MATCH(TRUE, EXACT($BP16, 注音編碼對照表[鍵盤按鍵]), 0))</f>
        <v>聲</v>
      </c>
      <c r="BT16" s="841">
        <f t="shared" si="1"/>
        <v>1</v>
      </c>
      <c r="BU16" s="190"/>
      <c r="BV16" s="549" t="str">
        <f t="shared" si="2"/>
        <v xml:space="preserve">    "d": { commit: "ㄎ" }  # /zz/ ==&gt; k</v>
      </c>
      <c r="BW16" s="190"/>
      <c r="BX16" s="741"/>
      <c r="BY16" s="263"/>
      <c r="CA16" s="808" t="str">
        <v>X</v>
      </c>
      <c r="CB16" s="734" t="str">
        <v>J</v>
      </c>
      <c r="CC16" s="732" t="str">
        <v>ㆫ</v>
      </c>
      <c r="CD16" s="113" t="str">
        <v>nu</v>
      </c>
      <c r="CE16" s="733" t="str">
        <v>韻</v>
      </c>
      <c r="CF16" s="735">
        <v>2</v>
      </c>
      <c r="CH16" s="698" t="str">
        <f t="shared" si="3"/>
        <v xml:space="preserve">    - xform/nu/X/  # 韻 ㆫ [nu]</v>
      </c>
      <c r="CJ16" s="808"/>
      <c r="CK16" s="734"/>
      <c r="CL16" s="732"/>
      <c r="CM16" s="113"/>
      <c r="CN16" s="733"/>
      <c r="CO16" s="735"/>
      <c r="CQ16" s="698" t="str">
        <f t="shared" si="4"/>
        <v/>
      </c>
      <c r="CS16" s="808" t="str">
        <v>k</v>
      </c>
      <c r="CT16" s="734" t="str">
        <v>d</v>
      </c>
      <c r="CU16" s="732" t="str">
        <v>ㄎ</v>
      </c>
      <c r="CV16" s="113" t="str">
        <v>k</v>
      </c>
      <c r="CW16" s="733" t="str">
        <v>聲</v>
      </c>
      <c r="CX16" s="735">
        <v>1</v>
      </c>
      <c r="CZ16" s="698" t="str">
        <f t="shared" si="5"/>
        <v xml:space="preserve">    - xform/^聲(?!\d)/k/  # k [ 聲]</v>
      </c>
      <c r="DB16" s="808"/>
      <c r="DC16" s="734"/>
      <c r="DD16" s="732"/>
      <c r="DE16" s="113"/>
      <c r="DF16" s="733"/>
      <c r="DG16" s="735"/>
      <c r="DI16" s="698" t="str">
        <f t="shared" si="6"/>
        <v/>
      </c>
    </row>
    <row r="17" spans="1:113" s="193" customFormat="1" ht="45" customHeight="1">
      <c r="A17" s="281"/>
      <c r="B17" s="515" t="s">
        <v>17</v>
      </c>
      <c r="C17" s="285"/>
      <c r="D17" s="842" t="str" cm="1">
        <f t="array" ref="D17" xml:space="preserve"> INDEX($BO$5:$BO$65, D$16,1)</f>
        <v>m</v>
      </c>
      <c r="E17" s="842" t="str" cm="1">
        <f t="array" ref="E17" xml:space="preserve"> INDEX($BO$5:$BO$65, E$16,1)</f>
        <v>B</v>
      </c>
      <c r="F17" s="842" t="str" cm="1">
        <f t="array" ref="F17" xml:space="preserve"> INDEX($BO$5:$BO$65, F$16,1)</f>
        <v>b</v>
      </c>
      <c r="G17" s="842" t="str" cm="1">
        <f t="array" ref="G17" xml:space="preserve"> INDEX($BO$5:$BO$65, G$16,1)</f>
        <v>p</v>
      </c>
      <c r="H17" s="843" t="str" cm="1">
        <f t="array" ref="H17" xml:space="preserve"> INDEX($BO$5:$BO$65, H$16,1)</f>
        <v>n</v>
      </c>
      <c r="I17" s="842" t="str" cm="1">
        <f t="array" ref="I17" xml:space="preserve"> INDEX($BO$5:$BO$65, I$16,1)</f>
        <v>d</v>
      </c>
      <c r="J17" s="842" t="str" cm="1">
        <f t="array" ref="J17" xml:space="preserve"> INDEX($BO$5:$BO$65, J$16,1)</f>
        <v>t</v>
      </c>
      <c r="K17" s="842" t="str" cm="1">
        <f t="array" ref="K17" xml:space="preserve"> INDEX($BO$5:$BO$65, K$16,1)</f>
        <v>l</v>
      </c>
      <c r="L17" s="842" t="str" cm="1">
        <f t="array" ref="L17" xml:space="preserve"> INDEX($BO$5:$BO$65, L$16,1)</f>
        <v>ŋ</v>
      </c>
      <c r="M17" s="843" t="str" cm="1">
        <f t="array" ref="M17" xml:space="preserve"> INDEX($BO$5:$BO$65, M$16,1)</f>
        <v>v</v>
      </c>
      <c r="N17" s="842" t="str" cm="1">
        <f t="array" ref="N17" xml:space="preserve"> INDEX($BO$5:$BO$65, N$16,1)</f>
        <v>g</v>
      </c>
      <c r="O17" s="842" t="str" cm="1">
        <f t="array" ref="O17" xml:space="preserve"> INDEX($BO$5:$BO$65, O$16,1)</f>
        <v>k</v>
      </c>
      <c r="P17" s="842" t="str" cm="1">
        <f t="array" ref="P17" xml:space="preserve"> INDEX($BO$5:$BO$65, P$16,1)</f>
        <v>Z</v>
      </c>
      <c r="Q17" s="842" t="str" cm="1">
        <f t="array" ref="Q17" xml:space="preserve"> INDEX($BO$5:$BO$65, Q$16,1)</f>
        <v>z</v>
      </c>
      <c r="R17" s="842" t="str" cm="1">
        <f t="array" ref="R17" xml:space="preserve"> INDEX($BO$5:$BO$65, R$16,1)</f>
        <v>c</v>
      </c>
      <c r="S17" s="842" t="str" cm="1">
        <f t="array" ref="S17" xml:space="preserve"> INDEX($BO$5:$BO$65, S$16,1)</f>
        <v>s</v>
      </c>
      <c r="T17" s="842" t="str" cm="1">
        <f t="array" ref="T17" xml:space="preserve"> INDEX($BO$5:$BO$65, T$16,1)</f>
        <v>J</v>
      </c>
      <c r="U17" s="842" t="str" cm="1">
        <f t="array" ref="U17" xml:space="preserve"> INDEX($BO$5:$BO$65, U$16,1)</f>
        <v>j</v>
      </c>
      <c r="V17" s="842" t="str" cm="1">
        <f t="array" ref="V17" xml:space="preserve"> INDEX($BO$5:$BO$65, V$16,1)</f>
        <v>C</v>
      </c>
      <c r="W17" s="842" t="str" cm="1">
        <f t="array" ref="W17" xml:space="preserve"> INDEX($BO$5:$BO$65, W$16,1)</f>
        <v>S</v>
      </c>
      <c r="X17" s="842" t="str" cm="1">
        <f t="array" ref="X17" xml:space="preserve"> INDEX($BO$5:$BO$65, X$16,1)</f>
        <v>h</v>
      </c>
      <c r="Y17" s="842" t="str" cm="1">
        <f t="array" ref="Y17" xml:space="preserve"> INDEX($BO$5:$BO$65, Y$16,1)</f>
        <v>a</v>
      </c>
      <c r="Z17" s="842" t="str" cm="1">
        <f t="array" ref="Z17" xml:space="preserve"> INDEX($BO$5:$BO$65, Z$16,1)</f>
        <v>i</v>
      </c>
      <c r="AA17" s="842" t="str" cm="1">
        <f t="array" ref="AA17" xml:space="preserve"> INDEX($BO$5:$BO$65, AA$16,1)</f>
        <v>w</v>
      </c>
      <c r="AB17" s="842" t="str" cm="1">
        <f t="array" ref="AB17" xml:space="preserve"> INDEX($BO$5:$BO$65, AB$16,1)</f>
        <v>u</v>
      </c>
      <c r="AC17" s="842" t="str" cm="1">
        <f t="array" ref="AC17" xml:space="preserve"> INDEX($BO$5:$BO$65, AC$16,1)</f>
        <v>e</v>
      </c>
      <c r="AD17" s="842" t="str" cm="1">
        <f t="array" ref="AD17" xml:space="preserve"> INDEX($BO$5:$BO$65, AD$16,1)</f>
        <v>O</v>
      </c>
      <c r="AE17" s="842" t="str" cm="1">
        <f t="array" ref="AE17" xml:space="preserve"> INDEX($BO$5:$BO$65, AE$16,1)</f>
        <v>o</v>
      </c>
      <c r="AF17" s="842" t="str" cm="1">
        <f t="array" ref="AF17" xml:space="preserve"> INDEX($BO$5:$BO$65, AF$16,1)</f>
        <v>I</v>
      </c>
      <c r="AG17" s="842" t="str" cm="1">
        <f t="array" ref="AG17" xml:space="preserve"> INDEX($BO$5:$BO$65, AG$16,1)</f>
        <v>U</v>
      </c>
      <c r="AH17" s="843" t="str" cm="1">
        <f t="array" ref="AH17" xml:space="preserve"> INDEX($BO$5:$BO$65, AH$16,1)</f>
        <v>R</v>
      </c>
      <c r="AI17" s="843" t="str" cm="1">
        <f t="array" ref="AI17" xml:space="preserve"> INDEX($BO$5:$BO$65, AI$16,1)</f>
        <v>D</v>
      </c>
      <c r="AJ17" s="843" t="str" cm="1">
        <f t="array" ref="AJ17" xml:space="preserve"> INDEX($BO$5:$BO$65, AJ$16,1)</f>
        <v>X</v>
      </c>
      <c r="AK17" s="843" t="str" cm="1">
        <f t="array" ref="AK17" xml:space="preserve"> INDEX($BO$5:$BO$65, AK$16,1)</f>
        <v>E</v>
      </c>
      <c r="AL17" s="843" t="str" cm="1">
        <f t="array" ref="AL17" xml:space="preserve"> INDEX($BO$5:$BO$65, AL$16,1)</f>
        <v>Q</v>
      </c>
      <c r="AM17" s="842" t="str" cm="1">
        <f t="array" ref="AM17" xml:space="preserve"> INDEX($BO$5:$BO$65, AM$16,1)</f>
        <v>x</v>
      </c>
      <c r="AN17" s="842" t="str" cm="1">
        <f t="array" ref="AN17" xml:space="preserve"> INDEX($BO$5:$BO$65, AN$16,1)</f>
        <v>y</v>
      </c>
      <c r="AO17" s="842" t="str" cm="1">
        <f t="array" ref="AO17" xml:space="preserve"> INDEX($BO$5:$BO$65, AO$16,1)</f>
        <v>M</v>
      </c>
      <c r="AP17" s="842" t="str" cm="1">
        <f t="array" ref="AP17" xml:space="preserve"> INDEX($BO$5:$BO$65, AP$16,1)</f>
        <v>N</v>
      </c>
      <c r="AQ17" s="842" t="str" cm="1">
        <f t="array" ref="AQ17" xml:space="preserve"> INDEX($BO$5:$BO$65, AQ$16,1)</f>
        <v>G</v>
      </c>
      <c r="AR17" s="842" t="str" cm="1">
        <f t="array" ref="AR17" xml:space="preserve"> INDEX($BO$5:$BO$65, AR$16,1)</f>
        <v>Y</v>
      </c>
      <c r="AS17" s="842" t="str" cm="1">
        <f t="array" ref="AS17" xml:space="preserve"> INDEX($BO$5:$BO$65, AS$16,1)</f>
        <v>@</v>
      </c>
      <c r="AT17" s="842" t="str" cm="1">
        <f t="array" ref="AT17" xml:space="preserve"> INDEX($BO$5:$BO$65, AT$16,1)</f>
        <v>A</v>
      </c>
      <c r="AU17" s="842" t="str" cm="1">
        <f t="array" ref="AU17" xml:space="preserve"> INDEX($BO$5:$BO$65, AU$16,1)</f>
        <v>W</v>
      </c>
      <c r="AV17" s="842" t="str" cm="1">
        <f t="array" ref="AV17" xml:space="preserve"> INDEX($BO$5:$BO$65, AV$16,1)</f>
        <v>H</v>
      </c>
      <c r="AW17" s="843" t="str" cm="1">
        <f t="array" ref="AW17" xml:space="preserve"> INDEX($BO$5:$BO$65, AW$16,1)</f>
        <v>P</v>
      </c>
      <c r="AX17" s="843" t="str" cm="1">
        <f t="array" ref="AX17" xml:space="preserve"> INDEX($BO$5:$BO$65, AX$16,1)</f>
        <v>T</v>
      </c>
      <c r="AY17" s="843" t="str" cm="1">
        <f t="array" ref="AY17" xml:space="preserve"> INDEX($BO$5:$BO$65, AY$16,1)</f>
        <v>K</v>
      </c>
      <c r="AZ17" s="843" t="str" cm="1">
        <f t="array" ref="AZ17" xml:space="preserve"> INDEX($BO$5:$BO$65, AZ$16,1)</f>
        <v>V</v>
      </c>
      <c r="BA17" s="842" cm="1">
        <f t="array" ref="BA17" xml:space="preserve"> INDEX($BO$5:$BO$65, BA$16,1)</f>
        <v>1</v>
      </c>
      <c r="BB17" s="842" cm="1">
        <f t="array" ref="BB17" xml:space="preserve"> INDEX($BO$5:$BO$65, BB$16,1)</f>
        <v>7</v>
      </c>
      <c r="BC17" s="842" cm="1">
        <f t="array" ref="BC17" xml:space="preserve"> INDEX($BO$5:$BO$65, BC$16,1)</f>
        <v>6</v>
      </c>
      <c r="BD17" s="842" cm="1">
        <f t="array" ref="BD17" xml:space="preserve"> INDEX($BO$5:$BO$65, BD$16,1)</f>
        <v>5</v>
      </c>
      <c r="BE17" s="842" cm="1">
        <f t="array" ref="BE17" xml:space="preserve"> INDEX($BO$5:$BO$65, BE$16,1)</f>
        <v>3</v>
      </c>
      <c r="BF17" s="842" cm="1">
        <f t="array" ref="BF17" xml:space="preserve"> INDEX($BO$5:$BO$65, BF$16,1)</f>
        <v>2</v>
      </c>
      <c r="BG17" s="842" cm="1">
        <f t="array" ref="BG17" xml:space="preserve"> INDEX($BO$5:$BO$65, BG$16,1)</f>
        <v>8</v>
      </c>
      <c r="BH17" s="842" cm="1">
        <f t="array" ref="BH17" xml:space="preserve"> INDEX($BO$5:$BO$65, BH$16,1)</f>
        <v>0</v>
      </c>
      <c r="BI17" s="842" cm="1">
        <f t="array" ref="BI17" xml:space="preserve"> INDEX($BO$5:$BO$65, BI$16,1)</f>
        <v>9</v>
      </c>
      <c r="BJ17" s="842" t="str" cm="1">
        <f t="array" ref="BJ17" xml:space="preserve"> INDEX($BO$5:$BO$65, BJ$16,1)</f>
        <v>L</v>
      </c>
      <c r="BK17" s="842" t="str" cm="1">
        <f t="array" ref="BK17" xml:space="preserve"> INDEX($BO$5:$BO$65, BK$16,1)</f>
        <v>*</v>
      </c>
      <c r="BN17" s="262">
        <f t="shared" si="0"/>
        <v>13</v>
      </c>
      <c r="BO17" s="838" t="str">
        <f>注音編碼對照表!E15</f>
        <v>Z</v>
      </c>
      <c r="BP17" s="835" t="str">
        <f>注音編碼對照表!C15</f>
        <v>Y</v>
      </c>
      <c r="BQ17" s="732" t="str">
        <f>注音編碼對照表!D15</f>
        <v>ㆡ</v>
      </c>
      <c r="BR17" s="839" t="str" cm="1">
        <f t="array" ref="BR17" xml:space="preserve"> INDEX(注音編碼對照表[閩拼方案], MATCH(TRUE, EXACT($BP17, 注音編碼對照表[鍵盤按鍵]), 0))</f>
        <v>zz</v>
      </c>
      <c r="BS17" s="840" t="str" cm="1">
        <f t="array" ref="BS17" xml:space="preserve"> INDEX(注音編碼對照表[聲韻調], MATCH(TRUE, EXACT($BP17, 注音編碼對照表[鍵盤按鍵]), 0))</f>
        <v>聲</v>
      </c>
      <c r="BT17" s="841">
        <f t="shared" si="1"/>
        <v>2</v>
      </c>
      <c r="BV17" s="549" t="str">
        <f t="shared" si="2"/>
        <v xml:space="preserve">    "Y": { commit: "ㆡ" }  # /z/ ==&gt; Z</v>
      </c>
      <c r="BX17" s="740"/>
      <c r="BY17" s="263"/>
      <c r="CA17" s="808" t="str">
        <v>E</v>
      </c>
      <c r="CB17" s="734" t="str">
        <v>&lt;</v>
      </c>
      <c r="CC17" s="732" t="str">
        <v>ㆥ</v>
      </c>
      <c r="CD17" s="113" t="str">
        <v>ne</v>
      </c>
      <c r="CE17" s="733" t="str">
        <v>韻</v>
      </c>
      <c r="CF17" s="735">
        <v>2</v>
      </c>
      <c r="CH17" s="698" t="str">
        <f t="shared" si="3"/>
        <v xml:space="preserve">    - xform/ne/E/  # 韻 ㆥ [ne]</v>
      </c>
      <c r="CJ17" s="808"/>
      <c r="CK17" s="734"/>
      <c r="CL17" s="732"/>
      <c r="CM17" s="113"/>
      <c r="CN17" s="733"/>
      <c r="CO17" s="735"/>
      <c r="CQ17" s="698" t="str">
        <f t="shared" si="4"/>
        <v/>
      </c>
      <c r="CS17" s="808" t="str">
        <v>Z</v>
      </c>
      <c r="CT17" s="734" t="str">
        <v>Y</v>
      </c>
      <c r="CU17" s="732" t="str">
        <v>ㆡ</v>
      </c>
      <c r="CV17" s="113" t="str">
        <v>zz</v>
      </c>
      <c r="CW17" s="733" t="str">
        <v>聲</v>
      </c>
      <c r="CX17" s="735">
        <v>2</v>
      </c>
      <c r="CZ17" s="698" t="str">
        <f t="shared" si="5"/>
        <v xml:space="preserve">    - xform/^聲(?!\d)/zz/  # Z [ 聲]</v>
      </c>
      <c r="DB17" s="808"/>
      <c r="DC17" s="734"/>
      <c r="DD17" s="732"/>
      <c r="DE17" s="113"/>
      <c r="DF17" s="733"/>
      <c r="DG17" s="735"/>
      <c r="DI17" s="698" t="str">
        <f t="shared" si="6"/>
        <v/>
      </c>
    </row>
    <row r="18" spans="1:113" s="193" customFormat="1" ht="45" customHeight="1">
      <c r="A18" s="281"/>
      <c r="B18" s="282" t="s">
        <v>8736</v>
      </c>
      <c r="C18" s="283"/>
      <c r="D18" s="844" t="str" cm="1">
        <f t="array" ref="D18" xml:space="preserve"> INDEX($BP$5:$BP$65, D$16,1)</f>
        <v>a</v>
      </c>
      <c r="E18" s="844" t="str" cm="1">
        <f t="array" ref="E18" xml:space="preserve"> INDEX($BP$5:$BP$65, E$16,1)</f>
        <v>!</v>
      </c>
      <c r="F18" s="844" t="str" cm="1">
        <f t="array" ref="F18" xml:space="preserve"> INDEX($BP$5:$BP$65, F$16,1)</f>
        <v>1</v>
      </c>
      <c r="G18" s="844" t="str" cm="1">
        <f t="array" ref="G18" xml:space="preserve"> INDEX($BP$5:$BP$65, G$16,1)</f>
        <v>q</v>
      </c>
      <c r="H18" s="844" t="str" cm="1">
        <f t="array" ref="H18" xml:space="preserve"> INDEX($BP$5:$BP$65, H$16,1)</f>
        <v>s</v>
      </c>
      <c r="I18" s="844" t="str" cm="1">
        <f t="array" ref="I18" xml:space="preserve"> INDEX($BP$5:$BP$65, I$16,1)</f>
        <v>2</v>
      </c>
      <c r="J18" s="844" t="str" cm="1">
        <f t="array" ref="J18" xml:space="preserve"> INDEX($BP$5:$BP$65, J$16,1)</f>
        <v>w</v>
      </c>
      <c r="K18" s="844" t="str" cm="1">
        <f t="array" ref="K18" xml:space="preserve"> INDEX($BP$5:$BP$65, K$16,1)</f>
        <v>x</v>
      </c>
      <c r="L18" s="844" t="str" cm="1">
        <f t="array" ref="L18" xml:space="preserve"> INDEX($BP$5:$BP$65, L$16,1)</f>
        <v>N</v>
      </c>
      <c r="M18" s="844" t="str" cm="1">
        <f t="array" ref="M18" xml:space="preserve"> INDEX($BP$5:$BP$65, M$16,1)</f>
        <v>E</v>
      </c>
      <c r="N18" s="844" t="str" cm="1">
        <f t="array" ref="N18" xml:space="preserve"> INDEX($BP$5:$BP$65, N$16,1)</f>
        <v>e</v>
      </c>
      <c r="O18" s="844" t="str" cm="1">
        <f t="array" ref="O18" xml:space="preserve"> INDEX($BP$5:$BP$65, O$16,1)</f>
        <v>d</v>
      </c>
      <c r="P18" s="844" t="str" cm="1">
        <f t="array" ref="P18" xml:space="preserve"> INDEX($BP$5:$BP$65, P$16,1)</f>
        <v>Y</v>
      </c>
      <c r="Q18" s="844" t="str" cm="1">
        <f t="array" ref="Q18" xml:space="preserve"> INDEX($BP$5:$BP$65, Q$16,1)</f>
        <v>y</v>
      </c>
      <c r="R18" s="844" t="str" cm="1">
        <f t="array" ref="R18" xml:space="preserve"> INDEX($BP$5:$BP$65, R$16,1)</f>
        <v>h</v>
      </c>
      <c r="S18" s="844" t="str" cm="1">
        <f t="array" ref="S18" xml:space="preserve"> INDEX($BP$5:$BP$65, S$16,1)</f>
        <v>n</v>
      </c>
      <c r="T18" s="844" t="str" cm="1">
        <f t="array" ref="T18" xml:space="preserve"> INDEX($BP$5:$BP$65, T$16,1)</f>
        <v>R</v>
      </c>
      <c r="U18" s="844" t="str" cm="1">
        <f t="array" ref="U18" xml:space="preserve"> INDEX($BP$5:$BP$65, U$16,1)</f>
        <v>r</v>
      </c>
      <c r="V18" s="844" t="str" cm="1">
        <f t="array" ref="V18" xml:space="preserve"> INDEX($BP$5:$BP$65, V$16,1)</f>
        <v>f</v>
      </c>
      <c r="W18" s="844" t="str" cm="1">
        <f t="array" ref="W18" xml:space="preserve"> INDEX($BP$5:$BP$65, W$16,1)</f>
        <v>v</v>
      </c>
      <c r="X18" s="844" t="str" cm="1">
        <f t="array" ref="X18" xml:space="preserve"> INDEX($BP$5:$BP$65, X$16,1)</f>
        <v>c</v>
      </c>
      <c r="Y18" s="844" t="str" cm="1">
        <f t="array" ref="Y18" xml:space="preserve"> INDEX($BP$5:$BP$65, Y$16,1)</f>
        <v>8</v>
      </c>
      <c r="Z18" s="844" t="str" cm="1">
        <f t="array" ref="Z18" xml:space="preserve"> INDEX($BP$5:$BP$65, Z$16,1)</f>
        <v>u</v>
      </c>
      <c r="AA18" s="844" t="str" cm="1">
        <f t="array" ref="AA18" xml:space="preserve"> INDEX($BP$5:$BP$65, AA$16,1)</f>
        <v>K</v>
      </c>
      <c r="AB18" s="844" t="str" cm="1">
        <f t="array" ref="AB18" xml:space="preserve"> INDEX($BP$5:$BP$65, AB$16,1)</f>
        <v>j</v>
      </c>
      <c r="AC18" s="844" t="str" cm="1">
        <f t="array" ref="AC18" xml:space="preserve"> INDEX($BP$5:$BP$65, AC$16,1)</f>
        <v>,</v>
      </c>
      <c r="AD18" s="844" t="str" cm="1">
        <f t="array" ref="AD18" xml:space="preserve"> INDEX($BP$5:$BP$65, AD$16,1)</f>
        <v>i</v>
      </c>
      <c r="AE18" s="844" t="str" cm="1">
        <f t="array" ref="AE18" xml:space="preserve"> INDEX($BP$5:$BP$65, AE$16,1)</f>
        <v>k</v>
      </c>
      <c r="AF18" s="844" t="str" cm="1">
        <f t="array" ref="AF18" xml:space="preserve"> INDEX($BP$5:$BP$65, AF$16,1)</f>
        <v>9</v>
      </c>
      <c r="AG18" s="844" t="str" cm="1">
        <f t="array" ref="AG18" xml:space="preserve"> INDEX($BP$5:$BP$65, AG$16,1)</f>
        <v>l</v>
      </c>
      <c r="AH18" s="844" t="str" cm="1">
        <f t="array" ref="AH18" xml:space="preserve"> INDEX($BP$5:$BP$65, AH$16,1)</f>
        <v>*</v>
      </c>
      <c r="AI18" s="844" t="str" cm="1">
        <f t="array" ref="AI18" xml:space="preserve"> INDEX($BP$5:$BP$65, AI$16,1)</f>
        <v>U</v>
      </c>
      <c r="AJ18" s="844" t="str" cm="1">
        <f t="array" ref="AJ18" xml:space="preserve"> INDEX($BP$5:$BP$65, AJ$16,1)</f>
        <v>J</v>
      </c>
      <c r="AK18" s="844" t="str" cm="1">
        <f t="array" ref="AK18" xml:space="preserve"> INDEX($BP$5:$BP$65, AK$16,1)</f>
        <v>&lt;</v>
      </c>
      <c r="AL18" s="844" t="str" cm="1">
        <f t="array" ref="AL18" xml:space="preserve"> INDEX($BP$5:$BP$65, AL$16,1)</f>
        <v>I</v>
      </c>
      <c r="AM18" s="844" t="str" cm="1">
        <f t="array" ref="AM18" xml:space="preserve"> INDEX($BP$5:$BP$65, AM$16,1)</f>
        <v>(</v>
      </c>
      <c r="AN18" s="844" t="str" cm="1">
        <f t="array" ref="AN18" xml:space="preserve"> INDEX($BP$5:$BP$65, AN$16,1)</f>
        <v>L</v>
      </c>
      <c r="AO18" s="844" t="str" cm="1">
        <f t="array" ref="AO18" xml:space="preserve"> INDEX($BP$5:$BP$65, AO$16,1)</f>
        <v>m</v>
      </c>
      <c r="AP18" s="844" t="str" cm="1">
        <f t="array" ref="AP18" xml:space="preserve"> INDEX($BP$5:$BP$65, AP$16,1)</f>
        <v>p</v>
      </c>
      <c r="AQ18" s="844" t="str" cm="1">
        <f t="array" ref="AQ18" xml:space="preserve"> INDEX($BP$5:$BP$65, AQ$16,1)</f>
        <v>/</v>
      </c>
      <c r="AR18" s="844" t="str" cm="1">
        <f t="array" ref="AR18" xml:space="preserve"> INDEX($BP$5:$BP$65, AR$16,1)</f>
        <v>M</v>
      </c>
      <c r="AS18" s="844" t="str" cm="1">
        <f t="array" ref="AS18" xml:space="preserve"> INDEX($BP$5:$BP$65, AS$16,1)</f>
        <v>0</v>
      </c>
      <c r="AT18" s="844" t="str" cm="1">
        <f t="array" ref="AT18" xml:space="preserve"> INDEX($BP$5:$BP$65, AT$16,1)</f>
        <v>;</v>
      </c>
      <c r="AU18" s="844" t="str" cm="1">
        <f t="array" ref="AU18" xml:space="preserve"> INDEX($BP$5:$BP$65, AU$16,1)</f>
        <v>O</v>
      </c>
      <c r="AV18" s="844" t="str" cm="1">
        <f t="array" ref="AV18" xml:space="preserve"> INDEX($BP$5:$BP$65, AV$16,1)</f>
        <v>o</v>
      </c>
      <c r="AW18" s="844" t="str" cm="1">
        <f t="array" ref="AW18" xml:space="preserve"> INDEX($BP$5:$BP$65, AW$16,1)</f>
        <v>b</v>
      </c>
      <c r="AX18" s="844" t="str" cm="1">
        <f t="array" ref="AX18" xml:space="preserve"> INDEX($BP$5:$BP$65, AX$16,1)</f>
        <v>t</v>
      </c>
      <c r="AY18" s="844" t="str" cm="1">
        <f t="array" ref="AY18" xml:space="preserve"> INDEX($BP$5:$BP$65, AY$16,1)</f>
        <v>g</v>
      </c>
      <c r="AZ18" s="844" t="str" cm="1">
        <f t="array" ref="AZ18" xml:space="preserve"> INDEX($BP$5:$BP$65, AZ$16,1)</f>
        <v>z</v>
      </c>
      <c r="BA18" s="844" t="str" cm="1">
        <f t="array" ref="BA18" xml:space="preserve"> INDEX($BP$5:$BP$65, BA$16,1)</f>
        <v>'</v>
      </c>
      <c r="BB18" s="844" t="str" cm="1">
        <f t="array" ref="BB18" xml:space="preserve"> INDEX($BP$5:$BP$65, BB$16,1)</f>
        <v>[</v>
      </c>
      <c r="BC18" s="844" cm="1">
        <f t="array" ref="BC18" xml:space="preserve"> INDEX($BP$5:$BP$65, BC$16,1)</f>
        <v>5</v>
      </c>
      <c r="BD18" s="844" cm="1">
        <f t="array" ref="BD18" xml:space="preserve"> INDEX($BP$5:$BP$65, BD$16,1)</f>
        <v>3</v>
      </c>
      <c r="BE18" s="844" cm="1">
        <f t="array" ref="BE18" xml:space="preserve"> INDEX($BP$5:$BP$65, BE$16,1)</f>
        <v>4</v>
      </c>
      <c r="BF18" s="844" cm="1">
        <f t="array" ref="BF18" xml:space="preserve"> INDEX($BP$5:$BP$65, BF$16,1)</f>
        <v>6</v>
      </c>
      <c r="BG18" s="844" t="str" cm="1">
        <f t="array" ref="BG18" xml:space="preserve"> INDEX($BP$5:$BP$65, BG$16,1)</f>
        <v>]</v>
      </c>
      <c r="BH18" s="844" cm="1">
        <f t="array" ref="BH18" xml:space="preserve"> INDEX($BP$5:$BP$65, BH$16,1)</f>
        <v>7</v>
      </c>
      <c r="BI18" s="844" t="str" cm="1">
        <f t="array" ref="BI18" xml:space="preserve"> INDEX($BP$5:$BP$65, BI$16,1)</f>
        <v>.</v>
      </c>
      <c r="BJ18" s="844" t="str" cm="1">
        <f t="array" ref="BJ18" xml:space="preserve"> INDEX($BP$5:$BP$65, BJ$16,1)</f>
        <v>=</v>
      </c>
      <c r="BK18" s="844" t="str" cm="1">
        <f t="array" ref="BK18" xml:space="preserve"> INDEX($BP$5:$BP$65, BK$16,1)</f>
        <v>-</v>
      </c>
      <c r="BN18" s="262">
        <f t="shared" si="0"/>
        <v>14</v>
      </c>
      <c r="BO18" s="838" t="str">
        <f>注音編碼對照表!E16</f>
        <v>z</v>
      </c>
      <c r="BP18" s="835" t="str">
        <f>注音編碼對照表!C16</f>
        <v>y</v>
      </c>
      <c r="BQ18" s="732" t="str">
        <f>注音編碼對照表!D16</f>
        <v>ㄗ</v>
      </c>
      <c r="BR18" s="839" t="str" cm="1">
        <f t="array" ref="BR18" xml:space="preserve"> INDEX(注音編碼對照表[閩拼方案], MATCH(TRUE, EXACT($BP18, 注音編碼對照表[鍵盤按鍵]), 0))</f>
        <v>z</v>
      </c>
      <c r="BS18" s="840" t="str" cm="1">
        <f t="array" ref="BS18" xml:space="preserve"> INDEX(注音編碼對照表[聲韻調], MATCH(TRUE, EXACT($BP18, 注音編碼對照表[鍵盤按鍵]), 0))</f>
        <v>聲</v>
      </c>
      <c r="BT18" s="841">
        <f t="shared" si="1"/>
        <v>1</v>
      </c>
      <c r="BV18" s="549" t="str">
        <f t="shared" si="2"/>
        <v xml:space="preserve">    "y": { commit: "ㄗ" }  # /c/ ==&gt; z</v>
      </c>
      <c r="BX18" s="740"/>
      <c r="BY18" s="263"/>
      <c r="CA18" s="808" t="str">
        <v>Q</v>
      </c>
      <c r="CB18" s="734" t="str">
        <v>I</v>
      </c>
      <c r="CC18" s="732" t="str">
        <v>ㆧ</v>
      </c>
      <c r="CD18" s="113" t="str">
        <v>no</v>
      </c>
      <c r="CE18" s="733" t="str">
        <v>韻</v>
      </c>
      <c r="CF18" s="735">
        <v>2</v>
      </c>
      <c r="CH18" s="698" t="str">
        <f t="shared" si="3"/>
        <v xml:space="preserve">    - xform/no/Q/  # 韻 ㆧ [no]</v>
      </c>
      <c r="CJ18" s="808"/>
      <c r="CK18" s="734"/>
      <c r="CL18" s="732"/>
      <c r="CM18" s="113"/>
      <c r="CN18" s="733"/>
      <c r="CO18" s="735"/>
      <c r="CQ18" s="698" t="str">
        <f t="shared" si="4"/>
        <v/>
      </c>
      <c r="CS18" s="808" t="str">
        <v>z</v>
      </c>
      <c r="CT18" s="734" t="str">
        <v>y</v>
      </c>
      <c r="CU18" s="732" t="str">
        <v>ㄗ</v>
      </c>
      <c r="CV18" s="113" t="str">
        <v>z</v>
      </c>
      <c r="CW18" s="733" t="str">
        <v>聲</v>
      </c>
      <c r="CX18" s="735">
        <v>1</v>
      </c>
      <c r="CZ18" s="698" t="str">
        <f t="shared" si="5"/>
        <v xml:space="preserve">    - xform/^聲(?!\d)/z/  # z [ 聲]</v>
      </c>
      <c r="DB18" s="808"/>
      <c r="DC18" s="734"/>
      <c r="DD18" s="732"/>
      <c r="DE18" s="113"/>
      <c r="DF18" s="733"/>
      <c r="DG18" s="735"/>
      <c r="DI18" s="698" t="str">
        <f t="shared" si="6"/>
        <v/>
      </c>
    </row>
    <row r="19" spans="1:113" s="193" customFormat="1" ht="45" customHeight="1">
      <c r="A19" s="281"/>
      <c r="B19" s="317" t="s">
        <v>386</v>
      </c>
      <c r="C19" s="318"/>
      <c r="D19" s="319" t="str" cm="1">
        <f t="array" ref="D19" xml:space="preserve"> INDEX($BQ$5:$BQ$65, D$16,1)</f>
        <v>ㄇ</v>
      </c>
      <c r="E19" s="319" t="str" cm="1">
        <f t="array" ref="E19" xml:space="preserve"> INDEX($BQ$5:$BQ$65, E$16,1)</f>
        <v>ㆠ</v>
      </c>
      <c r="F19" s="319" t="str" cm="1">
        <f t="array" ref="F19" xml:space="preserve"> INDEX($BQ$5:$BQ$65, F$16,1)</f>
        <v>ㄅ</v>
      </c>
      <c r="G19" s="319" t="str" cm="1">
        <f t="array" ref="G19" xml:space="preserve"> INDEX($BQ$5:$BQ$65, G$16,1)</f>
        <v>ㄆ</v>
      </c>
      <c r="H19" s="319" t="str" cm="1">
        <f t="array" ref="H19" xml:space="preserve"> INDEX($BQ$5:$BQ$65, H$16,1)</f>
        <v>ㄋ</v>
      </c>
      <c r="I19" s="319" t="str" cm="1">
        <f t="array" ref="I19" xml:space="preserve"> INDEX($BQ$5:$BQ$65, I$16,1)</f>
        <v>ㄉ</v>
      </c>
      <c r="J19" s="319" t="str" cm="1">
        <f t="array" ref="J19" xml:space="preserve"> INDEX($BQ$5:$BQ$65, J$16,1)</f>
        <v>ㄊ</v>
      </c>
      <c r="K19" s="319" t="str" cm="1">
        <f t="array" ref="K19" xml:space="preserve"> INDEX($BQ$5:$BQ$65, K$16,1)</f>
        <v>ㄌ</v>
      </c>
      <c r="L19" s="319" t="str" cm="1">
        <f t="array" ref="L19" xml:space="preserve"> INDEX($BQ$5:$BQ$65, L$16,1)</f>
        <v>ㄫ</v>
      </c>
      <c r="M19" s="319" t="str" cm="1">
        <f t="array" ref="M19" xml:space="preserve"> INDEX($BQ$5:$BQ$65, M$16,1)</f>
        <v>ㆣ</v>
      </c>
      <c r="N19" s="319" t="str" cm="1">
        <f t="array" ref="N19" xml:space="preserve"> INDEX($BQ$5:$BQ$65, N$16,1)</f>
        <v>ㄍ</v>
      </c>
      <c r="O19" s="319" t="str" cm="1">
        <f t="array" ref="O19" xml:space="preserve"> INDEX($BQ$5:$BQ$65, O$16,1)</f>
        <v>ㄎ</v>
      </c>
      <c r="P19" s="319" t="str" cm="1">
        <f t="array" ref="P19" xml:space="preserve"> INDEX($BQ$5:$BQ$65, P$16,1)</f>
        <v>ㆡ</v>
      </c>
      <c r="Q19" s="319" t="str" cm="1">
        <f t="array" ref="Q19" xml:space="preserve"> INDEX($BQ$5:$BQ$65, Q$16,1)</f>
        <v>ㄗ</v>
      </c>
      <c r="R19" s="319" t="str" cm="1">
        <f t="array" ref="R19" xml:space="preserve"> INDEX($BQ$5:$BQ$65, R$16,1)</f>
        <v>ㄘ</v>
      </c>
      <c r="S19" s="319" t="str" cm="1">
        <f t="array" ref="S19" xml:space="preserve"> INDEX($BQ$5:$BQ$65, S$16,1)</f>
        <v>ㄙ</v>
      </c>
      <c r="T19" s="319" t="str" cm="1">
        <f t="array" ref="T19" xml:space="preserve"> INDEX($BQ$5:$BQ$65, T$16,1)</f>
        <v>ㆢ</v>
      </c>
      <c r="U19" s="319" t="str" cm="1">
        <f t="array" ref="U19" xml:space="preserve"> INDEX($BQ$5:$BQ$65, U$16,1)</f>
        <v>ㄐ</v>
      </c>
      <c r="V19" s="319" t="str" cm="1">
        <f t="array" ref="V19" xml:space="preserve"> INDEX($BQ$5:$BQ$65, V$16,1)</f>
        <v>ㄑ</v>
      </c>
      <c r="W19" s="319" t="str" cm="1">
        <f t="array" ref="W19" xml:space="preserve"> INDEX($BQ$5:$BQ$65, W$16,1)</f>
        <v>ㄒ</v>
      </c>
      <c r="X19" s="319" t="str" cm="1">
        <f t="array" ref="X19" xml:space="preserve"> INDEX($BQ$5:$BQ$65, X$16,1)</f>
        <v>ㄏ</v>
      </c>
      <c r="Y19" s="319" t="str" cm="1">
        <f t="array" ref="Y19" xml:space="preserve"> INDEX($BQ$5:$BQ$65, Y$16,1)</f>
        <v>ㄚ</v>
      </c>
      <c r="Z19" s="319" t="str" cm="1">
        <f t="array" ref="Z19" xml:space="preserve"> INDEX($BQ$5:$BQ$65, Z$16,1)</f>
        <v>ㄧ</v>
      </c>
      <c r="AA19" s="319" t="str" cm="1">
        <f t="array" ref="AA19" xml:space="preserve"> INDEX($BQ$5:$BQ$65, AA$16,1)</f>
        <v>ㆨ</v>
      </c>
      <c r="AB19" s="319" t="str" cm="1">
        <f t="array" ref="AB19" xml:space="preserve"> INDEX($BQ$5:$BQ$65, AB$16,1)</f>
        <v>ㄨ</v>
      </c>
      <c r="AC19" s="319" t="str" cm="1">
        <f t="array" ref="AC19" xml:space="preserve"> INDEX($BQ$5:$BQ$65, AC$16,1)</f>
        <v>ㆤ</v>
      </c>
      <c r="AD19" s="319" t="str" cm="1">
        <f t="array" ref="AD19" xml:space="preserve"> INDEX($BQ$5:$BQ$65, AD$16,1)</f>
        <v>ㆦ</v>
      </c>
      <c r="AE19" s="319" t="str" cm="1">
        <f t="array" ref="AE19" xml:space="preserve"> INDEX($BQ$5:$BQ$65, AE$16,1)</f>
        <v>ㄜ</v>
      </c>
      <c r="AF19" s="319" t="str" cm="1">
        <f t="array" ref="AF19" xml:space="preserve"> INDEX($BQ$5:$BQ$65, AF$16,1)</f>
        <v>ㄞ</v>
      </c>
      <c r="AG19" s="319" t="str" cm="1">
        <f t="array" ref="AG19" xml:space="preserve"> INDEX($BQ$5:$BQ$65, AG$16,1)</f>
        <v>ㄠ</v>
      </c>
      <c r="AH19" s="319" t="str" cm="1">
        <f t="array" ref="AH19" xml:space="preserve"> INDEX($BQ$5:$BQ$65, AH$16,1)</f>
        <v>ㆩ</v>
      </c>
      <c r="AI19" s="319" t="str" cm="1">
        <f t="array" ref="AI19" xml:space="preserve"> INDEX($BQ$5:$BQ$65, AI$16,1)</f>
        <v>ㆪ</v>
      </c>
      <c r="AJ19" s="319" t="str" cm="1">
        <f t="array" ref="AJ19" xml:space="preserve"> INDEX($BQ$5:$BQ$65, AJ$16,1)</f>
        <v>ㆫ</v>
      </c>
      <c r="AK19" s="319" t="str" cm="1">
        <f t="array" ref="AK19" xml:space="preserve"> INDEX($BQ$5:$BQ$65, AK$16,1)</f>
        <v>ㆥ</v>
      </c>
      <c r="AL19" s="319" t="str" cm="1">
        <f t="array" ref="AL19" xml:space="preserve"> INDEX($BQ$5:$BQ$65, AL$16,1)</f>
        <v>ㆧ</v>
      </c>
      <c r="AM19" s="319" t="str" cm="1">
        <f t="array" ref="AM19" xml:space="preserve"> INDEX($BQ$5:$BQ$65, AM$16,1)</f>
        <v>ㆮ</v>
      </c>
      <c r="AN19" s="319" t="str" cm="1">
        <f t="array" ref="AN19" xml:space="preserve"> INDEX($BQ$5:$BQ$65, AN$16,1)</f>
        <v>ㆯ</v>
      </c>
      <c r="AO19" s="319" t="str" cm="1">
        <f t="array" ref="AO19" xml:space="preserve"> INDEX($BQ$5:$BQ$65, AO$16,1)</f>
        <v>ㆬ</v>
      </c>
      <c r="AP19" s="319" t="str" cm="1">
        <f t="array" ref="AP19" xml:space="preserve"> INDEX($BQ$5:$BQ$65, AP$16,1)</f>
        <v>ㄣ</v>
      </c>
      <c r="AQ19" s="319" t="str" cm="1">
        <f t="array" ref="AQ19" xml:space="preserve"> INDEX($BQ$5:$BQ$65, AQ$16,1)</f>
        <v>ㆭ</v>
      </c>
      <c r="AR19" s="319" t="str" cm="1">
        <f t="array" ref="AR19" xml:space="preserve"> INDEX($BQ$5:$BQ$65, AR$16,1)</f>
        <v>ㆰ</v>
      </c>
      <c r="AS19" s="319" t="str" cm="1">
        <f t="array" ref="AS19" xml:space="preserve"> INDEX($BQ$5:$BQ$65, AS$16,1)</f>
        <v>ㄢ</v>
      </c>
      <c r="AT19" s="319" t="str" cm="1">
        <f t="array" ref="AT19" xml:space="preserve"> INDEX($BQ$5:$BQ$65, AT$16,1)</f>
        <v>ㄤ</v>
      </c>
      <c r="AU19" s="319" t="str" cm="1">
        <f t="array" ref="AU19" xml:space="preserve"> INDEX($BQ$5:$BQ$65, AU$16,1)</f>
        <v>ㆱ</v>
      </c>
      <c r="AV19" s="319" t="str" cm="1">
        <f t="array" ref="AV19" xml:space="preserve"> INDEX($BQ$5:$BQ$65, AV$16,1)</f>
        <v>ㆲ</v>
      </c>
      <c r="AW19" s="319" t="str" cm="1">
        <f t="array" ref="AW19" xml:space="preserve"> INDEX($BQ$5:$BQ$65, AW$16,1)</f>
        <v>ㆴ</v>
      </c>
      <c r="AX19" s="319" t="str" cm="1">
        <f t="array" ref="AX19" xml:space="preserve"> INDEX($BQ$5:$BQ$65, AX$16,1)</f>
        <v>ㆵ</v>
      </c>
      <c r="AY19" s="319" t="str" cm="1">
        <f t="array" ref="AY19" xml:space="preserve"> INDEX($BQ$5:$BQ$65, AY$16,1)</f>
        <v>ㆻ</v>
      </c>
      <c r="AZ19" s="319" t="str" cm="1">
        <f t="array" ref="AZ19" xml:space="preserve"> INDEX($BQ$5:$BQ$65, AZ$16,1)</f>
        <v>ㆷ</v>
      </c>
      <c r="BA19" s="319" t="str" cm="1">
        <f t="array" ref="BA19" xml:space="preserve"> INDEX($BQ$5:$BQ$65, BA$16,1)</f>
        <v>ˉ</v>
      </c>
      <c r="BB19" s="319" t="str" cm="1">
        <f t="array" ref="BB19" xml:space="preserve"> INDEX($BQ$5:$BQ$65, BB$16,1)</f>
        <v>ˉ</v>
      </c>
      <c r="BC19" s="319" t="str" cm="1">
        <f t="array" ref="BC19" xml:space="preserve"> INDEX($BQ$5:$BQ$65, BC$16,1)</f>
        <v>^</v>
      </c>
      <c r="BD19" s="319" t="str" cm="1">
        <f t="array" ref="BD19" xml:space="preserve"> INDEX($BQ$5:$BQ$65, BD$16,1)</f>
        <v>ˋ</v>
      </c>
      <c r="BE19" s="319" t="str" cm="1">
        <f t="array" ref="BE19" xml:space="preserve"> INDEX($BQ$5:$BQ$65, BE$16,1)</f>
        <v>ˇ</v>
      </c>
      <c r="BF19" s="319" t="str" cm="1">
        <f t="array" ref="BF19" xml:space="preserve"> INDEX($BQ$5:$BQ$65, BF$16,1)</f>
        <v>ˊ</v>
      </c>
      <c r="BG19" s="319" t="str" cm="1">
        <f t="array" ref="BG19" xml:space="preserve"> INDEX($BQ$5:$BQ$65, BG$16,1)</f>
        <v>ˊ</v>
      </c>
      <c r="BH19" s="319" t="str" cm="1">
        <f t="array" ref="BH19" xml:space="preserve"> INDEX($BQ$5:$BQ$65, BH$16,1)</f>
        <v>˙</v>
      </c>
      <c r="BI19" s="319" t="str" cm="1">
        <f t="array" ref="BI19" xml:space="preserve"> INDEX($BQ$5:$BQ$65, BI$16,1)</f>
        <v>入</v>
      </c>
      <c r="BJ19" s="319" t="str" cm="1">
        <f t="array" ref="BJ19" xml:space="preserve"> INDEX($BQ$5:$BQ$65, BJ$16,1)</f>
        <v>ㄥ</v>
      </c>
      <c r="BK19" s="319" t="str" cm="1">
        <f t="array" ref="BK19" xml:space="preserve"> INDEX($BQ$5:$BQ$65, BK$16,1)</f>
        <v>ñ</v>
      </c>
      <c r="BL19" s="145"/>
      <c r="BN19" s="262">
        <f t="shared" si="0"/>
        <v>15</v>
      </c>
      <c r="BO19" s="838" t="str">
        <f>注音編碼對照表!E17</f>
        <v>c</v>
      </c>
      <c r="BP19" s="835" t="str">
        <f>注音編碼對照表!C17</f>
        <v>h</v>
      </c>
      <c r="BQ19" s="732" t="str">
        <f>注音編碼對照表!D17</f>
        <v>ㄘ</v>
      </c>
      <c r="BR19" s="839" t="str" cm="1">
        <f t="array" ref="BR19" xml:space="preserve"> INDEX(注音編碼對照表[閩拼方案], MATCH(TRUE, EXACT($BP19, 注音編碼對照表[鍵盤按鍵]), 0))</f>
        <v>c</v>
      </c>
      <c r="BS19" s="840" t="str" cm="1">
        <f t="array" ref="BS19" xml:space="preserve"> INDEX(注音編碼對照表[聲韻調], MATCH(TRUE, EXACT($BP19, 注音編碼對照表[鍵盤按鍵]), 0))</f>
        <v>聲</v>
      </c>
      <c r="BT19" s="841">
        <f t="shared" si="1"/>
        <v>1</v>
      </c>
      <c r="BV19" s="549" t="str">
        <f t="shared" si="2"/>
        <v xml:space="preserve">    "h": { commit: "ㄘ" }  # /s/ ==&gt; c</v>
      </c>
      <c r="BX19" s="740"/>
      <c r="BY19" s="263"/>
      <c r="CA19" s="808" t="str">
        <v>x</v>
      </c>
      <c r="CB19" s="734" t="str">
        <v>(</v>
      </c>
      <c r="CC19" s="732" t="str">
        <v>ㆮ</v>
      </c>
      <c r="CD19" s="113" t="str">
        <v>nai</v>
      </c>
      <c r="CE19" s="733" t="str">
        <v>韻</v>
      </c>
      <c r="CF19" s="735">
        <v>3</v>
      </c>
      <c r="CH19" s="698" t="str">
        <f t="shared" si="3"/>
        <v xml:space="preserve">    - xform/nai/x/  # 韻 ㆮ [nai]</v>
      </c>
      <c r="CJ19" s="808"/>
      <c r="CK19" s="734"/>
      <c r="CL19" s="732"/>
      <c r="CM19" s="113"/>
      <c r="CN19" s="733"/>
      <c r="CO19" s="735"/>
      <c r="CQ19" s="698" t="str">
        <f t="shared" si="4"/>
        <v/>
      </c>
      <c r="CS19" s="808" t="str">
        <v>c</v>
      </c>
      <c r="CT19" s="734" t="str">
        <v>h</v>
      </c>
      <c r="CU19" s="732" t="str">
        <v>ㄘ</v>
      </c>
      <c r="CV19" s="113" t="str">
        <v>c</v>
      </c>
      <c r="CW19" s="733" t="str">
        <v>聲</v>
      </c>
      <c r="CX19" s="735">
        <v>1</v>
      </c>
      <c r="CZ19" s="698" t="str">
        <f t="shared" si="5"/>
        <v xml:space="preserve">    - xform/^聲(?!\d)/c/  # c [ 聲]</v>
      </c>
      <c r="DB19" s="808"/>
      <c r="DC19" s="734"/>
      <c r="DD19" s="732"/>
      <c r="DE19" s="113"/>
      <c r="DF19" s="733"/>
      <c r="DG19" s="735"/>
      <c r="DI19" s="698" t="str">
        <f t="shared" si="6"/>
        <v/>
      </c>
    </row>
    <row r="20" spans="1:113" ht="45" customHeight="1">
      <c r="A20" s="281"/>
      <c r="B20" s="720" t="s">
        <v>835</v>
      </c>
      <c r="C20" s="288"/>
      <c r="D20" s="289" t="str" cm="1">
        <f t="array" ref="D20" xml:space="preserve"> INDEX($BR$5:$BR$65, D$16,1)</f>
        <v>bbn</v>
      </c>
      <c r="E20" s="289" t="str" cm="1">
        <f t="array" ref="E20" xml:space="preserve"> INDEX($BR$5:$BR$65, E$16,1)</f>
        <v>bb</v>
      </c>
      <c r="F20" s="289" t="str" cm="1">
        <f t="array" ref="F20" xml:space="preserve"> INDEX($BR$5:$BR$65, F$16,1)</f>
        <v>b</v>
      </c>
      <c r="G20" s="289" t="str" cm="1">
        <f t="array" ref="G20" xml:space="preserve"> INDEX($BR$5:$BR$65, G$16,1)</f>
        <v>p</v>
      </c>
      <c r="H20" s="289" t="str" cm="1">
        <f t="array" ref="H20" xml:space="preserve"> INDEX($BR$5:$BR$65, H$16,1)</f>
        <v>ln</v>
      </c>
      <c r="I20" s="289" t="str" cm="1">
        <f t="array" ref="I20" xml:space="preserve"> INDEX($BR$5:$BR$65, I$16,1)</f>
        <v>d</v>
      </c>
      <c r="J20" s="289" t="str" cm="1">
        <f t="array" ref="J20" xml:space="preserve"> INDEX($BR$5:$BR$65, J$16,1)</f>
        <v>t</v>
      </c>
      <c r="K20" s="289" t="str" cm="1">
        <f t="array" ref="K20" xml:space="preserve"> INDEX($BR$5:$BR$65, K$16,1)</f>
        <v>l</v>
      </c>
      <c r="L20" s="289" t="str" cm="1">
        <f t="array" ref="L20" xml:space="preserve"> INDEX($BR$5:$BR$65, L$16,1)</f>
        <v>ggn</v>
      </c>
      <c r="M20" s="289" t="str" cm="1">
        <f t="array" ref="M20" xml:space="preserve"> INDEX($BR$5:$BR$65, M$16,1)</f>
        <v>gg</v>
      </c>
      <c r="N20" s="289" t="str" cm="1">
        <f t="array" ref="N20" xml:space="preserve"> INDEX($BR$5:$BR$65, N$16,1)</f>
        <v>g</v>
      </c>
      <c r="O20" s="289" t="str" cm="1">
        <f t="array" ref="O20" xml:space="preserve"> INDEX($BR$5:$BR$65, O$16,1)</f>
        <v>k</v>
      </c>
      <c r="P20" s="289" t="str" cm="1">
        <f t="array" ref="P20" xml:space="preserve"> INDEX($BR$5:$BR$65, P$16,1)</f>
        <v>zz</v>
      </c>
      <c r="Q20" s="289" t="str" cm="1">
        <f t="array" ref="Q20" xml:space="preserve"> INDEX($BR$5:$BR$65, Q$16,1)</f>
        <v>z</v>
      </c>
      <c r="R20" s="289" t="str" cm="1">
        <f t="array" ref="R20" xml:space="preserve"> INDEX($BR$5:$BR$65, R$16,1)</f>
        <v>c</v>
      </c>
      <c r="S20" s="289" t="str" cm="1">
        <f t="array" ref="S20" xml:space="preserve"> INDEX($BR$5:$BR$65, S$16,1)</f>
        <v>s</v>
      </c>
      <c r="T20" s="289" t="str" cm="1">
        <f t="array" ref="T20" xml:space="preserve"> INDEX($BR$5:$BR$65, T$16,1)</f>
        <v>jj</v>
      </c>
      <c r="U20" s="289" t="str" cm="1">
        <f t="array" ref="U20" xml:space="preserve"> INDEX($BR$5:$BR$65, U$16,1)</f>
        <v>j</v>
      </c>
      <c r="V20" s="289" t="str" cm="1">
        <f t="array" ref="V20" xml:space="preserve"> INDEX($BR$5:$BR$65, V$16,1)</f>
        <v>ch</v>
      </c>
      <c r="W20" s="289" t="str" cm="1">
        <f t="array" ref="W20" xml:space="preserve"> INDEX($BR$5:$BR$65, W$16,1)</f>
        <v>sh</v>
      </c>
      <c r="X20" s="289" t="str" cm="1">
        <f t="array" ref="X20" xml:space="preserve"> INDEX($BR$5:$BR$65, X$16,1)</f>
        <v>h</v>
      </c>
      <c r="Y20" s="289" t="str" cm="1">
        <f t="array" ref="Y20" xml:space="preserve"> INDEX($BR$5:$BR$65, Y$16,1)</f>
        <v>a</v>
      </c>
      <c r="Z20" s="289" t="str" cm="1">
        <f t="array" ref="Z20" xml:space="preserve"> INDEX($BR$5:$BR$65, Z$16,1)</f>
        <v>i</v>
      </c>
      <c r="AA20" s="289" t="str" cm="1">
        <f t="array" ref="AA20" xml:space="preserve"> INDEX($BR$5:$BR$65, AA$16,1)</f>
        <v>eu</v>
      </c>
      <c r="AB20" s="289" t="str" cm="1">
        <f t="array" ref="AB20" xml:space="preserve"> INDEX($BR$5:$BR$65, AB$16,1)</f>
        <v>u</v>
      </c>
      <c r="AC20" s="289" t="str" cm="1">
        <f t="array" ref="AC20" xml:space="preserve"> INDEX($BR$5:$BR$65, AC$16,1)</f>
        <v>e</v>
      </c>
      <c r="AD20" s="289" t="str" cm="1">
        <f t="array" ref="AD20" xml:space="preserve"> INDEX($BR$5:$BR$65, AD$16,1)</f>
        <v>oo</v>
      </c>
      <c r="AE20" s="289" t="str" cm="1">
        <f t="array" ref="AE20" xml:space="preserve"> INDEX($BR$5:$BR$65, AE$16,1)</f>
        <v>o</v>
      </c>
      <c r="AF20" s="289" t="str" cm="1">
        <f t="array" ref="AF20" xml:space="preserve"> INDEX($BR$5:$BR$65, AF$16,1)</f>
        <v>ai</v>
      </c>
      <c r="AG20" s="289" t="str" cm="1">
        <f t="array" ref="AG20" xml:space="preserve"> INDEX($BR$5:$BR$65, AG$16,1)</f>
        <v>au</v>
      </c>
      <c r="AH20" s="289" t="str" cm="1">
        <f t="array" ref="AH20" xml:space="preserve"> INDEX($BR$5:$BR$65, AH$16,1)</f>
        <v>na</v>
      </c>
      <c r="AI20" s="289" t="str" cm="1">
        <f t="array" ref="AI20" xml:space="preserve"> INDEX($BR$5:$BR$65, AI$16,1)</f>
        <v>ni</v>
      </c>
      <c r="AJ20" s="289" t="str" cm="1">
        <f t="array" ref="AJ20" xml:space="preserve"> INDEX($BR$5:$BR$65, AJ$16,1)</f>
        <v>nu</v>
      </c>
      <c r="AK20" s="289" t="str" cm="1">
        <f t="array" ref="AK20" xml:space="preserve"> INDEX($BR$5:$BR$65, AK$16,1)</f>
        <v>ne</v>
      </c>
      <c r="AL20" s="289" t="str" cm="1">
        <f t="array" ref="AL20" xml:space="preserve"> INDEX($BR$5:$BR$65, AL$16,1)</f>
        <v>no</v>
      </c>
      <c r="AM20" s="289" t="str" cm="1">
        <f t="array" ref="AM20" xml:space="preserve"> INDEX($BR$5:$BR$65, AM$16,1)</f>
        <v>nai</v>
      </c>
      <c r="AN20" s="289" t="str" cm="1">
        <f t="array" ref="AN20" xml:space="preserve"> INDEX($BR$5:$BR$65, AN$16,1)</f>
        <v>nau</v>
      </c>
      <c r="AO20" s="289" t="str" cm="1">
        <f t="array" ref="AO20" xml:space="preserve"> INDEX($BR$5:$BR$65, AO$16,1)</f>
        <v>m</v>
      </c>
      <c r="AP20" s="289" t="str" cm="1">
        <f t="array" ref="AP20" xml:space="preserve"> INDEX($BR$5:$BR$65, AP$16,1)</f>
        <v>n</v>
      </c>
      <c r="AQ20" s="289" t="str" cm="1">
        <f t="array" ref="AQ20" xml:space="preserve"> INDEX($BR$5:$BR$65, AQ$16,1)</f>
        <v>ng</v>
      </c>
      <c r="AR20" s="289" t="str" cm="1">
        <f t="array" ref="AR20" xml:space="preserve"> INDEX($BR$5:$BR$65, AR$16,1)</f>
        <v>am</v>
      </c>
      <c r="AS20" s="289" t="str" cm="1">
        <f t="array" ref="AS20" xml:space="preserve"> INDEX($BR$5:$BR$65, AS$16,1)</f>
        <v>an</v>
      </c>
      <c r="AT20" s="289" t="str" cm="1">
        <f t="array" ref="AT20" xml:space="preserve"> INDEX($BR$5:$BR$65, AT$16,1)</f>
        <v>ang</v>
      </c>
      <c r="AU20" s="289" t="str" cm="1">
        <f t="array" ref="AU20" xml:space="preserve"> INDEX($BR$5:$BR$65, AU$16,1)</f>
        <v>om</v>
      </c>
      <c r="AV20" s="289" t="str" cm="1">
        <f t="array" ref="AV20" xml:space="preserve"> INDEX($BR$5:$BR$65, AV$16,1)</f>
        <v>ong</v>
      </c>
      <c r="AW20" s="289" t="str" cm="1">
        <f t="array" ref="AW20" xml:space="preserve"> INDEX($BR$5:$BR$65, AW$16,1)</f>
        <v>p</v>
      </c>
      <c r="AX20" s="289" t="str" cm="1">
        <f t="array" ref="AX20" xml:space="preserve"> INDEX($BR$5:$BR$65, AX$16,1)</f>
        <v>t</v>
      </c>
      <c r="AY20" s="289" t="str" cm="1">
        <f t="array" ref="AY20" xml:space="preserve"> INDEX($BR$5:$BR$65, AY$16,1)</f>
        <v>k</v>
      </c>
      <c r="AZ20" s="289" t="str" cm="1">
        <f t="array" ref="AZ20" xml:space="preserve"> INDEX($BR$5:$BR$65, AZ$16,1)</f>
        <v>h</v>
      </c>
      <c r="BA20" s="289" cm="1">
        <f t="array" ref="BA20" xml:space="preserve"> INDEX($BR$5:$BR$65, BA$16,1)</f>
        <v>1</v>
      </c>
      <c r="BB20" s="289" cm="1">
        <f t="array" ref="BB20" xml:space="preserve"> INDEX($BR$5:$BR$65, BB$16,1)</f>
        <v>7</v>
      </c>
      <c r="BC20" s="289" cm="1">
        <f t="array" ref="BC20" xml:space="preserve"> INDEX($BR$5:$BR$65, BC$16,1)</f>
        <v>6</v>
      </c>
      <c r="BD20" s="289" cm="1">
        <f t="array" ref="BD20" xml:space="preserve"> INDEX($BR$5:$BR$65, BD$16,1)</f>
        <v>5</v>
      </c>
      <c r="BE20" s="289" cm="1">
        <f t="array" ref="BE20" xml:space="preserve"> INDEX($BR$5:$BR$65, BE$16,1)</f>
        <v>3</v>
      </c>
      <c r="BF20" s="289" cm="1">
        <f t="array" ref="BF20" xml:space="preserve"> INDEX($BR$5:$BR$65, BF$16,1)</f>
        <v>2</v>
      </c>
      <c r="BG20" s="289" cm="1">
        <f t="array" ref="BG20" xml:space="preserve"> INDEX($BR$5:$BR$65, BG$16,1)</f>
        <v>8</v>
      </c>
      <c r="BH20" s="289" cm="1">
        <f t="array" ref="BH20" xml:space="preserve"> INDEX($BR$5:$BR$65, BH$16,1)</f>
        <v>0</v>
      </c>
      <c r="BI20" s="289" cm="1">
        <f t="array" ref="BI20" xml:space="preserve"> INDEX($BR$5:$BR$65, BI$16,1)</f>
        <v>9</v>
      </c>
      <c r="BJ20" s="289" t="str" cm="1">
        <f t="array" ref="BJ20" xml:space="preserve"> INDEX($BR$5:$BR$65, BJ$16,1)</f>
        <v>nn</v>
      </c>
      <c r="BK20" s="289" t="str" cm="1">
        <f t="array" ref="BK20" xml:space="preserve"> INDEX($BR$5:$BR$65, BK$16,1)</f>
        <v>*nn</v>
      </c>
      <c r="BL20" s="195"/>
      <c r="BN20" s="262">
        <f t="shared" si="0"/>
        <v>16</v>
      </c>
      <c r="BO20" s="838" t="str">
        <f>注音編碼對照表!E18</f>
        <v>s</v>
      </c>
      <c r="BP20" s="835" t="str">
        <f>注音編碼對照表!C18</f>
        <v>n</v>
      </c>
      <c r="BQ20" s="732" t="str">
        <f>注音編碼對照表!D18</f>
        <v>ㄙ</v>
      </c>
      <c r="BR20" s="839" t="str" cm="1">
        <f t="array" ref="BR20" xml:space="preserve"> INDEX(注音編碼對照表[閩拼方案], MATCH(TRUE, EXACT($BP20, 注音編碼對照表[鍵盤按鍵]), 0))</f>
        <v>s</v>
      </c>
      <c r="BS20" s="840" t="str" cm="1">
        <f t="array" ref="BS20" xml:space="preserve"> INDEX(注音編碼對照表[聲韻調], MATCH(TRUE, EXACT($BP20, 注音編碼對照表[鍵盤按鍵]), 0))</f>
        <v>聲</v>
      </c>
      <c r="BT20" s="841">
        <f t="shared" si="1"/>
        <v>1</v>
      </c>
      <c r="BU20" s="193"/>
      <c r="BV20" s="549" t="str">
        <f t="shared" si="2"/>
        <v xml:space="preserve">    "n": { commit: "ㄙ" }  # /jj/ ==&gt; s</v>
      </c>
      <c r="BW20" s="193"/>
      <c r="BX20" s="740"/>
      <c r="BY20" s="263"/>
      <c r="CA20" s="808" t="str">
        <v>y</v>
      </c>
      <c r="CB20" s="734" t="str">
        <v>L</v>
      </c>
      <c r="CC20" s="732" t="str">
        <v>ㆯ</v>
      </c>
      <c r="CD20" s="113" t="str">
        <v>nau</v>
      </c>
      <c r="CE20" s="733" t="str">
        <v>韻</v>
      </c>
      <c r="CF20" s="735">
        <v>3</v>
      </c>
      <c r="CH20" s="698" t="str">
        <f t="shared" si="3"/>
        <v xml:space="preserve">    - xform/nau/y/  # 韻 ㆯ [nau]</v>
      </c>
      <c r="CJ20" s="808"/>
      <c r="CK20" s="734"/>
      <c r="CL20" s="732"/>
      <c r="CM20" s="113"/>
      <c r="CN20" s="733"/>
      <c r="CO20" s="735"/>
      <c r="CQ20" s="698" t="str">
        <f t="shared" si="4"/>
        <v/>
      </c>
      <c r="CS20" s="808" t="str">
        <v>s</v>
      </c>
      <c r="CT20" s="734" t="str">
        <v>n</v>
      </c>
      <c r="CU20" s="732" t="str">
        <v>ㄙ</v>
      </c>
      <c r="CV20" s="113" t="str">
        <v>s</v>
      </c>
      <c r="CW20" s="733" t="str">
        <v>聲</v>
      </c>
      <c r="CX20" s="735">
        <v>1</v>
      </c>
      <c r="CZ20" s="698" t="str">
        <f t="shared" si="5"/>
        <v xml:space="preserve">    - xform/^聲(?!\d)/s/  # s [ 聲]</v>
      </c>
      <c r="DB20" s="808"/>
      <c r="DC20" s="734"/>
      <c r="DD20" s="732"/>
      <c r="DE20" s="113"/>
      <c r="DF20" s="733"/>
      <c r="DG20" s="735"/>
      <c r="DI20" s="698" t="str">
        <f t="shared" si="6"/>
        <v/>
      </c>
    </row>
    <row r="21" spans="1:113" s="195" customFormat="1" ht="45" customHeight="1">
      <c r="BM21" s="145"/>
      <c r="BN21" s="262">
        <f t="shared" si="0"/>
        <v>17</v>
      </c>
      <c r="BO21" s="838" t="str">
        <f>注音編碼對照表!E19</f>
        <v>J</v>
      </c>
      <c r="BP21" s="835" t="str">
        <f>注音編碼對照表!C19</f>
        <v>R</v>
      </c>
      <c r="BQ21" s="732" t="str">
        <f>注音編碼對照表!D19</f>
        <v>ㆢ</v>
      </c>
      <c r="BR21" s="839" t="str" cm="1">
        <f t="array" ref="BR21" xml:space="preserve"> INDEX(注音編碼對照表[閩拼方案], MATCH(TRUE, EXACT($BP21, 注音編碼對照表[鍵盤按鍵]), 0))</f>
        <v>jj</v>
      </c>
      <c r="BS21" s="840" t="str" cm="1">
        <f t="array" ref="BS21" xml:space="preserve"> INDEX(注音編碼對照表[聲韻調], MATCH(TRUE, EXACT($BP21, 注音編碼對照表[鍵盤按鍵]), 0))</f>
        <v>聲</v>
      </c>
      <c r="BT21" s="841">
        <f t="shared" si="1"/>
        <v>2</v>
      </c>
      <c r="BU21" s="145"/>
      <c r="BV21" s="549" t="str">
        <f t="shared" si="2"/>
        <v xml:space="preserve">    "R": { commit: "ㆢ" }  # /j/ ==&gt; J</v>
      </c>
      <c r="BW21" s="145"/>
      <c r="BX21" s="236"/>
      <c r="BY21" s="263"/>
      <c r="CA21" s="808" t="str">
        <v>M</v>
      </c>
      <c r="CB21" s="734" t="str">
        <v>m</v>
      </c>
      <c r="CC21" s="732" t="str">
        <v>ㆬ</v>
      </c>
      <c r="CD21" s="113" t="str">
        <v>m</v>
      </c>
      <c r="CE21" s="733" t="str">
        <v>韻</v>
      </c>
      <c r="CF21" s="735">
        <v>1</v>
      </c>
      <c r="CH21" s="698" t="str">
        <f t="shared" si="3"/>
        <v/>
      </c>
      <c r="CJ21" s="808"/>
      <c r="CK21" s="734"/>
      <c r="CL21" s="732"/>
      <c r="CM21" s="113"/>
      <c r="CN21" s="733"/>
      <c r="CO21" s="735"/>
      <c r="CQ21" s="698" t="str">
        <f t="shared" si="4"/>
        <v/>
      </c>
      <c r="CS21" s="808" t="str">
        <v>J</v>
      </c>
      <c r="CT21" s="734" t="str">
        <v>R</v>
      </c>
      <c r="CU21" s="732" t="str">
        <v>ㆢ</v>
      </c>
      <c r="CV21" s="113" t="str">
        <v>jj</v>
      </c>
      <c r="CW21" s="733" t="str">
        <v>聲</v>
      </c>
      <c r="CX21" s="735">
        <v>2</v>
      </c>
      <c r="CZ21" s="698" t="str">
        <f t="shared" si="5"/>
        <v xml:space="preserve">    - xform/^聲(?!\d)/jj/  # J [ 聲]</v>
      </c>
      <c r="DB21" s="808"/>
      <c r="DC21" s="734"/>
      <c r="DD21" s="732"/>
      <c r="DE21" s="113"/>
      <c r="DF21" s="733"/>
      <c r="DG21" s="735"/>
      <c r="DI21" s="698" t="str">
        <f t="shared" si="6"/>
        <v/>
      </c>
    </row>
    <row r="22" spans="1:113" s="195" customFormat="1" ht="45" customHeight="1">
      <c r="B22" s="816" t="s">
        <v>351</v>
      </c>
      <c r="C22" s="816" t="s">
        <v>190</v>
      </c>
      <c r="D22" s="816" t="s">
        <v>305</v>
      </c>
      <c r="E22" s="816" t="s">
        <v>309</v>
      </c>
      <c r="F22" s="816" t="s">
        <v>329</v>
      </c>
      <c r="G22" s="816" t="s">
        <v>600</v>
      </c>
      <c r="H22" s="816" t="s">
        <v>184</v>
      </c>
      <c r="I22" s="816" t="s">
        <v>422</v>
      </c>
      <c r="J22" s="816" t="s">
        <v>279</v>
      </c>
      <c r="K22" s="816" t="s">
        <v>254</v>
      </c>
      <c r="L22" s="816" t="s">
        <v>37</v>
      </c>
      <c r="M22" s="816" t="s">
        <v>86</v>
      </c>
      <c r="N22" s="817" t="s">
        <v>143</v>
      </c>
      <c r="O22" s="816" t="s">
        <v>34</v>
      </c>
      <c r="P22" s="816" t="s">
        <v>65</v>
      </c>
      <c r="Q22" s="816" t="s">
        <v>217</v>
      </c>
      <c r="R22" s="816" t="s">
        <v>353</v>
      </c>
      <c r="S22" s="816" t="s">
        <v>283</v>
      </c>
      <c r="T22" s="816" t="s">
        <v>338</v>
      </c>
      <c r="U22" s="816" t="s">
        <v>30</v>
      </c>
      <c r="V22" s="816" t="s">
        <v>196</v>
      </c>
      <c r="W22" s="816" t="s">
        <v>601</v>
      </c>
      <c r="X22" s="816" t="s">
        <v>341</v>
      </c>
      <c r="Y22" s="816" t="s">
        <v>332</v>
      </c>
      <c r="Z22" s="816" t="s">
        <v>588</v>
      </c>
      <c r="AA22" s="816" t="s">
        <v>179</v>
      </c>
      <c r="AL22" s="816" t="s">
        <v>609</v>
      </c>
      <c r="AM22" s="817" t="s">
        <v>144</v>
      </c>
      <c r="AN22" s="816" t="s">
        <v>456</v>
      </c>
      <c r="AO22" s="816" t="s">
        <v>189</v>
      </c>
      <c r="AP22" s="816" t="s">
        <v>322</v>
      </c>
      <c r="AQ22" s="816" t="s">
        <v>564</v>
      </c>
      <c r="AR22" s="816" t="s">
        <v>141</v>
      </c>
      <c r="AS22" s="816" t="s">
        <v>454</v>
      </c>
      <c r="AT22" s="816" t="s">
        <v>275</v>
      </c>
      <c r="AU22" s="816" t="s">
        <v>249</v>
      </c>
      <c r="AV22" s="816" t="s">
        <v>425</v>
      </c>
      <c r="AW22" s="816" t="s">
        <v>231</v>
      </c>
      <c r="AX22" s="816" t="s">
        <v>525</v>
      </c>
      <c r="AY22" s="816" t="s">
        <v>569</v>
      </c>
      <c r="AZ22" s="816" t="s">
        <v>267</v>
      </c>
      <c r="BA22" s="816" t="s">
        <v>400</v>
      </c>
      <c r="BB22" s="816" t="s">
        <v>558</v>
      </c>
      <c r="BC22" s="816" t="s">
        <v>560</v>
      </c>
      <c r="BD22" s="816" t="s">
        <v>460</v>
      </c>
      <c r="BE22" s="816" t="s">
        <v>408</v>
      </c>
      <c r="BF22" s="816" t="s">
        <v>259</v>
      </c>
      <c r="BG22" s="816" t="s">
        <v>568</v>
      </c>
      <c r="BH22" s="816" t="s">
        <v>559</v>
      </c>
      <c r="BI22" s="816" t="s">
        <v>567</v>
      </c>
      <c r="BJ22" s="816" t="s">
        <v>447</v>
      </c>
      <c r="BK22" s="816" t="s">
        <v>449</v>
      </c>
      <c r="BM22" s="145"/>
      <c r="BN22" s="262">
        <f t="shared" si="0"/>
        <v>18</v>
      </c>
      <c r="BO22" s="838" t="str">
        <f>注音編碼對照表!E20</f>
        <v>j</v>
      </c>
      <c r="BP22" s="835" t="str">
        <f>注音編碼對照表!C20</f>
        <v>r</v>
      </c>
      <c r="BQ22" s="732" t="str">
        <f>注音編碼對照表!D20</f>
        <v>ㄐ</v>
      </c>
      <c r="BR22" s="839" t="str" cm="1">
        <f t="array" ref="BR22" xml:space="preserve"> INDEX(注音編碼對照表[閩拼方案], MATCH(TRUE, EXACT($BP22, 注音編碼對照表[鍵盤按鍵]), 0))</f>
        <v>j</v>
      </c>
      <c r="BS22" s="840" t="str" cm="1">
        <f t="array" ref="BS22" xml:space="preserve"> INDEX(注音編碼對照表[聲韻調], MATCH(TRUE, EXACT($BP22, 注音編碼對照表[鍵盤按鍵]), 0))</f>
        <v>聲</v>
      </c>
      <c r="BT22" s="841">
        <f t="shared" si="1"/>
        <v>1</v>
      </c>
      <c r="BV22" s="549" t="str">
        <f t="shared" si="2"/>
        <v xml:space="preserve">    "r": { commit: "ㄐ" }  # /ch/ ==&gt; j</v>
      </c>
      <c r="BX22" s="740"/>
      <c r="BY22" s="263"/>
      <c r="CA22" s="808" t="str">
        <v>N</v>
      </c>
      <c r="CB22" s="734" t="str">
        <v>p</v>
      </c>
      <c r="CC22" s="732" t="str">
        <v>ㄣ</v>
      </c>
      <c r="CD22" s="113" t="str">
        <v>n</v>
      </c>
      <c r="CE22" s="733" t="str">
        <v>韻</v>
      </c>
      <c r="CF22" s="735">
        <v>1</v>
      </c>
      <c r="CH22" s="698" t="str">
        <f t="shared" si="3"/>
        <v/>
      </c>
      <c r="CJ22" s="808"/>
      <c r="CK22" s="734"/>
      <c r="CL22" s="732"/>
      <c r="CM22" s="113"/>
      <c r="CN22" s="733"/>
      <c r="CO22" s="735"/>
      <c r="CQ22" s="698" t="str">
        <f t="shared" si="4"/>
        <v/>
      </c>
      <c r="CS22" s="808" t="str">
        <v>j</v>
      </c>
      <c r="CT22" s="734" t="str">
        <v>r</v>
      </c>
      <c r="CU22" s="732" t="str">
        <v>ㄐ</v>
      </c>
      <c r="CV22" s="113" t="str">
        <v>j</v>
      </c>
      <c r="CW22" s="733" t="str">
        <v>聲</v>
      </c>
      <c r="CX22" s="735">
        <v>1</v>
      </c>
      <c r="CZ22" s="698" t="str">
        <f t="shared" si="5"/>
        <v xml:space="preserve">    - xform/^聲(?!\d)/j/  # j [ 聲]</v>
      </c>
      <c r="DB22" s="808"/>
      <c r="DC22" s="734"/>
      <c r="DD22" s="732"/>
      <c r="DE22" s="113"/>
      <c r="DF22" s="733"/>
      <c r="DG22" s="735"/>
      <c r="DI22" s="698" t="str">
        <f t="shared" si="6"/>
        <v/>
      </c>
    </row>
    <row r="23" spans="1:113" s="715" customFormat="1" ht="45" customHeight="1">
      <c r="A23" s="195"/>
      <c r="B23" s="818">
        <f t="shared" ref="B23:AA23" si="7" xml:space="preserve"> FIND(B22, _xlfn.CONCAT($D$17:$BK$17))</f>
        <v>22</v>
      </c>
      <c r="C23" s="818">
        <f t="shared" si="7"/>
        <v>3</v>
      </c>
      <c r="D23" s="818">
        <f t="shared" si="7"/>
        <v>15</v>
      </c>
      <c r="E23" s="818">
        <f t="shared" si="7"/>
        <v>6</v>
      </c>
      <c r="F23" s="818">
        <f t="shared" si="7"/>
        <v>26</v>
      </c>
      <c r="G23" s="818" t="e">
        <f t="shared" si="7"/>
        <v>#VALUE!</v>
      </c>
      <c r="H23" s="818">
        <f t="shared" si="7"/>
        <v>11</v>
      </c>
      <c r="I23" s="818">
        <f t="shared" si="7"/>
        <v>21</v>
      </c>
      <c r="J23" s="818">
        <f t="shared" si="7"/>
        <v>23</v>
      </c>
      <c r="K23" s="818">
        <f t="shared" si="7"/>
        <v>18</v>
      </c>
      <c r="L23" s="818">
        <f t="shared" si="7"/>
        <v>12</v>
      </c>
      <c r="M23" s="818">
        <f t="shared" si="7"/>
        <v>8</v>
      </c>
      <c r="N23" s="818">
        <f t="shared" si="7"/>
        <v>1</v>
      </c>
      <c r="O23" s="818">
        <f t="shared" si="7"/>
        <v>5</v>
      </c>
      <c r="P23" s="818">
        <f t="shared" si="7"/>
        <v>28</v>
      </c>
      <c r="Q23" s="818">
        <f t="shared" si="7"/>
        <v>4</v>
      </c>
      <c r="R23" s="818" t="e">
        <f t="shared" si="7"/>
        <v>#VALUE!</v>
      </c>
      <c r="S23" s="818" t="e">
        <f t="shared" si="7"/>
        <v>#VALUE!</v>
      </c>
      <c r="T23" s="818">
        <f t="shared" si="7"/>
        <v>16</v>
      </c>
      <c r="U23" s="818">
        <f t="shared" si="7"/>
        <v>7</v>
      </c>
      <c r="V23" s="818">
        <f t="shared" si="7"/>
        <v>25</v>
      </c>
      <c r="W23" s="818">
        <f t="shared" si="7"/>
        <v>10</v>
      </c>
      <c r="X23" s="818">
        <f t="shared" si="7"/>
        <v>24</v>
      </c>
      <c r="Y23" s="818">
        <f t="shared" si="7"/>
        <v>36</v>
      </c>
      <c r="Z23" s="818">
        <f t="shared" si="7"/>
        <v>37</v>
      </c>
      <c r="AA23" s="818">
        <f t="shared" si="7"/>
        <v>14</v>
      </c>
      <c r="AB23" s="195"/>
      <c r="AC23" s="195"/>
      <c r="AE23" s="195"/>
      <c r="AL23" s="818">
        <f xml:space="preserve"> FIND(AL22, _xlfn.CONCAT($D$17:$BK$17))</f>
        <v>43</v>
      </c>
      <c r="AM23" s="818">
        <f t="shared" ref="AM23:BK23" si="8" xml:space="preserve"> FIND(AM22, _xlfn.CONCAT($D$17:$BK$17))</f>
        <v>2</v>
      </c>
      <c r="AN23" s="818">
        <f t="shared" si="8"/>
        <v>19</v>
      </c>
      <c r="AO23" s="818">
        <f t="shared" si="8"/>
        <v>32</v>
      </c>
      <c r="AP23" s="818">
        <f t="shared" si="8"/>
        <v>34</v>
      </c>
      <c r="AQ23" s="818" t="e">
        <f t="shared" si="8"/>
        <v>#VALUE!</v>
      </c>
      <c r="AR23" s="818">
        <f t="shared" si="8"/>
        <v>40</v>
      </c>
      <c r="AS23" s="818">
        <f t="shared" si="8"/>
        <v>45</v>
      </c>
      <c r="AT23" s="818">
        <f t="shared" si="8"/>
        <v>29</v>
      </c>
      <c r="AU23" s="818">
        <f t="shared" si="8"/>
        <v>17</v>
      </c>
      <c r="AV23" s="818">
        <f t="shared" si="8"/>
        <v>48</v>
      </c>
      <c r="AW23" s="818">
        <f t="shared" si="8"/>
        <v>59</v>
      </c>
      <c r="AX23" s="818">
        <f t="shared" si="8"/>
        <v>38</v>
      </c>
      <c r="AY23" s="818">
        <f t="shared" si="8"/>
        <v>39</v>
      </c>
      <c r="AZ23" s="818">
        <f t="shared" si="8"/>
        <v>27</v>
      </c>
      <c r="BA23" s="818">
        <f t="shared" si="8"/>
        <v>46</v>
      </c>
      <c r="BB23" s="818">
        <f t="shared" si="8"/>
        <v>35</v>
      </c>
      <c r="BC23" s="818">
        <f t="shared" si="8"/>
        <v>31</v>
      </c>
      <c r="BD23" s="818">
        <f t="shared" si="8"/>
        <v>20</v>
      </c>
      <c r="BE23" s="818">
        <f t="shared" si="8"/>
        <v>47</v>
      </c>
      <c r="BF23" s="818">
        <f t="shared" si="8"/>
        <v>30</v>
      </c>
      <c r="BG23" s="818">
        <f t="shared" si="8"/>
        <v>49</v>
      </c>
      <c r="BH23" s="818">
        <f t="shared" si="8"/>
        <v>44</v>
      </c>
      <c r="BI23" s="818">
        <f t="shared" si="8"/>
        <v>33</v>
      </c>
      <c r="BJ23" s="818">
        <f t="shared" si="8"/>
        <v>41</v>
      </c>
      <c r="BK23" s="818">
        <f t="shared" si="8"/>
        <v>13</v>
      </c>
      <c r="BL23" s="195"/>
      <c r="BM23" s="145"/>
      <c r="BN23" s="262">
        <f t="shared" si="0"/>
        <v>19</v>
      </c>
      <c r="BO23" s="838" t="str">
        <f>注音編碼對照表!E21</f>
        <v>C</v>
      </c>
      <c r="BP23" s="835" t="str">
        <f>注音編碼對照表!C21</f>
        <v>f</v>
      </c>
      <c r="BQ23" s="732" t="str">
        <f>注音編碼對照表!D21</f>
        <v>ㄑ</v>
      </c>
      <c r="BR23" s="839" t="str" cm="1">
        <f t="array" ref="BR23" xml:space="preserve"> INDEX(注音編碼對照表[閩拼方案], MATCH(TRUE, EXACT($BP23, 注音編碼對照表[鍵盤按鍵]), 0))</f>
        <v>ch</v>
      </c>
      <c r="BS23" s="840" t="str" cm="1">
        <f t="array" ref="BS23" xml:space="preserve"> INDEX(注音編碼對照表[聲韻調], MATCH(TRUE, EXACT($BP23, 注音編碼對照表[鍵盤按鍵]), 0))</f>
        <v>聲</v>
      </c>
      <c r="BT23" s="841">
        <f t="shared" si="1"/>
        <v>2</v>
      </c>
      <c r="BU23" s="195"/>
      <c r="BV23" s="549" t="str">
        <f t="shared" si="2"/>
        <v xml:space="preserve">    "f": { commit: "ㄑ" }  # /sh/ ==&gt; C</v>
      </c>
      <c r="BW23" s="195"/>
      <c r="BX23" s="740"/>
      <c r="BY23" s="263"/>
      <c r="CA23" s="808" t="str">
        <v>G</v>
      </c>
      <c r="CB23" s="734" t="str">
        <v>/</v>
      </c>
      <c r="CC23" s="732" t="str">
        <v>ㆭ</v>
      </c>
      <c r="CD23" s="113" t="str">
        <v>ng</v>
      </c>
      <c r="CE23" s="733" t="str">
        <v>韻</v>
      </c>
      <c r="CF23" s="735">
        <v>2</v>
      </c>
      <c r="CH23" s="698" t="str">
        <f t="shared" si="3"/>
        <v xml:space="preserve">    - xform/ng/G/  # 韻 ㆭ [ng]</v>
      </c>
      <c r="CJ23" s="808"/>
      <c r="CK23" s="734"/>
      <c r="CL23" s="732"/>
      <c r="CM23" s="113"/>
      <c r="CN23" s="733"/>
      <c r="CO23" s="735"/>
      <c r="CQ23" s="698" t="str">
        <f t="shared" si="4"/>
        <v/>
      </c>
      <c r="CS23" s="808" t="str">
        <v>C</v>
      </c>
      <c r="CT23" s="734" t="str">
        <v>f</v>
      </c>
      <c r="CU23" s="732" t="str">
        <v>ㄑ</v>
      </c>
      <c r="CV23" s="113" t="str">
        <v>ch</v>
      </c>
      <c r="CW23" s="733" t="str">
        <v>聲</v>
      </c>
      <c r="CX23" s="735">
        <v>2</v>
      </c>
      <c r="CZ23" s="698" t="str">
        <f t="shared" si="5"/>
        <v xml:space="preserve">    - xform/^聲(?!\d)/ch/  # C [ 聲]</v>
      </c>
      <c r="DB23" s="808"/>
      <c r="DC23" s="734"/>
      <c r="DD23" s="732"/>
      <c r="DE23" s="113"/>
      <c r="DF23" s="733"/>
      <c r="DG23" s="735"/>
      <c r="DI23" s="698" t="str">
        <f t="shared" si="6"/>
        <v/>
      </c>
    </row>
    <row r="24" spans="1:113" s="195" customFormat="1" ht="45" customHeight="1">
      <c r="A24" s="249"/>
      <c r="B24" s="819" t="str">
        <f xml:space="preserve"> IF( ISNUMBER( FIND(B22, _xlfn.CONCAT($D$17:$BK$17)) ), "X", B22)</f>
        <v>X</v>
      </c>
      <c r="C24" s="819" t="str">
        <f t="shared" ref="C24:AA24" si="9" xml:space="preserve"> IF( ISNUMBER( FIND(C22, _xlfn.CONCAT($D$17:$BK$17)) ), "X", C22)</f>
        <v>X</v>
      </c>
      <c r="D24" s="819" t="str">
        <f t="shared" si="9"/>
        <v>X</v>
      </c>
      <c r="E24" s="819" t="str">
        <f t="shared" si="9"/>
        <v>X</v>
      </c>
      <c r="F24" s="819" t="str">
        <f t="shared" si="9"/>
        <v>X</v>
      </c>
      <c r="G24" s="821" t="str">
        <f t="shared" si="9"/>
        <v>f</v>
      </c>
      <c r="H24" s="819" t="str">
        <f t="shared" si="9"/>
        <v>X</v>
      </c>
      <c r="I24" s="819" t="str">
        <f t="shared" si="9"/>
        <v>X</v>
      </c>
      <c r="J24" s="819" t="str">
        <f t="shared" si="9"/>
        <v>X</v>
      </c>
      <c r="K24" s="819" t="str">
        <f t="shared" si="9"/>
        <v>X</v>
      </c>
      <c r="L24" s="819" t="str">
        <f t="shared" si="9"/>
        <v>X</v>
      </c>
      <c r="M24" s="819" t="str">
        <f t="shared" si="9"/>
        <v>X</v>
      </c>
      <c r="N24" s="819" t="str">
        <f t="shared" si="9"/>
        <v>X</v>
      </c>
      <c r="O24" s="819" t="str">
        <f t="shared" si="9"/>
        <v>X</v>
      </c>
      <c r="P24" s="819" t="str">
        <f t="shared" si="9"/>
        <v>X</v>
      </c>
      <c r="Q24" s="819" t="str">
        <f t="shared" si="9"/>
        <v>X</v>
      </c>
      <c r="R24" s="821" t="str">
        <f t="shared" si="9"/>
        <v>q</v>
      </c>
      <c r="S24" s="821" t="str">
        <f t="shared" si="9"/>
        <v>r</v>
      </c>
      <c r="T24" s="819" t="str">
        <f t="shared" si="9"/>
        <v>X</v>
      </c>
      <c r="U24" s="819" t="str">
        <f t="shared" si="9"/>
        <v>X</v>
      </c>
      <c r="V24" s="819" t="str">
        <f t="shared" si="9"/>
        <v>X</v>
      </c>
      <c r="W24" s="819" t="str">
        <f t="shared" si="9"/>
        <v>X</v>
      </c>
      <c r="X24" s="819" t="str">
        <f t="shared" si="9"/>
        <v>X</v>
      </c>
      <c r="Y24" s="819" t="str">
        <f t="shared" si="9"/>
        <v>X</v>
      </c>
      <c r="Z24" s="819" t="str">
        <f t="shared" si="9"/>
        <v>X</v>
      </c>
      <c r="AA24" s="819" t="str">
        <f t="shared" si="9"/>
        <v>X</v>
      </c>
      <c r="AD24" s="820"/>
      <c r="AF24" s="820"/>
      <c r="AG24" s="820"/>
      <c r="AH24" s="820"/>
      <c r="AI24" s="820"/>
      <c r="AJ24" s="820"/>
      <c r="AK24" s="820"/>
      <c r="AL24" s="819" t="str">
        <f xml:space="preserve"> IF( ISNUMBER( FIND(AL22, _xlfn.CONCAT($D$17:$BK$17)) ), "X", AL22)</f>
        <v>X</v>
      </c>
      <c r="AM24" s="819" t="str">
        <f t="shared" ref="AM24:BK24" si="10" xml:space="preserve"> IF( ISNUMBER( FIND(AM22, _xlfn.CONCAT($D$17:$BK$17)) ), "X", AM22)</f>
        <v>X</v>
      </c>
      <c r="AN24" s="819" t="str">
        <f t="shared" si="10"/>
        <v>X</v>
      </c>
      <c r="AO24" s="819" t="str">
        <f t="shared" si="10"/>
        <v>X</v>
      </c>
      <c r="AP24" s="819" t="str">
        <f t="shared" si="10"/>
        <v>X</v>
      </c>
      <c r="AQ24" s="821" t="str">
        <f t="shared" si="10"/>
        <v>F</v>
      </c>
      <c r="AR24" s="819" t="str">
        <f t="shared" si="10"/>
        <v>X</v>
      </c>
      <c r="AS24" s="819" t="str">
        <f t="shared" si="10"/>
        <v>X</v>
      </c>
      <c r="AT24" s="819" t="str">
        <f t="shared" si="10"/>
        <v>X</v>
      </c>
      <c r="AU24" s="819" t="str">
        <f t="shared" si="10"/>
        <v>X</v>
      </c>
      <c r="AV24" s="819" t="str">
        <f t="shared" si="10"/>
        <v>X</v>
      </c>
      <c r="AW24" s="819" t="str">
        <f t="shared" si="10"/>
        <v>X</v>
      </c>
      <c r="AX24" s="819" t="str">
        <f t="shared" si="10"/>
        <v>X</v>
      </c>
      <c r="AY24" s="819" t="str">
        <f t="shared" si="10"/>
        <v>X</v>
      </c>
      <c r="AZ24" s="819" t="str">
        <f t="shared" si="10"/>
        <v>X</v>
      </c>
      <c r="BA24" s="819" t="str">
        <f t="shared" si="10"/>
        <v>X</v>
      </c>
      <c r="BB24" s="819" t="str">
        <f t="shared" si="10"/>
        <v>X</v>
      </c>
      <c r="BC24" s="819" t="str">
        <f t="shared" si="10"/>
        <v>X</v>
      </c>
      <c r="BD24" s="819" t="str">
        <f t="shared" si="10"/>
        <v>X</v>
      </c>
      <c r="BE24" s="819" t="str">
        <f t="shared" si="10"/>
        <v>X</v>
      </c>
      <c r="BF24" s="819" t="str">
        <f t="shared" si="10"/>
        <v>X</v>
      </c>
      <c r="BG24" s="819" t="str">
        <f t="shared" si="10"/>
        <v>X</v>
      </c>
      <c r="BH24" s="819" t="str">
        <f t="shared" si="10"/>
        <v>X</v>
      </c>
      <c r="BI24" s="819" t="str">
        <f t="shared" si="10"/>
        <v>X</v>
      </c>
      <c r="BJ24" s="819" t="str">
        <f t="shared" si="10"/>
        <v>X</v>
      </c>
      <c r="BK24" s="819" t="str">
        <f t="shared" si="10"/>
        <v>X</v>
      </c>
      <c r="BL24" s="290"/>
      <c r="BN24" s="262">
        <f t="shared" si="0"/>
        <v>20</v>
      </c>
      <c r="BO24" s="838" t="str">
        <f>注音編碼對照表!E22</f>
        <v>S</v>
      </c>
      <c r="BP24" s="835" t="str">
        <f>注音編碼對照表!C22</f>
        <v>v</v>
      </c>
      <c r="BQ24" s="732" t="str">
        <f>注音編碼對照表!D22</f>
        <v>ㄒ</v>
      </c>
      <c r="BR24" s="839" t="str" cm="1">
        <f t="array" ref="BR24" xml:space="preserve"> INDEX(注音編碼對照表[閩拼方案], MATCH(TRUE, EXACT($BP24, 注音編碼對照表[鍵盤按鍵]), 0))</f>
        <v>sh</v>
      </c>
      <c r="BS24" s="840" t="str" cm="1">
        <f t="array" ref="BS24" xml:space="preserve"> INDEX(注音編碼對照表[聲韻調], MATCH(TRUE, EXACT($BP24, 注音編碼對照表[鍵盤按鍵]), 0))</f>
        <v>聲</v>
      </c>
      <c r="BT24" s="841">
        <f t="shared" si="1"/>
        <v>2</v>
      </c>
      <c r="BU24" s="715"/>
      <c r="BV24" s="549" t="str">
        <f t="shared" si="2"/>
        <v xml:space="preserve">    "v": { commit: "ㄒ" }  # /h/ ==&gt; S</v>
      </c>
      <c r="BW24" s="715"/>
      <c r="BX24" s="740"/>
      <c r="BY24" s="717"/>
      <c r="CA24" s="808" t="str">
        <v>Y</v>
      </c>
      <c r="CB24" s="734" t="str">
        <v>M</v>
      </c>
      <c r="CC24" s="732" t="str">
        <v>ㆰ</v>
      </c>
      <c r="CD24" s="113" t="str">
        <v>am</v>
      </c>
      <c r="CE24" s="733" t="str">
        <v>韻</v>
      </c>
      <c r="CF24" s="735">
        <v>2</v>
      </c>
      <c r="CH24" s="698" t="str">
        <f t="shared" si="3"/>
        <v xml:space="preserve">    - xform/am/Y/  # 韻 ㆰ [am]</v>
      </c>
      <c r="CJ24" s="808"/>
      <c r="CK24" s="734"/>
      <c r="CL24" s="732"/>
      <c r="CM24" s="113"/>
      <c r="CN24" s="733"/>
      <c r="CO24" s="735"/>
      <c r="CQ24" s="698" t="str">
        <f t="shared" si="4"/>
        <v/>
      </c>
      <c r="CS24" s="808" t="str">
        <v>S</v>
      </c>
      <c r="CT24" s="734" t="str">
        <v>v</v>
      </c>
      <c r="CU24" s="732" t="str">
        <v>ㄒ</v>
      </c>
      <c r="CV24" s="113" t="str">
        <v>sh</v>
      </c>
      <c r="CW24" s="733" t="str">
        <v>聲</v>
      </c>
      <c r="CX24" s="735">
        <v>2</v>
      </c>
      <c r="CZ24" s="698" t="str">
        <f t="shared" si="5"/>
        <v xml:space="preserve">    - xform/^聲(?!\d)/sh/  # S [ 聲]</v>
      </c>
      <c r="DB24" s="808"/>
      <c r="DC24" s="734"/>
      <c r="DD24" s="732"/>
      <c r="DE24" s="113"/>
      <c r="DF24" s="733"/>
      <c r="DG24" s="735"/>
      <c r="DI24" s="698" t="str">
        <f t="shared" si="6"/>
        <v/>
      </c>
    </row>
    <row r="25" spans="1:113" s="195" customFormat="1" ht="45" customHeight="1">
      <c r="AD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L25" s="290"/>
      <c r="BN25" s="262">
        <f t="shared" si="0"/>
        <v>21</v>
      </c>
      <c r="BO25" s="838" t="str">
        <f>注音編碼對照表!E23</f>
        <v>h</v>
      </c>
      <c r="BP25" s="835" t="str">
        <f>注音編碼對照表!C23</f>
        <v>c</v>
      </c>
      <c r="BQ25" s="732" t="str">
        <f>注音編碼對照表!D23</f>
        <v>ㄏ</v>
      </c>
      <c r="BR25" s="839" t="str" cm="1">
        <f t="array" ref="BR25" xml:space="preserve"> INDEX(注音編碼對照表[閩拼方案], MATCH(TRUE, EXACT($BP25, 注音編碼對照表[鍵盤按鍵]), 0))</f>
        <v>h</v>
      </c>
      <c r="BS25" s="840" t="str" cm="1">
        <f t="array" ref="BS25" xml:space="preserve"> INDEX(注音編碼對照表[聲韻調], MATCH(TRUE, EXACT($BP25, 注音編碼對照表[鍵盤按鍵]), 0))</f>
        <v>聲</v>
      </c>
      <c r="BT25" s="841">
        <f t="shared" si="1"/>
        <v>1</v>
      </c>
      <c r="BV25" s="549" t="str">
        <f t="shared" si="2"/>
        <v xml:space="preserve">    "c": { commit: "ㄏ" }  # /a/ ==&gt; h</v>
      </c>
      <c r="BX25" s="740"/>
      <c r="BY25" s="263"/>
      <c r="CA25" s="808" t="str">
        <v>@</v>
      </c>
      <c r="CB25" s="734" t="str">
        <v>0</v>
      </c>
      <c r="CC25" s="732" t="str">
        <v>ㄢ</v>
      </c>
      <c r="CD25" s="113" t="str">
        <v>an</v>
      </c>
      <c r="CE25" s="733" t="str">
        <v>韻</v>
      </c>
      <c r="CF25" s="735">
        <v>2</v>
      </c>
      <c r="CH25" s="698" t="str">
        <f t="shared" si="3"/>
        <v xml:space="preserve">    - xform/an/@/  # 韻 ㄢ [an]</v>
      </c>
      <c r="CJ25" s="808"/>
      <c r="CK25" s="734"/>
      <c r="CL25" s="732"/>
      <c r="CM25" s="113"/>
      <c r="CN25" s="733"/>
      <c r="CO25" s="735"/>
      <c r="CQ25" s="698" t="str">
        <f t="shared" si="4"/>
        <v/>
      </c>
      <c r="CS25" s="808" t="str">
        <v>h</v>
      </c>
      <c r="CT25" s="734" t="str">
        <v>c</v>
      </c>
      <c r="CU25" s="732" t="str">
        <v>ㄏ</v>
      </c>
      <c r="CV25" s="113" t="str">
        <v>h</v>
      </c>
      <c r="CW25" s="733" t="str">
        <v>聲</v>
      </c>
      <c r="CX25" s="735">
        <v>1</v>
      </c>
      <c r="CZ25" s="698" t="str">
        <f t="shared" si="5"/>
        <v xml:space="preserve">    - xform/^聲(?!\d)/h/  # h [ 聲]</v>
      </c>
      <c r="DB25" s="808"/>
      <c r="DC25" s="734"/>
      <c r="DD25" s="732"/>
      <c r="DE25" s="113"/>
      <c r="DF25" s="733"/>
      <c r="DG25" s="735"/>
      <c r="DI25" s="698" t="str">
        <f t="shared" si="6"/>
        <v/>
      </c>
    </row>
    <row r="26" spans="1:113" s="195" customFormat="1" ht="45" hidden="1" customHeight="1" outlineLevel="1">
      <c r="A26" s="712"/>
      <c r="B26" s="819"/>
      <c r="C26" s="819"/>
      <c r="D26" s="819"/>
      <c r="E26" s="819"/>
      <c r="F26" s="819"/>
      <c r="G26" s="819"/>
      <c r="H26" s="819"/>
      <c r="I26" s="819"/>
      <c r="J26" s="819"/>
      <c r="K26" s="819"/>
      <c r="L26" s="819"/>
      <c r="M26" s="819"/>
      <c r="N26" s="819"/>
      <c r="O26" s="819"/>
      <c r="P26" s="819"/>
      <c r="Q26" s="819"/>
      <c r="R26" s="819"/>
      <c r="S26" s="819"/>
      <c r="T26" s="819"/>
      <c r="U26" s="819"/>
      <c r="V26" s="819"/>
      <c r="W26" s="819"/>
      <c r="X26" s="819"/>
      <c r="Y26" s="819"/>
      <c r="Z26" s="819"/>
      <c r="AA26" s="819"/>
      <c r="AD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L26" s="716"/>
      <c r="BM26" s="715"/>
      <c r="BN26" s="262">
        <f t="shared" si="0"/>
        <v>22</v>
      </c>
      <c r="BO26" s="838" t="str">
        <f>注音編碼對照表!E24</f>
        <v>a</v>
      </c>
      <c r="BP26" s="835" t="str">
        <f>注音編碼對照表!C24</f>
        <v>8</v>
      </c>
      <c r="BQ26" s="732" t="str">
        <f>注音編碼對照表!D24</f>
        <v>ㄚ</v>
      </c>
      <c r="BR26" s="839" t="str" cm="1">
        <f t="array" ref="BR26" xml:space="preserve"> INDEX(注音編碼對照表[閩拼方案], MATCH(TRUE, EXACT($BP26, 注音編碼對照表[鍵盤按鍵]), 0))</f>
        <v>a</v>
      </c>
      <c r="BS26" s="840" t="str" cm="1">
        <f t="array" ref="BS26" xml:space="preserve"> INDEX(注音編碼對照表[聲韻調], MATCH(TRUE, EXACT($BP26, 注音編碼對照表[鍵盤按鍵]), 0))</f>
        <v>韻</v>
      </c>
      <c r="BT26" s="841">
        <f t="shared" si="1"/>
        <v>1</v>
      </c>
      <c r="BV26" s="549" t="str">
        <f t="shared" si="2"/>
        <v xml:space="preserve">    "8": { commit: "ㄚ" }  # /i/ ==&gt; a</v>
      </c>
      <c r="BX26" s="740"/>
      <c r="BY26" s="263"/>
      <c r="CA26" s="808" t="str">
        <v>A</v>
      </c>
      <c r="CB26" s="734" t="str">
        <v>;</v>
      </c>
      <c r="CC26" s="732" t="str">
        <v>ㄤ</v>
      </c>
      <c r="CD26" s="113" t="str">
        <v>ang</v>
      </c>
      <c r="CE26" s="733" t="str">
        <v>韻</v>
      </c>
      <c r="CF26" s="735">
        <v>3</v>
      </c>
      <c r="CH26" s="698" t="str">
        <f t="shared" si="3"/>
        <v xml:space="preserve">    - xform/ang/A/  # 韻 ㄤ [ang]</v>
      </c>
      <c r="CJ26" s="808"/>
      <c r="CK26" s="734"/>
      <c r="CL26" s="732"/>
      <c r="CM26" s="113"/>
      <c r="CN26" s="733"/>
      <c r="CO26" s="735"/>
      <c r="CQ26" s="698" t="str">
        <f t="shared" si="4"/>
        <v/>
      </c>
      <c r="CS26" s="808"/>
      <c r="CT26" s="734"/>
      <c r="CU26" s="732"/>
      <c r="CV26" s="113"/>
      <c r="CW26" s="733"/>
      <c r="CX26" s="735"/>
      <c r="CZ26" s="698" t="str">
        <f t="shared" si="5"/>
        <v/>
      </c>
      <c r="DB26" s="808"/>
      <c r="DC26" s="734"/>
      <c r="DD26" s="732"/>
      <c r="DE26" s="113"/>
      <c r="DF26" s="733"/>
      <c r="DG26" s="735"/>
      <c r="DI26" s="698" t="str">
        <f t="shared" si="6"/>
        <v/>
      </c>
    </row>
    <row r="27" spans="1:113" s="195" customFormat="1" ht="45" hidden="1" customHeight="1" outlineLevel="1">
      <c r="A27" s="249"/>
      <c r="B27" s="819"/>
      <c r="C27" s="819"/>
      <c r="D27" s="819"/>
      <c r="E27" s="819"/>
      <c r="F27" s="819"/>
      <c r="G27" s="819"/>
      <c r="H27" s="819"/>
      <c r="I27" s="819"/>
      <c r="J27" s="819"/>
      <c r="K27" s="819"/>
      <c r="L27" s="819"/>
      <c r="M27" s="819"/>
      <c r="N27" s="819"/>
      <c r="O27" s="819"/>
      <c r="P27" s="819"/>
      <c r="Q27" s="819"/>
      <c r="R27" s="819"/>
      <c r="S27" s="819"/>
      <c r="T27" s="819"/>
      <c r="U27" s="819"/>
      <c r="V27" s="819"/>
      <c r="W27" s="819"/>
      <c r="X27" s="819"/>
      <c r="Y27" s="819"/>
      <c r="Z27" s="819"/>
      <c r="AA27" s="819"/>
      <c r="AD27" s="820"/>
      <c r="AF27" s="820"/>
      <c r="AG27" s="820"/>
      <c r="AH27" s="820"/>
      <c r="AI27" s="820"/>
      <c r="AJ27" s="820"/>
      <c r="AK27" s="820"/>
      <c r="AL27" s="820"/>
      <c r="AM27" s="820"/>
      <c r="AN27" s="820"/>
      <c r="AO27" s="820"/>
      <c r="AP27" s="820"/>
      <c r="AQ27" s="820"/>
      <c r="AR27" s="820"/>
      <c r="AS27" s="820"/>
      <c r="AT27" s="820"/>
      <c r="AU27" s="820"/>
      <c r="AV27" s="820"/>
      <c r="AW27" s="820"/>
      <c r="AX27" s="820"/>
      <c r="AY27" s="820"/>
      <c r="AZ27" s="820"/>
      <c r="BA27" s="820"/>
      <c r="BB27" s="820"/>
      <c r="BC27" s="820"/>
      <c r="BL27" s="290"/>
      <c r="BN27" s="262">
        <f t="shared" si="0"/>
        <v>23</v>
      </c>
      <c r="BO27" s="838" t="str">
        <f>注音編碼對照表!E25</f>
        <v>i</v>
      </c>
      <c r="BP27" s="835" t="str">
        <f>注音編碼對照表!C25</f>
        <v>u</v>
      </c>
      <c r="BQ27" s="732" t="str">
        <f>注音編碼對照表!D25</f>
        <v>ㄧ</v>
      </c>
      <c r="BR27" s="839" t="str" cm="1">
        <f t="array" ref="BR27" xml:space="preserve"> INDEX(注音編碼對照表[閩拼方案], MATCH(TRUE, EXACT($BP27, 注音編碼對照表[鍵盤按鍵]), 0))</f>
        <v>i</v>
      </c>
      <c r="BS27" s="840" t="str" cm="1">
        <f t="array" ref="BS27" xml:space="preserve"> INDEX(注音編碼對照表[聲韻調], MATCH(TRUE, EXACT($BP27, 注音編碼對照表[鍵盤按鍵]), 0))</f>
        <v>韻</v>
      </c>
      <c r="BT27" s="841">
        <f t="shared" si="1"/>
        <v>1</v>
      </c>
      <c r="BV27" s="549" t="str">
        <f t="shared" si="2"/>
        <v xml:space="preserve">    "u": { commit: "ㄧ" }  # /eu/ ==&gt; i</v>
      </c>
      <c r="BX27" s="740"/>
      <c r="BY27" s="263"/>
      <c r="CA27" s="808" t="str">
        <v>W</v>
      </c>
      <c r="CB27" s="734" t="str">
        <v>O</v>
      </c>
      <c r="CC27" s="732" t="str">
        <v>ㆱ</v>
      </c>
      <c r="CD27" s="113" t="str">
        <v>om</v>
      </c>
      <c r="CE27" s="733" t="str">
        <v>韻</v>
      </c>
      <c r="CF27" s="735">
        <v>2</v>
      </c>
      <c r="CH27" s="698" t="str">
        <f t="shared" si="3"/>
        <v xml:space="preserve">    - xform/om/W/  # 韻 ㆱ [om]</v>
      </c>
      <c r="CJ27" s="808"/>
      <c r="CK27" s="734"/>
      <c r="CL27" s="732"/>
      <c r="CM27" s="113"/>
      <c r="CN27" s="733"/>
      <c r="CO27" s="735"/>
      <c r="CQ27" s="698" t="str">
        <f t="shared" si="4"/>
        <v/>
      </c>
      <c r="CS27" s="808"/>
      <c r="CT27" s="734"/>
      <c r="CU27" s="732"/>
      <c r="CV27" s="113"/>
      <c r="CW27" s="733"/>
      <c r="CX27" s="735"/>
      <c r="CZ27" s="698" t="str">
        <f t="shared" si="5"/>
        <v/>
      </c>
      <c r="DB27" s="808"/>
      <c r="DC27" s="734"/>
      <c r="DD27" s="732"/>
      <c r="DE27" s="113"/>
      <c r="DF27" s="733"/>
      <c r="DG27" s="735"/>
      <c r="DI27" s="698" t="str">
        <f t="shared" si="6"/>
        <v/>
      </c>
    </row>
    <row r="28" spans="1:113" s="195" customFormat="1" ht="45" hidden="1" customHeight="1" outlineLevel="1">
      <c r="A28" s="249"/>
      <c r="B28" s="819"/>
      <c r="C28" s="819"/>
      <c r="D28" s="819"/>
      <c r="E28" s="819"/>
      <c r="F28" s="819"/>
      <c r="G28" s="819"/>
      <c r="H28" s="819"/>
      <c r="I28" s="819"/>
      <c r="J28" s="819"/>
      <c r="K28" s="819"/>
      <c r="L28" s="819"/>
      <c r="M28" s="819"/>
      <c r="N28" s="819"/>
      <c r="O28" s="819"/>
      <c r="P28" s="819"/>
      <c r="Q28" s="819"/>
      <c r="R28" s="819"/>
      <c r="S28" s="819"/>
      <c r="T28" s="819"/>
      <c r="U28" s="819"/>
      <c r="V28" s="819"/>
      <c r="W28" s="819"/>
      <c r="X28" s="819"/>
      <c r="Y28" s="819"/>
      <c r="Z28" s="819"/>
      <c r="AA28" s="819"/>
      <c r="AD28" s="820"/>
      <c r="AF28" s="820"/>
      <c r="AG28" s="820"/>
      <c r="AH28" s="820"/>
      <c r="AI28" s="820"/>
      <c r="AJ28" s="820"/>
      <c r="AK28" s="820"/>
      <c r="AL28" s="820"/>
      <c r="AM28" s="820"/>
      <c r="AN28" s="820"/>
      <c r="AO28" s="820"/>
      <c r="AP28" s="820"/>
      <c r="AQ28" s="820"/>
      <c r="AR28" s="820"/>
      <c r="AS28" s="820"/>
      <c r="AT28" s="820"/>
      <c r="AU28" s="820"/>
      <c r="AV28" s="820"/>
      <c r="AW28" s="820"/>
      <c r="AX28" s="820"/>
      <c r="AY28" s="820"/>
      <c r="AZ28" s="820"/>
      <c r="BA28" s="820"/>
      <c r="BB28" s="820"/>
      <c r="BC28" s="820"/>
      <c r="BL28" s="290"/>
      <c r="BN28" s="262">
        <f t="shared" si="0"/>
        <v>24</v>
      </c>
      <c r="BO28" s="838" t="str">
        <f>注音編碼對照表!E26</f>
        <v>w</v>
      </c>
      <c r="BP28" s="835" t="str">
        <f>注音編碼對照表!C26</f>
        <v>K</v>
      </c>
      <c r="BQ28" s="732" t="str">
        <f>注音編碼對照表!D26</f>
        <v>ㆨ</v>
      </c>
      <c r="BR28" s="839" t="str" cm="1">
        <f t="array" ref="BR28" xml:space="preserve"> INDEX(注音編碼對照表[閩拼方案], MATCH(TRUE, EXACT($BP28, 注音編碼對照表[鍵盤按鍵]), 0))</f>
        <v>eu</v>
      </c>
      <c r="BS28" s="840" t="str" cm="1">
        <f t="array" ref="BS28" xml:space="preserve"> INDEX(注音編碼對照表[聲韻調], MATCH(TRUE, EXACT($BP28, 注音編碼對照表[鍵盤按鍵]), 0))</f>
        <v>韻</v>
      </c>
      <c r="BT28" s="841">
        <f t="shared" si="1"/>
        <v>2</v>
      </c>
      <c r="BV28" s="549" t="str">
        <f t="shared" si="2"/>
        <v xml:space="preserve">    "K": { commit: "ㆨ" }  # /u/ ==&gt; w</v>
      </c>
      <c r="BX28" s="740"/>
      <c r="BY28" s="263"/>
      <c r="CA28" s="808" t="str">
        <v>H</v>
      </c>
      <c r="CB28" s="734" t="str">
        <v>o</v>
      </c>
      <c r="CC28" s="732" t="str">
        <v>ㆲ</v>
      </c>
      <c r="CD28" s="113" t="str">
        <v>ong</v>
      </c>
      <c r="CE28" s="733" t="str">
        <v>韻</v>
      </c>
      <c r="CF28" s="735">
        <v>3</v>
      </c>
      <c r="CH28" s="698"/>
      <c r="CJ28" s="808"/>
      <c r="CK28" s="734"/>
      <c r="CL28" s="732"/>
      <c r="CM28" s="113"/>
      <c r="CN28" s="733"/>
      <c r="CO28" s="735"/>
      <c r="CQ28" s="698"/>
      <c r="CS28" s="808"/>
      <c r="CT28" s="734"/>
      <c r="CU28" s="732"/>
      <c r="CV28" s="113"/>
      <c r="CW28" s="733"/>
      <c r="CX28" s="735"/>
      <c r="CZ28" s="698" t="str">
        <f t="shared" si="5"/>
        <v/>
      </c>
      <c r="DB28" s="808"/>
      <c r="DC28" s="734"/>
      <c r="DD28" s="732"/>
      <c r="DE28" s="113"/>
      <c r="DF28" s="733"/>
      <c r="DG28" s="735"/>
      <c r="DI28" s="698" t="str">
        <f t="shared" si="6"/>
        <v/>
      </c>
    </row>
    <row r="29" spans="1:113" s="195" customFormat="1" ht="45" hidden="1" customHeight="1" outlineLevel="1">
      <c r="B29" s="819"/>
      <c r="C29" s="819"/>
      <c r="D29" s="819"/>
      <c r="E29" s="819"/>
      <c r="F29" s="819"/>
      <c r="G29" s="819"/>
      <c r="H29" s="819"/>
      <c r="I29" s="819"/>
      <c r="J29" s="819"/>
      <c r="K29" s="819"/>
      <c r="L29" s="819"/>
      <c r="M29" s="819"/>
      <c r="N29" s="819"/>
      <c r="O29" s="819"/>
      <c r="P29" s="819"/>
      <c r="Q29" s="819"/>
      <c r="R29" s="819"/>
      <c r="S29" s="819"/>
      <c r="T29" s="819"/>
      <c r="U29" s="819"/>
      <c r="V29" s="819"/>
      <c r="W29" s="819"/>
      <c r="X29" s="819"/>
      <c r="Y29" s="819"/>
      <c r="Z29" s="819"/>
      <c r="AA29" s="819"/>
      <c r="AD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L29" s="290"/>
      <c r="BN29" s="262">
        <f t="shared" si="0"/>
        <v>25</v>
      </c>
      <c r="BO29" s="838" t="str">
        <f>注音編碼對照表!E27</f>
        <v>u</v>
      </c>
      <c r="BP29" s="835" t="str">
        <f>注音編碼對照表!C27</f>
        <v>j</v>
      </c>
      <c r="BQ29" s="732" t="str">
        <f>注音編碼對照表!D27</f>
        <v>ㄨ</v>
      </c>
      <c r="BR29" s="839" t="str" cm="1">
        <f t="array" ref="BR29" xml:space="preserve"> INDEX(注音編碼對照表[閩拼方案], MATCH(TRUE, EXACT($BP29, 注音編碼對照表[鍵盤按鍵]), 0))</f>
        <v>u</v>
      </c>
      <c r="BS29" s="840" t="str" cm="1">
        <f t="array" ref="BS29" xml:space="preserve"> INDEX(注音編碼對照表[聲韻調], MATCH(TRUE, EXACT($BP29, 注音編碼對照表[鍵盤按鍵]), 0))</f>
        <v>韻</v>
      </c>
      <c r="BT29" s="841">
        <f t="shared" si="1"/>
        <v>1</v>
      </c>
      <c r="BV29" s="549" t="str">
        <f t="shared" si="2"/>
        <v xml:space="preserve">    "j": { commit: "ㄨ" }  # /e/ ==&gt; u</v>
      </c>
      <c r="BX29" s="740"/>
      <c r="BY29" s="263"/>
      <c r="CA29" s="808"/>
      <c r="CB29" s="734"/>
      <c r="CC29" s="732"/>
      <c r="CD29" s="113"/>
      <c r="CE29" s="733"/>
      <c r="CF29" s="735"/>
      <c r="CH29" s="698"/>
      <c r="CJ29" s="808"/>
      <c r="CK29" s="734"/>
      <c r="CL29" s="732"/>
      <c r="CM29" s="113"/>
      <c r="CN29" s="733"/>
      <c r="CO29" s="735"/>
      <c r="CQ29" s="698"/>
      <c r="CS29" s="808"/>
      <c r="CT29" s="734"/>
      <c r="CU29" s="732"/>
      <c r="CV29" s="113"/>
      <c r="CW29" s="733"/>
      <c r="CX29" s="735"/>
      <c r="CZ29" s="698" t="str">
        <f t="shared" si="5"/>
        <v/>
      </c>
      <c r="DB29" s="808"/>
      <c r="DC29" s="734"/>
      <c r="DD29" s="732"/>
      <c r="DE29" s="113"/>
      <c r="DF29" s="733"/>
      <c r="DG29" s="735"/>
      <c r="DI29" s="698" t="str">
        <f t="shared" si="6"/>
        <v/>
      </c>
    </row>
    <row r="30" spans="1:113" s="302" customFormat="1" ht="45" hidden="1" customHeight="1" outlineLevel="1">
      <c r="A30" s="195"/>
      <c r="B30" s="819"/>
      <c r="C30" s="819"/>
      <c r="D30" s="819"/>
      <c r="E30" s="819"/>
      <c r="F30" s="819"/>
      <c r="G30" s="819"/>
      <c r="H30" s="819"/>
      <c r="I30" s="819"/>
      <c r="J30" s="819"/>
      <c r="K30" s="819"/>
      <c r="L30" s="819"/>
      <c r="M30" s="819"/>
      <c r="N30" s="819"/>
      <c r="O30" s="819"/>
      <c r="P30" s="819"/>
      <c r="Q30" s="819"/>
      <c r="R30" s="819"/>
      <c r="S30" s="819"/>
      <c r="T30" s="819"/>
      <c r="U30" s="819"/>
      <c r="V30" s="819"/>
      <c r="W30" s="819"/>
      <c r="X30" s="819"/>
      <c r="Y30" s="819"/>
      <c r="Z30" s="819"/>
      <c r="AA30" s="819"/>
      <c r="AB30" s="195"/>
      <c r="AC30" s="195"/>
      <c r="AD30" s="820"/>
      <c r="AE30" s="195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195"/>
      <c r="BE30" s="195"/>
      <c r="BF30" s="195"/>
      <c r="BG30" s="195"/>
      <c r="BH30" s="195"/>
      <c r="BI30" s="195"/>
      <c r="BJ30" s="195"/>
      <c r="BK30" s="195"/>
      <c r="BL30" s="290"/>
      <c r="BM30" s="195"/>
      <c r="BN30" s="262">
        <f t="shared" si="0"/>
        <v>26</v>
      </c>
      <c r="BO30" s="838" t="str">
        <f>注音編碼對照表!E28</f>
        <v>e</v>
      </c>
      <c r="BP30" s="835" t="str">
        <f>注音編碼對照表!C28</f>
        <v>,</v>
      </c>
      <c r="BQ30" s="732" t="str">
        <f>注音編碼對照表!D28</f>
        <v>ㆤ</v>
      </c>
      <c r="BR30" s="839" t="str" cm="1">
        <f t="array" ref="BR30" xml:space="preserve"> INDEX(注音編碼對照表[閩拼方案], MATCH(TRUE, EXACT($BP30, 注音編碼對照表[鍵盤按鍵]), 0))</f>
        <v>e</v>
      </c>
      <c r="BS30" s="840" t="str" cm="1">
        <f t="array" ref="BS30" xml:space="preserve"> INDEX(注音編碼對照表[聲韻調], MATCH(TRUE, EXACT($BP30, 注音編碼對照表[鍵盤按鍵]), 0))</f>
        <v>韻</v>
      </c>
      <c r="BT30" s="841">
        <f t="shared" si="1"/>
        <v>1</v>
      </c>
      <c r="BU30" s="195"/>
      <c r="BV30" s="549" t="str">
        <f t="shared" si="2"/>
        <v xml:space="preserve">    ",": { commit: "ㆤ" }  # /oo/ ==&gt; e</v>
      </c>
      <c r="BW30" s="195"/>
      <c r="BX30" s="740"/>
      <c r="BY30" s="263"/>
      <c r="BZ30" s="195"/>
      <c r="CA30" s="808"/>
      <c r="CB30" s="734"/>
      <c r="CC30" s="732"/>
      <c r="CD30" s="113"/>
      <c r="CE30" s="733"/>
      <c r="CF30" s="735"/>
      <c r="CG30" s="195"/>
      <c r="CH30" s="698"/>
      <c r="CI30" s="195"/>
      <c r="CJ30" s="808"/>
      <c r="CK30" s="734"/>
      <c r="CL30" s="732"/>
      <c r="CM30" s="113"/>
      <c r="CN30" s="733"/>
      <c r="CO30" s="735"/>
      <c r="CP30" s="195"/>
      <c r="CQ30" s="698"/>
      <c r="CR30" s="195"/>
      <c r="CS30" s="808"/>
      <c r="CT30" s="734"/>
      <c r="CU30" s="732"/>
      <c r="CV30" s="113"/>
      <c r="CW30" s="733"/>
      <c r="CX30" s="735"/>
      <c r="CY30" s="195"/>
      <c r="CZ30" s="698" t="str">
        <f t="shared" si="5"/>
        <v/>
      </c>
      <c r="DA30" s="195"/>
      <c r="DB30" s="808"/>
      <c r="DC30" s="734"/>
      <c r="DD30" s="732"/>
      <c r="DE30" s="113"/>
      <c r="DF30" s="733"/>
      <c r="DG30" s="735"/>
      <c r="DH30" s="195"/>
      <c r="DI30" s="698" t="str">
        <f t="shared" si="6"/>
        <v/>
      </c>
    </row>
    <row r="31" spans="1:113" s="195" customFormat="1" ht="45" hidden="1" customHeight="1" outlineLevel="1">
      <c r="B31" s="819"/>
      <c r="C31" s="819"/>
      <c r="D31" s="819"/>
      <c r="E31" s="819"/>
      <c r="F31" s="819"/>
      <c r="G31" s="819"/>
      <c r="H31" s="819"/>
      <c r="I31" s="819"/>
      <c r="J31" s="819"/>
      <c r="K31" s="819"/>
      <c r="L31" s="819"/>
      <c r="M31" s="819"/>
      <c r="N31" s="819"/>
      <c r="O31" s="819"/>
      <c r="P31" s="819"/>
      <c r="Q31" s="819"/>
      <c r="R31" s="819"/>
      <c r="S31" s="819"/>
      <c r="T31" s="819"/>
      <c r="U31" s="819"/>
      <c r="V31" s="819"/>
      <c r="W31" s="819"/>
      <c r="X31" s="819"/>
      <c r="Y31" s="819"/>
      <c r="Z31" s="819"/>
      <c r="AA31" s="819"/>
      <c r="AD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L31" s="290"/>
      <c r="BN31" s="262">
        <f t="shared" si="0"/>
        <v>27</v>
      </c>
      <c r="BO31" s="838" t="str">
        <f>注音編碼對照表!E29</f>
        <v>O</v>
      </c>
      <c r="BP31" s="835" t="str">
        <f>注音編碼對照表!C29</f>
        <v>i</v>
      </c>
      <c r="BQ31" s="732" t="str">
        <f>注音編碼對照表!D29</f>
        <v>ㆦ</v>
      </c>
      <c r="BR31" s="839" t="str" cm="1">
        <f t="array" ref="BR31" xml:space="preserve"> INDEX(注音編碼對照表[閩拼方案], MATCH(TRUE, EXACT($BP31, 注音編碼對照表[鍵盤按鍵]), 0))</f>
        <v>oo</v>
      </c>
      <c r="BS31" s="840" t="str" cm="1">
        <f t="array" ref="BS31" xml:space="preserve"> INDEX(注音編碼對照表[聲韻調], MATCH(TRUE, EXACT($BP31, 注音編碼對照表[鍵盤按鍵]), 0))</f>
        <v>韻</v>
      </c>
      <c r="BT31" s="841">
        <f t="shared" si="1"/>
        <v>2</v>
      </c>
      <c r="BV31" s="549" t="str">
        <f t="shared" si="2"/>
        <v xml:space="preserve">    "i": { commit: "ㆦ" }  # /o/ ==&gt; O</v>
      </c>
      <c r="BX31" s="740"/>
      <c r="BY31" s="263"/>
      <c r="BZ31" s="302"/>
      <c r="CA31" s="808"/>
      <c r="CB31" s="734"/>
      <c r="CC31" s="732"/>
      <c r="CD31" s="113"/>
      <c r="CE31" s="733"/>
      <c r="CF31" s="735"/>
      <c r="CG31" s="302"/>
      <c r="CH31" s="698"/>
      <c r="CI31" s="302"/>
      <c r="CJ31" s="808"/>
      <c r="CK31" s="734"/>
      <c r="CL31" s="732"/>
      <c r="CM31" s="113"/>
      <c r="CN31" s="733"/>
      <c r="CO31" s="735"/>
      <c r="CP31" s="302"/>
      <c r="CQ31" s="698"/>
      <c r="CR31" s="302"/>
      <c r="CS31" s="808"/>
      <c r="CT31" s="734"/>
      <c r="CU31" s="732"/>
      <c r="CV31" s="113"/>
      <c r="CW31" s="733"/>
      <c r="CX31" s="735"/>
      <c r="CY31" s="302"/>
      <c r="CZ31" s="698" t="str">
        <f t="shared" si="5"/>
        <v/>
      </c>
      <c r="DA31" s="302"/>
      <c r="DB31" s="808"/>
      <c r="DC31" s="734"/>
      <c r="DD31" s="732"/>
      <c r="DE31" s="113"/>
      <c r="DF31" s="733"/>
      <c r="DG31" s="735"/>
      <c r="DH31" s="302"/>
      <c r="DI31" s="698" t="str">
        <f t="shared" si="6"/>
        <v/>
      </c>
    </row>
    <row r="32" spans="1:113" s="195" customFormat="1" ht="45" customHeight="1" outlineLevel="1">
      <c r="AD32" s="820"/>
      <c r="AF32" s="820"/>
      <c r="AG32" s="820"/>
      <c r="AH32" s="820"/>
      <c r="AI32" s="820"/>
      <c r="AJ32" s="820"/>
      <c r="AK32" s="820"/>
      <c r="AL32" s="820"/>
      <c r="AM32" s="820"/>
      <c r="AN32" s="820"/>
      <c r="AO32" s="820"/>
      <c r="AP32" s="820"/>
      <c r="AQ32" s="820"/>
      <c r="AR32" s="820"/>
      <c r="AS32" s="820"/>
      <c r="AT32" s="820"/>
      <c r="AU32" s="820"/>
      <c r="AV32" s="820"/>
      <c r="AW32" s="820"/>
      <c r="AX32" s="820"/>
      <c r="AY32" s="820"/>
      <c r="AZ32" s="820"/>
      <c r="BA32" s="820"/>
      <c r="BB32" s="820"/>
      <c r="BC32" s="820"/>
      <c r="BL32" s="301"/>
      <c r="BN32" s="262">
        <f t="shared" si="0"/>
        <v>28</v>
      </c>
      <c r="BO32" s="838" t="str">
        <f>注音編碼對照表!E30</f>
        <v>o</v>
      </c>
      <c r="BP32" s="835" t="str">
        <f>注音編碼對照表!C30</f>
        <v>k</v>
      </c>
      <c r="BQ32" s="732" t="str">
        <f>注音編碼對照表!D30</f>
        <v>ㄜ</v>
      </c>
      <c r="BR32" s="839" t="str" cm="1">
        <f t="array" ref="BR32" xml:space="preserve"> INDEX(注音編碼對照表[閩拼方案], MATCH(TRUE, EXACT($BP32, 注音編碼對照表[鍵盤按鍵]), 0))</f>
        <v>o</v>
      </c>
      <c r="BS32" s="840" t="str" cm="1">
        <f t="array" ref="BS32" xml:space="preserve"> INDEX(注音編碼對照表[聲韻調], MATCH(TRUE, EXACT($BP32, 注音編碼對照表[鍵盤按鍵]), 0))</f>
        <v>韻</v>
      </c>
      <c r="BT32" s="841">
        <f t="shared" si="1"/>
        <v>1</v>
      </c>
      <c r="BV32" s="549"/>
      <c r="BX32" s="740"/>
      <c r="BY32" s="263"/>
      <c r="BZ32" s="302"/>
      <c r="CA32" s="808"/>
      <c r="CB32" s="734"/>
      <c r="CC32" s="732"/>
      <c r="CD32" s="113"/>
      <c r="CE32" s="733"/>
      <c r="CF32" s="735"/>
      <c r="CG32" s="302"/>
      <c r="CH32" s="698"/>
      <c r="CI32" s="302"/>
      <c r="CJ32" s="808"/>
      <c r="CK32" s="734"/>
      <c r="CL32" s="732"/>
      <c r="CM32" s="113"/>
      <c r="CN32" s="733"/>
      <c r="CO32" s="735"/>
      <c r="CP32" s="302"/>
      <c r="CQ32" s="698"/>
      <c r="CR32" s="302"/>
      <c r="CS32" s="808"/>
      <c r="CT32" s="734"/>
      <c r="CU32" s="732"/>
      <c r="CV32" s="113"/>
      <c r="CW32" s="733"/>
      <c r="CX32" s="735"/>
      <c r="CY32" s="302"/>
      <c r="CZ32" s="698"/>
      <c r="DA32" s="302"/>
      <c r="DB32" s="808"/>
      <c r="DC32" s="734"/>
      <c r="DD32" s="732"/>
      <c r="DE32" s="113"/>
      <c r="DF32" s="733"/>
      <c r="DG32" s="735"/>
      <c r="DH32" s="302"/>
      <c r="DI32" s="698"/>
    </row>
    <row r="33" spans="1:113" s="195" customFormat="1" ht="45" customHeight="1">
      <c r="B33" s="291" t="s">
        <v>615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4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0"/>
      <c r="AJ33" s="29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L33" s="290"/>
      <c r="BM33" s="302"/>
      <c r="BN33" s="262">
        <f t="shared" si="0"/>
        <v>29</v>
      </c>
      <c r="BO33" s="838" t="str">
        <f>注音編碼對照表!E31</f>
        <v>I</v>
      </c>
      <c r="BP33" s="835" t="str">
        <f>注音編碼對照表!C31</f>
        <v>9</v>
      </c>
      <c r="BQ33" s="732" t="str">
        <f>注音編碼對照表!D31</f>
        <v>ㄞ</v>
      </c>
      <c r="BR33" s="839" t="str" cm="1">
        <f t="array" ref="BR33" xml:space="preserve"> INDEX(注音編碼對照表[閩拼方案], MATCH(TRUE, EXACT($BP33, 注音編碼對照表[鍵盤按鍵]), 0))</f>
        <v>ai</v>
      </c>
      <c r="BS33" s="840" t="str" cm="1">
        <f t="array" ref="BS33" xml:space="preserve"> INDEX(注音編碼對照表[聲韻調], MATCH(TRUE, EXACT($BP33, 注音編碼對照表[鍵盤按鍵]), 0))</f>
        <v>韻</v>
      </c>
      <c r="BT33" s="841">
        <f t="shared" si="1"/>
        <v>2</v>
      </c>
      <c r="BV33" s="549" t="str">
        <f t="shared" ref="BV33:BV62" si="11" xml:space="preserve"> "    """ &amp; BP33 &amp; """: { commit: """ &amp; BQ33 &amp; """ }" &amp; "  # " &amp; "/" &amp; BR33 &amp; "/ ==&gt; " &amp; BO33</f>
        <v xml:space="preserve">    "9": { commit: "ㄞ" }  # /ai/ ==&gt; I</v>
      </c>
      <c r="BW33" s="302"/>
      <c r="BX33" s="742"/>
      <c r="BY33" s="263"/>
      <c r="CA33" s="808"/>
      <c r="CB33" s="734"/>
      <c r="CC33" s="732"/>
      <c r="CD33" s="113"/>
      <c r="CE33" s="733"/>
      <c r="CF33" s="735"/>
      <c r="CH33" s="698"/>
      <c r="CJ33" s="808"/>
      <c r="CK33" s="734"/>
      <c r="CL33" s="732"/>
      <c r="CM33" s="113"/>
      <c r="CN33" s="733"/>
      <c r="CO33" s="735"/>
      <c r="CQ33" s="698"/>
      <c r="CS33" s="808"/>
      <c r="CT33" s="734"/>
      <c r="CU33" s="732"/>
      <c r="CV33" s="113"/>
      <c r="CW33" s="733"/>
      <c r="CX33" s="735"/>
      <c r="CZ33" s="698" t="str">
        <f t="shared" si="5"/>
        <v/>
      </c>
      <c r="DB33" s="808"/>
      <c r="DC33" s="734"/>
      <c r="DD33" s="732"/>
      <c r="DE33" s="113"/>
      <c r="DF33" s="733"/>
      <c r="DG33" s="735"/>
      <c r="DI33" s="698" t="str">
        <f t="shared" si="6"/>
        <v/>
      </c>
    </row>
    <row r="34" spans="1:113" s="195" customFormat="1" ht="45" customHeight="1">
      <c r="A34" s="302"/>
      <c r="B34" s="797" t="str">
        <f>_xlfn.CONCAT("  alphabet: """,D18:BA18,BI18:BK18,BB18:BH18,"""")</f>
        <v xml:space="preserve">  alphabet: "a!1qs2wxNEedYyhnRrfvc8uKj,ik9l*UJ&lt;I(Lmp/M0;Oobtgz'.=-[5346]7"</v>
      </c>
      <c r="C34" s="798"/>
      <c r="D34" s="798"/>
      <c r="E34" s="798"/>
      <c r="F34" s="798"/>
      <c r="G34" s="798"/>
      <c r="H34" s="798"/>
      <c r="I34" s="798"/>
      <c r="J34" s="798"/>
      <c r="K34" s="798"/>
      <c r="L34" s="798"/>
      <c r="M34" s="798"/>
      <c r="N34" s="798"/>
      <c r="O34" s="798"/>
      <c r="P34" s="798"/>
      <c r="Q34" s="798"/>
      <c r="R34" s="798"/>
      <c r="S34" s="798"/>
      <c r="T34" s="798"/>
      <c r="U34" s="798"/>
      <c r="V34" s="798"/>
      <c r="W34" s="798"/>
      <c r="X34" s="798"/>
      <c r="Y34" s="798"/>
      <c r="Z34" s="798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249"/>
      <c r="AL34" s="249"/>
      <c r="AM34" s="249"/>
      <c r="AN34" s="249"/>
      <c r="AO34" s="249"/>
      <c r="AP34" s="249"/>
      <c r="AQ34" s="249"/>
      <c r="AR34" s="234"/>
      <c r="AS34" s="234"/>
      <c r="AT34" s="249"/>
      <c r="AU34" s="249"/>
      <c r="AV34" s="249"/>
      <c r="AW34" s="145"/>
      <c r="AX34" s="145"/>
      <c r="AY34" s="145"/>
      <c r="AZ34" s="145"/>
      <c r="BA34" s="145"/>
      <c r="BB34" s="145"/>
      <c r="BJ34" s="290"/>
      <c r="BK34" s="290"/>
      <c r="BL34" s="290"/>
      <c r="BN34" s="262">
        <f t="shared" si="0"/>
        <v>30</v>
      </c>
      <c r="BO34" s="838" t="str">
        <f>注音編碼對照表!E32</f>
        <v>U</v>
      </c>
      <c r="BP34" s="835" t="str">
        <f>注音編碼對照表!C32</f>
        <v>l</v>
      </c>
      <c r="BQ34" s="732" t="str">
        <f>注音編碼對照表!D32</f>
        <v>ㄠ</v>
      </c>
      <c r="BR34" s="839" t="str" cm="1">
        <f t="array" ref="BR34" xml:space="preserve"> INDEX(注音編碼對照表[閩拼方案], MATCH(TRUE, EXACT($BP34, 注音編碼對照表[鍵盤按鍵]), 0))</f>
        <v>au</v>
      </c>
      <c r="BS34" s="840" t="str" cm="1">
        <f t="array" ref="BS34" xml:space="preserve"> INDEX(注音編碼對照表[聲韻調], MATCH(TRUE, EXACT($BP34, 注音編碼對照表[鍵盤按鍵]), 0))</f>
        <v>韻</v>
      </c>
      <c r="BT34" s="841">
        <f t="shared" si="1"/>
        <v>2</v>
      </c>
      <c r="BV34" s="549" t="str">
        <f t="shared" si="11"/>
        <v xml:space="preserve">    "l": { commit: "ㄠ" }  # /au/ ==&gt; U</v>
      </c>
      <c r="BX34" s="740"/>
      <c r="BY34" s="263"/>
      <c r="CA34" s="808"/>
      <c r="CB34" s="734"/>
      <c r="CC34" s="732"/>
      <c r="CD34" s="113"/>
      <c r="CE34" s="733"/>
      <c r="CF34" s="735"/>
      <c r="CH34" s="698"/>
      <c r="CJ34" s="808"/>
      <c r="CK34" s="734"/>
      <c r="CL34" s="732"/>
      <c r="CM34" s="113"/>
      <c r="CN34" s="733"/>
      <c r="CO34" s="735"/>
      <c r="CQ34" s="698"/>
      <c r="CS34" s="808"/>
      <c r="CT34" s="734"/>
      <c r="CU34" s="732"/>
      <c r="CV34" s="113"/>
      <c r="CW34" s="733"/>
      <c r="CX34" s="735"/>
      <c r="CZ34" s="698" t="str">
        <f t="shared" si="5"/>
        <v/>
      </c>
      <c r="DB34" s="808"/>
      <c r="DC34" s="734"/>
      <c r="DD34" s="732"/>
      <c r="DE34" s="113"/>
      <c r="DF34" s="733"/>
      <c r="DG34" s="735"/>
      <c r="DI34" s="698" t="str">
        <f t="shared" si="6"/>
        <v/>
      </c>
    </row>
    <row r="35" spans="1:113" s="195" customFormat="1" ht="45" customHeight="1">
      <c r="A35" s="249"/>
      <c r="B35" s="797" t="str">
        <f>_xlfn.CONCAT("  initials: """,D18:BA18,BI18:BK18,"""")</f>
        <v xml:space="preserve">  initials: "a!1qs2wxNEedYyhnRrfvc8uKj,ik9l*UJ&lt;I(Lmp/M0;Oobtgz'.=-"</v>
      </c>
      <c r="C35" s="799"/>
      <c r="D35" s="800"/>
      <c r="E35" s="801"/>
      <c r="F35" s="801"/>
      <c r="G35" s="801"/>
      <c r="H35" s="801"/>
      <c r="I35" s="801"/>
      <c r="J35" s="801"/>
      <c r="K35" s="801"/>
      <c r="L35" s="801"/>
      <c r="M35" s="801"/>
      <c r="N35" s="801"/>
      <c r="O35" s="801"/>
      <c r="P35" s="801"/>
      <c r="Q35" s="801"/>
      <c r="R35" s="801"/>
      <c r="S35" s="801"/>
      <c r="T35" s="801"/>
      <c r="U35" s="801"/>
      <c r="V35" s="801"/>
      <c r="W35" s="801"/>
      <c r="X35" s="801"/>
      <c r="Y35" s="801"/>
      <c r="Z35" s="801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290"/>
      <c r="AL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31</v>
      </c>
      <c r="BO35" s="838" t="str">
        <f>注音編碼對照表!E33</f>
        <v>R</v>
      </c>
      <c r="BP35" s="835" t="str">
        <f>注音編碼對照表!C33</f>
        <v>*</v>
      </c>
      <c r="BQ35" s="732" t="str">
        <f>注音編碼對照表!D33</f>
        <v>ㆩ</v>
      </c>
      <c r="BR35" s="839" t="str" cm="1">
        <f t="array" ref="BR35" xml:space="preserve"> INDEX(注音編碼對照表[閩拼方案], MATCH(TRUE, EXACT($BP35, 注音編碼對照表[鍵盤按鍵]), 0))</f>
        <v>na</v>
      </c>
      <c r="BS35" s="840" t="str" cm="1">
        <f t="array" ref="BS35" xml:space="preserve"> INDEX(注音編碼對照表[聲韻調], MATCH(TRUE, EXACT($BP35, 注音編碼對照表[鍵盤按鍵]), 0))</f>
        <v>韻</v>
      </c>
      <c r="BT35" s="841">
        <f t="shared" si="1"/>
        <v>2</v>
      </c>
      <c r="BV35" s="549" t="str">
        <f t="shared" si="11"/>
        <v xml:space="preserve">    "*": { commit: "ㆩ" }  # /na/ ==&gt; R</v>
      </c>
      <c r="BX35" s="740"/>
      <c r="BY35" s="263"/>
      <c r="CA35" s="808"/>
      <c r="CB35" s="734"/>
      <c r="CC35" s="732"/>
      <c r="CD35" s="113"/>
      <c r="CE35" s="733"/>
      <c r="CF35" s="735"/>
      <c r="CH35" s="698"/>
      <c r="CJ35" s="808"/>
      <c r="CK35" s="734"/>
      <c r="CL35" s="732"/>
      <c r="CM35" s="113"/>
      <c r="CN35" s="733"/>
      <c r="CO35" s="735"/>
      <c r="CQ35" s="698"/>
      <c r="CS35" s="808"/>
      <c r="CT35" s="734"/>
      <c r="CU35" s="732"/>
      <c r="CV35" s="113"/>
      <c r="CW35" s="733"/>
      <c r="CX35" s="735"/>
      <c r="CZ35" s="698" t="str">
        <f t="shared" si="5"/>
        <v/>
      </c>
      <c r="DB35" s="808"/>
      <c r="DC35" s="734"/>
      <c r="DD35" s="732"/>
      <c r="DE35" s="113"/>
      <c r="DF35" s="733"/>
      <c r="DG35" s="735"/>
      <c r="DI35" s="698" t="str">
        <f t="shared" si="6"/>
        <v/>
      </c>
    </row>
    <row r="36" spans="1:113" s="195" customFormat="1" ht="45" customHeight="1">
      <c r="B36" s="797" t="str">
        <f>_xlfn.CONCAT("  finals: """,BB18:BH18,"""")</f>
        <v xml:space="preserve">  finals: "[5346]7"</v>
      </c>
      <c r="C36" s="799"/>
      <c r="D36" s="799"/>
      <c r="E36" s="799"/>
      <c r="F36" s="799"/>
      <c r="G36" s="799"/>
      <c r="H36" s="799"/>
      <c r="I36" s="799"/>
      <c r="J36" s="799"/>
      <c r="K36" s="799"/>
      <c r="L36" s="799"/>
      <c r="M36" s="799"/>
      <c r="N36" s="799"/>
      <c r="O36" s="799"/>
      <c r="P36" s="799"/>
      <c r="Q36" s="799"/>
      <c r="R36" s="799"/>
      <c r="S36" s="799"/>
      <c r="T36" s="799"/>
      <c r="U36" s="799"/>
      <c r="V36" s="799"/>
      <c r="W36" s="799"/>
      <c r="X36" s="799"/>
      <c r="Y36" s="799"/>
      <c r="Z36" s="799"/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12"/>
      <c r="AL36" s="712"/>
      <c r="AM36" s="712"/>
      <c r="AN36" s="712"/>
      <c r="AO36" s="712"/>
      <c r="AP36" s="712"/>
      <c r="AQ36" s="712"/>
      <c r="AR36" s="713"/>
      <c r="AS36" s="713"/>
      <c r="AT36" s="712"/>
      <c r="AU36" s="712"/>
      <c r="AV36" s="712"/>
      <c r="AW36" s="714"/>
      <c r="AX36" s="714"/>
      <c r="AY36" s="714"/>
      <c r="AZ36" s="714"/>
      <c r="BA36" s="714"/>
      <c r="BB36" s="714"/>
      <c r="BC36" s="715"/>
      <c r="BD36" s="715"/>
      <c r="BE36" s="715"/>
      <c r="BF36" s="715"/>
      <c r="BG36" s="715"/>
      <c r="BH36" s="715"/>
      <c r="BI36" s="715"/>
      <c r="BJ36" s="716"/>
      <c r="BK36" s="716"/>
      <c r="BL36" s="290"/>
      <c r="BN36" s="262">
        <f t="shared" si="0"/>
        <v>32</v>
      </c>
      <c r="BO36" s="838" t="str">
        <f>注音編碼對照表!E34</f>
        <v>D</v>
      </c>
      <c r="BP36" s="835" t="str">
        <f>注音編碼對照表!C34</f>
        <v>U</v>
      </c>
      <c r="BQ36" s="732" t="str">
        <f>注音編碼對照表!D34</f>
        <v>ㆪ</v>
      </c>
      <c r="BR36" s="839" t="str" cm="1">
        <f t="array" ref="BR36" xml:space="preserve"> INDEX(注音編碼對照表[閩拼方案], MATCH(TRUE, EXACT($BP36, 注音編碼對照表[鍵盤按鍵]), 0))</f>
        <v>ni</v>
      </c>
      <c r="BS36" s="840" t="str" cm="1">
        <f t="array" ref="BS36" xml:space="preserve"> INDEX(注音編碼對照表[聲韻調], MATCH(TRUE, EXACT($BP36, 注音編碼對照表[鍵盤按鍵]), 0))</f>
        <v>韻</v>
      </c>
      <c r="BT36" s="841">
        <f t="shared" si="1"/>
        <v>2</v>
      </c>
      <c r="BV36" s="549" t="str">
        <f t="shared" si="11"/>
        <v xml:space="preserve">    "U": { commit: "ㆪ" }  # /ni/ ==&gt; D</v>
      </c>
      <c r="BX36" s="740"/>
      <c r="BY36" s="263"/>
      <c r="CA36" s="808"/>
      <c r="CB36" s="734"/>
      <c r="CC36" s="732"/>
      <c r="CD36" s="113"/>
      <c r="CE36" s="733"/>
      <c r="CF36" s="735"/>
      <c r="CH36" s="698"/>
      <c r="CJ36" s="808"/>
      <c r="CK36" s="734"/>
      <c r="CL36" s="732"/>
      <c r="CM36" s="113"/>
      <c r="CN36" s="733"/>
      <c r="CO36" s="735"/>
      <c r="CQ36" s="698"/>
      <c r="CS36" s="808"/>
      <c r="CT36" s="734"/>
      <c r="CU36" s="732"/>
      <c r="CV36" s="113"/>
      <c r="CW36" s="733"/>
      <c r="CX36" s="735"/>
      <c r="CZ36" s="698" t="str">
        <f t="shared" si="5"/>
        <v/>
      </c>
      <c r="DB36" s="808"/>
      <c r="DC36" s="734"/>
      <c r="DD36" s="732"/>
      <c r="DE36" s="113"/>
      <c r="DF36" s="733"/>
      <c r="DG36" s="735"/>
      <c r="DI36" s="698" t="str">
        <f t="shared" si="6"/>
        <v/>
      </c>
    </row>
    <row r="37" spans="1:113" s="195" customFormat="1" ht="45" customHeight="1">
      <c r="AK37" s="249"/>
      <c r="AL37" s="249"/>
      <c r="AM37" s="249"/>
      <c r="AN37" s="249"/>
      <c r="AO37" s="249"/>
      <c r="AP37" s="249"/>
      <c r="AQ37" s="249"/>
      <c r="AR37" s="234"/>
      <c r="AS37" s="234"/>
      <c r="AT37" s="249"/>
      <c r="AU37" s="249"/>
      <c r="AV37" s="249"/>
      <c r="AW37" s="145"/>
      <c r="AX37" s="145"/>
      <c r="AY37" s="145"/>
      <c r="AZ37" s="145"/>
      <c r="BA37" s="145"/>
      <c r="BB37" s="145"/>
      <c r="BJ37" s="290"/>
      <c r="BK37" s="290"/>
      <c r="BL37" s="290"/>
      <c r="BN37" s="262">
        <f t="shared" si="0"/>
        <v>33</v>
      </c>
      <c r="BO37" s="838" t="str">
        <f>注音編碼對照表!E35</f>
        <v>X</v>
      </c>
      <c r="BP37" s="835" t="str">
        <f>注音編碼對照表!C35</f>
        <v>J</v>
      </c>
      <c r="BQ37" s="732" t="str">
        <f>注音編碼對照表!D35</f>
        <v>ㆫ</v>
      </c>
      <c r="BR37" s="839" t="str" cm="1">
        <f t="array" ref="BR37" xml:space="preserve"> INDEX(注音編碼對照表[閩拼方案], MATCH(TRUE, EXACT($BP37, 注音編碼對照表[鍵盤按鍵]), 0))</f>
        <v>nu</v>
      </c>
      <c r="BS37" s="840" t="str" cm="1">
        <f t="array" ref="BS37" xml:space="preserve"> INDEX(注音編碼對照表[聲韻調], MATCH(TRUE, EXACT($BP37, 注音編碼對照表[鍵盤按鍵]), 0))</f>
        <v>韻</v>
      </c>
      <c r="BT37" s="841">
        <f t="shared" si="1"/>
        <v>2</v>
      </c>
      <c r="BV37" s="549" t="str">
        <f t="shared" si="11"/>
        <v xml:space="preserve">    "J": { commit: "ㆫ" }  # /nu/ ==&gt; X</v>
      </c>
      <c r="BX37" s="740"/>
      <c r="BY37" s="263"/>
      <c r="CA37" s="808"/>
      <c r="CB37" s="734"/>
      <c r="CC37" s="732"/>
      <c r="CD37" s="113"/>
      <c r="CE37" s="733"/>
      <c r="CF37" s="735"/>
      <c r="CH37" s="698"/>
      <c r="CJ37" s="808"/>
      <c r="CK37" s="734"/>
      <c r="CL37" s="732"/>
      <c r="CM37" s="113"/>
      <c r="CN37" s="733"/>
      <c r="CO37" s="735"/>
      <c r="CQ37" s="698"/>
      <c r="CS37" s="808"/>
      <c r="CT37" s="734"/>
      <c r="CU37" s="732"/>
      <c r="CV37" s="113"/>
      <c r="CW37" s="733"/>
      <c r="CX37" s="735"/>
      <c r="CZ37" s="698" t="str">
        <f t="shared" si="5"/>
        <v/>
      </c>
      <c r="DB37" s="808"/>
      <c r="DC37" s="734"/>
      <c r="DD37" s="732"/>
      <c r="DE37" s="113"/>
      <c r="DF37" s="733"/>
      <c r="DG37" s="735"/>
      <c r="DI37" s="698" t="str">
        <f t="shared" si="6"/>
        <v/>
      </c>
    </row>
    <row r="38" spans="1:113" s="195" customFormat="1" ht="45" customHeight="1">
      <c r="AF38" s="824" t="str">
        <f>_xlfn.CONCAT(D17:X17)</f>
        <v>mBbpndtlŋvgkZzcsJjCSh</v>
      </c>
      <c r="AK38" s="249"/>
      <c r="AL38" s="249"/>
      <c r="AM38" s="249"/>
      <c r="AN38" s="249"/>
      <c r="AO38" s="249"/>
      <c r="AP38" s="249"/>
      <c r="AQ38" s="249"/>
      <c r="AR38" s="234"/>
      <c r="AS38" s="234"/>
      <c r="AT38" s="249"/>
      <c r="AU38" s="249"/>
      <c r="AV38" s="249"/>
      <c r="AW38" s="145"/>
      <c r="AX38" s="145"/>
      <c r="AY38" s="145"/>
      <c r="AZ38" s="145"/>
      <c r="BA38" s="145"/>
      <c r="BB38" s="145"/>
      <c r="BJ38" s="290"/>
      <c r="BK38" s="290"/>
      <c r="BL38" s="290"/>
      <c r="BN38" s="262">
        <f t="shared" si="0"/>
        <v>34</v>
      </c>
      <c r="BO38" s="838" t="str">
        <f>注音編碼對照表!E36</f>
        <v>E</v>
      </c>
      <c r="BP38" s="835" t="str">
        <f>注音編碼對照表!C36</f>
        <v>&lt;</v>
      </c>
      <c r="BQ38" s="732" t="str">
        <f>注音編碼對照表!D36</f>
        <v>ㆥ</v>
      </c>
      <c r="BR38" s="839" t="str" cm="1">
        <f t="array" ref="BR38" xml:space="preserve"> INDEX(注音編碼對照表[閩拼方案], MATCH(TRUE, EXACT($BP38, 注音編碼對照表[鍵盤按鍵]), 0))</f>
        <v>ne</v>
      </c>
      <c r="BS38" s="840" t="str" cm="1">
        <f t="array" ref="BS38" xml:space="preserve"> INDEX(注音編碼對照表[聲韻調], MATCH(TRUE, EXACT($BP38, 注音編碼對照表[鍵盤按鍵]), 0))</f>
        <v>韻</v>
      </c>
      <c r="BT38" s="841">
        <f t="shared" si="1"/>
        <v>2</v>
      </c>
      <c r="BV38" s="549" t="str">
        <f t="shared" si="11"/>
        <v xml:space="preserve">    "&lt;": { commit: "ㆥ" }  # /ne/ ==&gt; E</v>
      </c>
      <c r="BX38" s="740"/>
      <c r="BY38" s="263"/>
      <c r="CA38" s="808"/>
      <c r="CB38" s="734"/>
      <c r="CC38" s="732"/>
      <c r="CD38" s="113"/>
      <c r="CE38" s="733"/>
      <c r="CF38" s="735"/>
      <c r="CH38" s="698"/>
      <c r="CJ38" s="808"/>
      <c r="CK38" s="734"/>
      <c r="CL38" s="732"/>
      <c r="CM38" s="113"/>
      <c r="CN38" s="733"/>
      <c r="CO38" s="735"/>
      <c r="CQ38" s="698"/>
      <c r="CS38" s="808"/>
      <c r="CT38" s="734"/>
      <c r="CU38" s="732"/>
      <c r="CV38" s="113"/>
      <c r="CW38" s="733"/>
      <c r="CX38" s="735"/>
      <c r="CZ38" s="698" t="str">
        <f t="shared" si="5"/>
        <v/>
      </c>
      <c r="DB38" s="808"/>
      <c r="DC38" s="734"/>
      <c r="DD38" s="732"/>
      <c r="DE38" s="113"/>
      <c r="DF38" s="733"/>
      <c r="DG38" s="735"/>
      <c r="DI38" s="698" t="str">
        <f t="shared" si="6"/>
        <v/>
      </c>
    </row>
    <row r="39" spans="1:113" s="195" customFormat="1" ht="45" customHeight="1">
      <c r="B39" s="291" t="s">
        <v>573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K39" s="249"/>
      <c r="AL39" s="249"/>
      <c r="AM39" s="249"/>
      <c r="AN39" s="249"/>
      <c r="AO39" s="249"/>
      <c r="AP39" s="249"/>
      <c r="AQ39" s="249"/>
      <c r="AR39" s="234"/>
      <c r="AS39" s="234"/>
      <c r="AT39" s="249"/>
      <c r="AU39" s="249"/>
      <c r="AV39" s="249"/>
      <c r="AW39" s="145"/>
      <c r="AX39" s="145"/>
      <c r="AY39" s="145"/>
      <c r="AZ39" s="145"/>
      <c r="BA39" s="145"/>
      <c r="BB39" s="145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N39" s="262">
        <f t="shared" si="0"/>
        <v>35</v>
      </c>
      <c r="BO39" s="838" t="str">
        <f>注音編碼對照表!E37</f>
        <v>Q</v>
      </c>
      <c r="BP39" s="835" t="str">
        <f>注音編碼對照表!C37</f>
        <v>I</v>
      </c>
      <c r="BQ39" s="732" t="str">
        <f>注音編碼對照表!D37</f>
        <v>ㆧ</v>
      </c>
      <c r="BR39" s="839" t="str" cm="1">
        <f t="array" ref="BR39" xml:space="preserve"> INDEX(注音編碼對照表[閩拼方案], MATCH(TRUE, EXACT($BP39, 注音編碼對照表[鍵盤按鍵]), 0))</f>
        <v>no</v>
      </c>
      <c r="BS39" s="840" t="str" cm="1">
        <f t="array" ref="BS39" xml:space="preserve"> INDEX(注音編碼對照表[聲韻調], MATCH(TRUE, EXACT($BP39, 注音編碼對照表[鍵盤按鍵]), 0))</f>
        <v>韻</v>
      </c>
      <c r="BT39" s="841">
        <f t="shared" si="1"/>
        <v>2</v>
      </c>
      <c r="BV39" s="549" t="str">
        <f t="shared" si="11"/>
        <v xml:space="preserve">    "I": { commit: "ㆧ" }  # /no/ ==&gt; Q</v>
      </c>
      <c r="BX39" s="740"/>
      <c r="BY39" s="263"/>
      <c r="CA39" s="808"/>
      <c r="CB39" s="734"/>
      <c r="CC39" s="732"/>
      <c r="CD39" s="113"/>
      <c r="CE39" s="733"/>
      <c r="CF39" s="735"/>
      <c r="CH39" s="698"/>
      <c r="CJ39" s="808"/>
      <c r="CK39" s="734"/>
      <c r="CL39" s="732"/>
      <c r="CM39" s="113"/>
      <c r="CN39" s="733"/>
      <c r="CO39" s="735"/>
      <c r="CQ39" s="698"/>
      <c r="CS39" s="808"/>
      <c r="CT39" s="734"/>
      <c r="CU39" s="732"/>
      <c r="CV39" s="113"/>
      <c r="CW39" s="733"/>
      <c r="CX39" s="735"/>
      <c r="CZ39" s="698" t="str">
        <f t="shared" si="5"/>
        <v/>
      </c>
      <c r="DB39" s="808"/>
      <c r="DC39" s="734"/>
      <c r="DD39" s="732"/>
      <c r="DE39" s="113"/>
      <c r="DF39" s="733"/>
      <c r="DG39" s="735"/>
      <c r="DI39" s="698" t="str">
        <f t="shared" si="6"/>
        <v/>
      </c>
    </row>
    <row r="40" spans="1:113" ht="45" customHeight="1">
      <c r="A40" s="195"/>
      <c r="B40" s="293" t="s">
        <v>574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4"/>
      <c r="U40" s="293"/>
      <c r="V40" s="293"/>
      <c r="W40" s="293"/>
      <c r="X40" s="293"/>
      <c r="Y40" s="293"/>
      <c r="Z40" s="290"/>
      <c r="AA40" s="290"/>
      <c r="AB40" s="290"/>
      <c r="AC40" s="290"/>
      <c r="AD40" s="290"/>
      <c r="AE40" s="290"/>
      <c r="AF40" s="290"/>
      <c r="AG40" s="290"/>
      <c r="AH40" s="290"/>
      <c r="AI40" s="290"/>
      <c r="AJ40" s="290"/>
      <c r="AK40" s="290"/>
      <c r="AL40" s="290"/>
      <c r="AM40" s="195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316"/>
      <c r="BM40" s="195"/>
      <c r="BN40" s="262">
        <f t="shared" si="0"/>
        <v>36</v>
      </c>
      <c r="BO40" s="838" t="str">
        <f>注音編碼對照表!E38</f>
        <v>x</v>
      </c>
      <c r="BP40" s="835" t="str">
        <f>注音編碼對照表!C38</f>
        <v>(</v>
      </c>
      <c r="BQ40" s="732" t="str">
        <f>注音編碼對照表!D38</f>
        <v>ㆮ</v>
      </c>
      <c r="BR40" s="839" t="str" cm="1">
        <f t="array" ref="BR40" xml:space="preserve"> INDEX(注音編碼對照表[閩拼方案], MATCH(TRUE, EXACT($BP40, 注音編碼對照表[鍵盤按鍵]), 0))</f>
        <v>nai</v>
      </c>
      <c r="BS40" s="840" t="str" cm="1">
        <f t="array" ref="BS40" xml:space="preserve"> INDEX(注音編碼對照表[聲韻調], MATCH(TRUE, EXACT($BP40, 注音編碼對照表[鍵盤按鍵]), 0))</f>
        <v>韻</v>
      </c>
      <c r="BT40" s="841">
        <f t="shared" si="1"/>
        <v>3</v>
      </c>
      <c r="BU40" s="195"/>
      <c r="BV40" s="549" t="str">
        <f t="shared" si="11"/>
        <v xml:space="preserve">    "(": { commit: "ㆮ" }  # /nai/ ==&gt; x</v>
      </c>
      <c r="BW40" s="195"/>
      <c r="BX40" s="740"/>
      <c r="BY40" s="263"/>
      <c r="BZ40" s="195"/>
      <c r="CA40" s="808"/>
      <c r="CB40" s="734"/>
      <c r="CC40" s="732"/>
      <c r="CD40" s="113"/>
      <c r="CE40" s="733"/>
      <c r="CF40" s="735"/>
      <c r="CG40" s="195"/>
      <c r="CI40" s="195"/>
      <c r="CJ40" s="808"/>
      <c r="CK40" s="734"/>
      <c r="CL40" s="732"/>
      <c r="CM40" s="113"/>
      <c r="CN40" s="733"/>
      <c r="CO40" s="735"/>
      <c r="CP40" s="195"/>
      <c r="CR40" s="195"/>
      <c r="CS40" s="808"/>
      <c r="CT40" s="734"/>
      <c r="CU40" s="732"/>
      <c r="CV40" s="113"/>
      <c r="CW40" s="733"/>
      <c r="CX40" s="735"/>
      <c r="CY40" s="195"/>
      <c r="CZ40" s="698" t="str">
        <f t="shared" si="5"/>
        <v/>
      </c>
      <c r="DA40" s="195"/>
      <c r="DB40" s="808"/>
      <c r="DC40" s="734"/>
      <c r="DD40" s="732"/>
      <c r="DE40" s="113"/>
      <c r="DF40" s="733"/>
      <c r="DG40" s="735"/>
      <c r="DH40" s="195"/>
      <c r="DI40" s="698" t="str">
        <f t="shared" si="6"/>
        <v/>
      </c>
    </row>
    <row r="41" spans="1:113" ht="45" customHeight="1">
      <c r="A41" s="195"/>
      <c r="B41" s="295" t="s">
        <v>7</v>
      </c>
      <c r="C41" s="296"/>
      <c r="D41" s="297">
        <f xml:space="preserve"> LEN(E41)</f>
        <v>60</v>
      </c>
      <c r="E41" s="805" t="str">
        <f xml:space="preserve"> _xlfn.CONCAT(D17:BK17)</f>
        <v>mBbpndtlŋvgkZzcsJjCShaiwueOoIURDXEQxyMNGY@AWHPTKV176532809L*</v>
      </c>
      <c r="F41" s="802"/>
      <c r="G41" s="802"/>
      <c r="H41" s="802"/>
      <c r="I41" s="802"/>
      <c r="J41" s="802"/>
      <c r="K41" s="802"/>
      <c r="L41" s="802"/>
      <c r="M41" s="802"/>
      <c r="N41" s="802"/>
      <c r="O41" s="802"/>
      <c r="P41" s="802"/>
      <c r="Q41" s="802"/>
      <c r="R41" s="802"/>
      <c r="S41" s="802"/>
      <c r="T41" s="802"/>
      <c r="U41" s="802"/>
      <c r="V41" s="802"/>
      <c r="W41" s="802"/>
      <c r="X41" s="802"/>
      <c r="Y41" s="802"/>
      <c r="Z41" s="802"/>
      <c r="AA41" s="802"/>
      <c r="AB41" s="802"/>
      <c r="AC41" s="195"/>
      <c r="AD41" s="195"/>
      <c r="AE41" s="195">
        <f xml:space="preserve"> LEN(AF41)</f>
        <v>49</v>
      </c>
      <c r="AF41" s="805" t="str">
        <f>_xlfn.CONCAT(D17:AZ17)</f>
        <v>mBbpndtlŋvgkZzcsJjCShaiwueOoIURDXEQxyMNGY@AWHPTKV</v>
      </c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195"/>
      <c r="BD41" s="195">
        <f xml:space="preserve"> LEN(BE41)</f>
        <v>8</v>
      </c>
      <c r="BE41" s="805" t="str">
        <f>_xlfn.CONCAT(BA17:BH17)</f>
        <v>17653280</v>
      </c>
      <c r="BF41" s="802"/>
      <c r="BG41" s="805"/>
      <c r="BH41" s="802"/>
      <c r="BI41" s="805"/>
      <c r="BJ41" s="802"/>
      <c r="BK41" s="805"/>
      <c r="BL41" s="316"/>
      <c r="BM41" s="195"/>
      <c r="BN41" s="262">
        <f t="shared" si="0"/>
        <v>37</v>
      </c>
      <c r="BO41" s="838" t="str">
        <f>注音編碼對照表!E39</f>
        <v>y</v>
      </c>
      <c r="BP41" s="835" t="str">
        <f>注音編碼對照表!C39</f>
        <v>L</v>
      </c>
      <c r="BQ41" s="732" t="str">
        <f>注音編碼對照表!D39</f>
        <v>ㆯ</v>
      </c>
      <c r="BR41" s="839" t="str" cm="1">
        <f t="array" ref="BR41" xml:space="preserve"> INDEX(注音編碼對照表[閩拼方案], MATCH(TRUE, EXACT($BP41, 注音編碼對照表[鍵盤按鍵]), 0))</f>
        <v>nau</v>
      </c>
      <c r="BS41" s="840" t="str" cm="1">
        <f t="array" ref="BS41" xml:space="preserve"> INDEX(注音編碼對照表[聲韻調], MATCH(TRUE, EXACT($BP41, 注音編碼對照表[鍵盤按鍵]), 0))</f>
        <v>韻</v>
      </c>
      <c r="BT41" s="841">
        <f t="shared" si="1"/>
        <v>3</v>
      </c>
      <c r="BU41" s="195"/>
      <c r="BV41" s="549" t="str">
        <f t="shared" si="11"/>
        <v xml:space="preserve">    "L": { commit: "ㆯ" }  # /nau/ ==&gt; y</v>
      </c>
      <c r="BW41" s="195"/>
      <c r="BX41" s="740"/>
      <c r="BY41" s="263"/>
      <c r="CA41" s="808"/>
      <c r="CB41" s="734"/>
      <c r="CC41" s="732"/>
      <c r="CD41" s="113"/>
      <c r="CE41" s="733"/>
      <c r="CF41" s="735"/>
      <c r="CJ41" s="808"/>
      <c r="CK41" s="734"/>
      <c r="CL41" s="732"/>
      <c r="CM41" s="113"/>
      <c r="CN41" s="733"/>
      <c r="CO41" s="735"/>
      <c r="CS41" s="808"/>
      <c r="CT41" s="734"/>
      <c r="CU41" s="732"/>
      <c r="CV41" s="113"/>
      <c r="CW41" s="733"/>
      <c r="CX41" s="735"/>
      <c r="CZ41" s="698" t="str">
        <f t="shared" si="5"/>
        <v/>
      </c>
      <c r="DB41" s="808"/>
      <c r="DC41" s="734"/>
      <c r="DD41" s="732"/>
      <c r="DE41" s="113"/>
      <c r="DF41" s="733"/>
      <c r="DG41" s="735"/>
      <c r="DI41" s="698" t="str">
        <f t="shared" si="6"/>
        <v/>
      </c>
    </row>
    <row r="42" spans="1:113" ht="45" customHeight="1">
      <c r="A42" s="195"/>
      <c r="B42" s="723" t="s">
        <v>11</v>
      </c>
      <c r="C42" s="299"/>
      <c r="D42" s="300">
        <f xml:space="preserve"> LEN(E42)</f>
        <v>60</v>
      </c>
      <c r="E42" s="806" t="str">
        <f xml:space="preserve"> _xlfn.CONCAT(D18:BK18)</f>
        <v>a!1qs2wxNEedYyhnRrfvc8uKj,ik9l*UJ&lt;I(Lmp/M0;Oobtgz'[5346]7.=-</v>
      </c>
      <c r="F42" s="803"/>
      <c r="G42" s="803"/>
      <c r="H42" s="803"/>
      <c r="I42" s="803"/>
      <c r="J42" s="803"/>
      <c r="K42" s="803"/>
      <c r="L42" s="803"/>
      <c r="M42" s="803"/>
      <c r="N42" s="803"/>
      <c r="O42" s="803"/>
      <c r="P42" s="803"/>
      <c r="Q42" s="803"/>
      <c r="R42" s="803"/>
      <c r="S42" s="803"/>
      <c r="T42" s="803"/>
      <c r="U42" s="803"/>
      <c r="V42" s="803"/>
      <c r="W42" s="803"/>
      <c r="X42" s="803"/>
      <c r="Y42" s="803"/>
      <c r="Z42" s="803"/>
      <c r="AA42" s="803"/>
      <c r="AB42" s="803"/>
      <c r="AC42" s="195"/>
      <c r="AD42" s="195"/>
      <c r="AE42" s="195">
        <f xml:space="preserve"> LEN(AF42)</f>
        <v>49</v>
      </c>
      <c r="AF42" s="806" t="str">
        <f>_xlfn.CONCAT(D18:AZ18)</f>
        <v>a!1qs2wxNEedYyhnRrfvc8uKj,ik9l*UJ&lt;I(Lmp/M0;Oobtgz</v>
      </c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195"/>
      <c r="BD42" s="195">
        <f xml:space="preserve"> LEN(BE42)</f>
        <v>8</v>
      </c>
      <c r="BE42" s="806" t="str">
        <f>_xlfn.CONCAT(BA18:BH18)</f>
        <v>'[5346]7</v>
      </c>
      <c r="BF42" s="803"/>
      <c r="BG42" s="806"/>
      <c r="BH42" s="803"/>
      <c r="BI42" s="806"/>
      <c r="BJ42" s="803"/>
      <c r="BK42" s="806"/>
      <c r="BL42" s="316"/>
      <c r="BM42" s="195"/>
      <c r="BN42" s="262">
        <f t="shared" si="0"/>
        <v>38</v>
      </c>
      <c r="BO42" s="838" t="str">
        <f>注音編碼對照表!E40</f>
        <v>M</v>
      </c>
      <c r="BP42" s="835" t="str">
        <f>注音編碼對照表!C40</f>
        <v>m</v>
      </c>
      <c r="BQ42" s="732" t="str">
        <f>注音編碼對照表!D40</f>
        <v>ㆬ</v>
      </c>
      <c r="BR42" s="839" t="str" cm="1">
        <f t="array" ref="BR42" xml:space="preserve"> INDEX(注音編碼對照表[閩拼方案], MATCH(TRUE, EXACT($BP42, 注音編碼對照表[鍵盤按鍵]), 0))</f>
        <v>m</v>
      </c>
      <c r="BS42" s="840" t="str" cm="1">
        <f t="array" ref="BS42" xml:space="preserve"> INDEX(注音編碼對照表[聲韻調], MATCH(TRUE, EXACT($BP42, 注音編碼對照表[鍵盤按鍵]), 0))</f>
        <v>韻</v>
      </c>
      <c r="BT42" s="841">
        <f t="shared" si="1"/>
        <v>1</v>
      </c>
      <c r="BV42" s="549" t="str">
        <f t="shared" si="11"/>
        <v xml:space="preserve">    "m": { commit: "ㆬ" }  # /m/ ==&gt; M</v>
      </c>
      <c r="BY42" s="263"/>
      <c r="CA42" s="808"/>
      <c r="CB42" s="734"/>
      <c r="CC42" s="732"/>
      <c r="CD42" s="113"/>
      <c r="CE42" s="733"/>
      <c r="CF42" s="735"/>
      <c r="CJ42" s="808"/>
      <c r="CK42" s="734"/>
      <c r="CL42" s="732"/>
      <c r="CM42" s="113"/>
      <c r="CN42" s="733"/>
      <c r="CO42" s="735"/>
      <c r="CS42" s="808"/>
      <c r="CT42" s="734"/>
      <c r="CU42" s="732"/>
      <c r="CV42" s="113"/>
      <c r="CW42" s="733"/>
      <c r="CX42" s="735"/>
      <c r="CZ42" s="698" t="str">
        <f t="shared" si="5"/>
        <v/>
      </c>
      <c r="DB42" s="808"/>
      <c r="DC42" s="734"/>
      <c r="DD42" s="732"/>
      <c r="DE42" s="113"/>
      <c r="DF42" s="733"/>
      <c r="DG42" s="735"/>
      <c r="DI42" s="698" t="str">
        <f t="shared" si="6"/>
        <v/>
      </c>
    </row>
    <row r="43" spans="1:113" ht="45" customHeight="1">
      <c r="A43" s="195"/>
      <c r="B43" s="303" t="str">
        <f xml:space="preserve"> "    - xlit|" &amp; E41 &amp; "|" &amp; E42 &amp; "|"</f>
        <v xml:space="preserve">    - xlit|mBbpndtlŋvgkZzcsJjCShaiwueOoIURDXEQxyMNGY@AWHPTKV176532809L*|a!1qs2wxNEedYyhnRrfvc8uKj,ik9l*UJ&lt;I(Lmp/M0;Oobtgz'[5346]7.=-|</v>
      </c>
      <c r="C43" s="304"/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  <c r="U43" s="304"/>
      <c r="V43" s="304"/>
      <c r="W43" s="304"/>
      <c r="X43" s="304"/>
      <c r="Y43" s="304"/>
      <c r="Z43" s="304"/>
      <c r="AA43" s="304"/>
      <c r="AB43" s="304"/>
      <c r="AC43" s="195"/>
      <c r="AD43" s="195"/>
      <c r="AE43" s="290"/>
      <c r="AF43" s="315" t="str">
        <f xml:space="preserve"> "    - xlit|" &amp; AF41 &amp; "|" &amp; AF42 &amp; "|"</f>
        <v xml:space="preserve">    - xlit|mBbpndtlŋvgkZzcsJjCShaiwueOoIURDXEQxyMNGY@AWHPTKV|a!1qs2wxNEedYyhnRrfvc8uKj,ik9l*UJ&lt;I(Lmp/M0;Oobtgz|</v>
      </c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195"/>
      <c r="BD43" s="195"/>
      <c r="BE43" s="315" t="str">
        <f xml:space="preserve"> "    - xlit|" &amp; BE41 &amp; "|" &amp; BE42 &amp; "|"</f>
        <v xml:space="preserve">    - xlit|17653280|'[5346]7|</v>
      </c>
      <c r="BF43" s="804"/>
      <c r="BG43" s="804"/>
      <c r="BH43" s="804"/>
      <c r="BI43" s="804"/>
      <c r="BJ43" s="804"/>
      <c r="BK43" s="804"/>
      <c r="BL43" s="316"/>
      <c r="BN43" s="262">
        <f t="shared" si="0"/>
        <v>39</v>
      </c>
      <c r="BO43" s="838" t="str">
        <f>注音編碼對照表!E41</f>
        <v>N</v>
      </c>
      <c r="BP43" s="835" t="str">
        <f>注音編碼對照表!C41</f>
        <v>p</v>
      </c>
      <c r="BQ43" s="732" t="str">
        <f>注音編碼對照表!D41</f>
        <v>ㄣ</v>
      </c>
      <c r="BR43" s="839" t="str" cm="1">
        <f t="array" ref="BR43" xml:space="preserve"> INDEX(注音編碼對照表[閩拼方案], MATCH(TRUE, EXACT($BP43, 注音編碼對照表[鍵盤按鍵]), 0))</f>
        <v>n</v>
      </c>
      <c r="BS43" s="840" t="str" cm="1">
        <f t="array" ref="BS43" xml:space="preserve"> INDEX(注音編碼對照表[聲韻調], MATCH(TRUE, EXACT($BP43, 注音編碼對照表[鍵盤按鍵]), 0))</f>
        <v>韻</v>
      </c>
      <c r="BT43" s="841">
        <f t="shared" si="1"/>
        <v>1</v>
      </c>
      <c r="BV43" s="549" t="str">
        <f t="shared" si="11"/>
        <v xml:space="preserve">    "p": { commit: "ㄣ" }  # /n/ ==&gt; N</v>
      </c>
      <c r="BY43" s="263"/>
      <c r="CA43" s="808"/>
      <c r="CB43" s="734"/>
      <c r="CC43" s="732"/>
      <c r="CD43" s="113"/>
      <c r="CE43" s="733"/>
      <c r="CF43" s="735"/>
      <c r="CJ43" s="808"/>
      <c r="CK43" s="734"/>
      <c r="CL43" s="732"/>
      <c r="CM43" s="113"/>
      <c r="CN43" s="733"/>
      <c r="CO43" s="735"/>
      <c r="CS43" s="808"/>
      <c r="CT43" s="734"/>
      <c r="CU43" s="732"/>
      <c r="CV43" s="113"/>
      <c r="CW43" s="733"/>
      <c r="CX43" s="735"/>
      <c r="CZ43" s="698" t="str">
        <f t="shared" si="5"/>
        <v/>
      </c>
      <c r="DB43" s="808"/>
      <c r="DC43" s="734"/>
      <c r="DD43" s="732"/>
      <c r="DE43" s="113"/>
      <c r="DF43" s="733"/>
      <c r="DG43" s="735"/>
      <c r="DI43" s="698" t="str">
        <f t="shared" si="6"/>
        <v/>
      </c>
    </row>
    <row r="44" spans="1:113" ht="45" customHeight="1">
      <c r="A44" s="249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0"/>
        <v>40</v>
      </c>
      <c r="BO44" s="838" t="str">
        <f>注音編碼對照表!E42</f>
        <v>G</v>
      </c>
      <c r="BP44" s="835" t="str">
        <f>注音編碼對照表!C42</f>
        <v>/</v>
      </c>
      <c r="BQ44" s="732" t="str">
        <f>注音編碼對照表!D42</f>
        <v>ㆭ</v>
      </c>
      <c r="BR44" s="839" t="str" cm="1">
        <f t="array" ref="BR44" xml:space="preserve"> INDEX(注音編碼對照表[閩拼方案], MATCH(TRUE, EXACT($BP44, 注音編碼對照表[鍵盤按鍵]), 0))</f>
        <v>ng</v>
      </c>
      <c r="BS44" s="840" t="str" cm="1">
        <f t="array" ref="BS44" xml:space="preserve"> INDEX(注音編碼對照表[聲韻調], MATCH(TRUE, EXACT($BP44, 注音編碼對照表[鍵盤按鍵]), 0))</f>
        <v>韻</v>
      </c>
      <c r="BT44" s="841">
        <f t="shared" si="1"/>
        <v>2</v>
      </c>
      <c r="BV44" s="549" t="str">
        <f t="shared" si="11"/>
        <v xml:space="preserve">    "/": { commit: "ㆭ" }  # /ng/ ==&gt; G</v>
      </c>
      <c r="BY44" s="263"/>
      <c r="CA44" s="808"/>
      <c r="CB44" s="734"/>
      <c r="CC44" s="732"/>
      <c r="CD44" s="113"/>
      <c r="CE44" s="733"/>
      <c r="CF44" s="735"/>
      <c r="CJ44" s="808"/>
      <c r="CK44" s="734"/>
      <c r="CL44" s="732"/>
      <c r="CM44" s="113"/>
      <c r="CN44" s="733"/>
      <c r="CO44" s="735"/>
      <c r="CS44" s="808"/>
      <c r="CT44" s="734"/>
      <c r="CU44" s="732"/>
      <c r="CV44" s="113"/>
      <c r="CW44" s="733"/>
      <c r="CX44" s="735"/>
      <c r="CZ44" s="698" t="str">
        <f t="shared" si="5"/>
        <v/>
      </c>
      <c r="DB44" s="808"/>
      <c r="DC44" s="734"/>
      <c r="DD44" s="732"/>
      <c r="DE44" s="113"/>
      <c r="DF44" s="733"/>
      <c r="DG44" s="735"/>
      <c r="DI44" s="698" t="str">
        <f t="shared" si="6"/>
        <v/>
      </c>
    </row>
    <row r="45" spans="1:113" ht="45" customHeight="1">
      <c r="BL45" s="316"/>
      <c r="BN45" s="262">
        <f t="shared" si="0"/>
        <v>41</v>
      </c>
      <c r="BO45" s="838" t="str">
        <f>注音編碼對照表!E43</f>
        <v>Y</v>
      </c>
      <c r="BP45" s="835" t="str">
        <f>注音編碼對照表!C43</f>
        <v>M</v>
      </c>
      <c r="BQ45" s="732" t="str">
        <f>注音編碼對照表!D43</f>
        <v>ㆰ</v>
      </c>
      <c r="BR45" s="839" t="str" cm="1">
        <f t="array" ref="BR45" xml:space="preserve"> INDEX(注音編碼對照表[閩拼方案], MATCH(TRUE, EXACT($BP45, 注音編碼對照表[鍵盤按鍵]), 0))</f>
        <v>am</v>
      </c>
      <c r="BS45" s="840" t="str" cm="1">
        <f t="array" ref="BS45" xml:space="preserve"> INDEX(注音編碼對照表[聲韻調], MATCH(TRUE, EXACT($BP45, 注音編碼對照表[鍵盤按鍵]), 0))</f>
        <v>韻</v>
      </c>
      <c r="BT45" s="841">
        <f t="shared" si="1"/>
        <v>2</v>
      </c>
      <c r="BV45" s="549" t="str">
        <f t="shared" si="11"/>
        <v xml:space="preserve">    "M": { commit: "ㆰ" }  # /am/ ==&gt; Y</v>
      </c>
      <c r="BY45" s="263"/>
      <c r="CA45" s="808"/>
      <c r="CB45" s="734"/>
      <c r="CC45" s="732"/>
      <c r="CD45" s="113"/>
      <c r="CE45" s="733"/>
      <c r="CF45" s="735"/>
      <c r="CJ45" s="808"/>
      <c r="CK45" s="734"/>
      <c r="CL45" s="732"/>
      <c r="CM45" s="113"/>
      <c r="CN45" s="733"/>
      <c r="CO45" s="735"/>
      <c r="CS45" s="808"/>
      <c r="CT45" s="734"/>
      <c r="CU45" s="732"/>
      <c r="CV45" s="113"/>
      <c r="CW45" s="733"/>
      <c r="CX45" s="735"/>
      <c r="CZ45" s="698" t="str">
        <f t="shared" si="5"/>
        <v/>
      </c>
      <c r="DB45" s="808"/>
      <c r="DC45" s="734"/>
      <c r="DD45" s="732"/>
      <c r="DE45" s="113"/>
      <c r="DF45" s="733"/>
      <c r="DG45" s="735"/>
      <c r="DI45" s="698" t="str">
        <f t="shared" si="6"/>
        <v/>
      </c>
    </row>
    <row r="46" spans="1:113" ht="45" customHeight="1">
      <c r="B46" s="753">
        <v>1</v>
      </c>
      <c r="C46" s="753">
        <v>2</v>
      </c>
      <c r="D46" s="753">
        <v>3</v>
      </c>
      <c r="E46" s="753">
        <v>4</v>
      </c>
      <c r="F46" s="753">
        <v>5</v>
      </c>
      <c r="G46" s="753">
        <v>6</v>
      </c>
      <c r="H46" s="753">
        <v>7</v>
      </c>
      <c r="I46" s="753">
        <v>8</v>
      </c>
      <c r="J46" s="753">
        <v>9</v>
      </c>
      <c r="K46" s="753">
        <v>10</v>
      </c>
      <c r="L46" s="753">
        <v>11</v>
      </c>
      <c r="M46" s="753">
        <v>12</v>
      </c>
      <c r="N46" s="753">
        <v>13</v>
      </c>
      <c r="O46" s="753">
        <v>14</v>
      </c>
      <c r="P46" s="753">
        <v>15</v>
      </c>
      <c r="Q46" s="753">
        <v>16</v>
      </c>
      <c r="R46" s="753">
        <v>17</v>
      </c>
      <c r="S46" s="754">
        <v>18</v>
      </c>
      <c r="T46" s="753">
        <v>19</v>
      </c>
      <c r="U46" s="753">
        <v>20</v>
      </c>
      <c r="V46" s="753">
        <v>21</v>
      </c>
      <c r="W46" s="753">
        <v>22</v>
      </c>
      <c r="X46" s="753">
        <v>23</v>
      </c>
      <c r="Y46" s="753">
        <v>24</v>
      </c>
      <c r="Z46" s="753">
        <v>25</v>
      </c>
      <c r="AA46" s="753">
        <v>26</v>
      </c>
      <c r="AB46" s="753">
        <v>27</v>
      </c>
      <c r="AC46" s="753">
        <v>28</v>
      </c>
      <c r="AD46" s="753">
        <v>29</v>
      </c>
      <c r="AE46" s="753">
        <v>30</v>
      </c>
      <c r="AF46" s="753">
        <v>31</v>
      </c>
      <c r="AG46" s="753">
        <v>32</v>
      </c>
      <c r="AH46" s="755">
        <v>33</v>
      </c>
      <c r="AI46" s="755">
        <v>34</v>
      </c>
      <c r="AJ46" s="755">
        <v>35</v>
      </c>
      <c r="AK46" s="755">
        <v>36</v>
      </c>
      <c r="AL46" s="756">
        <v>37</v>
      </c>
      <c r="AM46" s="755">
        <v>38</v>
      </c>
      <c r="AN46" s="755">
        <v>39</v>
      </c>
      <c r="AO46" s="755">
        <v>40</v>
      </c>
      <c r="AP46" s="755">
        <v>41</v>
      </c>
      <c r="AQ46" s="755">
        <v>42</v>
      </c>
      <c r="AR46" s="755">
        <v>43</v>
      </c>
      <c r="AS46" s="755">
        <v>44</v>
      </c>
      <c r="AT46" s="755">
        <v>45</v>
      </c>
      <c r="AU46" s="755">
        <v>46</v>
      </c>
      <c r="AV46" s="755">
        <v>47</v>
      </c>
      <c r="AW46" s="755">
        <v>48</v>
      </c>
      <c r="AX46" s="755">
        <v>49</v>
      </c>
      <c r="AY46" s="755">
        <v>50</v>
      </c>
      <c r="AZ46" s="755">
        <v>51</v>
      </c>
      <c r="BA46" s="755">
        <v>52</v>
      </c>
      <c r="BB46" s="755">
        <v>53</v>
      </c>
      <c r="BC46" s="755">
        <v>54</v>
      </c>
      <c r="BD46" s="755">
        <v>55</v>
      </c>
      <c r="BE46" s="755">
        <v>56</v>
      </c>
      <c r="BF46" s="755">
        <v>57</v>
      </c>
      <c r="BG46" s="755">
        <v>58</v>
      </c>
      <c r="BH46" s="755">
        <v>59</v>
      </c>
      <c r="BI46" s="755">
        <v>60</v>
      </c>
      <c r="BJ46" s="316"/>
      <c r="BK46" s="316"/>
      <c r="BL46" s="316"/>
      <c r="BN46" s="262">
        <f t="shared" si="0"/>
        <v>42</v>
      </c>
      <c r="BO46" s="838" t="str">
        <f>注音編碼對照表!E44</f>
        <v>@</v>
      </c>
      <c r="BP46" s="835" t="str">
        <f>注音編碼對照表!C44</f>
        <v>0</v>
      </c>
      <c r="BQ46" s="732" t="str">
        <f>注音編碼對照表!D44</f>
        <v>ㄢ</v>
      </c>
      <c r="BR46" s="839" t="str" cm="1">
        <f t="array" ref="BR46" xml:space="preserve"> INDEX(注音編碼對照表[閩拼方案], MATCH(TRUE, EXACT($BP46, 注音編碼對照表[鍵盤按鍵]), 0))</f>
        <v>an</v>
      </c>
      <c r="BS46" s="840" t="str" cm="1">
        <f t="array" ref="BS46" xml:space="preserve"> INDEX(注音編碼對照表[聲韻調], MATCH(TRUE, EXACT($BP46, 注音編碼對照表[鍵盤按鍵]), 0))</f>
        <v>韻</v>
      </c>
      <c r="BT46" s="841">
        <f t="shared" si="1"/>
        <v>2</v>
      </c>
      <c r="BV46" s="549" t="str">
        <f t="shared" si="11"/>
        <v xml:space="preserve">    "0": { commit: "ㄢ" }  # /an/ ==&gt; @</v>
      </c>
      <c r="BY46" s="263"/>
      <c r="CA46" s="808"/>
      <c r="CB46" s="734"/>
      <c r="CC46" s="732"/>
      <c r="CD46" s="113"/>
      <c r="CE46" s="733"/>
      <c r="CF46" s="735"/>
      <c r="CJ46" s="808"/>
      <c r="CK46" s="734"/>
      <c r="CL46" s="732"/>
      <c r="CM46" s="113"/>
      <c r="CN46" s="733"/>
      <c r="CO46" s="735"/>
      <c r="CS46" s="808"/>
      <c r="CT46" s="734"/>
      <c r="CU46" s="732"/>
      <c r="CV46" s="113"/>
      <c r="CW46" s="733"/>
      <c r="CX46" s="735"/>
      <c r="CZ46" s="698" t="str">
        <f t="shared" si="5"/>
        <v/>
      </c>
      <c r="DB46" s="808"/>
      <c r="DC46" s="734"/>
      <c r="DD46" s="732"/>
      <c r="DE46" s="113"/>
      <c r="DF46" s="733"/>
      <c r="DG46" s="735"/>
      <c r="DI46" s="698" t="str">
        <f t="shared" si="6"/>
        <v/>
      </c>
    </row>
    <row r="47" spans="1:113" ht="45" customHeight="1">
      <c r="B47" s="770" t="str">
        <f xml:space="preserve"> MID($E$41, B$46, 1)</f>
        <v>m</v>
      </c>
      <c r="C47" s="770" t="str">
        <f t="shared" ref="C47:BI47" si="12" xml:space="preserve"> MID($E$41, C$46, 1)</f>
        <v>B</v>
      </c>
      <c r="D47" s="770" t="str">
        <f t="shared" si="12"/>
        <v>b</v>
      </c>
      <c r="E47" s="770" t="str">
        <f t="shared" si="12"/>
        <v>p</v>
      </c>
      <c r="F47" s="770" t="str">
        <f t="shared" si="12"/>
        <v>n</v>
      </c>
      <c r="G47" s="770" t="str">
        <f t="shared" si="12"/>
        <v>d</v>
      </c>
      <c r="H47" s="770" t="str">
        <f t="shared" si="12"/>
        <v>t</v>
      </c>
      <c r="I47" s="770" t="str">
        <f t="shared" si="12"/>
        <v>l</v>
      </c>
      <c r="J47" s="770" t="str">
        <f t="shared" si="12"/>
        <v>ŋ</v>
      </c>
      <c r="K47" s="770" t="str">
        <f t="shared" si="12"/>
        <v>v</v>
      </c>
      <c r="L47" s="770" t="str">
        <f t="shared" si="12"/>
        <v>g</v>
      </c>
      <c r="M47" s="770" t="str">
        <f t="shared" si="12"/>
        <v>k</v>
      </c>
      <c r="N47" s="770" t="str">
        <f t="shared" si="12"/>
        <v>Z</v>
      </c>
      <c r="O47" s="770" t="str">
        <f t="shared" si="12"/>
        <v>z</v>
      </c>
      <c r="P47" s="770" t="str">
        <f t="shared" si="12"/>
        <v>c</v>
      </c>
      <c r="Q47" s="770" t="str">
        <f t="shared" si="12"/>
        <v>s</v>
      </c>
      <c r="R47" s="770" t="str">
        <f t="shared" si="12"/>
        <v>J</v>
      </c>
      <c r="S47" s="770" t="str">
        <f t="shared" si="12"/>
        <v>j</v>
      </c>
      <c r="T47" s="770" t="str">
        <f t="shared" si="12"/>
        <v>C</v>
      </c>
      <c r="U47" s="770" t="str">
        <f t="shared" si="12"/>
        <v>S</v>
      </c>
      <c r="V47" s="770" t="str">
        <f t="shared" si="12"/>
        <v>h</v>
      </c>
      <c r="W47" s="770" t="str">
        <f t="shared" si="12"/>
        <v>a</v>
      </c>
      <c r="X47" s="770" t="str">
        <f t="shared" si="12"/>
        <v>i</v>
      </c>
      <c r="Y47" s="770" t="str">
        <f t="shared" si="12"/>
        <v>w</v>
      </c>
      <c r="Z47" s="770" t="str">
        <f t="shared" si="12"/>
        <v>u</v>
      </c>
      <c r="AA47" s="770" t="str">
        <f t="shared" si="12"/>
        <v>e</v>
      </c>
      <c r="AB47" s="770" t="str">
        <f t="shared" si="12"/>
        <v>O</v>
      </c>
      <c r="AC47" s="770" t="str">
        <f t="shared" si="12"/>
        <v>o</v>
      </c>
      <c r="AD47" s="770" t="str">
        <f t="shared" si="12"/>
        <v>I</v>
      </c>
      <c r="AE47" s="770" t="str">
        <f t="shared" si="12"/>
        <v>U</v>
      </c>
      <c r="AF47" s="770" t="str">
        <f t="shared" si="12"/>
        <v>R</v>
      </c>
      <c r="AG47" s="770" t="str">
        <f t="shared" si="12"/>
        <v>D</v>
      </c>
      <c r="AH47" s="770" t="str">
        <f t="shared" si="12"/>
        <v>X</v>
      </c>
      <c r="AI47" s="770" t="str">
        <f t="shared" si="12"/>
        <v>E</v>
      </c>
      <c r="AJ47" s="770" t="str">
        <f t="shared" si="12"/>
        <v>Q</v>
      </c>
      <c r="AK47" s="770" t="str">
        <f t="shared" si="12"/>
        <v>x</v>
      </c>
      <c r="AL47" s="770" t="str">
        <f t="shared" si="12"/>
        <v>y</v>
      </c>
      <c r="AM47" s="770" t="str">
        <f t="shared" si="12"/>
        <v>M</v>
      </c>
      <c r="AN47" s="770" t="str">
        <f t="shared" si="12"/>
        <v>N</v>
      </c>
      <c r="AO47" s="770" t="str">
        <f t="shared" si="12"/>
        <v>G</v>
      </c>
      <c r="AP47" s="770" t="str">
        <f t="shared" si="12"/>
        <v>Y</v>
      </c>
      <c r="AQ47" s="770" t="str">
        <f t="shared" si="12"/>
        <v>@</v>
      </c>
      <c r="AR47" s="770" t="str">
        <f t="shared" si="12"/>
        <v>A</v>
      </c>
      <c r="AS47" s="770" t="str">
        <f t="shared" si="12"/>
        <v>W</v>
      </c>
      <c r="AT47" s="770" t="str">
        <f t="shared" si="12"/>
        <v>H</v>
      </c>
      <c r="AU47" s="770" t="str">
        <f t="shared" si="12"/>
        <v>P</v>
      </c>
      <c r="AV47" s="770" t="str">
        <f t="shared" si="12"/>
        <v>T</v>
      </c>
      <c r="AW47" s="770" t="str">
        <f t="shared" si="12"/>
        <v>K</v>
      </c>
      <c r="AX47" s="770" t="str">
        <f t="shared" si="12"/>
        <v>V</v>
      </c>
      <c r="AY47" s="770" t="str">
        <f t="shared" si="12"/>
        <v>1</v>
      </c>
      <c r="AZ47" s="770" t="str">
        <f t="shared" si="12"/>
        <v>7</v>
      </c>
      <c r="BA47" s="770" t="str">
        <f t="shared" si="12"/>
        <v>6</v>
      </c>
      <c r="BB47" s="770" t="str">
        <f t="shared" si="12"/>
        <v>5</v>
      </c>
      <c r="BC47" s="770" t="str">
        <f t="shared" si="12"/>
        <v>3</v>
      </c>
      <c r="BD47" s="770" t="str">
        <f t="shared" si="12"/>
        <v>2</v>
      </c>
      <c r="BE47" s="770" t="str">
        <f t="shared" si="12"/>
        <v>8</v>
      </c>
      <c r="BF47" s="770" t="str">
        <f t="shared" si="12"/>
        <v>0</v>
      </c>
      <c r="BG47" s="770" t="str">
        <f t="shared" si="12"/>
        <v>9</v>
      </c>
      <c r="BH47" s="770" t="str">
        <f t="shared" si="12"/>
        <v>L</v>
      </c>
      <c r="BI47" s="770" t="str">
        <f t="shared" si="12"/>
        <v>*</v>
      </c>
      <c r="BJ47" s="316"/>
      <c r="BK47" s="316"/>
      <c r="BL47" s="316"/>
      <c r="BN47" s="262">
        <f t="shared" si="0"/>
        <v>43</v>
      </c>
      <c r="BO47" s="838" t="str">
        <f>注音編碼對照表!E45</f>
        <v>A</v>
      </c>
      <c r="BP47" s="835" t="str">
        <f>注音編碼對照表!C45</f>
        <v>;</v>
      </c>
      <c r="BQ47" s="732" t="str">
        <f>注音編碼對照表!D45</f>
        <v>ㄤ</v>
      </c>
      <c r="BR47" s="839" t="str" cm="1">
        <f t="array" ref="BR47" xml:space="preserve"> INDEX(注音編碼對照表[閩拼方案], MATCH(TRUE, EXACT($BP47, 注音編碼對照表[鍵盤按鍵]), 0))</f>
        <v>ang</v>
      </c>
      <c r="BS47" s="840" t="str" cm="1">
        <f t="array" ref="BS47" xml:space="preserve"> INDEX(注音編碼對照表[聲韻調], MATCH(TRUE, EXACT($BP47, 注音編碼對照表[鍵盤按鍵]), 0))</f>
        <v>韻</v>
      </c>
      <c r="BT47" s="841">
        <f t="shared" si="1"/>
        <v>3</v>
      </c>
      <c r="BV47" s="549" t="str">
        <f t="shared" si="11"/>
        <v xml:space="preserve">    ";": { commit: "ㄤ" }  # /ang/ ==&gt; A</v>
      </c>
      <c r="CA47" s="808"/>
      <c r="CB47" s="734"/>
      <c r="CC47" s="732"/>
      <c r="CD47" s="113"/>
      <c r="CE47" s="733"/>
      <c r="CF47" s="735"/>
      <c r="CJ47" s="808"/>
      <c r="CK47" s="734"/>
      <c r="CL47" s="732"/>
      <c r="CM47" s="113"/>
      <c r="CN47" s="733"/>
      <c r="CO47" s="735"/>
      <c r="CS47" s="808"/>
      <c r="CT47" s="734"/>
      <c r="CU47" s="732"/>
      <c r="CV47" s="113"/>
      <c r="CW47" s="733"/>
      <c r="CX47" s="735"/>
      <c r="CZ47" s="698" t="str">
        <f t="shared" si="5"/>
        <v/>
      </c>
      <c r="DB47" s="808"/>
      <c r="DC47" s="734"/>
      <c r="DD47" s="732"/>
      <c r="DE47" s="113"/>
      <c r="DF47" s="733"/>
      <c r="DG47" s="735"/>
      <c r="DI47" s="698" t="str">
        <f t="shared" si="6"/>
        <v/>
      </c>
    </row>
    <row r="48" spans="1:113" ht="45" customHeight="1">
      <c r="B48" s="767" t="str">
        <f xml:space="preserve"> MID($E$42, B$46, 1)</f>
        <v>a</v>
      </c>
      <c r="C48" s="767" t="str">
        <f t="shared" ref="C48:BI48" si="13" xml:space="preserve"> MID($E$42, C$46, 1)</f>
        <v>!</v>
      </c>
      <c r="D48" s="767" t="str">
        <f t="shared" si="13"/>
        <v>1</v>
      </c>
      <c r="E48" s="767" t="str">
        <f t="shared" si="13"/>
        <v>q</v>
      </c>
      <c r="F48" s="767" t="str">
        <f t="shared" si="13"/>
        <v>s</v>
      </c>
      <c r="G48" s="767" t="str">
        <f t="shared" si="13"/>
        <v>2</v>
      </c>
      <c r="H48" s="767" t="str">
        <f t="shared" si="13"/>
        <v>w</v>
      </c>
      <c r="I48" s="767" t="str">
        <f t="shared" si="13"/>
        <v>x</v>
      </c>
      <c r="J48" s="767" t="str">
        <f t="shared" si="13"/>
        <v>N</v>
      </c>
      <c r="K48" s="767" t="str">
        <f t="shared" si="13"/>
        <v>E</v>
      </c>
      <c r="L48" s="767" t="str">
        <f t="shared" si="13"/>
        <v>e</v>
      </c>
      <c r="M48" s="767" t="str">
        <f t="shared" si="13"/>
        <v>d</v>
      </c>
      <c r="N48" s="767" t="str">
        <f t="shared" si="13"/>
        <v>Y</v>
      </c>
      <c r="O48" s="767" t="str">
        <f t="shared" si="13"/>
        <v>y</v>
      </c>
      <c r="P48" s="767" t="str">
        <f t="shared" si="13"/>
        <v>h</v>
      </c>
      <c r="Q48" s="767" t="str">
        <f t="shared" si="13"/>
        <v>n</v>
      </c>
      <c r="R48" s="767" t="str">
        <f t="shared" si="13"/>
        <v>R</v>
      </c>
      <c r="S48" s="767" t="str">
        <f t="shared" si="13"/>
        <v>r</v>
      </c>
      <c r="T48" s="767" t="str">
        <f t="shared" si="13"/>
        <v>f</v>
      </c>
      <c r="U48" s="767" t="str">
        <f t="shared" si="13"/>
        <v>v</v>
      </c>
      <c r="V48" s="767" t="str">
        <f t="shared" si="13"/>
        <v>c</v>
      </c>
      <c r="W48" s="767" t="str">
        <f t="shared" si="13"/>
        <v>8</v>
      </c>
      <c r="X48" s="767" t="str">
        <f t="shared" si="13"/>
        <v>u</v>
      </c>
      <c r="Y48" s="767" t="str">
        <f t="shared" si="13"/>
        <v>K</v>
      </c>
      <c r="Z48" s="767" t="str">
        <f t="shared" si="13"/>
        <v>j</v>
      </c>
      <c r="AA48" s="767" t="str">
        <f t="shared" si="13"/>
        <v>,</v>
      </c>
      <c r="AB48" s="767" t="str">
        <f t="shared" si="13"/>
        <v>i</v>
      </c>
      <c r="AC48" s="767" t="str">
        <f t="shared" si="13"/>
        <v>k</v>
      </c>
      <c r="AD48" s="767" t="str">
        <f t="shared" si="13"/>
        <v>9</v>
      </c>
      <c r="AE48" s="767" t="str">
        <f t="shared" si="13"/>
        <v>l</v>
      </c>
      <c r="AF48" s="767" t="str">
        <f t="shared" si="13"/>
        <v>*</v>
      </c>
      <c r="AG48" s="767" t="str">
        <f t="shared" si="13"/>
        <v>U</v>
      </c>
      <c r="AH48" s="767" t="str">
        <f t="shared" si="13"/>
        <v>J</v>
      </c>
      <c r="AI48" s="767" t="str">
        <f t="shared" si="13"/>
        <v>&lt;</v>
      </c>
      <c r="AJ48" s="767" t="str">
        <f t="shared" si="13"/>
        <v>I</v>
      </c>
      <c r="AK48" s="767" t="str">
        <f t="shared" si="13"/>
        <v>(</v>
      </c>
      <c r="AL48" s="767" t="str">
        <f t="shared" si="13"/>
        <v>L</v>
      </c>
      <c r="AM48" s="767" t="str">
        <f t="shared" si="13"/>
        <v>m</v>
      </c>
      <c r="AN48" s="767" t="str">
        <f t="shared" si="13"/>
        <v>p</v>
      </c>
      <c r="AO48" s="767" t="str">
        <f t="shared" si="13"/>
        <v>/</v>
      </c>
      <c r="AP48" s="767" t="str">
        <f t="shared" si="13"/>
        <v>M</v>
      </c>
      <c r="AQ48" s="767" t="str">
        <f t="shared" si="13"/>
        <v>0</v>
      </c>
      <c r="AR48" s="767" t="str">
        <f t="shared" si="13"/>
        <v>;</v>
      </c>
      <c r="AS48" s="767" t="str">
        <f t="shared" si="13"/>
        <v>O</v>
      </c>
      <c r="AT48" s="767" t="str">
        <f t="shared" si="13"/>
        <v>o</v>
      </c>
      <c r="AU48" s="767" t="str">
        <f t="shared" si="13"/>
        <v>b</v>
      </c>
      <c r="AV48" s="767" t="str">
        <f t="shared" si="13"/>
        <v>t</v>
      </c>
      <c r="AW48" s="767" t="str">
        <f t="shared" si="13"/>
        <v>g</v>
      </c>
      <c r="AX48" s="767" t="str">
        <f t="shared" si="13"/>
        <v>z</v>
      </c>
      <c r="AY48" s="767" t="str">
        <f t="shared" si="13"/>
        <v>'</v>
      </c>
      <c r="AZ48" s="767" t="str">
        <f t="shared" si="13"/>
        <v>[</v>
      </c>
      <c r="BA48" s="767" t="str">
        <f t="shared" si="13"/>
        <v>5</v>
      </c>
      <c r="BB48" s="767" t="str">
        <f t="shared" si="13"/>
        <v>3</v>
      </c>
      <c r="BC48" s="767" t="str">
        <f t="shared" si="13"/>
        <v>4</v>
      </c>
      <c r="BD48" s="767" t="str">
        <f t="shared" si="13"/>
        <v>6</v>
      </c>
      <c r="BE48" s="767" t="str">
        <f t="shared" si="13"/>
        <v>]</v>
      </c>
      <c r="BF48" s="767" t="str">
        <f t="shared" si="13"/>
        <v>7</v>
      </c>
      <c r="BG48" s="767" t="str">
        <f t="shared" si="13"/>
        <v>.</v>
      </c>
      <c r="BH48" s="767" t="str">
        <f t="shared" si="13"/>
        <v>=</v>
      </c>
      <c r="BI48" s="767" t="str">
        <f t="shared" si="13"/>
        <v>-</v>
      </c>
      <c r="BJ48" s="316"/>
      <c r="BK48" s="316"/>
      <c r="BL48" s="316"/>
      <c r="BN48" s="262">
        <f t="shared" si="0"/>
        <v>44</v>
      </c>
      <c r="BO48" s="838" t="str">
        <f>注音編碼對照表!E46</f>
        <v>W</v>
      </c>
      <c r="BP48" s="835" t="str">
        <f>注音編碼對照表!C46</f>
        <v>O</v>
      </c>
      <c r="BQ48" s="732" t="str">
        <f>注音編碼對照表!D46</f>
        <v>ㆱ</v>
      </c>
      <c r="BR48" s="839" t="str" cm="1">
        <f t="array" ref="BR48" xml:space="preserve"> INDEX(注音編碼對照表[閩拼方案], MATCH(TRUE, EXACT($BP48, 注音編碼對照表[鍵盤按鍵]), 0))</f>
        <v>om</v>
      </c>
      <c r="BS48" s="840" t="str" cm="1">
        <f t="array" ref="BS48" xml:space="preserve"> INDEX(注音編碼對照表[聲韻調], MATCH(TRUE, EXACT($BP48, 注音編碼對照表[鍵盤按鍵]), 0))</f>
        <v>韻</v>
      </c>
      <c r="BT48" s="841">
        <f t="shared" si="1"/>
        <v>2</v>
      </c>
      <c r="BV48" s="549" t="str">
        <f t="shared" si="11"/>
        <v xml:space="preserve">    "O": { commit: "ㆱ" }  # /om/ ==&gt; W</v>
      </c>
      <c r="CA48" s="808"/>
      <c r="CB48" s="734"/>
      <c r="CC48" s="732"/>
      <c r="CD48" s="113"/>
      <c r="CE48" s="733"/>
      <c r="CF48" s="735"/>
      <c r="CJ48" s="808"/>
      <c r="CK48" s="734"/>
      <c r="CL48" s="732"/>
      <c r="CM48" s="113"/>
      <c r="CN48" s="733"/>
      <c r="CO48" s="735"/>
      <c r="CS48" s="808"/>
      <c r="CT48" s="734"/>
      <c r="CU48" s="732"/>
      <c r="CV48" s="113"/>
      <c r="CW48" s="733"/>
      <c r="CX48" s="735"/>
      <c r="CZ48" s="698" t="str">
        <f t="shared" si="5"/>
        <v/>
      </c>
      <c r="DB48" s="808"/>
      <c r="DC48" s="734"/>
      <c r="DD48" s="732"/>
      <c r="DE48" s="113"/>
      <c r="DF48" s="733"/>
      <c r="DG48" s="735"/>
      <c r="DI48" s="698" t="str">
        <f t="shared" si="6"/>
        <v/>
      </c>
    </row>
    <row r="49" spans="1:113" ht="45" customHeight="1"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0"/>
        <v>45</v>
      </c>
      <c r="BO49" s="838" t="str">
        <f>注音編碼對照表!E47</f>
        <v>H</v>
      </c>
      <c r="BP49" s="835" t="str">
        <f>注音編碼對照表!C47</f>
        <v>o</v>
      </c>
      <c r="BQ49" s="732" t="str">
        <f>注音編碼對照表!D47</f>
        <v>ㆲ</v>
      </c>
      <c r="BR49" s="839" t="str" cm="1">
        <f t="array" ref="BR49" xml:space="preserve"> INDEX(注音編碼對照表[閩拼方案], MATCH(TRUE, EXACT($BP49, 注音編碼對照表[鍵盤按鍵]), 0))</f>
        <v>ong</v>
      </c>
      <c r="BS49" s="840" t="str" cm="1">
        <f t="array" ref="BS49" xml:space="preserve"> INDEX(注音編碼對照表[聲韻調], MATCH(TRUE, EXACT($BP49, 注音編碼對照表[鍵盤按鍵]), 0))</f>
        <v>韻</v>
      </c>
      <c r="BT49" s="841">
        <f t="shared" si="1"/>
        <v>3</v>
      </c>
      <c r="BV49" s="549" t="str">
        <f t="shared" si="11"/>
        <v xml:space="preserve">    "o": { commit: "ㆲ" }  # /ong/ ==&gt; H</v>
      </c>
      <c r="CA49" s="808"/>
      <c r="CB49" s="734"/>
      <c r="CC49" s="732"/>
      <c r="CD49" s="113"/>
      <c r="CE49" s="733"/>
      <c r="CF49" s="735"/>
      <c r="CJ49" s="808"/>
      <c r="CK49" s="734"/>
      <c r="CL49" s="732"/>
      <c r="CM49" s="113"/>
      <c r="CN49" s="733"/>
      <c r="CO49" s="735"/>
      <c r="CS49" s="808"/>
      <c r="CT49" s="734"/>
      <c r="CU49" s="732"/>
      <c r="CV49" s="113"/>
      <c r="CW49" s="733"/>
      <c r="CX49" s="735"/>
      <c r="CZ49" s="698" t="str">
        <f t="shared" si="5"/>
        <v/>
      </c>
      <c r="DB49" s="808"/>
      <c r="DC49" s="734"/>
      <c r="DD49" s="732"/>
      <c r="DE49" s="113"/>
      <c r="DF49" s="733"/>
      <c r="DG49" s="735"/>
      <c r="DI49" s="698" t="str">
        <f t="shared" si="6"/>
        <v/>
      </c>
    </row>
    <row r="50" spans="1:113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290"/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0"/>
        <v>46</v>
      </c>
      <c r="BO50" s="838" t="str">
        <f>注音編碼對照表!E48</f>
        <v>P</v>
      </c>
      <c r="BP50" s="835" t="str">
        <f>注音編碼對照表!C48</f>
        <v>b</v>
      </c>
      <c r="BQ50" s="732" t="str">
        <f>注音編碼對照表!D48</f>
        <v>ㆴ</v>
      </c>
      <c r="BR50" s="839" t="str" cm="1">
        <f t="array" ref="BR50" xml:space="preserve"> INDEX(注音編碼對照表[閩拼方案], MATCH(TRUE, EXACT($BP50, 注音編碼對照表[鍵盤按鍵]), 0))</f>
        <v>p</v>
      </c>
      <c r="BS50" s="840" t="str" cm="1">
        <f t="array" ref="BS50" xml:space="preserve"> INDEX(注音編碼對照表[聲韻調], MATCH(TRUE, EXACT($BP50, 注音編碼對照表[鍵盤按鍵]), 0))</f>
        <v>韻尾</v>
      </c>
      <c r="BT50" s="841">
        <f t="shared" si="1"/>
        <v>1</v>
      </c>
      <c r="BV50" s="549" t="str">
        <f t="shared" si="11"/>
        <v xml:space="preserve">    "b": { commit: "ㆴ" }  # /p/ ==&gt; P</v>
      </c>
      <c r="CA50" s="808"/>
      <c r="CB50" s="734"/>
      <c r="CC50" s="732"/>
      <c r="CD50" s="113"/>
      <c r="CE50" s="733"/>
      <c r="CF50" s="735"/>
      <c r="CJ50" s="808"/>
      <c r="CK50" s="734"/>
      <c r="CL50" s="732"/>
      <c r="CM50" s="113"/>
      <c r="CN50" s="733"/>
      <c r="CO50" s="735"/>
      <c r="CS50" s="808"/>
      <c r="CT50" s="734"/>
      <c r="CU50" s="732"/>
      <c r="CV50" s="113"/>
      <c r="CW50" s="733"/>
      <c r="CX50" s="735"/>
      <c r="CZ50" s="698" t="str">
        <f t="shared" si="5"/>
        <v/>
      </c>
      <c r="DB50" s="808"/>
      <c r="DC50" s="734"/>
      <c r="DD50" s="732"/>
      <c r="DE50" s="113"/>
      <c r="DF50" s="733"/>
      <c r="DG50" s="735"/>
      <c r="DI50" s="698" t="str">
        <f t="shared" si="6"/>
        <v/>
      </c>
    </row>
    <row r="51" spans="1:113" ht="45" customHeight="1">
      <c r="A51" s="290"/>
      <c r="B51" s="307" t="s">
        <v>576</v>
      </c>
      <c r="C51" s="293"/>
      <c r="D51" s="293"/>
      <c r="E51" s="293"/>
      <c r="F51" s="293"/>
      <c r="G51" s="293"/>
      <c r="H51" s="293"/>
      <c r="I51" s="293"/>
      <c r="J51" s="293"/>
      <c r="K51" s="293"/>
      <c r="L51" s="293"/>
      <c r="M51" s="293"/>
      <c r="N51" s="293"/>
      <c r="O51" s="293"/>
      <c r="P51" s="293"/>
      <c r="Q51" s="293"/>
      <c r="R51" s="293"/>
      <c r="S51" s="293"/>
      <c r="T51" s="293"/>
      <c r="U51" s="293"/>
      <c r="V51" s="293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0"/>
      <c r="AI51" s="290"/>
      <c r="AJ51" s="290"/>
      <c r="AK51" s="290"/>
      <c r="AL51" s="290"/>
      <c r="AM51" s="290"/>
      <c r="AN51" s="290"/>
      <c r="AO51" s="290"/>
      <c r="AP51" s="290"/>
      <c r="AQ51" s="290"/>
      <c r="AR51" s="290"/>
      <c r="AS51" s="290"/>
      <c r="AT51" s="290"/>
      <c r="AU51" s="290"/>
      <c r="AV51" s="290"/>
      <c r="AW51" s="290"/>
      <c r="AX51" s="290"/>
      <c r="AY51" s="290"/>
      <c r="AZ51" s="290"/>
      <c r="BA51" s="290"/>
      <c r="BB51" s="290"/>
      <c r="BC51" s="290"/>
      <c r="BD51" s="290"/>
      <c r="BE51" s="290"/>
      <c r="BF51" s="290"/>
      <c r="BG51" s="290"/>
      <c r="BH51" s="290"/>
      <c r="BI51" s="290"/>
      <c r="BJ51" s="316"/>
      <c r="BK51" s="316"/>
      <c r="BL51" s="316"/>
      <c r="BN51" s="262">
        <f t="shared" si="0"/>
        <v>47</v>
      </c>
      <c r="BO51" s="838" t="str">
        <f>注音編碼對照表!E49</f>
        <v>T</v>
      </c>
      <c r="BP51" s="835" t="str">
        <f>注音編碼對照表!C49</f>
        <v>t</v>
      </c>
      <c r="BQ51" s="732" t="str">
        <f>注音編碼對照表!D49</f>
        <v>ㆵ</v>
      </c>
      <c r="BR51" s="839" t="str" cm="1">
        <f t="array" ref="BR51" xml:space="preserve"> INDEX(注音編碼對照表[閩拼方案], MATCH(TRUE, EXACT($BP51, 注音編碼對照表[鍵盤按鍵]), 0))</f>
        <v>t</v>
      </c>
      <c r="BS51" s="840" t="str" cm="1">
        <f t="array" ref="BS51" xml:space="preserve"> INDEX(注音編碼對照表[聲韻調], MATCH(TRUE, EXACT($BP51, 注音編碼對照表[鍵盤按鍵]), 0))</f>
        <v>韻尾</v>
      </c>
      <c r="BT51" s="841">
        <f t="shared" si="1"/>
        <v>1</v>
      </c>
      <c r="BV51" s="549" t="str">
        <f t="shared" si="11"/>
        <v xml:space="preserve">    "t": { commit: "ㆵ" }  # /t/ ==&gt; T</v>
      </c>
      <c r="CA51" s="808"/>
      <c r="CB51" s="734"/>
      <c r="CC51" s="732"/>
      <c r="CD51" s="113"/>
      <c r="CE51" s="733"/>
      <c r="CF51" s="735"/>
      <c r="CJ51" s="808"/>
      <c r="CK51" s="734"/>
      <c r="CL51" s="732"/>
      <c r="CM51" s="113"/>
      <c r="CN51" s="733"/>
      <c r="CO51" s="735"/>
      <c r="CS51" s="808"/>
      <c r="CT51" s="734"/>
      <c r="CU51" s="732"/>
      <c r="CV51" s="113"/>
      <c r="CW51" s="733"/>
      <c r="CX51" s="735"/>
      <c r="CZ51" s="698" t="str">
        <f t="shared" si="5"/>
        <v/>
      </c>
      <c r="DB51" s="808"/>
      <c r="DC51" s="734"/>
      <c r="DD51" s="732"/>
      <c r="DE51" s="113"/>
      <c r="DF51" s="733"/>
      <c r="DG51" s="735"/>
      <c r="DI51" s="698" t="str">
        <f t="shared" si="6"/>
        <v/>
      </c>
    </row>
    <row r="52" spans="1:113" ht="45" customHeight="1">
      <c r="B52" s="293" t="s">
        <v>577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4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0"/>
      <c r="AI52" s="290"/>
      <c r="AJ52" s="290"/>
      <c r="AK52" s="290"/>
      <c r="AL52" s="290"/>
      <c r="AM52" s="195"/>
      <c r="AN52" s="290"/>
      <c r="AO52" s="290"/>
      <c r="AP52" s="290"/>
      <c r="AQ52" s="290"/>
      <c r="AR52" s="290"/>
      <c r="AS52" s="290"/>
      <c r="AT52" s="290"/>
      <c r="AU52" s="290"/>
      <c r="AV52" s="290"/>
      <c r="AW52" s="290"/>
      <c r="AX52" s="290"/>
      <c r="AY52" s="290"/>
      <c r="AZ52" s="290"/>
      <c r="BA52" s="290"/>
      <c r="BB52" s="290"/>
      <c r="BC52" s="290"/>
      <c r="BD52" s="290"/>
      <c r="BE52" s="290"/>
      <c r="BF52" s="290"/>
      <c r="BG52" s="290"/>
      <c r="BH52" s="290"/>
      <c r="BI52" s="290"/>
      <c r="BJ52" s="316"/>
      <c r="BK52" s="316"/>
      <c r="BL52" s="316"/>
      <c r="BN52" s="262">
        <f t="shared" si="0"/>
        <v>48</v>
      </c>
      <c r="BO52" s="838" t="str">
        <f>注音編碼對照表!E50</f>
        <v>K</v>
      </c>
      <c r="BP52" s="835" t="str">
        <f>注音編碼對照表!C50</f>
        <v>g</v>
      </c>
      <c r="BQ52" s="732" t="str">
        <f>注音編碼對照表!D50</f>
        <v>ㆻ</v>
      </c>
      <c r="BR52" s="839" t="str" cm="1">
        <f t="array" ref="BR52" xml:space="preserve"> INDEX(注音編碼對照表[閩拼方案], MATCH(TRUE, EXACT($BP52, 注音編碼對照表[鍵盤按鍵]), 0))</f>
        <v>k</v>
      </c>
      <c r="BS52" s="840" t="str" cm="1">
        <f t="array" ref="BS52" xml:space="preserve"> INDEX(注音編碼對照表[聲韻調], MATCH(TRUE, EXACT($BP52, 注音編碼對照表[鍵盤按鍵]), 0))</f>
        <v>韻尾</v>
      </c>
      <c r="BT52" s="841">
        <f t="shared" si="1"/>
        <v>1</v>
      </c>
      <c r="BV52" s="549" t="str">
        <f t="shared" si="11"/>
        <v xml:space="preserve">    "g": { commit: "ㆻ" }  # /k/ ==&gt; K</v>
      </c>
      <c r="CA52" s="808"/>
      <c r="CB52" s="734"/>
      <c r="CC52" s="732"/>
      <c r="CD52" s="113"/>
      <c r="CE52" s="733"/>
      <c r="CF52" s="735"/>
      <c r="CJ52" s="808"/>
      <c r="CK52" s="734"/>
      <c r="CL52" s="732"/>
      <c r="CM52" s="113"/>
      <c r="CN52" s="733"/>
      <c r="CO52" s="735"/>
      <c r="CS52" s="808"/>
      <c r="CT52" s="734"/>
      <c r="CU52" s="732"/>
      <c r="CV52" s="113"/>
      <c r="CW52" s="733"/>
      <c r="CX52" s="735"/>
      <c r="CZ52" s="698" t="str">
        <f t="shared" si="5"/>
        <v/>
      </c>
      <c r="DB52" s="808"/>
      <c r="DC52" s="734"/>
      <c r="DD52" s="732"/>
      <c r="DE52" s="113"/>
      <c r="DF52" s="733"/>
      <c r="DG52" s="735"/>
      <c r="DI52" s="698" t="str">
        <f t="shared" si="6"/>
        <v/>
      </c>
    </row>
    <row r="53" spans="1:113" ht="45" customHeight="1">
      <c r="A53" s="765"/>
      <c r="B53" s="308" t="s">
        <v>8736</v>
      </c>
      <c r="C53" s="309"/>
      <c r="D53" s="309">
        <f xml:space="preserve"> LEN(E53)</f>
        <v>60</v>
      </c>
      <c r="E53" s="310" t="str">
        <f xml:space="preserve"> _xlfn.CONCAT(D18:BK18)</f>
        <v>a!1qs2wxNEedYyhnRrfvc8uKj,ik9l*UJ&lt;I(Lmp/M0;Oobtgz'[5346]7.=-</v>
      </c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310"/>
      <c r="AF53" s="310"/>
      <c r="AG53" s="310"/>
      <c r="AH53" s="310"/>
      <c r="AI53" s="310"/>
      <c r="AJ53" s="310"/>
      <c r="AK53" s="290"/>
      <c r="AL53" s="290"/>
      <c r="AM53" s="290"/>
      <c r="AN53" s="290"/>
      <c r="AO53" s="290"/>
      <c r="AP53" s="290"/>
      <c r="AQ53" s="290"/>
      <c r="AR53" s="290"/>
      <c r="AS53" s="290"/>
      <c r="AT53" s="290"/>
      <c r="AU53" s="290"/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0"/>
      <c r="BG53" s="290"/>
      <c r="BH53" s="290"/>
      <c r="BI53" s="290"/>
      <c r="BJ53" s="316"/>
      <c r="BK53" s="316"/>
      <c r="BL53" s="316"/>
      <c r="BN53" s="262">
        <f t="shared" si="0"/>
        <v>49</v>
      </c>
      <c r="BO53" s="838" t="str">
        <f>注音編碼對照表!E51</f>
        <v>V</v>
      </c>
      <c r="BP53" s="835" t="str">
        <f>注音編碼對照表!C51</f>
        <v>z</v>
      </c>
      <c r="BQ53" s="732" t="str">
        <f>注音編碼對照表!D51</f>
        <v>ㆷ</v>
      </c>
      <c r="BR53" s="839" t="str" cm="1">
        <f t="array" ref="BR53" xml:space="preserve"> INDEX(注音編碼對照表[閩拼方案], MATCH(TRUE, EXACT($BP53, 注音編碼對照表[鍵盤按鍵]), 0))</f>
        <v>h</v>
      </c>
      <c r="BS53" s="840" t="str" cm="1">
        <f t="array" ref="BS53" xml:space="preserve"> INDEX(注音編碼對照表[聲韻調], MATCH(TRUE, EXACT($BP53, 注音編碼對照表[鍵盤按鍵]), 0))</f>
        <v>韻尾</v>
      </c>
      <c r="BT53" s="841">
        <f t="shared" si="1"/>
        <v>1</v>
      </c>
      <c r="BV53" s="549" t="str">
        <f t="shared" si="11"/>
        <v xml:space="preserve">    "z": { commit: "ㆷ" }  # /h/ ==&gt; V</v>
      </c>
      <c r="CA53" s="808"/>
      <c r="CB53" s="734"/>
      <c r="CC53" s="732"/>
      <c r="CD53" s="113"/>
      <c r="CE53" s="733"/>
      <c r="CF53" s="735"/>
      <c r="CJ53" s="808"/>
      <c r="CK53" s="734"/>
      <c r="CL53" s="732"/>
      <c r="CM53" s="113"/>
      <c r="CN53" s="733"/>
      <c r="CO53" s="735"/>
      <c r="CS53" s="808"/>
      <c r="CT53" s="734"/>
      <c r="CU53" s="732"/>
      <c r="CV53" s="113"/>
      <c r="CW53" s="733"/>
      <c r="CX53" s="735"/>
      <c r="CZ53" s="698" t="str">
        <f t="shared" si="5"/>
        <v/>
      </c>
      <c r="DB53" s="808"/>
      <c r="DC53" s="734"/>
      <c r="DD53" s="732"/>
      <c r="DE53" s="113"/>
      <c r="DF53" s="733"/>
      <c r="DG53" s="735"/>
      <c r="DI53" s="698" t="str">
        <f t="shared" si="6"/>
        <v/>
      </c>
    </row>
    <row r="54" spans="1:113" ht="45" customHeight="1">
      <c r="A54" s="765"/>
      <c r="B54" s="724" t="s">
        <v>8754</v>
      </c>
      <c r="C54" s="312"/>
      <c r="D54" s="312">
        <f>LEN(E54)</f>
        <v>60</v>
      </c>
      <c r="E54" s="311" t="str">
        <f xml:space="preserve"> _xlfn.CONCAT(D19:BK19)</f>
        <v>ㄇㆠㄅㄆㄋㄉㄊㄌㄫㆣㄍㄎㆡㄗㄘㄙㆢㄐㄑㄒㄏㄚㄧㆨㄨㆤㆦㄜㄞㄠㆩㆪㆫㆥㆧㆮㆯㆬㄣㆭㆰㄢㄤㆱㆲㆴㆵㆻㆷˉˉ^ˋˇˊˊ˙入ㄥñ</v>
      </c>
      <c r="F54" s="311"/>
      <c r="G54" s="311"/>
      <c r="H54" s="311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316"/>
      <c r="BK54" s="316"/>
      <c r="BL54" s="316"/>
      <c r="BN54" s="262">
        <f t="shared" si="0"/>
        <v>50</v>
      </c>
      <c r="BO54" s="838">
        <f>注音編碼對照表!E52</f>
        <v>1</v>
      </c>
      <c r="BP54" s="835" t="str">
        <f>注音編碼對照表!C52</f>
        <v>'</v>
      </c>
      <c r="BQ54" s="732" t="str">
        <f>注音編碼對照表!D52</f>
        <v>ˉ</v>
      </c>
      <c r="BR54" s="839" cm="1">
        <f t="array" ref="BR54" xml:space="preserve"> INDEX(注音編碼對照表[閩拼方案], MATCH(TRUE, EXACT($BP54, 注音編碼對照表[鍵盤按鍵]), 0))</f>
        <v>1</v>
      </c>
      <c r="BS54" s="840" t="str" cm="1">
        <f t="array" ref="BS54" xml:space="preserve"> INDEX(注音編碼對照表[聲韻調], MATCH(TRUE, EXACT($BP54, 注音編碼對照表[鍵盤按鍵]), 0))</f>
        <v>調</v>
      </c>
      <c r="BT54" s="841">
        <f t="shared" si="1"/>
        <v>1</v>
      </c>
      <c r="BV54" s="549" t="str">
        <f t="shared" si="11"/>
        <v xml:space="preserve">    "'": { commit: "ˉ" }  # /1/ ==&gt; 1</v>
      </c>
      <c r="CA54" s="808"/>
      <c r="CB54" s="734"/>
      <c r="CC54" s="732"/>
      <c r="CD54" s="113"/>
      <c r="CE54" s="733"/>
      <c r="CF54" s="735"/>
      <c r="CJ54" s="808"/>
      <c r="CK54" s="734"/>
      <c r="CL54" s="732"/>
      <c r="CM54" s="113"/>
      <c r="CN54" s="733"/>
      <c r="CO54" s="735"/>
      <c r="CS54" s="808"/>
      <c r="CT54" s="734"/>
      <c r="CU54" s="732"/>
      <c r="CV54" s="113"/>
      <c r="CW54" s="733"/>
      <c r="CX54" s="735"/>
      <c r="CZ54" s="698" t="str">
        <f t="shared" si="5"/>
        <v/>
      </c>
      <c r="DB54" s="808"/>
      <c r="DC54" s="734"/>
      <c r="DD54" s="732"/>
      <c r="DE54" s="113"/>
      <c r="DF54" s="733"/>
      <c r="DG54" s="735"/>
      <c r="DI54" s="698" t="str">
        <f t="shared" si="6"/>
        <v/>
      </c>
    </row>
    <row r="55" spans="1:113" ht="45" customHeight="1">
      <c r="B55" s="303" t="str">
        <f xml:space="preserve"> "    - xlit|" &amp; E53 &amp; "|" &amp; E54 &amp; "|"</f>
        <v xml:space="preserve">    - xlit|a!1qs2wxNEedYyhnRrfvc8uKj,ik9l*UJ&lt;I(Lmp/M0;Oobtgz'[5346]7.=-|ㄇㆠㄅㄆㄋㄉㄊㄌㄫㆣㄍㄎㆡㄗㄘㄙㆢㄐㄑㄒㄏㄚㄧㆨㄨㆤㆦㄜㄞㄠㆩㆪㆫㆥㆧㆮㆯㆬㄣㆭㆰㄢㄤㆱㆲㆴㆵㆻㆷˉˉ^ˋˇˊˊ˙入ㄥñ|</v>
      </c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04"/>
      <c r="AH55" s="304"/>
      <c r="AI55" s="304"/>
      <c r="AJ55" s="304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0"/>
        <v>51</v>
      </c>
      <c r="BO55" s="838">
        <f>注音編碼對照表!E53</f>
        <v>7</v>
      </c>
      <c r="BP55" s="835" t="str">
        <f>注音編碼對照表!C53</f>
        <v>[</v>
      </c>
      <c r="BQ55" s="732" t="str">
        <f>注音編碼對照表!D53</f>
        <v>ˉ</v>
      </c>
      <c r="BR55" s="839" cm="1">
        <f t="array" ref="BR55" xml:space="preserve"> INDEX(注音編碼對照表[閩拼方案], MATCH(TRUE, EXACT($BP55, 注音編碼對照表[鍵盤按鍵]), 0))</f>
        <v>7</v>
      </c>
      <c r="BS55" s="840" t="str" cm="1">
        <f t="array" ref="BS55" xml:space="preserve"> INDEX(注音編碼對照表[聲韻調], MATCH(TRUE, EXACT($BP55, 注音編碼對照表[鍵盤按鍵]), 0))</f>
        <v>調</v>
      </c>
      <c r="BT55" s="841">
        <f t="shared" si="1"/>
        <v>1</v>
      </c>
      <c r="BV55" s="549" t="str">
        <f t="shared" si="11"/>
        <v xml:space="preserve">    "[": { commit: "ˉ" }  # /7/ ==&gt; 7</v>
      </c>
      <c r="CA55" s="808"/>
      <c r="CB55" s="734"/>
      <c r="CC55" s="732"/>
      <c r="CD55" s="113"/>
      <c r="CE55" s="733"/>
      <c r="CF55" s="735"/>
      <c r="CJ55" s="808"/>
      <c r="CK55" s="734"/>
      <c r="CL55" s="732"/>
      <c r="CM55" s="113"/>
      <c r="CN55" s="733"/>
      <c r="CO55" s="735"/>
      <c r="CS55" s="808"/>
      <c r="CT55" s="734"/>
      <c r="CU55" s="732"/>
      <c r="CV55" s="113"/>
      <c r="CW55" s="733"/>
      <c r="CX55" s="735"/>
      <c r="CZ55" s="698" t="str">
        <f t="shared" si="5"/>
        <v/>
      </c>
      <c r="DB55" s="808"/>
      <c r="DC55" s="734"/>
      <c r="DD55" s="732"/>
      <c r="DE55" s="113"/>
      <c r="DF55" s="733"/>
      <c r="DG55" s="735"/>
      <c r="DI55" s="698" t="str">
        <f t="shared" si="6"/>
        <v/>
      </c>
    </row>
    <row r="56" spans="1:113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846" t="str">
        <f xml:space="preserve"> _xlfn.CONCAT(AY60:BF60)</f>
        <v>ˉˉ^ˋˇˊˊ˙</v>
      </c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0"/>
        <v>52</v>
      </c>
      <c r="BO56" s="838">
        <f>注音編碼對照表!E54</f>
        <v>6</v>
      </c>
      <c r="BP56" s="835">
        <f>注音編碼對照表!C54</f>
        <v>5</v>
      </c>
      <c r="BQ56" s="732" t="str">
        <f>注音編碼對照表!D54</f>
        <v>^</v>
      </c>
      <c r="BR56" s="839" cm="1">
        <f t="array" ref="BR56" xml:space="preserve"> INDEX(注音編碼對照表[閩拼方案], MATCH(TRUE, EXACT($BP56, 注音編碼對照表[鍵盤按鍵]), 0))</f>
        <v>6</v>
      </c>
      <c r="BS56" s="840" t="str" cm="1">
        <f t="array" ref="BS56" xml:space="preserve"> INDEX(注音編碼對照表[聲韻調], MATCH(TRUE, EXACT($BP56, 注音編碼對照表[鍵盤按鍵]), 0))</f>
        <v>調</v>
      </c>
      <c r="BT56" s="841">
        <f t="shared" si="1"/>
        <v>1</v>
      </c>
      <c r="BV56" s="549" t="str">
        <f t="shared" si="11"/>
        <v xml:space="preserve">    "5": { commit: "^" }  # /6/ ==&gt; 6</v>
      </c>
      <c r="CA56" s="808"/>
      <c r="CB56" s="734"/>
      <c r="CC56" s="732"/>
      <c r="CD56" s="113"/>
      <c r="CE56" s="733"/>
      <c r="CF56" s="735"/>
      <c r="CJ56" s="808"/>
      <c r="CK56" s="734"/>
      <c r="CL56" s="732"/>
      <c r="CM56" s="113"/>
      <c r="CN56" s="733"/>
      <c r="CO56" s="735"/>
      <c r="CS56" s="808"/>
      <c r="CT56" s="734"/>
      <c r="CU56" s="732"/>
      <c r="CV56" s="113"/>
      <c r="CW56" s="733"/>
      <c r="CX56" s="735"/>
      <c r="CZ56" s="698" t="str">
        <f t="shared" si="5"/>
        <v/>
      </c>
      <c r="DB56" s="808"/>
      <c r="DC56" s="734"/>
      <c r="DD56" s="732"/>
      <c r="DE56" s="113"/>
      <c r="DF56" s="733"/>
      <c r="DG56" s="735"/>
      <c r="DI56" s="698" t="str">
        <f t="shared" si="6"/>
        <v/>
      </c>
    </row>
    <row r="57" spans="1:113" ht="45" customHeight="1">
      <c r="BJ57" s="316"/>
      <c r="BK57" s="316"/>
      <c r="BL57" s="316"/>
      <c r="BN57" s="262">
        <f t="shared" si="0"/>
        <v>53</v>
      </c>
      <c r="BO57" s="838">
        <f>注音編碼對照表!E55</f>
        <v>5</v>
      </c>
      <c r="BP57" s="835">
        <f>注音編碼對照表!C55</f>
        <v>3</v>
      </c>
      <c r="BQ57" s="732" t="str">
        <f>注音編碼對照表!D55</f>
        <v>ˋ</v>
      </c>
      <c r="BR57" s="839" cm="1">
        <f t="array" ref="BR57" xml:space="preserve"> INDEX(注音編碼對照表[閩拼方案], MATCH(TRUE, EXACT($BP57, 注音編碼對照表[鍵盤按鍵]), 0))</f>
        <v>5</v>
      </c>
      <c r="BS57" s="840" t="str" cm="1">
        <f t="array" ref="BS57" xml:space="preserve"> INDEX(注音編碼對照表[聲韻調], MATCH(TRUE, EXACT($BP57, 注音編碼對照表[鍵盤按鍵]), 0))</f>
        <v>調</v>
      </c>
      <c r="BT57" s="841">
        <f t="shared" si="1"/>
        <v>1</v>
      </c>
      <c r="BV57" s="549" t="str">
        <f t="shared" si="11"/>
        <v xml:space="preserve">    "3": { commit: "ˋ" }  # /5/ ==&gt; 5</v>
      </c>
      <c r="CA57" s="808"/>
      <c r="CB57" s="734"/>
      <c r="CC57" s="732"/>
      <c r="CD57" s="113"/>
      <c r="CE57" s="733"/>
      <c r="CF57" s="735"/>
      <c r="CJ57" s="808"/>
      <c r="CK57" s="734"/>
      <c r="CL57" s="732"/>
      <c r="CM57" s="113"/>
      <c r="CN57" s="733"/>
      <c r="CO57" s="735"/>
      <c r="CS57" s="808"/>
      <c r="CT57" s="734"/>
      <c r="CU57" s="732"/>
      <c r="CV57" s="113"/>
      <c r="CW57" s="733"/>
      <c r="CX57" s="735"/>
      <c r="DB57" s="808"/>
      <c r="DC57" s="734"/>
      <c r="DD57" s="732"/>
      <c r="DE57" s="113"/>
      <c r="DF57" s="733"/>
      <c r="DG57" s="735"/>
    </row>
    <row r="58" spans="1:113" ht="46.5" customHeight="1">
      <c r="B58" s="753">
        <v>1</v>
      </c>
      <c r="C58" s="753">
        <v>2</v>
      </c>
      <c r="D58" s="753">
        <v>3</v>
      </c>
      <c r="E58" s="753">
        <v>4</v>
      </c>
      <c r="F58" s="753">
        <v>5</v>
      </c>
      <c r="G58" s="753">
        <v>6</v>
      </c>
      <c r="H58" s="753">
        <v>7</v>
      </c>
      <c r="I58" s="753">
        <v>8</v>
      </c>
      <c r="J58" s="753">
        <v>9</v>
      </c>
      <c r="K58" s="753">
        <v>10</v>
      </c>
      <c r="L58" s="753">
        <v>11</v>
      </c>
      <c r="M58" s="753">
        <v>12</v>
      </c>
      <c r="N58" s="753">
        <v>13</v>
      </c>
      <c r="O58" s="753">
        <v>14</v>
      </c>
      <c r="P58" s="753">
        <v>15</v>
      </c>
      <c r="Q58" s="753">
        <v>16</v>
      </c>
      <c r="R58" s="753">
        <v>17</v>
      </c>
      <c r="S58" s="754">
        <v>18</v>
      </c>
      <c r="T58" s="753">
        <v>19</v>
      </c>
      <c r="U58" s="753">
        <v>20</v>
      </c>
      <c r="V58" s="753">
        <v>21</v>
      </c>
      <c r="W58" s="753">
        <v>22</v>
      </c>
      <c r="X58" s="753">
        <v>23</v>
      </c>
      <c r="Y58" s="753">
        <v>24</v>
      </c>
      <c r="Z58" s="753">
        <v>25</v>
      </c>
      <c r="AA58" s="753">
        <v>26</v>
      </c>
      <c r="AB58" s="753">
        <v>27</v>
      </c>
      <c r="AC58" s="753">
        <v>28</v>
      </c>
      <c r="AD58" s="753">
        <v>29</v>
      </c>
      <c r="AE58" s="753">
        <v>30</v>
      </c>
      <c r="AF58" s="753">
        <v>31</v>
      </c>
      <c r="AG58" s="753">
        <v>32</v>
      </c>
      <c r="AH58" s="755">
        <v>33</v>
      </c>
      <c r="AI58" s="755">
        <v>34</v>
      </c>
      <c r="AJ58" s="755">
        <v>35</v>
      </c>
      <c r="AK58" s="755">
        <v>36</v>
      </c>
      <c r="AL58" s="756">
        <v>37</v>
      </c>
      <c r="AM58" s="755">
        <v>38</v>
      </c>
      <c r="AN58" s="755">
        <v>39</v>
      </c>
      <c r="AO58" s="755">
        <v>40</v>
      </c>
      <c r="AP58" s="755">
        <v>41</v>
      </c>
      <c r="AQ58" s="755">
        <v>42</v>
      </c>
      <c r="AR58" s="755">
        <v>43</v>
      </c>
      <c r="AS58" s="755">
        <v>44</v>
      </c>
      <c r="AT58" s="755">
        <v>45</v>
      </c>
      <c r="AU58" s="755">
        <v>46</v>
      </c>
      <c r="AV58" s="755">
        <v>47</v>
      </c>
      <c r="AW58" s="755">
        <v>48</v>
      </c>
      <c r="AX58" s="755">
        <v>49</v>
      </c>
      <c r="AY58" s="755">
        <v>50</v>
      </c>
      <c r="AZ58" s="755">
        <v>51</v>
      </c>
      <c r="BA58" s="755">
        <v>52</v>
      </c>
      <c r="BB58" s="755">
        <v>53</v>
      </c>
      <c r="BC58" s="755">
        <v>54</v>
      </c>
      <c r="BD58" s="755">
        <v>55</v>
      </c>
      <c r="BE58" s="755">
        <v>56</v>
      </c>
      <c r="BF58" s="755">
        <v>57</v>
      </c>
      <c r="BG58" s="755">
        <v>58</v>
      </c>
      <c r="BH58" s="755">
        <v>59</v>
      </c>
      <c r="BI58" s="755">
        <v>60</v>
      </c>
      <c r="BJ58" s="316"/>
      <c r="BK58" s="316"/>
      <c r="BL58" s="316"/>
      <c r="BN58" s="262">
        <f t="shared" si="0"/>
        <v>54</v>
      </c>
      <c r="BO58" s="838">
        <f>注音編碼對照表!E56</f>
        <v>3</v>
      </c>
      <c r="BP58" s="835">
        <f>注音編碼對照表!C56</f>
        <v>4</v>
      </c>
      <c r="BQ58" s="732" t="str">
        <f>注音編碼對照表!D56</f>
        <v>ˇ</v>
      </c>
      <c r="BR58" s="839" cm="1">
        <f t="array" ref="BR58" xml:space="preserve"> INDEX(注音編碼對照表[閩拼方案], MATCH(TRUE, EXACT($BP58, 注音編碼對照表[鍵盤按鍵]), 0))</f>
        <v>3</v>
      </c>
      <c r="BS58" s="840" t="str" cm="1">
        <f t="array" ref="BS58" xml:space="preserve"> INDEX(注音編碼對照表[聲韻調], MATCH(TRUE, EXACT($BP58, 注音編碼對照表[鍵盤按鍵]), 0))</f>
        <v>調</v>
      </c>
      <c r="BT58" s="841">
        <f t="shared" si="1"/>
        <v>1</v>
      </c>
      <c r="BV58" s="549" t="str">
        <f t="shared" si="11"/>
        <v xml:space="preserve">    "4": { commit: "ˇ" }  # /3/ ==&gt; 3</v>
      </c>
      <c r="CA58" s="808"/>
      <c r="CB58" s="734"/>
      <c r="CC58" s="732"/>
      <c r="CD58" s="113"/>
      <c r="CE58" s="733"/>
      <c r="CF58" s="735"/>
      <c r="CJ58" s="808"/>
      <c r="CK58" s="734"/>
      <c r="CL58" s="732"/>
      <c r="CM58" s="113"/>
      <c r="CN58" s="733"/>
      <c r="CO58" s="735"/>
      <c r="CS58" s="808"/>
      <c r="CT58" s="734"/>
      <c r="CU58" s="732"/>
      <c r="CV58" s="113"/>
      <c r="CW58" s="733"/>
      <c r="CX58" s="735"/>
      <c r="DB58" s="808"/>
      <c r="DC58" s="734"/>
      <c r="DD58" s="732"/>
      <c r="DE58" s="113"/>
      <c r="DF58" s="733"/>
      <c r="DG58" s="735"/>
    </row>
    <row r="59" spans="1:113" ht="54" customHeight="1">
      <c r="B59" s="767" t="str">
        <f xml:space="preserve"> MID($E$53, B$46, 1)</f>
        <v>a</v>
      </c>
      <c r="C59" s="767" t="str">
        <f t="shared" ref="C59:BI59" si="14" xml:space="preserve"> MID($E$53, C$46, 1)</f>
        <v>!</v>
      </c>
      <c r="D59" s="767" t="str">
        <f t="shared" si="14"/>
        <v>1</v>
      </c>
      <c r="E59" s="767" t="str">
        <f t="shared" si="14"/>
        <v>q</v>
      </c>
      <c r="F59" s="767" t="str">
        <f t="shared" si="14"/>
        <v>s</v>
      </c>
      <c r="G59" s="767" t="str">
        <f t="shared" si="14"/>
        <v>2</v>
      </c>
      <c r="H59" s="767" t="str">
        <f t="shared" si="14"/>
        <v>w</v>
      </c>
      <c r="I59" s="767" t="str">
        <f t="shared" si="14"/>
        <v>x</v>
      </c>
      <c r="J59" s="767" t="str">
        <f t="shared" si="14"/>
        <v>N</v>
      </c>
      <c r="K59" s="767" t="str">
        <f t="shared" si="14"/>
        <v>E</v>
      </c>
      <c r="L59" s="767" t="str">
        <f t="shared" si="14"/>
        <v>e</v>
      </c>
      <c r="M59" s="767" t="str">
        <f t="shared" si="14"/>
        <v>d</v>
      </c>
      <c r="N59" s="767" t="str">
        <f t="shared" si="14"/>
        <v>Y</v>
      </c>
      <c r="O59" s="767" t="str">
        <f t="shared" si="14"/>
        <v>y</v>
      </c>
      <c r="P59" s="767" t="str">
        <f t="shared" si="14"/>
        <v>h</v>
      </c>
      <c r="Q59" s="767" t="str">
        <f t="shared" si="14"/>
        <v>n</v>
      </c>
      <c r="R59" s="767" t="str">
        <f t="shared" si="14"/>
        <v>R</v>
      </c>
      <c r="S59" s="767" t="str">
        <f t="shared" si="14"/>
        <v>r</v>
      </c>
      <c r="T59" s="767" t="str">
        <f t="shared" si="14"/>
        <v>f</v>
      </c>
      <c r="U59" s="767" t="str">
        <f t="shared" si="14"/>
        <v>v</v>
      </c>
      <c r="V59" s="767" t="str">
        <f t="shared" si="14"/>
        <v>c</v>
      </c>
      <c r="W59" s="767" t="str">
        <f t="shared" si="14"/>
        <v>8</v>
      </c>
      <c r="X59" s="767" t="str">
        <f t="shared" si="14"/>
        <v>u</v>
      </c>
      <c r="Y59" s="767" t="str">
        <f t="shared" si="14"/>
        <v>K</v>
      </c>
      <c r="Z59" s="767" t="str">
        <f t="shared" si="14"/>
        <v>j</v>
      </c>
      <c r="AA59" s="767" t="str">
        <f t="shared" si="14"/>
        <v>,</v>
      </c>
      <c r="AB59" s="767" t="str">
        <f t="shared" si="14"/>
        <v>i</v>
      </c>
      <c r="AC59" s="767" t="str">
        <f t="shared" si="14"/>
        <v>k</v>
      </c>
      <c r="AD59" s="767" t="str">
        <f t="shared" si="14"/>
        <v>9</v>
      </c>
      <c r="AE59" s="767" t="str">
        <f t="shared" si="14"/>
        <v>l</v>
      </c>
      <c r="AF59" s="767" t="str">
        <f t="shared" si="14"/>
        <v>*</v>
      </c>
      <c r="AG59" s="767" t="str">
        <f t="shared" si="14"/>
        <v>U</v>
      </c>
      <c r="AH59" s="767" t="str">
        <f t="shared" si="14"/>
        <v>J</v>
      </c>
      <c r="AI59" s="767" t="str">
        <f t="shared" si="14"/>
        <v>&lt;</v>
      </c>
      <c r="AJ59" s="767" t="str">
        <f t="shared" si="14"/>
        <v>I</v>
      </c>
      <c r="AK59" s="767" t="str">
        <f t="shared" si="14"/>
        <v>(</v>
      </c>
      <c r="AL59" s="767" t="str">
        <f t="shared" si="14"/>
        <v>L</v>
      </c>
      <c r="AM59" s="767" t="str">
        <f t="shared" si="14"/>
        <v>m</v>
      </c>
      <c r="AN59" s="767" t="str">
        <f t="shared" si="14"/>
        <v>p</v>
      </c>
      <c r="AO59" s="767" t="str">
        <f t="shared" si="14"/>
        <v>/</v>
      </c>
      <c r="AP59" s="767" t="str">
        <f t="shared" si="14"/>
        <v>M</v>
      </c>
      <c r="AQ59" s="767" t="str">
        <f t="shared" si="14"/>
        <v>0</v>
      </c>
      <c r="AR59" s="767" t="str">
        <f t="shared" si="14"/>
        <v>;</v>
      </c>
      <c r="AS59" s="767" t="str">
        <f t="shared" si="14"/>
        <v>O</v>
      </c>
      <c r="AT59" s="767" t="str">
        <f t="shared" si="14"/>
        <v>o</v>
      </c>
      <c r="AU59" s="767" t="str">
        <f t="shared" si="14"/>
        <v>b</v>
      </c>
      <c r="AV59" s="767" t="str">
        <f t="shared" si="14"/>
        <v>t</v>
      </c>
      <c r="AW59" s="767" t="str">
        <f t="shared" si="14"/>
        <v>g</v>
      </c>
      <c r="AX59" s="767" t="str">
        <f t="shared" si="14"/>
        <v>z</v>
      </c>
      <c r="AY59" s="767" t="str">
        <f t="shared" si="14"/>
        <v>'</v>
      </c>
      <c r="AZ59" s="767" t="str">
        <f t="shared" si="14"/>
        <v>[</v>
      </c>
      <c r="BA59" s="767" t="str">
        <f t="shared" si="14"/>
        <v>5</v>
      </c>
      <c r="BB59" s="767" t="str">
        <f t="shared" si="14"/>
        <v>3</v>
      </c>
      <c r="BC59" s="767" t="str">
        <f t="shared" si="14"/>
        <v>4</v>
      </c>
      <c r="BD59" s="767" t="str">
        <f t="shared" si="14"/>
        <v>6</v>
      </c>
      <c r="BE59" s="767" t="str">
        <f t="shared" si="14"/>
        <v>]</v>
      </c>
      <c r="BF59" s="767" t="str">
        <f t="shared" si="14"/>
        <v>7</v>
      </c>
      <c r="BG59" s="767" t="str">
        <f t="shared" si="14"/>
        <v>.</v>
      </c>
      <c r="BH59" s="767" t="str">
        <f t="shared" si="14"/>
        <v>=</v>
      </c>
      <c r="BI59" s="767" t="str">
        <f t="shared" si="14"/>
        <v>-</v>
      </c>
      <c r="BJ59" s="316"/>
      <c r="BK59" s="316"/>
      <c r="BL59" s="316"/>
      <c r="BN59" s="262">
        <f t="shared" si="0"/>
        <v>55</v>
      </c>
      <c r="BO59" s="838">
        <f>注音編碼對照表!E57</f>
        <v>2</v>
      </c>
      <c r="BP59" s="835">
        <f>注音編碼對照表!C57</f>
        <v>6</v>
      </c>
      <c r="BQ59" s="732" t="str">
        <f>注音編碼對照表!D57</f>
        <v>ˊ</v>
      </c>
      <c r="BR59" s="839" cm="1">
        <f t="array" ref="BR59" xml:space="preserve"> INDEX(注音編碼對照表[閩拼方案], MATCH(TRUE, EXACT($BP59, 注音編碼對照表[鍵盤按鍵]), 0))</f>
        <v>2</v>
      </c>
      <c r="BS59" s="840" t="str" cm="1">
        <f t="array" ref="BS59" xml:space="preserve"> INDEX(注音編碼對照表[聲韻調], MATCH(TRUE, EXACT($BP59, 注音編碼對照表[鍵盤按鍵]), 0))</f>
        <v>調</v>
      </c>
      <c r="BT59" s="841">
        <f t="shared" si="1"/>
        <v>1</v>
      </c>
      <c r="BV59" s="549" t="str">
        <f t="shared" si="11"/>
        <v xml:space="preserve">    "6": { commit: "ˊ" }  # /2/ ==&gt; 2</v>
      </c>
      <c r="CA59" s="808"/>
      <c r="CB59" s="734"/>
      <c r="CC59" s="732"/>
      <c r="CD59" s="113"/>
      <c r="CE59" s="733"/>
      <c r="CF59" s="735"/>
      <c r="CJ59" s="808"/>
      <c r="CK59" s="734"/>
      <c r="CL59" s="732"/>
      <c r="CM59" s="113"/>
      <c r="CN59" s="733"/>
      <c r="CO59" s="735"/>
      <c r="CS59" s="808"/>
      <c r="CT59" s="734"/>
      <c r="CU59" s="732"/>
      <c r="CV59" s="113"/>
      <c r="CW59" s="733"/>
      <c r="CX59" s="735"/>
      <c r="DB59" s="808"/>
      <c r="DC59" s="734"/>
      <c r="DD59" s="732"/>
      <c r="DE59" s="113"/>
      <c r="DF59" s="733"/>
      <c r="DG59" s="735"/>
    </row>
    <row r="60" spans="1:113" ht="54" customHeight="1">
      <c r="B60" s="822" t="str">
        <f xml:space="preserve"> MID($E$54, B$46, 1)</f>
        <v>ㄇ</v>
      </c>
      <c r="C60" s="822" t="str">
        <f t="shared" ref="C60:BI60" si="15" xml:space="preserve"> MID($E$54, C$46, 1)</f>
        <v>ㆠ</v>
      </c>
      <c r="D60" s="822" t="str">
        <f t="shared" si="15"/>
        <v>ㄅ</v>
      </c>
      <c r="E60" s="822" t="str">
        <f t="shared" si="15"/>
        <v>ㄆ</v>
      </c>
      <c r="F60" s="822" t="str">
        <f t="shared" si="15"/>
        <v>ㄋ</v>
      </c>
      <c r="G60" s="822" t="str">
        <f t="shared" si="15"/>
        <v>ㄉ</v>
      </c>
      <c r="H60" s="822" t="str">
        <f t="shared" si="15"/>
        <v>ㄊ</v>
      </c>
      <c r="I60" s="822" t="str">
        <f t="shared" si="15"/>
        <v>ㄌ</v>
      </c>
      <c r="J60" s="822" t="str">
        <f t="shared" si="15"/>
        <v>ㄫ</v>
      </c>
      <c r="K60" s="822" t="str">
        <f t="shared" si="15"/>
        <v>ㆣ</v>
      </c>
      <c r="L60" s="822" t="str">
        <f t="shared" si="15"/>
        <v>ㄍ</v>
      </c>
      <c r="M60" s="822" t="str">
        <f t="shared" si="15"/>
        <v>ㄎ</v>
      </c>
      <c r="N60" s="822" t="str">
        <f t="shared" si="15"/>
        <v>ㆡ</v>
      </c>
      <c r="O60" s="822" t="str">
        <f t="shared" si="15"/>
        <v>ㄗ</v>
      </c>
      <c r="P60" s="822" t="str">
        <f t="shared" si="15"/>
        <v>ㄘ</v>
      </c>
      <c r="Q60" s="822" t="str">
        <f t="shared" si="15"/>
        <v>ㄙ</v>
      </c>
      <c r="R60" s="822" t="str">
        <f t="shared" si="15"/>
        <v>ㆢ</v>
      </c>
      <c r="S60" s="822" t="str">
        <f t="shared" si="15"/>
        <v>ㄐ</v>
      </c>
      <c r="T60" s="822" t="str">
        <f t="shared" si="15"/>
        <v>ㄑ</v>
      </c>
      <c r="U60" s="822" t="str">
        <f t="shared" si="15"/>
        <v>ㄒ</v>
      </c>
      <c r="V60" s="822" t="str">
        <f t="shared" si="15"/>
        <v>ㄏ</v>
      </c>
      <c r="W60" s="822" t="str">
        <f t="shared" si="15"/>
        <v>ㄚ</v>
      </c>
      <c r="X60" s="822" t="str">
        <f t="shared" si="15"/>
        <v>ㄧ</v>
      </c>
      <c r="Y60" s="822" t="str">
        <f t="shared" si="15"/>
        <v>ㆨ</v>
      </c>
      <c r="Z60" s="822" t="str">
        <f t="shared" si="15"/>
        <v>ㄨ</v>
      </c>
      <c r="AA60" s="822" t="str">
        <f t="shared" si="15"/>
        <v>ㆤ</v>
      </c>
      <c r="AB60" s="822" t="str">
        <f t="shared" si="15"/>
        <v>ㆦ</v>
      </c>
      <c r="AC60" s="822" t="str">
        <f t="shared" si="15"/>
        <v>ㄜ</v>
      </c>
      <c r="AD60" s="822" t="str">
        <f t="shared" si="15"/>
        <v>ㄞ</v>
      </c>
      <c r="AE60" s="822" t="str">
        <f t="shared" si="15"/>
        <v>ㄠ</v>
      </c>
      <c r="AF60" s="822" t="str">
        <f t="shared" si="15"/>
        <v>ㆩ</v>
      </c>
      <c r="AG60" s="822" t="str">
        <f t="shared" si="15"/>
        <v>ㆪ</v>
      </c>
      <c r="AH60" s="822" t="str">
        <f t="shared" si="15"/>
        <v>ㆫ</v>
      </c>
      <c r="AI60" s="822" t="str">
        <f t="shared" si="15"/>
        <v>ㆥ</v>
      </c>
      <c r="AJ60" s="822" t="str">
        <f t="shared" si="15"/>
        <v>ㆧ</v>
      </c>
      <c r="AK60" s="822" t="str">
        <f t="shared" si="15"/>
        <v>ㆮ</v>
      </c>
      <c r="AL60" s="822" t="str">
        <f t="shared" si="15"/>
        <v>ㆯ</v>
      </c>
      <c r="AM60" s="822" t="str">
        <f t="shared" si="15"/>
        <v>ㆬ</v>
      </c>
      <c r="AN60" s="822" t="str">
        <f t="shared" si="15"/>
        <v>ㄣ</v>
      </c>
      <c r="AO60" s="822" t="str">
        <f t="shared" si="15"/>
        <v>ㆭ</v>
      </c>
      <c r="AP60" s="822" t="str">
        <f t="shared" si="15"/>
        <v>ㆰ</v>
      </c>
      <c r="AQ60" s="822" t="str">
        <f t="shared" si="15"/>
        <v>ㄢ</v>
      </c>
      <c r="AR60" s="822" t="str">
        <f t="shared" si="15"/>
        <v>ㄤ</v>
      </c>
      <c r="AS60" s="822" t="str">
        <f t="shared" si="15"/>
        <v>ㆱ</v>
      </c>
      <c r="AT60" s="822" t="str">
        <f t="shared" si="15"/>
        <v>ㆲ</v>
      </c>
      <c r="AU60" s="822" t="str">
        <f t="shared" si="15"/>
        <v>ㆴ</v>
      </c>
      <c r="AV60" s="822" t="str">
        <f t="shared" si="15"/>
        <v>ㆵ</v>
      </c>
      <c r="AW60" s="822" t="str">
        <f t="shared" si="15"/>
        <v>ㆻ</v>
      </c>
      <c r="AX60" s="822" t="str">
        <f t="shared" si="15"/>
        <v>ㆷ</v>
      </c>
      <c r="AY60" s="822" t="str">
        <f t="shared" si="15"/>
        <v>ˉ</v>
      </c>
      <c r="AZ60" s="822" t="str">
        <f t="shared" si="15"/>
        <v>ˉ</v>
      </c>
      <c r="BA60" s="822" t="str">
        <f t="shared" si="15"/>
        <v>^</v>
      </c>
      <c r="BB60" s="822" t="str">
        <f t="shared" si="15"/>
        <v>ˋ</v>
      </c>
      <c r="BC60" s="822" t="str">
        <f t="shared" si="15"/>
        <v>ˇ</v>
      </c>
      <c r="BD60" s="822" t="str">
        <f t="shared" si="15"/>
        <v>ˊ</v>
      </c>
      <c r="BE60" s="822" t="str">
        <f t="shared" si="15"/>
        <v>ˊ</v>
      </c>
      <c r="BF60" s="822" t="str">
        <f t="shared" si="15"/>
        <v>˙</v>
      </c>
      <c r="BG60" s="822" t="str">
        <f t="shared" si="15"/>
        <v>入</v>
      </c>
      <c r="BH60" s="822" t="str">
        <f t="shared" si="15"/>
        <v>ㄥ</v>
      </c>
      <c r="BI60" s="822" t="str">
        <f t="shared" si="15"/>
        <v>ñ</v>
      </c>
      <c r="BJ60" s="316"/>
      <c r="BK60" s="316"/>
      <c r="BL60" s="316"/>
      <c r="BN60" s="262">
        <f t="shared" si="0"/>
        <v>56</v>
      </c>
      <c r="BO60" s="838">
        <f>注音編碼對照表!E58</f>
        <v>8</v>
      </c>
      <c r="BP60" s="835" t="str">
        <f>注音編碼對照表!C58</f>
        <v>]</v>
      </c>
      <c r="BQ60" s="732" t="str">
        <f>注音編碼對照表!D58</f>
        <v>ˊ</v>
      </c>
      <c r="BR60" s="839" cm="1">
        <f t="array" ref="BR60" xml:space="preserve"> INDEX(注音編碼對照表[閩拼方案], MATCH(TRUE, EXACT($BP60, 注音編碼對照表[鍵盤按鍵]), 0))</f>
        <v>8</v>
      </c>
      <c r="BS60" s="840" t="str" cm="1">
        <f t="array" ref="BS60" xml:space="preserve"> INDEX(注音編碼對照表[聲韻調], MATCH(TRUE, EXACT($BP60, 注音編碼對照表[鍵盤按鍵]), 0))</f>
        <v>調</v>
      </c>
      <c r="BT60" s="841">
        <f t="shared" si="1"/>
        <v>1</v>
      </c>
      <c r="BV60" s="549" t="str">
        <f t="shared" si="11"/>
        <v xml:space="preserve">    "]": { commit: "ˊ" }  # /8/ ==&gt; 8</v>
      </c>
      <c r="CA60" s="808"/>
      <c r="CB60" s="734"/>
      <c r="CC60" s="732"/>
      <c r="CD60" s="113"/>
      <c r="CE60" s="733"/>
      <c r="CF60" s="735"/>
      <c r="CJ60" s="808"/>
      <c r="CK60" s="734"/>
      <c r="CL60" s="732"/>
      <c r="CM60" s="113"/>
      <c r="CN60" s="733"/>
      <c r="CO60" s="735"/>
      <c r="CS60" s="808"/>
      <c r="CT60" s="734"/>
      <c r="CU60" s="732"/>
      <c r="CV60" s="113"/>
      <c r="CW60" s="733"/>
      <c r="CX60" s="735"/>
      <c r="DB60" s="808"/>
      <c r="DC60" s="734"/>
      <c r="DD60" s="732"/>
      <c r="DE60" s="113"/>
      <c r="DF60" s="733"/>
      <c r="DG60" s="735"/>
    </row>
    <row r="61" spans="1:113" ht="54" customHeight="1">
      <c r="B61" s="290"/>
      <c r="C61" s="290"/>
      <c r="D61" s="290"/>
      <c r="E61" s="290"/>
      <c r="F61" s="290"/>
      <c r="G61" s="290"/>
      <c r="H61" s="290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  <c r="X61" s="290"/>
      <c r="Y61" s="290"/>
      <c r="Z61" s="290"/>
      <c r="AA61" s="290"/>
      <c r="AB61" s="290"/>
      <c r="AC61" s="290"/>
      <c r="AD61" s="290"/>
      <c r="AE61" s="290"/>
      <c r="AF61" s="290"/>
      <c r="AG61" s="290"/>
      <c r="AH61" s="290"/>
      <c r="AI61" s="290"/>
      <c r="AJ61" s="290"/>
      <c r="AK61" s="290"/>
      <c r="AL61" s="290"/>
      <c r="AM61" s="290"/>
      <c r="AN61" s="290"/>
      <c r="AO61" s="290"/>
      <c r="AP61" s="290"/>
      <c r="AQ61" s="290"/>
      <c r="AR61" s="290"/>
      <c r="AS61" s="290"/>
      <c r="AT61" s="290"/>
      <c r="AU61" s="290"/>
      <c r="AV61" s="290"/>
      <c r="AW61" s="290"/>
      <c r="AX61" s="290"/>
      <c r="AY61" s="290"/>
      <c r="AZ61" s="290"/>
      <c r="BA61" s="290"/>
      <c r="BB61" s="290"/>
      <c r="BC61" s="290"/>
      <c r="BD61" s="290"/>
      <c r="BE61" s="290"/>
      <c r="BF61" s="290"/>
      <c r="BG61" s="290"/>
      <c r="BH61" s="290"/>
      <c r="BI61" s="290"/>
      <c r="BJ61" s="316"/>
      <c r="BK61" s="316"/>
      <c r="BL61" s="316"/>
      <c r="BN61" s="262">
        <f t="shared" si="0"/>
        <v>57</v>
      </c>
      <c r="BO61" s="838">
        <f>注音編碼對照表!E59</f>
        <v>0</v>
      </c>
      <c r="BP61" s="835">
        <f>注音編碼對照表!C59</f>
        <v>7</v>
      </c>
      <c r="BQ61" s="732" t="str">
        <f>注音編碼對照表!D59</f>
        <v>˙</v>
      </c>
      <c r="BR61" s="839" cm="1">
        <f t="array" ref="BR61" xml:space="preserve"> INDEX(注音編碼對照表[閩拼方案], MATCH(TRUE, EXACT($BP61, 注音編碼對照表[鍵盤按鍵]), 0))</f>
        <v>0</v>
      </c>
      <c r="BS61" s="840" t="str" cm="1">
        <f t="array" ref="BS61" xml:space="preserve"> INDEX(注音編碼對照表[聲韻調], MATCH(TRUE, EXACT($BP61, 注音編碼對照表[鍵盤按鍵]), 0))</f>
        <v>調</v>
      </c>
      <c r="BT61" s="841">
        <f t="shared" si="1"/>
        <v>1</v>
      </c>
      <c r="BV61" s="549" t="str">
        <f t="shared" si="11"/>
        <v xml:space="preserve">    "7": { commit: "˙" }  # /0/ ==&gt; 0</v>
      </c>
      <c r="CA61" s="808"/>
      <c r="CB61" s="734"/>
      <c r="CC61" s="732"/>
      <c r="CD61" s="113"/>
      <c r="CE61" s="733"/>
      <c r="CF61" s="735"/>
      <c r="CJ61" s="808"/>
      <c r="CK61" s="734"/>
      <c r="CL61" s="732"/>
      <c r="CM61" s="113"/>
      <c r="CN61" s="733"/>
      <c r="CO61" s="735"/>
      <c r="CS61" s="808"/>
      <c r="CT61" s="734"/>
      <c r="CU61" s="732"/>
      <c r="CV61" s="113"/>
      <c r="CW61" s="733"/>
      <c r="CX61" s="735"/>
      <c r="DB61" s="808"/>
      <c r="DC61" s="734"/>
      <c r="DD61" s="732"/>
      <c r="DE61" s="113"/>
      <c r="DF61" s="733"/>
      <c r="DG61" s="735"/>
    </row>
    <row r="62" spans="1:113" ht="45.75">
      <c r="B62" s="290"/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  <c r="X62" s="290"/>
      <c r="Y62" s="290"/>
      <c r="Z62" s="290"/>
      <c r="AA62" s="290"/>
      <c r="AB62" s="290"/>
      <c r="AC62" s="290"/>
      <c r="AD62" s="290"/>
      <c r="AE62" s="290"/>
      <c r="AF62" s="290"/>
      <c r="AG62" s="290"/>
      <c r="AH62" s="290"/>
      <c r="AI62" s="290"/>
      <c r="AJ62" s="290"/>
      <c r="AK62" s="290"/>
      <c r="AL62" s="290"/>
      <c r="AM62" s="290"/>
      <c r="AN62" s="290"/>
      <c r="AO62" s="290"/>
      <c r="AP62" s="290"/>
      <c r="AQ62" s="290"/>
      <c r="AR62" s="290"/>
      <c r="AS62" s="290"/>
      <c r="AT62" s="290"/>
      <c r="AU62" s="290"/>
      <c r="AV62" s="290"/>
      <c r="AW62" s="290"/>
      <c r="AX62" s="290"/>
      <c r="AY62" s="290"/>
      <c r="AZ62" s="290"/>
      <c r="BA62" s="290"/>
      <c r="BB62" s="290"/>
      <c r="BC62" s="290"/>
      <c r="BD62" s="290"/>
      <c r="BE62" s="290"/>
      <c r="BF62" s="290"/>
      <c r="BG62" s="290"/>
      <c r="BH62" s="290"/>
      <c r="BI62" s="290"/>
      <c r="BJ62" s="316"/>
      <c r="BK62" s="316"/>
      <c r="BL62" s="316"/>
      <c r="BN62" s="262">
        <f t="shared" si="0"/>
        <v>58</v>
      </c>
      <c r="BO62" s="838">
        <f>注音編碼對照表!E60</f>
        <v>9</v>
      </c>
      <c r="BP62" s="835" t="str">
        <f>注音編碼對照表!C60</f>
        <v>.</v>
      </c>
      <c r="BQ62" s="732" t="str">
        <f>注音編碼對照表!D60</f>
        <v>入</v>
      </c>
      <c r="BR62" s="839" cm="1">
        <f t="array" ref="BR62" xml:space="preserve"> INDEX(注音編碼對照表[閩拼方案], MATCH(TRUE, EXACT($BP62, 注音編碼對照表[鍵盤按鍵]), 0))</f>
        <v>9</v>
      </c>
      <c r="BS62" s="840" t="str" cm="1">
        <f t="array" ref="BS62" xml:space="preserve"> INDEX(注音編碼對照表[聲韻調], MATCH(TRUE, EXACT($BP62, 注音編碼對照表[鍵盤按鍵]), 0))</f>
        <v>鍵</v>
      </c>
      <c r="BT62" s="841">
        <f t="shared" si="1"/>
        <v>1</v>
      </c>
      <c r="BV62" s="549" t="str">
        <f t="shared" si="11"/>
        <v xml:space="preserve">    ".": { commit: "入" }  # /9/ ==&gt; 9</v>
      </c>
      <c r="CA62" s="808"/>
      <c r="CB62" s="734"/>
      <c r="CC62" s="732"/>
      <c r="CD62" s="113"/>
      <c r="CE62" s="733"/>
      <c r="CF62" s="735"/>
      <c r="CJ62" s="808"/>
      <c r="CK62" s="734"/>
      <c r="CL62" s="732"/>
      <c r="CM62" s="113"/>
      <c r="CN62" s="733"/>
      <c r="CO62" s="735"/>
      <c r="CS62" s="808"/>
      <c r="CT62" s="734"/>
      <c r="CU62" s="732"/>
      <c r="CV62" s="113"/>
      <c r="CW62" s="733"/>
      <c r="CX62" s="735"/>
      <c r="DB62" s="808"/>
      <c r="DC62" s="734"/>
      <c r="DD62" s="732"/>
      <c r="DE62" s="113"/>
      <c r="DF62" s="733"/>
      <c r="DG62" s="735"/>
    </row>
    <row r="63" spans="1:113" ht="45.75">
      <c r="B63" s="307" t="s">
        <v>578</v>
      </c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0"/>
      <c r="AI63" s="290"/>
      <c r="AJ63" s="290"/>
      <c r="AK63" s="316"/>
      <c r="AL63" s="316"/>
      <c r="AM63" s="290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290"/>
      <c r="BH63" s="290"/>
      <c r="BI63" s="290"/>
      <c r="BJ63" s="316"/>
      <c r="BK63" s="316"/>
      <c r="BL63" s="316"/>
      <c r="BN63" s="262">
        <f t="shared" si="0"/>
        <v>59</v>
      </c>
      <c r="BO63" s="838" t="str">
        <f>注音編碼對照表!E61</f>
        <v>L</v>
      </c>
      <c r="BP63" s="835" t="str">
        <f>注音編碼對照表!C61</f>
        <v>=</v>
      </c>
      <c r="BQ63" s="732" t="str">
        <f>注音編碼對照表!D61</f>
        <v>ㄥ</v>
      </c>
      <c r="BR63" s="839" t="str" cm="1">
        <f t="array" ref="BR63" xml:space="preserve"> INDEX(注音編碼對照表[閩拼方案], MATCH(TRUE, EXACT($BP63, 注音編碼對照表[鍵盤按鍵]), 0))</f>
        <v>nn</v>
      </c>
      <c r="BS63" s="840" t="str" cm="1">
        <f t="array" ref="BS63" xml:space="preserve"> INDEX(注音編碼對照表[聲韻調], MATCH(TRUE, EXACT($BP63, 注音編碼對照表[鍵盤按鍵]), 0))</f>
        <v>鍵</v>
      </c>
      <c r="BT63" s="841">
        <f t="shared" si="1"/>
        <v>2</v>
      </c>
      <c r="CA63" s="808"/>
      <c r="CB63" s="734"/>
      <c r="CC63" s="732"/>
      <c r="CD63" s="113"/>
      <c r="CE63" s="733"/>
      <c r="CF63" s="735"/>
      <c r="CJ63" s="808"/>
      <c r="CK63" s="734"/>
      <c r="CL63" s="732"/>
      <c r="CM63" s="113"/>
      <c r="CN63" s="733"/>
      <c r="CO63" s="735"/>
      <c r="CS63" s="808"/>
      <c r="CT63" s="734"/>
      <c r="CU63" s="732"/>
      <c r="CV63" s="113"/>
      <c r="CW63" s="733"/>
      <c r="CX63" s="735"/>
      <c r="DB63" s="808"/>
      <c r="DC63" s="734"/>
      <c r="DD63" s="732"/>
      <c r="DE63" s="113"/>
      <c r="DF63" s="733"/>
      <c r="DG63" s="735"/>
    </row>
    <row r="64" spans="1:113" ht="45.75">
      <c r="B64" s="293" t="s">
        <v>579</v>
      </c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4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0"/>
      <c r="AI64" s="290"/>
      <c r="AJ64" s="290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0"/>
        <v>60</v>
      </c>
      <c r="BO64" s="838" t="str">
        <f>注音編碼對照表!E62</f>
        <v>*</v>
      </c>
      <c r="BP64" s="835" t="str">
        <f>注音編碼對照表!C62</f>
        <v>-</v>
      </c>
      <c r="BQ64" s="732" t="str">
        <f>注音編碼對照表!D62</f>
        <v>ñ</v>
      </c>
      <c r="BR64" s="839" t="str" cm="1">
        <f t="array" ref="BR64" xml:space="preserve"> INDEX(注音編碼對照表[閩拼方案], MATCH(TRUE, EXACT($BP64, 注音編碼對照表[鍵盤按鍵]), 0))</f>
        <v>*nn</v>
      </c>
      <c r="BS64" s="840" t="str" cm="1">
        <f t="array" ref="BS64" xml:space="preserve"> INDEX(注音編碼對照表[聲韻調], MATCH(TRUE, EXACT($BP64, 注音編碼對照表[鍵盤按鍵]), 0))</f>
        <v>鍵</v>
      </c>
      <c r="BT64" s="841">
        <f t="shared" si="1"/>
        <v>3</v>
      </c>
      <c r="CA64" s="808"/>
      <c r="CB64" s="734"/>
      <c r="CC64" s="732"/>
      <c r="CD64" s="113"/>
      <c r="CE64" s="733"/>
      <c r="CF64" s="735"/>
      <c r="CJ64" s="808"/>
      <c r="CK64" s="734"/>
      <c r="CL64" s="732"/>
      <c r="CM64" s="113"/>
      <c r="CN64" s="733"/>
      <c r="CO64" s="735"/>
      <c r="CS64" s="808"/>
      <c r="CT64" s="734"/>
      <c r="CU64" s="732"/>
      <c r="CV64" s="113"/>
      <c r="CW64" s="733"/>
      <c r="CX64" s="735"/>
      <c r="DB64" s="808"/>
      <c r="DC64" s="734"/>
      <c r="DD64" s="732"/>
      <c r="DE64" s="113"/>
      <c r="DF64" s="733"/>
      <c r="DG64" s="735"/>
    </row>
    <row r="65" spans="1:111" ht="45.75">
      <c r="A65" s="765">
        <f xml:space="preserve"> LEN(B83)</f>
        <v>60</v>
      </c>
      <c r="B65" s="308" t="s">
        <v>8711</v>
      </c>
      <c r="C65" s="309"/>
      <c r="D65" s="309">
        <f xml:space="preserve"> LEN(E65)</f>
        <v>54</v>
      </c>
      <c r="E65" s="310" t="str">
        <f xml:space="preserve"> _xlfn.CONCAT(D17:BE17)</f>
        <v>mBbpndtlŋvgkZzcsJjCShaiwueOoIURDXEQxyMNGY@AWHPTKV17653</v>
      </c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310"/>
      <c r="AF65" s="310"/>
      <c r="AG65" s="310"/>
      <c r="AH65" s="310"/>
      <c r="AI65" s="310"/>
      <c r="AJ65" s="310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J65" s="316"/>
      <c r="BK65" s="316"/>
      <c r="BL65" s="316"/>
      <c r="BQ65" s="829"/>
      <c r="BS65" s="829"/>
      <c r="CA65" s="58"/>
      <c r="CB65" s="734"/>
      <c r="CC65" s="732"/>
      <c r="CD65" s="113"/>
      <c r="CE65" s="733"/>
      <c r="CF65" s="735"/>
      <c r="CJ65" s="58"/>
      <c r="CK65" s="734"/>
      <c r="CL65" s="732"/>
      <c r="CM65" s="113"/>
      <c r="CN65" s="733"/>
      <c r="CO65" s="735"/>
      <c r="CS65" s="58"/>
      <c r="CT65" s="734"/>
      <c r="CU65" s="732"/>
      <c r="CV65" s="113"/>
      <c r="CW65" s="733"/>
      <c r="CX65" s="735"/>
      <c r="DB65" s="58"/>
      <c r="DC65" s="734"/>
      <c r="DD65" s="732"/>
      <c r="DE65" s="113"/>
      <c r="DF65" s="733"/>
      <c r="DG65" s="735"/>
    </row>
    <row r="66" spans="1:111">
      <c r="A66" s="765">
        <f xml:space="preserve"> LEN(B84)</f>
        <v>60</v>
      </c>
      <c r="B66" s="311" t="s">
        <v>15</v>
      </c>
      <c r="C66" s="312"/>
      <c r="D66" s="312">
        <f>LEN(E66)</f>
        <v>54</v>
      </c>
      <c r="E66" s="311" t="str">
        <f xml:space="preserve"> _xlfn.CONCAT(D19:BE19)</f>
        <v>ㄇㆠㄅㄆㄋㄉㄊㄌㄫㆣㄍㄎㆡㄗㄘㄙㆢㄐㄑㄒㄏㄚㄧㆨㄨㆤㆦㄜㄞㄠㆩㆪㆫㆥㆧㆮㆯㆬㄣㆭㆰㄢㄤㆱㆲㆴㆵㆻㆷˉˉ^ˋˇ</v>
      </c>
      <c r="F66" s="311"/>
      <c r="G66" s="311"/>
      <c r="H66" s="311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BJ66" s="316"/>
      <c r="BK66" s="316"/>
      <c r="BL66" s="316"/>
    </row>
    <row r="67" spans="1:111">
      <c r="B67" s="303" t="str">
        <f xml:space="preserve"> "- xlit|" &amp; E65 &amp; "|" &amp; E66 &amp; "|"</f>
        <v>- xlit|mBbpndtlŋvgkZzcsJjCShaiwueOoIURDXEQxyMNGY@AWHPTKV17653|ㄇㆠㄅㄆㄋㄉㄊㄌㄫㆣㄍㄎㆡㄗㄘㄙㆢㄐㄑㄒㄏㄚㄧㆨㄨㆤㆦㄜㄞㄠㆩㆪㆫㆥㆧㆮㆯㆬㄣㆭㆰㄢㄤㆱㆲㆴㆵㆻㆷˉˉ^ˋˇ|</v>
      </c>
      <c r="C67" s="314"/>
      <c r="D67" s="314"/>
      <c r="E67" s="314"/>
      <c r="F67" s="314"/>
      <c r="G67" s="314"/>
      <c r="H67" s="314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04"/>
      <c r="AH67" s="304"/>
      <c r="AI67" s="304"/>
      <c r="AJ67" s="304"/>
      <c r="BJ67" s="316"/>
      <c r="BK67" s="316"/>
      <c r="BL67" s="316"/>
    </row>
    <row r="68" spans="1:111"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BJ68" s="316"/>
      <c r="BK68" s="316"/>
      <c r="BL68" s="316"/>
    </row>
    <row r="69" spans="1:111">
      <c r="A69" s="765">
        <f xml:space="preserve"> LEN(B88)</f>
        <v>49</v>
      </c>
      <c r="B69" s="758" t="s">
        <v>8769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758" cm="1">
        <f t="array" aca="1" ref="Y69" ca="1" xml:space="preserve"> INDIRECT( ADDRESS( ROW()-1, COLUMN()-1) )</f>
        <v>0</v>
      </c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BJ69" s="316"/>
      <c r="BK69" s="316"/>
      <c r="BL69" s="316"/>
    </row>
    <row r="70" spans="1:111">
      <c r="A70" s="765">
        <f xml:space="preserve"> LEN(B89)</f>
        <v>49</v>
      </c>
      <c r="B70" s="758" t="s">
        <v>8770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758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BJ70" s="316"/>
      <c r="BK70" s="316"/>
      <c r="BL70" s="316"/>
    </row>
    <row r="71" spans="1:111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BJ71" s="316"/>
      <c r="BK71" s="316"/>
      <c r="BL71" s="316"/>
    </row>
    <row r="72" spans="1:111">
      <c r="B72" s="316"/>
      <c r="C72" s="316"/>
      <c r="D72" s="316"/>
      <c r="BC72" s="316"/>
      <c r="BD72" s="316"/>
      <c r="BE72" s="316"/>
      <c r="BF72" s="316"/>
      <c r="BG72" s="316"/>
      <c r="BH72" s="316"/>
      <c r="BI72" s="316"/>
      <c r="BJ72" s="316"/>
      <c r="BK72" s="316"/>
      <c r="BL72" s="316"/>
    </row>
    <row r="73" spans="1:111" ht="45" customHeight="1">
      <c r="B73" s="753">
        <v>1</v>
      </c>
      <c r="C73" s="753">
        <v>2</v>
      </c>
      <c r="D73" s="753">
        <v>3</v>
      </c>
      <c r="E73" s="753">
        <v>4</v>
      </c>
      <c r="F73" s="753">
        <v>5</v>
      </c>
      <c r="G73" s="753">
        <v>6</v>
      </c>
      <c r="H73" s="753">
        <v>7</v>
      </c>
      <c r="I73" s="753">
        <v>8</v>
      </c>
      <c r="J73" s="753">
        <v>9</v>
      </c>
      <c r="K73" s="753">
        <v>10</v>
      </c>
      <c r="L73" s="753">
        <v>11</v>
      </c>
      <c r="M73" s="753">
        <v>12</v>
      </c>
      <c r="N73" s="753">
        <v>13</v>
      </c>
      <c r="O73" s="753">
        <v>14</v>
      </c>
      <c r="P73" s="753">
        <v>15</v>
      </c>
      <c r="Q73" s="753">
        <v>16</v>
      </c>
      <c r="R73" s="753">
        <v>17</v>
      </c>
      <c r="S73" s="754">
        <v>18</v>
      </c>
      <c r="T73" s="753">
        <v>19</v>
      </c>
      <c r="U73" s="753">
        <v>20</v>
      </c>
      <c r="V73" s="753">
        <v>21</v>
      </c>
      <c r="W73" s="753">
        <v>22</v>
      </c>
      <c r="X73" s="753">
        <v>23</v>
      </c>
      <c r="Y73" s="753">
        <v>24</v>
      </c>
      <c r="Z73" s="753">
        <v>25</v>
      </c>
      <c r="AA73" s="753">
        <v>26</v>
      </c>
      <c r="AB73" s="753">
        <v>27</v>
      </c>
      <c r="AC73" s="753">
        <v>28</v>
      </c>
      <c r="AD73" s="753">
        <v>29</v>
      </c>
      <c r="AE73" s="753">
        <v>30</v>
      </c>
      <c r="AF73" s="753">
        <v>31</v>
      </c>
      <c r="AG73" s="753">
        <v>32</v>
      </c>
      <c r="AH73" s="755">
        <v>33</v>
      </c>
      <c r="AI73" s="755">
        <v>34</v>
      </c>
      <c r="AJ73" s="755">
        <v>35</v>
      </c>
      <c r="AK73" s="755">
        <v>36</v>
      </c>
      <c r="AL73" s="756">
        <v>37</v>
      </c>
      <c r="AM73" s="755">
        <v>38</v>
      </c>
      <c r="AN73" s="755">
        <v>39</v>
      </c>
      <c r="AO73" s="755">
        <v>40</v>
      </c>
      <c r="AP73" s="755">
        <v>41</v>
      </c>
      <c r="AQ73" s="755">
        <v>42</v>
      </c>
      <c r="AR73" s="755">
        <v>43</v>
      </c>
      <c r="AS73" s="755">
        <v>44</v>
      </c>
      <c r="AT73" s="755">
        <v>45</v>
      </c>
      <c r="AU73" s="755">
        <v>46</v>
      </c>
      <c r="AV73" s="755">
        <v>47</v>
      </c>
      <c r="AW73" s="755">
        <v>48</v>
      </c>
      <c r="AX73" s="755">
        <v>49</v>
      </c>
      <c r="AY73" s="755">
        <v>50</v>
      </c>
      <c r="AZ73" s="755">
        <v>51</v>
      </c>
      <c r="BA73" s="755">
        <v>52</v>
      </c>
      <c r="BB73" s="755">
        <v>53</v>
      </c>
      <c r="BC73" s="755">
        <v>54</v>
      </c>
      <c r="BD73" s="755">
        <v>55</v>
      </c>
      <c r="BE73" s="755">
        <v>56</v>
      </c>
      <c r="BF73" s="755">
        <v>57</v>
      </c>
      <c r="BG73" s="755">
        <v>58</v>
      </c>
      <c r="BH73" s="755">
        <v>59</v>
      </c>
      <c r="BI73" s="755">
        <v>60</v>
      </c>
      <c r="BJ73" s="316"/>
      <c r="BK73" s="316"/>
      <c r="BL73" s="316"/>
    </row>
    <row r="74" spans="1:111" ht="45" customHeight="1">
      <c r="A74" s="765">
        <f xml:space="preserve"> LEN(B93)</f>
        <v>60</v>
      </c>
      <c r="B74" s="770" t="str" cm="1">
        <f t="array" ref="B74:BI74" xml:space="preserve"> TRANSPOSE(注音編碼對照表[字典編碼])</f>
        <v>m</v>
      </c>
      <c r="C74" s="770" t="str">
        <v>B</v>
      </c>
      <c r="D74" s="770" t="str">
        <v>b</v>
      </c>
      <c r="E74" s="770" t="str">
        <v>p</v>
      </c>
      <c r="F74" s="770" t="str">
        <v>n</v>
      </c>
      <c r="G74" s="770" t="str">
        <v>d</v>
      </c>
      <c r="H74" s="770" t="str">
        <v>t</v>
      </c>
      <c r="I74" s="770" t="str">
        <v>l</v>
      </c>
      <c r="J74" s="770" t="str">
        <v>ŋ</v>
      </c>
      <c r="K74" s="770" t="str">
        <v>v</v>
      </c>
      <c r="L74" s="770" t="str">
        <v>g</v>
      </c>
      <c r="M74" s="770" t="str">
        <v>k</v>
      </c>
      <c r="N74" s="770" t="str">
        <v>Z</v>
      </c>
      <c r="O74" s="770" t="str">
        <v>z</v>
      </c>
      <c r="P74" s="770" t="str">
        <v>c</v>
      </c>
      <c r="Q74" s="770" t="str">
        <v>s</v>
      </c>
      <c r="R74" s="770" t="str">
        <v>J</v>
      </c>
      <c r="S74" s="770" t="str">
        <v>j</v>
      </c>
      <c r="T74" s="770" t="str">
        <v>C</v>
      </c>
      <c r="U74" s="770" t="str">
        <v>S</v>
      </c>
      <c r="V74" s="770" t="str">
        <v>h</v>
      </c>
      <c r="W74" s="770" t="str">
        <v>a</v>
      </c>
      <c r="X74" s="770" t="str">
        <v>i</v>
      </c>
      <c r="Y74" s="770" t="str">
        <v>w</v>
      </c>
      <c r="Z74" s="770" t="str">
        <v>u</v>
      </c>
      <c r="AA74" s="770" t="str">
        <v>e</v>
      </c>
      <c r="AB74" s="770" t="str">
        <v>O</v>
      </c>
      <c r="AC74" s="770" t="str">
        <v>o</v>
      </c>
      <c r="AD74" s="770" t="str">
        <v>I</v>
      </c>
      <c r="AE74" s="770" t="str">
        <v>U</v>
      </c>
      <c r="AF74" s="770" t="str">
        <v>R</v>
      </c>
      <c r="AG74" s="770" t="str">
        <v>D</v>
      </c>
      <c r="AH74" s="771" t="str">
        <v>X</v>
      </c>
      <c r="AI74" s="771" t="str">
        <v>E</v>
      </c>
      <c r="AJ74" s="771" t="str">
        <v>Q</v>
      </c>
      <c r="AK74" s="771" t="str">
        <v>x</v>
      </c>
      <c r="AL74" s="772" t="str">
        <v>y</v>
      </c>
      <c r="AM74" s="771" t="str">
        <v>M</v>
      </c>
      <c r="AN74" s="771" t="str">
        <v>N</v>
      </c>
      <c r="AO74" s="771" t="str">
        <v>G</v>
      </c>
      <c r="AP74" s="771" t="str">
        <v>Y</v>
      </c>
      <c r="AQ74" s="771" t="str">
        <v>@</v>
      </c>
      <c r="AR74" s="771" t="str">
        <v>A</v>
      </c>
      <c r="AS74" s="771" t="str">
        <v>W</v>
      </c>
      <c r="AT74" s="771" t="str">
        <v>H</v>
      </c>
      <c r="AU74" s="771" t="str">
        <v>P</v>
      </c>
      <c r="AV74" s="771" t="str">
        <v>T</v>
      </c>
      <c r="AW74" s="771" t="str">
        <v>K</v>
      </c>
      <c r="AX74" s="771" t="str">
        <v>V</v>
      </c>
      <c r="AY74" s="771">
        <v>1</v>
      </c>
      <c r="AZ74" s="771">
        <v>7</v>
      </c>
      <c r="BA74" s="771">
        <v>6</v>
      </c>
      <c r="BB74" s="771">
        <v>5</v>
      </c>
      <c r="BC74" s="771">
        <v>3</v>
      </c>
      <c r="BD74" s="771">
        <v>2</v>
      </c>
      <c r="BE74" s="771">
        <v>8</v>
      </c>
      <c r="BF74" s="771">
        <v>0</v>
      </c>
      <c r="BG74" s="771">
        <v>9</v>
      </c>
      <c r="BH74" s="771" t="str">
        <v>L</v>
      </c>
      <c r="BI74" s="771" t="str">
        <v>*</v>
      </c>
      <c r="BJ74" s="316"/>
      <c r="BK74" s="316"/>
    </row>
    <row r="75" spans="1:111" ht="45" customHeight="1">
      <c r="A75" s="765">
        <f xml:space="preserve"> LEN(B94)</f>
        <v>60</v>
      </c>
      <c r="B75" s="767" t="str" cm="1">
        <f t="array" ref="B75:BI75" xml:space="preserve"> TRANSPOSE(注音編碼對照表[鍵盤按鍵])</f>
        <v>a</v>
      </c>
      <c r="C75" s="767" t="str">
        <v>!</v>
      </c>
      <c r="D75" s="767" t="str">
        <v>1</v>
      </c>
      <c r="E75" s="767" t="str">
        <v>q</v>
      </c>
      <c r="F75" s="767" t="str">
        <v>s</v>
      </c>
      <c r="G75" s="767" t="str">
        <v>2</v>
      </c>
      <c r="H75" s="767" t="str">
        <v>w</v>
      </c>
      <c r="I75" s="767" t="str">
        <v>x</v>
      </c>
      <c r="J75" s="767" t="str">
        <v>N</v>
      </c>
      <c r="K75" s="767" t="str">
        <v>E</v>
      </c>
      <c r="L75" s="767" t="str">
        <v>e</v>
      </c>
      <c r="M75" s="767" t="str">
        <v>d</v>
      </c>
      <c r="N75" s="767" t="str">
        <v>Y</v>
      </c>
      <c r="O75" s="767" t="str">
        <v>y</v>
      </c>
      <c r="P75" s="767" t="str">
        <v>h</v>
      </c>
      <c r="Q75" s="767" t="str">
        <v>n</v>
      </c>
      <c r="R75" s="767" t="str">
        <v>R</v>
      </c>
      <c r="S75" s="767" t="str">
        <v>r</v>
      </c>
      <c r="T75" s="767" t="str">
        <v>f</v>
      </c>
      <c r="U75" s="767" t="str">
        <v>v</v>
      </c>
      <c r="V75" s="767" t="str">
        <v>c</v>
      </c>
      <c r="W75" s="767" t="str">
        <v>8</v>
      </c>
      <c r="X75" s="767" t="str">
        <v>u</v>
      </c>
      <c r="Y75" s="767" t="str">
        <v>K</v>
      </c>
      <c r="Z75" s="767" t="str">
        <v>j</v>
      </c>
      <c r="AA75" s="767" t="str">
        <v>,</v>
      </c>
      <c r="AB75" s="767" t="str">
        <v>i</v>
      </c>
      <c r="AC75" s="767" t="str">
        <v>k</v>
      </c>
      <c r="AD75" s="767" t="str">
        <v>9</v>
      </c>
      <c r="AE75" s="767" t="str">
        <v>l</v>
      </c>
      <c r="AF75" s="767" t="str">
        <v>*</v>
      </c>
      <c r="AG75" s="767" t="str">
        <v>U</v>
      </c>
      <c r="AH75" s="768" t="str">
        <v>J</v>
      </c>
      <c r="AI75" s="768" t="str">
        <v>&lt;</v>
      </c>
      <c r="AJ75" s="768" t="str">
        <v>I</v>
      </c>
      <c r="AK75" s="768" t="str">
        <v>(</v>
      </c>
      <c r="AL75" s="769" t="str">
        <v>L</v>
      </c>
      <c r="AM75" s="768" t="str">
        <v>m</v>
      </c>
      <c r="AN75" s="768" t="str">
        <v>p</v>
      </c>
      <c r="AO75" s="768" t="str">
        <v>/</v>
      </c>
      <c r="AP75" s="768" t="str">
        <v>M</v>
      </c>
      <c r="AQ75" s="768" t="str">
        <v>0</v>
      </c>
      <c r="AR75" s="768" t="str">
        <v>;</v>
      </c>
      <c r="AS75" s="768" t="str">
        <v>O</v>
      </c>
      <c r="AT75" s="768" t="str">
        <v>o</v>
      </c>
      <c r="AU75" s="768" t="str">
        <v>b</v>
      </c>
      <c r="AV75" s="768" t="str">
        <v>t</v>
      </c>
      <c r="AW75" s="768" t="str">
        <v>g</v>
      </c>
      <c r="AX75" s="768" t="str">
        <v>z</v>
      </c>
      <c r="AY75" s="768" t="str">
        <v>'</v>
      </c>
      <c r="AZ75" s="768" t="str">
        <v>[</v>
      </c>
      <c r="BA75" s="768">
        <v>5</v>
      </c>
      <c r="BB75" s="768">
        <v>3</v>
      </c>
      <c r="BC75" s="768">
        <v>4</v>
      </c>
      <c r="BD75" s="768">
        <v>6</v>
      </c>
      <c r="BE75" s="768" t="str">
        <v>]</v>
      </c>
      <c r="BF75" s="768">
        <v>7</v>
      </c>
      <c r="BG75" s="768" t="str">
        <v>.</v>
      </c>
      <c r="BH75" s="768" t="str">
        <v>=</v>
      </c>
      <c r="BI75" s="768" t="str">
        <v>-</v>
      </c>
      <c r="BJ75" s="316"/>
      <c r="BK75" s="316"/>
    </row>
    <row r="76" spans="1:111" ht="45" customHeight="1">
      <c r="B76" s="759" t="str" cm="1">
        <f t="array" ref="B76:BI76" xml:space="preserve"> TRANSPOSE(注音編碼對照表[方音符號])</f>
        <v>ㄇ</v>
      </c>
      <c r="C76" s="759" t="str">
        <v>ㆠ</v>
      </c>
      <c r="D76" s="759" t="str">
        <v>ㄅ</v>
      </c>
      <c r="E76" s="759" t="str">
        <v>ㄆ</v>
      </c>
      <c r="F76" s="759" t="str">
        <v>ㄋ</v>
      </c>
      <c r="G76" s="759" t="str">
        <v>ㄉ</v>
      </c>
      <c r="H76" s="759" t="str">
        <v>ㄊ</v>
      </c>
      <c r="I76" s="759" t="str">
        <v>ㄌ</v>
      </c>
      <c r="J76" s="759" t="str">
        <v>ㄫ</v>
      </c>
      <c r="K76" s="759" t="str">
        <v>ㆣ</v>
      </c>
      <c r="L76" s="759" t="str">
        <v>ㄍ</v>
      </c>
      <c r="M76" s="759" t="str">
        <v>ㄎ</v>
      </c>
      <c r="N76" s="759" t="str">
        <v>ㆡ</v>
      </c>
      <c r="O76" s="759" t="str">
        <v>ㄗ</v>
      </c>
      <c r="P76" s="759" t="str">
        <v>ㄘ</v>
      </c>
      <c r="Q76" s="759" t="str">
        <v>ㄙ</v>
      </c>
      <c r="R76" s="759" t="str">
        <v>ㆢ</v>
      </c>
      <c r="S76" s="759" t="str">
        <v>ㄐ</v>
      </c>
      <c r="T76" s="759" t="str">
        <v>ㄑ</v>
      </c>
      <c r="U76" s="759" t="str">
        <v>ㄒ</v>
      </c>
      <c r="V76" s="759" t="str">
        <v>ㄏ</v>
      </c>
      <c r="W76" s="759" t="str">
        <v>ㄚ</v>
      </c>
      <c r="X76" s="759" t="str">
        <v>ㄧ</v>
      </c>
      <c r="Y76" s="759" t="str">
        <v>ㆨ</v>
      </c>
      <c r="Z76" s="759" t="str">
        <v>ㄨ</v>
      </c>
      <c r="AA76" s="759" t="str">
        <v>ㆤ</v>
      </c>
      <c r="AB76" s="759" t="str">
        <v>ㆦ</v>
      </c>
      <c r="AC76" s="759" t="str">
        <v>ㄜ</v>
      </c>
      <c r="AD76" s="759" t="str">
        <v>ㄞ</v>
      </c>
      <c r="AE76" s="759" t="str">
        <v>ㄠ</v>
      </c>
      <c r="AF76" s="759" t="str">
        <v>ㆩ</v>
      </c>
      <c r="AG76" s="759" t="str">
        <v>ㆪ</v>
      </c>
      <c r="AH76" s="760" t="str">
        <v>ㆫ</v>
      </c>
      <c r="AI76" s="760" t="str">
        <v>ㆥ</v>
      </c>
      <c r="AJ76" s="760" t="str">
        <v>ㆧ</v>
      </c>
      <c r="AK76" s="760" t="str">
        <v>ㆮ</v>
      </c>
      <c r="AL76" s="761" t="str">
        <v>ㆯ</v>
      </c>
      <c r="AM76" s="760" t="str">
        <v>ㆬ</v>
      </c>
      <c r="AN76" s="760" t="str">
        <v>ㄣ</v>
      </c>
      <c r="AO76" s="760" t="str">
        <v>ㆭ</v>
      </c>
      <c r="AP76" s="760" t="str">
        <v>ㆰ</v>
      </c>
      <c r="AQ76" s="760" t="str">
        <v>ㄢ</v>
      </c>
      <c r="AR76" s="760" t="str">
        <v>ㄤ</v>
      </c>
      <c r="AS76" s="760" t="str">
        <v>ㆱ</v>
      </c>
      <c r="AT76" s="760" t="str">
        <v>ㆲ</v>
      </c>
      <c r="AU76" s="760" t="str">
        <v>ㆴ</v>
      </c>
      <c r="AV76" s="760" t="str">
        <v>ㆵ</v>
      </c>
      <c r="AW76" s="760" t="str">
        <v>ㆻ</v>
      </c>
      <c r="AX76" s="760" t="str">
        <v>ㆷ</v>
      </c>
      <c r="AY76" s="760" t="str">
        <v>ˉ</v>
      </c>
      <c r="AZ76" s="760" t="str">
        <v>ˉ</v>
      </c>
      <c r="BA76" s="760" t="str">
        <v>^</v>
      </c>
      <c r="BB76" s="760" t="str">
        <v>ˋ</v>
      </c>
      <c r="BC76" s="760" t="str">
        <v>ˇ</v>
      </c>
      <c r="BD76" s="760" t="str">
        <v>ˊ</v>
      </c>
      <c r="BE76" s="760" t="str">
        <v>ˊ</v>
      </c>
      <c r="BF76" s="760" t="str">
        <v>˙</v>
      </c>
      <c r="BG76" s="760" t="str">
        <v>入</v>
      </c>
      <c r="BH76" s="760" t="str">
        <v>ㄥ</v>
      </c>
      <c r="BI76" s="760" t="str">
        <v>ñ</v>
      </c>
      <c r="BJ76" s="316"/>
      <c r="BK76" s="316"/>
    </row>
    <row r="77" spans="1:111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11" ht="39">
      <c r="B78" s="773" t="str">
        <f>_xlfn.CONCAT("  alphabet: """,B75:AX75,BF75:BH75,AY75:BE75,"""")</f>
        <v xml:space="preserve">  alphabet: "a!1qs2wxNEedYyhnRrfvc8uKj,ik9l*UJ&lt;I(Lmp/M0;Oobtgz7.='[5346]"</v>
      </c>
      <c r="C78" s="773"/>
      <c r="D78" s="773"/>
      <c r="E78" s="773"/>
      <c r="F78" s="773"/>
      <c r="G78" s="773"/>
      <c r="H78" s="773"/>
      <c r="I78" s="773"/>
      <c r="J78" s="773"/>
      <c r="K78" s="773"/>
      <c r="L78" s="773"/>
      <c r="M78" s="773"/>
      <c r="N78" s="773"/>
      <c r="O78" s="773"/>
      <c r="P78" s="773"/>
      <c r="Q78" s="773"/>
      <c r="R78" s="773"/>
      <c r="S78" s="773"/>
      <c r="T78" s="773"/>
      <c r="U78" s="773"/>
      <c r="V78" s="773"/>
      <c r="W78" s="773"/>
      <c r="X78" s="773"/>
      <c r="Y78" s="773"/>
      <c r="Z78" s="773"/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316"/>
      <c r="BK78" s="316"/>
    </row>
    <row r="79" spans="1:111" ht="39">
      <c r="B79" s="773" t="str">
        <f>_xlfn.CONCAT("  initials: """,B75:AX75,BF75:BH75,"""")</f>
        <v xml:space="preserve">  initials: "a!1qs2wxNEedYyhnRrfvc8uKj,ik9l*UJ&lt;I(Lmp/M0;Oobtgz7.="</v>
      </c>
      <c r="C79" s="773"/>
      <c r="D79" s="773"/>
      <c r="E79" s="773"/>
      <c r="F79" s="773"/>
      <c r="G79" s="773"/>
      <c r="H79" s="773"/>
      <c r="I79" s="773"/>
      <c r="J79" s="773"/>
      <c r="K79" s="773"/>
      <c r="L79" s="773"/>
      <c r="M79" s="773"/>
      <c r="N79" s="773"/>
      <c r="O79" s="773"/>
      <c r="P79" s="773"/>
      <c r="Q79" s="773"/>
      <c r="R79" s="773"/>
      <c r="S79" s="773"/>
      <c r="T79" s="773"/>
      <c r="U79" s="773"/>
      <c r="V79" s="773"/>
      <c r="W79" s="773"/>
      <c r="X79" s="773"/>
      <c r="Y79" s="773"/>
      <c r="Z79" s="773"/>
      <c r="AA79" s="773"/>
      <c r="AB79" s="773"/>
      <c r="AC79" s="773"/>
      <c r="AD79" s="773"/>
      <c r="AE79" s="773"/>
      <c r="AF79" s="773"/>
      <c r="AG79" s="773"/>
      <c r="AH79" s="773"/>
      <c r="AI79" s="773"/>
      <c r="AJ79" s="773"/>
      <c r="AK79" s="773"/>
      <c r="AL79" s="773"/>
      <c r="AM79" s="773"/>
      <c r="AN79" s="773"/>
      <c r="AO79" s="773"/>
      <c r="AP79" s="773"/>
      <c r="AQ79" s="773"/>
      <c r="AR79" s="773"/>
      <c r="AS79" s="773"/>
      <c r="AT79" s="773"/>
      <c r="AU79" s="773"/>
      <c r="AV79" s="773"/>
      <c r="AW79" s="773"/>
      <c r="AX79" s="773"/>
      <c r="AY79" s="773"/>
      <c r="AZ79" s="773"/>
      <c r="BA79" s="773"/>
      <c r="BB79" s="773"/>
      <c r="BC79" s="773"/>
      <c r="BD79" s="773"/>
      <c r="BE79" s="773"/>
      <c r="BF79" s="773"/>
      <c r="BG79" s="773"/>
      <c r="BH79" s="773"/>
      <c r="BI79" s="773"/>
      <c r="BJ79" s="316"/>
      <c r="BK79" s="316"/>
    </row>
    <row r="80" spans="1:111" ht="39">
      <c r="A80" s="765">
        <f xml:space="preserve"> LEN(B99)</f>
        <v>49</v>
      </c>
      <c r="B80" s="773" t="str">
        <f>_xlfn.CONCAT("  finals: """,AY75:BE75,"""")</f>
        <v xml:space="preserve">  finals: "'[5346]"</v>
      </c>
      <c r="C80" s="773"/>
      <c r="D80" s="773"/>
      <c r="E80" s="773"/>
      <c r="F80" s="773"/>
      <c r="G80" s="773"/>
      <c r="H80" s="773"/>
      <c r="I80" s="773"/>
      <c r="J80" s="773"/>
      <c r="K80" s="773"/>
      <c r="L80" s="773"/>
      <c r="M80" s="773"/>
      <c r="N80" s="773"/>
      <c r="O80" s="773"/>
      <c r="P80" s="773"/>
      <c r="Q80" s="773"/>
      <c r="R80" s="773"/>
      <c r="S80" s="773"/>
      <c r="T80" s="773"/>
      <c r="U80" s="773"/>
      <c r="V80" s="773"/>
      <c r="W80" s="773"/>
      <c r="X80" s="773"/>
      <c r="Y80" s="773"/>
      <c r="Z80" s="773"/>
      <c r="AA80" s="773"/>
      <c r="AB80" s="773"/>
      <c r="AC80" s="773"/>
      <c r="AD80" s="773"/>
      <c r="AE80" s="773"/>
      <c r="AF80" s="773"/>
      <c r="AG80" s="773"/>
      <c r="AH80" s="773"/>
      <c r="AI80" s="773"/>
      <c r="AJ80" s="773"/>
      <c r="AK80" s="773"/>
      <c r="AL80" s="773"/>
      <c r="AM80" s="773"/>
      <c r="AN80" s="773"/>
      <c r="AO80" s="773"/>
      <c r="AP80" s="773"/>
      <c r="AQ80" s="773"/>
      <c r="AR80" s="773"/>
      <c r="AS80" s="773"/>
      <c r="AT80" s="773"/>
      <c r="AU80" s="773"/>
      <c r="AV80" s="773"/>
      <c r="AW80" s="773"/>
      <c r="AX80" s="773"/>
      <c r="AY80" s="773"/>
      <c r="AZ80" s="773"/>
      <c r="BA80" s="773"/>
      <c r="BB80" s="773"/>
      <c r="BC80" s="773"/>
      <c r="BD80" s="773"/>
      <c r="BE80" s="773"/>
      <c r="BF80" s="773"/>
      <c r="BG80" s="773"/>
      <c r="BH80" s="773"/>
      <c r="BI80" s="773"/>
      <c r="BJ80" s="316"/>
      <c r="BK80" s="316"/>
    </row>
    <row r="81" spans="1:63">
      <c r="A81" s="765">
        <f xml:space="preserve"> LEN(B100)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4" t="str">
        <f>_xlfn.CONCAT(_xlfn.ANCHORARRAY(B74))</f>
        <v>mBbpndtlŋvgkZzcsJjCShaiwueOoIURDXEQxyMNGY@AWHPTKV176532809L*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  <c r="BJ83" s="316"/>
      <c r="BK83" s="316"/>
    </row>
    <row r="84" spans="1:63" ht="39">
      <c r="B84" s="764" t="str">
        <f>_xlfn.CONCAT(_xlfn.ANCHORARRAY(B75))</f>
        <v>a!1qs2wxNEedYyhnRrfvc8uKj,ik9l*UJ&lt;I(Lmp/M0;Oobtgz'[5346]7.=-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  <c r="BJ84" s="316"/>
      <c r="BK84" s="316"/>
    </row>
    <row r="85" spans="1:63" ht="39">
      <c r="B85" s="764" t="str">
        <f xml:space="preserve"> _xlfn.CONCAT("    - xlit|", B83, "|", B84,"|")</f>
        <v xml:space="preserve">    - xlit|mBbpndtlŋvgkZzcsJjCShaiwueOoIURDXEQxyMNGY@AWHPTKV176532809L*|a!1qs2wxNEedYyhnRrfvc8uKj,ik9l*UJ&lt;I(Lmp/M0;Oobtgz'[5346]7.=-|</v>
      </c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  <c r="BJ85" s="316"/>
      <c r="BK85" s="316"/>
    </row>
    <row r="86" spans="1:63">
      <c r="A86" s="765"/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  <c r="BJ86" s="316"/>
      <c r="BK86" s="316"/>
    </row>
    <row r="87" spans="1:63">
      <c r="A87" s="765"/>
      <c r="B87" s="316"/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  <c r="BJ87" s="316"/>
      <c r="BK87" s="316"/>
    </row>
    <row r="88" spans="1:63" ht="39">
      <c r="B88" s="764" t="str">
        <f>_xlfn.CONCAT(B75:AX75)</f>
        <v>a!1qs2wxNEedYyhnRrfvc8uKj,ik9l*UJ&lt;I(Lmp/M0;Oobtgz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  <c r="BJ88" s="316"/>
      <c r="BK88" s="316"/>
    </row>
    <row r="89" spans="1:63" ht="39">
      <c r="B89" s="764" t="str">
        <f>_xlfn.CONCAT(B76:AX76)</f>
        <v>ㄇㆠㄅㄆㄋㄉㄊㄌㄫㆣㄍㄎㆡㄗㄘㄙㆢㄐㄑㄒㄏㄚㄧㆨㄨㆤㆦㄜㄞㄠㆩㆪㆫㆥㆧㆮㆯㆬㄣㆭㆰㄢㄤㆱㆲㆴㆵㆻㆷ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64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3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 ht="39">
      <c r="A92" s="765">
        <f ca="1" xml:space="preserve"> LEN(B110)</f>
        <v>49</v>
      </c>
      <c r="B92" s="773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 ht="39">
      <c r="A93" s="765">
        <f ca="1" xml:space="preserve"> LEN(B111)</f>
        <v>49</v>
      </c>
      <c r="B93" s="764" t="str">
        <f>_xlfn.CONCAT(_xlfn.ANCHORARRAY(B75))</f>
        <v>a!1qs2wxNEedYyhnRrfvc8uKj,ik9l*UJ&lt;I(Lmp/M0;Oobtgz'[5346]7.=-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 ht="39">
      <c r="B94" s="764" t="str">
        <f>_xlfn.CONCAT(_xlfn.ANCHORARRAY(B76))</f>
        <v>ㄇㆠㄅㄆㄋㄉㄊㄌㄫㆣㄍㄎㆡㄗㄘㄙㆢㄐㄑㄒㄏㄚㄧㆨㄨㆤㆦㄜㄞㄠㆩㆪㆫㆥㆧㆮㆯㆬㄣㆭㆰㄢㄤㆱㆲㆴㆵㆻㆷˉˉ^ˋˇˊˊ˙入ㄥñ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 ht="39">
      <c r="B95" s="764" t="str">
        <f xml:space="preserve"> _xlfn.CONCAT("    - xlit|", B93, "|", B94,"|")</f>
        <v xml:space="preserve">    - xlit|a!1qs2wxNEedYyhnRrfvc8uKj,ik9l*UJ&lt;I(Lmp/M0;Oobtgz'[5346]7.=-|ㄇㆠㄅㄆㄋㄉㄊㄌㄫㆣㄍㄎㆡㄗㄘㄙㆢㄐㄑㄒㄏㄚㄧㆨㄨㆤㆦㄜㄞㄠㆩㆪㆫㆥㆧㆮㆯㆬㄣㆭㆰㄢㄤㆱㆲㆴㆵㆻㆷˉˉ^ˋˇˊˊ˙入ㄥñ|</v>
      </c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/>
      <c r="AV95" s="316"/>
      <c r="AW95" s="316"/>
      <c r="AX95" s="316"/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 ht="39">
      <c r="B96" s="773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C96" s="316"/>
      <c r="BD96" s="316"/>
      <c r="BE96" s="316"/>
      <c r="BF96" s="316"/>
      <c r="BG96" s="316"/>
      <c r="BH96" s="316"/>
      <c r="BI96" s="316"/>
    </row>
    <row r="97" spans="2:61" ht="39">
      <c r="B97" s="773"/>
      <c r="C97" s="316"/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6"/>
      <c r="AC97" s="316"/>
      <c r="AD97" s="316"/>
      <c r="AE97" s="316"/>
      <c r="AF97" s="316"/>
      <c r="AG97" s="316"/>
      <c r="AH97" s="316"/>
      <c r="AI97" s="316"/>
      <c r="AJ97" s="316"/>
      <c r="AK97" s="316"/>
      <c r="AL97" s="316"/>
      <c r="AM97" s="316"/>
      <c r="AN97" s="316"/>
      <c r="AO97" s="316"/>
      <c r="AP97" s="316"/>
      <c r="AQ97" s="316"/>
      <c r="AR97" s="316"/>
      <c r="AS97" s="316"/>
      <c r="AT97" s="316"/>
      <c r="AU97" s="316"/>
      <c r="AV97" s="316"/>
      <c r="AW97" s="316"/>
      <c r="AX97" s="316"/>
      <c r="AY97" s="316"/>
      <c r="AZ97" s="316"/>
      <c r="BA97" s="316"/>
      <c r="BB97" s="316"/>
      <c r="BC97" s="316"/>
      <c r="BD97" s="316"/>
      <c r="BE97" s="316"/>
      <c r="BF97" s="316"/>
      <c r="BG97" s="316"/>
      <c r="BH97" s="316"/>
      <c r="BI97" s="316"/>
    </row>
    <row r="98" spans="2:61">
      <c r="B98" s="316"/>
      <c r="C98" s="316"/>
      <c r="D98" s="316"/>
      <c r="E98" s="316"/>
      <c r="F98" s="316"/>
      <c r="G98" s="316"/>
      <c r="H98" s="316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6"/>
      <c r="AC98" s="316"/>
      <c r="AD98" s="316"/>
      <c r="AE98" s="316"/>
      <c r="AF98" s="316"/>
      <c r="AG98" s="316"/>
      <c r="AH98" s="316"/>
      <c r="AI98" s="316"/>
      <c r="AJ98" s="316"/>
      <c r="AK98" s="316"/>
      <c r="AL98" s="316"/>
      <c r="AM98" s="316"/>
      <c r="AN98" s="316"/>
      <c r="AO98" s="316"/>
      <c r="AP98" s="316"/>
      <c r="AQ98" s="316"/>
      <c r="AR98" s="316"/>
      <c r="AS98" s="316"/>
      <c r="AT98" s="316"/>
      <c r="AU98" s="316"/>
      <c r="AV98" s="316"/>
      <c r="AW98" s="316"/>
      <c r="AX98" s="316"/>
      <c r="AY98" s="316"/>
      <c r="AZ98" s="316"/>
      <c r="BA98" s="316"/>
      <c r="BB98" s="316"/>
      <c r="BC98" s="316"/>
      <c r="BD98" s="316"/>
      <c r="BE98" s="316"/>
      <c r="BF98" s="316"/>
      <c r="BG98" s="316"/>
      <c r="BH98" s="316"/>
      <c r="BI98" s="316"/>
    </row>
    <row r="99" spans="2:61">
      <c r="B99" s="758" t="s">
        <v>8771</v>
      </c>
      <c r="C99" s="316"/>
      <c r="D99" s="316"/>
      <c r="E99" s="316"/>
      <c r="F99" s="316"/>
      <c r="G99" s="316"/>
      <c r="H99" s="316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6"/>
      <c r="AC99" s="316"/>
      <c r="AD99" s="316"/>
      <c r="AE99" s="316"/>
      <c r="AF99" s="316"/>
      <c r="AG99" s="316"/>
      <c r="AH99" s="316"/>
      <c r="AI99" s="316"/>
      <c r="AJ99" s="316"/>
      <c r="AK99" s="316"/>
      <c r="AL99" s="316"/>
      <c r="AM99" s="316"/>
      <c r="AN99" s="316"/>
      <c r="AO99" s="316"/>
      <c r="AP99" s="316"/>
      <c r="AQ99" s="316"/>
      <c r="AR99" s="316"/>
      <c r="AS99" s="316"/>
      <c r="AT99" s="316"/>
      <c r="AU99" s="316"/>
      <c r="AV99" s="316"/>
      <c r="AW99" s="316"/>
      <c r="AX99" s="316"/>
      <c r="AY99" s="316"/>
      <c r="AZ99" s="316"/>
      <c r="BA99" s="316"/>
      <c r="BB99" s="316"/>
      <c r="BC99" s="316"/>
      <c r="BD99" s="316"/>
      <c r="BE99" s="316"/>
      <c r="BF99" s="316"/>
      <c r="BG99" s="316"/>
      <c r="BH99" s="316"/>
      <c r="BI99" s="316"/>
    </row>
    <row r="100" spans="2:61">
      <c r="B100" s="758" t="s">
        <v>8772</v>
      </c>
      <c r="C100" s="316"/>
      <c r="D100" s="316"/>
      <c r="E100" s="316"/>
      <c r="F100" s="316"/>
      <c r="G100" s="316"/>
      <c r="H100" s="316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6"/>
      <c r="AC100" s="316"/>
      <c r="AD100" s="316"/>
      <c r="AE100" s="316"/>
      <c r="AF100" s="316"/>
      <c r="AG100" s="316"/>
      <c r="AH100" s="316"/>
      <c r="AI100" s="316"/>
      <c r="AJ100" s="316"/>
      <c r="AK100" s="316"/>
      <c r="AL100" s="316"/>
      <c r="AM100" s="316"/>
      <c r="AN100" s="316"/>
      <c r="AO100" s="316"/>
      <c r="AP100" s="316"/>
      <c r="AQ100" s="316"/>
      <c r="AR100" s="316"/>
      <c r="AS100" s="316"/>
      <c r="AT100" s="316"/>
      <c r="AU100" s="316"/>
      <c r="AV100" s="316"/>
      <c r="AW100" s="316"/>
      <c r="AX100" s="316"/>
      <c r="AY100" s="316"/>
      <c r="AZ100" s="316"/>
      <c r="BA100" s="316"/>
      <c r="BB100" s="316"/>
      <c r="BC100" s="316"/>
      <c r="BD100" s="316"/>
      <c r="BE100" s="316"/>
      <c r="BF100" s="316"/>
      <c r="BG100" s="316"/>
      <c r="BH100" s="316"/>
      <c r="BI100" s="316"/>
    </row>
    <row r="101" spans="2:61">
      <c r="B101" s="316"/>
      <c r="C101" s="316"/>
      <c r="D101" s="316"/>
      <c r="E101" s="316"/>
      <c r="F101" s="316"/>
      <c r="G101" s="316"/>
      <c r="H101" s="316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6"/>
      <c r="AC101" s="316"/>
      <c r="AD101" s="316"/>
      <c r="AE101" s="316"/>
      <c r="AF101" s="316"/>
      <c r="AG101" s="316"/>
      <c r="AH101" s="316"/>
      <c r="AI101" s="316"/>
      <c r="AJ101" s="316"/>
      <c r="AK101" s="316"/>
      <c r="AL101" s="316"/>
      <c r="AM101" s="316"/>
      <c r="AN101" s="316"/>
      <c r="AO101" s="316"/>
      <c r="AP101" s="316"/>
      <c r="AQ101" s="316"/>
      <c r="AR101" s="316"/>
      <c r="AS101" s="316"/>
      <c r="AT101" s="316"/>
      <c r="AU101" s="316" t="s">
        <v>190</v>
      </c>
      <c r="AV101" s="316" t="s">
        <v>30</v>
      </c>
      <c r="AW101" s="316" t="s">
        <v>184</v>
      </c>
      <c r="AX101" s="316" t="s">
        <v>179</v>
      </c>
      <c r="AY101" s="316"/>
      <c r="AZ101" s="316"/>
      <c r="BA101" s="316"/>
      <c r="BB101" s="316"/>
      <c r="BC101" s="316"/>
      <c r="BD101" s="316"/>
      <c r="BE101" s="316"/>
      <c r="BF101" s="316"/>
      <c r="BG101" s="316"/>
      <c r="BH101" s="316"/>
      <c r="BI101" s="316"/>
    </row>
    <row r="102" spans="2:61">
      <c r="B102" s="316"/>
      <c r="C102" s="316"/>
      <c r="D102" s="316"/>
      <c r="E102" s="316"/>
      <c r="F102" s="316"/>
      <c r="G102" s="316"/>
      <c r="H102" s="316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6"/>
      <c r="AC102" s="316"/>
      <c r="AD102" s="316"/>
      <c r="AE102" s="316"/>
      <c r="AF102" s="316"/>
      <c r="AG102" s="316"/>
      <c r="AH102" s="316"/>
      <c r="AI102" s="316"/>
      <c r="AJ102" s="316"/>
      <c r="AK102" s="316"/>
      <c r="AL102" s="316"/>
      <c r="AM102" s="316"/>
      <c r="AN102" s="316"/>
      <c r="AO102" s="316"/>
      <c r="AP102" s="316"/>
      <c r="AQ102" s="316"/>
      <c r="AR102" s="316"/>
      <c r="AS102" s="316"/>
      <c r="AT102" s="316"/>
      <c r="AU102" s="316"/>
      <c r="AV102" s="316"/>
      <c r="AW102" s="316"/>
      <c r="AX102" s="316"/>
      <c r="AY102" s="316"/>
      <c r="AZ102" s="316"/>
      <c r="BA102" s="316"/>
      <c r="BB102" s="316"/>
      <c r="BG102" s="316"/>
      <c r="BH102" s="316"/>
      <c r="BI102" s="316"/>
    </row>
    <row r="103" spans="2:61">
      <c r="B103" s="753">
        <v>1</v>
      </c>
      <c r="C103" s="753">
        <v>2</v>
      </c>
      <c r="D103" s="753">
        <v>3</v>
      </c>
      <c r="E103" s="753">
        <v>4</v>
      </c>
      <c r="F103" s="753">
        <v>5</v>
      </c>
      <c r="G103" s="753">
        <v>6</v>
      </c>
      <c r="H103" s="753">
        <v>7</v>
      </c>
      <c r="I103" s="753">
        <v>8</v>
      </c>
      <c r="J103" s="753">
        <v>9</v>
      </c>
      <c r="K103" s="753">
        <v>10</v>
      </c>
      <c r="L103" s="753">
        <v>11</v>
      </c>
      <c r="M103" s="753">
        <v>12</v>
      </c>
      <c r="N103" s="753">
        <v>13</v>
      </c>
      <c r="O103" s="753">
        <v>14</v>
      </c>
      <c r="P103" s="753">
        <v>15</v>
      </c>
      <c r="Q103" s="753">
        <v>16</v>
      </c>
      <c r="R103" s="753">
        <v>17</v>
      </c>
      <c r="S103" s="754">
        <v>18</v>
      </c>
      <c r="T103" s="753">
        <v>19</v>
      </c>
      <c r="U103" s="753">
        <v>20</v>
      </c>
      <c r="V103" s="753">
        <v>21</v>
      </c>
      <c r="W103" s="753">
        <v>22</v>
      </c>
      <c r="X103" s="753">
        <v>23</v>
      </c>
      <c r="Y103" s="753">
        <v>24</v>
      </c>
      <c r="Z103" s="753">
        <v>25</v>
      </c>
      <c r="AA103" s="753">
        <v>26</v>
      </c>
      <c r="AB103" s="753">
        <v>27</v>
      </c>
      <c r="AC103" s="753">
        <v>28</v>
      </c>
      <c r="AD103" s="753">
        <v>29</v>
      </c>
      <c r="AE103" s="753">
        <v>30</v>
      </c>
      <c r="AF103" s="753">
        <v>31</v>
      </c>
      <c r="AG103" s="753">
        <v>32</v>
      </c>
      <c r="AH103" s="755">
        <v>33</v>
      </c>
      <c r="AI103" s="755">
        <v>34</v>
      </c>
      <c r="AJ103" s="755">
        <v>35</v>
      </c>
      <c r="AK103" s="755">
        <v>36</v>
      </c>
      <c r="AL103" s="756">
        <v>37</v>
      </c>
      <c r="AM103" s="755">
        <v>38</v>
      </c>
      <c r="AN103" s="755">
        <v>39</v>
      </c>
      <c r="AO103" s="755">
        <v>40</v>
      </c>
      <c r="AP103" s="755">
        <v>41</v>
      </c>
      <c r="AQ103" s="755">
        <v>42</v>
      </c>
      <c r="AR103" s="755">
        <v>43</v>
      </c>
      <c r="AS103" s="755">
        <v>44</v>
      </c>
      <c r="AT103" s="755">
        <v>45</v>
      </c>
      <c r="AU103" s="755">
        <v>46</v>
      </c>
      <c r="AV103" s="755">
        <v>47</v>
      </c>
      <c r="AW103" s="755">
        <v>48</v>
      </c>
      <c r="AX103" s="755">
        <v>49</v>
      </c>
      <c r="AY103" s="755">
        <v>50</v>
      </c>
      <c r="AZ103" s="755">
        <v>51</v>
      </c>
      <c r="BA103" s="755">
        <v>52</v>
      </c>
      <c r="BB103" s="755">
        <v>53</v>
      </c>
      <c r="BC103" s="755">
        <v>54</v>
      </c>
      <c r="BD103" s="755">
        <v>55</v>
      </c>
      <c r="BE103" s="755">
        <v>56</v>
      </c>
      <c r="BF103" s="755">
        <v>57</v>
      </c>
      <c r="BG103" s="755">
        <v>58</v>
      </c>
      <c r="BH103" s="755">
        <v>59</v>
      </c>
      <c r="BI103" s="755">
        <v>60</v>
      </c>
    </row>
    <row r="104" spans="2:61">
      <c r="B104" s="757" t="str" cm="1">
        <f t="array" aca="1" ref="B104" ca="1" xml:space="preserve"> MID($B$99, INDIRECT( ADDRESS(ROW()-1, COLUMN()) ),1)</f>
        <v>1</v>
      </c>
      <c r="C104" s="757" t="str" cm="1">
        <f t="array" aca="1" ref="C104" ca="1" xml:space="preserve"> MID($B$99, INDIRECT( ADDRESS(ROW()-1, COLUMN()) ),1)</f>
        <v>!</v>
      </c>
      <c r="D104" s="757" t="str" cm="1">
        <f t="array" aca="1" ref="D104" ca="1" xml:space="preserve"> MID($B$99, INDIRECT( ADDRESS(ROW()-1, COLUMN()) ),1)</f>
        <v>q</v>
      </c>
      <c r="E104" s="757" t="str" cm="1">
        <f t="array" aca="1" ref="E104" ca="1" xml:space="preserve"> MID($B$99, INDIRECT( ADDRESS(ROW()-1, COLUMN()) ),1)</f>
        <v>a</v>
      </c>
      <c r="F104" s="757" t="str" cm="1">
        <f t="array" aca="1" ref="F104" ca="1" xml:space="preserve"> MID($B$99, INDIRECT( ADDRESS(ROW()-1, COLUMN()) ),1)</f>
        <v>2</v>
      </c>
      <c r="G104" s="757" t="str" cm="1">
        <f t="array" aca="1" ref="G104" ca="1" xml:space="preserve"> MID($B$99, INDIRECT( ADDRESS(ROW()-1, COLUMN()) ),1)</f>
        <v>w</v>
      </c>
      <c r="H104" s="757" t="str" cm="1">
        <f t="array" aca="1" ref="H104" ca="1" xml:space="preserve"> MID($B$99, INDIRECT( ADDRESS(ROW()-1, COLUMN()) ),1)</f>
        <v>s</v>
      </c>
      <c r="I104" s="757" t="str" cm="1">
        <f t="array" aca="1" ref="I104" ca="1" xml:space="preserve"> MID($B$99, INDIRECT( ADDRESS(ROW()-1, COLUMN()) ),1)</f>
        <v>x</v>
      </c>
      <c r="J104" s="757" t="str" cm="1">
        <f t="array" aca="1" ref="J104" ca="1" xml:space="preserve"> MID($B$99, INDIRECT( ADDRESS(ROW()-1, COLUMN()) ),1)</f>
        <v>e</v>
      </c>
      <c r="K104" s="757" t="str" cm="1">
        <f t="array" aca="1" ref="K104" ca="1" xml:space="preserve"> MID($B$99, INDIRECT( ADDRESS(ROW()-1, COLUMN()) ),1)</f>
        <v>E</v>
      </c>
      <c r="L104" s="757" t="str" cm="1">
        <f t="array" aca="1" ref="L104" ca="1" xml:space="preserve"> MID($B$99, INDIRECT( ADDRESS(ROW()-1, COLUMN()) ),1)</f>
        <v>d</v>
      </c>
      <c r="M104" s="757" t="s">
        <v>8773</v>
      </c>
      <c r="N104" s="757" t="str" cm="1">
        <f t="array" aca="1" ref="N104" ca="1" xml:space="preserve"> MID($B$99, INDIRECT( ADDRESS(ROW()-1, COLUMN()) ),1)</f>
        <v>c</v>
      </c>
      <c r="O104" s="757" t="str" cm="1">
        <f t="array" aca="1" ref="O104" ca="1" xml:space="preserve"> MID($B$99, INDIRECT( ADDRESS(ROW()-1, COLUMN()) ),1)</f>
        <v>r</v>
      </c>
      <c r="P104" s="757" t="str" cm="1">
        <f t="array" aca="1" ref="P104" ca="1" xml:space="preserve"> MID($B$99, INDIRECT( ADDRESS(ROW()-1, COLUMN()) ),1)</f>
        <v>R</v>
      </c>
      <c r="Q104" s="757" t="str" cm="1">
        <f t="array" aca="1" ref="Q104" ca="1" xml:space="preserve"> MID($B$99, INDIRECT( ADDRESS(ROW()-1, COLUMN()) ),1)</f>
        <v>f</v>
      </c>
      <c r="R104" s="757" t="str" cm="1">
        <f t="array" aca="1" ref="R104" ca="1" xml:space="preserve"> MID($B$99, INDIRECT( ADDRESS(ROW()-1, COLUMN()) ),1)</f>
        <v>v</v>
      </c>
      <c r="S104" s="757" t="str" cm="1">
        <f t="array" aca="1" ref="S104" ca="1" xml:space="preserve"> MID($B$99, INDIRECT( ADDRESS(ROW()-1, COLUMN()) ),1)</f>
        <v>y</v>
      </c>
      <c r="T104" s="757" t="str" cm="1">
        <f t="array" aca="1" ref="T104" ca="1" xml:space="preserve"> MID($B$99, INDIRECT( ADDRESS(ROW()-1, COLUMN()) ),1)</f>
        <v>Y</v>
      </c>
      <c r="U104" s="757" t="str" cm="1">
        <f t="array" aca="1" ref="U104" ca="1" xml:space="preserve"> MID($B$99, INDIRECT( ADDRESS(ROW()-1, COLUMN()) ),1)</f>
        <v>h</v>
      </c>
      <c r="V104" s="757" t="str" cm="1">
        <f t="array" aca="1" ref="V104" ca="1" xml:space="preserve"> MID($B$99, INDIRECT( ADDRESS(ROW()-1, COLUMN()) ),1)</f>
        <v>n</v>
      </c>
      <c r="W104" s="757" t="str" cm="1">
        <f t="array" aca="1" ref="W104" ca="1" xml:space="preserve"> MID($B$99, INDIRECT( ADDRESS(ROW()-1, COLUMN()) ),1)</f>
        <v>u</v>
      </c>
      <c r="X104" s="757" t="str" cm="1">
        <f t="array" aca="1" ref="X104" ca="1" xml:space="preserve"> MID($B$99, INDIRECT( ADDRESS(ROW()-1, COLUMN()) ),1)</f>
        <v>U</v>
      </c>
      <c r="Y104" s="757" t="str" cm="1">
        <f t="array" aca="1" ref="Y104" ca="1" xml:space="preserve"> MID($B$99, INDIRECT( ADDRESS(ROW()-1, COLUMN()) ),1)</f>
        <v>j</v>
      </c>
      <c r="Z104" s="757" t="str" cm="1">
        <f t="array" aca="1" ref="Z104" ca="1" xml:space="preserve"> MID($B$99, INDIRECT( ADDRESS(ROW()-1, COLUMN()) ),1)</f>
        <v>J</v>
      </c>
      <c r="AA104" s="757" t="str" cm="1">
        <f t="array" aca="1" ref="AA104" ca="1" xml:space="preserve"> MID($B$99, INDIRECT( ADDRESS(ROW()-1, COLUMN()) ),1)</f>
        <v>8</v>
      </c>
      <c r="AB104" s="757" t="str" cm="1">
        <f t="array" aca="1" ref="AB104" ca="1" xml:space="preserve"> MID($B$99, INDIRECT( ADDRESS(ROW()-1, COLUMN()) ),1)</f>
        <v>*</v>
      </c>
      <c r="AC104" s="757" t="str" cm="1">
        <f t="array" aca="1" ref="AC104" ca="1" xml:space="preserve"> MID($B$99, INDIRECT( ADDRESS(ROW()-1, COLUMN()) ),1)</f>
        <v>i</v>
      </c>
      <c r="AD104" s="757" t="str" cm="1">
        <f t="array" aca="1" ref="AD104" ca="1" xml:space="preserve"> MID($B$99, INDIRECT( ADDRESS(ROW()-1, COLUMN()) ),1)</f>
        <v>I</v>
      </c>
      <c r="AE104" s="757" t="str" cm="1">
        <f t="array" aca="1" ref="AE104" ca="1" xml:space="preserve"> MID($B$99, INDIRECT( ADDRESS(ROW()-1, COLUMN()) ),1)</f>
        <v>k</v>
      </c>
      <c r="AF104" s="757" t="str" cm="1">
        <f t="array" aca="1" ref="AF104" ca="1" xml:space="preserve"> MID($B$99, INDIRECT( ADDRESS(ROW()-1, COLUMN()) ),1)</f>
        <v>,</v>
      </c>
      <c r="AG104" s="757" t="str" cm="1">
        <f t="array" aca="1" ref="AG104" ca="1" xml:space="preserve"> MID($B$99, INDIRECT( ADDRESS(ROW()-1, COLUMN()) ),1)</f>
        <v>&lt;</v>
      </c>
      <c r="AH104" s="757" t="str" cm="1">
        <f t="array" aca="1" ref="AH104" ca="1" xml:space="preserve"> MID($B$99, INDIRECT( ADDRESS(ROW()-1, COLUMN()) ),1)</f>
        <v>9</v>
      </c>
      <c r="AI104" s="757" t="str" cm="1">
        <f t="array" aca="1" ref="AI104" ca="1" xml:space="preserve"> MID($B$99, INDIRECT( ADDRESS(ROW()-1, COLUMN()) ),1)</f>
        <v>(</v>
      </c>
      <c r="AJ104" s="757" t="str" cm="1">
        <f t="array" aca="1" ref="AJ104" ca="1" xml:space="preserve"> MID($B$99, INDIRECT( ADDRESS(ROW()-1, COLUMN()) ),1)</f>
        <v>l</v>
      </c>
      <c r="AK104" s="757" t="str" cm="1">
        <f t="array" aca="1" ref="AK104" ca="1" xml:space="preserve"> MID($B$99, INDIRECT( ADDRESS(ROW()-1, COLUMN()) ),1)</f>
        <v>L</v>
      </c>
      <c r="AL104" s="757" t="str" cm="1">
        <f t="array" aca="1" ref="AL104" ca="1" xml:space="preserve"> MID($B$99, INDIRECT( ADDRESS(ROW()-1, COLUMN()) ),1)</f>
        <v>;</v>
      </c>
      <c r="AM104" s="757" t="str" cm="1">
        <f t="array" aca="1" ref="AM104" ca="1" xml:space="preserve"> MID($B$99, INDIRECT( ADDRESS(ROW()-1, COLUMN()) ),1)</f>
        <v>o</v>
      </c>
      <c r="AN104" s="757" t="str" cm="1">
        <f t="array" aca="1" ref="AN104" ca="1" xml:space="preserve"> MID($B$99, INDIRECT( ADDRESS(ROW()-1, COLUMN()) ),1)</f>
        <v>M</v>
      </c>
      <c r="AO104" s="757" t="str" cm="1">
        <f t="array" aca="1" ref="AO104" ca="1" xml:space="preserve"> MID($B$99, INDIRECT( ADDRESS(ROW()-1, COLUMN()) ),1)</f>
        <v>O</v>
      </c>
      <c r="AP104" s="757" t="str" cm="1">
        <f t="array" aca="1" ref="AP104" ca="1" xml:space="preserve"> MID($B$99, INDIRECT( ADDRESS(ROW()-1, COLUMN()) ),1)</f>
        <v>0</v>
      </c>
      <c r="AQ104" s="757" t="str" cm="1">
        <f t="array" aca="1" ref="AQ104" ca="1" xml:space="preserve"> MID($B$99, INDIRECT( ADDRESS(ROW()-1, COLUMN()) ),1)</f>
        <v>m</v>
      </c>
      <c r="AR104" s="757" t="str" cm="1">
        <f t="array" aca="1" ref="AR104" ca="1" xml:space="preserve"> MID($B$99, INDIRECT( ADDRESS(ROW()-1, COLUMN()) ),1)</f>
        <v>p</v>
      </c>
      <c r="AS104" s="757" t="str" cm="1">
        <f t="array" aca="1" ref="AS104" ca="1" xml:space="preserve"> MID($B$99, INDIRECT( ADDRESS(ROW()-1, COLUMN()) ),1)</f>
        <v>/</v>
      </c>
      <c r="AT104" s="757" t="str" cm="1">
        <f t="array" aca="1" ref="AT104" ca="1" xml:space="preserve"> MID($B$99, INDIRECT( ADDRESS(ROW()-1, COLUMN()) ),1)</f>
        <v>K</v>
      </c>
      <c r="AU104" s="757" t="s">
        <v>8774</v>
      </c>
      <c r="AV104" s="757" t="s">
        <v>8775</v>
      </c>
      <c r="AW104" s="757" t="s">
        <v>8776</v>
      </c>
      <c r="AX104" s="757" t="s">
        <v>8777</v>
      </c>
      <c r="AY104" s="757" t="str" cm="1">
        <f t="array" aca="1" ref="AY104" ca="1" xml:space="preserve"> MID($B$99, INDIRECT( ADDRESS(ROW()-1, COLUMN()) ),1)</f>
        <v/>
      </c>
      <c r="AZ104" s="757" t="str" cm="1">
        <f t="array" aca="1" ref="AZ104" ca="1" xml:space="preserve"> MID($B$99, INDIRECT( ADDRESS(ROW()-1, COLUMN()) ),1)</f>
        <v/>
      </c>
      <c r="BA104" s="757" t="str" cm="1">
        <f t="array" aca="1" ref="BA104" ca="1" xml:space="preserve"> MID($B$99, INDIRECT( ADDRESS(ROW()-1, COLUMN()) ),1)</f>
        <v/>
      </c>
      <c r="BB104" s="757" t="str" cm="1">
        <f t="array" aca="1" ref="BB104" ca="1" xml:space="preserve"> MID($B$99, INDIRECT( ADDRESS(ROW()-1, COLUMN()) ),1)</f>
        <v/>
      </c>
      <c r="BC104" s="757" t="str" cm="1">
        <f t="array" aca="1" ref="BC104" ca="1" xml:space="preserve"> MID($B$99, INDIRECT( ADDRESS(ROW()-1, COLUMN()) ),1)</f>
        <v/>
      </c>
      <c r="BD104" s="757" t="str" cm="1">
        <f t="array" aca="1" ref="BD104" ca="1" xml:space="preserve"> MID($B$99, INDIRECT( ADDRESS(ROW()-1, COLUMN()) ),1)</f>
        <v/>
      </c>
      <c r="BE104" s="757" t="str" cm="1">
        <f t="array" aca="1" ref="BE104" ca="1" xml:space="preserve"> MID($B$99, INDIRECT( ADDRESS(ROW()-1, COLUMN()) ),1)</f>
        <v/>
      </c>
      <c r="BF104" s="757" t="str" cm="1">
        <f t="array" aca="1" ref="BF104" ca="1" xml:space="preserve"> MID($B$99, INDIRECT( ADDRESS(ROW()-1, COLUMN()) ),1)</f>
        <v/>
      </c>
      <c r="BG104" s="757" t="str" cm="1">
        <f t="array" aca="1" ref="BG104" ca="1" xml:space="preserve"> MID($B$99, INDIRECT( ADDRESS(ROW()-1, COLUMN()) ),1)</f>
        <v/>
      </c>
      <c r="BH104" s="757" t="str" cm="1">
        <f t="array" aca="1" ref="BH104" ca="1" xml:space="preserve"> MID($B$99, INDIRECT( ADDRESS(ROW()-1, COLUMN()) ),1)</f>
        <v/>
      </c>
      <c r="BI104" s="757" t="str" cm="1">
        <f t="array" aca="1" ref="BI104" ca="1" xml:space="preserve"> MID($B$99, INDIRECT( ADDRESS(ROW()-1, COLUMN()) ),1)</f>
        <v/>
      </c>
    </row>
    <row r="105" spans="2:61">
      <c r="B105" s="757" t="str" cm="1">
        <f t="array" aca="1" ref="B105" ca="1" xml:space="preserve"> MID($B$100, INDIRECT( ADDRESS(ROW()-2, COLUMN()) ),1)</f>
        <v>ㄅ</v>
      </c>
      <c r="C105" s="757" t="str" cm="1">
        <f t="array" aca="1" ref="C105" ca="1" xml:space="preserve"> MID($B$100, INDIRECT( ADDRESS(ROW()-2, COLUMN()) ),1)</f>
        <v>ㆠ</v>
      </c>
      <c r="D105" s="757" t="str" cm="1">
        <f t="array" aca="1" ref="D105" ca="1" xml:space="preserve"> MID($B$100, INDIRECT( ADDRESS(ROW()-2, COLUMN()) ),1)</f>
        <v>ㄆ</v>
      </c>
      <c r="E105" s="757" t="str" cm="1">
        <f t="array" aca="1" ref="E105" ca="1" xml:space="preserve"> MID($B$100, INDIRECT( ADDRESS(ROW()-2, COLUMN()) ),1)</f>
        <v>ㄇ</v>
      </c>
      <c r="F105" s="757" t="str" cm="1">
        <f t="array" aca="1" ref="F105" ca="1" xml:space="preserve"> MID($B$100, INDIRECT( ADDRESS(ROW()-2, COLUMN()) ),1)</f>
        <v>ㄉ</v>
      </c>
      <c r="G105" s="757" t="str" cm="1">
        <f t="array" aca="1" ref="G105" ca="1" xml:space="preserve"> MID($B$100, INDIRECT( ADDRESS(ROW()-2, COLUMN()) ),1)</f>
        <v>ㄊ</v>
      </c>
      <c r="H105" s="757" t="str" cm="1">
        <f t="array" aca="1" ref="H105" ca="1" xml:space="preserve"> MID($B$100, INDIRECT( ADDRESS(ROW()-2, COLUMN()) ),1)</f>
        <v>ㄋ</v>
      </c>
      <c r="I105" s="757" t="str" cm="1">
        <f t="array" aca="1" ref="I105" ca="1" xml:space="preserve"> MID($B$100, INDIRECT( ADDRESS(ROW()-2, COLUMN()) ),1)</f>
        <v>ㄌ</v>
      </c>
      <c r="J105" s="757" t="str" cm="1">
        <f t="array" aca="1" ref="J105" ca="1" xml:space="preserve"> MID($B$100, INDIRECT( ADDRESS(ROW()-2, COLUMN()) ),1)</f>
        <v>ㄍ</v>
      </c>
      <c r="K105" s="757" t="str" cm="1">
        <f t="array" aca="1" ref="K105" ca="1" xml:space="preserve"> MID($B$100, INDIRECT( ADDRESS(ROW()-2, COLUMN()) ),1)</f>
        <v>ㆣ</v>
      </c>
      <c r="L105" s="757" t="str" cm="1">
        <f t="array" aca="1" ref="L105" ca="1" xml:space="preserve"> MID($B$100, INDIRECT( ADDRESS(ROW()-2, COLUMN()) ),1)</f>
        <v>ㄎ</v>
      </c>
      <c r="M105" s="757" t="str" cm="1">
        <f t="array" aca="1" ref="M105" ca="1" xml:space="preserve"> MID($B$100, INDIRECT( ADDRESS(ROW()-2, COLUMN()) ),1)</f>
        <v>ㄫ</v>
      </c>
      <c r="N105" s="757" t="str" cm="1">
        <f t="array" aca="1" ref="N105" ca="1" xml:space="preserve"> MID($B$100, INDIRECT( ADDRESS(ROW()-2, COLUMN()) ),1)</f>
        <v>ㄏ</v>
      </c>
      <c r="O105" s="757" t="str" cm="1">
        <f t="array" aca="1" ref="O105" ca="1" xml:space="preserve"> MID($B$100, INDIRECT( ADDRESS(ROW()-2, COLUMN()) ),1)</f>
        <v>ㄐ</v>
      </c>
      <c r="P105" s="757" t="str" cm="1">
        <f t="array" aca="1" ref="P105" ca="1" xml:space="preserve"> MID($B$100, INDIRECT( ADDRESS(ROW()-2, COLUMN()) ),1)</f>
        <v>ㆢ</v>
      </c>
      <c r="Q105" s="757" t="str" cm="1">
        <f t="array" aca="1" ref="Q105" ca="1" xml:space="preserve"> MID($B$100, INDIRECT( ADDRESS(ROW()-2, COLUMN()) ),1)</f>
        <v>ㄑ</v>
      </c>
      <c r="R105" s="757" t="str" cm="1">
        <f t="array" aca="1" ref="R105" ca="1" xml:space="preserve"> MID($B$100, INDIRECT( ADDRESS(ROW()-2, COLUMN()) ),1)</f>
        <v>ㄒ</v>
      </c>
      <c r="S105" s="757" t="str" cm="1">
        <f t="array" aca="1" ref="S105" ca="1" xml:space="preserve"> MID($B$100, INDIRECT( ADDRESS(ROW()-2, COLUMN()) ),1)</f>
        <v>ㄗ</v>
      </c>
      <c r="T105" s="757" t="str" cm="1">
        <f t="array" aca="1" ref="T105" ca="1" xml:space="preserve"> MID($B$100, INDIRECT( ADDRESS(ROW()-2, COLUMN()) ),1)</f>
        <v>ㆡ</v>
      </c>
      <c r="U105" s="757" t="str" cm="1">
        <f t="array" aca="1" ref="U105" ca="1" xml:space="preserve"> MID($B$100, INDIRECT( ADDRESS(ROW()-2, COLUMN()) ),1)</f>
        <v>ㄘ</v>
      </c>
      <c r="V105" s="757" t="str" cm="1">
        <f t="array" aca="1" ref="V105" ca="1" xml:space="preserve"> MID($B$100, INDIRECT( ADDRESS(ROW()-2, COLUMN()) ),1)</f>
        <v>ㄙ</v>
      </c>
      <c r="W105" s="757" t="str" cm="1">
        <f t="array" aca="1" ref="W105" ca="1" xml:space="preserve"> MID($B$100, INDIRECT( ADDRESS(ROW()-2, COLUMN()) ),1)</f>
        <v>ㄧ</v>
      </c>
      <c r="X105" s="757" t="str" cm="1">
        <f t="array" aca="1" ref="X105" ca="1" xml:space="preserve"> MID($B$100, INDIRECT( ADDRESS(ROW()-2, COLUMN()) ),1)</f>
        <v>ㆪ</v>
      </c>
      <c r="Y105" s="757" t="str" cm="1">
        <f t="array" aca="1" ref="Y105" ca="1" xml:space="preserve"> MID($B$100, INDIRECT( ADDRESS(ROW()-2, COLUMN()) ),1)</f>
        <v>ㄨ</v>
      </c>
      <c r="Z105" s="757" t="str" cm="1">
        <f t="array" aca="1" ref="Z105" ca="1" xml:space="preserve"> MID($B$100, INDIRECT( ADDRESS(ROW()-2, COLUMN()) ),1)</f>
        <v>ㆫ</v>
      </c>
      <c r="AA105" s="757" t="str" cm="1">
        <f t="array" aca="1" ref="AA105" ca="1" xml:space="preserve"> MID($B$100, INDIRECT( ADDRESS(ROW()-2, COLUMN()) ),1)</f>
        <v>ㄚ</v>
      </c>
      <c r="AB105" s="757" t="str" cm="1">
        <f t="array" aca="1" ref="AB105" ca="1" xml:space="preserve"> MID($B$100, INDIRECT( ADDRESS(ROW()-2, COLUMN()) ),1)</f>
        <v>ㆩ</v>
      </c>
      <c r="AC105" s="757" t="str" cm="1">
        <f t="array" aca="1" ref="AC105" ca="1" xml:space="preserve"> MID($B$100, INDIRECT( ADDRESS(ROW()-2, COLUMN()) ),1)</f>
        <v>ㆦ</v>
      </c>
      <c r="AD105" s="757" t="str" cm="1">
        <f t="array" aca="1" ref="AD105" ca="1" xml:space="preserve"> MID($B$100, INDIRECT( ADDRESS(ROW()-2, COLUMN()) ),1)</f>
        <v>ㆧ</v>
      </c>
      <c r="AE105" s="757" t="str" cm="1">
        <f t="array" aca="1" ref="AE105" ca="1" xml:space="preserve"> MID($B$100, INDIRECT( ADDRESS(ROW()-2, COLUMN()) ),1)</f>
        <v>ㄜ</v>
      </c>
      <c r="AF105" s="757" t="str" cm="1">
        <f t="array" aca="1" ref="AF105" ca="1" xml:space="preserve"> MID($B$100, INDIRECT( ADDRESS(ROW()-2, COLUMN()) ),1)</f>
        <v>ㆤ</v>
      </c>
      <c r="AG105" s="757" t="str" cm="1">
        <f t="array" aca="1" ref="AG105" ca="1" xml:space="preserve"> MID($B$100, INDIRECT( ADDRESS(ROW()-2, COLUMN()) ),1)</f>
        <v>ㆥ</v>
      </c>
      <c r="AH105" s="757" t="str" cm="1">
        <f t="array" aca="1" ref="AH105" ca="1" xml:space="preserve"> MID($B$100, INDIRECT( ADDRESS(ROW()-2, COLUMN()) ),1)</f>
        <v>ㄞ</v>
      </c>
      <c r="AI105" s="757" t="str" cm="1">
        <f t="array" aca="1" ref="AI105" ca="1" xml:space="preserve"> MID($B$100, INDIRECT( ADDRESS(ROW()-2, COLUMN()) ),1)</f>
        <v>ㆮ</v>
      </c>
      <c r="AJ105" s="757" t="str" cm="1">
        <f t="array" aca="1" ref="AJ105" ca="1" xml:space="preserve"> MID($B$100, INDIRECT( ADDRESS(ROW()-2, COLUMN()) ),1)</f>
        <v>ㄠ</v>
      </c>
      <c r="AK105" s="757" t="str" cm="1">
        <f t="array" aca="1" ref="AK105" ca="1" xml:space="preserve"> MID($B$100, INDIRECT( ADDRESS(ROW()-2, COLUMN()) ),1)</f>
        <v>ㆯ</v>
      </c>
      <c r="AL105" s="757" t="str" cm="1">
        <f t="array" aca="1" ref="AL105" ca="1" xml:space="preserve"> MID($B$100, INDIRECT( ADDRESS(ROW()-2, COLUMN()) ),1)</f>
        <v>ㄤ</v>
      </c>
      <c r="AM105" s="757" t="str" cm="1">
        <f t="array" aca="1" ref="AM105" ca="1" xml:space="preserve"> MID($B$100, INDIRECT( ADDRESS(ROW()-2, COLUMN()) ),1)</f>
        <v>ㆲ</v>
      </c>
      <c r="AN105" s="757" t="str" cm="1">
        <f t="array" aca="1" ref="AN105" ca="1" xml:space="preserve"> MID($B$100, INDIRECT( ADDRESS(ROW()-2, COLUMN()) ),1)</f>
        <v>ㆰ</v>
      </c>
      <c r="AO105" s="757" t="str" cm="1">
        <f t="array" aca="1" ref="AO105" ca="1" xml:space="preserve"> MID($B$100, INDIRECT( ADDRESS(ROW()-2, COLUMN()) ),1)</f>
        <v>ㆱ</v>
      </c>
      <c r="AP105" s="757" t="str" cm="1">
        <f t="array" aca="1" ref="AP105" ca="1" xml:space="preserve"> MID($B$100, INDIRECT( ADDRESS(ROW()-2, COLUMN()) ),1)</f>
        <v>ㄢ</v>
      </c>
      <c r="AQ105" s="757" t="str" cm="1">
        <f t="array" aca="1" ref="AQ105" ca="1" xml:space="preserve"> MID($B$100, INDIRECT( ADDRESS(ROW()-2, COLUMN()) ),1)</f>
        <v>ㆬ</v>
      </c>
      <c r="AR105" s="757" t="str" cm="1">
        <f t="array" aca="1" ref="AR105" ca="1" xml:space="preserve"> MID($B$100, INDIRECT( ADDRESS(ROW()-2, COLUMN()) ),1)</f>
        <v>ㄣ</v>
      </c>
      <c r="AS105" s="757" t="str" cm="1">
        <f t="array" aca="1" ref="AS105" ca="1" xml:space="preserve"> MID($B$100, INDIRECT( ADDRESS(ROW()-2, COLUMN()) ),1)</f>
        <v>ㆭ</v>
      </c>
      <c r="AT105" s="757" t="str" cm="1">
        <f t="array" aca="1" ref="AT105" ca="1" xml:space="preserve"> MID($B$100, INDIRECT( ADDRESS(ROW()-2, COLUMN()) ),1)</f>
        <v>ㆨ</v>
      </c>
      <c r="AU105" s="757" t="str" cm="1">
        <f t="array" aca="1" ref="AU105" ca="1" xml:space="preserve"> MID($B$100, INDIRECT( ADDRESS(ROW()-2, COLUMN()) ),1)</f>
        <v>ㆴ</v>
      </c>
      <c r="AV105" s="757" t="str" cm="1">
        <f t="array" aca="1" ref="AV105" ca="1" xml:space="preserve"> MID($B$100, INDIRECT( ADDRESS(ROW()-2, COLUMN()) ),1)</f>
        <v>ㆵ</v>
      </c>
      <c r="AW105" s="757" t="str" cm="1">
        <f t="array" aca="1" ref="AW105" ca="1" xml:space="preserve"> MID($B$100, INDIRECT( ADDRESS(ROW()-2, COLUMN()) ),1)</f>
        <v>ㆻ</v>
      </c>
      <c r="AX105" s="757" t="str" cm="1">
        <f t="array" aca="1" ref="AX105" ca="1" xml:space="preserve"> MID($B$100, INDIRECT( ADDRESS(ROW()-2, COLUMN()) ),1)</f>
        <v>ㆷ</v>
      </c>
      <c r="AY105" s="757" t="str" cm="1">
        <f t="array" aca="1" ref="AY105" ca="1" xml:space="preserve"> MID($B$100, INDIRECT( ADDRESS(ROW()-2, COLUMN()) ),1)</f>
        <v/>
      </c>
      <c r="AZ105" s="757" t="str" cm="1">
        <f t="array" aca="1" ref="AZ105" ca="1" xml:space="preserve"> MID($B$100, INDIRECT( ADDRESS(ROW()-2, COLUMN()) ),1)</f>
        <v/>
      </c>
      <c r="BA105" s="757" t="str" cm="1">
        <f t="array" aca="1" ref="BA105" ca="1" xml:space="preserve"> MID($B$100, INDIRECT( ADDRESS(ROW()-2, COLUMN()) ),1)</f>
        <v/>
      </c>
      <c r="BB105" s="757" t="str" cm="1">
        <f t="array" aca="1" ref="BB105" ca="1" xml:space="preserve"> MID($B$100, INDIRECT( ADDRESS(ROW()-2, COLUMN()) ),1)</f>
        <v/>
      </c>
      <c r="BC105" s="757" t="str" cm="1">
        <f t="array" aca="1" ref="BC105" ca="1" xml:space="preserve"> MID($B$100, INDIRECT( ADDRESS(ROW()-2, COLUMN()) ),1)</f>
        <v/>
      </c>
      <c r="BD105" s="757" t="str" cm="1">
        <f t="array" aca="1" ref="BD105" ca="1" xml:space="preserve"> MID($B$100, INDIRECT( ADDRESS(ROW()-2, COLUMN()) ),1)</f>
        <v/>
      </c>
      <c r="BE105" s="757" t="str" cm="1">
        <f t="array" aca="1" ref="BE105" ca="1" xml:space="preserve"> MID($B$100, INDIRECT( ADDRESS(ROW()-2, COLUMN()) ),1)</f>
        <v/>
      </c>
      <c r="BF105" s="757" t="str" cm="1">
        <f t="array" aca="1" ref="BF105" ca="1" xml:space="preserve"> MID($B$100, INDIRECT( ADDRESS(ROW()-2, COLUMN()) ),1)</f>
        <v/>
      </c>
      <c r="BG105" s="757" t="str" cm="1">
        <f t="array" aca="1" ref="BG105" ca="1" xml:space="preserve"> MID($B$100, INDIRECT( ADDRESS(ROW()-2, COLUMN()) ),1)</f>
        <v/>
      </c>
      <c r="BH105" s="757" t="str" cm="1">
        <f t="array" aca="1" ref="BH105" ca="1" xml:space="preserve"> MID($B$100, INDIRECT( ADDRESS(ROW()-2, COLUMN()) ),1)</f>
        <v/>
      </c>
      <c r="BI105" s="757" t="str" cm="1">
        <f t="array" aca="1" ref="BI105" ca="1" xml:space="preserve"> MID($B$100, INDIRECT( ADDRESS(ROW()-2, COLUMN()) ),1)</f>
        <v/>
      </c>
    </row>
    <row r="106" spans="2:61">
      <c r="B106" s="759" t="str" cm="1">
        <f t="array" aca="1" ref="B106" ca="1" xml:space="preserve"> IFERROR( INDEX(注音編碼對照表[方音符號], MATCH(TRUE, EXACT(B108, 注音編碼對照表[鍵盤按鍵]),0)), "")</f>
        <v>ㄅ</v>
      </c>
      <c r="C106" s="759" t="str" cm="1">
        <f t="array" aca="1" ref="C106" ca="1" xml:space="preserve"> IFERROR( INDEX(注音編碼對照表[方音符號], MATCH(TRUE, EXACT(C108, 注音編碼對照表[鍵盤按鍵]),0)), "")</f>
        <v>ㆠ</v>
      </c>
      <c r="D106" s="759" t="str" cm="1">
        <f t="array" aca="1" ref="D106" ca="1" xml:space="preserve"> IFERROR( INDEX(注音編碼對照表[方音符號], MATCH(TRUE, EXACT(D108, 注音編碼對照表[鍵盤按鍵]),0)), "")</f>
        <v>ㄆ</v>
      </c>
      <c r="E106" s="759" t="str" cm="1">
        <f t="array" aca="1" ref="E106" ca="1" xml:space="preserve"> IFERROR( INDEX(注音編碼對照表[方音符號], MATCH(TRUE, EXACT(E108, 注音編碼對照表[鍵盤按鍵]),0)), "")</f>
        <v>ㄇ</v>
      </c>
      <c r="F106" s="759" t="str" cm="1">
        <f t="array" aca="1" ref="F106" ca="1" xml:space="preserve"> IFERROR( INDEX(注音編碼對照表[方音符號], MATCH(TRUE, EXACT(F108, 注音編碼對照表[鍵盤按鍵]),0)), "")</f>
        <v>ㄉ</v>
      </c>
      <c r="G106" s="759" t="str" cm="1">
        <f t="array" aca="1" ref="G106" ca="1" xml:space="preserve"> IFERROR( INDEX(注音編碼對照表[方音符號], MATCH(TRUE, EXACT(G108, 注音編碼對照表[鍵盤按鍵]),0)), "")</f>
        <v>ㄊ</v>
      </c>
      <c r="H106" s="759" t="str" cm="1">
        <f t="array" aca="1" ref="H106" ca="1" xml:space="preserve"> IFERROR( INDEX(注音編碼對照表[方音符號], MATCH(TRUE, EXACT(H108, 注音編碼對照表[鍵盤按鍵]),0)), "")</f>
        <v>ㄋ</v>
      </c>
      <c r="I106" s="759" t="str" cm="1">
        <f t="array" aca="1" ref="I106" ca="1" xml:space="preserve"> IFERROR( INDEX(注音編碼對照表[方音符號], MATCH(TRUE, EXACT(I108, 注音編碼對照表[鍵盤按鍵]),0)), "")</f>
        <v>ㄌ</v>
      </c>
      <c r="J106" s="759" t="str" cm="1">
        <f t="array" aca="1" ref="J106" ca="1" xml:space="preserve"> IFERROR( INDEX(注音編碼對照表[方音符號], MATCH(TRUE, EXACT(J108, 注音編碼對照表[鍵盤按鍵]),0)), "")</f>
        <v>ㄍ</v>
      </c>
      <c r="K106" s="759" t="str" cm="1">
        <f t="array" aca="1" ref="K106" ca="1" xml:space="preserve"> IFERROR( INDEX(注音編碼對照表[方音符號], MATCH(TRUE, EXACT(K108, 注音編碼對照表[鍵盤按鍵]),0)), "")</f>
        <v>ㆣ</v>
      </c>
      <c r="L106" s="759" t="str" cm="1">
        <f t="array" aca="1" ref="L106" ca="1" xml:space="preserve"> IFERROR( INDEX(注音編碼對照表[方音符號], MATCH(TRUE, EXACT(L108, 注音編碼對照表[鍵盤按鍵]),0)), "")</f>
        <v>ㄎ</v>
      </c>
      <c r="M106" s="759" t="str" cm="1">
        <f t="array" aca="1" ref="M106" ca="1" xml:space="preserve"> IFERROR( INDEX(注音編碼對照表[方音符號], MATCH(TRUE, EXACT(M108, 注音編碼對照表[鍵盤按鍵]),0)), "")</f>
        <v/>
      </c>
      <c r="N106" s="759" t="str" cm="1">
        <f t="array" aca="1" ref="N106" ca="1" xml:space="preserve"> IFERROR( INDEX(注音編碼對照表[方音符號], MATCH(TRUE, EXACT(N108, 注音編碼對照表[鍵盤按鍵]),0)), "")</f>
        <v>ㄏ</v>
      </c>
      <c r="O106" s="759" t="str" cm="1">
        <f t="array" aca="1" ref="O106" ca="1" xml:space="preserve"> IFERROR( INDEX(注音編碼對照表[方音符號], MATCH(TRUE, EXACT(O108, 注音編碼對照表[鍵盤按鍵]),0)), "")</f>
        <v>ㄐ</v>
      </c>
      <c r="P106" s="759" t="str" cm="1">
        <f t="array" aca="1" ref="P106" ca="1" xml:space="preserve"> IFERROR( INDEX(注音編碼對照表[方音符號], MATCH(TRUE, EXACT(P108, 注音編碼對照表[鍵盤按鍵]),0)), "")</f>
        <v>ㆢ</v>
      </c>
      <c r="Q106" s="759" t="str" cm="1">
        <f t="array" aca="1" ref="Q106" ca="1" xml:space="preserve"> IFERROR( INDEX(注音編碼對照表[方音符號], MATCH(TRUE, EXACT(Q108, 注音編碼對照表[鍵盤按鍵]),0)), "")</f>
        <v>ㄑ</v>
      </c>
      <c r="R106" s="759" t="str" cm="1">
        <f t="array" aca="1" ref="R106" ca="1" xml:space="preserve"> IFERROR( INDEX(注音編碼對照表[方音符號], MATCH(TRUE, EXACT(R108, 注音編碼對照表[鍵盤按鍵]),0)), "")</f>
        <v>ㄒ</v>
      </c>
      <c r="S106" s="759" t="str" cm="1">
        <f t="array" aca="1" ref="S106" ca="1" xml:space="preserve"> IFERROR( INDEX(注音編碼對照表[方音符號], MATCH(TRUE, EXACT(S108, 注音編碼對照表[鍵盤按鍵]),0)), "")</f>
        <v>ㄗ</v>
      </c>
      <c r="T106" s="759" t="str" cm="1">
        <f t="array" aca="1" ref="T106" ca="1" xml:space="preserve"> IFERROR( INDEX(注音編碼對照表[方音符號], MATCH(TRUE, EXACT(T108, 注音編碼對照表[鍵盤按鍵]),0)), "")</f>
        <v>ㆡ</v>
      </c>
      <c r="U106" s="759" t="str" cm="1">
        <f t="array" aca="1" ref="U106" ca="1" xml:space="preserve"> IFERROR( INDEX(注音編碼對照表[方音符號], MATCH(TRUE, EXACT(U108, 注音編碼對照表[鍵盤按鍵]),0)), "")</f>
        <v>ㄘ</v>
      </c>
      <c r="V106" s="759" t="str" cm="1">
        <f t="array" aca="1" ref="V106" ca="1" xml:space="preserve"> IFERROR( INDEX(注音編碼對照表[方音符號], MATCH(TRUE, EXACT(V108, 注音編碼對照表[鍵盤按鍵]),0)), "")</f>
        <v>ㄙ</v>
      </c>
      <c r="W106" s="759" t="str" cm="1">
        <f t="array" aca="1" ref="W106" ca="1" xml:space="preserve"> IFERROR( INDEX(注音編碼對照表[方音符號], MATCH(TRUE, EXACT(W108, 注音編碼對照表[鍵盤按鍵]),0)), "")</f>
        <v>ㄧ</v>
      </c>
      <c r="X106" s="759" t="str" cm="1">
        <f t="array" aca="1" ref="X106" ca="1" xml:space="preserve"> IFERROR( INDEX(注音編碼對照表[方音符號], MATCH(TRUE, EXACT(X108, 注音編碼對照表[鍵盤按鍵]),0)), "")</f>
        <v>ㆪ</v>
      </c>
      <c r="Y106" s="759" t="str" cm="1">
        <f t="array" aca="1" ref="Y106" ca="1" xml:space="preserve"> IFERROR( INDEX(注音編碼對照表[方音符號], MATCH(TRUE, EXACT(Y108, 注音編碼對照表[鍵盤按鍵]),0)), "")</f>
        <v>ㄨ</v>
      </c>
      <c r="Z106" s="759" t="str" cm="1">
        <f t="array" aca="1" ref="Z106" ca="1" xml:space="preserve"> IFERROR( INDEX(注音編碼對照表[方音符號], MATCH(TRUE, EXACT(Z108, 注音編碼對照表[鍵盤按鍵]),0)), "")</f>
        <v>ㆫ</v>
      </c>
      <c r="AA106" s="759" t="str" cm="1">
        <f t="array" aca="1" ref="AA106" ca="1" xml:space="preserve"> IFERROR( INDEX(注音編碼對照表[方音符號], MATCH(TRUE, EXACT(AA108, 注音編碼對照表[鍵盤按鍵]),0)), "")</f>
        <v>ㄚ</v>
      </c>
      <c r="AB106" s="759" t="str" cm="1">
        <f t="array" aca="1" ref="AB106" ca="1" xml:space="preserve"> IFERROR( INDEX(注音編碼對照表[方音符號], MATCH(TRUE, EXACT(AB108, 注音編碼對照表[鍵盤按鍵]),0)), "")</f>
        <v>ㆩ</v>
      </c>
      <c r="AC106" s="759" t="str" cm="1">
        <f t="array" aca="1" ref="AC106" ca="1" xml:space="preserve"> IFERROR( INDEX(注音編碼對照表[方音符號], MATCH(TRUE, EXACT(AC108, 注音編碼對照表[鍵盤按鍵]),0)), "")</f>
        <v>ㆦ</v>
      </c>
      <c r="AD106" s="759" t="str" cm="1">
        <f t="array" aca="1" ref="AD106" ca="1" xml:space="preserve"> IFERROR( INDEX(注音編碼對照表[方音符號], MATCH(TRUE, EXACT(AD108, 注音編碼對照表[鍵盤按鍵]),0)), "")</f>
        <v>ㆧ</v>
      </c>
      <c r="AE106" s="759" t="str" cm="1">
        <f t="array" aca="1" ref="AE106" ca="1" xml:space="preserve"> IFERROR( INDEX(注音編碼對照表[方音符號], MATCH(TRUE, EXACT(AE108, 注音編碼對照表[鍵盤按鍵]),0)), "")</f>
        <v>ㄜ</v>
      </c>
      <c r="AF106" s="759" t="str" cm="1">
        <f t="array" aca="1" ref="AF106" ca="1" xml:space="preserve"> IFERROR( INDEX(注音編碼對照表[方音符號], MATCH(TRUE, EXACT(AF108, 注音編碼對照表[鍵盤按鍵]),0)), "")</f>
        <v>ㆤ</v>
      </c>
      <c r="AG106" s="759" t="str" cm="1">
        <f t="array" aca="1" ref="AG106" ca="1" xml:space="preserve"> IFERROR( INDEX(注音編碼對照表[方音符號], MATCH(TRUE, EXACT(AG108, 注音編碼對照表[鍵盤按鍵]),0)), "")</f>
        <v>ㆥ</v>
      </c>
      <c r="AH106" s="760" t="str" cm="1">
        <f t="array" aca="1" ref="AH106" ca="1" xml:space="preserve"> IFERROR( INDEX(注音編碼對照表[方音符號], MATCH(TRUE, EXACT(AH108, 注音編碼對照表[鍵盤按鍵]),0)), "")</f>
        <v>ㄞ</v>
      </c>
      <c r="AI106" s="760" t="str" cm="1">
        <f t="array" aca="1" ref="AI106" ca="1" xml:space="preserve"> IFERROR( INDEX(注音編碼對照表[方音符號], MATCH(TRUE, EXACT(AI108, 注音編碼對照表[鍵盤按鍵]),0)), "")</f>
        <v>ㆮ</v>
      </c>
      <c r="AJ106" s="760" t="str" cm="1">
        <f t="array" aca="1" ref="AJ106" ca="1" xml:space="preserve"> IFERROR( INDEX(注音編碼對照表[方音符號], MATCH(TRUE, EXACT(AJ108, 注音編碼對照表[鍵盤按鍵]),0)), "")</f>
        <v>ㄠ</v>
      </c>
      <c r="AK106" s="760" t="str" cm="1">
        <f t="array" aca="1" ref="AK106" ca="1" xml:space="preserve"> IFERROR( INDEX(注音編碼對照表[方音符號], MATCH(TRUE, EXACT(AK108, 注音編碼對照表[鍵盤按鍵]),0)), "")</f>
        <v>ㆯ</v>
      </c>
      <c r="AL106" s="761" t="str" cm="1">
        <f t="array" aca="1" ref="AL106" ca="1" xml:space="preserve"> IFERROR( INDEX(注音編碼對照表[方音符號], MATCH(TRUE, EXACT(AL108, 注音編碼對照表[鍵盤按鍵]),0)), "")</f>
        <v>ㄤ</v>
      </c>
      <c r="AM106" s="760" t="str" cm="1">
        <f t="array" aca="1" ref="AM106" ca="1" xml:space="preserve"> IFERROR( INDEX(注音編碼對照表[方音符號], MATCH(TRUE, EXACT(AM108, 注音編碼對照表[鍵盤按鍵]),0)), "")</f>
        <v>ㆲ</v>
      </c>
      <c r="AN106" s="760" t="str" cm="1">
        <f t="array" aca="1" ref="AN106" ca="1" xml:space="preserve"> IFERROR( INDEX(注音編碼對照表[方音符號], MATCH(TRUE, EXACT(AN108, 注音編碼對照表[鍵盤按鍵]),0)), "")</f>
        <v>ㆰ</v>
      </c>
      <c r="AO106" s="760" t="str" cm="1">
        <f t="array" aca="1" ref="AO106" ca="1" xml:space="preserve"> IFERROR( INDEX(注音編碼對照表[方音符號], MATCH(TRUE, EXACT(AO108, 注音編碼對照表[鍵盤按鍵]),0)), "")</f>
        <v>ㆱ</v>
      </c>
      <c r="AP106" s="760" t="str" cm="1">
        <f t="array" aca="1" ref="AP106" ca="1" xml:space="preserve"> IFERROR( INDEX(注音編碼對照表[方音符號], MATCH(TRUE, EXACT(AP108, 注音編碼對照表[鍵盤按鍵]),0)), "")</f>
        <v>ㄢ</v>
      </c>
      <c r="AQ106" s="760" t="str" cm="1">
        <f t="array" aca="1" ref="AQ106" ca="1" xml:space="preserve"> IFERROR( INDEX(注音編碼對照表[方音符號], MATCH(TRUE, EXACT(AQ108, 注音編碼對照表[鍵盤按鍵]),0)), "")</f>
        <v>ㆬ</v>
      </c>
      <c r="AR106" s="760" t="str" cm="1">
        <f t="array" aca="1" ref="AR106" ca="1" xml:space="preserve"> IFERROR( INDEX(注音編碼對照表[方音符號], MATCH(TRUE, EXACT(AR108, 注音編碼對照表[鍵盤按鍵]),0)), "")</f>
        <v>ㄣ</v>
      </c>
      <c r="AS106" s="760" t="str" cm="1">
        <f t="array" aca="1" ref="AS106" ca="1" xml:space="preserve"> IFERROR( INDEX(注音編碼對照表[方音符號], MATCH(TRUE, EXACT(AS108, 注音編碼對照表[鍵盤按鍵]),0)), "")</f>
        <v>ㆭ</v>
      </c>
      <c r="AT106" s="760" t="str" cm="1">
        <f t="array" aca="1" ref="AT106" ca="1" xml:space="preserve"> IFERROR( INDEX(注音編碼對照表[方音符號], MATCH(TRUE, EXACT(AT108, 注音編碼對照表[鍵盤按鍵]),0)), "")</f>
        <v>ㆨ</v>
      </c>
      <c r="AU106" s="760" t="str" cm="1">
        <f t="array" aca="1" ref="AU106" ca="1" xml:space="preserve"> IFERROR( INDEX(注音編碼對照表[方音符號], MATCH(TRUE, EXACT(AU108, 注音編碼對照表[鍵盤按鍵]),0)), "")</f>
        <v>ㆢ</v>
      </c>
      <c r="AV106" s="760" t="str" cm="1">
        <f t="array" aca="1" ref="AV106" ca="1" xml:space="preserve"> IFERROR( INDEX(注音編碼對照表[方音符號], MATCH(TRUE, EXACT(AV108, 注音編碼對照表[鍵盤按鍵]),0)), "")</f>
        <v/>
      </c>
      <c r="AW106" s="760" t="str" cm="1">
        <f t="array" aca="1" ref="AW106" ca="1" xml:space="preserve"> IFERROR( INDEX(注音編碼對照表[方音符號], MATCH(TRUE, EXACT(AW108, 注音編碼對照表[鍵盤按鍵]),0)), "")</f>
        <v/>
      </c>
      <c r="AX106" s="760" t="str" cm="1">
        <f t="array" aca="1" ref="AX106" ca="1" xml:space="preserve"> IFERROR( INDEX(注音編碼對照表[方音符號], MATCH(TRUE, EXACT(AX108, 注音編碼對照表[鍵盤按鍵]),0)), "")</f>
        <v/>
      </c>
      <c r="AY106" s="760" t="str" cm="1">
        <f t="array" aca="1" ref="AY106" ca="1" xml:space="preserve"> IFERROR( INDEX(注音編碼對照表[方音符號], MATCH(TRUE, EXACT(AY108, 注音編碼對照表[鍵盤按鍵]),0)), "")</f>
        <v/>
      </c>
      <c r="AZ106" s="760" t="str" cm="1">
        <f t="array" aca="1" ref="AZ106" ca="1" xml:space="preserve"> IFERROR( INDEX(注音編碼對照表[方音符號], MATCH(TRUE, EXACT(AZ108, 注音編碼對照表[鍵盤按鍵]),0)), "")</f>
        <v/>
      </c>
      <c r="BA106" s="760" t="str" cm="1">
        <f t="array" aca="1" ref="BA106" ca="1" xml:space="preserve"> IFERROR( INDEX(注音編碼對照表[方音符號], MATCH(TRUE, EXACT(BA108, 注音編碼對照表[鍵盤按鍵]),0)), "")</f>
        <v/>
      </c>
      <c r="BB106" s="760" t="str" cm="1">
        <f t="array" aca="1" ref="BB106" ca="1" xml:space="preserve"> IFERROR( INDEX(注音編碼對照表[方音符號], MATCH(TRUE, EXACT(BB108, 注音編碼對照表[鍵盤按鍵]),0)), "")</f>
        <v/>
      </c>
      <c r="BC106" s="760" t="str" cm="1">
        <f t="array" aca="1" ref="BC106" ca="1" xml:space="preserve"> IFERROR( INDEX(注音編碼對照表[方音符號], MATCH(TRUE, EXACT(BC108, 注音編碼對照表[鍵盤按鍵]),0)), "")</f>
        <v/>
      </c>
      <c r="BD106" s="760" t="str" cm="1">
        <f t="array" aca="1" ref="BD106" ca="1" xml:space="preserve"> IFERROR( INDEX(注音編碼對照表[方音符號], MATCH(TRUE, EXACT(BD108, 注音編碼對照表[鍵盤按鍵]),0)), "")</f>
        <v/>
      </c>
      <c r="BE106" s="760" t="str" cm="1">
        <f t="array" aca="1" ref="BE106" ca="1" xml:space="preserve"> IFERROR( INDEX(注音編碼對照表[方音符號], MATCH(TRUE, EXACT(BE108, 注音編碼對照表[鍵盤按鍵]),0)), "")</f>
        <v/>
      </c>
      <c r="BF106" s="760" t="str" cm="1">
        <f t="array" aca="1" ref="BF106" ca="1" xml:space="preserve"> IFERROR( INDEX(注音編碼對照表[方音符號], MATCH(TRUE, EXACT(BF108, 注音編碼對照表[鍵盤按鍵]),0)), "")</f>
        <v/>
      </c>
      <c r="BG106" s="760" t="str" cm="1">
        <f t="array" aca="1" ref="BG106" ca="1" xml:space="preserve"> IFERROR( INDEX(注音編碼對照表[方音符號], MATCH(TRUE, EXACT(BG108, 注音編碼對照表[鍵盤按鍵]),0)), "")</f>
        <v/>
      </c>
      <c r="BH106" s="760" t="str" cm="1">
        <f t="array" aca="1" ref="BH106" ca="1" xml:space="preserve"> IFERROR( INDEX(注音編碼對照表[方音符號], MATCH(TRUE, EXACT(BH108, 注音編碼對照表[鍵盤按鍵]),0)), "")</f>
        <v/>
      </c>
      <c r="BI106" s="760" t="str" cm="1">
        <f t="array" aca="1" ref="BI106" ca="1" xml:space="preserve"> IFERROR( INDEX(注音編碼對照表[方音符號], MATCH(TRUE, EXACT(BI108, 注音編碼對照表[鍵盤按鍵]),0)), "")</f>
        <v/>
      </c>
    </row>
    <row r="107" spans="2:61">
      <c r="B107" s="316"/>
    </row>
    <row r="108" spans="2:61" ht="39">
      <c r="B108" s="762" t="str" cm="1">
        <f t="array" aca="1" ref="B108" ca="1" xml:space="preserve"> INDIRECT( ADDRESS(ROW()-4, COLUMN()) )</f>
        <v>1</v>
      </c>
      <c r="C108" s="762" t="str" cm="1">
        <f t="array" aca="1" ref="C108" ca="1" xml:space="preserve"> INDIRECT( ADDRESS(ROW()-4, COLUMN()) )</f>
        <v>!</v>
      </c>
      <c r="D108" s="762" t="str" cm="1">
        <f t="array" aca="1" ref="D108" ca="1" xml:space="preserve"> INDIRECT( ADDRESS(ROW()-4, COLUMN()) )</f>
        <v>q</v>
      </c>
      <c r="E108" s="762" t="str" cm="1">
        <f t="array" aca="1" ref="E108" ca="1" xml:space="preserve"> INDIRECT( ADDRESS(ROW()-4, COLUMN()) )</f>
        <v>a</v>
      </c>
      <c r="F108" s="762" t="str" cm="1">
        <f t="array" aca="1" ref="F108" ca="1" xml:space="preserve"> INDIRECT( ADDRESS(ROW()-4, COLUMN()) )</f>
        <v>2</v>
      </c>
      <c r="G108" s="762" t="str" cm="1">
        <f t="array" aca="1" ref="G108" ca="1" xml:space="preserve"> INDIRECT( ADDRESS(ROW()-4, COLUMN()) )</f>
        <v>w</v>
      </c>
      <c r="H108" s="762" t="str" cm="1">
        <f t="array" aca="1" ref="H108" ca="1" xml:space="preserve"> INDIRECT( ADDRESS(ROW()-4, COLUMN()) )</f>
        <v>s</v>
      </c>
      <c r="I108" s="762" t="str" cm="1">
        <f t="array" aca="1" ref="I108" ca="1" xml:space="preserve"> INDIRECT( ADDRESS(ROW()-4, COLUMN()) )</f>
        <v>x</v>
      </c>
      <c r="J108" s="762" t="str" cm="1">
        <f t="array" aca="1" ref="J108" ca="1" xml:space="preserve"> INDIRECT( ADDRESS(ROW()-4, COLUMN()) )</f>
        <v>e</v>
      </c>
      <c r="K108" s="762" t="str" cm="1">
        <f t="array" aca="1" ref="K108" ca="1" xml:space="preserve"> INDIRECT( ADDRESS(ROW()-4, COLUMN()) )</f>
        <v>E</v>
      </c>
      <c r="L108" s="762" t="str" cm="1">
        <f t="array" aca="1" ref="L108" ca="1" xml:space="preserve"> INDIRECT( ADDRESS(ROW()-4, COLUMN()) )</f>
        <v>d</v>
      </c>
      <c r="M108" s="762" t="str" cm="1">
        <f t="array" aca="1" ref="M108" ca="1" xml:space="preserve"> INDIRECT( ADDRESS(ROW()-4, COLUMN()) )</f>
        <v>G</v>
      </c>
      <c r="N108" s="762" t="str" cm="1">
        <f t="array" aca="1" ref="N108" ca="1" xml:space="preserve"> INDIRECT( ADDRESS(ROW()-4, COLUMN()) )</f>
        <v>c</v>
      </c>
      <c r="O108" s="762" t="str" cm="1">
        <f t="array" aca="1" ref="O108" ca="1" xml:space="preserve"> INDIRECT( ADDRESS(ROW()-4, COLUMN()) )</f>
        <v>r</v>
      </c>
      <c r="P108" s="762" t="str" cm="1">
        <f t="array" aca="1" ref="P108" ca="1" xml:space="preserve"> INDIRECT( ADDRESS(ROW()-4, COLUMN()) )</f>
        <v>R</v>
      </c>
      <c r="Q108" s="762" t="str" cm="1">
        <f t="array" aca="1" ref="Q108" ca="1" xml:space="preserve"> INDIRECT( ADDRESS(ROW()-4, COLUMN()) )</f>
        <v>f</v>
      </c>
      <c r="R108" s="762" t="str" cm="1">
        <f t="array" aca="1" ref="R108" ca="1" xml:space="preserve"> INDIRECT( ADDRESS(ROW()-4, COLUMN()) )</f>
        <v>v</v>
      </c>
      <c r="S108" s="762" t="str" cm="1">
        <f t="array" aca="1" ref="S108" ca="1" xml:space="preserve"> INDIRECT( ADDRESS(ROW()-4, COLUMN()) )</f>
        <v>y</v>
      </c>
      <c r="T108" s="762" t="str" cm="1">
        <f t="array" aca="1" ref="T108" ca="1" xml:space="preserve"> INDIRECT( ADDRESS(ROW()-4, COLUMN()) )</f>
        <v>Y</v>
      </c>
      <c r="U108" s="762" t="str" cm="1">
        <f t="array" aca="1" ref="U108" ca="1" xml:space="preserve"> INDIRECT( ADDRESS(ROW()-4, COLUMN()) )</f>
        <v>h</v>
      </c>
      <c r="V108" s="762" t="str" cm="1">
        <f t="array" aca="1" ref="V108" ca="1" xml:space="preserve"> INDIRECT( ADDRESS(ROW()-4, COLUMN()) )</f>
        <v>n</v>
      </c>
      <c r="W108" s="762" t="str" cm="1">
        <f t="array" aca="1" ref="W108" ca="1" xml:space="preserve"> INDIRECT( ADDRESS(ROW()-4, COLUMN()) )</f>
        <v>u</v>
      </c>
      <c r="X108" s="762" t="str" cm="1">
        <f t="array" aca="1" ref="X108" ca="1" xml:space="preserve"> INDIRECT( ADDRESS(ROW()-4, COLUMN()) )</f>
        <v>U</v>
      </c>
      <c r="Y108" s="762" t="str" cm="1">
        <f t="array" aca="1" ref="Y108" ca="1" xml:space="preserve"> INDIRECT( ADDRESS(ROW()-4, COLUMN()) )</f>
        <v>j</v>
      </c>
      <c r="Z108" s="762" t="str" cm="1">
        <f t="array" aca="1" ref="Z108" ca="1" xml:space="preserve"> INDIRECT( ADDRESS(ROW()-4, COLUMN()) )</f>
        <v>J</v>
      </c>
      <c r="AA108" s="762" t="str" cm="1">
        <f t="array" aca="1" ref="AA108" ca="1" xml:space="preserve"> INDIRECT( ADDRESS(ROW()-4, COLUMN()) )</f>
        <v>8</v>
      </c>
      <c r="AB108" s="762" t="str" cm="1">
        <f t="array" aca="1" ref="AB108" ca="1" xml:space="preserve"> INDIRECT( ADDRESS(ROW()-4, COLUMN()) )</f>
        <v>*</v>
      </c>
      <c r="AC108" s="762" t="str" cm="1">
        <f t="array" aca="1" ref="AC108" ca="1" xml:space="preserve"> INDIRECT( ADDRESS(ROW()-4, COLUMN()) )</f>
        <v>i</v>
      </c>
      <c r="AD108" s="762" t="str" cm="1">
        <f t="array" aca="1" ref="AD108" ca="1" xml:space="preserve"> INDIRECT( ADDRESS(ROW()-4, COLUMN()) )</f>
        <v>I</v>
      </c>
      <c r="AE108" s="762" t="str" cm="1">
        <f t="array" aca="1" ref="AE108" ca="1" xml:space="preserve"> INDIRECT( ADDRESS(ROW()-4, COLUMN()) )</f>
        <v>k</v>
      </c>
      <c r="AF108" s="762" t="str" cm="1">
        <f t="array" aca="1" ref="AF108" ca="1" xml:space="preserve"> INDIRECT( ADDRESS(ROW()-4, COLUMN()) )</f>
        <v>,</v>
      </c>
      <c r="AG108" s="762" t="str" cm="1">
        <f t="array" aca="1" ref="AG108" ca="1" xml:space="preserve"> INDIRECT( ADDRESS(ROW()-4, COLUMN()) )</f>
        <v>&lt;</v>
      </c>
      <c r="AH108" s="762" t="str" cm="1">
        <f t="array" aca="1" ref="AH108" ca="1" xml:space="preserve"> INDIRECT( ADDRESS(ROW()-4, COLUMN()) )</f>
        <v>9</v>
      </c>
      <c r="AI108" s="762" t="str" cm="1">
        <f t="array" aca="1" ref="AI108" ca="1" xml:space="preserve"> INDIRECT( ADDRESS(ROW()-4, COLUMN()) )</f>
        <v>(</v>
      </c>
      <c r="AJ108" s="762" t="str" cm="1">
        <f t="array" aca="1" ref="AJ108" ca="1" xml:space="preserve"> INDIRECT( ADDRESS(ROW()-4, COLUMN()) )</f>
        <v>l</v>
      </c>
      <c r="AK108" s="762" t="str" cm="1">
        <f t="array" aca="1" ref="AK108" ca="1" xml:space="preserve"> INDIRECT( ADDRESS(ROW()-4, COLUMN()) )</f>
        <v>L</v>
      </c>
      <c r="AL108" s="762" t="str" cm="1">
        <f t="array" aca="1" ref="AL108" ca="1" xml:space="preserve"> INDIRECT( ADDRESS(ROW()-4, COLUMN()) )</f>
        <v>;</v>
      </c>
      <c r="AM108" s="762" t="str" cm="1">
        <f t="array" aca="1" ref="AM108" ca="1" xml:space="preserve"> INDIRECT( ADDRESS(ROW()-4, COLUMN()) )</f>
        <v>o</v>
      </c>
      <c r="AN108" s="762" t="str" cm="1">
        <f t="array" aca="1" ref="AN108" ca="1" xml:space="preserve"> INDIRECT( ADDRESS(ROW()-4, COLUMN()) )</f>
        <v>M</v>
      </c>
      <c r="AO108" s="762" t="str" cm="1">
        <f t="array" aca="1" ref="AO108" ca="1" xml:space="preserve"> INDIRECT( ADDRESS(ROW()-4, COLUMN()) )</f>
        <v>O</v>
      </c>
      <c r="AP108" s="762" t="str" cm="1">
        <f t="array" aca="1" ref="AP108" ca="1" xml:space="preserve"> INDIRECT( ADDRESS(ROW()-4, COLUMN()) )</f>
        <v>0</v>
      </c>
      <c r="AQ108" s="762" t="str" cm="1">
        <f t="array" aca="1" ref="AQ108" ca="1" xml:space="preserve"> INDIRECT( ADDRESS(ROW()-4, COLUMN()) )</f>
        <v>m</v>
      </c>
      <c r="AR108" s="762" t="str" cm="1">
        <f t="array" aca="1" ref="AR108" ca="1" xml:space="preserve"> INDIRECT( ADDRESS(ROW()-4, COLUMN()) )</f>
        <v>p</v>
      </c>
      <c r="AS108" s="762" t="str" cm="1">
        <f t="array" aca="1" ref="AS108" ca="1" xml:space="preserve"> INDIRECT( ADDRESS(ROW()-4, COLUMN()) )</f>
        <v>/</v>
      </c>
      <c r="AT108" s="762" t="str" cm="1">
        <f t="array" aca="1" ref="AT108" ca="1" xml:space="preserve"> INDIRECT( ADDRESS(ROW()-4, COLUMN()) )</f>
        <v>K</v>
      </c>
      <c r="AU108" s="762" t="str" cm="1">
        <f t="array" aca="1" ref="AU108" ca="1" xml:space="preserve"> INDIRECT( ADDRESS(ROW()-4, COLUMN()) )</f>
        <v>R</v>
      </c>
      <c r="AV108" s="762" t="str" cm="1">
        <f t="array" aca="1" ref="AV108" ca="1" xml:space="preserve"> INDIRECT( ADDRESS(ROW()-4, COLUMN()) )</f>
        <v>F</v>
      </c>
      <c r="AW108" s="762" t="str" cm="1">
        <f t="array" aca="1" ref="AW108" ca="1" xml:space="preserve"> INDIRECT( ADDRESS(ROW()-4, COLUMN()) )</f>
        <v>Q</v>
      </c>
      <c r="AX108" s="762" t="str" cm="1">
        <f t="array" aca="1" ref="AX108" ca="1" xml:space="preserve"> INDIRECT( ADDRESS(ROW()-4, COLUMN()) )</f>
        <v>V</v>
      </c>
      <c r="AY108" s="762" t="str" cm="1">
        <f t="array" aca="1" ref="AY108" ca="1" xml:space="preserve"> INDIRECT( ADDRESS(ROW()-4, COLUMN()) )</f>
        <v/>
      </c>
      <c r="AZ108" s="762" t="str" cm="1">
        <f t="array" aca="1" ref="AZ108" ca="1" xml:space="preserve"> INDIRECT( ADDRESS(ROW()-4, COLUMN()) )</f>
        <v/>
      </c>
      <c r="BA108" s="762" t="str" cm="1">
        <f t="array" aca="1" ref="BA108" ca="1" xml:space="preserve"> INDIRECT( ADDRESS(ROW()-4, COLUMN()) )</f>
        <v/>
      </c>
      <c r="BB108" s="762" t="str" cm="1">
        <f t="array" aca="1" ref="BB108" ca="1" xml:space="preserve"> INDIRECT( ADDRESS(ROW()-4, COLUMN()) )</f>
        <v/>
      </c>
      <c r="BC108" s="762" t="str" cm="1">
        <f t="array" aca="1" ref="BC108" ca="1" xml:space="preserve"> INDIRECT( ADDRESS(ROW()-4, COLUMN()) )</f>
        <v/>
      </c>
      <c r="BD108" s="762" t="str" cm="1">
        <f t="array" aca="1" ref="BD108" ca="1" xml:space="preserve"> INDIRECT( ADDRESS(ROW()-4, COLUMN()) )</f>
        <v/>
      </c>
      <c r="BE108" s="762" t="str" cm="1">
        <f t="array" aca="1" ref="BE108" ca="1" xml:space="preserve"> INDIRECT( ADDRESS(ROW()-4, COLUMN()) )</f>
        <v/>
      </c>
      <c r="BF108" s="762" t="str" cm="1">
        <f t="array" aca="1" ref="BF108" ca="1" xml:space="preserve"> INDIRECT( ADDRESS(ROW()-4, COLUMN()) )</f>
        <v/>
      </c>
      <c r="BG108" s="762" t="str" cm="1">
        <f t="array" aca="1" ref="BG108" ca="1" xml:space="preserve"> INDIRECT( ADDRESS(ROW()-4, COLUMN()) )</f>
        <v/>
      </c>
      <c r="BH108" s="762" t="str" cm="1">
        <f t="array" aca="1" ref="BH108" ca="1" xml:space="preserve"> INDIRECT( ADDRESS(ROW()-4, COLUMN()) )</f>
        <v/>
      </c>
      <c r="BI108" s="762" t="str" cm="1">
        <f t="array" aca="1" ref="BI108" ca="1" xml:space="preserve"> INDIRECT( ADDRESS(ROW()-4, COLUMN()) )</f>
        <v/>
      </c>
    </row>
    <row r="110" spans="2:61" ht="39">
      <c r="B110" s="764" t="str">
        <f ca="1">_xlfn.CONCAT(B104:AX104)</f>
        <v>1!qa2wsxeEdGcrRfvyYhnuUjJ8*iIk,&lt;9(lL;oMO0mp/KRFQV</v>
      </c>
    </row>
    <row r="111" spans="2:61" ht="39">
      <c r="B111" s="764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763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CA5:CF27">
    <sortCondition descending="1" ref="CF5:CF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</sheetViews>
  <sheetFormatPr defaultColWidth="4.296875" defaultRowHeight="25.5"/>
  <cols>
    <col min="1" max="3" width="4.3984375" style="810" bestFit="1" customWidth="1"/>
    <col min="4" max="26" width="5" style="810" bestFit="1" customWidth="1"/>
    <col min="27" max="29" width="4.296875" style="810"/>
    <col min="30" max="30" width="8.3984375" style="810" customWidth="1"/>
    <col min="31" max="16384" width="4.296875" style="810"/>
  </cols>
  <sheetData>
    <row r="1" spans="1:34">
      <c r="A1" s="809">
        <v>97</v>
      </c>
      <c r="B1" s="809">
        <f>A1+1</f>
        <v>98</v>
      </c>
      <c r="C1" s="809">
        <f t="shared" ref="C1:R2" si="0">B1+1</f>
        <v>99</v>
      </c>
      <c r="D1" s="809">
        <f t="shared" si="0"/>
        <v>100</v>
      </c>
      <c r="E1" s="809">
        <f t="shared" si="0"/>
        <v>101</v>
      </c>
      <c r="F1" s="809">
        <f t="shared" si="0"/>
        <v>102</v>
      </c>
      <c r="G1" s="809">
        <f t="shared" si="0"/>
        <v>103</v>
      </c>
      <c r="H1" s="809">
        <f t="shared" si="0"/>
        <v>104</v>
      </c>
      <c r="I1" s="809">
        <f t="shared" si="0"/>
        <v>105</v>
      </c>
      <c r="J1" s="809">
        <f t="shared" si="0"/>
        <v>106</v>
      </c>
      <c r="K1" s="809">
        <f t="shared" si="0"/>
        <v>107</v>
      </c>
      <c r="L1" s="809">
        <f t="shared" si="0"/>
        <v>108</v>
      </c>
      <c r="M1" s="809">
        <f t="shared" si="0"/>
        <v>109</v>
      </c>
      <c r="N1" s="809">
        <f t="shared" si="0"/>
        <v>110</v>
      </c>
      <c r="O1" s="809">
        <f t="shared" si="0"/>
        <v>111</v>
      </c>
      <c r="P1" s="809">
        <f t="shared" si="0"/>
        <v>112</v>
      </c>
      <c r="Q1" s="809">
        <f t="shared" si="0"/>
        <v>113</v>
      </c>
      <c r="R1" s="809">
        <f t="shared" si="0"/>
        <v>114</v>
      </c>
      <c r="S1" s="809">
        <f t="shared" ref="S1:Z2" si="1">R1+1</f>
        <v>115</v>
      </c>
      <c r="T1" s="809">
        <f t="shared" si="1"/>
        <v>116</v>
      </c>
      <c r="U1" s="809">
        <f t="shared" si="1"/>
        <v>117</v>
      </c>
      <c r="V1" s="809">
        <f t="shared" si="1"/>
        <v>118</v>
      </c>
      <c r="W1" s="809">
        <f t="shared" si="1"/>
        <v>119</v>
      </c>
      <c r="X1" s="809">
        <f t="shared" si="1"/>
        <v>120</v>
      </c>
      <c r="Y1" s="809">
        <f t="shared" si="1"/>
        <v>121</v>
      </c>
      <c r="Z1" s="809">
        <f t="shared" si="1"/>
        <v>122</v>
      </c>
      <c r="AC1" s="810" t="s">
        <v>59</v>
      </c>
      <c r="AD1" s="810" t="s">
        <v>59</v>
      </c>
      <c r="AG1" s="810" t="s">
        <v>409</v>
      </c>
      <c r="AH1" s="810" t="s">
        <v>597</v>
      </c>
    </row>
    <row r="2" spans="1:34">
      <c r="A2" s="809">
        <v>65</v>
      </c>
      <c r="B2" s="809">
        <f>A2+1</f>
        <v>66</v>
      </c>
      <c r="C2" s="809">
        <f t="shared" si="0"/>
        <v>67</v>
      </c>
      <c r="D2" s="809">
        <f t="shared" si="0"/>
        <v>68</v>
      </c>
      <c r="E2" s="809">
        <f t="shared" si="0"/>
        <v>69</v>
      </c>
      <c r="F2" s="809">
        <f t="shared" si="0"/>
        <v>70</v>
      </c>
      <c r="G2" s="809">
        <f t="shared" si="0"/>
        <v>71</v>
      </c>
      <c r="H2" s="809">
        <f t="shared" si="0"/>
        <v>72</v>
      </c>
      <c r="I2" s="809">
        <f t="shared" si="0"/>
        <v>73</v>
      </c>
      <c r="J2" s="809">
        <f t="shared" si="0"/>
        <v>74</v>
      </c>
      <c r="K2" s="809">
        <f t="shared" si="0"/>
        <v>75</v>
      </c>
      <c r="L2" s="809">
        <f t="shared" si="0"/>
        <v>76</v>
      </c>
      <c r="M2" s="809">
        <f t="shared" si="0"/>
        <v>77</v>
      </c>
      <c r="N2" s="809">
        <f t="shared" si="0"/>
        <v>78</v>
      </c>
      <c r="O2" s="809">
        <f t="shared" si="0"/>
        <v>79</v>
      </c>
      <c r="P2" s="809">
        <f t="shared" si="0"/>
        <v>80</v>
      </c>
      <c r="Q2" s="809">
        <f t="shared" si="0"/>
        <v>81</v>
      </c>
      <c r="R2" s="809">
        <f t="shared" si="0"/>
        <v>82</v>
      </c>
      <c r="S2" s="809">
        <f t="shared" si="1"/>
        <v>83</v>
      </c>
      <c r="T2" s="809">
        <f t="shared" si="1"/>
        <v>84</v>
      </c>
      <c r="U2" s="809">
        <f t="shared" si="1"/>
        <v>85</v>
      </c>
      <c r="V2" s="809">
        <f t="shared" si="1"/>
        <v>86</v>
      </c>
      <c r="W2" s="809">
        <f t="shared" si="1"/>
        <v>87</v>
      </c>
      <c r="X2" s="809">
        <f t="shared" si="1"/>
        <v>88</v>
      </c>
      <c r="Y2" s="809">
        <f t="shared" si="1"/>
        <v>89</v>
      </c>
      <c r="Z2" s="809">
        <f t="shared" si="1"/>
        <v>90</v>
      </c>
      <c r="AC2" s="810" t="s">
        <v>401</v>
      </c>
      <c r="AD2" s="810" t="s">
        <v>278</v>
      </c>
      <c r="AG2" s="810" t="s">
        <v>410</v>
      </c>
      <c r="AH2" s="811" t="s">
        <v>75</v>
      </c>
    </row>
    <row r="3" spans="1:34">
      <c r="AC3" s="810" t="s">
        <v>55</v>
      </c>
      <c r="AD3" s="810" t="s">
        <v>55</v>
      </c>
      <c r="AG3" s="810" t="s">
        <v>26</v>
      </c>
      <c r="AH3" s="811" t="s">
        <v>77</v>
      </c>
    </row>
    <row r="4" spans="1:34">
      <c r="A4" s="809" t="str">
        <f t="shared" ref="A4:Z5" si="2" xml:space="preserve"> CHAR(A1)</f>
        <v>a</v>
      </c>
      <c r="B4" s="809" t="str">
        <f t="shared" si="2"/>
        <v>b</v>
      </c>
      <c r="C4" s="809" t="str">
        <f t="shared" si="2"/>
        <v>c</v>
      </c>
      <c r="D4" s="809" t="str">
        <f t="shared" si="2"/>
        <v>d</v>
      </c>
      <c r="E4" s="809" t="str">
        <f t="shared" si="2"/>
        <v>e</v>
      </c>
      <c r="F4" s="809" t="str">
        <f t="shared" si="2"/>
        <v>f</v>
      </c>
      <c r="G4" s="809" t="str">
        <f t="shared" si="2"/>
        <v>g</v>
      </c>
      <c r="H4" s="809" t="str">
        <f t="shared" si="2"/>
        <v>h</v>
      </c>
      <c r="I4" s="809" t="str">
        <f t="shared" si="2"/>
        <v>i</v>
      </c>
      <c r="J4" s="809" t="str">
        <f t="shared" si="2"/>
        <v>j</v>
      </c>
      <c r="K4" s="809" t="str">
        <f t="shared" si="2"/>
        <v>k</v>
      </c>
      <c r="L4" s="809" t="str">
        <f t="shared" si="2"/>
        <v>l</v>
      </c>
      <c r="M4" s="809" t="str">
        <f t="shared" si="2"/>
        <v>m</v>
      </c>
      <c r="N4" s="809" t="str">
        <f t="shared" si="2"/>
        <v>n</v>
      </c>
      <c r="O4" s="809" t="str">
        <f t="shared" si="2"/>
        <v>o</v>
      </c>
      <c r="P4" s="809" t="str">
        <f t="shared" si="2"/>
        <v>p</v>
      </c>
      <c r="Q4" s="809" t="str">
        <f t="shared" si="2"/>
        <v>q</v>
      </c>
      <c r="R4" s="809" t="str">
        <f t="shared" si="2"/>
        <v>r</v>
      </c>
      <c r="S4" s="809" t="str">
        <f t="shared" si="2"/>
        <v>s</v>
      </c>
      <c r="T4" s="809" t="str">
        <f t="shared" si="2"/>
        <v>t</v>
      </c>
      <c r="U4" s="809" t="str">
        <f t="shared" si="2"/>
        <v>u</v>
      </c>
      <c r="V4" s="809" t="str">
        <f t="shared" si="2"/>
        <v>v</v>
      </c>
      <c r="W4" s="809" t="str">
        <f t="shared" si="2"/>
        <v>w</v>
      </c>
      <c r="X4" s="809" t="str">
        <f t="shared" si="2"/>
        <v>x</v>
      </c>
      <c r="Y4" s="809" t="str">
        <f t="shared" si="2"/>
        <v>y</v>
      </c>
      <c r="Z4" s="809" t="str">
        <f t="shared" si="2"/>
        <v>z</v>
      </c>
      <c r="AC4" s="810" t="s">
        <v>239</v>
      </c>
      <c r="AD4" s="810" t="s">
        <v>253</v>
      </c>
      <c r="AG4" s="810" t="s">
        <v>481</v>
      </c>
      <c r="AH4" s="811" t="s">
        <v>79</v>
      </c>
    </row>
    <row r="5" spans="1:34">
      <c r="A5" s="809" t="str">
        <f t="shared" si="2"/>
        <v>A</v>
      </c>
      <c r="B5" s="809" t="str">
        <f t="shared" si="2"/>
        <v>B</v>
      </c>
      <c r="C5" s="809" t="str">
        <f t="shared" si="2"/>
        <v>C</v>
      </c>
      <c r="D5" s="809" t="str">
        <f t="shared" si="2"/>
        <v>D</v>
      </c>
      <c r="E5" s="809" t="str">
        <f t="shared" si="2"/>
        <v>E</v>
      </c>
      <c r="F5" s="809" t="str">
        <f t="shared" si="2"/>
        <v>F</v>
      </c>
      <c r="G5" s="809" t="str">
        <f t="shared" si="2"/>
        <v>G</v>
      </c>
      <c r="H5" s="809" t="str">
        <f t="shared" si="2"/>
        <v>H</v>
      </c>
      <c r="I5" s="809" t="str">
        <f t="shared" si="2"/>
        <v>I</v>
      </c>
      <c r="J5" s="809" t="str">
        <f t="shared" si="2"/>
        <v>J</v>
      </c>
      <c r="K5" s="809" t="str">
        <f t="shared" si="2"/>
        <v>K</v>
      </c>
      <c r="L5" s="809" t="str">
        <f t="shared" si="2"/>
        <v>L</v>
      </c>
      <c r="M5" s="809" t="str">
        <f t="shared" si="2"/>
        <v>M</v>
      </c>
      <c r="N5" s="809" t="str">
        <f t="shared" si="2"/>
        <v>N</v>
      </c>
      <c r="O5" s="809" t="str">
        <f t="shared" si="2"/>
        <v>O</v>
      </c>
      <c r="P5" s="809" t="str">
        <f t="shared" si="2"/>
        <v>P</v>
      </c>
      <c r="Q5" s="809" t="str">
        <f t="shared" si="2"/>
        <v>Q</v>
      </c>
      <c r="R5" s="809" t="str">
        <f t="shared" si="2"/>
        <v>R</v>
      </c>
      <c r="S5" s="809" t="str">
        <f t="shared" si="2"/>
        <v>S</v>
      </c>
      <c r="T5" s="809" t="str">
        <f t="shared" si="2"/>
        <v>T</v>
      </c>
      <c r="U5" s="809" t="str">
        <f t="shared" si="2"/>
        <v>U</v>
      </c>
      <c r="V5" s="809" t="str">
        <f t="shared" si="2"/>
        <v>V</v>
      </c>
      <c r="W5" s="809" t="str">
        <f t="shared" si="2"/>
        <v>W</v>
      </c>
      <c r="X5" s="809" t="str">
        <f t="shared" si="2"/>
        <v>X</v>
      </c>
      <c r="Y5" s="809" t="str">
        <f t="shared" si="2"/>
        <v>Y</v>
      </c>
      <c r="Z5" s="809" t="str">
        <f t="shared" si="2"/>
        <v>Z</v>
      </c>
      <c r="AC5" s="810" t="s">
        <v>57</v>
      </c>
      <c r="AD5" s="810" t="s">
        <v>57</v>
      </c>
    </row>
    <row r="6" spans="1:34">
      <c r="AC6" s="810" t="s">
        <v>230</v>
      </c>
      <c r="AD6" s="810" t="s">
        <v>245</v>
      </c>
    </row>
    <row r="7" spans="1:34">
      <c r="A7" s="812" t="s">
        <v>351</v>
      </c>
      <c r="B7" s="812" t="s">
        <v>190</v>
      </c>
      <c r="C7" s="812" t="s">
        <v>305</v>
      </c>
      <c r="D7" s="812" t="s">
        <v>309</v>
      </c>
      <c r="E7" s="812" t="s">
        <v>329</v>
      </c>
      <c r="F7" s="812" t="s">
        <v>600</v>
      </c>
      <c r="G7" s="812" t="s">
        <v>184</v>
      </c>
      <c r="H7" s="812" t="s">
        <v>422</v>
      </c>
      <c r="I7" s="812" t="s">
        <v>279</v>
      </c>
      <c r="J7" s="812" t="s">
        <v>254</v>
      </c>
      <c r="K7" s="812" t="s">
        <v>37</v>
      </c>
      <c r="L7" s="812" t="s">
        <v>86</v>
      </c>
      <c r="M7" s="812" t="s">
        <v>143</v>
      </c>
      <c r="N7" s="812" t="s">
        <v>34</v>
      </c>
      <c r="O7" s="812" t="s">
        <v>65</v>
      </c>
      <c r="P7" s="812" t="s">
        <v>217</v>
      </c>
      <c r="Q7" s="812" t="s">
        <v>353</v>
      </c>
      <c r="R7" s="812" t="s">
        <v>283</v>
      </c>
      <c r="S7" s="812" t="s">
        <v>338</v>
      </c>
      <c r="T7" s="812" t="s">
        <v>30</v>
      </c>
      <c r="U7" s="812" t="s">
        <v>196</v>
      </c>
      <c r="V7" s="812" t="s">
        <v>601</v>
      </c>
      <c r="W7" s="812" t="s">
        <v>341</v>
      </c>
      <c r="X7" s="812" t="s">
        <v>332</v>
      </c>
      <c r="Y7" s="812" t="s">
        <v>588</v>
      </c>
      <c r="Z7" s="812" t="s">
        <v>179</v>
      </c>
      <c r="AC7" s="810" t="s">
        <v>62</v>
      </c>
      <c r="AD7" s="810" t="s">
        <v>62</v>
      </c>
    </row>
    <row r="8" spans="1:34">
      <c r="A8" s="812" t="s">
        <v>609</v>
      </c>
      <c r="B8" s="812" t="s">
        <v>144</v>
      </c>
      <c r="C8" s="812" t="s">
        <v>456</v>
      </c>
      <c r="D8" s="812" t="s">
        <v>189</v>
      </c>
      <c r="E8" s="812" t="s">
        <v>322</v>
      </c>
      <c r="F8" s="812" t="s">
        <v>564</v>
      </c>
      <c r="G8" s="812" t="s">
        <v>141</v>
      </c>
      <c r="H8" s="812" t="s">
        <v>454</v>
      </c>
      <c r="I8" s="812" t="s">
        <v>275</v>
      </c>
      <c r="J8" s="812" t="s">
        <v>249</v>
      </c>
      <c r="K8" s="812" t="s">
        <v>425</v>
      </c>
      <c r="L8" s="812" t="s">
        <v>231</v>
      </c>
      <c r="M8" s="812" t="s">
        <v>525</v>
      </c>
      <c r="N8" s="813" t="s">
        <v>569</v>
      </c>
      <c r="O8" s="814" t="s">
        <v>267</v>
      </c>
      <c r="P8" s="812" t="s">
        <v>400</v>
      </c>
      <c r="Q8" s="812" t="s">
        <v>558</v>
      </c>
      <c r="R8" s="812" t="s">
        <v>560</v>
      </c>
      <c r="S8" s="812" t="s">
        <v>460</v>
      </c>
      <c r="T8" s="812" t="s">
        <v>408</v>
      </c>
      <c r="U8" s="812" t="s">
        <v>259</v>
      </c>
      <c r="V8" s="812" t="s">
        <v>568</v>
      </c>
      <c r="W8" s="812" t="s">
        <v>559</v>
      </c>
      <c r="X8" s="812" t="s">
        <v>567</v>
      </c>
      <c r="Y8" s="812" t="s">
        <v>447</v>
      </c>
      <c r="Z8" s="812" t="s">
        <v>449</v>
      </c>
      <c r="AC8" s="810" t="s">
        <v>421</v>
      </c>
      <c r="AD8" s="810" t="s">
        <v>263</v>
      </c>
    </row>
    <row r="9" spans="1:34">
      <c r="AC9" s="810" t="s">
        <v>69</v>
      </c>
      <c r="AD9" s="810" t="s">
        <v>68</v>
      </c>
    </row>
    <row r="10" spans="1:34">
      <c r="A10" s="815" t="s">
        <v>276</v>
      </c>
      <c r="C10" s="810" t="s">
        <v>8813</v>
      </c>
      <c r="E10" s="810" t="s">
        <v>218</v>
      </c>
      <c r="G10" s="814" t="s">
        <v>328</v>
      </c>
      <c r="AC10" s="810" t="s">
        <v>397</v>
      </c>
      <c r="AD10" s="810" t="s">
        <v>486</v>
      </c>
    </row>
    <row r="11" spans="1:34">
      <c r="A11" s="815" t="s">
        <v>513</v>
      </c>
      <c r="C11" s="810" t="s">
        <v>8814</v>
      </c>
      <c r="E11" s="810" t="s">
        <v>426</v>
      </c>
      <c r="G11" s="814" t="s">
        <v>438</v>
      </c>
      <c r="AC11" s="810" t="s">
        <v>66</v>
      </c>
      <c r="AD11" s="810" t="s">
        <v>66</v>
      </c>
    </row>
    <row r="12" spans="1:34">
      <c r="A12" s="815" t="s">
        <v>518</v>
      </c>
      <c r="C12" s="810" t="s">
        <v>8815</v>
      </c>
      <c r="E12" s="810" t="s">
        <v>421</v>
      </c>
      <c r="G12" s="814" t="s">
        <v>396</v>
      </c>
      <c r="AC12" s="810" t="s">
        <v>497</v>
      </c>
      <c r="AD12" s="810" t="s">
        <v>26</v>
      </c>
    </row>
    <row r="13" spans="1:34">
      <c r="A13" s="815" t="s">
        <v>270</v>
      </c>
      <c r="C13" s="810" t="s">
        <v>8816</v>
      </c>
      <c r="E13" s="810" t="s">
        <v>368</v>
      </c>
      <c r="G13" s="814" t="s">
        <v>435</v>
      </c>
      <c r="AC13" s="810" t="s">
        <v>413</v>
      </c>
      <c r="AD13" s="810" t="s">
        <v>71</v>
      </c>
    </row>
    <row r="14" spans="1:34">
      <c r="A14" s="815" t="s">
        <v>273</v>
      </c>
      <c r="C14" s="810" t="s">
        <v>8817</v>
      </c>
      <c r="E14" s="810" t="s">
        <v>69</v>
      </c>
      <c r="G14" s="814" t="s">
        <v>443</v>
      </c>
      <c r="AC14" s="810" t="s">
        <v>414</v>
      </c>
      <c r="AD14" s="810" t="s">
        <v>493</v>
      </c>
    </row>
    <row r="15" spans="1:34">
      <c r="A15" s="815" t="s">
        <v>268</v>
      </c>
      <c r="C15" s="810" t="s">
        <v>8818</v>
      </c>
      <c r="E15" s="810" t="s">
        <v>413</v>
      </c>
      <c r="G15" s="814" t="s">
        <v>413</v>
      </c>
      <c r="AC15" s="810" t="s">
        <v>370</v>
      </c>
      <c r="AD15" s="810" t="s">
        <v>73</v>
      </c>
    </row>
    <row r="16" spans="1:34">
      <c r="A16" s="815" t="s">
        <v>265</v>
      </c>
      <c r="C16" s="810" t="s">
        <v>8819</v>
      </c>
      <c r="E16" s="810" t="s">
        <v>370</v>
      </c>
      <c r="G16" s="814" t="s">
        <v>370</v>
      </c>
      <c r="AC16" s="810" t="s">
        <v>374</v>
      </c>
      <c r="AD16" s="810" t="s">
        <v>499</v>
      </c>
    </row>
    <row r="18" spans="29:30">
      <c r="AC18" s="810" t="s">
        <v>439</v>
      </c>
      <c r="AD18" s="810" t="s">
        <v>96</v>
      </c>
    </row>
    <row r="19" spans="29:30">
      <c r="AC19" s="810" t="s">
        <v>404</v>
      </c>
      <c r="AD19" s="810" t="s">
        <v>98</v>
      </c>
    </row>
    <row r="20" spans="29:30">
      <c r="AC20" s="810" t="s">
        <v>375</v>
      </c>
      <c r="AD20" s="810" t="s">
        <v>102</v>
      </c>
    </row>
    <row r="21" spans="29:30">
      <c r="AC21" s="810" t="s">
        <v>436</v>
      </c>
      <c r="AD21" s="810" t="s">
        <v>126</v>
      </c>
    </row>
    <row r="22" spans="29:30">
      <c r="AC22" s="810" t="s">
        <v>444</v>
      </c>
      <c r="AD22" s="810" t="s">
        <v>100</v>
      </c>
    </row>
    <row r="24" spans="29:30">
      <c r="AC24" s="810" t="s">
        <v>435</v>
      </c>
      <c r="AD24" s="810" t="s">
        <v>8743</v>
      </c>
    </row>
    <row r="25" spans="29:30">
      <c r="AC25" s="810" t="s">
        <v>438</v>
      </c>
      <c r="AD25" s="810" t="s">
        <v>8741</v>
      </c>
    </row>
    <row r="26" spans="29:30">
      <c r="AC26" s="810" t="s">
        <v>396</v>
      </c>
      <c r="AD26" s="810" t="s">
        <v>8742</v>
      </c>
    </row>
    <row r="27" spans="29:30">
      <c r="AC27" s="810" t="s">
        <v>443</v>
      </c>
      <c r="AD27" s="810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</sheetViews>
  <sheetFormatPr defaultRowHeight="21"/>
  <cols>
    <col min="2" max="2" width="12.3984375" customWidth="1"/>
  </cols>
  <sheetData>
    <row r="2" spans="2:4" ht="38.25">
      <c r="B2" s="404" t="s">
        <v>633</v>
      </c>
      <c r="C2" s="795">
        <f xml:space="preserve"> HEX2DEC( RIGHT(B2,4))</f>
        <v>63696</v>
      </c>
      <c r="D2" s="796" t="str">
        <f xml:space="preserve"> _xlfn.UNICHAR(C2)</f>
        <v></v>
      </c>
    </row>
    <row r="3" spans="2:4" ht="38.25">
      <c r="B3" s="404" t="s">
        <v>634</v>
      </c>
      <c r="C3" s="795">
        <f xml:space="preserve"> HEX2DEC( RIGHT(B3,4))</f>
        <v>63697</v>
      </c>
      <c r="D3" s="796" t="str">
        <f xml:space="preserve"> _xlfn.UNICHAR(C3)</f>
        <v></v>
      </c>
    </row>
    <row r="4" spans="2:4" ht="38.25">
      <c r="B4" s="404" t="s">
        <v>635</v>
      </c>
      <c r="C4" s="795">
        <f xml:space="preserve"> HEX2DEC( RIGHT(B4,4))</f>
        <v>63698</v>
      </c>
      <c r="D4" s="796" t="str">
        <f xml:space="preserve"> _xlfn.UNICHAR(C4)</f>
        <v></v>
      </c>
    </row>
    <row r="5" spans="2:4" ht="38.25">
      <c r="B5" s="404" t="s">
        <v>636</v>
      </c>
      <c r="C5" s="795">
        <f xml:space="preserve"> HEX2DEC( RIGHT(B5,4))</f>
        <v>63699</v>
      </c>
      <c r="D5" s="796" t="str">
        <f xml:space="preserve"> _xlfn.UNICHAR(C5)</f>
        <v></v>
      </c>
    </row>
    <row r="6" spans="2:4" ht="38.25">
      <c r="B6" s="370"/>
      <c r="C6" s="795"/>
      <c r="D6" s="796"/>
    </row>
    <row r="7" spans="2:4" ht="38.25">
      <c r="B7" s="404" t="s">
        <v>637</v>
      </c>
      <c r="C7" s="795">
        <f xml:space="preserve"> HEX2DEC( RIGHT(B7,4))</f>
        <v>63712</v>
      </c>
      <c r="D7" s="796" t="str">
        <f xml:space="preserve"> _xlfn.UNICHAR(C7)</f>
        <v></v>
      </c>
    </row>
    <row r="8" spans="2:4" ht="38.25">
      <c r="B8" s="404" t="s">
        <v>638</v>
      </c>
      <c r="C8" s="795">
        <f xml:space="preserve"> HEX2DEC( RIGHT(B8,4))</f>
        <v>63713</v>
      </c>
      <c r="D8" s="796" t="str">
        <f xml:space="preserve"> _xlfn.UNICHAR(C8)</f>
        <v></v>
      </c>
    </row>
    <row r="9" spans="2:4" ht="38.25">
      <c r="B9" s="370"/>
      <c r="C9" s="795"/>
      <c r="D9" s="796"/>
    </row>
    <row r="10" spans="2:4" ht="38.25">
      <c r="B10" s="404" t="s">
        <v>639</v>
      </c>
      <c r="C10" s="795">
        <f xml:space="preserve"> HEX2DEC( RIGHT(B10,4))</f>
        <v>63728</v>
      </c>
      <c r="D10" s="796" t="str">
        <f xml:space="preserve"> _xlfn.UNICHAR(C10)</f>
        <v></v>
      </c>
    </row>
    <row r="11" spans="2:4" ht="38.25">
      <c r="B11" s="404" t="s">
        <v>640</v>
      </c>
      <c r="C11" s="795">
        <f xml:space="preserve"> HEX2DEC( RIGHT(B11,4))</f>
        <v>63729</v>
      </c>
      <c r="D11" s="796" t="str">
        <f xml:space="preserve"> _xlfn.UNICHAR(C11)</f>
        <v></v>
      </c>
    </row>
    <row r="12" spans="2:4" ht="38.25">
      <c r="B12" s="404" t="s">
        <v>641</v>
      </c>
      <c r="C12" s="795">
        <f xml:space="preserve"> HEX2DEC( RIGHT(B12,4))</f>
        <v>63730</v>
      </c>
      <c r="D12" s="796" t="str">
        <f xml:space="preserve"> _xlfn.UNICHAR(C12)</f>
        <v></v>
      </c>
    </row>
    <row r="13" spans="2:4" ht="38.25">
      <c r="B13" s="404" t="s">
        <v>642</v>
      </c>
      <c r="C13" s="795">
        <f xml:space="preserve"> HEX2DEC( RIGHT(B13,4))</f>
        <v>63731</v>
      </c>
      <c r="D13" s="796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K</v>
      </c>
      <c r="BT14" s="549" t="str">
        <f t="shared" si="3"/>
        <v xml:space="preserve">    "E": { commit: "ㆣ" }  # /g/ ==&gt; K</v>
      </c>
      <c r="BV14" s="236">
        <f t="shared" si="1"/>
        <v>11</v>
      </c>
      <c r="BW14" s="263" t="str">
        <f t="shared" si="2"/>
        <v>- xform/K/E/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K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f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q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P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D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r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7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f</v>
      </c>
      <c r="BT21" s="549" t="str">
        <f t="shared" si="3"/>
        <v xml:space="preserve">    "U": { commit: "ㆪ" }  # /inn/ ==&gt; f</v>
      </c>
      <c r="BV21" s="195">
        <f t="shared" si="1"/>
        <v>18</v>
      </c>
      <c r="BW21" s="263" t="str">
        <f t="shared" si="2"/>
        <v>- xform/f/U/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xform/q/J/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q</v>
      </c>
      <c r="BT23" s="549" t="str">
        <f t="shared" si="3"/>
        <v xml:space="preserve">    "J": { commit: "ㆫ" }  # /unn/ ==&gt; q</v>
      </c>
      <c r="BV23" s="195">
        <f t="shared" si="1"/>
        <v>20</v>
      </c>
      <c r="BW23" s="263" t="str">
        <f xml:space="preserve"> "- xform/" &amp; BR25 &amp; "/" &amp; BO25 &amp; "/"</f>
        <v>- xform/P/*/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xform/D/I/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P</v>
      </c>
      <c r="BT25" s="549" t="str">
        <f t="shared" si="3"/>
        <v xml:space="preserve">    "*": { commit: "ㆩ" }  # /ann/ ==&gt; P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xform/r/&lt;/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D</v>
      </c>
      <c r="BT27" s="549" t="str">
        <f t="shared" si="3"/>
        <v xml:space="preserve">    "I": { commit: "ㆧ" }  # /onn/ ==&gt; D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r</v>
      </c>
      <c r="BT30" s="549" t="str">
        <f t="shared" si="3"/>
        <v xml:space="preserve">    "&lt;": { commit: "ㆥ" }  # /enn/ ==&gt; r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xform/7/5/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7</v>
      </c>
      <c r="BT54" s="549" t="str">
        <f t="shared" si="3"/>
        <v xml:space="preserve">    "5": { commit: "˫" }  # /7/ ==&gt; 7</v>
      </c>
      <c r="BV54" s="236">
        <f t="shared" si="4"/>
        <v>50</v>
      </c>
      <c r="BW54" s="237" t="str">
        <f t="shared" si="5"/>
        <v>- xform/7/5/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t="str" cm="1">
        <f t="array" ref="BR57" xml:space="preserve"> INDEX(注音編碼對照表BAK[字典編碼], MATCH(TRUE, EXACT('鍵盤設計 (2)'!$BO57,注音編碼對照表BAK[鍵盤按鍵]),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t="str" cm="1">
        <f t="array" ref="BR58" xml:space="preserve"> INDEX(注音編碼對照表BAK[字典編碼], MATCH(TRUE, EXACT('鍵盤設計 (2)'!$BO58,注音編碼對照表BAK[鍵盤按鍵]),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t="str" cm="1">
        <f t="array" ref="BR59" xml:space="preserve"> INDEX(注音編碼對照表BAK[字典編碼], MATCH(TRUE, EXACT('鍵盤設計 (2)'!$BO59,注音編碼對照表BAK[鍵盤按鍵]),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7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8" t="s">
        <v>14</v>
      </c>
      <c r="C2" s="789" t="s">
        <v>386</v>
      </c>
      <c r="D2" s="790" t="s">
        <v>694</v>
      </c>
      <c r="E2" s="789" t="s">
        <v>8713</v>
      </c>
      <c r="F2" s="790" t="s">
        <v>388</v>
      </c>
      <c r="G2" s="789" t="s">
        <v>884</v>
      </c>
      <c r="H2" s="791" t="s">
        <v>17</v>
      </c>
      <c r="I2" s="792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K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f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q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P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D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r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t="str" cm="1">
        <f t="array" ref="H52">IFERROR( INDEX(鍵盤設計!$Q$5:$Q$61, MATCH(TRUE, EXACT(注音編碼對照表BAK[[#This Row],[方音符號]], 鍵盤設計!$P$5:$P$61),0)), "")</f>
        <v>2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t="str" cm="1">
        <f t="array" ref="H53">IFERROR( INDEX(鍵盤設計!$Q$5:$Q$61, MATCH(TRUE, EXACT(注音編碼對照表BAK[[#This Row],[方音符號]], 鍵盤設計!$P$5:$P$61),0)), "")</f>
        <v>3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t="str" cm="1">
        <f t="array" ref="H54">IFERROR( INDEX(鍵盤設計!$Q$5:$Q$61, MATCH(TRUE, EXACT(注音編碼對照表BAK[[#This Row],[方音符號]], 鍵盤設計!$P$5:$P$61),0)), "")</f>
        <v>5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7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3">
        <f>ROW() - 2</f>
        <v>55</v>
      </c>
      <c r="C57" s="538" t="s">
        <v>8768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3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/>
      </c>
      <c r="F58" s="379" t="str" cm="1">
        <f t="array" ref="F58">IFERROR( INDEX(鍵盤設計!$S$5:$S$61, MATCH(TRUE, EXACT(注音編碼對照表BAK[[#This Row],[方音符號]], 鍵盤設計!$P$5:$P$61),0)), "")</f>
        <v/>
      </c>
      <c r="G58" s="542" t="str" cm="1">
        <f t="array" ref="G58">IFERROR( INDEX(鍵盤設計!$R$5:$R$61, MATCH(TRUE, EXACT(注音編碼對照表BAK[[#This Row],[方音符號]], 鍵盤設計!$P$5:$P$61),0)),"")</f>
        <v/>
      </c>
      <c r="H58" s="354" t="str" cm="1">
        <f t="array" ref="H58">IFERROR( INDEX(鍵盤設計!$Q$5:$Q$61, MATCH(TRUE, EXACT(注音編碼對照表BAK[[#This Row],[方音符號]], 鍵盤設計!$P$5:$P$61),0)), "")</f>
        <v/>
      </c>
      <c r="I58" s="71" t="str" cm="1">
        <f t="array" ref="I58">IFERROR( INDEX(鍵盤設計!$O$5:$O$61, MATCH(TRUE, EXACT(注音編碼對照表BAK[[#This Row],[方音符號]], 鍵盤設計!$P$5:$P$61),0)), "")</f>
        <v/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ann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gg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K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f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q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P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D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r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e" cm="1">
        <f t="array" ref="X37" xml:space="preserve"> INDEX('注音編碼對照表（old）'!$F$3:$F$59, MATCH(TRUE, EXACT(表格1_33411[[#This Row],[注音編碼]], '注音編碼對照表（old）'!$H$3:$H$59), 0))</f>
        <v>#N/A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e" cm="1">
        <f t="array" ref="X41" xml:space="preserve"> INDEX('注音編碼對照表（old）'!$F$3:$F$59, MATCH(TRUE, EXACT(表格1_33411[[#This Row],[注音編碼]], '注音編碼對照表（old）'!$H$3:$H$59), 0))</f>
        <v>#N/A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e" cm="1">
        <f t="array" ref="X42" xml:space="preserve"> INDEX('注音編碼對照表（old）'!$F$3:$F$59, MATCH(TRUE, EXACT(表格1_33411[[#This Row],[注音編碼]], '注音編碼對照表（old）'!$H$3:$H$59), 0))</f>
        <v>#N/A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e" cm="1">
        <f t="array" ref="X44" xml:space="preserve"> INDEX('注音編碼對照表（old）'!$F$3:$F$59, MATCH(TRUE, EXACT(表格1_33411[[#This Row],[注音編碼]], '注音編碼對照表（old）'!$H$3:$H$59), 0))</f>
        <v>#N/A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t="str" cm="1">
        <f t="array" ref="AB45" xml:space="preserve"> INDEX(注音編碼對照表BAK[字典編碼], MATCH(TRUE, EXACT(RIME設定解析!$AA45, 注音編碼對照表BAK[鍵盤按鍵] ),0))</f>
        <v>2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t="str" cm="1">
        <f t="array" ref="AB46" xml:space="preserve"> INDEX(注音編碼對照表BAK[字典編碼], MATCH(TRUE, EXACT(RIME設定解析!$AA46, 注音編碼對照表BAK[鍵盤按鍵] ),0))</f>
        <v>3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t="str" cm="1">
        <f t="array" ref="AB47" xml:space="preserve"> INDEX(注音編碼對照表BAK[字典編碼], MATCH(TRUE, EXACT(RIME設定解析!$AA47, 注音編碼對照表BAK[鍵盤按鍵] ),0))</f>
        <v>5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7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2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3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5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cm="1">
        <f t="array" ref="X52" xml:space="preserve"> INDEX('注音編碼對照表（old）'!$F$3:$F$59, MATCH(TRUE, EXACT(表格1_33411[[#This Row],[注音編碼]], '注音編碼對照表（old）'!$H$3:$H$59), 0))</f>
        <v>7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52" customFormat="1" ht="30">
      <c r="B3" s="751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825" t="s">
        <v>680</v>
      </c>
      <c r="C4" s="825" t="s">
        <v>682</v>
      </c>
      <c r="D4" s="825"/>
      <c r="E4" s="501" t="s">
        <v>753</v>
      </c>
      <c r="F4" s="502"/>
      <c r="G4" s="503"/>
      <c r="H4" s="826" t="s">
        <v>754</v>
      </c>
      <c r="I4" s="828"/>
      <c r="J4" s="828"/>
      <c r="K4" s="828"/>
      <c r="L4" s="827"/>
    </row>
    <row r="5" spans="2:12">
      <c r="B5" s="825"/>
      <c r="C5" s="825"/>
      <c r="D5" s="825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26" t="s">
        <v>758</v>
      </c>
      <c r="L5" s="827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2025-11-12T15:07:30Z</dcterms:modified>
</cp:coreProperties>
</file>