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17D98119-F819-43F9-B8D4-AE1E6AE855F4}" xr6:coauthVersionLast="47" xr6:coauthVersionMax="47" xr10:uidLastSave="{00000000-0000-0000-0000-000000000000}"/>
  <bookViews>
    <workbookView xWindow="67080" yWindow="-105" windowWidth="16440" windowHeight="28320" tabRatio="852" activeTab="3" xr2:uid="{7FF7F740-F631-4A1E-9C4D-C5EB90769954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Unicode" sheetId="32" r:id="rId5"/>
    <sheet name="RIME設定" sheetId="5" r:id="rId6"/>
    <sheet name="RIME聲母轉換" sheetId="30" r:id="rId7"/>
    <sheet name="鍵盤設計 (2)" sheetId="25" state="hidden" r:id="rId8"/>
    <sheet name="台羅轉換注音二式規則" sheetId="20" r:id="rId9"/>
    <sheet name="ㆦㄜ對映" sheetId="21" r:id="rId10"/>
    <sheet name="注音編碼對照表（old）" sheetId="12" r:id="rId11"/>
    <sheet name="台羅轉換注音二式音標字母" sheetId="17" r:id="rId12"/>
    <sheet name="漢字庫" sheetId="19" state="hidden" r:id="rId13"/>
    <sheet name="注音符號、電腦鍵盤與音標編碼" sheetId="4" r:id="rId14"/>
    <sheet name="RIME設定解析" sheetId="10" state="hidden" r:id="rId15"/>
    <sheet name="台語方音字典編碼" sheetId="3" state="hidden" r:id="rId16"/>
    <sheet name="RIME對映編碼 (台語方音)" sheetId="1" state="hidden" r:id="rId17"/>
    <sheet name="方音符號" sheetId="7" state="hidden" r:id="rId18"/>
    <sheet name="方音聲母" sheetId="13" r:id="rId19"/>
    <sheet name="方音韻母" sheetId="14" r:id="rId20"/>
    <sheet name=" 所有入聲韻" sheetId="15" r:id="rId21"/>
    <sheet name="參考鍵盤" sheetId="2" r:id="rId22"/>
  </sheets>
  <externalReferences>
    <externalReference r:id="rId23"/>
  </externalReferences>
  <definedNames>
    <definedName name="_xlnm._FilterDatabase" localSheetId="5" hidden="1">RIME設定!$BN$4:$BS$58</definedName>
    <definedName name="_xlnm._FilterDatabase" localSheetId="14" hidden="1">RIME設定解析!$Z$2:$AE$58</definedName>
    <definedName name="_xlnm._FilterDatabase" localSheetId="17" hidden="1">方音符號!$Q$2:$U$54</definedName>
    <definedName name="_xlnm._FilterDatabase" localSheetId="13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5">RIME設定!$CI$1:$CJ$2</definedName>
    <definedName name="_xlnm.Criteria" localSheetId="6">RIME聲母轉換!$B$2:$C$3</definedName>
    <definedName name="_xlnm.Criteria" localSheetId="1">鍵盤設計!$P$1:$P$2</definedName>
    <definedName name="_xlnm.Criteria" localSheetId="2">鍵盤設計【未用按鍵】!$B$1:$B$2</definedName>
    <definedName name="_xlnm.Extract" localSheetId="5">RIME設定!$CI$4:$CN$4</definedName>
    <definedName name="_xlnm.Extract" localSheetId="6">RIME聲母轉換!$B$5:$G$6</definedName>
    <definedName name="_xlnm.Extract" localSheetId="1">鍵盤設計!$P$4:$V$4</definedName>
    <definedName name="_xlnm.Extract" localSheetId="2">鍵盤設計【未用按鍵】!$B$4:$I$4</definedName>
    <definedName name="方音符號" localSheetId="5">#REF!</definedName>
    <definedName name="方音符號" localSheetId="14">RIME設定解析!$W$3:$W$53</definedName>
    <definedName name="方音符號" localSheetId="16">'RIME對映編碼 (台語方音)'!$U$3:$U$44</definedName>
    <definedName name="方音符號" localSheetId="9">#REF!</definedName>
    <definedName name="方音符號" localSheetId="17">#REF!</definedName>
    <definedName name="方音符號" localSheetId="8">#REF!</definedName>
    <definedName name="方音符號" localSheetId="13">#REF!</definedName>
    <definedName name="方音符號" localSheetId="1">#REF!</definedName>
    <definedName name="方音符號" localSheetId="7">#REF!</definedName>
    <definedName name="方音符號" localSheetId="2">#REF!</definedName>
    <definedName name="方音符號">[1]RIME編碼!$AA$3:$AA$45</definedName>
    <definedName name="字典編碼" localSheetId="5">#REF!</definedName>
    <definedName name="字典編碼" localSheetId="9">#REF!</definedName>
    <definedName name="字典編碼" localSheetId="17">#REF!</definedName>
    <definedName name="字典編碼" localSheetId="8">#REF!</definedName>
    <definedName name="字典編碼" localSheetId="13">#REF!</definedName>
    <definedName name="字典編碼" localSheetId="1">#REF!</definedName>
    <definedName name="字典編碼" localSheetId="7">#REF!</definedName>
    <definedName name="字典編碼" localSheetId="2">#REF!</definedName>
    <definedName name="字典編碼">[1]RIME編碼!$AB$3:$AB$45</definedName>
    <definedName name="注音符號" localSheetId="14">RIME設定解析!$W$3:$W$53</definedName>
    <definedName name="注音符號" localSheetId="17">#REF!</definedName>
    <definedName name="注音符號">#REF!</definedName>
    <definedName name="注音編碼" localSheetId="14">RIME設定解析!$V$3:$V$53</definedName>
    <definedName name="注音編碼">#REF!</definedName>
    <definedName name="拼音字母" localSheetId="5">#REF!</definedName>
    <definedName name="拼音字母" localSheetId="14">RIME設定解析!$X$3:$X$53</definedName>
    <definedName name="拼音字母" localSheetId="16">'RIME對映編碼 (台語方音)'!#REF!</definedName>
    <definedName name="拼音字母" localSheetId="9">#REF!</definedName>
    <definedName name="拼音字母" localSheetId="17">#REF!</definedName>
    <definedName name="拼音字母" localSheetId="8">#REF!</definedName>
    <definedName name="拼音字母" localSheetId="13">#REF!</definedName>
    <definedName name="拼音字母" localSheetId="1">#REF!</definedName>
    <definedName name="拼音字母" localSheetId="7">#REF!</definedName>
    <definedName name="拼音字母" localSheetId="2">#REF!</definedName>
    <definedName name="拼音字母">[1]RIME編碼!$AC$3:$AC$45</definedName>
    <definedName name="按鍵編碼" localSheetId="14">RIME設定解析!$V$3:$V$53</definedName>
    <definedName name="按鍵編碼" localSheetId="16">'RIME對映編碼 (台語方音)'!$T$3:$T$44</definedName>
    <definedName name="國際音標" localSheetId="16">'RIME對映編碼 (台語方音)'!#REF!</definedName>
    <definedName name="鍵盤位置" localSheetId="5">#REF!</definedName>
    <definedName name="鍵盤位置" localSheetId="14">RIME設定解析!$U$3:$U$53</definedName>
    <definedName name="鍵盤位置" localSheetId="16">'RIME對映編碼 (台語方音)'!$S$3:$S$44</definedName>
    <definedName name="鍵盤位置" localSheetId="9">#REF!</definedName>
    <definedName name="鍵盤位置" localSheetId="17">#REF!</definedName>
    <definedName name="鍵盤位置" localSheetId="8">#REF!</definedName>
    <definedName name="鍵盤位置" localSheetId="13">#REF!</definedName>
    <definedName name="鍵盤位置" localSheetId="1">#REF!</definedName>
    <definedName name="鍵盤位置" localSheetId="7">#REF!</definedName>
    <definedName name="鍵盤位置" localSheetId="2">#REF!</definedName>
    <definedName name="鍵盤位置">[1]RIME編碼!$W$3:$W$40</definedName>
    <definedName name="鍵盤按鍵" localSheetId="14">RIME設定解析!$U$3:$U$53</definedName>
    <definedName name="鍵盤按鍵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32" l="1"/>
  <c r="D13" i="32" s="1"/>
  <c r="C12" i="32"/>
  <c r="D12" i="32" s="1"/>
  <c r="C11" i="32"/>
  <c r="D11" i="32" s="1"/>
  <c r="C10" i="32"/>
  <c r="D10" i="32" s="1"/>
  <c r="C8" i="32"/>
  <c r="D8" i="32" s="1"/>
  <c r="D7" i="32"/>
  <c r="C7" i="32"/>
  <c r="C5" i="32"/>
  <c r="D5" i="32" s="1"/>
  <c r="C4" i="32"/>
  <c r="D4" i="32" s="1"/>
  <c r="C3" i="32"/>
  <c r="D3" i="32" s="1"/>
  <c r="C2" i="32"/>
  <c r="D2" i="32" s="1"/>
  <c r="B57" i="31"/>
  <c r="F57" i="31" a="1"/>
  <c r="F57" i="31" s="1"/>
  <c r="F5" i="31" a="1"/>
  <c r="F5" i="31" s="1"/>
  <c r="G5" i="31" a="1"/>
  <c r="G5" i="31" s="1"/>
  <c r="H5" i="31" a="1"/>
  <c r="H5" i="31" s="1"/>
  <c r="I5" i="31" a="1"/>
  <c r="I5" i="31" s="1"/>
  <c r="D5" i="31" a="1"/>
  <c r="D5" i="31" s="1"/>
  <c r="J5" i="31" a="1"/>
  <c r="J5" i="31" s="1"/>
  <c r="F6" i="31" a="1"/>
  <c r="F6" i="31" s="1"/>
  <c r="G6" i="31" a="1"/>
  <c r="G6" i="31" s="1"/>
  <c r="H6" i="31" a="1"/>
  <c r="H6" i="31" s="1"/>
  <c r="I6" i="31" a="1"/>
  <c r="I6" i="31" s="1"/>
  <c r="D6" i="31" a="1"/>
  <c r="D6" i="31" s="1"/>
  <c r="J6" i="31" a="1"/>
  <c r="J6" i="31" s="1"/>
  <c r="F3" i="31" a="1"/>
  <c r="F3" i="31" s="1"/>
  <c r="G3" i="31" a="1"/>
  <c r="G3" i="31" s="1"/>
  <c r="H3" i="31" a="1"/>
  <c r="H3" i="31" s="1"/>
  <c r="I3" i="31" a="1"/>
  <c r="I3" i="31" s="1"/>
  <c r="D3" i="31" a="1"/>
  <c r="D3" i="31" s="1"/>
  <c r="J3" i="31" a="1"/>
  <c r="J3" i="31" s="1"/>
  <c r="F8" i="31" a="1"/>
  <c r="F8" i="31" s="1"/>
  <c r="G8" i="31" a="1"/>
  <c r="G8" i="31" s="1"/>
  <c r="H8" i="31" a="1"/>
  <c r="H8" i="31" s="1"/>
  <c r="I8" i="31" a="1"/>
  <c r="I8" i="31" s="1"/>
  <c r="D8" i="31" a="1"/>
  <c r="D8" i="31" s="1"/>
  <c r="J8" i="31" a="1"/>
  <c r="J8" i="31" s="1"/>
  <c r="F9" i="31" a="1"/>
  <c r="F9" i="31" s="1"/>
  <c r="G9" i="31" a="1"/>
  <c r="G9" i="31" s="1"/>
  <c r="H9" i="31" a="1"/>
  <c r="H9" i="31" s="1"/>
  <c r="I9" i="31" a="1"/>
  <c r="I9" i="31" s="1"/>
  <c r="D9" i="31" a="1"/>
  <c r="D9" i="31" s="1"/>
  <c r="J9" i="31" a="1"/>
  <c r="J9" i="31" s="1"/>
  <c r="F7" i="31" a="1"/>
  <c r="F7" i="31" s="1"/>
  <c r="G7" i="31" a="1"/>
  <c r="G7" i="31" s="1"/>
  <c r="H7" i="31" a="1"/>
  <c r="H7" i="31" s="1"/>
  <c r="I7" i="31" a="1"/>
  <c r="I7" i="31" s="1"/>
  <c r="D7" i="31" a="1"/>
  <c r="D7" i="31" s="1"/>
  <c r="J7" i="31" a="1"/>
  <c r="J7" i="31" s="1"/>
  <c r="F10" i="31" a="1"/>
  <c r="F10" i="31" s="1"/>
  <c r="G10" i="31" a="1"/>
  <c r="G10" i="31" s="1"/>
  <c r="H10" i="31" a="1"/>
  <c r="H10" i="31" s="1"/>
  <c r="I10" i="31" a="1"/>
  <c r="I10" i="31" s="1"/>
  <c r="D10" i="31" a="1"/>
  <c r="D10" i="31" s="1"/>
  <c r="J10" i="31" a="1"/>
  <c r="J10" i="31" s="1"/>
  <c r="F12" i="31" a="1"/>
  <c r="F12" i="31" s="1"/>
  <c r="G12" i="31" a="1"/>
  <c r="G12" i="31" s="1"/>
  <c r="H12" i="31" a="1"/>
  <c r="H12" i="31" s="1"/>
  <c r="I12" i="31" a="1"/>
  <c r="I12" i="31" s="1"/>
  <c r="D12" i="31" a="1"/>
  <c r="D12" i="31" s="1"/>
  <c r="J12" i="31" a="1"/>
  <c r="J12" i="31" s="1"/>
  <c r="F13" i="31" a="1"/>
  <c r="F13" i="31" s="1"/>
  <c r="G13" i="31" a="1"/>
  <c r="G13" i="31" s="1"/>
  <c r="H13" i="31" a="1"/>
  <c r="H13" i="31" s="1"/>
  <c r="I13" i="31" a="1"/>
  <c r="I13" i="31" s="1"/>
  <c r="D13" i="31" a="1"/>
  <c r="D13" i="31" s="1"/>
  <c r="J13" i="31" a="1"/>
  <c r="J13" i="31" s="1"/>
  <c r="F14" i="31" a="1"/>
  <c r="F14" i="31" s="1"/>
  <c r="G14" i="31" a="1"/>
  <c r="G14" i="31" s="1"/>
  <c r="H14" i="31" a="1"/>
  <c r="H14" i="31" s="1"/>
  <c r="I14" i="31" a="1"/>
  <c r="I14" i="31" s="1"/>
  <c r="D14" i="31" a="1"/>
  <c r="D14" i="31" s="1"/>
  <c r="J14" i="31" a="1"/>
  <c r="J14" i="31" s="1"/>
  <c r="F11" i="31" a="1"/>
  <c r="F11" i="31" s="1"/>
  <c r="G11" i="31" a="1"/>
  <c r="G11" i="31" s="1"/>
  <c r="H11" i="31" a="1"/>
  <c r="H11" i="31" s="1"/>
  <c r="I11" i="31" a="1"/>
  <c r="I11" i="31" s="1"/>
  <c r="D11" i="31" a="1"/>
  <c r="D11" i="31" s="1"/>
  <c r="J11" i="31" a="1"/>
  <c r="J11" i="31" s="1"/>
  <c r="F15" i="31" a="1"/>
  <c r="F15" i="31" s="1"/>
  <c r="G15" i="31" a="1"/>
  <c r="G15" i="31" s="1"/>
  <c r="H15" i="31" a="1"/>
  <c r="H15" i="31" s="1"/>
  <c r="I15" i="31" a="1"/>
  <c r="I15" i="31" s="1"/>
  <c r="D15" i="31" a="1"/>
  <c r="D15" i="31" s="1"/>
  <c r="J15" i="31" a="1"/>
  <c r="J15" i="31" s="1"/>
  <c r="F16" i="31" a="1"/>
  <c r="F16" i="31" s="1"/>
  <c r="G16" i="31" a="1"/>
  <c r="G16" i="31" s="1"/>
  <c r="H16" i="31" a="1"/>
  <c r="H16" i="31" s="1"/>
  <c r="I16" i="31" a="1"/>
  <c r="I16" i="31" s="1"/>
  <c r="D16" i="31" a="1"/>
  <c r="D16" i="31" s="1"/>
  <c r="J16" i="31" a="1"/>
  <c r="J16" i="31" s="1"/>
  <c r="F17" i="31" a="1"/>
  <c r="F17" i="31" s="1"/>
  <c r="G17" i="31" a="1"/>
  <c r="G17" i="31" s="1"/>
  <c r="H17" i="31" a="1"/>
  <c r="H17" i="31" s="1"/>
  <c r="I17" i="31" a="1"/>
  <c r="I17" i="31" s="1"/>
  <c r="D17" i="31" a="1"/>
  <c r="D17" i="31" s="1"/>
  <c r="J17" i="31" a="1"/>
  <c r="J17" i="31" s="1"/>
  <c r="F18" i="31" a="1"/>
  <c r="F18" i="31" s="1"/>
  <c r="G18" i="31" a="1"/>
  <c r="G18" i="31" s="1"/>
  <c r="H18" i="31" a="1"/>
  <c r="H18" i="31" s="1"/>
  <c r="I18" i="31" a="1"/>
  <c r="I18" i="31" s="1"/>
  <c r="D18" i="31" a="1"/>
  <c r="D18" i="31" s="1"/>
  <c r="J18" i="31" a="1"/>
  <c r="J18" i="31" s="1"/>
  <c r="F19" i="31" a="1"/>
  <c r="F19" i="31" s="1"/>
  <c r="G19" i="31" a="1"/>
  <c r="G19" i="31" s="1"/>
  <c r="H19" i="31" a="1"/>
  <c r="H19" i="31" s="1"/>
  <c r="I19" i="31" a="1"/>
  <c r="I19" i="31" s="1"/>
  <c r="D19" i="31" a="1"/>
  <c r="D19" i="31" s="1"/>
  <c r="J19" i="31" a="1"/>
  <c r="J19" i="31" s="1"/>
  <c r="F20" i="31" a="1"/>
  <c r="F20" i="31" s="1"/>
  <c r="G20" i="31" a="1"/>
  <c r="G20" i="31" s="1"/>
  <c r="H20" i="31" a="1"/>
  <c r="H20" i="31" s="1"/>
  <c r="I20" i="31" a="1"/>
  <c r="I20" i="31" s="1"/>
  <c r="D20" i="31" a="1"/>
  <c r="D20" i="31" s="1"/>
  <c r="J20" i="31" a="1"/>
  <c r="J20" i="31" s="1"/>
  <c r="F21" i="31" a="1"/>
  <c r="F21" i="31" s="1"/>
  <c r="G21" i="31" a="1"/>
  <c r="G21" i="31" s="1"/>
  <c r="H21" i="31" a="1"/>
  <c r="H21" i="31" s="1"/>
  <c r="I21" i="31" a="1"/>
  <c r="I21" i="31" s="1"/>
  <c r="D21" i="31" a="1"/>
  <c r="D21" i="31" s="1"/>
  <c r="J21" i="31" a="1"/>
  <c r="J21" i="31" s="1"/>
  <c r="F22" i="31" a="1"/>
  <c r="F22" i="31" s="1"/>
  <c r="G22" i="31" a="1"/>
  <c r="G22" i="31" s="1"/>
  <c r="H22" i="31" a="1"/>
  <c r="H22" i="31" s="1"/>
  <c r="I22" i="31" a="1"/>
  <c r="I22" i="31" s="1"/>
  <c r="D22" i="31" a="1"/>
  <c r="D22" i="31" s="1"/>
  <c r="J22" i="31" a="1"/>
  <c r="J22" i="31" s="1"/>
  <c r="F23" i="31" a="1"/>
  <c r="F23" i="31" s="1"/>
  <c r="G23" i="31" a="1"/>
  <c r="G23" i="31" s="1"/>
  <c r="H23" i="31" a="1"/>
  <c r="H23" i="31" s="1"/>
  <c r="I23" i="31" a="1"/>
  <c r="I23" i="31" s="1"/>
  <c r="D23" i="31" a="1"/>
  <c r="D23" i="31" s="1"/>
  <c r="J23" i="31" a="1"/>
  <c r="J23" i="31" s="1"/>
  <c r="F24" i="31" a="1"/>
  <c r="F24" i="31" s="1"/>
  <c r="G24" i="31" a="1"/>
  <c r="G24" i="31" s="1"/>
  <c r="H24" i="31" a="1"/>
  <c r="H24" i="31" s="1"/>
  <c r="I24" i="31" a="1"/>
  <c r="I24" i="31" s="1"/>
  <c r="D24" i="31" a="1"/>
  <c r="D24" i="31" s="1"/>
  <c r="J24" i="31" a="1"/>
  <c r="J24" i="31" s="1"/>
  <c r="F25" i="31" a="1"/>
  <c r="F25" i="31" s="1"/>
  <c r="G25" i="31" a="1"/>
  <c r="G25" i="31" s="1"/>
  <c r="H25" i="31" a="1"/>
  <c r="H25" i="31" s="1"/>
  <c r="I25" i="31" a="1"/>
  <c r="I25" i="31" s="1"/>
  <c r="D25" i="31" a="1"/>
  <c r="D25" i="31" s="1"/>
  <c r="J25" i="31" a="1"/>
  <c r="J25" i="31" s="1"/>
  <c r="F32" i="31" a="1"/>
  <c r="F32" i="31" s="1"/>
  <c r="G32" i="31" a="1"/>
  <c r="G32" i="31" s="1"/>
  <c r="H32" i="31" a="1"/>
  <c r="H32" i="31" s="1"/>
  <c r="I32" i="31" a="1"/>
  <c r="I32" i="31" s="1"/>
  <c r="D32" i="31" a="1"/>
  <c r="D32" i="31" s="1"/>
  <c r="J32" i="31" a="1"/>
  <c r="J32" i="31" s="1"/>
  <c r="F26" i="31" a="1"/>
  <c r="F26" i="31" s="1"/>
  <c r="G26" i="31" a="1"/>
  <c r="G26" i="31" s="1"/>
  <c r="H26" i="31" a="1"/>
  <c r="H26" i="31" s="1"/>
  <c r="I26" i="31" a="1"/>
  <c r="I26" i="31" s="1"/>
  <c r="D26" i="31" a="1"/>
  <c r="D26" i="31" s="1"/>
  <c r="J26" i="31" a="1"/>
  <c r="J26" i="31" s="1"/>
  <c r="F27" i="31" a="1"/>
  <c r="F27" i="31" s="1"/>
  <c r="G27" i="31" a="1"/>
  <c r="G27" i="31" s="1"/>
  <c r="H27" i="31" a="1"/>
  <c r="H27" i="31" s="1"/>
  <c r="I27" i="31" a="1"/>
  <c r="I27" i="31" s="1"/>
  <c r="D27" i="31" a="1"/>
  <c r="D27" i="31" s="1"/>
  <c r="J27" i="31" a="1"/>
  <c r="J27" i="31" s="1"/>
  <c r="F28" i="31" a="1"/>
  <c r="F28" i="31" s="1"/>
  <c r="G28" i="31" a="1"/>
  <c r="G28" i="31" s="1"/>
  <c r="H28" i="31" a="1"/>
  <c r="H28" i="31" s="1"/>
  <c r="I28" i="31" a="1"/>
  <c r="I28" i="31" s="1"/>
  <c r="D28" i="31" a="1"/>
  <c r="D28" i="31" s="1"/>
  <c r="J28" i="31" a="1"/>
  <c r="J28" i="31" s="1"/>
  <c r="F29" i="31" a="1"/>
  <c r="F29" i="31" s="1"/>
  <c r="G29" i="31" a="1"/>
  <c r="G29" i="31" s="1"/>
  <c r="H29" i="31" a="1"/>
  <c r="H29" i="31" s="1"/>
  <c r="I29" i="31" a="1"/>
  <c r="I29" i="31" s="1"/>
  <c r="D29" i="31" a="1"/>
  <c r="D29" i="31" s="1"/>
  <c r="J29" i="31" a="1"/>
  <c r="J29" i="31" s="1"/>
  <c r="F30" i="31" a="1"/>
  <c r="F30" i="31" s="1"/>
  <c r="G30" i="31" a="1"/>
  <c r="G30" i="31" s="1"/>
  <c r="H30" i="31" a="1"/>
  <c r="H30" i="31" s="1"/>
  <c r="I30" i="31" a="1"/>
  <c r="I30" i="31" s="1"/>
  <c r="D30" i="31" a="1"/>
  <c r="D30" i="31" s="1"/>
  <c r="J30" i="31" a="1"/>
  <c r="J30" i="31" s="1"/>
  <c r="F31" i="31" a="1"/>
  <c r="F31" i="31" s="1"/>
  <c r="G31" i="31" a="1"/>
  <c r="G31" i="31" s="1"/>
  <c r="H31" i="31" a="1"/>
  <c r="H31" i="31" s="1"/>
  <c r="I31" i="31" a="1"/>
  <c r="I31" i="31" s="1"/>
  <c r="D31" i="31" a="1"/>
  <c r="D31" i="31" s="1"/>
  <c r="J31" i="31" a="1"/>
  <c r="J31" i="31" s="1"/>
  <c r="F33" i="31" a="1"/>
  <c r="F33" i="31" s="1"/>
  <c r="G33" i="31" a="1"/>
  <c r="G33" i="31" s="1"/>
  <c r="H33" i="31" a="1"/>
  <c r="H33" i="31" s="1"/>
  <c r="I33" i="31" a="1"/>
  <c r="I33" i="31" s="1"/>
  <c r="D33" i="31" a="1"/>
  <c r="D33" i="31" s="1"/>
  <c r="J33" i="31" a="1"/>
  <c r="J33" i="31" s="1"/>
  <c r="F34" i="31" a="1"/>
  <c r="F34" i="31" s="1"/>
  <c r="G34" i="31" a="1"/>
  <c r="G34" i="31" s="1"/>
  <c r="H34" i="31" a="1"/>
  <c r="H34" i="31" s="1"/>
  <c r="I34" i="31" a="1"/>
  <c r="I34" i="31" s="1"/>
  <c r="D34" i="31" a="1"/>
  <c r="D34" i="31" s="1"/>
  <c r="J34" i="31" a="1"/>
  <c r="J34" i="31" s="1"/>
  <c r="F35" i="31" a="1"/>
  <c r="F35" i="31" s="1"/>
  <c r="G35" i="31" a="1"/>
  <c r="G35" i="31" s="1"/>
  <c r="H35" i="31" a="1"/>
  <c r="H35" i="31" s="1"/>
  <c r="I35" i="31" a="1"/>
  <c r="I35" i="31" s="1"/>
  <c r="D35" i="31" a="1"/>
  <c r="D35" i="31" s="1"/>
  <c r="J35" i="31" a="1"/>
  <c r="J35" i="31" s="1"/>
  <c r="F36" i="31" a="1"/>
  <c r="F36" i="31" s="1"/>
  <c r="G36" i="31" a="1"/>
  <c r="G36" i="31" s="1"/>
  <c r="H36" i="31" a="1"/>
  <c r="H36" i="31" s="1"/>
  <c r="I36" i="31" a="1"/>
  <c r="I36" i="31" s="1"/>
  <c r="D36" i="31" a="1"/>
  <c r="D36" i="31" s="1"/>
  <c r="J36" i="31" a="1"/>
  <c r="J36" i="31" s="1"/>
  <c r="F37" i="31" a="1"/>
  <c r="F37" i="31" s="1"/>
  <c r="G37" i="31" a="1"/>
  <c r="G37" i="31" s="1"/>
  <c r="H37" i="31" a="1"/>
  <c r="H37" i="31" s="1"/>
  <c r="I37" i="31" a="1"/>
  <c r="I37" i="31" s="1"/>
  <c r="D37" i="31" a="1"/>
  <c r="D37" i="31" s="1"/>
  <c r="J37" i="31" a="1"/>
  <c r="J37" i="31" s="1"/>
  <c r="F38" i="31" a="1"/>
  <c r="F38" i="31" s="1"/>
  <c r="G38" i="31" a="1"/>
  <c r="G38" i="31" s="1"/>
  <c r="H38" i="31" a="1"/>
  <c r="H38" i="31" s="1"/>
  <c r="I38" i="31" a="1"/>
  <c r="I38" i="31" s="1"/>
  <c r="D38" i="31" a="1"/>
  <c r="D38" i="31" s="1"/>
  <c r="J38" i="31" a="1"/>
  <c r="J38" i="31" s="1"/>
  <c r="F39" i="31" a="1"/>
  <c r="F39" i="31" s="1"/>
  <c r="G39" i="31" a="1"/>
  <c r="G39" i="31" s="1"/>
  <c r="H39" i="31" a="1"/>
  <c r="H39" i="31" s="1"/>
  <c r="I39" i="31" a="1"/>
  <c r="I39" i="31" s="1"/>
  <c r="D39" i="31" a="1"/>
  <c r="D39" i="31" s="1"/>
  <c r="J39" i="31" a="1"/>
  <c r="J39" i="31" s="1"/>
  <c r="F40" i="31" a="1"/>
  <c r="F40" i="31" s="1"/>
  <c r="G40" i="31" a="1"/>
  <c r="G40" i="31" s="1"/>
  <c r="H40" i="31" a="1"/>
  <c r="H40" i="31" s="1"/>
  <c r="I40" i="31" a="1"/>
  <c r="I40" i="31" s="1"/>
  <c r="D40" i="31" a="1"/>
  <c r="D40" i="31" s="1"/>
  <c r="J40" i="31" a="1"/>
  <c r="J40" i="31" s="1"/>
  <c r="F42" i="31" a="1"/>
  <c r="F42" i="31" s="1"/>
  <c r="G42" i="31" a="1"/>
  <c r="G42" i="31" s="1"/>
  <c r="H42" i="31" a="1"/>
  <c r="H42" i="31" s="1"/>
  <c r="I42" i="31" a="1"/>
  <c r="I42" i="31" s="1"/>
  <c r="D42" i="31" a="1"/>
  <c r="D42" i="31" s="1"/>
  <c r="J42" i="31" a="1"/>
  <c r="J42" i="31" s="1"/>
  <c r="F41" i="31" a="1"/>
  <c r="F41" i="31" s="1"/>
  <c r="G41" i="31" a="1"/>
  <c r="G41" i="31" s="1"/>
  <c r="H41" i="31" a="1"/>
  <c r="H41" i="31" s="1"/>
  <c r="I41" i="31" a="1"/>
  <c r="I41" i="31" s="1"/>
  <c r="D41" i="31" a="1"/>
  <c r="D41" i="31" s="1"/>
  <c r="J41" i="31" a="1"/>
  <c r="J41" i="31" s="1"/>
  <c r="F43" i="31" a="1"/>
  <c r="F43" i="31" s="1"/>
  <c r="G43" i="31" a="1"/>
  <c r="G43" i="31" s="1"/>
  <c r="H43" i="31" a="1"/>
  <c r="H43" i="31" s="1"/>
  <c r="I43" i="31" a="1"/>
  <c r="I43" i="31" s="1"/>
  <c r="D43" i="31" a="1"/>
  <c r="D43" i="31" s="1"/>
  <c r="J43" i="31" a="1"/>
  <c r="J43" i="31" s="1"/>
  <c r="F44" i="31" a="1"/>
  <c r="F44" i="31" s="1"/>
  <c r="G44" i="31" a="1"/>
  <c r="G44" i="31" s="1"/>
  <c r="H44" i="31" a="1"/>
  <c r="H44" i="31" s="1"/>
  <c r="I44" i="31" a="1"/>
  <c r="I44" i="31" s="1"/>
  <c r="D44" i="31" a="1"/>
  <c r="D44" i="31" s="1"/>
  <c r="J44" i="31" a="1"/>
  <c r="J44" i="31" s="1"/>
  <c r="F45" i="31" a="1"/>
  <c r="F45" i="31" s="1"/>
  <c r="G45" i="31" a="1"/>
  <c r="G45" i="31" s="1"/>
  <c r="H45" i="31" a="1"/>
  <c r="H45" i="31" s="1"/>
  <c r="I45" i="31" a="1"/>
  <c r="I45" i="31" s="1"/>
  <c r="D45" i="31" a="1"/>
  <c r="D45" i="31" s="1"/>
  <c r="J45" i="31" a="1"/>
  <c r="J45" i="31" s="1"/>
  <c r="F46" i="31" a="1"/>
  <c r="F46" i="31" s="1"/>
  <c r="G46" i="31" a="1"/>
  <c r="G46" i="31" s="1"/>
  <c r="H46" i="31" a="1"/>
  <c r="H46" i="31" s="1"/>
  <c r="I46" i="31" a="1"/>
  <c r="I46" i="31" s="1"/>
  <c r="D46" i="31" a="1"/>
  <c r="D46" i="31" s="1"/>
  <c r="J46" i="31" a="1"/>
  <c r="J46" i="31" s="1"/>
  <c r="F47" i="31" a="1"/>
  <c r="F47" i="31" s="1"/>
  <c r="G47" i="31" a="1"/>
  <c r="G47" i="31" s="1"/>
  <c r="H47" i="31" a="1"/>
  <c r="H47" i="31" s="1"/>
  <c r="I47" i="31" a="1"/>
  <c r="I47" i="31" s="1"/>
  <c r="D47" i="31" a="1"/>
  <c r="D47" i="31" s="1"/>
  <c r="J47" i="31" a="1"/>
  <c r="J47" i="31" s="1"/>
  <c r="F48" i="31" a="1"/>
  <c r="F48" i="31" s="1"/>
  <c r="G48" i="31" a="1"/>
  <c r="G48" i="31" s="1"/>
  <c r="H48" i="31" a="1"/>
  <c r="H48" i="31" s="1"/>
  <c r="I48" i="31" a="1"/>
  <c r="I48" i="31" s="1"/>
  <c r="D48" i="31" a="1"/>
  <c r="D48" i="31" s="1"/>
  <c r="J48" i="31" a="1"/>
  <c r="J48" i="31" s="1"/>
  <c r="F49" i="31" a="1"/>
  <c r="F49" i="31" s="1"/>
  <c r="G49" i="31" a="1"/>
  <c r="G49" i="31" s="1"/>
  <c r="H49" i="31" a="1"/>
  <c r="H49" i="31" s="1"/>
  <c r="I49" i="31" a="1"/>
  <c r="I49" i="31" s="1"/>
  <c r="D49" i="31" a="1"/>
  <c r="D49" i="31" s="1"/>
  <c r="J49" i="31" a="1"/>
  <c r="J49" i="31" s="1"/>
  <c r="F50" i="31" a="1"/>
  <c r="F50" i="31" s="1"/>
  <c r="G50" i="31" a="1"/>
  <c r="G50" i="31" s="1"/>
  <c r="H50" i="31" a="1"/>
  <c r="H50" i="31" s="1"/>
  <c r="I50" i="31" a="1"/>
  <c r="I50" i="31" s="1"/>
  <c r="D50" i="31" a="1"/>
  <c r="D50" i="31" s="1"/>
  <c r="J50" i="31" a="1"/>
  <c r="J50" i="31" s="1"/>
  <c r="F51" i="31" a="1"/>
  <c r="F51" i="31" s="1"/>
  <c r="G51" i="31" a="1"/>
  <c r="G51" i="31" s="1"/>
  <c r="H51" i="31" a="1"/>
  <c r="H51" i="31" s="1"/>
  <c r="I51" i="31" a="1"/>
  <c r="I51" i="31" s="1"/>
  <c r="D51" i="31" a="1"/>
  <c r="D51" i="31" s="1"/>
  <c r="J51" i="31" a="1"/>
  <c r="J51" i="31" s="1"/>
  <c r="F52" i="31" a="1"/>
  <c r="F52" i="31" s="1"/>
  <c r="G52" i="31" a="1"/>
  <c r="G52" i="31" s="1"/>
  <c r="H52" i="31" a="1"/>
  <c r="H52" i="31" s="1"/>
  <c r="I52" i="31" a="1"/>
  <c r="I52" i="31" s="1"/>
  <c r="D52" i="31" a="1"/>
  <c r="D52" i="31" s="1"/>
  <c r="J52" i="31" a="1"/>
  <c r="J52" i="31" s="1"/>
  <c r="F53" i="31" a="1"/>
  <c r="F53" i="31" s="1"/>
  <c r="G53" i="31" a="1"/>
  <c r="G53" i="31" s="1"/>
  <c r="H53" i="31" a="1"/>
  <c r="H53" i="31" s="1"/>
  <c r="I53" i="31" a="1"/>
  <c r="I53" i="31" s="1"/>
  <c r="D53" i="31" a="1"/>
  <c r="D53" i="31" s="1"/>
  <c r="J53" i="31" a="1"/>
  <c r="J53" i="31" s="1"/>
  <c r="F54" i="31" a="1"/>
  <c r="F54" i="31" s="1"/>
  <c r="G54" i="31" a="1"/>
  <c r="G54" i="31" s="1"/>
  <c r="H54" i="31" a="1"/>
  <c r="H54" i="31" s="1"/>
  <c r="I54" i="31" a="1"/>
  <c r="I54" i="31" s="1"/>
  <c r="D54" i="31" a="1"/>
  <c r="D54" i="31" s="1"/>
  <c r="J54" i="31" a="1"/>
  <c r="J54" i="31" s="1"/>
  <c r="F55" i="31" a="1"/>
  <c r="F55" i="31" s="1"/>
  <c r="G55" i="31" a="1"/>
  <c r="G55" i="31" s="1"/>
  <c r="H55" i="31" a="1"/>
  <c r="H55" i="31" s="1"/>
  <c r="I55" i="31" a="1"/>
  <c r="I55" i="31" s="1"/>
  <c r="D55" i="31" a="1"/>
  <c r="D55" i="31" s="1"/>
  <c r="J55" i="31" a="1"/>
  <c r="J55" i="31" s="1"/>
  <c r="F59" i="31" a="1"/>
  <c r="F59" i="31" s="1"/>
  <c r="G59" i="31" a="1"/>
  <c r="G59" i="31" s="1"/>
  <c r="H59" i="31" a="1"/>
  <c r="H59" i="31" s="1"/>
  <c r="I59" i="31" a="1"/>
  <c r="I59" i="31" s="1"/>
  <c r="D59" i="31" a="1"/>
  <c r="D59" i="31" s="1"/>
  <c r="J59" i="31" a="1"/>
  <c r="J59" i="31" s="1"/>
  <c r="F58" i="31" a="1"/>
  <c r="F58" i="31" s="1"/>
  <c r="G58" i="31" a="1"/>
  <c r="G58" i="31" s="1"/>
  <c r="H58" i="31" a="1"/>
  <c r="H58" i="31" s="1"/>
  <c r="I58" i="31" a="1"/>
  <c r="I58" i="31" s="1"/>
  <c r="D58" i="31" a="1"/>
  <c r="D58" i="31" s="1"/>
  <c r="J58" i="31" a="1"/>
  <c r="J58" i="31" s="1"/>
  <c r="F56" i="31" a="1"/>
  <c r="F56" i="31" s="1"/>
  <c r="F61" i="31" a="1"/>
  <c r="F61" i="31" s="1"/>
  <c r="G61" i="31" a="1"/>
  <c r="G61" i="31" s="1"/>
  <c r="H61" i="31" a="1"/>
  <c r="H61" i="31" s="1"/>
  <c r="I61" i="31" a="1"/>
  <c r="I61" i="31" s="1"/>
  <c r="D61" i="31" a="1"/>
  <c r="D61" i="31" s="1"/>
  <c r="J61" i="31" a="1"/>
  <c r="J61" i="31" s="1"/>
  <c r="F60" i="31" a="1"/>
  <c r="F60" i="31" s="1"/>
  <c r="G60" i="31" a="1"/>
  <c r="G60" i="31" s="1"/>
  <c r="H60" i="31" a="1"/>
  <c r="H60" i="31" s="1"/>
  <c r="I60" i="31" a="1"/>
  <c r="I60" i="31" s="1"/>
  <c r="D60" i="31" a="1"/>
  <c r="D60" i="31" s="1"/>
  <c r="J60" i="31" a="1"/>
  <c r="J60" i="31" s="1"/>
  <c r="F62" i="31" a="1"/>
  <c r="F62" i="31" s="1"/>
  <c r="G62" i="31" a="1"/>
  <c r="G62" i="31" s="1"/>
  <c r="H62" i="31" a="1"/>
  <c r="H62" i="31" s="1"/>
  <c r="I62" i="31" a="1"/>
  <c r="I62" i="31" s="1"/>
  <c r="D62" i="31" a="1"/>
  <c r="D62" i="31" s="1"/>
  <c r="J62" i="31" a="1"/>
  <c r="J62" i="31" s="1"/>
  <c r="D4" i="31" a="1"/>
  <c r="D4" i="31" s="1"/>
  <c r="J4" i="31" a="1"/>
  <c r="J4" i="31" s="1"/>
  <c r="G4" i="31" a="1"/>
  <c r="G4" i="31" s="1"/>
  <c r="H4" i="31" a="1"/>
  <c r="H4" i="31" s="1"/>
  <c r="I4" i="31" a="1"/>
  <c r="I4" i="31" s="1"/>
  <c r="F4" i="31" a="1"/>
  <c r="F4" i="31" s="1"/>
  <c r="B58" i="31"/>
  <c r="B56" i="31"/>
  <c r="B51" i="5" a="1"/>
  <c r="B51" i="5" s="1"/>
  <c r="B64" i="5" s="1"/>
  <c r="A64" i="5" s="1"/>
  <c r="B62" i="31"/>
  <c r="B60" i="31"/>
  <c r="B61" i="31"/>
  <c r="B59" i="31"/>
  <c r="B52" i="31"/>
  <c r="B55" i="31"/>
  <c r="B53" i="31"/>
  <c r="B54" i="31"/>
  <c r="B51" i="31"/>
  <c r="B50" i="31"/>
  <c r="B49" i="31"/>
  <c r="B48" i="31"/>
  <c r="B42" i="31"/>
  <c r="B41" i="31"/>
  <c r="B40" i="31"/>
  <c r="B47" i="31"/>
  <c r="B46" i="31"/>
  <c r="B43" i="31"/>
  <c r="B32" i="31"/>
  <c r="B45" i="31"/>
  <c r="B44" i="31"/>
  <c r="B39" i="31"/>
  <c r="B31" i="31"/>
  <c r="B38" i="31"/>
  <c r="B30" i="31"/>
  <c r="B36" i="31"/>
  <c r="B27" i="31"/>
  <c r="B29" i="31"/>
  <c r="B37" i="31"/>
  <c r="B28" i="31"/>
  <c r="B33" i="31"/>
  <c r="B24" i="31"/>
  <c r="B35" i="31"/>
  <c r="B26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75" i="5"/>
  <c r="A74" i="5"/>
  <c r="BM61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BP61" i="5" s="1" a="1"/>
  <c r="BP61" i="5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BF20" i="5" s="1" a="1"/>
  <c r="BF20" i="5" s="1"/>
  <c r="H57" i="12" a="1"/>
  <c r="H57" i="12" s="1"/>
  <c r="BF19" i="5" s="1" a="1"/>
  <c r="BF19" i="5" s="1"/>
  <c r="G57" i="12" a="1"/>
  <c r="G57" i="12" s="1"/>
  <c r="BF18" i="5" s="1" a="1"/>
  <c r="BF18" i="5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N61" i="22"/>
  <c r="O61" i="22"/>
  <c r="G79" i="5" a="1"/>
  <c r="AZ79" i="5" a="1"/>
  <c r="F80" i="5" a="1"/>
  <c r="AA80" i="5" a="1"/>
  <c r="AF80" i="5" a="1"/>
  <c r="BF80" i="5" a="1"/>
  <c r="H80" i="5" a="1"/>
  <c r="AJ79" i="5" a="1"/>
  <c r="V79" i="5" a="1"/>
  <c r="R79" i="5" a="1"/>
  <c r="Z80" i="5" a="1"/>
  <c r="BE80" i="5" a="1"/>
  <c r="M80" i="5" a="1"/>
  <c r="O79" i="5" a="1"/>
  <c r="BH79" i="5" a="1"/>
  <c r="BA80" i="5" a="1"/>
  <c r="AI79" i="5" a="1"/>
  <c r="AZ80" i="5" a="1"/>
  <c r="AN79" i="5" a="1"/>
  <c r="B79" i="5" a="1"/>
  <c r="T80" i="5" a="1"/>
  <c r="BE79" i="5" a="1"/>
  <c r="G80" i="5" a="1"/>
  <c r="I80" i="5" a="1"/>
  <c r="AU80" i="5" a="1"/>
  <c r="AC79" i="5" a="1"/>
  <c r="AT80" i="5" a="1"/>
  <c r="AH79" i="5" a="1"/>
  <c r="Y44" i="5" a="1"/>
  <c r="AA79" i="5" a="1"/>
  <c r="BH80" i="5" a="1"/>
  <c r="AO80" i="5" a="1"/>
  <c r="W79" i="5" a="1"/>
  <c r="AS80" i="5" a="1"/>
  <c r="AH80" i="5" a="1"/>
  <c r="AL79" i="5" a="1"/>
  <c r="Q80" i="5" a="1"/>
  <c r="BB79" i="5" a="1"/>
  <c r="N80" i="5" a="1"/>
  <c r="AP79" i="5" a="1"/>
  <c r="BB80" i="5" a="1"/>
  <c r="AM80" i="5" a="1"/>
  <c r="AJ80" i="5" a="1"/>
  <c r="BI79" i="5" a="1"/>
  <c r="BD79" i="5" a="1"/>
  <c r="BI80" i="5" a="1"/>
  <c r="AQ79" i="5" a="1"/>
  <c r="AV80" i="5" a="1"/>
  <c r="AD79" i="5" a="1"/>
  <c r="AC80" i="5" a="1"/>
  <c r="K79" i="5" a="1"/>
  <c r="AB80" i="5" a="1"/>
  <c r="P79" i="5" a="1"/>
  <c r="BC80" i="5" a="1"/>
  <c r="AP80" i="5" a="1"/>
  <c r="W80" i="5" a="1"/>
  <c r="E79" i="5" a="1"/>
  <c r="J79" i="5" a="1"/>
  <c r="D79" i="5" a="1"/>
  <c r="AR79" i="5" a="1"/>
  <c r="AK79" i="5" a="1"/>
  <c r="X79" i="5" a="1"/>
  <c r="V80" i="5" a="1"/>
  <c r="BD80" i="5" a="1"/>
  <c r="AF79" i="5" a="1"/>
  <c r="AQ80" i="5" a="1"/>
  <c r="Y79" i="5" a="1"/>
  <c r="AD80" i="5" a="1"/>
  <c r="L79" i="5" a="1"/>
  <c r="K80" i="5" a="1"/>
  <c r="AY79" i="5" a="1"/>
  <c r="J80" i="5" a="1"/>
  <c r="AY80" i="5" a="1"/>
  <c r="C79" i="5" a="1"/>
  <c r="AL80" i="5" a="1"/>
  <c r="N79" i="5" a="1"/>
  <c r="Y80" i="5" a="1"/>
  <c r="O80" i="5" a="1"/>
  <c r="L80" i="5" a="1"/>
  <c r="BA79" i="5" a="1"/>
  <c r="I79" i="5" a="1"/>
  <c r="H79" i="5" a="1"/>
  <c r="AM79" i="5" a="1"/>
  <c r="AO79" i="5" a="1"/>
  <c r="B80" i="5" a="1"/>
  <c r="AB79" i="5" a="1"/>
  <c r="BC79" i="5" a="1"/>
  <c r="Q79" i="5" a="1"/>
  <c r="AW80" i="5" a="1"/>
  <c r="AG80" i="5" a="1"/>
  <c r="AX80" i="5" a="1"/>
  <c r="Z79" i="5" a="1"/>
  <c r="AK80" i="5" a="1"/>
  <c r="S79" i="5" a="1"/>
  <c r="X80" i="5" a="1"/>
  <c r="F79" i="5" a="1"/>
  <c r="E80" i="5" a="1"/>
  <c r="U79" i="5" a="1"/>
  <c r="D80" i="5" a="1"/>
  <c r="C80" i="5" a="1"/>
  <c r="AR80" i="5" a="1"/>
  <c r="T79" i="5" a="1"/>
  <c r="AE80" i="5" a="1"/>
  <c r="R80" i="5" a="1"/>
  <c r="AS79" i="5" a="1"/>
  <c r="BG79" i="5" a="1"/>
  <c r="BF79" i="5" a="1"/>
  <c r="AG79" i="5" a="1"/>
  <c r="U80" i="5" a="1"/>
  <c r="S80" i="5" a="1"/>
  <c r="BG80" i="5" a="1"/>
  <c r="AT79" i="5" a="1"/>
  <c r="AN80" i="5" a="1"/>
  <c r="AI80" i="5" a="1"/>
  <c r="AE79" i="5" a="1"/>
  <c r="P80" i="5" a="1"/>
  <c r="I79" i="5" l="1"/>
  <c r="AG79" i="5"/>
  <c r="C80" i="5"/>
  <c r="AY80" i="5"/>
  <c r="D79" i="5"/>
  <c r="J79" i="5"/>
  <c r="P79" i="5"/>
  <c r="V79" i="5"/>
  <c r="AB79" i="5"/>
  <c r="AH79" i="5"/>
  <c r="AN79" i="5"/>
  <c r="AT79" i="5"/>
  <c r="AZ79" i="5"/>
  <c r="BF79" i="5"/>
  <c r="D80" i="5"/>
  <c r="J80" i="5"/>
  <c r="P80" i="5"/>
  <c r="V80" i="5"/>
  <c r="AB80" i="5"/>
  <c r="AH80" i="5"/>
  <c r="AN80" i="5"/>
  <c r="AT80" i="5"/>
  <c r="AZ80" i="5"/>
  <c r="BF80" i="5"/>
  <c r="U80" i="5"/>
  <c r="C79" i="5"/>
  <c r="U79" i="5"/>
  <c r="AY79" i="5"/>
  <c r="AG80" i="5"/>
  <c r="E79" i="5"/>
  <c r="K79" i="5"/>
  <c r="Q79" i="5"/>
  <c r="W79" i="5"/>
  <c r="AC79" i="5"/>
  <c r="AI79" i="5"/>
  <c r="AO79" i="5"/>
  <c r="BA79" i="5"/>
  <c r="BG79" i="5"/>
  <c r="E80" i="5"/>
  <c r="K80" i="5"/>
  <c r="Q80" i="5"/>
  <c r="W80" i="5"/>
  <c r="AC80" i="5"/>
  <c r="AI80" i="5"/>
  <c r="AO80" i="5"/>
  <c r="AU80" i="5"/>
  <c r="BA80" i="5"/>
  <c r="BG80" i="5"/>
  <c r="AA80" i="5"/>
  <c r="AS79" i="5"/>
  <c r="F79" i="5"/>
  <c r="L79" i="5"/>
  <c r="R79" i="5"/>
  <c r="X79" i="5"/>
  <c r="AD79" i="5"/>
  <c r="AJ79" i="5"/>
  <c r="AP79" i="5"/>
  <c r="BB79" i="5"/>
  <c r="BH79" i="5"/>
  <c r="F80" i="5"/>
  <c r="L80" i="5"/>
  <c r="R80" i="5"/>
  <c r="X80" i="5"/>
  <c r="AD80" i="5"/>
  <c r="AJ80" i="5"/>
  <c r="AP80" i="5"/>
  <c r="AV80" i="5"/>
  <c r="BB80" i="5"/>
  <c r="BH80" i="5"/>
  <c r="I80" i="5"/>
  <c r="O79" i="5"/>
  <c r="AM79" i="5"/>
  <c r="O80" i="5"/>
  <c r="G79" i="5"/>
  <c r="S79" i="5"/>
  <c r="Y79" i="5"/>
  <c r="AE79" i="5"/>
  <c r="AK79" i="5"/>
  <c r="AQ79" i="5"/>
  <c r="BC79" i="5"/>
  <c r="BI79" i="5"/>
  <c r="G80" i="5"/>
  <c r="M80" i="5"/>
  <c r="S80" i="5"/>
  <c r="Y80" i="5"/>
  <c r="AE80" i="5"/>
  <c r="AK80" i="5"/>
  <c r="AQ80" i="5"/>
  <c r="AW80" i="5"/>
  <c r="BC80" i="5"/>
  <c r="BI80" i="5"/>
  <c r="AS80" i="5"/>
  <c r="AA79" i="5"/>
  <c r="BE79" i="5"/>
  <c r="BE80" i="5"/>
  <c r="H79" i="5"/>
  <c r="N79" i="5"/>
  <c r="T79" i="5"/>
  <c r="Z79" i="5"/>
  <c r="AF79" i="5"/>
  <c r="AL79" i="5"/>
  <c r="AR79" i="5"/>
  <c r="BD79" i="5"/>
  <c r="H80" i="5"/>
  <c r="N80" i="5"/>
  <c r="T80" i="5"/>
  <c r="Z80" i="5"/>
  <c r="AF80" i="5"/>
  <c r="AL80" i="5"/>
  <c r="AR80" i="5"/>
  <c r="AX80" i="5"/>
  <c r="BD80" i="5"/>
  <c r="AM80" i="5"/>
  <c r="B80" i="5"/>
  <c r="B79" i="5"/>
  <c r="B69" i="5"/>
  <c r="A69" i="5" s="1"/>
  <c r="B50" i="5" a="1"/>
  <c r="B55" i="5" s="1"/>
  <c r="B49" i="5" a="1"/>
  <c r="B49" i="5" s="1"/>
  <c r="Y44" i="5"/>
  <c r="BM59" i="5"/>
  <c r="BM60" i="5"/>
  <c r="E41" i="5"/>
  <c r="E35" i="5"/>
  <c r="BH20" i="5" a="1"/>
  <c r="BH20" i="5" s="1"/>
  <c r="BH19" i="5" a="1"/>
  <c r="BH19" i="5" s="1"/>
  <c r="BH18" i="5" a="1"/>
  <c r="BH18" i="5" s="1"/>
  <c r="BG20" i="5" a="1"/>
  <c r="BG20" i="5" s="1"/>
  <c r="BG19" i="5" a="1"/>
  <c r="BG19" i="5" s="1"/>
  <c r="BG18" i="5" a="1"/>
  <c r="BG18" i="5" s="1"/>
  <c r="BE20" i="5" a="1"/>
  <c r="BE20" i="5" s="1"/>
  <c r="BE19" i="5" a="1"/>
  <c r="BE19" i="5" s="1"/>
  <c r="BE18" i="5" a="1"/>
  <c r="BE18" i="5" s="1"/>
  <c r="BD20" i="5" a="1"/>
  <c r="BD20" i="5" s="1"/>
  <c r="BD19" i="5" a="1"/>
  <c r="BD19" i="5" s="1"/>
  <c r="BD18" i="5" a="1"/>
  <c r="BD18" i="5" s="1"/>
  <c r="BC20" i="5" a="1"/>
  <c r="BC20" i="5" s="1"/>
  <c r="BC19" i="5" a="1"/>
  <c r="BC19" i="5" s="1"/>
  <c r="BC18" i="5" a="1"/>
  <c r="BC18" i="5" s="1"/>
  <c r="BB20" i="5" a="1"/>
  <c r="BB20" i="5" s="1"/>
  <c r="BB19" i="5" a="1"/>
  <c r="BB19" i="5" s="1"/>
  <c r="BB18" i="5" a="1"/>
  <c r="BB18" i="5" s="1"/>
  <c r="BA20" i="5" a="1"/>
  <c r="BA20" i="5" s="1"/>
  <c r="BA19" i="5" a="1"/>
  <c r="BA19" i="5" s="1"/>
  <c r="BA18" i="5" a="1"/>
  <c r="BA18" i="5" s="1"/>
  <c r="AZ20" i="5" a="1"/>
  <c r="AZ20" i="5" s="1"/>
  <c r="AZ19" i="5" a="1"/>
  <c r="AZ19" i="5" s="1"/>
  <c r="AZ18" i="5" a="1"/>
  <c r="AZ18" i="5" s="1"/>
  <c r="AY20" i="5" a="1"/>
  <c r="AY20" i="5" s="1"/>
  <c r="AY19" i="5" a="1"/>
  <c r="AY19" i="5" s="1"/>
  <c r="AY18" i="5" a="1"/>
  <c r="AY18" i="5" s="1"/>
  <c r="AX20" i="5" a="1"/>
  <c r="AX20" i="5" s="1"/>
  <c r="AX19" i="5" a="1"/>
  <c r="AX19" i="5" s="1"/>
  <c r="AX18" i="5" a="1"/>
  <c r="AX18" i="5" s="1"/>
  <c r="AW20" i="5" a="1"/>
  <c r="AW20" i="5" s="1"/>
  <c r="AW19" i="5" a="1"/>
  <c r="AW19" i="5" s="1"/>
  <c r="AW18" i="5" a="1"/>
  <c r="AW18" i="5" s="1"/>
  <c r="AU20" i="5" a="1"/>
  <c r="AU20" i="5" s="1"/>
  <c r="AU19" i="5" a="1"/>
  <c r="AU19" i="5" s="1"/>
  <c r="AU18" i="5" a="1"/>
  <c r="AU18" i="5" s="1"/>
  <c r="AT20" i="5" a="1"/>
  <c r="AT20" i="5" s="1"/>
  <c r="AT19" i="5" a="1"/>
  <c r="AT19" i="5" s="1"/>
  <c r="AT18" i="5" a="1"/>
  <c r="AT18" i="5" s="1"/>
  <c r="AS20" i="5" a="1"/>
  <c r="AS20" i="5" s="1"/>
  <c r="AS19" i="5" a="1"/>
  <c r="AS19" i="5" s="1"/>
  <c r="AS18" i="5" a="1"/>
  <c r="AS18" i="5" s="1"/>
  <c r="AO20" i="5" a="1"/>
  <c r="AO20" i="5" s="1"/>
  <c r="AO19" i="5" a="1"/>
  <c r="AO19" i="5" s="1"/>
  <c r="AO18" i="5" a="1"/>
  <c r="AO18" i="5" s="1"/>
  <c r="AQ20" i="5" a="1"/>
  <c r="AQ20" i="5" s="1"/>
  <c r="AQ19" i="5" a="1"/>
  <c r="AQ19" i="5" s="1"/>
  <c r="AQ18" i="5" a="1"/>
  <c r="AQ18" i="5" s="1"/>
  <c r="AP20" i="5" a="1"/>
  <c r="AP20" i="5" s="1"/>
  <c r="AP19" i="5" a="1"/>
  <c r="AP19" i="5" s="1"/>
  <c r="AP18" i="5" a="1"/>
  <c r="AP18" i="5" s="1"/>
  <c r="AV20" i="5" a="1"/>
  <c r="AV20" i="5" s="1"/>
  <c r="AV19" i="5" a="1"/>
  <c r="AV19" i="5" s="1"/>
  <c r="AV18" i="5" a="1"/>
  <c r="AV18" i="5" s="1"/>
  <c r="AN20" i="5" a="1"/>
  <c r="AN20" i="5" s="1"/>
  <c r="AN19" i="5" a="1"/>
  <c r="AN19" i="5" s="1"/>
  <c r="AN18" i="5" a="1"/>
  <c r="AN18" i="5" s="1"/>
  <c r="AR20" i="5" a="1"/>
  <c r="AR20" i="5" s="1"/>
  <c r="AR19" i="5" a="1"/>
  <c r="AR19" i="5" s="1"/>
  <c r="AR18" i="5" a="1"/>
  <c r="AR18" i="5" s="1"/>
  <c r="AM20" i="5" a="1"/>
  <c r="AM20" i="5" s="1"/>
  <c r="AM19" i="5" a="1"/>
  <c r="AM19" i="5" s="1"/>
  <c r="AM18" i="5" a="1"/>
  <c r="AM18" i="5" s="1"/>
  <c r="AL20" i="5" a="1"/>
  <c r="AL20" i="5" s="1"/>
  <c r="AL19" i="5" a="1"/>
  <c r="AL19" i="5" s="1"/>
  <c r="AL18" i="5" a="1"/>
  <c r="AL18" i="5" s="1"/>
  <c r="AK20" i="5" a="1"/>
  <c r="AK20" i="5" s="1"/>
  <c r="AK19" i="5" a="1"/>
  <c r="AK19" i="5" s="1"/>
  <c r="AK18" i="5" a="1"/>
  <c r="AK18" i="5" s="1"/>
  <c r="AJ20" i="5" a="1"/>
  <c r="AJ20" i="5" s="1"/>
  <c r="AJ19" i="5" a="1"/>
  <c r="AJ19" i="5" s="1"/>
  <c r="AJ18" i="5" a="1"/>
  <c r="AJ18" i="5" s="1"/>
  <c r="AI20" i="5" a="1"/>
  <c r="AI20" i="5" s="1"/>
  <c r="AI19" i="5" a="1"/>
  <c r="AI19" i="5" s="1"/>
  <c r="AI18" i="5" a="1"/>
  <c r="AI18" i="5" s="1"/>
  <c r="AH20" i="5" a="1"/>
  <c r="AH20" i="5" s="1"/>
  <c r="AH19" i="5" a="1"/>
  <c r="AH19" i="5" s="1"/>
  <c r="AH18" i="5" a="1"/>
  <c r="AH18" i="5" s="1"/>
  <c r="AG20" i="5" a="1"/>
  <c r="AG20" i="5" s="1"/>
  <c r="AG19" i="5" a="1"/>
  <c r="AG19" i="5" s="1"/>
  <c r="AG18" i="5" a="1"/>
  <c r="AG18" i="5" s="1"/>
  <c r="AF20" i="5" a="1"/>
  <c r="AF20" i="5" s="1"/>
  <c r="AF19" i="5" a="1"/>
  <c r="AF19" i="5" s="1"/>
  <c r="AF18" i="5" a="1"/>
  <c r="AF18" i="5" s="1"/>
  <c r="AE20" i="5" a="1"/>
  <c r="AE20" i="5" s="1"/>
  <c r="AE19" i="5" a="1"/>
  <c r="AE19" i="5" s="1"/>
  <c r="AE18" i="5" a="1"/>
  <c r="AE18" i="5" s="1"/>
  <c r="AD20" i="5" a="1"/>
  <c r="AD20" i="5" s="1"/>
  <c r="AD19" i="5" a="1"/>
  <c r="AD19" i="5" s="1"/>
  <c r="AD18" i="5" a="1"/>
  <c r="AD18" i="5" s="1"/>
  <c r="AC20" i="5" a="1"/>
  <c r="AC20" i="5" s="1"/>
  <c r="AC19" i="5" a="1"/>
  <c r="AC19" i="5" s="1"/>
  <c r="AC18" i="5" a="1"/>
  <c r="AC18" i="5" s="1"/>
  <c r="AB20" i="5" a="1"/>
  <c r="AB20" i="5" s="1"/>
  <c r="AB19" i="5" a="1"/>
  <c r="AB19" i="5" s="1"/>
  <c r="AB18" i="5" a="1"/>
  <c r="AB18" i="5" s="1"/>
  <c r="AA20" i="5" a="1"/>
  <c r="AA20" i="5" s="1"/>
  <c r="AA19" i="5" a="1"/>
  <c r="AA19" i="5" s="1"/>
  <c r="AA18" i="5" a="1"/>
  <c r="AA18" i="5" s="1"/>
  <c r="Z20" i="5" a="1"/>
  <c r="Z20" i="5" s="1"/>
  <c r="Z19" i="5" a="1"/>
  <c r="Z19" i="5" s="1"/>
  <c r="Z18" i="5" a="1"/>
  <c r="Z18" i="5" s="1"/>
  <c r="Y20" i="5" a="1"/>
  <c r="Y20" i="5" s="1"/>
  <c r="Y19" i="5" a="1"/>
  <c r="Y19" i="5" s="1"/>
  <c r="Y18" i="5" a="1"/>
  <c r="Y18" i="5" s="1"/>
  <c r="P20" i="5" a="1"/>
  <c r="P20" i="5" s="1"/>
  <c r="P19" i="5" a="1"/>
  <c r="P19" i="5" s="1"/>
  <c r="P18" i="5" a="1"/>
  <c r="P18" i="5" s="1"/>
  <c r="O20" i="5" a="1"/>
  <c r="O20" i="5" s="1"/>
  <c r="O19" i="5" a="1"/>
  <c r="O19" i="5" s="1"/>
  <c r="O18" i="5" a="1"/>
  <c r="O18" i="5" s="1"/>
  <c r="M20" i="5" a="1"/>
  <c r="M20" i="5" s="1"/>
  <c r="M19" i="5" a="1"/>
  <c r="M19" i="5" s="1"/>
  <c r="M18" i="5" a="1"/>
  <c r="M18" i="5" s="1"/>
  <c r="N20" i="5" a="1"/>
  <c r="N20" i="5" s="1"/>
  <c r="N19" i="5" a="1"/>
  <c r="N19" i="5" s="1"/>
  <c r="N18" i="5" a="1"/>
  <c r="N18" i="5" s="1"/>
  <c r="L20" i="5" a="1"/>
  <c r="L20" i="5" s="1"/>
  <c r="L19" i="5" a="1"/>
  <c r="L19" i="5" s="1"/>
  <c r="L18" i="5" a="1"/>
  <c r="L18" i="5" s="1"/>
  <c r="T20" i="5" a="1"/>
  <c r="T20" i="5" s="1"/>
  <c r="T19" i="5" a="1"/>
  <c r="T19" i="5" s="1"/>
  <c r="T18" i="5" a="1"/>
  <c r="T18" i="5" s="1"/>
  <c r="R20" i="5" a="1"/>
  <c r="R20" i="5" s="1"/>
  <c r="R19" i="5" a="1"/>
  <c r="R19" i="5" s="1"/>
  <c r="R18" i="5" a="1"/>
  <c r="R18" i="5" s="1"/>
  <c r="S20" i="5" a="1"/>
  <c r="S20" i="5" s="1"/>
  <c r="S19" i="5" a="1"/>
  <c r="S19" i="5" s="1"/>
  <c r="S18" i="5" a="1"/>
  <c r="S18" i="5" s="1"/>
  <c r="Q20" i="5" a="1"/>
  <c r="Q20" i="5" s="1"/>
  <c r="Q19" i="5" a="1"/>
  <c r="Q19" i="5" s="1"/>
  <c r="Q18" i="5" a="1"/>
  <c r="Q18" i="5" s="1"/>
  <c r="X20" i="5" a="1"/>
  <c r="X20" i="5" s="1"/>
  <c r="X19" i="5" a="1"/>
  <c r="X19" i="5" s="1"/>
  <c r="X18" i="5" a="1"/>
  <c r="X18" i="5" s="1"/>
  <c r="V20" i="5" a="1"/>
  <c r="V20" i="5" s="1"/>
  <c r="V19" i="5" a="1"/>
  <c r="V19" i="5" s="1"/>
  <c r="V18" i="5" a="1"/>
  <c r="V18" i="5" s="1"/>
  <c r="W20" i="5" a="1"/>
  <c r="W20" i="5" s="1"/>
  <c r="W19" i="5" a="1"/>
  <c r="W19" i="5" s="1"/>
  <c r="W18" i="5" a="1"/>
  <c r="W18" i="5" s="1"/>
  <c r="U20" i="5" a="1"/>
  <c r="U20" i="5" s="1"/>
  <c r="U19" i="5" a="1"/>
  <c r="U19" i="5" s="1"/>
  <c r="U18" i="5" a="1"/>
  <c r="U18" i="5" s="1"/>
  <c r="K20" i="5" a="1"/>
  <c r="K20" i="5" s="1"/>
  <c r="K19" i="5" a="1"/>
  <c r="K19" i="5" s="1"/>
  <c r="K18" i="5" a="1"/>
  <c r="K18" i="5" s="1"/>
  <c r="J20" i="5" a="1"/>
  <c r="J20" i="5" s="1"/>
  <c r="J19" i="5" a="1"/>
  <c r="J19" i="5" s="1"/>
  <c r="J18" i="5" a="1"/>
  <c r="J18" i="5" s="1"/>
  <c r="I20" i="5" a="1"/>
  <c r="I20" i="5" s="1"/>
  <c r="I19" i="5" a="1"/>
  <c r="I19" i="5" s="1"/>
  <c r="I18" i="5" a="1"/>
  <c r="I18" i="5" s="1"/>
  <c r="H20" i="5" a="1"/>
  <c r="H20" i="5" s="1"/>
  <c r="H19" i="5" a="1"/>
  <c r="H19" i="5" s="1"/>
  <c r="H18" i="5" a="1"/>
  <c r="H18" i="5" s="1"/>
  <c r="G20" i="5" a="1"/>
  <c r="G20" i="5" s="1"/>
  <c r="G19" i="5" a="1"/>
  <c r="G19" i="5" s="1"/>
  <c r="G18" i="5" a="1"/>
  <c r="G18" i="5" s="1"/>
  <c r="E20" i="5" a="1"/>
  <c r="E20" i="5" s="1"/>
  <c r="E19" i="5" a="1"/>
  <c r="E19" i="5" s="1"/>
  <c r="E18" i="5" a="1"/>
  <c r="E18" i="5" s="1"/>
  <c r="F20" i="5" a="1"/>
  <c r="F20" i="5" s="1"/>
  <c r="F19" i="5" a="1"/>
  <c r="F19" i="5" s="1"/>
  <c r="F18" i="5" a="1"/>
  <c r="F18" i="5" s="1"/>
  <c r="D20" i="5" a="1"/>
  <c r="D20" i="5" s="1"/>
  <c r="D18" i="5" a="1"/>
  <c r="D18" i="5" s="1"/>
  <c r="BH16" i="5" a="1"/>
  <c r="BH16" i="5" s="1"/>
  <c r="N60" i="22"/>
  <c r="O60" i="22"/>
  <c r="B58" i="12"/>
  <c r="N59" i="22"/>
  <c r="O59" i="22"/>
  <c r="BA16" i="5" a="1"/>
  <c r="BA16" i="5" s="1"/>
  <c r="CG6" i="5"/>
  <c r="CG7" i="5"/>
  <c r="CG8" i="5"/>
  <c r="CG9" i="5"/>
  <c r="CG10" i="5"/>
  <c r="CG11" i="5"/>
  <c r="CG12" i="5"/>
  <c r="CG13" i="5"/>
  <c r="CG14" i="5"/>
  <c r="CG15" i="5"/>
  <c r="CG16" i="5"/>
  <c r="CG17" i="5"/>
  <c r="CG18" i="5"/>
  <c r="CG19" i="5"/>
  <c r="CG20" i="5"/>
  <c r="CG21" i="5"/>
  <c r="CG22" i="5"/>
  <c r="CG23" i="5"/>
  <c r="CG24" i="5"/>
  <c r="CG25" i="5"/>
  <c r="CG26" i="5"/>
  <c r="CG27" i="5"/>
  <c r="CG5" i="5"/>
  <c r="CP6" i="5"/>
  <c r="CP7" i="5"/>
  <c r="CP8" i="5"/>
  <c r="CP9" i="5"/>
  <c r="CP10" i="5"/>
  <c r="CP11" i="5"/>
  <c r="CP12" i="5"/>
  <c r="CP13" i="5"/>
  <c r="CP14" i="5"/>
  <c r="CP15" i="5"/>
  <c r="CP16" i="5"/>
  <c r="CP17" i="5"/>
  <c r="CP18" i="5"/>
  <c r="CP19" i="5"/>
  <c r="CP20" i="5"/>
  <c r="CP21" i="5"/>
  <c r="CP22" i="5"/>
  <c r="CP23" i="5"/>
  <c r="CP24" i="5"/>
  <c r="CP25" i="5"/>
  <c r="CP26" i="5"/>
  <c r="CP27" i="5"/>
  <c r="CP28" i="5"/>
  <c r="CP29" i="5"/>
  <c r="CP30" i="5"/>
  <c r="CP31" i="5"/>
  <c r="CP32" i="5"/>
  <c r="CP33" i="5"/>
  <c r="CP34" i="5"/>
  <c r="CP35" i="5"/>
  <c r="CP36" i="5"/>
  <c r="CP37" i="5"/>
  <c r="CP38" i="5"/>
  <c r="CP39" i="5"/>
  <c r="CP40" i="5"/>
  <c r="CP41" i="5"/>
  <c r="CP42" i="5"/>
  <c r="CP43" i="5"/>
  <c r="CP44" i="5"/>
  <c r="CP45" i="5"/>
  <c r="CP46" i="5"/>
  <c r="CP47" i="5"/>
  <c r="CP48" i="5"/>
  <c r="CP49" i="5"/>
  <c r="CP50" i="5"/>
  <c r="CP51" i="5"/>
  <c r="CP52" i="5"/>
  <c r="CP53" i="5"/>
  <c r="CP54" i="5"/>
  <c r="CP55" i="5"/>
  <c r="CP5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M6" i="5"/>
  <c r="BM7" i="5"/>
  <c r="BM8" i="5"/>
  <c r="BM9" i="5"/>
  <c r="BM10" i="5"/>
  <c r="BM11" i="5"/>
  <c r="BM12" i="5"/>
  <c r="BM13" i="5"/>
  <c r="BM14" i="5"/>
  <c r="BM15" i="5"/>
  <c r="BM16" i="5"/>
  <c r="BM17" i="5"/>
  <c r="BM18" i="5"/>
  <c r="BM19" i="5"/>
  <c r="BM20" i="5"/>
  <c r="BM21" i="5"/>
  <c r="BM22" i="5"/>
  <c r="BM23" i="5"/>
  <c r="BM24" i="5"/>
  <c r="BM25" i="5"/>
  <c r="BM26" i="5"/>
  <c r="BM27" i="5"/>
  <c r="BM28" i="5"/>
  <c r="BM29" i="5"/>
  <c r="BM30" i="5"/>
  <c r="BM31" i="5"/>
  <c r="BM32" i="5"/>
  <c r="BM33" i="5"/>
  <c r="BM34" i="5"/>
  <c r="BM35" i="5"/>
  <c r="BM36" i="5"/>
  <c r="BM37" i="5"/>
  <c r="BM38" i="5"/>
  <c r="BM39" i="5"/>
  <c r="BM40" i="5"/>
  <c r="BM41" i="5"/>
  <c r="BM42" i="5"/>
  <c r="BM43" i="5"/>
  <c r="BM44" i="5"/>
  <c r="BM45" i="5"/>
  <c r="BM46" i="5"/>
  <c r="BM47" i="5"/>
  <c r="BM48" i="5"/>
  <c r="BM49" i="5"/>
  <c r="BM50" i="5"/>
  <c r="BM51" i="5"/>
  <c r="BM52" i="5"/>
  <c r="BM53" i="5"/>
  <c r="BM54" i="5"/>
  <c r="BM55" i="5"/>
  <c r="BM56" i="5"/>
  <c r="BM57" i="5"/>
  <c r="BM58" i="5"/>
  <c r="BM5" i="5"/>
  <c r="BO6" i="5" a="1"/>
  <c r="BO6" i="5" s="1"/>
  <c r="BO7" i="5" a="1"/>
  <c r="BO7" i="5" s="1"/>
  <c r="BO5" i="5" a="1"/>
  <c r="BO5" i="5" s="1"/>
  <c r="O58" i="22"/>
  <c r="O57" i="22"/>
  <c r="O56" i="22"/>
  <c r="O55" i="22"/>
  <c r="O54" i="22"/>
  <c r="O53" i="22"/>
  <c r="O52" i="22"/>
  <c r="O51" i="22"/>
  <c r="O50" i="22"/>
  <c r="O49" i="22"/>
  <c r="O48" i="22"/>
  <c r="O47" i="22"/>
  <c r="O46" i="22"/>
  <c r="O45" i="22"/>
  <c r="O44" i="22"/>
  <c r="O43" i="22"/>
  <c r="O42" i="22"/>
  <c r="O41" i="22"/>
  <c r="O40" i="22"/>
  <c r="O39" i="22"/>
  <c r="O38" i="22"/>
  <c r="O37" i="22"/>
  <c r="O36" i="22"/>
  <c r="O35" i="22"/>
  <c r="O34" i="22"/>
  <c r="O33" i="22"/>
  <c r="O32" i="22"/>
  <c r="O31" i="22"/>
  <c r="O30" i="22"/>
  <c r="O29" i="22"/>
  <c r="O28" i="22"/>
  <c r="O27" i="22"/>
  <c r="O26" i="22"/>
  <c r="O25" i="22"/>
  <c r="O24" i="22"/>
  <c r="O23" i="22"/>
  <c r="O22" i="22"/>
  <c r="O21" i="22"/>
  <c r="O20" i="22"/>
  <c r="O19" i="22"/>
  <c r="O18" i="22"/>
  <c r="O17" i="22"/>
  <c r="O16" i="22"/>
  <c r="O15" i="22"/>
  <c r="O14" i="22"/>
  <c r="O13" i="22"/>
  <c r="O12" i="22"/>
  <c r="O11" i="22"/>
  <c r="O10" i="22"/>
  <c r="O9" i="22"/>
  <c r="O8" i="22"/>
  <c r="O7" i="22"/>
  <c r="O6" i="22"/>
  <c r="O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H83" i="5" a="1"/>
  <c r="S83" i="5" a="1"/>
  <c r="AY83" i="5" a="1"/>
  <c r="Q83" i="5" a="1"/>
  <c r="AU83" i="5" a="1"/>
  <c r="T83" i="5" a="1"/>
  <c r="M83" i="5" a="1"/>
  <c r="C83" i="5" a="1"/>
  <c r="BD83" i="5" a="1"/>
  <c r="AG83" i="5" a="1"/>
  <c r="V83" i="5" a="1"/>
  <c r="BE83" i="5" a="1"/>
  <c r="AN83" i="5" a="1"/>
  <c r="E83" i="5" a="1"/>
  <c r="F83" i="5" a="1"/>
  <c r="N83" i="5" a="1"/>
  <c r="BC83" i="5" a="1"/>
  <c r="P83" i="5" a="1"/>
  <c r="AS83" i="5" a="1"/>
  <c r="AB83" i="5" a="1"/>
  <c r="U83" i="5" a="1"/>
  <c r="AT83" i="5" a="1"/>
  <c r="AO83" i="5" a="1"/>
  <c r="AQ83" i="5" a="1"/>
  <c r="AA83" i="5" a="1"/>
  <c r="J83" i="5" a="1"/>
  <c r="K83" i="5" a="1"/>
  <c r="AF83" i="5" a="1"/>
  <c r="W83" i="5" a="1"/>
  <c r="R83" i="5" a="1"/>
  <c r="AJ83" i="5" a="1"/>
  <c r="AL83" i="5" a="1"/>
  <c r="AR83" i="5" a="1"/>
  <c r="BG83" i="5" a="1"/>
  <c r="BI83" i="5" a="1"/>
  <c r="Y83" i="5" a="1"/>
  <c r="Z83" i="5" a="1"/>
  <c r="G83" i="5" a="1"/>
  <c r="AE83" i="5" a="1"/>
  <c r="AZ83" i="5" a="1"/>
  <c r="AI83" i="5" a="1"/>
  <c r="X83" i="5" a="1"/>
  <c r="AM83" i="5" a="1"/>
  <c r="B83" i="5" a="1"/>
  <c r="I83" i="5" a="1"/>
  <c r="AC83" i="5" a="1"/>
  <c r="BB83" i="5" a="1"/>
  <c r="AP83" i="5" a="1"/>
  <c r="AX83" i="5" a="1"/>
  <c r="D83" i="5" a="1"/>
  <c r="BA83" i="5" a="1"/>
  <c r="AW83" i="5" a="1"/>
  <c r="BH83" i="5" a="1"/>
  <c r="AH83" i="5" a="1"/>
  <c r="L83" i="5" a="1"/>
  <c r="AD83" i="5" a="1"/>
  <c r="AK83" i="5" a="1"/>
  <c r="BF83" i="5" a="1"/>
  <c r="O83" i="5" a="1"/>
  <c r="AV83" i="5" a="1"/>
  <c r="D23" i="5" l="1"/>
  <c r="B50" i="5"/>
  <c r="B58" i="5"/>
  <c r="B86" i="5"/>
  <c r="A87" i="5" s="1"/>
  <c r="B85" i="5"/>
  <c r="Y83" i="5"/>
  <c r="Y81" i="5" s="1" a="1"/>
  <c r="Y81" i="5" s="1"/>
  <c r="X83" i="5"/>
  <c r="X81" i="5" s="1" a="1"/>
  <c r="X81" i="5" s="1"/>
  <c r="BG83" i="5"/>
  <c r="BG81" i="5" s="1" a="1"/>
  <c r="BG81" i="5" s="1"/>
  <c r="J83" i="5"/>
  <c r="J81" i="5" s="1" a="1"/>
  <c r="J81" i="5" s="1"/>
  <c r="AS83" i="5"/>
  <c r="AS81" i="5" s="1" a="1"/>
  <c r="AS81" i="5" s="1"/>
  <c r="M83" i="5"/>
  <c r="M81" i="5" s="1" a="1"/>
  <c r="M81" i="5" s="1"/>
  <c r="F83" i="5"/>
  <c r="F81" i="5" s="1" a="1"/>
  <c r="F81" i="5" s="1"/>
  <c r="AU83" i="5"/>
  <c r="AU81" i="5" s="1" a="1"/>
  <c r="AU81" i="5" s="1"/>
  <c r="O83" i="5"/>
  <c r="O81" i="5" s="1" a="1"/>
  <c r="O81" i="5" s="1"/>
  <c r="AG83" i="5"/>
  <c r="AG81" i="5" s="1" a="1"/>
  <c r="AG81" i="5" s="1"/>
  <c r="BH83" i="5"/>
  <c r="BH81" i="5" s="1" a="1"/>
  <c r="BH81" i="5" s="1"/>
  <c r="AF83" i="5"/>
  <c r="AF81" i="5" s="1" a="1"/>
  <c r="AF81" i="5" s="1"/>
  <c r="AC83" i="5"/>
  <c r="AC81" i="5" s="1" a="1"/>
  <c r="AC81" i="5" s="1"/>
  <c r="AI83" i="5"/>
  <c r="AI81" i="5" s="1" a="1"/>
  <c r="AI81" i="5" s="1"/>
  <c r="AR83" i="5"/>
  <c r="AR81" i="5" s="1" a="1"/>
  <c r="AR81" i="5" s="1"/>
  <c r="AA83" i="5"/>
  <c r="AA81" i="5" s="1" a="1"/>
  <c r="AA81" i="5" s="1"/>
  <c r="BD83" i="5"/>
  <c r="BD81" i="5" s="1" a="1"/>
  <c r="BD81" i="5" s="1"/>
  <c r="BC83" i="5"/>
  <c r="BC81" i="5" s="1" a="1"/>
  <c r="BC81" i="5" s="1"/>
  <c r="E83" i="5"/>
  <c r="E81" i="5" s="1" a="1"/>
  <c r="E81" i="5" s="1"/>
  <c r="Q83" i="5"/>
  <c r="Q81" i="5" s="1" a="1"/>
  <c r="Q81" i="5" s="1"/>
  <c r="BF83" i="5"/>
  <c r="BF81" i="5" s="1" a="1"/>
  <c r="BF81" i="5" s="1"/>
  <c r="I83" i="5"/>
  <c r="I81" i="5" s="1" a="1"/>
  <c r="I81" i="5" s="1"/>
  <c r="AW83" i="5"/>
  <c r="AW81" i="5" s="1" a="1"/>
  <c r="AW81" i="5" s="1"/>
  <c r="BB83" i="5"/>
  <c r="BB81" i="5" s="1" a="1"/>
  <c r="BB81" i="5" s="1"/>
  <c r="K83" i="5"/>
  <c r="K81" i="5" s="1" a="1"/>
  <c r="K81" i="5" s="1"/>
  <c r="AZ83" i="5"/>
  <c r="AZ81" i="5" s="1" a="1"/>
  <c r="AZ81" i="5" s="1"/>
  <c r="AL83" i="5"/>
  <c r="AL81" i="5" s="1" a="1"/>
  <c r="AL81" i="5" s="1"/>
  <c r="AQ83" i="5"/>
  <c r="AQ81" i="5" s="1" a="1"/>
  <c r="AQ81" i="5" s="1"/>
  <c r="AV83" i="5"/>
  <c r="AV81" i="5" s="1" a="1"/>
  <c r="AV81" i="5" s="1"/>
  <c r="T83" i="5"/>
  <c r="T81" i="5" s="1" a="1"/>
  <c r="T81" i="5" s="1"/>
  <c r="AN83" i="5"/>
  <c r="AN81" i="5" s="1" a="1"/>
  <c r="AN81" i="5" s="1"/>
  <c r="AY83" i="5"/>
  <c r="AY81" i="5" s="1" a="1"/>
  <c r="AY81" i="5" s="1"/>
  <c r="AK83" i="5"/>
  <c r="AK81" i="5" s="1" a="1"/>
  <c r="AK81" i="5" s="1"/>
  <c r="AP83" i="5"/>
  <c r="AP81" i="5" s="1" a="1"/>
  <c r="AP81" i="5" s="1"/>
  <c r="BA83" i="5"/>
  <c r="BA81" i="5" s="1" a="1"/>
  <c r="BA81" i="5" s="1"/>
  <c r="AB83" i="5"/>
  <c r="AB81" i="5" s="1" a="1"/>
  <c r="AB81" i="5" s="1"/>
  <c r="AM83" i="5"/>
  <c r="AM81" i="5" s="1" a="1"/>
  <c r="AM81" i="5" s="1"/>
  <c r="AE83" i="5"/>
  <c r="AE81" i="5" s="1" a="1"/>
  <c r="AE81" i="5" s="1"/>
  <c r="AJ83" i="5"/>
  <c r="AJ81" i="5" s="1" a="1"/>
  <c r="AJ81" i="5" s="1"/>
  <c r="AO83" i="5"/>
  <c r="AO81" i="5" s="1" a="1"/>
  <c r="AO81" i="5" s="1"/>
  <c r="P83" i="5"/>
  <c r="P81" i="5" s="1" a="1"/>
  <c r="P81" i="5" s="1"/>
  <c r="U83" i="5"/>
  <c r="U81" i="5" s="1" a="1"/>
  <c r="U81" i="5" s="1"/>
  <c r="BE83" i="5"/>
  <c r="BE81" i="5" s="1" a="1"/>
  <c r="BE81" i="5" s="1"/>
  <c r="S83" i="5"/>
  <c r="S81" i="5" s="1" a="1"/>
  <c r="S81" i="5" s="1"/>
  <c r="AD83" i="5"/>
  <c r="AD81" i="5" s="1" a="1"/>
  <c r="AD81" i="5" s="1"/>
  <c r="W83" i="5"/>
  <c r="W81" i="5" s="1" a="1"/>
  <c r="W81" i="5" s="1"/>
  <c r="D83" i="5"/>
  <c r="D81" i="5" s="1" a="1"/>
  <c r="D81" i="5" s="1"/>
  <c r="Z83" i="5"/>
  <c r="Z81" i="5" s="1" a="1"/>
  <c r="Z81" i="5" s="1"/>
  <c r="BI83" i="5"/>
  <c r="BI81" i="5" s="1" a="1"/>
  <c r="BI81" i="5" s="1"/>
  <c r="G83" i="5"/>
  <c r="G81" i="5" s="1" a="1"/>
  <c r="G81" i="5" s="1"/>
  <c r="R83" i="5"/>
  <c r="R81" i="5" s="1" a="1"/>
  <c r="R81" i="5" s="1"/>
  <c r="AT83" i="5"/>
  <c r="AT81" i="5" s="1" a="1"/>
  <c r="AT81" i="5" s="1"/>
  <c r="C83" i="5"/>
  <c r="C81" i="5" s="1" a="1"/>
  <c r="C81" i="5" s="1"/>
  <c r="N83" i="5"/>
  <c r="N81" i="5" s="1" a="1"/>
  <c r="N81" i="5" s="1"/>
  <c r="V83" i="5"/>
  <c r="V81" i="5" s="1" a="1"/>
  <c r="V81" i="5" s="1"/>
  <c r="H83" i="5"/>
  <c r="H81" i="5" s="1" a="1"/>
  <c r="H81" i="5" s="1"/>
  <c r="L83" i="5"/>
  <c r="L81" i="5" s="1" a="1"/>
  <c r="L81" i="5" s="1"/>
  <c r="AH83" i="5"/>
  <c r="AH81" i="5" s="1" a="1"/>
  <c r="AH81" i="5" s="1"/>
  <c r="AX83" i="5"/>
  <c r="AX81" i="5" s="1" a="1"/>
  <c r="AX81" i="5" s="1"/>
  <c r="B83" i="5"/>
  <c r="B81" i="5" s="1" a="1"/>
  <c r="B81" i="5" s="1"/>
  <c r="E29" i="5"/>
  <c r="D19" i="5" a="1"/>
  <c r="D19" i="5" s="1"/>
  <c r="E40" i="5" s="1"/>
  <c r="BP60" i="5" a="1"/>
  <c r="BP60" i="5" s="1"/>
  <c r="BP59" i="5" a="1"/>
  <c r="BP59" i="5" s="1"/>
  <c r="E34" i="5"/>
  <c r="BP22" i="5" a="1"/>
  <c r="BP22" i="5" s="1"/>
  <c r="BP56" i="5" a="1"/>
  <c r="BP56" i="5" s="1"/>
  <c r="BP46" i="5" a="1"/>
  <c r="BP46" i="5" s="1"/>
  <c r="BP45" i="5" a="1"/>
  <c r="BP45" i="5" s="1"/>
  <c r="BP34" i="5" a="1"/>
  <c r="BP34" i="5" s="1"/>
  <c r="BP21" i="5" a="1"/>
  <c r="BP21" i="5" s="1"/>
  <c r="BP10" i="5" a="1"/>
  <c r="BP10" i="5" s="1"/>
  <c r="BP57" i="5" a="1"/>
  <c r="BP57" i="5" s="1"/>
  <c r="BP58" i="5" a="1"/>
  <c r="BP58" i="5" s="1"/>
  <c r="BP47" i="5" a="1"/>
  <c r="BP47" i="5" s="1"/>
  <c r="BP35" i="5" a="1"/>
  <c r="BP35" i="5" s="1"/>
  <c r="BP23" i="5" a="1"/>
  <c r="BP23" i="5" s="1"/>
  <c r="BP11" i="5" a="1"/>
  <c r="BP11" i="5" s="1"/>
  <c r="BP33" i="5" a="1"/>
  <c r="BP33" i="5" s="1"/>
  <c r="BP9" i="5" a="1"/>
  <c r="BP9" i="5" s="1"/>
  <c r="BP55" i="5" a="1"/>
  <c r="BP55" i="5" s="1"/>
  <c r="BP44" i="5" a="1"/>
  <c r="BP44" i="5" s="1"/>
  <c r="BP32" i="5" a="1"/>
  <c r="BP32" i="5" s="1"/>
  <c r="BP20" i="5" a="1"/>
  <c r="BP20" i="5" s="1"/>
  <c r="BP8" i="5" a="1"/>
  <c r="BP8" i="5" s="1"/>
  <c r="BP54" i="5" a="1"/>
  <c r="BP54" i="5" s="1"/>
  <c r="BP43" i="5" a="1"/>
  <c r="BP43" i="5" s="1"/>
  <c r="BP31" i="5" a="1"/>
  <c r="BP31" i="5" s="1"/>
  <c r="BP19" i="5" a="1"/>
  <c r="BP19" i="5" s="1"/>
  <c r="BP7" i="5" a="1"/>
  <c r="BP7" i="5" s="1"/>
  <c r="BP42" i="5" a="1"/>
  <c r="BP42" i="5" s="1"/>
  <c r="BP30" i="5" a="1"/>
  <c r="BP30" i="5" s="1"/>
  <c r="BP18" i="5" a="1"/>
  <c r="BP18" i="5" s="1"/>
  <c r="BP6" i="5" a="1"/>
  <c r="BP6" i="5" s="1"/>
  <c r="BP53" i="5" a="1"/>
  <c r="BP53" i="5" s="1"/>
  <c r="BP41" i="5" a="1"/>
  <c r="BP41" i="5" s="1"/>
  <c r="BP29" i="5" a="1"/>
  <c r="BP29" i="5" s="1"/>
  <c r="BP17" i="5" a="1"/>
  <c r="BP17" i="5" s="1"/>
  <c r="BP52" i="5" a="1"/>
  <c r="BP52" i="5" s="1"/>
  <c r="BP40" i="5" a="1"/>
  <c r="BP40" i="5" s="1"/>
  <c r="BP28" i="5" a="1"/>
  <c r="BP28" i="5" s="1"/>
  <c r="BP16" i="5" a="1"/>
  <c r="BP16" i="5" s="1"/>
  <c r="BP51" i="5" a="1"/>
  <c r="BP51" i="5" s="1"/>
  <c r="BP39" i="5" a="1"/>
  <c r="BP39" i="5" s="1"/>
  <c r="BP27" i="5" a="1"/>
  <c r="BP27" i="5" s="1"/>
  <c r="BP15" i="5" a="1"/>
  <c r="BP15" i="5" s="1"/>
  <c r="BP50" i="5" a="1"/>
  <c r="BP50" i="5" s="1"/>
  <c r="BP38" i="5" a="1"/>
  <c r="BP38" i="5" s="1"/>
  <c r="BP26" i="5" a="1"/>
  <c r="BP26" i="5" s="1"/>
  <c r="BP14" i="5" a="1"/>
  <c r="BP14" i="5" s="1"/>
  <c r="BP49" i="5" a="1"/>
  <c r="BP49" i="5" s="1"/>
  <c r="BP37" i="5" a="1"/>
  <c r="BP37" i="5" s="1"/>
  <c r="BP25" i="5" a="1"/>
  <c r="BP25" i="5" s="1"/>
  <c r="BP13" i="5" a="1"/>
  <c r="BP13" i="5" s="1"/>
  <c r="BP5" i="5" a="1"/>
  <c r="BP5" i="5" s="1"/>
  <c r="BP48" i="5" a="1"/>
  <c r="BP48" i="5" s="1"/>
  <c r="BP36" i="5" a="1"/>
  <c r="BP36" i="5" s="1"/>
  <c r="BP24" i="5" a="1"/>
  <c r="BP24" i="5" s="1"/>
  <c r="BP12" i="5" a="1"/>
  <c r="BP12" i="5" s="1"/>
  <c r="L52" i="22"/>
  <c r="BG16" i="5" a="1"/>
  <c r="BG16" i="5" s="1"/>
  <c r="BR7" i="5" a="1"/>
  <c r="BR7" i="5" s="1"/>
  <c r="BS7" i="5" s="1"/>
  <c r="BQ7" i="5" a="1"/>
  <c r="BQ7" i="5" s="1"/>
  <c r="BR6" i="5" a="1"/>
  <c r="BR6" i="5" s="1"/>
  <c r="BS6" i="5" s="1"/>
  <c r="BQ6" i="5" a="1"/>
  <c r="BQ6" i="5" s="1"/>
  <c r="BR5" i="5" a="1"/>
  <c r="BR5" i="5" s="1"/>
  <c r="BQ5" i="5" a="1"/>
  <c r="BQ5" i="5" s="1"/>
  <c r="BE16" i="5" a="1"/>
  <c r="BE16" i="5" s="1"/>
  <c r="N11" i="22"/>
  <c r="N5" i="22"/>
  <c r="N33" i="22"/>
  <c r="N49" i="22"/>
  <c r="N23" i="22"/>
  <c r="N28" i="22"/>
  <c r="N16" i="22"/>
  <c r="N15" i="22"/>
  <c r="N25" i="22"/>
  <c r="N48" i="22"/>
  <c r="N17" i="22"/>
  <c r="N45" i="22"/>
  <c r="N34" i="22"/>
  <c r="N46" i="22"/>
  <c r="N21" i="22"/>
  <c r="N35" i="22"/>
  <c r="N43" i="22"/>
  <c r="N57" i="22"/>
  <c r="N10" i="22"/>
  <c r="N37" i="22"/>
  <c r="N44" i="22"/>
  <c r="N30" i="22"/>
  <c r="N20" i="22"/>
  <c r="N13" i="22"/>
  <c r="N32" i="22"/>
  <c r="N12" i="22"/>
  <c r="N19" i="22"/>
  <c r="N54" i="22"/>
  <c r="N39" i="22"/>
  <c r="N58" i="22"/>
  <c r="N22" i="22"/>
  <c r="N9" i="22"/>
  <c r="N53" i="22"/>
  <c r="N26" i="22"/>
  <c r="N38" i="22"/>
  <c r="N50" i="22"/>
  <c r="N18" i="22"/>
  <c r="N51" i="22"/>
  <c r="N31" i="22"/>
  <c r="N42" i="22"/>
  <c r="N55" i="22"/>
  <c r="N41" i="22"/>
  <c r="N47" i="22"/>
  <c r="N7" i="22"/>
  <c r="N8" i="22"/>
  <c r="N6" i="22"/>
  <c r="N36" i="22"/>
  <c r="N14" i="22"/>
  <c r="N52" i="22"/>
  <c r="N40" i="22"/>
  <c r="N27" i="22"/>
  <c r="N29" i="22"/>
  <c r="N56" i="22"/>
  <c r="N24" i="22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L17" i="25" a="1"/>
  <c r="AY17" i="25" a="1"/>
  <c r="G17" i="25" a="1"/>
  <c r="P17" i="25" a="1"/>
  <c r="AC17" i="25" a="1"/>
  <c r="AZ17" i="25" a="1"/>
  <c r="Q17" i="25" a="1"/>
  <c r="J17" i="25" a="1"/>
  <c r="AG17" i="25" a="1"/>
  <c r="AR17" i="25" a="1"/>
  <c r="BB17" i="25" a="1"/>
  <c r="U17" i="25" a="1"/>
  <c r="M17" i="25" a="1"/>
  <c r="F17" i="25" a="1"/>
  <c r="H17" i="25" a="1"/>
  <c r="O17" i="25" a="1"/>
  <c r="AW17" i="25" a="1"/>
  <c r="D17" i="25" a="1"/>
  <c r="E17" i="25" a="1"/>
  <c r="AF17" i="25" a="1"/>
  <c r="I17" i="25" a="1"/>
  <c r="AJ17" i="25" a="1"/>
  <c r="AK17" i="25" a="1"/>
  <c r="AV17" i="25" a="1"/>
  <c r="AH17" i="25" a="1"/>
  <c r="AL17" i="25" a="1"/>
  <c r="AX17" i="25" a="1"/>
  <c r="AQ17" i="25" a="1"/>
  <c r="AS17" i="25" a="1"/>
  <c r="BA17" i="25" a="1"/>
  <c r="Z17" i="25" a="1"/>
  <c r="N17" i="25" a="1"/>
  <c r="AA17" i="25" a="1"/>
  <c r="V17" i="25" a="1"/>
  <c r="AD17" i="25" a="1"/>
  <c r="X17" i="25" a="1"/>
  <c r="AO17" i="25" a="1"/>
  <c r="AE17" i="25" a="1"/>
  <c r="AN17" i="25" a="1"/>
  <c r="AB17" i="25" a="1"/>
  <c r="AM17" i="25" a="1"/>
  <c r="Y17" i="25" a="1"/>
  <c r="BC17" i="25" a="1"/>
  <c r="AT17" i="25" a="1"/>
  <c r="S17" i="25" a="1"/>
  <c r="R17" i="25" a="1"/>
  <c r="T17" i="25" a="1"/>
  <c r="K17" i="25" a="1"/>
  <c r="AP17" i="25" a="1"/>
  <c r="W17" i="25" a="1"/>
  <c r="AI17" i="25" a="1"/>
  <c r="AU17" i="25" a="1"/>
  <c r="B53" i="5" l="1"/>
  <c r="B54" i="5"/>
  <c r="B63" i="5"/>
  <c r="B65" i="5" s="1"/>
  <c r="B59" i="5"/>
  <c r="A59" i="5" s="1"/>
  <c r="B68" i="5"/>
  <c r="A86" i="5"/>
  <c r="A58" i="5"/>
  <c r="B89" i="5"/>
  <c r="E28" i="5"/>
  <c r="BO61" i="5" a="1"/>
  <c r="BO61" i="5" s="1"/>
  <c r="BQ61" i="5" a="1"/>
  <c r="BQ61" i="5" s="1"/>
  <c r="BR61" i="5" a="1"/>
  <c r="BR61" i="5" s="1"/>
  <c r="BO59" i="5" a="1"/>
  <c r="BO59" i="5" s="1"/>
  <c r="BQ59" i="5" a="1"/>
  <c r="BQ59" i="5" s="1"/>
  <c r="BR59" i="5" a="1"/>
  <c r="BR59" i="5" s="1"/>
  <c r="BS59" i="5" s="1"/>
  <c r="BO60" i="5" a="1"/>
  <c r="BO60" i="5" s="1"/>
  <c r="BQ60" i="5" a="1"/>
  <c r="BQ60" i="5" s="1"/>
  <c r="BR60" i="5" a="1"/>
  <c r="BR60" i="5" s="1"/>
  <c r="BS60" i="5" s="1"/>
  <c r="BV23" i="25"/>
  <c r="BU7" i="5"/>
  <c r="BU6" i="5"/>
  <c r="L38" i="22"/>
  <c r="L36" i="22"/>
  <c r="L88" i="22"/>
  <c r="BO11" i="5" a="1"/>
  <c r="BO11" i="5" s="1"/>
  <c r="BO15" i="5" a="1"/>
  <c r="BO15" i="5" s="1"/>
  <c r="BO19" i="5" a="1"/>
  <c r="BO19" i="5" s="1"/>
  <c r="BR22" i="5" a="1"/>
  <c r="BR22" i="5" s="1"/>
  <c r="BR26" i="5" a="1"/>
  <c r="BR26" i="5" s="1"/>
  <c r="BS26" i="5" s="1"/>
  <c r="BR30" i="5" a="1"/>
  <c r="BR30" i="5" s="1"/>
  <c r="BS30" i="5" s="1"/>
  <c r="BR34" i="5" a="1"/>
  <c r="BR34" i="5" s="1"/>
  <c r="BR38" i="5" a="1"/>
  <c r="BR38" i="5" s="1"/>
  <c r="BS38" i="5" s="1"/>
  <c r="BR42" i="5" a="1"/>
  <c r="BR42" i="5" s="1"/>
  <c r="BS42" i="5" s="1"/>
  <c r="BQ46" i="5" a="1"/>
  <c r="BQ46" i="5" s="1"/>
  <c r="BQ50" i="5" a="1"/>
  <c r="BQ50" i="5" s="1"/>
  <c r="BO54" i="5" a="1"/>
  <c r="BO54" i="5" s="1"/>
  <c r="BO58" i="5" a="1"/>
  <c r="BO58" i="5" s="1"/>
  <c r="BQ11" i="5" a="1"/>
  <c r="BQ11" i="5" s="1"/>
  <c r="BQ15" i="5" a="1"/>
  <c r="BQ15" i="5" s="1"/>
  <c r="BQ19" i="5" a="1"/>
  <c r="BQ19" i="5" s="1"/>
  <c r="BO23" i="5" a="1"/>
  <c r="BO23" i="5" s="1"/>
  <c r="BO27" i="5" a="1"/>
  <c r="BO27" i="5" s="1"/>
  <c r="BO31" i="5" a="1"/>
  <c r="BO31" i="5" s="1"/>
  <c r="BO35" i="5" a="1"/>
  <c r="BO35" i="5" s="1"/>
  <c r="BO39" i="5" a="1"/>
  <c r="BO39" i="5" s="1"/>
  <c r="BO43" i="5" a="1"/>
  <c r="BO43" i="5" s="1"/>
  <c r="BR46" i="5" a="1"/>
  <c r="BR46" i="5" s="1"/>
  <c r="BR50" i="5" a="1"/>
  <c r="BR50" i="5" s="1"/>
  <c r="BS50" i="5" s="1"/>
  <c r="BQ54" i="5" a="1"/>
  <c r="BQ54" i="5" s="1"/>
  <c r="BQ58" i="5" a="1"/>
  <c r="BQ58" i="5" s="1"/>
  <c r="BR11" i="5" a="1"/>
  <c r="BR11" i="5" s="1"/>
  <c r="BS11" i="5" s="1"/>
  <c r="BR15" i="5" a="1"/>
  <c r="BR15" i="5" s="1"/>
  <c r="BS15" i="5" s="1"/>
  <c r="BR19" i="5" a="1"/>
  <c r="BR19" i="5" s="1"/>
  <c r="BS19" i="5" s="1"/>
  <c r="BQ23" i="5" a="1"/>
  <c r="BQ23" i="5" s="1"/>
  <c r="BQ27" i="5" a="1"/>
  <c r="BQ27" i="5" s="1"/>
  <c r="BQ31" i="5" a="1"/>
  <c r="BQ31" i="5" s="1"/>
  <c r="BQ35" i="5" a="1"/>
  <c r="BQ35" i="5" s="1"/>
  <c r="BQ39" i="5" a="1"/>
  <c r="BQ39" i="5" s="1"/>
  <c r="BQ43" i="5" a="1"/>
  <c r="BQ43" i="5" s="1"/>
  <c r="BO47" i="5" a="1"/>
  <c r="BO47" i="5" s="1"/>
  <c r="BO51" i="5" a="1"/>
  <c r="BO51" i="5" s="1"/>
  <c r="BR54" i="5" a="1"/>
  <c r="BR54" i="5" s="1"/>
  <c r="BS54" i="5" s="1"/>
  <c r="BR58" i="5" a="1"/>
  <c r="BR58" i="5" s="1"/>
  <c r="BS58" i="5" s="1"/>
  <c r="BO8" i="5" a="1"/>
  <c r="BO8" i="5" s="1"/>
  <c r="BO12" i="5" a="1"/>
  <c r="BO12" i="5" s="1"/>
  <c r="BO16" i="5" a="1"/>
  <c r="BO16" i="5" s="1"/>
  <c r="BO20" i="5" a="1"/>
  <c r="BO20" i="5" s="1"/>
  <c r="BR23" i="5" a="1"/>
  <c r="BR23" i="5" s="1"/>
  <c r="BR27" i="5" a="1"/>
  <c r="BR27" i="5" s="1"/>
  <c r="BS27" i="5" s="1"/>
  <c r="BR31" i="5" a="1"/>
  <c r="BR31" i="5" s="1"/>
  <c r="BS31" i="5" s="1"/>
  <c r="BR35" i="5" a="1"/>
  <c r="BR35" i="5" s="1"/>
  <c r="BS35" i="5" s="1"/>
  <c r="BR39" i="5" a="1"/>
  <c r="BR39" i="5" s="1"/>
  <c r="BS39" i="5" s="1"/>
  <c r="BR43" i="5" a="1"/>
  <c r="BR43" i="5" s="1"/>
  <c r="BS43" i="5" s="1"/>
  <c r="BQ47" i="5" a="1"/>
  <c r="BQ47" i="5" s="1"/>
  <c r="BQ51" i="5" a="1"/>
  <c r="BQ51" i="5" s="1"/>
  <c r="BO55" i="5" a="1"/>
  <c r="BO55" i="5" s="1"/>
  <c r="BQ8" i="5" a="1"/>
  <c r="BQ8" i="5" s="1"/>
  <c r="BQ12" i="5" a="1"/>
  <c r="BQ12" i="5" s="1"/>
  <c r="BQ16" i="5" a="1"/>
  <c r="BQ16" i="5" s="1"/>
  <c r="BQ20" i="5" a="1"/>
  <c r="BQ20" i="5" s="1"/>
  <c r="BO24" i="5" a="1"/>
  <c r="BO24" i="5" s="1"/>
  <c r="BO28" i="5" a="1"/>
  <c r="BO28" i="5" s="1"/>
  <c r="BO32" i="5" a="1"/>
  <c r="BO32" i="5" s="1"/>
  <c r="BO36" i="5" a="1"/>
  <c r="BO36" i="5" s="1"/>
  <c r="BO40" i="5" a="1"/>
  <c r="BO40" i="5" s="1"/>
  <c r="BO44" i="5" a="1"/>
  <c r="BO44" i="5" s="1"/>
  <c r="BR47" i="5" a="1"/>
  <c r="BR47" i="5" s="1"/>
  <c r="BS47" i="5" s="1"/>
  <c r="BR51" i="5" a="1"/>
  <c r="BR51" i="5" s="1"/>
  <c r="BS51" i="5" s="1"/>
  <c r="BQ55" i="5" a="1"/>
  <c r="BQ55" i="5" s="1"/>
  <c r="BR8" i="5" a="1"/>
  <c r="BR8" i="5" s="1"/>
  <c r="BS8" i="5" s="1"/>
  <c r="BR12" i="5" a="1"/>
  <c r="BR12" i="5" s="1"/>
  <c r="BS12" i="5" s="1"/>
  <c r="BR16" i="5" a="1"/>
  <c r="BR16" i="5" s="1"/>
  <c r="BS16" i="5" s="1"/>
  <c r="BQ24" i="5" a="1"/>
  <c r="BQ24" i="5" s="1"/>
  <c r="BQ28" i="5" a="1"/>
  <c r="BQ28" i="5" s="1"/>
  <c r="BQ32" i="5" a="1"/>
  <c r="BQ32" i="5" s="1"/>
  <c r="BQ36" i="5" a="1"/>
  <c r="BQ36" i="5" s="1"/>
  <c r="BQ40" i="5" a="1"/>
  <c r="BQ40" i="5" s="1"/>
  <c r="BQ44" i="5" a="1"/>
  <c r="BQ44" i="5" s="1"/>
  <c r="BO48" i="5" a="1"/>
  <c r="BO48" i="5" s="1"/>
  <c r="BO52" i="5" a="1"/>
  <c r="BO52" i="5" s="1"/>
  <c r="BR55" i="5" a="1"/>
  <c r="BR55" i="5" s="1"/>
  <c r="BS55" i="5" s="1"/>
  <c r="BO9" i="5" a="1"/>
  <c r="BO9" i="5" s="1"/>
  <c r="BO13" i="5" a="1"/>
  <c r="BO13" i="5" s="1"/>
  <c r="BO17" i="5" a="1"/>
  <c r="BO17" i="5" s="1"/>
  <c r="BR20" i="5" a="1"/>
  <c r="BR20" i="5" s="1"/>
  <c r="BS20" i="5" s="1"/>
  <c r="BR24" i="5" a="1"/>
  <c r="BR24" i="5" s="1"/>
  <c r="BS24" i="5" s="1"/>
  <c r="BR28" i="5" a="1"/>
  <c r="BR28" i="5" s="1"/>
  <c r="BS28" i="5" s="1"/>
  <c r="BR32" i="5" a="1"/>
  <c r="BR32" i="5" s="1"/>
  <c r="BS32" i="5" s="1"/>
  <c r="BR36" i="5" a="1"/>
  <c r="BR36" i="5" s="1"/>
  <c r="BS36" i="5" s="1"/>
  <c r="BR40" i="5" a="1"/>
  <c r="BR40" i="5" s="1"/>
  <c r="BS40" i="5" s="1"/>
  <c r="BQ48" i="5" a="1"/>
  <c r="BQ48" i="5" s="1"/>
  <c r="BQ52" i="5" a="1"/>
  <c r="BQ52" i="5" s="1"/>
  <c r="BO56" i="5" a="1"/>
  <c r="BO56" i="5" s="1"/>
  <c r="BQ9" i="5" a="1"/>
  <c r="BQ9" i="5" s="1"/>
  <c r="BQ13" i="5" a="1"/>
  <c r="BQ13" i="5" s="1"/>
  <c r="BQ17" i="5" a="1"/>
  <c r="BQ17" i="5" s="1"/>
  <c r="BO21" i="5" a="1"/>
  <c r="BO21" i="5" s="1"/>
  <c r="BO25" i="5" a="1"/>
  <c r="BO25" i="5" s="1"/>
  <c r="BO29" i="5" a="1"/>
  <c r="BO29" i="5" s="1"/>
  <c r="BO33" i="5" a="1"/>
  <c r="BO33" i="5" s="1"/>
  <c r="BO37" i="5" a="1"/>
  <c r="BO37" i="5" s="1"/>
  <c r="BO41" i="5" a="1"/>
  <c r="BO41" i="5" s="1"/>
  <c r="BR44" i="5" a="1"/>
  <c r="BR44" i="5" s="1"/>
  <c r="BS44" i="5" s="1"/>
  <c r="BR48" i="5" a="1"/>
  <c r="BR48" i="5" s="1"/>
  <c r="BS48" i="5" s="1"/>
  <c r="BQ56" i="5" a="1"/>
  <c r="BQ56" i="5" s="1"/>
  <c r="L8" i="22"/>
  <c r="BR9" i="5" a="1"/>
  <c r="BR9" i="5" s="1"/>
  <c r="BS9" i="5" s="1"/>
  <c r="BR13" i="5" a="1"/>
  <c r="BR13" i="5" s="1"/>
  <c r="BS13" i="5" s="1"/>
  <c r="BR17" i="5" a="1"/>
  <c r="BR17" i="5" s="1"/>
  <c r="BS17" i="5" s="1"/>
  <c r="BQ21" i="5" a="1"/>
  <c r="BQ21" i="5" s="1"/>
  <c r="BQ25" i="5" a="1"/>
  <c r="BQ25" i="5" s="1"/>
  <c r="BQ29" i="5" a="1"/>
  <c r="BQ29" i="5" s="1"/>
  <c r="BQ33" i="5" a="1"/>
  <c r="BQ33" i="5" s="1"/>
  <c r="BQ37" i="5" a="1"/>
  <c r="BQ37" i="5" s="1"/>
  <c r="BQ41" i="5" a="1"/>
  <c r="BQ41" i="5" s="1"/>
  <c r="BO45" i="5" a="1"/>
  <c r="BO45" i="5" s="1"/>
  <c r="BO49" i="5" a="1"/>
  <c r="BO49" i="5" s="1"/>
  <c r="BR52" i="5" a="1"/>
  <c r="BR52" i="5" s="1"/>
  <c r="BS52" i="5" s="1"/>
  <c r="BR56" i="5" a="1"/>
  <c r="BR56" i="5" s="1"/>
  <c r="BO10" i="5" a="1"/>
  <c r="BO10" i="5" s="1"/>
  <c r="BO14" i="5" a="1"/>
  <c r="BO14" i="5" s="1"/>
  <c r="BO18" i="5" a="1"/>
  <c r="BO18" i="5" s="1"/>
  <c r="BR21" i="5" a="1"/>
  <c r="BR21" i="5" s="1"/>
  <c r="BR25" i="5" a="1"/>
  <c r="BR25" i="5" s="1"/>
  <c r="BS25" i="5" s="1"/>
  <c r="BR29" i="5" a="1"/>
  <c r="BR29" i="5" s="1"/>
  <c r="BS29" i="5" s="1"/>
  <c r="BR33" i="5" a="1"/>
  <c r="BR33" i="5" s="1"/>
  <c r="BS33" i="5" s="1"/>
  <c r="BR37" i="5" a="1"/>
  <c r="BR37" i="5" s="1"/>
  <c r="BS37" i="5" s="1"/>
  <c r="BR41" i="5" a="1"/>
  <c r="BR41" i="5" s="1"/>
  <c r="BS41" i="5" s="1"/>
  <c r="BQ45" i="5" a="1"/>
  <c r="BQ45" i="5" s="1"/>
  <c r="BQ49" i="5" a="1"/>
  <c r="BQ49" i="5" s="1"/>
  <c r="BO53" i="5" a="1"/>
  <c r="BO53" i="5" s="1"/>
  <c r="BO57" i="5" a="1"/>
  <c r="BO57" i="5" s="1"/>
  <c r="BQ10" i="5" a="1"/>
  <c r="BQ10" i="5" s="1"/>
  <c r="BQ14" i="5" a="1"/>
  <c r="BQ14" i="5" s="1"/>
  <c r="BQ18" i="5" a="1"/>
  <c r="BQ18" i="5" s="1"/>
  <c r="BO22" i="5" a="1"/>
  <c r="BO22" i="5" s="1"/>
  <c r="BO26" i="5" a="1"/>
  <c r="BO26" i="5" s="1"/>
  <c r="BO30" i="5" a="1"/>
  <c r="BO30" i="5" s="1"/>
  <c r="BO34" i="5" a="1"/>
  <c r="BO34" i="5" s="1"/>
  <c r="BO38" i="5" a="1"/>
  <c r="BO38" i="5" s="1"/>
  <c r="BO42" i="5" a="1"/>
  <c r="BO42" i="5" s="1"/>
  <c r="BR45" i="5" a="1"/>
  <c r="BR45" i="5" s="1"/>
  <c r="BR49" i="5" a="1"/>
  <c r="BR49" i="5" s="1"/>
  <c r="BS49" i="5" s="1"/>
  <c r="BQ53" i="5" a="1"/>
  <c r="BQ53" i="5" s="1"/>
  <c r="BQ57" i="5" a="1"/>
  <c r="BQ57" i="5" s="1"/>
  <c r="BR10" i="5" a="1"/>
  <c r="BR10" i="5" s="1"/>
  <c r="BR14" i="5" a="1"/>
  <c r="BR14" i="5" s="1"/>
  <c r="BS14" i="5" s="1"/>
  <c r="BR18" i="5" a="1"/>
  <c r="BR18" i="5" s="1"/>
  <c r="BS18" i="5" s="1"/>
  <c r="BQ22" i="5" a="1"/>
  <c r="BQ22" i="5" s="1"/>
  <c r="BQ26" i="5" a="1"/>
  <c r="BQ26" i="5" s="1"/>
  <c r="BQ30" i="5" a="1"/>
  <c r="BQ30" i="5" s="1"/>
  <c r="BQ34" i="5" a="1"/>
  <c r="BQ34" i="5" s="1"/>
  <c r="BQ38" i="5" a="1"/>
  <c r="BQ38" i="5" s="1"/>
  <c r="BQ42" i="5" a="1"/>
  <c r="BQ42" i="5" s="1"/>
  <c r="BO46" i="5" a="1"/>
  <c r="BO46" i="5" s="1"/>
  <c r="BO50" i="5" a="1"/>
  <c r="BO50" i="5" s="1"/>
  <c r="BR53" i="5" a="1"/>
  <c r="BR53" i="5" s="1"/>
  <c r="BR57" i="5" a="1"/>
  <c r="BR57" i="5" s="1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P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B60" i="5" l="1"/>
  <c r="A63" i="5"/>
  <c r="B70" i="5"/>
  <c r="A68" i="5"/>
  <c r="BS61" i="5"/>
  <c r="BU61" i="5"/>
  <c r="BU60" i="5"/>
  <c r="BU59" i="5"/>
  <c r="BU43" i="5"/>
  <c r="BU27" i="5"/>
  <c r="BU37" i="5"/>
  <c r="BU40" i="5"/>
  <c r="BS21" i="5"/>
  <c r="BU21" i="5"/>
  <c r="BU32" i="5"/>
  <c r="BS46" i="5"/>
  <c r="BU46" i="5"/>
  <c r="BU35" i="5"/>
  <c r="BU14" i="5"/>
  <c r="BS57" i="5"/>
  <c r="BU57" i="5"/>
  <c r="BS10" i="5"/>
  <c r="BU10" i="5"/>
  <c r="BU15" i="5"/>
  <c r="BU17" i="5"/>
  <c r="BU48" i="5"/>
  <c r="BU38" i="5"/>
  <c r="BU25" i="5"/>
  <c r="BU41" i="5"/>
  <c r="BU12" i="5"/>
  <c r="BU55" i="5"/>
  <c r="BS56" i="5"/>
  <c r="BU56" i="5"/>
  <c r="BS34" i="5"/>
  <c r="BU34" i="5"/>
  <c r="BU36" i="5"/>
  <c r="BU33" i="5"/>
  <c r="BU28" i="5"/>
  <c r="BS45" i="5"/>
  <c r="BU45" i="5"/>
  <c r="BU58" i="5"/>
  <c r="BU16" i="5"/>
  <c r="BU31" i="5"/>
  <c r="BU49" i="5"/>
  <c r="BU8" i="5"/>
  <c r="BU11" i="5"/>
  <c r="BU52" i="5"/>
  <c r="BU20" i="5"/>
  <c r="BS22" i="5"/>
  <c r="BU22" i="5"/>
  <c r="BU18" i="5"/>
  <c r="BU54" i="5"/>
  <c r="BU26" i="5"/>
  <c r="BU30" i="5"/>
  <c r="BU39" i="5"/>
  <c r="BU29" i="5"/>
  <c r="BU42" i="5"/>
  <c r="BU51" i="5"/>
  <c r="BU47" i="5"/>
  <c r="BU50" i="5"/>
  <c r="BU9" i="5"/>
  <c r="BU13" i="5"/>
  <c r="BU24" i="5"/>
  <c r="BU19" i="5"/>
  <c r="BU44" i="5"/>
  <c r="M96" i="22"/>
  <c r="N96" i="22" s="1"/>
  <c r="BS53" i="5"/>
  <c r="BU53" i="5"/>
  <c r="BS23" i="5"/>
  <c r="BU23" i="5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BR42" i="25" a="1"/>
  <c r="BR42" i="25" s="1"/>
  <c r="AP18" i="25" s="1" a="1"/>
  <c r="AP18" i="25" s="1"/>
  <c r="F9" i="25" s="1"/>
  <c r="BR39" i="25" a="1"/>
  <c r="BR39" i="25" s="1"/>
  <c r="BW30" i="25" s="1"/>
  <c r="BS5" i="5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AN19" i="25" a="1"/>
  <c r="AN19" i="25" s="1"/>
  <c r="AJ7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AR18" i="25" l="1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D38" i="25" l="1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D28" i="25" l="1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13" i="7" a="1"/>
  <c r="K47" i="7" a="1"/>
  <c r="K53" i="7" a="1"/>
  <c r="K3" i="7" a="1"/>
  <c r="K33" i="7" a="1"/>
  <c r="K22" i="7" a="1"/>
  <c r="K45" i="7" a="1"/>
  <c r="K12" i="7" a="1"/>
  <c r="K7" i="7" a="1"/>
  <c r="K15" i="7" a="1"/>
  <c r="K23" i="7" a="1"/>
  <c r="K40" i="7" a="1"/>
  <c r="K27" i="7" a="1"/>
  <c r="K39" i="7" a="1"/>
  <c r="K17" i="7" a="1"/>
  <c r="K44" i="7" a="1"/>
  <c r="K41" i="7" a="1"/>
  <c r="K36" i="7" a="1"/>
  <c r="K28" i="7" a="1"/>
  <c r="K14" i="7" a="1"/>
  <c r="K6" i="7" a="1"/>
  <c r="K11" i="7" a="1"/>
  <c r="K29" i="7" a="1"/>
  <c r="K48" i="7" a="1"/>
  <c r="K38" i="7" a="1"/>
  <c r="K49" i="7" a="1"/>
  <c r="K19" i="7" a="1"/>
  <c r="K43" i="7" a="1"/>
  <c r="K52" i="7" a="1"/>
  <c r="K51" i="7" a="1"/>
  <c r="K9" i="7" a="1"/>
  <c r="K21" i="7" a="1"/>
  <c r="K5" i="7" a="1"/>
  <c r="K20" i="7" a="1"/>
  <c r="K35" i="7" a="1"/>
  <c r="K30" i="7" a="1"/>
  <c r="K46" i="7" a="1"/>
  <c r="K8" i="7" a="1"/>
  <c r="K26" i="7" a="1"/>
  <c r="K10" i="7" a="1"/>
  <c r="K31" i="7" a="1"/>
  <c r="K4" i="7" a="1"/>
  <c r="K54" i="7" a="1"/>
  <c r="K50" i="7" a="1"/>
  <c r="K42" i="7" a="1"/>
  <c r="K25" i="7" a="1"/>
  <c r="K24" i="7" a="1"/>
  <c r="K18" i="7" a="1"/>
  <c r="K16" i="7" a="1"/>
  <c r="K37" i="7" a="1"/>
  <c r="K32" i="7" a="1"/>
  <c r="K34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C16" i="5" a="1"/>
  <c r="BC16" i="5" s="1"/>
  <c r="BB16" i="5" a="1"/>
  <c r="BB16" i="5" s="1"/>
  <c r="AZ16" i="5" a="1"/>
  <c r="AZ16" i="5" s="1"/>
  <c r="AY16" i="5" a="1"/>
  <c r="AY16" i="5" s="1"/>
  <c r="AX16" i="5" a="1"/>
  <c r="AX16" i="5" s="1"/>
  <c r="AW16" i="5" a="1"/>
  <c r="AW16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L16" i="5" a="1"/>
  <c r="AL16" i="5" s="1"/>
  <c r="AK16" i="5" a="1"/>
  <c r="AK16" i="5" s="1"/>
  <c r="AJ16" i="5" a="1"/>
  <c r="AJ16" i="5" s="1"/>
  <c r="AI16" i="5" a="1"/>
  <c r="AI16" i="5" s="1"/>
  <c r="AH16" i="5" a="1"/>
  <c r="AH16" i="5" s="1"/>
  <c r="AG16" i="5" a="1"/>
  <c r="AG16" i="5" s="1"/>
  <c r="AF16" i="5" a="1"/>
  <c r="AF16" i="5" s="1"/>
  <c r="AE16" i="5" a="1"/>
  <c r="AE16" i="5" s="1"/>
  <c r="AD16" i="5" a="1"/>
  <c r="AD16" i="5" s="1"/>
  <c r="AC16" i="5" a="1"/>
  <c r="AC16" i="5" s="1"/>
  <c r="AB16" i="5" a="1"/>
  <c r="AB16" i="5" s="1"/>
  <c r="AA16" i="5" a="1"/>
  <c r="AA16" i="5" s="1"/>
  <c r="Z16" i="5" a="1"/>
  <c r="Z16" i="5" s="1"/>
  <c r="Y16" i="5" a="1"/>
  <c r="Y16" i="5" s="1"/>
  <c r="X16" i="5" a="1"/>
  <c r="X16" i="5" s="1"/>
  <c r="V16" i="5" a="1"/>
  <c r="V16" i="5" s="1"/>
  <c r="U16" i="5" a="1"/>
  <c r="U16" i="5" s="1"/>
  <c r="T16" i="5" a="1"/>
  <c r="T16" i="5" s="1"/>
  <c r="S16" i="5" a="1"/>
  <c r="S16" i="5" s="1"/>
  <c r="R16" i="5" a="1"/>
  <c r="R16" i="5" s="1"/>
  <c r="Q16" i="5" a="1"/>
  <c r="Q16" i="5" s="1"/>
  <c r="P16" i="5" a="1"/>
  <c r="P16" i="5" s="1"/>
  <c r="O16" i="5" a="1"/>
  <c r="O16" i="5" s="1"/>
  <c r="N16" i="5" a="1"/>
  <c r="N16" i="5" s="1"/>
  <c r="M16" i="5" a="1"/>
  <c r="M16" i="5" s="1"/>
  <c r="L16" i="5" a="1"/>
  <c r="L16" i="5" s="1"/>
  <c r="K16" i="5" a="1"/>
  <c r="K16" i="5" s="1"/>
  <c r="J16" i="5" a="1"/>
  <c r="J16" i="5" s="1"/>
  <c r="I16" i="5" a="1"/>
  <c r="I16" i="5" s="1"/>
  <c r="H16" i="5" a="1"/>
  <c r="H16" i="5" s="1"/>
  <c r="G16" i="5" a="1"/>
  <c r="G16" i="5" s="1"/>
  <c r="F16" i="5" a="1"/>
  <c r="F16" i="5" s="1"/>
  <c r="E16" i="5" a="1"/>
  <c r="E16" i="5" s="1"/>
  <c r="D16" i="5" a="1"/>
  <c r="D16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X40" i="4" l="1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U5" i="5" l="1"/>
  <c r="D29" i="5" l="1"/>
  <c r="D34" i="5" l="1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W4" i="3" a="1"/>
  <c r="W6" i="3" a="1"/>
  <c r="V5" i="3" a="1"/>
  <c r="V6" i="3" a="1"/>
  <c r="V3" i="3" a="1"/>
  <c r="V4" i="3" a="1"/>
  <c r="W5" i="3" a="1"/>
  <c r="W3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3" i="3" a="1"/>
  <c r="X6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6" i="3" a="1"/>
  <c r="Y4" i="3" a="1"/>
  <c r="Y3" i="3" a="1"/>
  <c r="Y5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5" i="3" a="1"/>
  <c r="Z4" i="3" a="1"/>
  <c r="Z3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6" i="3" a="1"/>
  <c r="AA4" i="3" a="1"/>
  <c r="AA3" i="3" a="1"/>
  <c r="AA5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6" i="3" a="1"/>
  <c r="AB5" i="3" a="1"/>
  <c r="AB4" i="3" a="1"/>
  <c r="AB3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4" i="3" a="1"/>
  <c r="AC6" i="3" a="1"/>
  <c r="AC5" i="3" a="1"/>
  <c r="AC3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4" i="3" a="1"/>
  <c r="AD3" i="3" a="1"/>
  <c r="AD5" i="3" a="1"/>
  <c r="AD6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3" i="3" a="1"/>
  <c r="AE4" i="3" a="1"/>
  <c r="AE6" i="3" a="1"/>
  <c r="AE5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5" i="3" a="1"/>
  <c r="AG6" i="3" a="1"/>
  <c r="AG5" i="3" l="1"/>
  <c r="AG6" i="3"/>
  <c r="AG3" i="3"/>
  <c r="AG4" i="3"/>
  <c r="AI2" i="3"/>
  <c r="AH5" i="3" a="1"/>
  <c r="AH3" i="3" a="1"/>
  <c r="AH4" i="3" a="1"/>
  <c r="AH6" i="3" a="1"/>
  <c r="AH6" i="3" l="1"/>
  <c r="AH4" i="3"/>
  <c r="AH5" i="3"/>
  <c r="AH3" i="3"/>
  <c r="AJ2" i="3"/>
  <c r="AI5" i="3" a="1"/>
  <c r="AI6" i="3" a="1"/>
  <c r="AI4" i="3" a="1"/>
  <c r="AI3" i="3" a="1"/>
  <c r="AI3" i="3" l="1"/>
  <c r="AI4" i="3"/>
  <c r="AI6" i="3"/>
  <c r="AI5" i="3"/>
  <c r="AK2" i="3"/>
  <c r="AJ5" i="3" a="1"/>
  <c r="AJ3" i="3" a="1"/>
  <c r="AJ6" i="3" a="1"/>
  <c r="AJ4" i="3" a="1"/>
  <c r="AJ6" i="3" l="1"/>
  <c r="AJ4" i="3"/>
  <c r="AJ3" i="3"/>
  <c r="AJ5" i="3"/>
  <c r="AL2" i="3"/>
  <c r="AK6" i="3" a="1"/>
  <c r="AK5" i="3" a="1"/>
  <c r="AK3" i="3" a="1"/>
  <c r="AK4" i="3" a="1"/>
  <c r="AK3" i="3" l="1"/>
  <c r="AK6" i="3"/>
  <c r="AK5" i="3"/>
  <c r="AK4" i="3"/>
  <c r="AM2" i="3"/>
  <c r="AL6" i="3" a="1"/>
  <c r="AL5" i="3" a="1"/>
  <c r="AL3" i="3" a="1"/>
  <c r="AL4" i="3" a="1"/>
  <c r="AL6" i="3" l="1"/>
  <c r="AL4" i="3"/>
  <c r="AL5" i="3"/>
  <c r="AL3" i="3"/>
  <c r="AN2" i="3"/>
  <c r="AM4" i="3" a="1"/>
  <c r="AM6" i="3" a="1"/>
  <c r="AM5" i="3" a="1"/>
  <c r="AM3" i="3" a="1"/>
  <c r="AM5" i="3" l="1"/>
  <c r="AM6" i="3"/>
  <c r="AM3" i="3"/>
  <c r="AM4" i="3"/>
  <c r="AO2" i="3"/>
  <c r="AN5" i="3" a="1"/>
  <c r="AN3" i="3" a="1"/>
  <c r="AN6" i="3" a="1"/>
  <c r="AN4" i="3" a="1"/>
  <c r="AN6" i="3" l="1"/>
  <c r="AN5" i="3"/>
  <c r="AN4" i="3"/>
  <c r="AN3" i="3"/>
  <c r="AP2" i="3"/>
  <c r="AO6" i="3" a="1"/>
  <c r="AO4" i="3" a="1"/>
  <c r="AO3" i="3" a="1"/>
  <c r="AO5" i="3" a="1"/>
  <c r="AO4" i="3" l="1"/>
  <c r="AO3" i="3"/>
  <c r="AO5" i="3"/>
  <c r="AO6" i="3"/>
  <c r="AQ2" i="3"/>
  <c r="AP5" i="3" a="1"/>
  <c r="AP3" i="3" a="1"/>
  <c r="AP4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5" i="3" a="1"/>
  <c r="AR4" i="3" a="1"/>
  <c r="AR6" i="3" a="1"/>
  <c r="AR6" i="3" l="1"/>
  <c r="AR4" i="3"/>
  <c r="AR3" i="3"/>
  <c r="AR5" i="3"/>
  <c r="AT2" i="3"/>
  <c r="AS4" i="3" a="1"/>
  <c r="AS6" i="3" a="1"/>
  <c r="AS5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3" i="3" a="1"/>
  <c r="AU4" i="3" a="1"/>
  <c r="AU5" i="3" a="1"/>
  <c r="AU6" i="3" a="1"/>
  <c r="AU5" i="3" l="1"/>
  <c r="AU4" i="3"/>
  <c r="AU6" i="3"/>
  <c r="AU3" i="3"/>
  <c r="AW2" i="3"/>
  <c r="AV3" i="3" a="1"/>
  <c r="AV4" i="3" a="1"/>
  <c r="AV6" i="3" a="1"/>
  <c r="AV5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3" i="3" a="1"/>
  <c r="AX4" i="3" a="1"/>
  <c r="AX5" i="3" a="1"/>
  <c r="AX3" i="3" l="1"/>
  <c r="AX5" i="3"/>
  <c r="AX4" i="3"/>
  <c r="AX6" i="3"/>
  <c r="AZ2" i="3"/>
  <c r="AY4" i="3" a="1"/>
  <c r="AY5" i="3" a="1"/>
  <c r="AY6" i="3" a="1"/>
  <c r="AY3" i="3" a="1"/>
  <c r="AY5" i="3" l="1"/>
  <c r="AY4" i="3"/>
  <c r="AY3" i="3"/>
  <c r="AY6" i="3"/>
  <c r="BA2" i="3"/>
  <c r="AZ4" i="3" a="1"/>
  <c r="AZ5" i="3" a="1"/>
  <c r="AZ6" i="3" a="1"/>
  <c r="AZ3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5" i="3" a="1"/>
  <c r="BB4" i="3" a="1"/>
  <c r="BB6" i="3" a="1"/>
  <c r="BB3" i="3" l="1"/>
  <c r="BB6" i="3"/>
  <c r="BB5" i="3"/>
  <c r="BB4" i="3"/>
  <c r="BD2" i="3"/>
  <c r="BC6" i="3" a="1"/>
  <c r="BC4" i="3" a="1"/>
  <c r="BC3" i="3" a="1"/>
  <c r="BC5" i="3" a="1"/>
  <c r="BC5" i="3" l="1"/>
  <c r="BC6" i="3"/>
  <c r="BC4" i="3"/>
  <c r="BC3" i="3"/>
  <c r="BE2" i="3"/>
  <c r="BD6" i="3" a="1"/>
  <c r="BD5" i="3" a="1"/>
  <c r="BD3" i="3" a="1"/>
  <c r="BD4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6" i="3" a="1"/>
  <c r="BG4" i="3" a="1"/>
  <c r="BG5" i="3" a="1"/>
  <c r="BG6" i="3" l="1"/>
  <c r="BG5" i="3"/>
  <c r="BG4" i="3"/>
  <c r="BG3" i="3"/>
  <c r="BI2" i="3"/>
  <c r="BH4" i="3" a="1"/>
  <c r="BH6" i="3" a="1"/>
  <c r="BH5" i="3" a="1"/>
  <c r="BH3" i="3" a="1"/>
  <c r="BH4" i="3" l="1"/>
  <c r="BH5" i="3"/>
  <c r="BH6" i="3"/>
  <c r="BH3" i="3"/>
  <c r="BJ2" i="3"/>
  <c r="BI3" i="3" a="1"/>
  <c r="BI6" i="3" a="1"/>
  <c r="BI4" i="3" a="1"/>
  <c r="BI5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4" i="3" a="1"/>
  <c r="BK5" i="3" a="1"/>
  <c r="BK6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3" i="3" a="1"/>
  <c r="BN4" i="3" a="1"/>
  <c r="BN4" i="3" l="1"/>
  <c r="BN3" i="3"/>
  <c r="BN6" i="3"/>
  <c r="BN5" i="3"/>
  <c r="BP2" i="3"/>
  <c r="BO5" i="3" a="1"/>
  <c r="BO3" i="3" a="1"/>
  <c r="BO4" i="3" a="1"/>
  <c r="BO6" i="3" a="1"/>
  <c r="BO6" i="3" l="1"/>
  <c r="BO3" i="3"/>
  <c r="BO4" i="3"/>
  <c r="BO5" i="3"/>
  <c r="BQ2" i="3"/>
  <c r="BP3" i="3" a="1"/>
  <c r="BP6" i="3" a="1"/>
  <c r="BP5" i="3" a="1"/>
  <c r="BP4" i="3" a="1"/>
  <c r="BP4" i="3" l="1"/>
  <c r="BP6" i="3"/>
  <c r="BP5" i="3"/>
  <c r="BP3" i="3"/>
  <c r="BR2" i="3"/>
  <c r="BQ3" i="3" a="1"/>
  <c r="BQ6" i="3" a="1"/>
  <c r="BQ4" i="3" a="1"/>
  <c r="BQ5" i="3" a="1"/>
  <c r="BQ3" i="3" l="1"/>
  <c r="BQ6" i="3"/>
  <c r="BQ5" i="3"/>
  <c r="BQ4" i="3"/>
  <c r="BS2" i="3"/>
  <c r="BR5" i="3" a="1"/>
  <c r="BR3" i="3" a="1"/>
  <c r="BR6" i="3" a="1"/>
  <c r="BR4" i="3" a="1"/>
  <c r="BR3" i="3" l="1"/>
  <c r="BR4" i="3"/>
  <c r="BR6" i="3"/>
  <c r="BR5" i="3"/>
  <c r="BT2" i="3"/>
  <c r="BS6" i="3" a="1"/>
  <c r="BS4" i="3" a="1"/>
  <c r="BS5" i="3" a="1"/>
  <c r="BS3" i="3" a="1"/>
  <c r="BS4" i="3" l="1"/>
  <c r="BS5" i="3"/>
  <c r="BS6" i="3"/>
  <c r="BS3" i="3"/>
  <c r="BU2" i="3"/>
  <c r="BT4" i="3" a="1"/>
  <c r="BT5" i="3" a="1"/>
  <c r="BT3" i="3" a="1"/>
  <c r="BT6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4" i="3" a="1"/>
  <c r="BW3" i="3" a="1"/>
  <c r="BW6" i="3" l="1"/>
  <c r="BW3" i="3"/>
  <c r="BW5" i="3"/>
  <c r="BW4" i="3"/>
  <c r="BX5" i="3" a="1"/>
  <c r="BX3" i="3" a="1"/>
  <c r="BX4" i="3" a="1"/>
  <c r="BX6" i="3" a="1"/>
  <c r="BX4" i="3" l="1"/>
  <c r="BX3" i="3"/>
  <c r="BX6" i="3"/>
  <c r="BX5" i="3"/>
  <c r="D35" i="5"/>
  <c r="D41" i="5"/>
  <c r="B36" i="5" l="1"/>
  <c r="D28" i="5" l="1"/>
  <c r="B30" i="5"/>
  <c r="D40" i="5"/>
  <c r="B4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<sst xmlns="http://schemas.openxmlformats.org/spreadsheetml/2006/main" count="25717" uniqueCount="8811">
  <si>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</si>
  <si>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</si>
  <si>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</si>
  <si>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</si>
  <si>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</si>
  <si>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</si>
  <si>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</si>
  <si>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</si>
  <si>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</si>
  <si>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</si>
  <si>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</si>
  <si>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</si>
  <si>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</si>
  <si>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</si>
  <si>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</si>
  <si>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</si>
  <si>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</si>
  <si>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</si>
  <si>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</si>
  <si>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</si>
  <si>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</si>
  <si>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</si>
  <si>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</si>
  <si>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</si>
  <si>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</si>
  <si>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</si>
  <si>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</si>
  <si>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</si>
  <si>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</si>
  <si>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</si>
  <si>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</si>
  <si>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</si>
  <si>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</si>
  <si>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</si>
  <si>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</si>
  <si>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</si>
  <si>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</si>
  <si>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</si>
  <si>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</si>
  <si>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</si>
  <si>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</si>
  <si>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</si>
  <si>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</si>
  <si>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</si>
  <si>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</si>
  <si>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</si>
  <si>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</si>
  <si>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</si>
  <si>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</si>
  <si>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</si>
  <si>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</si>
  <si>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</si>
  <si>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</si>
  <si>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</si>
  <si>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</si>
  <si>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</si>
  <si>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</si>
  <si>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</si>
  <si>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</si>
  <si>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</si>
  <si>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</si>
  <si>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</si>
  <si>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</si>
  <si>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</si>
  <si>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</si>
  <si>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</si>
  <si>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</si>
  <si>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</si>
  <si>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</si>
  <si>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</si>
  <si>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</si>
  <si>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</si>
  <si>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</si>
  <si>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</si>
  <si>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</si>
  <si>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</si>
  <si>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</si>
  <si>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</si>
  <si>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</si>
  <si>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</si>
  <si>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</si>
  <si>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</si>
  <si>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</si>
  <si>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</si>
  <si>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</si>
  <si>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</si>
  <si>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</si>
  <si>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</si>
  <si>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</si>
  <si>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</si>
  <si>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</si>
  <si>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</si>
  <si>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</si>
  <si>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</si>
  <si>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</si>
  <si>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</si>
  <si>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</si>
  <si>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</si>
  <si>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</si>
  <si>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</si>
  <si>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</si>
  <si>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</si>
  <si>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</si>
  <si>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</si>
  <si>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</si>
  <si>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</si>
  <si>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</si>
  <si>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</si>
  <si>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</si>
  <si>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</si>
  <si>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</si>
  <si>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</si>
  <si>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</si>
  <si>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</si>
  <si>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</si>
  <si>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</si>
  <si>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</si>
  <si>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</si>
  <si>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</si>
  <si>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</si>
  <si>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</si>
  <si>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</si>
  <si>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</si>
  <si>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</si>
  <si>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</si>
  <si>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</si>
  <si>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</si>
  <si>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</si>
  <si>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</si>
  <si>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</si>
  <si>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</si>
  <si>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</si>
  <si>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</si>
  <si>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</si>
  <si>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</si>
  <si>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</si>
  <si>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</si>
  <si>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</si>
  <si>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</si>
  <si>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</si>
  <si>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</si>
  <si>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</si>
  <si>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</si>
  <si>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</si>
  <si>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</si>
  <si>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</si>
  <si>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</si>
  <si>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</si>
  <si>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</si>
  <si>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</si>
  <si>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</si>
  <si>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</si>
  <si>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</si>
  <si>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</si>
  <si>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</si>
  <si>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</si>
  <si>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</si>
  <si>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</si>
  <si>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</si>
  <si>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</si>
  <si>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</si>
  <si>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</si>
  <si>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</si>
  <si>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</si>
  <si>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</si>
  <si>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</si>
  <si>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</si>
  <si>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</si>
  <si>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</si>
  <si>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</si>
  <si>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</si>
  <si>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</si>
  <si>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</si>
  <si>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</si>
  <si>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</si>
  <si>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</si>
  <si>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</si>
  <si>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</si>
  <si>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</si>
  <si>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</si>
  <si>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</si>
  <si>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</si>
  <si>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</si>
  <si>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</si>
  <si>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</si>
  <si>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</si>
  <si>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</si>
  <si>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</si>
  <si>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</si>
  <si>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</si>
  <si>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</si>
  <si>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</si>
  <si>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</si>
  <si>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</si>
  <si>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</si>
  <si>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</si>
  <si>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</si>
  <si>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</si>
  <si>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</si>
  <si>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</si>
  <si>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</si>
  <si>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</si>
  <si>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</si>
  <si>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</si>
  <si>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</si>
  <si>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</si>
  <si>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</si>
  <si>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</si>
  <si>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</si>
  <si>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</si>
  <si>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</si>
  <si>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</si>
  <si>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</si>
  <si>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</si>
  <si>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</si>
  <si>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</si>
  <si>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</si>
  <si>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</si>
  <si>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</si>
  <si>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</si>
  <si>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</si>
  <si>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</si>
  <si>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</si>
  <si>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</si>
  <si>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</si>
  <si>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</si>
  <si>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</si>
  <si>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</si>
  <si>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</si>
  <si>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</si>
  <si>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</si>
  <si>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</si>
  <si>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</si>
  <si>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</si>
  <si>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</si>
  <si>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</si>
  <si>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</si>
  <si>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</si>
  <si>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</si>
  <si>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</si>
  <si>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</si>
  <si>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</si>
  <si>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</si>
  <si>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</si>
  <si>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</si>
  <si>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</si>
  <si>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</si>
  <si>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</si>
  <si>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</si>
  <si>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</si>
  <si>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</si>
  <si>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</si>
  <si>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</si>
  <si>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</si>
  <si>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</si>
  <si>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</si>
  <si>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</si>
  <si>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</si>
  <si>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</si>
  <si>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</si>
  <si>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</si>
  <si>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</si>
  <si>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</si>
  <si>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</si>
  <si>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</si>
  <si>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</si>
  <si>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</si>
  <si>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</si>
  <si>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</si>
  <si>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</si>
  <si>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</si>
  <si>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</si>
  <si>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</si>
  <si>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</si>
  <si>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</si>
  <si>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</si>
  <si>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</si>
  <si>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</si>
  <si>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</si>
  <si>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</si>
  <si>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</si>
  <si>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</si>
  <si>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</si>
  <si>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</si>
  <si>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</si>
  <si>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</si>
  <si>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</si>
  <si>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</si>
  <si>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</si>
  <si>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</si>
  <si>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</si>
  <si>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</si>
  <si>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</si>
  <si>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</si>
  <si>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</si>
  <si>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</si>
  <si>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</si>
  <si>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</si>
  <si>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</si>
  <si>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</si>
  <si>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</si>
  <si>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</si>
  <si>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</si>
  <si>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</si>
  <si>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</si>
  <si>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</si>
  <si>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</si>
  <si>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</si>
  <si>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</si>
  <si>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</si>
  <si>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</si>
  <si>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</si>
  <si>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</si>
  <si>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</si>
  <si>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</si>
  <si>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</si>
  <si>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</si>
  <si>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</si>
  <si>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</si>
  <si>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</si>
  <si>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</si>
  <si>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</si>
  <si>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</si>
  <si>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</si>
  <si>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</si>
  <si>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</si>
  <si>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</si>
  <si>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</si>
  <si>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</si>
  <si>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</si>
  <si>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</si>
  <si>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</si>
  <si>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</si>
  <si>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</si>
  <si>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</si>
  <si>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</si>
  <si>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</si>
  <si>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</si>
  <si>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</si>
  <si>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</si>
  <si>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</si>
  <si>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</si>
  <si>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</si>
  <si>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</si>
  <si>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</si>
  <si>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</si>
  <si>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</si>
  <si>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</si>
  <si>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</si>
  <si>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</si>
  <si>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</si>
  <si>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</si>
  <si>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</si>
  <si>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</si>
  <si>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</si>
  <si>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</si>
  <si>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</si>
  <si>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</si>
  <si>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</si>
  <si>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</si>
  <si>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</si>
  <si>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</si>
  <si>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</si>
  <si>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</si>
  <si>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</si>
  <si>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</si>
  <si>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</si>
  <si>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</si>
  <si>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</si>
  <si>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</si>
  <si>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</si>
  <si>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</si>
  <si>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</si>
  <si>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</si>
  <si>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</si>
  <si>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</si>
  <si>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</si>
  <si>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</si>
  <si>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</si>
  <si>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</si>
  <si>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</si>
  <si>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</si>
  <si>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</si>
  <si>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</si>
  <si>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</si>
  <si>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</si>
  <si>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</si>
  <si>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</si>
  <si>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</si>
  <si>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</si>
  <si>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</si>
  <si>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</si>
  <si>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</si>
  <si>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</si>
  <si>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</si>
  <si>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</si>
  <si>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</si>
  <si>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</si>
  <si>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</si>
  <si>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</si>
  <si>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</si>
  <si>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</si>
  <si>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</si>
  <si>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</si>
  <si>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</si>
  <si>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</si>
  <si>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</si>
  <si>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</si>
  <si>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</si>
  <si>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</si>
  <si>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</si>
  <si>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</si>
  <si>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</si>
  <si>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</si>
  <si>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</si>
  <si>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</si>
  <si>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</si>
  <si>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</si>
  <si>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</si>
  <si>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</si>
  <si>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</si>
  <si>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</si>
  <si>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</si>
  <si>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</si>
  <si>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</si>
  <si>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</si>
  <si>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</si>
  <si>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</si>
  <si>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</si>
  <si>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</si>
  <si>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</si>
  <si>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</si>
  <si>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</si>
  <si>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</si>
  <si>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</si>
  <si>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</si>
  <si>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</si>
  <si>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</si>
  <si>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</si>
  <si>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</si>
  <si>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</si>
  <si>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</si>
  <si>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</si>
  <si>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</si>
  <si>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</si>
  <si>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</si>
  <si>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</si>
  <si>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</si>
  <si>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</si>
  <si>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</si>
  <si>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</si>
  <si>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</si>
  <si>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</si>
  <si>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</si>
  <si>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</si>
  <si>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</si>
  <si>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</si>
  <si>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</si>
  <si>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</si>
  <si>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</si>
  <si>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</si>
  <si>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</si>
  <si>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</si>
  <si>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</si>
  <si>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</si>
  <si>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</si>
  <si>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</si>
  <si>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</si>
  <si>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</si>
  <si>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</si>
  <si>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</si>
  <si>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</si>
  <si>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</si>
  <si>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</si>
  <si>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</si>
  <si>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</si>
  <si>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</si>
  <si>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</si>
  <si>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</si>
  <si>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</si>
  <si>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</si>
  <si>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</si>
  <si>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</si>
  <si>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</si>
  <si>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</si>
  <si>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</si>
  <si>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</si>
  <si>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</si>
  <si>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</si>
  <si>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</si>
  <si>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</si>
  <si>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</si>
  <si>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</si>
  <si>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</si>
  <si>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</si>
  <si>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</si>
  <si>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</si>
  <si>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</si>
  <si>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</si>
  <si>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</si>
  <si>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</si>
  <si>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</si>
  <si>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</si>
  <si>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</si>
  <si>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</si>
  <si>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</si>
  <si>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</si>
  <si>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</si>
  <si>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</si>
  <si>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</si>
  <si>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</si>
  <si>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</si>
  <si>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</si>
  <si>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</si>
  <si>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</si>
  <si>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</si>
  <si>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</si>
  <si>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</si>
  <si>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</si>
  <si>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</si>
  <si>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</si>
  <si>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</si>
  <si>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</si>
  <si>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</si>
  <si>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</si>
  <si>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</si>
  <si>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</si>
  <si>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</si>
  <si>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</si>
  <si>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</si>
  <si>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</si>
  <si>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</si>
  <si>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</si>
  <si>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</si>
  <si>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</si>
  <si>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</si>
  <si>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</si>
  <si>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</si>
  <si>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</si>
  <si>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</si>
  <si>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</si>
  <si>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</si>
  <si>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</si>
  <si>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</si>
  <si>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</si>
  <si>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</si>
  <si>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</si>
  <si>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</si>
  <si>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</si>
  <si>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</si>
  <si>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</si>
  <si>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</si>
  <si>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</si>
  <si>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</si>
  <si>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</si>
  <si>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</si>
  <si>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</si>
  <si>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</si>
  <si>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</si>
  <si>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</si>
  <si>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</si>
  <si>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</si>
  <si>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</si>
  <si>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</si>
  <si>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</si>
  <si>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</si>
  <si>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</si>
  <si>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</si>
  <si>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</si>
  <si>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</si>
  <si>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</si>
  <si>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</si>
  <si>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</si>
  <si>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</si>
  <si>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</si>
  <si>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</si>
  <si>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</si>
  <si>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</si>
  <si>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</si>
  <si>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</si>
  <si>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</si>
  <si>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</si>
  <si>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</si>
  <si>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</si>
  <si>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</si>
  <si>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</si>
  <si>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</si>
  <si>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</si>
  <si>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</si>
  <si>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</si>
  <si>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</si>
  <si>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</si>
  <si>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</si>
  <si>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</si>
  <si>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</si>
  <si>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</si>
  <si>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</si>
  <si>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</si>
  <si>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</si>
  <si>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</si>
  <si>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</si>
  <si>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</si>
  <si>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</si>
  <si>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</si>
  <si>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</si>
  <si>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</si>
  <si>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</si>
  <si>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</si>
  <si>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</si>
  <si>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</si>
  <si>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</si>
  <si>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</si>
  <si>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</si>
  <si>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</si>
  <si>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</si>
  <si>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</si>
  <si>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</si>
  <si>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</si>
  <si>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</si>
  <si>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</si>
  <si>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</si>
  <si>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</si>
  <si>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</si>
  <si>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</si>
  <si>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</si>
  <si>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</si>
  <si>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</si>
  <si>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</si>
  <si>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</si>
  <si>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</si>
  <si>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</si>
  <si>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</si>
  <si>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</si>
  <si>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</si>
  <si>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</si>
  <si>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</si>
  <si>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</si>
  <si>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</si>
  <si>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</si>
  <si>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</si>
  <si>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</si>
  <si>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</si>
  <si>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</si>
  <si>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</si>
  <si>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</si>
  <si>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</si>
  <si>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</si>
  <si>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</si>
  <si>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</si>
  <si>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</si>
  <si>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</si>
  <si>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</si>
  <si>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</si>
  <si>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</si>
  <si>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</si>
  <si>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</si>
  <si>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</si>
  <si>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</si>
  <si>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</si>
  <si>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</si>
  <si>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</si>
  <si>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</si>
  <si>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</si>
  <si>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</si>
  <si>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</si>
  <si>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</si>
  <si>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</si>
  <si>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</si>
  <si>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</si>
  <si>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</si>
  <si>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</si>
  <si>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</si>
  <si>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</si>
  <si>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</si>
  <si>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</si>
  <si>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</si>
  <si>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</si>
  <si>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</si>
  <si>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</si>
  <si>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</si>
  <si>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</si>
  <si>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</si>
  <si>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</si>
  <si>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</si>
  <si>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</si>
  <si>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</si>
  <si>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</si>
  <si>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</si>
  <si>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</si>
  <si>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</si>
  <si>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</si>
  <si>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</si>
  <si>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</si>
  <si>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</si>
  <si>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</si>
  <si>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</si>
  <si>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</si>
  <si>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</si>
  <si>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</si>
  <si>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</si>
  <si>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</si>
  <si>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</si>
  <si>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</si>
  <si>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</si>
  <si>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</si>
  <si>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</si>
  <si>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</si>
  <si>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</si>
  <si>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</si>
  <si>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</si>
  <si>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</si>
  <si>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</si>
  <si>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</si>
  <si>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</si>
  <si>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</si>
  <si>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</si>
  <si>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</si>
  <si>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</si>
  <si>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</si>
  <si>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</si>
  <si>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</si>
  <si>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</si>
  <si>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</si>
  <si>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</si>
  <si>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</si>
  <si>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</si>
  <si>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</si>
  <si>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</si>
  <si>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</si>
  <si>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</si>
  <si>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</si>
  <si>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</si>
  <si>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</si>
  <si>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</si>
  <si>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</si>
  <si>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</si>
  <si>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</si>
  <si>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</si>
  <si>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</si>
  <si>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</si>
  <si>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</si>
  <si>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</si>
  <si>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</si>
  <si>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</si>
  <si>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</si>
  <si>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</si>
  <si>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</si>
  <si>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</si>
  <si>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</si>
  <si>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</si>
  <si>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</si>
  <si>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</si>
  <si>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</si>
  <si>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</si>
  <si>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</si>
  <si>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</si>
  <si>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</si>
  <si>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</si>
  <si>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</si>
  <si>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</si>
  <si>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</si>
  <si>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</si>
  <si>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</si>
  <si>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</si>
  <si>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</si>
  <si>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</si>
  <si>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</si>
  <si>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</si>
  <si>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</si>
  <si>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</si>
  <si>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</si>
  <si>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</si>
  <si>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</si>
  <si>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</si>
  <si>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</si>
  <si>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</si>
  <si>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</si>
  <si>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</si>
  <si>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</si>
  <si>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</si>
  <si>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</si>
  <si>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</si>
  <si>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</si>
  <si>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</si>
  <si>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</si>
  <si>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</si>
  <si>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</si>
  <si>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</si>
  <si>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</si>
  <si>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</si>
  <si>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</si>
  <si>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</si>
  <si>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</si>
  <si>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</si>
  <si>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</si>
  <si>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</si>
  <si>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</si>
  <si>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</si>
  <si>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</si>
  <si>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</si>
  <si>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</si>
  <si>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</si>
  <si>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</si>
  <si>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</si>
  <si>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</si>
  <si>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</si>
  <si>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</si>
  <si>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</si>
  <si>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</si>
  <si>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</si>
  <si>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</si>
  <si>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</si>
  <si>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</si>
  <si>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</si>
  <si>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</si>
  <si>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</si>
  <si>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</si>
  <si>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</si>
  <si>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</si>
  <si>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</si>
  <si>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</si>
  <si>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</si>
  <si>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</si>
  <si>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</si>
  <si>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</si>
  <si>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</si>
  <si>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</si>
  <si>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</si>
  <si>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</si>
  <si>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</si>
  <si>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</si>
  <si>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</si>
  <si>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</si>
  <si>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</si>
  <si>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</si>
  <si>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</si>
  <si>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</si>
  <si>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</si>
  <si>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</si>
  <si>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</si>
  <si>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</si>
  <si>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</si>
  <si>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</si>
  <si>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</si>
  <si>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</si>
  <si>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</si>
  <si>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</si>
  <si>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</si>
  <si>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</si>
  <si>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</si>
  <si>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</si>
  <si>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</si>
  <si>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</si>
  <si>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</si>
  <si>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</si>
  <si>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</si>
  <si>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</si>
  <si>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</si>
  <si>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</si>
  <si>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</si>
  <si>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</si>
  <si>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</si>
  <si>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</si>
  <si>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</si>
  <si>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</si>
  <si>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</si>
  <si>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</si>
  <si>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</si>
  <si>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</si>
  <si>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</si>
  <si>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</si>
  <si>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</si>
  <si>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</si>
  <si>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</si>
  <si>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</si>
  <si>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</si>
  <si>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</si>
  <si>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</si>
  <si>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</si>
  <si>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</si>
  <si>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</si>
  <si>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</si>
  <si>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</si>
  <si>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</si>
  <si>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</si>
  <si>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</si>
  <si>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</si>
  <si>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</si>
  <si>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</si>
  <si>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</si>
  <si>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</si>
  <si>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</si>
  <si>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</si>
  <si>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</si>
  <si>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</si>
  <si>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</si>
  <si>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</si>
  <si>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</si>
  <si>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</si>
  <si>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</si>
  <si>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</si>
  <si>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</si>
  <si>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</si>
  <si>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</si>
  <si>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</si>
  <si>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</si>
  <si>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</si>
  <si>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</si>
  <si>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</si>
  <si>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</si>
  <si>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</si>
  <si>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</si>
  <si>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</si>
  <si>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</si>
  <si>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</si>
  <si>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</si>
  <si>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</si>
  <si>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</si>
  <si>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</si>
  <si>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</si>
  <si>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</si>
  <si>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</si>
  <si>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</si>
  <si>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</si>
  <si>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</si>
  <si>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</si>
  <si>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</si>
  <si>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</si>
  <si>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</si>
  <si>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</si>
  <si>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</si>
  <si>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</si>
  <si>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</si>
  <si>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</si>
  <si>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</si>
  <si>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</si>
  <si>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</si>
  <si>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</si>
  <si>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</si>
  <si>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</si>
  <si>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</si>
  <si>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</si>
  <si>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</si>
  <si>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</si>
  <si>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</si>
  <si>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</si>
  <si>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</si>
  <si>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</si>
  <si>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</si>
  <si>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</si>
  <si>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</si>
  <si>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</si>
  <si>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</si>
  <si>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</si>
  <si>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</si>
  <si>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</si>
  <si>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</si>
  <si>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</si>
  <si>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</si>
  <si>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</si>
  <si>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</si>
  <si>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</si>
  <si>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</si>
  <si>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</si>
  <si>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</si>
  <si>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</si>
  <si>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</si>
  <si>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</si>
  <si>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</si>
  <si>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</si>
  <si>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</si>
  <si>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</si>
  <si>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</si>
  <si>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</si>
  <si>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</si>
  <si>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</si>
  <si>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</si>
  <si>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</si>
  <si>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</si>
  <si>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</si>
  <si>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</si>
  <si>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</si>
  <si>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</si>
  <si>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</si>
  <si>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</si>
  <si>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</si>
  <si>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</si>
  <si>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</si>
  <si>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</si>
  <si>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</si>
  <si>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</si>
  <si>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</si>
  <si>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</si>
  <si>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</si>
  <si>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</si>
  <si>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</si>
  <si>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</si>
  <si>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</si>
  <si>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</si>
  <si>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</si>
  <si>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</si>
  <si>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</si>
  <si>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</si>
  <si>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</si>
  <si>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</si>
  <si>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</si>
  <si>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</si>
  <si>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</si>
  <si>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</si>
  <si>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</si>
  <si>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</si>
  <si>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</si>
  <si>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</si>
  <si>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</si>
  <si>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</si>
  <si>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</si>
  <si>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</si>
  <si>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</si>
  <si>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</si>
  <si>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</si>
  <si>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</si>
  <si>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</si>
  <si>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</si>
  <si>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</si>
  <si>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</si>
  <si>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</si>
  <si>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</si>
  <si>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</si>
  <si>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</si>
  <si>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</si>
  <si>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</si>
  <si>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</si>
  <si>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</si>
  <si>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</si>
  <si>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</si>
  <si>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</si>
  <si>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</si>
  <si>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</si>
  <si>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</si>
  <si>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</si>
  <si>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</si>
  <si>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</si>
  <si>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</si>
  <si>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</si>
  <si>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</si>
  <si>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</si>
  <si>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</si>
  <si>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</si>
  <si>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</si>
  <si>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</si>
  <si>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</si>
  <si>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</si>
  <si>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</si>
  <si>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</si>
  <si>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</si>
  <si>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</si>
  <si>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</si>
  <si>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</si>
  <si>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</si>
  <si>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</si>
  <si>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</si>
  <si>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</si>
  <si>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</si>
  <si>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</si>
  <si>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</si>
  <si>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</si>
  <si>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</si>
  <si>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</si>
  <si>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</si>
  <si>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</si>
  <si>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</si>
  <si>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</si>
  <si>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</si>
  <si>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</si>
  <si>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</si>
  <si>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</si>
  <si>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</si>
  <si>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</si>
  <si>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</si>
  <si>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</si>
  <si>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</si>
  <si>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</si>
  <si>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</si>
  <si>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</si>
  <si>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</si>
  <si>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</si>
  <si>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</si>
  <si>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</si>
  <si>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</si>
  <si>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</si>
  <si>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</si>
  <si>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</si>
  <si>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</si>
  <si>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</si>
  <si>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</si>
  <si>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</si>
  <si>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</si>
  <si>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</si>
  <si>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</si>
  <si>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</si>
  <si>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</si>
  <si>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</si>
  <si>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</si>
  <si>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</si>
  <si>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</si>
  <si>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</si>
  <si>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</si>
  <si>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</si>
  <si>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</si>
  <si>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</si>
  <si>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</si>
  <si>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</si>
  <si>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</si>
  <si>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</si>
  <si>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</si>
  <si>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</si>
  <si>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</si>
  <si>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</si>
  <si>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</si>
  <si>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</si>
  <si>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</si>
  <si>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</si>
  <si>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</si>
  <si>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</si>
  <si>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</si>
  <si>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</si>
  <si>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</si>
  <si>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</si>
  <si>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</si>
  <si>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</si>
  <si>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</si>
  <si>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</si>
  <si>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</si>
  <si>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</si>
  <si>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</si>
  <si>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</si>
  <si>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</si>
  <si>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</si>
  <si>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</si>
  <si>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</si>
  <si>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</si>
  <si>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</si>
  <si>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</si>
  <si>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</si>
  <si>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</si>
  <si>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</si>
  <si>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</si>
  <si>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</si>
  <si>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</si>
  <si>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</si>
  <si>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</si>
  <si>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</si>
  <si>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</si>
  <si>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</si>
  <si>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</si>
  <si>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</si>
  <si>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</si>
  <si>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</si>
  <si>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</si>
  <si>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</si>
  <si>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</si>
  <si>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</si>
  <si>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</si>
  <si>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</si>
  <si>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</si>
  <si>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</si>
  <si>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</si>
  <si>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</si>
  <si>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</si>
  <si>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</si>
  <si>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</si>
  <si>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</si>
  <si>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</si>
  <si>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</si>
  <si>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</si>
  <si>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</si>
  <si>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</si>
  <si>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</si>
  <si>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</si>
  <si>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</si>
  <si>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</si>
  <si>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</si>
  <si>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</si>
  <si>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</si>
  <si>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</si>
  <si>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</si>
  <si>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</si>
  <si>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</si>
  <si>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</si>
  <si>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</si>
  <si>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</si>
  <si>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</si>
  <si>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</si>
  <si>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</si>
  <si>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</si>
  <si>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</si>
  <si>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</si>
  <si>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</si>
  <si>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</si>
  <si>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</si>
  <si>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</si>
  <si>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</si>
  <si>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</si>
  <si>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</si>
  <si>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</si>
  <si>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</si>
  <si>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</si>
  <si>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</si>
  <si>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</si>
  <si>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</si>
  <si>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</si>
  <si>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</si>
  <si>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</si>
  <si>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</si>
  <si>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</si>
  <si>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</si>
  <si>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</si>
  <si>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</si>
  <si>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</si>
  <si>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</si>
  <si>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</si>
  <si>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</si>
  <si>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</si>
  <si>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</si>
  <si>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</si>
  <si>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</si>
  <si>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</si>
  <si>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</si>
  <si>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</si>
  <si>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</si>
  <si>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</si>
  <si>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</si>
  <si>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</si>
  <si>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</si>
  <si>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</si>
  <si>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</si>
  <si>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</si>
  <si>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</si>
  <si>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</si>
  <si>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</si>
  <si>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</si>
  <si>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</si>
  <si>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</si>
  <si>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</si>
  <si>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</si>
  <si>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</si>
  <si>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</si>
  <si>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</si>
  <si>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</si>
  <si>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</si>
  <si>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</si>
  <si>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</si>
  <si>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</si>
  <si>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</si>
  <si>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</si>
  <si>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</si>
  <si>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</si>
  <si>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</si>
  <si>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</si>
  <si>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</si>
  <si>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</si>
  <si>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</si>
  <si>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</si>
  <si>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</si>
  <si>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</si>
  <si>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</si>
  <si>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</si>
  <si>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</si>
  <si>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</si>
  <si>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</si>
  <si>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</si>
  <si>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</si>
  <si>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</si>
  <si>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</si>
  <si>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</si>
  <si>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</si>
  <si>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</si>
  <si>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</si>
  <si>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</si>
  <si>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</si>
  <si>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</si>
  <si>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</si>
  <si>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</si>
  <si>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</si>
  <si>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</si>
  <si>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</si>
  <si>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</si>
  <si>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</si>
  <si>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</si>
  <si>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</si>
  <si>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</si>
  <si>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</si>
  <si>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</si>
  <si>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</si>
  <si>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</si>
  <si>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</si>
  <si>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</si>
  <si>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</si>
  <si>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</si>
  <si>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</si>
  <si>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</si>
  <si>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</si>
  <si>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</si>
  <si>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</si>
  <si>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</si>
  <si>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</si>
  <si>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</si>
  <si>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</si>
  <si>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</si>
  <si>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</si>
  <si>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</si>
  <si>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</si>
  <si>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</si>
  <si>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</si>
  <si>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</si>
  <si>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</si>
  <si>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</si>
  <si>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</si>
  <si>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</si>
  <si>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</si>
  <si>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</si>
  <si>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</si>
  <si>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</si>
  <si>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</si>
  <si>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</si>
  <si>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</si>
  <si>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</si>
  <si>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</si>
  <si>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</si>
  <si>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</si>
  <si>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</si>
  <si>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</si>
  <si>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</si>
  <si>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</si>
  <si>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</si>
  <si>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</si>
  <si>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</si>
  <si>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</si>
  <si>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</si>
  <si>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</si>
  <si>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</si>
  <si>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</si>
  <si>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</si>
  <si>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</si>
  <si>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</si>
  <si>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</si>
  <si>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</si>
  <si>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</si>
  <si>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</si>
  <si>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</si>
  <si>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</si>
  <si>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</si>
  <si>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</si>
  <si>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</si>
  <si>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</si>
  <si>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</si>
  <si>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</si>
  <si>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</si>
  <si>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</si>
  <si>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</si>
  <si>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</si>
  <si>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</si>
  <si>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</si>
  <si>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</si>
  <si>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</si>
  <si>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</si>
  <si>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</si>
  <si>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</si>
  <si>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</si>
  <si>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</si>
  <si>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</si>
  <si>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</si>
  <si>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</si>
  <si>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</si>
  <si>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</si>
  <si>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</si>
  <si>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</si>
  <si>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</si>
  <si>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</si>
  <si>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</si>
  <si>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</si>
  <si>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</si>
  <si>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</si>
  <si>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</si>
  <si>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</si>
  <si>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</si>
  <si>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</si>
  <si>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</si>
  <si>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</si>
  <si>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</si>
  <si>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</si>
  <si>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</si>
  <si>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</si>
  <si>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</si>
  <si>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</si>
  <si>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</si>
  <si>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</si>
  <si>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</si>
  <si>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</si>
  <si>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</si>
  <si>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</si>
  <si>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</si>
  <si>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</si>
  <si>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</si>
  <si>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</si>
  <si>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</si>
  <si>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</si>
  <si>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</si>
  <si>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</si>
  <si>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</si>
  <si>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</si>
  <si>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</si>
  <si>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</si>
  <si>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</si>
  <si>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</si>
  <si>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</si>
  <si>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</si>
  <si>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</si>
  <si>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</si>
  <si>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</si>
  <si>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</si>
  <si>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</si>
  <si>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</si>
  <si>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</si>
  <si>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</si>
  <si>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</si>
  <si>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</si>
  <si>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</si>
  <si>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</si>
  <si>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</si>
  <si>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</si>
  <si>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</si>
  <si>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</si>
  <si>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</si>
  <si>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</si>
  <si>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</si>
  <si>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</si>
  <si>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</si>
  <si>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</si>
  <si>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</si>
  <si>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</si>
  <si>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</si>
  <si>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</si>
  <si>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</si>
  <si>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</si>
  <si>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</si>
  <si>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</si>
  <si>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</si>
  <si>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</si>
  <si>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</si>
  <si>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</si>
  <si>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</si>
  <si>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</si>
  <si>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</si>
  <si>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</si>
  <si>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</si>
  <si>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</si>
  <si>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</si>
  <si>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</si>
  <si>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</si>
  <si>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</si>
  <si>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</si>
  <si>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</si>
  <si>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</si>
  <si>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</si>
  <si>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</si>
  <si>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</si>
  <si>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</si>
  <si>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</si>
  <si>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</si>
  <si>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</si>
  <si>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</si>
  <si>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</si>
  <si>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</si>
  <si>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</si>
  <si>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</si>
  <si>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</si>
  <si>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</si>
  <si>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</si>
  <si>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</si>
  <si>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</si>
  <si>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</si>
  <si>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</si>
  <si>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</si>
  <si>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</si>
  <si>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</si>
  <si>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</si>
  <si>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</si>
  <si>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</si>
  <si>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</si>
  <si>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</si>
  <si>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</si>
  <si>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</si>
  <si>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</si>
  <si>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</si>
  <si>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</si>
  <si>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</si>
  <si>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</si>
  <si>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</si>
  <si>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</si>
  <si>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</si>
  <si>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</si>
  <si>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</si>
  <si>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</si>
  <si>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</si>
  <si>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</si>
  <si>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</si>
  <si>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</si>
  <si>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</si>
  <si>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</si>
  <si>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</si>
  <si>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</si>
  <si>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</si>
  <si>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</si>
  <si>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</si>
  <si>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</si>
  <si>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</si>
  <si>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</si>
  <si>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</si>
  <si>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</si>
  <si>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</si>
  <si>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</si>
  <si>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</si>
  <si>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</si>
  <si>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</si>
  <si>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</si>
  <si>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</si>
  <si>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</si>
  <si>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</si>
  <si>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</si>
  <si>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</si>
  <si>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</si>
  <si>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</si>
  <si>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</si>
  <si>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</si>
  <si>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</si>
  <si>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</si>
  <si>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</si>
  <si>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</si>
  <si>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</si>
  <si>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</si>
  <si>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</si>
  <si>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</si>
  <si>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</si>
  <si>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</si>
  <si>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</si>
  <si>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</si>
  <si>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</si>
  <si>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</si>
  <si>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</si>
  <si>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</si>
  <si>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</si>
  <si>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</si>
  <si>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</si>
  <si>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</si>
  <si>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</si>
  <si>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</si>
  <si>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</si>
  <si>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</si>
  <si>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</si>
  <si>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</si>
  <si>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</si>
  <si>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</si>
  <si>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</si>
  <si>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</si>
  <si>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</si>
  <si>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</si>
  <si>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</si>
  <si>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</si>
  <si>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</si>
  <si>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</si>
  <si>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</si>
  <si>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</si>
  <si>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</si>
  <si>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</si>
  <si>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</si>
  <si>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</si>
  <si>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</si>
  <si>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</si>
  <si>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</si>
  <si>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</si>
  <si>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</si>
  <si>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</si>
  <si>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</si>
  <si>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</si>
  <si>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</si>
  <si>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</si>
  <si>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</si>
  <si>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</si>
  <si>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</si>
  <si>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</si>
  <si>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</si>
  <si>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</si>
  <si>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</si>
  <si>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</si>
  <si>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</si>
  <si>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</si>
  <si>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</si>
  <si>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</si>
  <si>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</si>
  <si>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</si>
  <si>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</si>
  <si>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</si>
  <si>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</si>
  <si>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</si>
  <si>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</si>
  <si>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</si>
  <si>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</si>
  <si>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</si>
  <si>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</si>
  <si>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</si>
  <si>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</si>
  <si>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</si>
  <si>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</si>
  <si>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</si>
  <si>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</si>
  <si>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</si>
  <si>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</si>
  <si>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</si>
  <si>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</si>
  <si>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</si>
  <si>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</si>
  <si>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</si>
  <si>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</si>
  <si>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</si>
  <si>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</si>
  <si>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</si>
  <si>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</si>
  <si>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</si>
  <si>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</si>
  <si>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</si>
  <si>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</si>
  <si>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</si>
  <si>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</si>
  <si>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</si>
  <si>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</si>
  <si>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</si>
  <si>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</si>
  <si>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</si>
  <si>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</si>
  <si>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</si>
  <si>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</si>
  <si>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</si>
  <si>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</si>
  <si>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</si>
  <si>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</si>
  <si>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</si>
  <si>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</si>
  <si>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</si>
  <si>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</si>
  <si>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</si>
  <si>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</si>
  <si>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</si>
  <si>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</si>
  <si>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</si>
  <si>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</si>
  <si>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</si>
  <si>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</si>
  <si>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</si>
  <si>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</si>
  <si>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</si>
  <si>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</si>
  <si>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</si>
  <si>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</si>
  <si>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</si>
  <si>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</si>
  <si>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</si>
  <si>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</si>
  <si>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</si>
  <si>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</si>
  <si>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</si>
  <si>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</si>
  <si>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</si>
  <si>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</si>
  <si>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</si>
  <si>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</si>
  <si>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</si>
  <si>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</si>
  <si>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</si>
  <si>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</si>
  <si>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</si>
  <si>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</si>
  <si>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</si>
  <si>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</si>
  <si>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</si>
  <si>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</si>
  <si>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</si>
  <si>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</si>
  <si>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</si>
  <si>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</si>
  <si>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</si>
  <si>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</si>
  <si>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</si>
  <si>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</si>
  <si>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</si>
  <si>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</si>
  <si>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</si>
  <si>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</si>
  <si>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</si>
  <si>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</si>
  <si>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</si>
  <si>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</si>
  <si>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</si>
  <si>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</si>
  <si>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</si>
  <si>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</si>
  <si>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</si>
  <si>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</si>
  <si>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</si>
  <si>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</si>
  <si>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</si>
  <si>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</si>
  <si>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</si>
  <si>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</si>
  <si>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</si>
  <si>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</si>
  <si>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</si>
  <si>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</si>
  <si>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</si>
  <si>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</si>
  <si>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</si>
  <si>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</si>
  <si>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</si>
  <si>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</si>
  <si>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</si>
  <si>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</si>
  <si>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</si>
  <si>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</si>
  <si>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</si>
  <si>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</si>
  <si>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</si>
  <si>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</si>
  <si>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</si>
  <si>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</si>
  <si>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</si>
  <si>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</si>
  <si>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</si>
  <si>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</si>
  <si>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</si>
  <si>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</si>
  <si>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</si>
  <si>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</si>
  <si>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</si>
  <si>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</si>
  <si>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</si>
  <si>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</si>
  <si>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</si>
  <si>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</si>
  <si>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</si>
  <si>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</si>
  <si>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</si>
  <si>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</si>
  <si>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</si>
  <si>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</si>
  <si>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</si>
  <si>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</si>
  <si>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</si>
  <si>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</si>
  <si>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</si>
  <si>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</si>
  <si>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</si>
  <si>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</si>
  <si>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</si>
  <si>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</si>
  <si>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</si>
  <si>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</si>
  <si>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</si>
  <si>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</si>
  <si>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</si>
  <si>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</si>
  <si>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</si>
  <si>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</si>
  <si>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</si>
  <si>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</si>
  <si>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</si>
  <si>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</si>
  <si>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</si>
  <si>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</si>
  <si>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</si>
  <si>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</si>
  <si>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</si>
  <si>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</si>
  <si>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</si>
  <si>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</si>
  <si>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</si>
  <si>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</si>
  <si>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</si>
  <si>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</si>
  <si>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</si>
  <si>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</si>
  <si>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</si>
  <si>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</si>
  <si>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</si>
  <si>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</si>
  <si>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</si>
  <si>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</si>
  <si>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</si>
  <si>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</si>
  <si>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</si>
  <si>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</si>
  <si>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</si>
  <si>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</si>
  <si>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</si>
  <si>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</si>
  <si>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</si>
  <si>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</si>
  <si>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</si>
  <si>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</si>
  <si>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</si>
  <si>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</si>
  <si>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</si>
  <si>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</si>
  <si>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</si>
  <si>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</si>
  <si>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</si>
  <si>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</si>
  <si>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</si>
  <si>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</si>
  <si>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</si>
  <si>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</si>
  <si>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</si>
  <si>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</si>
  <si>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</si>
  <si>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</si>
  <si>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</si>
  <si>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</si>
  <si>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</si>
  <si>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</si>
  <si>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</si>
  <si>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</si>
  <si>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</si>
  <si>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</si>
  <si>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</si>
  <si>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</si>
  <si>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</si>
  <si>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</si>
  <si>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</si>
  <si>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</si>
  <si>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</si>
  <si>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</si>
  <si>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</si>
  <si>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</si>
  <si>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</si>
  <si>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</si>
  <si>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</si>
  <si>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</si>
  <si>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</si>
  <si>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</si>
  <si>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</si>
  <si>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</si>
  <si>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</si>
  <si>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</si>
  <si>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</si>
  <si>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</si>
  <si>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</si>
  <si>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</si>
  <si>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</si>
  <si>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</si>
  <si>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</si>
  <si>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</si>
  <si>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</si>
  <si>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</si>
  <si>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</si>
  <si>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</si>
  <si>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</si>
  <si>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</si>
  <si>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</si>
  <si>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</si>
  <si>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</si>
  <si>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</si>
  <si>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</si>
  <si>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</si>
  <si>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</si>
  <si>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</si>
  <si>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</si>
  <si>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</si>
  <si>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</si>
  <si>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</si>
  <si>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</si>
  <si>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</si>
  <si>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</si>
  <si>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</si>
  <si>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</si>
  <si>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</si>
  <si>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</si>
  <si>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</si>
  <si>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</si>
  <si>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</si>
  <si>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</si>
  <si>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</si>
  <si>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</si>
  <si>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</si>
  <si>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</si>
  <si>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</si>
  <si>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</si>
  <si>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</si>
  <si>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</si>
  <si>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</si>
  <si>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</si>
  <si>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</si>
  <si>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</si>
  <si>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</si>
  <si>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</si>
  <si>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</si>
  <si>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</si>
  <si>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</si>
  <si>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</si>
  <si>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</si>
  <si>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</si>
  <si>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</si>
  <si>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</si>
  <si>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</si>
  <si>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</si>
  <si>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</si>
  <si>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</si>
  <si>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</si>
  <si>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</si>
  <si>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</si>
  <si>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</si>
  <si>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</si>
  <si>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</si>
  <si>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</si>
  <si>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</si>
  <si>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</si>
  <si>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</si>
  <si>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</si>
  <si>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</si>
  <si>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</si>
  <si>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</si>
  <si>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</si>
  <si>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</si>
  <si>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</si>
  <si>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</si>
  <si>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</si>
  <si>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</si>
  <si>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</si>
  <si>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</si>
  <si>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</si>
  <si>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</si>
  <si>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</si>
  <si>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</si>
  <si>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</si>
  <si>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</si>
  <si>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</si>
  <si>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</si>
  <si>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</si>
  <si>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</si>
  <si>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</si>
  <si>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</si>
  <si>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</si>
  <si>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</si>
  <si>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</si>
  <si>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</si>
  <si>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</si>
  <si>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</si>
  <si>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</si>
  <si>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</si>
  <si>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</si>
  <si>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</si>
  <si>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</si>
  <si>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</si>
  <si>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</si>
  <si>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</si>
  <si>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</si>
  <si>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</si>
  <si>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</si>
  <si>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</si>
  <si>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</si>
  <si>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</si>
  <si>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</si>
  <si>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</si>
  <si>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</si>
  <si>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</si>
  <si>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</si>
  <si>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</si>
  <si>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</si>
  <si>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</si>
  <si>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</si>
  <si>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</si>
  <si>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</si>
  <si>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</si>
  <si>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</si>
  <si>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</si>
  <si>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</si>
  <si>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</si>
  <si>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</si>
  <si>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</si>
  <si>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</si>
  <si>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</si>
  <si>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</si>
  <si>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</si>
  <si>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</si>
  <si>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</si>
  <si>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</si>
  <si>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</si>
  <si>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</si>
  <si>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</si>
  <si>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</si>
  <si>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</si>
  <si>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</si>
  <si>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</si>
  <si>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</si>
  <si>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</si>
  <si>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</si>
  <si>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</si>
  <si>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</si>
  <si>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</si>
  <si>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</si>
  <si>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</si>
  <si>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</si>
  <si>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</si>
  <si>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</si>
  <si>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</si>
  <si>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</si>
  <si>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</si>
  <si>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</si>
  <si>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</si>
  <si>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</si>
  <si>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</si>
  <si>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</si>
  <si>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</si>
  <si>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</si>
  <si>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</si>
  <si>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</si>
  <si>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</si>
  <si>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</si>
  <si>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</si>
  <si>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</si>
  <si>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</si>
  <si>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</si>
  <si>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</si>
  <si>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</si>
  <si>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</si>
  <si>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</si>
  <si>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</si>
  <si>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</si>
  <si>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</si>
  <si>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</si>
  <si>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</si>
  <si>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</si>
  <si>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</si>
  <si>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</si>
  <si>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</si>
  <si>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</si>
  <si>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</si>
  <si>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</si>
  <si>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</si>
  <si>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</si>
  <si>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</si>
  <si>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</si>
  <si>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</si>
  <si>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</si>
  <si>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</si>
  <si>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</si>
  <si>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</si>
  <si>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</si>
  <si>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</si>
  <si>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</si>
  <si>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</si>
  <si>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</si>
  <si>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</si>
  <si>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</si>
  <si>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</si>
  <si>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</si>
  <si>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</si>
  <si>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</si>
  <si>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</si>
  <si>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</si>
  <si>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</si>
  <si>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</si>
  <si>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</si>
  <si>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</si>
  <si>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</si>
  <si>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</si>
  <si>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</si>
  <si>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</si>
  <si>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</si>
  <si>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</si>
  <si>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</si>
  <si>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</si>
  <si>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</si>
  <si>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</si>
  <si>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</si>
  <si>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</si>
  <si>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</si>
  <si>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</si>
  <si>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</si>
  <si>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</si>
  <si>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</si>
  <si>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</si>
  <si>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</si>
  <si>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</si>
  <si>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</si>
  <si>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</si>
  <si>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</si>
  <si>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</si>
  <si>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</si>
  <si>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</si>
  <si>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</si>
  <si>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</si>
  <si>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</si>
  <si>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</si>
  <si>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</si>
  <si>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</si>
  <si>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</si>
  <si>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</si>
  <si>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</si>
  <si>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</si>
  <si>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</si>
  <si>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</si>
  <si>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</si>
  <si>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</si>
  <si>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</si>
  <si>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</si>
  <si>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</si>
  <si>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</si>
  <si>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</si>
  <si>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</si>
  <si>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</si>
  <si>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</si>
  <si>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</si>
  <si>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</si>
  <si>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</si>
  <si>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</si>
  <si>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</si>
  <si>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</si>
  <si>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</si>
  <si>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</si>
  <si>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</si>
  <si>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</si>
  <si>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</si>
  <si>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</si>
  <si>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</si>
  <si>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</si>
  <si>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</si>
  <si>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</si>
  <si>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</si>
  <si>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</si>
  <si>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</si>
  <si>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</si>
  <si>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</si>
  <si>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</si>
  <si>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</si>
  <si>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</si>
  <si>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</si>
  <si>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</si>
  <si>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</si>
  <si>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</si>
  <si>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</si>
  <si>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</si>
  <si>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</si>
  <si>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</si>
  <si>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</si>
  <si>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</si>
  <si>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</si>
  <si>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</si>
  <si>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</si>
  <si>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</si>
  <si>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</si>
  <si>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</si>
  <si>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</si>
  <si>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</si>
  <si>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</si>
  <si>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</si>
  <si>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</si>
  <si>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</si>
  <si>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</si>
  <si>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</si>
  <si>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</si>
  <si>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</si>
  <si>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</si>
  <si>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</si>
  <si>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</si>
  <si>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</si>
  <si>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</si>
  <si>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</si>
  <si>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</si>
  <si>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</si>
  <si>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</si>
  <si>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</si>
  <si>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</si>
  <si>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</si>
  <si>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</si>
  <si>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</si>
  <si>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</si>
  <si>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</si>
  <si>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</si>
  <si>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</si>
  <si>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</si>
  <si>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</si>
  <si>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</si>
  <si>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</si>
  <si>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</si>
  <si>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</si>
  <si>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</si>
  <si>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</si>
  <si>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</si>
  <si>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</si>
  <si>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</si>
  <si>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</si>
  <si>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</si>
  <si>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</si>
  <si>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</si>
  <si>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</si>
  <si>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</si>
  <si>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</si>
  <si>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</si>
  <si>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</si>
  <si>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</si>
  <si>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</si>
  <si>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</si>
  <si>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</si>
  <si>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</si>
  <si>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</si>
  <si>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</si>
  <si>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</si>
  <si>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</si>
  <si>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</si>
  <si>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</si>
  <si>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</si>
  <si>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</si>
  <si>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</si>
  <si>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</si>
  <si>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</si>
  <si>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</si>
  <si>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</si>
  <si>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</si>
  <si>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</si>
  <si>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</si>
  <si>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</si>
  <si>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</si>
  <si>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</si>
  <si>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</si>
  <si>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</si>
  <si>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</si>
  <si>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</si>
  <si>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</si>
  <si>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</si>
  <si>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</si>
  <si>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</si>
  <si>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</si>
  <si>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</si>
  <si>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</si>
  <si>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</si>
  <si>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</si>
  <si>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</si>
  <si>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</si>
  <si>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</si>
  <si>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</si>
  <si>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</si>
  <si>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</si>
  <si>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</si>
  <si>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</si>
  <si>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</si>
  <si>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</si>
  <si>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</si>
  <si>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</si>
  <si>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</si>
  <si>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</si>
  <si>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</si>
  <si>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</si>
  <si>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</si>
  <si>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</si>
  <si>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</si>
  <si>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</si>
  <si>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</si>
  <si>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</si>
  <si>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</si>
  <si>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</si>
  <si>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</si>
  <si>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</si>
  <si>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</si>
  <si>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</si>
  <si>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</si>
  <si>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</si>
  <si>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</si>
  <si>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</si>
  <si>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</si>
  <si>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</si>
  <si>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</si>
  <si>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</si>
  <si>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</si>
  <si>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</si>
  <si>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</si>
  <si>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</si>
  <si>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</si>
  <si>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</si>
  <si>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</si>
  <si>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</si>
  <si>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</si>
  <si>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</si>
  <si>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</si>
  <si>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</si>
  <si>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</si>
  <si>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</si>
  <si>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</si>
  <si>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</si>
  <si>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</si>
  <si>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</si>
  <si>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</si>
  <si>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</si>
  <si>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</si>
  <si>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</si>
  <si>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</si>
  <si>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</si>
  <si>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</si>
  <si>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</si>
  <si>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</si>
  <si>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</si>
  <si>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</si>
  <si>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</si>
  <si>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</si>
  <si>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</si>
  <si>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</si>
  <si>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</si>
  <si>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</si>
  <si>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</si>
  <si>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</si>
  <si>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</si>
  <si>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</si>
  <si>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</si>
  <si>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</si>
  <si>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</si>
  <si>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</si>
  <si>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</si>
  <si>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</si>
  <si>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</si>
  <si>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</si>
  <si>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</si>
  <si>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</si>
  <si>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</si>
  <si>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</si>
  <si>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</si>
  <si>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</si>
  <si>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</si>
  <si>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</si>
  <si>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</si>
  <si>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</si>
  <si>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</si>
  <si>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</si>
  <si>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</si>
  <si>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</si>
  <si>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</si>
  <si>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</si>
  <si>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</si>
  <si>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</si>
  <si>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</si>
  <si>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</si>
  <si>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</si>
  <si>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</si>
  <si>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</si>
  <si>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</si>
  <si>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</si>
  <si>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</si>
  <si>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</si>
  <si>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</si>
  <si>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</si>
  <si>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</si>
  <si>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</si>
  <si>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</si>
  <si>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</si>
  <si>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</si>
  <si>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</si>
  <si>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</si>
  <si>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</si>
  <si>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</si>
  <si>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</si>
  <si>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</si>
  <si>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</si>
  <si>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</si>
  <si>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</si>
  <si>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</si>
  <si>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</si>
  <si>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</si>
  <si>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</si>
  <si>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</si>
  <si>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</si>
  <si>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</si>
  <si>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</si>
  <si>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</si>
  <si>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</si>
  <si>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</si>
  <si>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</si>
  <si>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</si>
  <si>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</si>
  <si>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</si>
  <si>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</si>
  <si>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</si>
  <si>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</si>
  <si>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</si>
  <si>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</si>
  <si>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</si>
  <si>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</si>
  <si>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</si>
  <si>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</si>
  <si>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</si>
  <si>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</si>
  <si>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</si>
  <si>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</si>
  <si>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</si>
  <si>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</si>
  <si>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</si>
  <si>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</si>
  <si>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</si>
  <si>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</si>
  <si>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</si>
  <si>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</si>
  <si>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</si>
  <si>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</si>
  <si>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</si>
  <si>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</si>
  <si>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</si>
  <si>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</si>
  <si>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</si>
  <si>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</si>
  <si>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</si>
  <si>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</si>
  <si>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</si>
  <si>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</si>
  <si>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</si>
  <si>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</si>
  <si>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</si>
  <si>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</si>
  <si>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</si>
  <si>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</si>
  <si>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</si>
  <si>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</si>
  <si>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</si>
  <si>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</si>
  <si>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</si>
  <si>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</si>
  <si>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</si>
  <si>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</si>
  <si>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</si>
  <si>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</si>
  <si>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</si>
  <si>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</si>
  <si>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</si>
  <si>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</si>
  <si>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</si>
  <si>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</si>
  <si>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</si>
  <si>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</si>
  <si>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</si>
  <si>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</si>
  <si>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</si>
  <si>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</si>
  <si>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</si>
  <si>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</si>
  <si>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</si>
  <si>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</si>
  <si>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</si>
  <si>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</si>
  <si>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</si>
  <si>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</si>
  <si>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</si>
  <si>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</si>
  <si>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</si>
  <si>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</si>
  <si>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</si>
  <si>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</si>
  <si>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</si>
  <si>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</si>
  <si>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</si>
  <si>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</si>
  <si>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</si>
  <si>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</si>
  <si>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</si>
  <si>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</si>
  <si>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</si>
  <si>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</si>
  <si>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</si>
  <si>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</si>
  <si>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</si>
  <si>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</si>
  <si>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</si>
  <si>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</si>
  <si>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</si>
  <si>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</si>
  <si>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</si>
  <si>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</si>
  <si>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</si>
  <si>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</si>
  <si>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</si>
  <si>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</si>
  <si>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</si>
  <si>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</si>
  <si>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</si>
  <si>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</si>
  <si>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</si>
  <si>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</si>
  <si>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</si>
  <si>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</si>
  <si>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</si>
  <si>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</si>
  <si>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</si>
  <si>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</si>
  <si>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</si>
  <si>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</si>
  <si>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</si>
  <si>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</si>
  <si>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</si>
  <si>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</si>
  <si>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</si>
  <si>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</si>
  <si>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</si>
  <si>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</si>
  <si>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</si>
  <si>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</si>
  <si>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</si>
  <si>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</si>
  <si>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</si>
  <si>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</si>
  <si>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</si>
  <si>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</si>
  <si>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</si>
  <si>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</si>
  <si>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</si>
  <si>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</si>
  <si>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</si>
  <si>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</si>
  <si>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</si>
  <si>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</si>
  <si>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</si>
  <si>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</si>
  <si>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</si>
  <si>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</si>
  <si>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</si>
  <si>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</si>
  <si>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</si>
  <si>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</si>
  <si>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</si>
  <si>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</si>
  <si>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</si>
  <si>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</si>
  <si>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</si>
  <si>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</si>
  <si>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</si>
  <si>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</si>
  <si>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</si>
  <si>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</si>
  <si>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</si>
  <si>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</si>
  <si>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</si>
  <si>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</si>
  <si>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</si>
  <si>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</si>
  <si>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</si>
  <si>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</si>
  <si>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</si>
  <si>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</si>
  <si>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</si>
  <si>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</si>
  <si>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</si>
  <si>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</si>
  <si>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</si>
  <si>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</si>
  <si>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</si>
  <si>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</si>
  <si>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</si>
  <si>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</si>
  <si>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</si>
  <si>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</si>
  <si>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</si>
  <si>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</si>
  <si>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</si>
  <si>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</si>
  <si>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</si>
  <si>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</si>
  <si>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</si>
  <si>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</si>
  <si>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</si>
  <si>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</si>
  <si>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</si>
  <si>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</si>
  <si>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</si>
  <si>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</si>
  <si>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</si>
  <si>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</si>
  <si>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</si>
  <si>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</si>
  <si>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</si>
  <si>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</si>
  <si>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</si>
  <si>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</si>
  <si>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</si>
  <si>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</si>
  <si>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</si>
  <si>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</si>
  <si>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</si>
  <si>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</si>
  <si>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</si>
  <si>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</si>
  <si>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</si>
  <si>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</si>
  <si>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</si>
  <si>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</si>
  <si>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</si>
  <si>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</si>
  <si>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</si>
  <si>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</si>
  <si>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</si>
  <si>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</si>
  <si>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</si>
  <si>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</si>
  <si>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</si>
  <si>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</si>
  <si>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</si>
  <si>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</si>
  <si>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</si>
  <si>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</si>
  <si>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</si>
  <si>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</si>
  <si>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</si>
  <si>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</si>
  <si>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</si>
  <si>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</si>
  <si>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</si>
  <si>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</si>
  <si>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</si>
  <si>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</si>
  <si>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</si>
  <si>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</si>
  <si>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</si>
  <si>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</si>
  <si>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</si>
  <si>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</si>
  <si>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</si>
  <si>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</si>
  <si>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</si>
  <si>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</si>
  <si>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</si>
  <si>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</si>
  <si>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</si>
  <si>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</si>
  <si>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</si>
  <si>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</si>
  <si>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</si>
  <si>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</si>
  <si>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</si>
  <si>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</si>
  <si>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</si>
  <si>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</si>
  <si>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</si>
  <si>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</si>
  <si>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</si>
  <si>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</si>
  <si>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</si>
  <si>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</si>
  <si>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</si>
  <si>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</si>
  <si>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</si>
  <si>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</si>
  <si>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</si>
  <si>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</si>
  <si>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</si>
  <si>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</si>
  <si>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</si>
  <si>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</si>
  <si>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</si>
  <si>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</si>
  <si>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</si>
  <si>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</si>
  <si>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</si>
  <si>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</si>
  <si>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</si>
  <si>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</si>
  <si>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</si>
  <si>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</si>
  <si>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</si>
  <si>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</si>
  <si>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</si>
  <si>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</si>
  <si>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</si>
  <si>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</si>
  <si>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</si>
  <si>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</si>
  <si>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</si>
  <si>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</si>
  <si>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</si>
  <si>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</si>
  <si>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</si>
  <si>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</si>
  <si>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</si>
  <si>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</si>
  <si>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</si>
  <si>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</si>
  <si>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</si>
  <si>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</si>
  <si>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</si>
  <si>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</si>
  <si>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</si>
  <si>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</si>
  <si>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</si>
  <si>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</si>
  <si>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</si>
  <si>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</si>
  <si>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</si>
  <si>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</si>
  <si>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</si>
  <si>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</si>
  <si>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</si>
  <si>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</si>
  <si>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</si>
  <si>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</si>
  <si>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</si>
  <si>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</si>
  <si>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</si>
  <si>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</si>
  <si>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</si>
  <si>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</si>
  <si>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</si>
  <si>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</si>
  <si>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</si>
  <si>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</si>
  <si>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</si>
  <si>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</si>
  <si>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</si>
  <si>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</si>
  <si>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</si>
  <si>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</si>
  <si>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</si>
  <si>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</si>
  <si>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</si>
  <si>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</si>
  <si>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</si>
  <si>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</si>
  <si>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</si>
  <si>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</si>
  <si>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</si>
  <si>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</si>
  <si>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</si>
  <si>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</si>
  <si>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</si>
  <si>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</si>
  <si>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</si>
  <si>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</si>
  <si>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</si>
  <si>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</si>
  <si>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</si>
  <si>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</si>
  <si>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</si>
  <si>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</si>
  <si>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</si>
  <si>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</si>
  <si>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</si>
  <si>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</si>
  <si>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</si>
  <si>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</si>
  <si>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</si>
  <si>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</si>
  <si>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</si>
  <si>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</si>
  <si>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</si>
  <si>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</si>
  <si>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</si>
  <si>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</si>
  <si>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</si>
  <si>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</si>
  <si>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</si>
  <si>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</si>
  <si>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</si>
  <si>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</si>
  <si>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</si>
  <si>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</si>
  <si>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</si>
  <si>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</si>
  <si>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</si>
  <si>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</si>
  <si>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</si>
  <si>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</si>
  <si>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</si>
  <si>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</si>
  <si>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</si>
  <si>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</si>
  <si>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</si>
  <si>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</si>
  <si>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</si>
  <si>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</si>
  <si>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</si>
  <si>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</si>
  <si>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</si>
  <si>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</si>
  <si>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</si>
  <si>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</si>
  <si>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</si>
  <si>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</si>
  <si>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</si>
  <si>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</si>
  <si>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</si>
  <si>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</si>
  <si>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</si>
  <si>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</si>
  <si>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</si>
  <si>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</si>
  <si>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</si>
  <si>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</si>
  <si>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</si>
  <si>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</si>
  <si>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</si>
  <si>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</si>
  <si>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</si>
  <si>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</si>
  <si>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</si>
  <si>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</si>
  <si>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</si>
  <si>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</si>
  <si>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</si>
  <si>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</si>
  <si>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</si>
  <si>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</si>
  <si>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</si>
  <si>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</si>
  <si>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</si>
  <si>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</si>
  <si>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</si>
  <si>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</si>
  <si>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</si>
  <si>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</si>
  <si>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</si>
  <si>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</si>
  <si>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</si>
  <si>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</si>
  <si>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</si>
  <si>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</si>
  <si>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</si>
  <si>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</si>
  <si>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</si>
  <si>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</si>
  <si>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</si>
  <si>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</si>
  <si>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</si>
  <si>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</si>
  <si>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</si>
  <si>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</si>
  <si>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</si>
  <si>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</si>
  <si>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</si>
  <si>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</si>
  <si>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</si>
  <si>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</si>
  <si>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</si>
  <si>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</si>
  <si>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</si>
  <si>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</si>
  <si>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</si>
  <si>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</si>
  <si>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</si>
  <si>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</si>
  <si>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</si>
  <si>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</si>
  <si>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</si>
  <si>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</si>
  <si>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</si>
  <si>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</si>
  <si>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</si>
  <si>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</si>
  <si>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</si>
  <si>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</si>
  <si>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</si>
  <si>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</si>
  <si>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</si>
  <si>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</si>
  <si>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</si>
  <si>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</si>
  <si>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</si>
  <si>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</si>
  <si>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</si>
  <si>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</si>
  <si>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</si>
  <si>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</si>
  <si>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</si>
  <si>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</si>
  <si>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</si>
  <si>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</si>
  <si>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</si>
  <si>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</si>
  <si>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</si>
  <si>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</si>
  <si>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</si>
  <si>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</si>
  <si>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</si>
  <si>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</si>
  <si>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</si>
  <si>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</si>
  <si>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</si>
  <si>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</si>
  <si>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</si>
  <si>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</si>
  <si>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</si>
  <si>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</si>
  <si>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</si>
  <si>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</si>
  <si>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</si>
  <si>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</si>
  <si>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</si>
  <si>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</si>
  <si>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</si>
  <si>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</si>
  <si>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</si>
  <si>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</si>
  <si>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</si>
  <si>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</si>
  <si>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</si>
  <si>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</si>
  <si>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</si>
  <si>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</si>
  <si>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</si>
  <si>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</si>
  <si>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</si>
  <si>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</si>
  <si>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</si>
  <si>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</si>
  <si>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</si>
  <si>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</si>
  <si>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</si>
  <si>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</si>
  <si>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</si>
  <si>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</si>
  <si>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</si>
  <si>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</si>
  <si>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</si>
  <si>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</si>
  <si>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</si>
  <si>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</si>
  <si>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</si>
  <si>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</si>
  <si>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</si>
  <si>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</si>
  <si>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</si>
  <si>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</si>
  <si>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</si>
  <si>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</si>
  <si>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</si>
  <si>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</si>
  <si>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</si>
  <si>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</si>
  <si>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</si>
  <si>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</si>
  <si>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</si>
  <si>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</si>
  <si>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</si>
  <si>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</si>
  <si>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</si>
  <si>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</si>
  <si>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</si>
  <si>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</si>
  <si>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</si>
  <si>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</si>
  <si>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</si>
  <si>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</si>
  <si>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</si>
  <si>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</si>
  <si>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</si>
  <si>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</si>
  <si>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</si>
  <si>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</si>
  <si>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</si>
  <si>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</si>
  <si>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</si>
  <si>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</si>
  <si>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</si>
  <si>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</si>
  <si>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</si>
  <si>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</si>
  <si>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</si>
  <si>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</si>
  <si>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</si>
  <si>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</si>
  <si>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</si>
  <si>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</si>
  <si>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</si>
  <si>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</si>
  <si>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</si>
  <si>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</si>
  <si>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</si>
  <si>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</si>
  <si>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</si>
  <si>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</si>
  <si>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</si>
  <si>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</si>
  <si>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</si>
  <si>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</si>
  <si>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</si>
  <si>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</si>
  <si>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</si>
  <si>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</si>
  <si>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</si>
  <si>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</si>
  <si>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</si>
  <si>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</si>
  <si>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</si>
  <si>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</si>
  <si>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</si>
  <si>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</si>
  <si>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</si>
  <si>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</si>
  <si>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</si>
  <si>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</si>
  <si>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</si>
  <si>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</si>
  <si>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</si>
  <si>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</si>
  <si>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</si>
  <si>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</si>
  <si>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</si>
  <si>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</si>
  <si>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</si>
  <si>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</si>
  <si>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</si>
  <si>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</si>
  <si>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</si>
  <si>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</si>
  <si>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</si>
  <si>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</si>
  <si>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</si>
  <si>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</si>
  <si>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</si>
  <si>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</si>
  <si>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</si>
  <si>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</si>
  <si>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</si>
  <si>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</si>
  <si>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</si>
  <si>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</si>
  <si>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</si>
  <si>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</si>
  <si>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</si>
  <si>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</si>
  <si>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</si>
  <si>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</si>
  <si>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</si>
  <si>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</si>
  <si>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</si>
  <si>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</si>
  <si>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</si>
  <si>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</si>
  <si>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</si>
  <si>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</si>
  <si>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</si>
  <si>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</si>
  <si>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</si>
  <si>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</si>
  <si>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</si>
  <si>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</si>
  <si>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</si>
  <si>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</si>
  <si>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</si>
  <si>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</si>
  <si>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</si>
  <si>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</si>
  <si>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</si>
  <si>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</si>
  <si>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</si>
  <si>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</si>
  <si>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</si>
  <si>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</si>
  <si>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</si>
  <si>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</si>
  <si>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</si>
  <si>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</si>
  <si>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</si>
  <si>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</si>
  <si>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</si>
  <si>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</si>
  <si>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</si>
  <si>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</si>
  <si>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</si>
  <si>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</si>
  <si>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</si>
  <si>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</si>
  <si>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</si>
  <si>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</si>
  <si>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</si>
  <si>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</si>
  <si>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</si>
  <si>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</si>
  <si>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</si>
  <si>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</si>
  <si>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</si>
  <si>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</si>
  <si>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</si>
  <si>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</si>
  <si>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</si>
  <si>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</si>
  <si>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</si>
  <si>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</si>
  <si>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</si>
  <si>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</si>
  <si>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</si>
  <si>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</si>
  <si>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</si>
  <si>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</si>
  <si>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</si>
  <si>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</si>
  <si>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</si>
  <si>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</si>
  <si>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</si>
  <si>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</si>
  <si>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</si>
  <si>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</si>
  <si>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</si>
  <si>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</si>
  <si>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</si>
  <si>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</si>
  <si>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</si>
  <si>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</si>
  <si>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</si>
  <si>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</si>
  <si>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</si>
  <si>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</si>
  <si>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</si>
  <si>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</si>
  <si>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</si>
  <si>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</si>
  <si>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</si>
  <si>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</si>
  <si>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</si>
  <si>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</si>
  <si>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</si>
  <si>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</si>
  <si>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</si>
  <si>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</si>
  <si>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</si>
  <si>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</si>
  <si>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</si>
  <si>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</si>
  <si>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</si>
  <si>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</si>
  <si>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</si>
  <si>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</si>
  <si>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</si>
  <si>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</si>
  <si>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</si>
  <si>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</si>
  <si>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</si>
  <si>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</si>
  <si>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</si>
  <si>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</si>
  <si>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</si>
  <si>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</si>
  <si>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</si>
  <si>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</si>
  <si>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</si>
  <si>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</si>
  <si>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</si>
  <si>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</si>
  <si>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</si>
  <si>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</si>
  <si>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</si>
  <si>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</si>
  <si>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</si>
  <si>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</si>
  <si>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</si>
  <si>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</si>
  <si>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</si>
  <si>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</si>
  <si>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</si>
  <si>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</si>
  <si>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</si>
  <si>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</si>
  <si>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</si>
  <si>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</si>
  <si>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</si>
  <si>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</si>
  <si>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</si>
  <si>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</si>
  <si>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</si>
  <si>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</si>
  <si>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</si>
  <si>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</si>
  <si>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</si>
  <si>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</si>
  <si>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</si>
  <si>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</si>
  <si>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</si>
  <si>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</si>
  <si>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</si>
  <si>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</si>
  <si>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</si>
  <si>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</si>
  <si>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</si>
  <si>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</si>
  <si>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</si>
  <si>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</si>
  <si>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</si>
  <si>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</si>
  <si>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</si>
  <si>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</si>
  <si>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</si>
  <si>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</si>
  <si>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</si>
  <si>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</si>
  <si>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</si>
  <si>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</si>
  <si>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</si>
  <si>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</si>
  <si>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</si>
  <si>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</si>
  <si>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</si>
  <si>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</si>
  <si>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</si>
  <si>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</si>
  <si>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</si>
  <si>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</si>
  <si>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</si>
  <si>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</si>
  <si>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</si>
  <si>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</si>
  <si>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</si>
  <si>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</si>
  <si>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</si>
  <si>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</si>
  <si>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</si>
  <si>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</si>
  <si>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</si>
  <si>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</si>
  <si>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</si>
  <si>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</si>
  <si>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</si>
  <si>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</si>
  <si>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</si>
  <si>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</si>
  <si>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</si>
  <si>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</si>
  <si>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</si>
  <si>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</si>
  <si>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</si>
  <si>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</si>
  <si>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</si>
  <si>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</si>
  <si>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</si>
  <si>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</si>
  <si>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</si>
  <si>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</si>
  <si>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</si>
  <si>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</si>
  <si>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</si>
  <si>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</si>
  <si>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</si>
  <si>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</si>
  <si>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</si>
  <si>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</si>
  <si>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</si>
  <si>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</si>
  <si>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</si>
  <si>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</si>
  <si>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</si>
  <si>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</si>
  <si>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</si>
  <si>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</si>
  <si>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</si>
  <si>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</si>
  <si>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</si>
  <si>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</si>
  <si>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</si>
  <si>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</si>
  <si>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</si>
  <si>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</si>
  <si>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</si>
  <si>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</si>
  <si>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</si>
  <si>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</si>
  <si>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</si>
  <si>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</si>
  <si>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</si>
  <si>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</si>
  <si>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</si>
  <si>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</si>
  <si>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</si>
  <si>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</si>
  <si>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</si>
  <si>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</si>
  <si>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</si>
  <si>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</si>
  <si>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</si>
  <si>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</si>
  <si>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</si>
  <si>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</si>
  <si>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</si>
  <si>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</si>
  <si>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</si>
  <si>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</si>
  <si>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</si>
  <si>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</si>
  <si>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</si>
  <si>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</si>
  <si>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</si>
  <si>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</si>
  <si>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</si>
  <si>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</si>
  <si>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</si>
  <si>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</si>
  <si>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</si>
  <si>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</si>
  <si>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</si>
  <si>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</si>
  <si>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</si>
  <si>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</si>
  <si>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</si>
  <si>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</si>
  <si>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</si>
  <si>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</si>
  <si>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</si>
  <si>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</si>
  <si>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</si>
  <si>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</si>
  <si>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</si>
  <si>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</si>
  <si>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</si>
  <si>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</si>
  <si>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</si>
  <si>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</si>
  <si>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</si>
  <si>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</si>
  <si>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</si>
  <si>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</si>
  <si>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</si>
  <si>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</si>
  <si>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</si>
  <si>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</si>
  <si>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</si>
  <si>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</si>
  <si>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</si>
  <si>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</si>
  <si>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</si>
  <si>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</si>
  <si>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</si>
  <si>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</si>
  <si>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</si>
  <si>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</si>
  <si>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</si>
  <si>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</si>
  <si>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</si>
  <si>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</si>
  <si>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</si>
  <si>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</si>
  <si>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</si>
  <si>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</si>
  <si>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</si>
  <si>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</si>
  <si>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</si>
  <si>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</si>
  <si>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</si>
  <si>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</si>
  <si>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</si>
  <si>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</si>
  <si>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</si>
  <si>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</si>
  <si>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</si>
  <si>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</si>
  <si>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</si>
  <si>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</si>
  <si>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</si>
  <si>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</si>
  <si>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</si>
  <si>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</si>
  <si>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</si>
  <si>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</si>
  <si>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</si>
  <si>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</si>
  <si>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</si>
  <si>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</si>
  <si>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</si>
  <si>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</si>
  <si>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</si>
  <si>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</si>
  <si>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</si>
  <si>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</si>
  <si>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</si>
  <si>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</si>
  <si>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</si>
  <si>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</si>
  <si>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</si>
  <si>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</si>
  <si>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</si>
  <si>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</si>
  <si>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</si>
  <si>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</si>
  <si>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</si>
  <si>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</si>
  <si>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</si>
  <si>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</si>
  <si>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</si>
  <si>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</si>
  <si>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</si>
  <si>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</si>
  <si>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</si>
  <si>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</si>
  <si>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</si>
  <si>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</si>
  <si>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</si>
  <si>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</si>
  <si>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</si>
  <si>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</si>
  <si>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</si>
  <si>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</si>
  <si>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</si>
  <si>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</si>
  <si>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</si>
  <si>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</si>
  <si>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</si>
  <si>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</si>
  <si>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</si>
  <si>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</si>
  <si>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</si>
  <si>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</si>
  <si>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</si>
  <si>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</si>
  <si>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</si>
  <si>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</si>
  <si>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</si>
  <si>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</si>
  <si>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</si>
  <si>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</si>
  <si>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</si>
  <si>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</si>
  <si>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</si>
  <si>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</si>
  <si>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</si>
  <si>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</si>
  <si>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</si>
  <si>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</si>
  <si>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</si>
  <si>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</si>
  <si>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</si>
  <si>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</si>
  <si>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</si>
  <si>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</si>
  <si>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</si>
  <si>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</si>
  <si>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</si>
  <si>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</si>
  <si>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</si>
  <si>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</si>
  <si>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</si>
  <si>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</si>
  <si>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</si>
  <si>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</si>
  <si>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</si>
  <si>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</si>
  <si>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</si>
  <si>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</si>
  <si>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</si>
  <si>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</si>
  <si>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</si>
  <si>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</si>
  <si>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</si>
  <si>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</si>
  <si>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</si>
  <si>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</si>
  <si>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</si>
  <si>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</si>
  <si>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</si>
  <si>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</si>
  <si>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</si>
  <si>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</si>
  <si>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</si>
  <si>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</si>
  <si>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</si>
  <si>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</si>
  <si>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</si>
  <si>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</si>
  <si>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</si>
  <si>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</si>
  <si>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</si>
  <si>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</si>
  <si>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</si>
  <si>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</si>
  <si>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</si>
  <si>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</si>
  <si>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</si>
  <si>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</si>
  <si>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</si>
  <si>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</si>
  <si>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</si>
  <si>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</si>
  <si>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</si>
  <si>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</si>
  <si>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</si>
  <si>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</si>
  <si>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</si>
  <si>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</si>
  <si>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</si>
  <si>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</si>
  <si>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</si>
  <si>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</si>
  <si>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</si>
  <si>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</si>
  <si>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</si>
  <si>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</si>
  <si>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</si>
  <si>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</si>
  <si>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</si>
  <si>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</si>
  <si>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</si>
  <si>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</si>
  <si>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</si>
  <si>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</si>
  <si>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</si>
  <si>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</si>
  <si>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</si>
  <si>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</si>
  <si>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</si>
  <si>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</si>
  <si>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</si>
  <si>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</si>
  <si>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</si>
  <si>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</si>
  <si>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</si>
  <si>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</si>
  <si>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</si>
  <si>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</si>
  <si>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</si>
  <si>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</si>
  <si>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</si>
  <si>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</si>
  <si>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</si>
  <si>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</si>
  <si>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</si>
  <si>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</si>
  <si>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</si>
  <si>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</si>
  <si>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</si>
  <si>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</si>
  <si>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</si>
  <si>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</si>
  <si>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</si>
  <si>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</si>
  <si>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</si>
  <si>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</si>
  <si>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</si>
  <si>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</si>
  <si>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</si>
  <si>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</si>
  <si>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</si>
  <si>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</si>
  <si>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</si>
  <si>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</si>
  <si>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</si>
  <si>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</si>
  <si>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</si>
  <si>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</si>
  <si>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</si>
  <si>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</si>
  <si>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</si>
  <si>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</si>
  <si>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</si>
  <si>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</si>
  <si>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</si>
  <si>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</si>
  <si>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</si>
  <si>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</si>
  <si>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</si>
  <si>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</si>
  <si>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</si>
  <si>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</si>
  <si>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</si>
  <si>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</si>
  <si>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</si>
  <si>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</si>
  <si>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</si>
  <si>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</si>
  <si>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</si>
  <si>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</si>
  <si>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</si>
  <si>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</si>
  <si>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</si>
  <si>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</si>
  <si>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</si>
  <si>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</si>
  <si>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</si>
  <si>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</si>
  <si>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</si>
  <si>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</si>
  <si>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</si>
  <si>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</si>
  <si>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</si>
  <si>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</si>
  <si>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</si>
  <si>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</si>
  <si>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</si>
  <si>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</si>
  <si>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</si>
  <si>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</si>
  <si>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</si>
  <si>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</si>
  <si>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</si>
  <si>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</si>
  <si>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</si>
  <si>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</si>
  <si>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</si>
  <si>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</si>
  <si>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</si>
  <si>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</si>
  <si>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</si>
  <si>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</si>
  <si>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</si>
  <si>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</si>
  <si>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</si>
  <si>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</si>
  <si>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</si>
  <si>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</si>
  <si>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</si>
  <si>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</si>
  <si>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</si>
  <si>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</si>
  <si>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</si>
  <si>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</si>
  <si>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</si>
  <si>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</si>
  <si>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</si>
  <si>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</si>
  <si>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</si>
  <si>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</si>
  <si>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</si>
  <si>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</si>
  <si>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</si>
  <si>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</si>
  <si>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</si>
  <si>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</si>
  <si>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</si>
  <si>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</si>
  <si>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</si>
  <si>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</si>
  <si>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</si>
  <si>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</si>
  <si>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</si>
  <si>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</si>
  <si>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</si>
  <si>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</si>
  <si>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</si>
  <si>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</si>
  <si>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</si>
  <si>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</si>
  <si>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</si>
  <si>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</si>
  <si>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</si>
  <si>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</si>
  <si>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</si>
  <si>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</si>
  <si>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</si>
  <si>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</si>
  <si>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</si>
  <si>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</si>
  <si>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</si>
  <si>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</si>
  <si>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</si>
  <si>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</si>
  <si>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</si>
  <si>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</si>
  <si>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</si>
  <si>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</si>
  <si>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</si>
  <si>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</si>
  <si>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</si>
  <si>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</si>
  <si>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</si>
  <si>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</si>
  <si>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</si>
  <si>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</si>
  <si>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</si>
  <si>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</si>
  <si>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</si>
  <si>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</si>
  <si>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</si>
  <si>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</si>
  <si>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</si>
  <si>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</si>
  <si>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</si>
  <si>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</si>
  <si>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</si>
  <si>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</si>
  <si>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</si>
  <si>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</si>
  <si>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</si>
  <si>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</si>
  <si>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</si>
  <si>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</si>
  <si>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</si>
  <si>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</si>
  <si>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</si>
  <si>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</si>
  <si>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</si>
  <si>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</si>
  <si>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</si>
  <si>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</si>
  <si>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</si>
  <si>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</si>
  <si>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</si>
  <si>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</si>
  <si>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</si>
  <si>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</si>
  <si>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</si>
  <si>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</si>
  <si>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</si>
  <si>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</si>
  <si>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</si>
  <si>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</si>
  <si>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</si>
  <si>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</si>
  <si>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</si>
  <si>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</si>
  <si>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</si>
  <si>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</si>
  <si>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</si>
  <si>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</si>
  <si>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</si>
  <si>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</si>
  <si>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</si>
  <si>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</si>
  <si>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</si>
  <si>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</si>
  <si>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</si>
  <si>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</si>
  <si>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</si>
  <si>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</si>
  <si>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</si>
  <si>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</si>
  <si>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</si>
  <si>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</si>
  <si>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</si>
  <si>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</si>
  <si>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</si>
  <si>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</si>
  <si>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</si>
  <si>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</si>
  <si>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</si>
  <si>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</si>
  <si>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</si>
  <si>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</si>
  <si>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</si>
  <si>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</si>
  <si>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</si>
  <si>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</si>
  <si>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</si>
  <si>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</si>
  <si>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</si>
  <si>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</si>
  <si>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</si>
  <si>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</si>
  <si>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</si>
  <si>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</si>
  <si>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</si>
  <si>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</si>
  <si>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</si>
  <si>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</si>
  <si>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</si>
  <si>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</si>
  <si>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</si>
  <si>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</si>
  <si>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</si>
  <si>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</si>
  <si>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</si>
  <si>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</si>
  <si>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</si>
  <si>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</si>
  <si>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</si>
  <si>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</si>
  <si>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</si>
  <si>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</si>
  <si>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</si>
  <si>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</si>
  <si>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</si>
  <si>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</si>
  <si>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</si>
  <si>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</si>
  <si>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</si>
  <si>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</si>
  <si>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</si>
  <si>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</si>
  <si>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</si>
  <si>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</si>
  <si>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</si>
  <si>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</si>
  <si>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</si>
  <si>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</si>
  <si>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</si>
  <si>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</si>
  <si>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</si>
  <si>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</si>
  <si>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</si>
  <si>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</si>
  <si>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</si>
  <si>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</si>
  <si>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</si>
  <si>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</si>
  <si>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</si>
  <si>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</si>
  <si>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</si>
  <si>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</si>
  <si>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</si>
  <si>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</si>
  <si>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</si>
  <si>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</si>
  <si>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</si>
  <si>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</si>
  <si>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</si>
  <si>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</si>
  <si>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</si>
  <si>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</si>
  <si>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</si>
  <si>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</si>
  <si>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</si>
  <si>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</si>
  <si>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</si>
  <si>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</si>
  <si>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</si>
  <si>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</si>
  <si>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</si>
  <si>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</si>
  <si>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</si>
  <si>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</si>
  <si>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</si>
  <si>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</si>
  <si>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</si>
  <si>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</si>
  <si>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</si>
  <si>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</si>
  <si>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</si>
  <si>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</si>
  <si>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</si>
  <si>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</si>
  <si>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</si>
  <si>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</si>
  <si>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</si>
  <si>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</si>
  <si>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</si>
  <si>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</si>
  <si>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</si>
  <si>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</si>
  <si>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</si>
  <si>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</si>
  <si>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</si>
  <si>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</si>
  <si>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</si>
  <si>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</si>
  <si>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</si>
  <si>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</si>
  <si>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</si>
  <si>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</si>
  <si>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</si>
  <si>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</si>
  <si>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</si>
  <si>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</si>
  <si>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</si>
  <si>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</si>
  <si>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</si>
  <si>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</si>
  <si>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</si>
  <si>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</si>
  <si>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</si>
  <si>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</si>
  <si>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</si>
  <si>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</si>
  <si>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</si>
  <si>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</si>
  <si>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</si>
  <si>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</si>
  <si>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</si>
  <si>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</si>
  <si>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</si>
  <si>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</si>
  <si>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</si>
  <si>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</si>
  <si>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</si>
  <si>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</si>
  <si>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</si>
  <si>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</si>
  <si>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</si>
  <si>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</si>
  <si>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</si>
  <si>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</si>
  <si>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</si>
  <si>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</si>
  <si>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</si>
  <si>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</si>
  <si>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</si>
  <si>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</si>
  <si>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</si>
  <si>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</si>
  <si>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</si>
  <si>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</si>
  <si>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</si>
  <si>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</si>
  <si>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</si>
  <si>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</si>
  <si>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</si>
  <si>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</si>
  <si>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</si>
  <si>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</si>
  <si>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</si>
  <si>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</si>
  <si>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</si>
  <si>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</si>
  <si>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</si>
  <si>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</si>
  <si>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</si>
  <si>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</si>
  <si>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</si>
  <si>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</si>
  <si>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</si>
  <si>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</si>
  <si>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</si>
  <si>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</si>
  <si>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</si>
  <si>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</si>
  <si>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</si>
  <si>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</si>
  <si>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</si>
  <si>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</si>
  <si>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</si>
  <si>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</si>
  <si>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</si>
  <si>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</si>
  <si>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</si>
  <si>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</si>
  <si>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</si>
  <si>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</si>
  <si>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</si>
  <si>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</si>
  <si>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</si>
  <si>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</si>
  <si>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</si>
  <si>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</si>
  <si>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</si>
  <si>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</si>
  <si>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</si>
  <si>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</si>
  <si>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</si>
  <si>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</si>
  <si>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</si>
  <si>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</si>
  <si>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</si>
  <si>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</si>
  <si>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</si>
  <si>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</si>
  <si>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</si>
  <si>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</si>
  <si>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</si>
  <si>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</si>
  <si>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</si>
  <si>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</si>
  <si>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</si>
  <si>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</si>
  <si>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</si>
  <si>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</si>
  <si>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</si>
  <si>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</si>
  <si>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</si>
  <si>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</si>
  <si>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</si>
  <si>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</si>
  <si>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</si>
  <si>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</si>
  <si>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</si>
  <si>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</si>
  <si>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</si>
  <si>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</si>
  <si>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</si>
  <si>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</si>
  <si>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</si>
  <si>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</si>
  <si>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</si>
  <si>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</si>
  <si>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</si>
  <si>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</si>
  <si>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</si>
  <si>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</si>
  <si>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</si>
  <si>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</si>
  <si>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</si>
  <si>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</si>
  <si>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</si>
  <si>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</si>
  <si>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</si>
  <si>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</si>
  <si>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</si>
  <si>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</si>
  <si>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</si>
  <si>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</si>
  <si>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</si>
  <si>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</si>
  <si>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</si>
  <si>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</si>
  <si>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</si>
  <si>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</si>
  <si>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</si>
  <si>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</si>
  <si>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</si>
  <si>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</si>
  <si>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</si>
  <si>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</si>
  <si>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</si>
  <si>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</si>
  <si>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</si>
  <si>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</si>
  <si>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</si>
  <si>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</si>
  <si>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</si>
  <si>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</si>
  <si>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</si>
  <si>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</si>
  <si>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</si>
  <si>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</si>
  <si>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</si>
  <si>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</si>
  <si>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</si>
  <si>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</si>
  <si>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</si>
  <si>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</si>
  <si>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</si>
  <si>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</si>
  <si>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</si>
  <si>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</si>
  <si>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</si>
  <si>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</si>
  <si>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</si>
  <si>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</si>
  <si>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</si>
  <si>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</si>
  <si>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</si>
  <si>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</si>
  <si>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</si>
  <si>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</si>
  <si>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</si>
  <si>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</si>
  <si>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</si>
  <si>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</si>
  <si>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</si>
  <si>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</si>
  <si>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</si>
  <si>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</si>
  <si>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</si>
  <si>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</si>
  <si>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</si>
  <si>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</si>
  <si>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</si>
  <si>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</si>
  <si>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</si>
  <si>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</si>
  <si>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</si>
  <si>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</si>
  <si>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</si>
  <si>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</si>
  <si>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</si>
  <si>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</si>
  <si>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</si>
  <si>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</si>
  <si>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</si>
  <si>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</si>
  <si>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</si>
  <si>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</si>
  <si>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</si>
  <si>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</si>
  <si>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</si>
  <si>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</si>
  <si>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</si>
  <si>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</si>
  <si>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</si>
  <si>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</si>
  <si>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</si>
  <si>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</si>
  <si>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</si>
  <si>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</si>
  <si>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</si>
  <si>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</si>
  <si>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</si>
  <si>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</si>
  <si>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</si>
  <si>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</si>
  <si>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</si>
  <si>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</si>
  <si>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</si>
  <si>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</si>
  <si>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</si>
  <si>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</si>
  <si>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</si>
  <si>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</si>
  <si>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</si>
  <si>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</si>
  <si>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</si>
  <si>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</si>
  <si>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</si>
  <si>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</si>
  <si>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</si>
  <si>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</si>
  <si>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</si>
  <si>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</si>
  <si>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</si>
  <si>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</si>
  <si>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</si>
  <si>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</si>
  <si>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</si>
  <si>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</si>
  <si>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</si>
  <si>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</si>
  <si>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</si>
  <si>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</si>
  <si>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</si>
  <si>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</si>
  <si>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</si>
  <si>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</si>
  <si>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</si>
  <si>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</si>
  <si>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</si>
  <si>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</si>
  <si>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</si>
  <si>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</si>
  <si>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</si>
  <si>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</si>
  <si>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</si>
  <si>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</si>
  <si>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</si>
  <si>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</si>
  <si>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</si>
  <si>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</si>
  <si>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</si>
  <si>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</si>
  <si>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</si>
  <si>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</si>
  <si>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</si>
  <si>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</si>
  <si>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</si>
  <si>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</si>
  <si>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</si>
  <si>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</si>
  <si>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</si>
  <si>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</si>
  <si>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</si>
  <si>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</si>
  <si>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</si>
  <si>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</si>
  <si>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</si>
  <si>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</si>
  <si>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</si>
  <si>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</si>
  <si>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</si>
  <si>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</si>
  <si>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</si>
  <si>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</si>
  <si>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</si>
  <si>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</si>
  <si>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</si>
  <si>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</si>
  <si>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</si>
  <si>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</si>
  <si>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</si>
  <si>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</si>
  <si>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</si>
  <si>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</si>
  <si>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</si>
  <si>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</si>
  <si>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</si>
  <si>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</si>
  <si>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</si>
  <si>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</si>
  <si>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</si>
  <si>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</si>
  <si>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</si>
  <si>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</si>
  <si>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</si>
  <si>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</si>
  <si>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</si>
  <si>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</si>
  <si>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</si>
  <si>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</si>
  <si>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</si>
  <si>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</si>
  <si>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</si>
  <si>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</si>
  <si>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</si>
  <si>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</si>
  <si>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</si>
  <si>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</si>
  <si>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</si>
  <si>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</si>
  <si>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</si>
  <si>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</si>
  <si>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</si>
  <si>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</si>
  <si>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</si>
  <si>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</si>
  <si>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</si>
  <si>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</si>
  <si>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</si>
  <si>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</si>
  <si>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</si>
  <si>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</si>
  <si>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</si>
  <si>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</si>
  <si>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</si>
  <si>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</si>
  <si>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</si>
  <si>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</si>
  <si>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</si>
  <si>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</si>
  <si>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</si>
  <si>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</si>
  <si>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</si>
  <si>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</si>
  <si>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</si>
  <si>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</si>
  <si>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</si>
  <si>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</si>
  <si>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</si>
  <si>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</si>
  <si>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</si>
  <si>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</si>
  <si>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</si>
  <si>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</si>
  <si>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</si>
  <si>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</si>
  <si>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</si>
  <si>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</si>
  <si>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</si>
  <si>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</si>
  <si>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</si>
  <si>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</si>
  <si>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</si>
  <si>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</si>
  <si>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</si>
  <si>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</si>
  <si>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</si>
  <si>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</si>
  <si>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</si>
  <si>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</si>
  <si>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</si>
  <si>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</si>
  <si>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</si>
  <si>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</si>
  <si>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</si>
  <si>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</si>
  <si>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</si>
  <si>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</si>
  <si>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</si>
  <si>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</si>
  <si>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</si>
  <si>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</si>
  <si>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</si>
  <si>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</si>
  <si>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</si>
  <si>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</si>
  <si>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</si>
  <si>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</si>
  <si>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</si>
  <si>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</si>
  <si>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</si>
  <si>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</si>
  <si>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</si>
  <si>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</si>
  <si>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</si>
  <si>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</si>
  <si>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</si>
  <si>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</si>
  <si>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</si>
  <si>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</si>
  <si>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</si>
  <si>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</si>
  <si>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</si>
  <si>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</si>
  <si>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</si>
  <si>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</si>
  <si>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</si>
  <si>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</si>
  <si>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</si>
  <si>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</si>
  <si>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</si>
  <si>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</si>
  <si>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</si>
  <si>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</si>
  <si>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</si>
  <si>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</si>
  <si>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</si>
  <si>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</si>
  <si>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</si>
  <si>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</si>
  <si>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</si>
  <si>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</si>
  <si>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</si>
  <si>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</si>
  <si>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</si>
  <si>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</si>
  <si>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</si>
  <si>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</si>
  <si>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</si>
  <si>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</si>
  <si>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</si>
  <si>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</si>
  <si>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</si>
  <si>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</si>
  <si>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</si>
  <si>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</si>
  <si>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</si>
  <si>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</si>
  <si>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</si>
  <si>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</si>
  <si>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</si>
  <si>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</si>
  <si>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</si>
  <si>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</si>
  <si>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</si>
  <si>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</si>
  <si>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</si>
  <si>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</si>
  <si>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</si>
  <si>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</si>
  <si>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</si>
  <si>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</si>
  <si>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</si>
  <si>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</si>
  <si>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</si>
  <si>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</si>
  <si>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</si>
  <si>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</si>
  <si>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</si>
  <si>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</si>
  <si>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</si>
  <si>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</si>
  <si>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</si>
  <si>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</si>
  <si>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</si>
  <si>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</si>
  <si>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</si>
  <si>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</si>
  <si>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</si>
  <si>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</si>
  <si>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</si>
  <si>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</si>
  <si>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</si>
  <si>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</si>
  <si>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</si>
  <si>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</si>
  <si>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</si>
  <si>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</si>
  <si>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</si>
  <si>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</si>
  <si>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</si>
  <si>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</si>
  <si>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</si>
  <si>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</si>
  <si>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</si>
  <si>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</si>
  <si>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</si>
  <si>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</si>
  <si>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</si>
  <si>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</si>
  <si>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</si>
  <si>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</si>
  <si>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</si>
  <si>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</si>
  <si>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</si>
  <si>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</si>
  <si>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</si>
  <si>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</si>
  <si>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</si>
  <si>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</si>
  <si>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</si>
  <si>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</si>
  <si>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</si>
  <si>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</si>
  <si>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</si>
  <si>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</si>
  <si>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</si>
  <si>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</si>
  <si>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</si>
  <si>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</si>
  <si>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</si>
  <si>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</si>
  <si>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</si>
  <si>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</si>
  <si>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</si>
  <si>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</si>
  <si>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</si>
  <si>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</si>
  <si>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</si>
  <si>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</si>
  <si>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</si>
  <si>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</si>
  <si>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</si>
  <si>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</si>
  <si>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</si>
  <si>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</si>
  <si>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</si>
  <si>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</si>
  <si>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</si>
  <si>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</si>
  <si>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</si>
  <si>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</si>
  <si>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</si>
  <si>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</si>
  <si>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</si>
  <si>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</si>
  <si>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</si>
  <si>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</si>
  <si>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</si>
  <si>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</si>
  <si>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</si>
  <si>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</si>
  <si>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</si>
  <si>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</si>
  <si>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</si>
  <si>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</si>
  <si>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</si>
  <si>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</si>
  <si>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</si>
  <si>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</si>
  <si>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</si>
  <si>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</si>
  <si>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</si>
  <si>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</si>
  <si>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</si>
  <si>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</si>
  <si>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</si>
  <si>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</si>
  <si>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</si>
  <si>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</si>
  <si>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</si>
  <si>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</si>
  <si>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</si>
  <si>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</si>
  <si>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</si>
  <si>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</si>
  <si>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</si>
  <si>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</si>
  <si>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</si>
  <si>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</si>
  <si>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</si>
  <si>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</si>
  <si>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</si>
  <si>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</si>
  <si>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</si>
  <si>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</si>
  <si>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</si>
  <si>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</si>
  <si>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</si>
  <si>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</si>
  <si>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</si>
  <si>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</si>
  <si>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</si>
  <si>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</si>
  <si>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</si>
  <si>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</si>
  <si>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</si>
  <si>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</si>
  <si>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</si>
  <si>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</si>
  <si>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</si>
  <si>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</si>
  <si>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</si>
  <si>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</si>
  <si>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</si>
  <si>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</si>
  <si>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</si>
  <si>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</si>
  <si>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</si>
  <si>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</si>
  <si>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</si>
  <si>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</si>
  <si>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</si>
  <si>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</si>
  <si>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</si>
  <si>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</si>
  <si>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</si>
  <si>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</si>
  <si>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</si>
  <si>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</si>
  <si>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</si>
  <si>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</si>
  <si>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</si>
  <si>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</si>
  <si>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</si>
  <si>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</si>
  <si>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</si>
  <si>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</si>
  <si>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</si>
  <si>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</si>
  <si>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</si>
  <si>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</si>
  <si>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</si>
  <si>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</si>
  <si>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</si>
  <si>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</si>
  <si>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</si>
  <si>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</si>
  <si>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</si>
  <si>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</si>
  <si>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</si>
  <si>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</si>
  <si>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</si>
  <si>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</si>
  <si>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</si>
  <si>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</si>
  <si>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</si>
  <si>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</si>
  <si>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</si>
  <si>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</si>
  <si>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</si>
  <si>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</si>
  <si>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</si>
  <si>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</si>
  <si>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</si>
  <si>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</si>
  <si>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</si>
  <si>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</si>
  <si>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</si>
  <si>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</si>
  <si>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</si>
  <si>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</si>
  <si>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</si>
  <si>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</si>
  <si>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</si>
  <si>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</si>
  <si>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</si>
  <si>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</si>
  <si>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</si>
  <si>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</si>
  <si>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</si>
  <si>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</si>
  <si>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</si>
  <si>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</si>
  <si>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</si>
  <si>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</si>
  <si>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</si>
  <si>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</si>
  <si>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</si>
  <si>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</si>
  <si>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</si>
  <si>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</si>
  <si>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</si>
  <si>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</si>
  <si>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</si>
  <si>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</si>
  <si>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</si>
  <si>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</si>
  <si>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</si>
  <si>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</si>
  <si>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</si>
  <si>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</si>
  <si>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</si>
  <si>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</si>
  <si>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</si>
  <si>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</si>
  <si>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</si>
  <si>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</si>
  <si>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</si>
  <si>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</si>
  <si>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</si>
  <si>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</si>
  <si>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</si>
  <si>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</si>
  <si>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</si>
  <si>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</si>
  <si>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</si>
  <si>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</si>
  <si>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</si>
  <si>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</si>
  <si>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</si>
  <si>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</si>
  <si>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</si>
  <si>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</si>
  <si>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</si>
  <si>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</si>
  <si>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</si>
  <si>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</si>
  <si>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</si>
  <si>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</si>
  <si>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</si>
  <si>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</si>
  <si>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</si>
  <si>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</si>
  <si>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</si>
  <si>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</si>
  <si>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</si>
  <si>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</si>
  <si>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</si>
  <si>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</si>
  <si>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</si>
  <si>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</si>
  <si>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</si>
  <si>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</si>
  <si>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</si>
  <si>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</si>
  <si>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</si>
  <si>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</si>
  <si>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</si>
  <si>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</si>
  <si>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</si>
  <si>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</si>
  <si>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</si>
  <si>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</si>
  <si>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</si>
  <si>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</si>
  <si>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</si>
  <si>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</si>
  <si>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</si>
  <si>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</si>
  <si>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</si>
  <si>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</si>
  <si>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</si>
  <si>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</si>
  <si>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</si>
  <si>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</si>
  <si>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</si>
  <si>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</si>
  <si>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</si>
  <si>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</si>
  <si>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</si>
  <si>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</si>
  <si>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</si>
  <si>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</si>
  <si>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</si>
  <si>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</si>
  <si>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</si>
  <si>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</si>
  <si>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</si>
  <si>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</si>
  <si>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</si>
  <si>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</si>
  <si>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</si>
  <si>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</si>
  <si>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</si>
  <si>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</si>
  <si>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</si>
  <si>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</si>
  <si>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</si>
  <si>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</si>
  <si>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</si>
  <si>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</si>
  <si>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</si>
  <si>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</si>
  <si>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</si>
  <si>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</si>
  <si>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</si>
  <si>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</si>
  <si>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</si>
  <si>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</si>
  <si>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</si>
  <si>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</si>
  <si>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</si>
  <si>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</si>
  <si>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</si>
  <si>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</si>
  <si>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</si>
  <si>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</si>
  <si>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</si>
  <si>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</si>
  <si>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</si>
  <si>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</si>
  <si>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</si>
  <si>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</si>
  <si>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</si>
  <si>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</si>
  <si>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</si>
  <si>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</si>
  <si>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</si>
  <si>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</si>
  <si>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</si>
  <si>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</si>
  <si>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</si>
  <si>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</si>
  <si>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</si>
  <si>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</si>
  <si>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</si>
  <si>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</si>
  <si>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</si>
  <si>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</si>
  <si>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</si>
  <si>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</si>
  <si>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</si>
  <si>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</si>
  <si>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</si>
  <si>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</si>
  <si>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</si>
  <si>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</si>
  <si>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</si>
  <si>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</si>
  <si>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</si>
  <si>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</si>
  <si>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</si>
  <si>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</si>
  <si>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</si>
  <si>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</si>
  <si>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</si>
  <si>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</si>
  <si>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</si>
  <si>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</si>
  <si>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</si>
  <si>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</si>
  <si>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</si>
  <si>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</si>
  <si>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</si>
  <si>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</si>
  <si>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</si>
  <si>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</si>
  <si>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</si>
  <si>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</si>
  <si>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</si>
  <si>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</si>
  <si>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</si>
  <si>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</si>
  <si>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</si>
  <si>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</si>
  <si>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</si>
  <si>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</si>
  <si>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</si>
  <si>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</si>
  <si>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</si>
  <si>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</si>
  <si>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</si>
  <si>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</si>
  <si>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</si>
  <si>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</si>
  <si>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</si>
  <si>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</si>
  <si>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</si>
  <si>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</si>
  <si>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</si>
  <si>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</si>
  <si>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</si>
  <si>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</si>
  <si>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</si>
  <si>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</si>
  <si>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</si>
  <si>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</si>
  <si>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</si>
  <si>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</si>
  <si>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</si>
  <si>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</si>
  <si>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</si>
  <si>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</si>
  <si>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</si>
  <si>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</si>
  <si>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</si>
  <si>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</si>
  <si>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</si>
  <si>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</si>
  <si>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</si>
  <si>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</si>
  <si>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</si>
  <si>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</si>
  <si>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</si>
  <si>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</si>
  <si>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</si>
  <si>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</si>
  <si>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</si>
  <si>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</si>
  <si>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</si>
  <si>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</si>
  <si>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</si>
  <si>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</si>
  <si>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</si>
  <si>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</si>
  <si>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</si>
  <si>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</si>
  <si>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</si>
  <si>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</si>
  <si>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</si>
  <si>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</si>
  <si>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</si>
  <si>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</si>
  <si>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</si>
  <si>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</si>
  <si>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</si>
  <si>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</si>
  <si>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</si>
  <si>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</si>
  <si>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</si>
  <si>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</si>
  <si>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</si>
  <si>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</si>
  <si>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</si>
  <si>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</si>
  <si>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</si>
  <si>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</si>
  <si>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</si>
  <si>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</si>
  <si>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</si>
  <si>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</si>
  <si>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</si>
  <si>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</si>
  <si>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</si>
  <si>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</si>
  <si>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</si>
  <si>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</si>
  <si>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</si>
  <si>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</si>
  <si>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</si>
  <si>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</si>
  <si>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</si>
  <si>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</si>
  <si>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</si>
  <si>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</si>
  <si>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</si>
  <si>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</si>
  <si>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</si>
  <si>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</si>
  <si>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</si>
  <si>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</si>
  <si>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</si>
  <si>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</si>
  <si>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</si>
  <si>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</si>
  <si>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</si>
  <si>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</si>
  <si>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</si>
  <si>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</si>
  <si>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</si>
  <si>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</si>
  <si>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</si>
  <si>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</si>
  <si>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</si>
  <si>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</si>
  <si>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</si>
  <si>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</si>
  <si>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</si>
  <si>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</si>
  <si>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</si>
  <si>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</si>
  <si>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</si>
  <si>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</si>
  <si>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</si>
  <si>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</si>
  <si>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</si>
  <si>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</si>
  <si>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</si>
  <si>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</si>
  <si>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</si>
  <si>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</si>
  <si>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</si>
  <si>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</si>
  <si>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</si>
  <si>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</si>
  <si>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</si>
  <si>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</si>
  <si>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</si>
  <si>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</si>
  <si>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</si>
  <si>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</si>
  <si>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</si>
  <si>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</si>
  <si>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</si>
  <si>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</si>
  <si>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</si>
  <si>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</si>
  <si>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</si>
  <si>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</si>
  <si>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</si>
  <si>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</si>
  <si>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</si>
  <si>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</si>
  <si>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</si>
  <si>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</si>
  <si>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</si>
  <si>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</si>
  <si>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</si>
  <si>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</si>
  <si>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</si>
  <si>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</si>
  <si>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</si>
  <si>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</si>
  <si>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</si>
  <si>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</si>
  <si>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</si>
  <si>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</si>
  <si>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</si>
  <si>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</si>
  <si>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</si>
  <si>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</si>
  <si>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</si>
  <si>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</si>
  <si>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</si>
  <si>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</si>
  <si>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</si>
  <si>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</si>
  <si>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</si>
  <si>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</si>
  <si>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</si>
  <si>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</si>
  <si>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</si>
  <si>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</si>
  <si>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</si>
  <si>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</si>
  <si>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</si>
  <si>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</si>
  <si>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</si>
  <si>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</si>
  <si>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</si>
  <si>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</si>
  <si>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</si>
  <si>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</si>
  <si>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</si>
  <si>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</si>
  <si>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</si>
  <si>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</si>
  <si>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</si>
  <si>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</si>
  <si>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</si>
  <si>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</si>
  <si>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</si>
  <si>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</si>
  <si>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</si>
  <si>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</si>
  <si>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</si>
  <si>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</si>
  <si>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</si>
  <si>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</si>
  <si>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</si>
  <si>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</si>
  <si>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</si>
  <si>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</si>
  <si>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</si>
  <si>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</si>
  <si>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</si>
  <si>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</si>
  <si>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</si>
  <si>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</si>
  <si>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</si>
  <si>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</si>
  <si>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</si>
  <si>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</si>
  <si>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</si>
  <si>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</si>
  <si>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</si>
  <si>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</si>
  <si>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</si>
  <si>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</si>
  <si>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</si>
  <si>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</si>
  <si>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</si>
  <si>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</si>
  <si>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</si>
  <si>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</si>
  <si>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</si>
  <si>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</si>
  <si>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</si>
  <si>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</si>
  <si>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</si>
  <si>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</si>
  <si>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</si>
  <si>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</si>
  <si>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</si>
  <si>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</si>
  <si>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</si>
  <si>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</si>
  <si>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</si>
  <si>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</si>
  <si>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</si>
  <si>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</si>
  <si>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</si>
  <si>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</si>
  <si>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</si>
  <si>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</si>
  <si>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</si>
  <si>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</si>
  <si>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</si>
  <si>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</si>
  <si>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</si>
  <si>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</si>
  <si>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</si>
  <si>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</si>
  <si>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</si>
  <si>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</si>
  <si>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</si>
  <si>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</si>
  <si>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</si>
  <si>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</si>
  <si>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</si>
  <si>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</si>
  <si>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</si>
  <si>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</si>
  <si>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</si>
  <si>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</si>
  <si>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</si>
  <si>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</si>
  <si>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</si>
  <si>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</si>
  <si>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</si>
  <si>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</si>
  <si>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</si>
  <si>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</si>
  <si>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</si>
  <si>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</si>
  <si>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</si>
  <si>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</si>
  <si>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</si>
  <si>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</si>
  <si>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</si>
  <si>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</si>
  <si>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</si>
  <si>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</si>
  <si>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</si>
  <si>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</si>
  <si>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</si>
  <si>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</si>
  <si>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</si>
  <si>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</si>
  <si>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</si>
  <si>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</si>
  <si>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</si>
  <si>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</si>
  <si>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</si>
  <si>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</si>
  <si>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</si>
  <si>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</si>
  <si>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</si>
  <si>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</si>
  <si>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</si>
  <si>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</si>
  <si>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</si>
  <si>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</si>
  <si>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</si>
  <si>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</si>
  <si>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</si>
  <si>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</si>
  <si>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</si>
  <si>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</si>
  <si>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</si>
  <si>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</si>
  <si>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</si>
  <si>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</si>
  <si>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</si>
  <si>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</si>
  <si>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</si>
  <si>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</si>
  <si>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</si>
  <si>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</si>
  <si>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</si>
  <si>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</si>
  <si>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</si>
  <si>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</si>
  <si>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</si>
  <si>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</si>
  <si>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</si>
  <si>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</si>
  <si>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</si>
  <si>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</si>
  <si>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</si>
  <si>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</si>
  <si>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</si>
  <si>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</si>
  <si>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</si>
  <si>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</si>
  <si>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</si>
  <si>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</si>
  <si>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</si>
  <si>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</si>
  <si>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</si>
  <si>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</si>
  <si>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</si>
  <si>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</si>
  <si>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</si>
  <si>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</si>
  <si>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</si>
  <si>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</si>
  <si>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</si>
  <si>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</si>
  <si>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</si>
  <si>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</si>
  <si>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</si>
  <si>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</si>
  <si>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</si>
  <si>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</si>
  <si>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</si>
  <si>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</si>
  <si>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</si>
  <si>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</si>
  <si>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</si>
  <si>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</si>
  <si>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</si>
  <si>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</si>
  <si>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</si>
  <si>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</si>
  <si>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</si>
  <si>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</si>
  <si>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</si>
  <si>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</si>
  <si>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</si>
  <si>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</si>
  <si>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</si>
  <si>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</si>
  <si>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</si>
  <si>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</si>
  <si>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</si>
  <si>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</si>
  <si>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</si>
  <si>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</si>
  <si>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</si>
  <si>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</si>
  <si>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</si>
  <si>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</si>
  <si>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</si>
  <si>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</si>
  <si>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</si>
  <si>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</si>
  <si>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</si>
  <si>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</si>
  <si>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</si>
  <si>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</si>
  <si>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</si>
  <si>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</si>
  <si>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</si>
  <si>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</si>
  <si>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</si>
  <si>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</si>
  <si>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</si>
  <si>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</si>
  <si>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</si>
  <si>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</si>
  <si>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</si>
  <si>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</si>
  <si>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</si>
  <si>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</si>
  <si>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</si>
  <si>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</si>
  <si>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</si>
  <si>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</si>
  <si>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</si>
  <si>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</si>
  <si>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</si>
  <si>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</si>
  <si>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</si>
  <si>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</si>
  <si>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</si>
  <si>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</si>
  <si>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</si>
  <si>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</si>
  <si>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</si>
  <si>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</si>
  <si>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</si>
  <si>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</si>
  <si>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</si>
  <si>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</si>
  <si>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</si>
  <si>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</si>
  <si>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</si>
  <si>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</si>
  <si>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</si>
  <si>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</si>
  <si>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</si>
  <si>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</si>
  <si>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</si>
  <si>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</si>
  <si>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</si>
  <si>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</si>
  <si>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</si>
  <si>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</si>
  <si>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</si>
  <si>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</si>
  <si>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</si>
  <si>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</si>
  <si>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</si>
  <si>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</si>
  <si>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</si>
  <si>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</si>
  <si>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</si>
  <si>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</si>
  <si>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</si>
  <si>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</si>
  <si>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</si>
  <si>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</si>
  <si>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</si>
  <si>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</si>
  <si>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</si>
  <si>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</si>
  <si>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</si>
  <si>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</si>
  <si>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</si>
  <si>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</si>
  <si>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</si>
  <si>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</si>
  <si>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</si>
  <si>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</si>
  <si>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</si>
  <si>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</si>
  <si>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</si>
  <si>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</si>
  <si>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</si>
  <si>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</si>
  <si>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</si>
  <si>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</si>
  <si>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</si>
  <si>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</si>
  <si>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</si>
  <si>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</si>
  <si>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</si>
  <si>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</si>
  <si>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</si>
  <si>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</si>
  <si>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</si>
  <si>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</si>
  <si>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</si>
  <si>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</si>
  <si>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</si>
  <si>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</si>
  <si>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</si>
  <si>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</si>
  <si>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</si>
  <si>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</si>
  <si>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</si>
  <si>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</si>
  <si>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</si>
  <si>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</si>
  <si>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</si>
  <si>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</si>
  <si>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</si>
  <si>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</si>
  <si>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</si>
  <si>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</si>
  <si>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</si>
  <si>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</si>
  <si>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</si>
  <si>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</si>
  <si>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</si>
  <si>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</si>
  <si>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</si>
  <si>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</si>
  <si>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</si>
  <si>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</si>
  <si>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</si>
  <si>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</si>
  <si>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</si>
  <si>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</si>
  <si>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</si>
  <si>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</si>
  <si>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</si>
  <si>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</si>
  <si>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</si>
  <si>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</si>
  <si>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</si>
  <si>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</si>
  <si>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</si>
  <si>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</si>
  <si>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</si>
  <si>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</si>
  <si>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</si>
  <si>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</si>
  <si>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</si>
  <si>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</si>
  <si>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</si>
  <si>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</si>
  <si>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</si>
  <si>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</si>
  <si>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</si>
  <si>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</si>
  <si>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</si>
  <si>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</si>
  <si>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</si>
  <si>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</si>
  <si>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</si>
  <si>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</si>
  <si>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</si>
  <si>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</si>
  <si>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</si>
  <si>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</si>
  <si>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</si>
  <si>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</si>
  <si>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</si>
  <si>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</si>
  <si>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</si>
  <si>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</si>
  <si>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</si>
  <si>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</si>
  <si>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</si>
  <si>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</si>
  <si>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</si>
  <si>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</si>
  <si>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</si>
  <si>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</si>
  <si>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</si>
  <si>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</si>
  <si>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</si>
  <si>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</si>
  <si>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</si>
  <si>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</si>
  <si>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</si>
  <si>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</si>
  <si>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</si>
  <si>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</si>
  <si>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</si>
  <si>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</si>
  <si>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</si>
  <si>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</si>
  <si>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</si>
  <si>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</si>
  <si>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</si>
  <si>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</si>
  <si>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</si>
  <si>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</si>
  <si>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</si>
  <si>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</si>
  <si>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</si>
  <si>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</si>
  <si>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</si>
  <si>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</si>
  <si>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</si>
  <si>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</si>
  <si>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</si>
  <si>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</si>
  <si>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</si>
  <si>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</si>
  <si>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</si>
  <si>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</si>
  <si>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</si>
  <si>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</si>
  <si>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</si>
  <si>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</si>
  <si>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</si>
  <si>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</si>
  <si>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</si>
  <si>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</si>
  <si>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</si>
  <si>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</si>
  <si>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</si>
  <si>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</si>
  <si>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</si>
  <si>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</si>
  <si>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</si>
  <si>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</si>
  <si>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</si>
  <si>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</si>
  <si>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</si>
  <si>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</si>
  <si>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</si>
  <si>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</si>
  <si>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</si>
  <si>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</si>
  <si>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</si>
  <si>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</si>
  <si>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</si>
  <si>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</si>
  <si>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</si>
  <si>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</si>
  <si>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</si>
  <si>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</si>
  <si>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</si>
  <si>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</si>
  <si>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</si>
  <si>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</si>
  <si>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</si>
  <si>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</si>
  <si>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</si>
  <si>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</si>
  <si>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</si>
  <si>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</si>
  <si>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</si>
  <si>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</si>
  <si>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</si>
  <si>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</si>
  <si>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</si>
  <si>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</si>
  <si>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</si>
  <si>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</si>
  <si>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</si>
  <si>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</si>
  <si>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</si>
  <si>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</si>
  <si>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</si>
  <si>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</si>
  <si>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</si>
  <si>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</si>
  <si>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</si>
  <si>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</si>
  <si>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</si>
  <si>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</si>
  <si>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</si>
  <si>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</si>
  <si>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</si>
  <si>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</si>
  <si>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</si>
  <si>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</si>
  <si>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</si>
  <si>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</si>
  <si>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</si>
  <si>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</si>
  <si>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</si>
  <si>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</si>
  <si>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</si>
  <si>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</si>
  <si>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</si>
  <si>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</si>
  <si>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</si>
  <si>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</si>
  <si>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</si>
  <si>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</si>
  <si>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</si>
  <si>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</si>
  <si>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</si>
  <si>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</si>
  <si>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</si>
  <si>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</si>
  <si>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</si>
  <si>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</si>
  <si>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</si>
  <si>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</si>
  <si>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</si>
  <si>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</si>
  <si>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</si>
  <si>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</si>
  <si>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</si>
  <si>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</si>
  <si>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</si>
  <si>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</si>
  <si>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</si>
  <si>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</si>
  <si>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</si>
  <si>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</si>
  <si>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</si>
  <si>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</si>
  <si>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</si>
  <si>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</si>
  <si>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</si>
  <si>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</si>
  <si>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</si>
  <si>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</si>
  <si>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</si>
  <si>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</si>
  <si>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</si>
  <si>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</si>
  <si>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</si>
  <si>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</si>
  <si>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</si>
  <si>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</si>
  <si>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</si>
  <si>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</si>
  <si>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</si>
  <si>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</si>
  <si>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</si>
  <si>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</si>
  <si>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</si>
  <si>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</si>
  <si>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</si>
  <si>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</si>
  <si>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</si>
  <si>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</si>
  <si>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</si>
  <si>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</si>
  <si>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</si>
  <si>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</si>
  <si>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</si>
  <si>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</si>
  <si>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</si>
  <si>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</si>
  <si>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</si>
  <si>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</si>
  <si>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</si>
  <si>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</si>
  <si>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</si>
  <si>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</si>
  <si>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</si>
  <si>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</si>
  <si>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</si>
  <si>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</si>
  <si>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</si>
  <si>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</si>
  <si>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</si>
  <si>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</si>
  <si>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</si>
  <si>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</si>
  <si>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</si>
  <si>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</si>
  <si>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</si>
  <si>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</si>
  <si>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</si>
  <si>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</si>
  <si>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</si>
  <si>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</si>
  <si>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</si>
  <si>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</si>
  <si>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</si>
  <si>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</si>
  <si>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</si>
  <si>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</si>
  <si>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</si>
  <si>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</si>
  <si>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</si>
  <si>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</si>
  <si>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</si>
  <si>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</si>
  <si>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</si>
  <si>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</si>
  <si>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</si>
  <si>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</si>
  <si>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</si>
  <si>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</si>
  <si>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</si>
  <si>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</si>
  <si>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</si>
  <si>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</si>
  <si>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</si>
  <si>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</si>
  <si>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</si>
  <si>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</si>
  <si>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</si>
  <si>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</si>
  <si>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</si>
  <si>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</si>
  <si>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</si>
  <si>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</si>
  <si>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</si>
  <si>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</si>
  <si>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</si>
  <si>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</si>
  <si>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</si>
  <si>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</si>
  <si>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</si>
  <si>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</si>
  <si>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</si>
  <si>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</si>
  <si>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</si>
  <si>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</si>
  <si>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</si>
  <si>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</si>
  <si>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</si>
  <si>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</si>
  <si>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</si>
  <si>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</si>
  <si>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</si>
  <si>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</si>
  <si>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</si>
  <si>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</si>
  <si>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</si>
  <si>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</si>
  <si>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</si>
  <si>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</si>
  <si>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</si>
  <si>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</si>
  <si>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</si>
  <si>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</si>
  <si>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</si>
  <si>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</si>
  <si>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</si>
  <si>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</si>
  <si>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</si>
  <si>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</si>
  <si>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</si>
  <si>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</si>
  <si>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</si>
  <si>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</si>
  <si>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</si>
  <si>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</si>
  <si>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</si>
  <si>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</si>
  <si>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</si>
  <si>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</si>
  <si>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</si>
  <si>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</si>
  <si>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</si>
  <si>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</si>
  <si>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</si>
  <si>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</si>
  <si>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</si>
  <si>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</si>
  <si>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</si>
  <si>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</si>
  <si>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</si>
  <si>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</si>
  <si>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</si>
  <si>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</si>
  <si>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</si>
  <si>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</si>
  <si>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</si>
  <si>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</si>
  <si>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</si>
  <si>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</si>
  <si>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</si>
  <si>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</si>
  <si>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</si>
  <si>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</si>
  <si>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</si>
  <si>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</si>
  <si>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</si>
  <si>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</si>
  <si>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</si>
  <si>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</si>
  <si>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</si>
  <si>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</si>
  <si>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</si>
  <si>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</si>
  <si>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</si>
  <si>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</si>
  <si>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</si>
  <si>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</si>
  <si>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</si>
  <si>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</si>
  <si>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</si>
  <si>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</si>
  <si>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</si>
  <si>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</si>
  <si>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</si>
  <si>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</si>
  <si>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</si>
  <si>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</si>
  <si>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</si>
  <si>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</si>
  <si>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</si>
  <si>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</si>
  <si>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</si>
  <si>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</si>
  <si>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</si>
  <si>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</si>
  <si>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</si>
  <si>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</si>
  <si>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</si>
  <si>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</si>
  <si>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</si>
  <si>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</si>
  <si>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</si>
  <si>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</si>
  <si>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</si>
  <si>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</si>
  <si>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</si>
  <si>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</si>
  <si>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</si>
  <si>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</si>
  <si>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</si>
  <si>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</si>
  <si>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</si>
  <si>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</si>
  <si>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</si>
  <si>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</si>
  <si>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</si>
  <si>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</si>
  <si>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</si>
  <si>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</si>
  <si>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</si>
  <si>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</si>
  <si>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</si>
  <si>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</si>
  <si>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</si>
  <si>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</si>
  <si>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</si>
  <si>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</si>
  <si>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</si>
  <si>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</si>
  <si>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</si>
  <si>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</si>
  <si>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</si>
  <si>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</si>
  <si>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</si>
  <si>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</si>
  <si>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</si>
  <si>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</si>
  <si>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</si>
  <si>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</si>
  <si>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</si>
  <si>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</si>
  <si>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</si>
  <si>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</si>
  <si>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</si>
  <si>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</si>
  <si>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</si>
  <si>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</si>
  <si>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</si>
  <si>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</si>
  <si>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</si>
  <si>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</si>
  <si>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</si>
  <si>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</si>
  <si>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</si>
  <si>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</si>
  <si>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</si>
  <si>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</si>
  <si>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</si>
  <si>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</si>
  <si>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</si>
  <si>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</si>
  <si>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</si>
  <si>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</si>
  <si>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</si>
  <si>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</si>
  <si>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</si>
  <si>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</si>
  <si>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</si>
  <si>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</si>
  <si>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</si>
  <si>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</si>
  <si>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</si>
  <si>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</si>
  <si>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</si>
  <si>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</si>
  <si>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</si>
  <si>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</si>
  <si>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</si>
  <si>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</si>
  <si>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</si>
  <si>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</si>
  <si>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</si>
  <si>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</si>
  <si>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</si>
  <si>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</si>
  <si>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</si>
  <si>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</si>
  <si>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</si>
  <si>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</si>
  <si>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</si>
  <si>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</si>
  <si>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</si>
  <si>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</si>
  <si>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</si>
  <si>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</si>
  <si>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</si>
  <si>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</si>
  <si>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</si>
  <si>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</si>
  <si>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</si>
  <si>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</si>
  <si>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</si>
  <si>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</si>
  <si>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</si>
  <si>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</si>
  <si>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</si>
  <si>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</si>
  <si>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</si>
  <si>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</si>
  <si>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</si>
  <si>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</si>
  <si>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</si>
  <si>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</si>
  <si>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</si>
  <si>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</si>
  <si>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</si>
  <si>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</si>
  <si>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</si>
  <si>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</si>
  <si>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</si>
  <si>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</si>
  <si>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</si>
  <si>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</si>
  <si>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</si>
  <si>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</si>
  <si>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</si>
  <si>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</si>
  <si>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</si>
  <si>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</si>
  <si>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</si>
  <si>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</si>
  <si>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</si>
  <si>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</si>
  <si>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</si>
  <si>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</si>
  <si>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</si>
  <si>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</si>
  <si>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</si>
  <si>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</si>
  <si>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</si>
  <si>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</si>
  <si>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</si>
  <si>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</si>
  <si>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</si>
  <si>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</si>
  <si>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</si>
  <si>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</si>
  <si>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</si>
  <si>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</si>
  <si>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</si>
  <si>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</si>
  <si>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</si>
  <si>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</si>
  <si>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</si>
  <si>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</si>
  <si>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</si>
  <si>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</si>
  <si>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</si>
  <si>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</si>
  <si>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</si>
  <si>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</si>
  <si>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</si>
  <si>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</si>
  <si>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</si>
  <si>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</si>
  <si>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</si>
  <si>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</si>
  <si>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</si>
  <si>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</si>
  <si>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</si>
  <si>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</si>
  <si>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</si>
  <si>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</si>
  <si>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</si>
  <si>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</si>
  <si>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</si>
  <si>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</si>
  <si>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</si>
  <si>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</si>
  <si>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</si>
  <si>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</si>
  <si>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</si>
  <si>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</si>
  <si>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</si>
  <si>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</si>
  <si>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</si>
  <si>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</si>
  <si>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</si>
  <si>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</si>
  <si>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</si>
  <si>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</si>
  <si>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</si>
  <si>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</si>
  <si>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</si>
  <si>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</si>
  <si>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</si>
  <si>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</si>
  <si>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</si>
  <si>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</si>
  <si>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</si>
  <si>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</si>
  <si>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</si>
  <si>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</si>
  <si>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</si>
  <si>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</si>
  <si>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</si>
  <si>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</si>
  <si>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</si>
  <si>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</si>
  <si>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</si>
  <si>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</si>
  <si>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</si>
  <si>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</si>
  <si>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</si>
  <si>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</si>
  <si>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</si>
  <si>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</si>
  <si>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</si>
  <si>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</si>
  <si>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</si>
  <si>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</si>
  <si>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</si>
  <si>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</si>
  <si>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</si>
  <si>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</si>
  <si>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</si>
  <si>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</si>
  <si>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</si>
  <si>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</si>
  <si>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</si>
  <si>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</si>
  <si>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</si>
  <si>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</si>
  <si>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</si>
  <si>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</si>
  <si>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</si>
  <si>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</si>
  <si>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</si>
  <si>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</si>
  <si>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</si>
  <si>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</si>
  <si>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</si>
  <si>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</si>
  <si>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</si>
  <si>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</si>
  <si>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</si>
  <si>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</si>
  <si>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</si>
  <si>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</si>
  <si>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</si>
  <si>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</si>
  <si>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</si>
  <si>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</si>
  <si>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</si>
  <si>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</si>
  <si>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</si>
  <si>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</si>
  <si>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</si>
  <si>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</si>
  <si>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</si>
  <si>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</si>
  <si>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</si>
  <si>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</si>
  <si>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</si>
  <si>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</si>
  <si>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</si>
  <si>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</si>
  <si>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</si>
  <si>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</si>
  <si>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</si>
  <si>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</si>
  <si>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</si>
  <si>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</si>
  <si>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</si>
  <si>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</si>
  <si>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</si>
  <si>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</si>
  <si>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</si>
  <si>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</si>
  <si>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</si>
  <si>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</si>
  <si>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</si>
  <si>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</si>
  <si>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</si>
  <si>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</si>
  <si>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</si>
  <si>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</si>
  <si>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</si>
  <si>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</si>
  <si>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</si>
  <si>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</si>
  <si>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</si>
  <si>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</si>
  <si>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</si>
  <si>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</si>
  <si>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</si>
  <si>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</si>
  <si>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</si>
  <si>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</si>
  <si>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</si>
  <si>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</si>
  <si>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</si>
  <si>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</si>
  <si>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</si>
  <si>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</si>
  <si>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</si>
  <si>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</si>
  <si>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</si>
  <si>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</si>
  <si>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</si>
  <si>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</si>
  <si>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</si>
  <si>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</si>
  <si>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</si>
  <si>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</si>
  <si>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</si>
  <si>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</si>
  <si>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</si>
  <si>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</si>
  <si>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</si>
  <si>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</si>
  <si>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</si>
  <si>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</si>
  <si>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</si>
  <si>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</si>
  <si>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</si>
  <si>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</si>
  <si>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</si>
  <si>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</si>
  <si>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</si>
  <si>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</si>
  <si>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</si>
  <si>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</si>
  <si>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</si>
  <si>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</si>
  <si>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</si>
  <si>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</si>
  <si>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</si>
  <si>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</si>
  <si>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</si>
  <si>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</si>
  <si>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</si>
  <si>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</si>
  <si>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</si>
  <si>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</si>
  <si>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</si>
  <si>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</si>
  <si>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</si>
  <si>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</si>
  <si>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</si>
  <si>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</si>
  <si>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</si>
  <si>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</si>
  <si>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</si>
  <si>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</si>
  <si>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</si>
  <si>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</si>
  <si>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</si>
  <si>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</si>
  <si>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</si>
  <si>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</si>
  <si>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</si>
  <si>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</si>
  <si>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</si>
  <si>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</si>
  <si>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</si>
  <si>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</si>
  <si>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</si>
  <si>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</si>
  <si>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</si>
  <si>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</si>
  <si>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</si>
  <si>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</si>
  <si>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</si>
  <si>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</si>
  <si>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</si>
  <si>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</si>
  <si>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</si>
  <si>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</si>
  <si>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</si>
  <si>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</si>
  <si>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</si>
  <si>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</si>
  <si>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</si>
  <si>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</si>
  <si>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</si>
  <si>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</si>
  <si>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</si>
  <si>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</si>
  <si>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</si>
  <si>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</si>
  <si>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</si>
  <si>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</si>
  <si>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</si>
  <si>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</si>
  <si>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</si>
  <si>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</si>
  <si>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</si>
  <si>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</si>
  <si>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</si>
  <si>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</si>
  <si>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</si>
  <si>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</si>
  <si>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</si>
  <si>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</si>
  <si>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</si>
  <si>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</si>
  <si>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</si>
  <si>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</si>
  <si>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</si>
  <si>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</si>
  <si>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</si>
  <si>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</si>
  <si>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</si>
  <si>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</si>
  <si>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</si>
  <si>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</si>
  <si>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</si>
  <si>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</si>
  <si>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</si>
  <si>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</si>
  <si>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</si>
  <si>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</si>
  <si>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</si>
  <si>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</si>
  <si>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</si>
  <si>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</si>
  <si>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</si>
  <si>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</si>
  <si>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</si>
  <si>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</si>
  <si>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</si>
  <si>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</si>
  <si>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</si>
  <si>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</si>
  <si>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</si>
  <si>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</si>
  <si>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</si>
  <si>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</si>
  <si>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</si>
  <si>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</si>
  <si>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</si>
  <si>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</si>
  <si>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</si>
  <si>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</si>
  <si>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</si>
  <si>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</si>
  <si>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</si>
  <si>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</si>
  <si>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</si>
  <si>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</si>
  <si>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</si>
  <si>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</si>
  <si>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</si>
  <si>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</si>
  <si>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</si>
  <si>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</si>
  <si>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</si>
  <si>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</si>
  <si>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</si>
  <si>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</si>
  <si>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</si>
  <si>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</si>
  <si>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</si>
  <si>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</si>
  <si>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</si>
  <si>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</si>
  <si>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</si>
  <si>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</si>
  <si>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</si>
  <si>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</si>
  <si>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</si>
  <si>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</si>
  <si>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</si>
  <si>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</si>
  <si>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</si>
  <si>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</si>
  <si>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</si>
  <si>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</si>
  <si>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</si>
  <si>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</si>
  <si>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</si>
  <si>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</si>
  <si>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</si>
  <si>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</si>
  <si>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</si>
  <si>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</si>
  <si>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</si>
  <si>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</si>
  <si>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</si>
  <si>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</si>
  <si>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</si>
  <si>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</si>
  <si>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</si>
  <si>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</si>
  <si>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</si>
  <si>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</si>
  <si>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</si>
  <si>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</si>
  <si>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</si>
  <si>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</si>
  <si>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</si>
  <si>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</si>
  <si>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</si>
  <si>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</si>
  <si>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</si>
  <si>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</si>
  <si>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</si>
  <si>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</si>
  <si>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</si>
  <si>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</si>
  <si>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</si>
  <si>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</si>
  <si>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</si>
  <si>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</si>
  <si>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</si>
  <si>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</si>
  <si>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</si>
  <si>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</si>
  <si>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</si>
  <si>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</si>
  <si>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</si>
  <si>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</si>
  <si>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</si>
  <si>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</si>
  <si>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</si>
  <si>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</si>
  <si>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</si>
  <si>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</si>
  <si>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</si>
  <si>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</si>
  <si>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</si>
  <si>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</si>
  <si>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</si>
  <si>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</si>
  <si>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</si>
  <si>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</si>
  <si>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</si>
  <si>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</si>
  <si>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</si>
  <si>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</si>
  <si>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</si>
  <si>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</si>
  <si>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</si>
  <si>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</si>
  <si>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</si>
  <si>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</si>
  <si>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</si>
  <si>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</si>
  <si>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</si>
  <si>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</si>
  <si>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</si>
  <si>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</si>
  <si>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</si>
  <si>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</si>
  <si>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</si>
  <si>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</si>
  <si>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</si>
  <si>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</si>
  <si>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</si>
  <si>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</si>
  <si>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</si>
  <si>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</si>
  <si>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</si>
  <si>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</si>
  <si>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</si>
  <si>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</si>
  <si>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</si>
  <si>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</si>
  <si>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</si>
  <si>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</si>
  <si>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</si>
  <si>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</si>
  <si>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</si>
  <si>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</si>
  <si>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</si>
  <si>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</si>
  <si>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</si>
  <si>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</si>
  <si>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</si>
  <si>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</si>
  <si>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</si>
  <si>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</si>
  <si>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</si>
  <si>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</si>
  <si>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</si>
  <si>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</si>
  <si>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</si>
  <si>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</si>
  <si>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</si>
  <si>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</si>
  <si>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</si>
  <si>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</si>
  <si>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</si>
  <si>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</si>
  <si>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</si>
  <si>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</si>
  <si>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</si>
  <si>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</si>
  <si>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</si>
  <si>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</si>
  <si>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</si>
  <si>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</si>
  <si>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</si>
  <si>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</si>
  <si>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</si>
  <si>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</si>
  <si>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</si>
  <si>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</si>
  <si>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</si>
  <si>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</si>
  <si>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</si>
  <si>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</si>
  <si>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</si>
  <si>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</si>
  <si>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</si>
  <si>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</si>
  <si>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</si>
  <si>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</si>
  <si>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</si>
  <si>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</si>
  <si>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</si>
  <si>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</si>
  <si>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</si>
  <si>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</si>
  <si>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</si>
  <si>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</si>
  <si>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</si>
  <si>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</si>
  <si>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</si>
  <si>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</si>
  <si>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</si>
  <si>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</si>
  <si>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</si>
  <si>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</si>
  <si>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</si>
  <si>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</si>
  <si>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</si>
  <si>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</si>
  <si>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</si>
  <si>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</si>
  <si>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</si>
  <si>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</si>
  <si>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</si>
  <si>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</si>
  <si>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</si>
  <si>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</si>
  <si>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</si>
  <si>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</si>
  <si>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</si>
  <si>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</si>
  <si>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</si>
  <si>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</si>
  <si>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</si>
  <si>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</si>
  <si>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</si>
  <si>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</si>
  <si>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</si>
  <si>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</si>
  <si>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</si>
  <si>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</si>
  <si>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</si>
  <si>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</si>
  <si>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</si>
  <si>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</si>
  <si>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</si>
  <si>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</si>
  <si>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</si>
  <si>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</si>
  <si>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</si>
  <si>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</si>
  <si>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</si>
  <si>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</si>
  <si>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</si>
  <si>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</si>
  <si>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</si>
  <si>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</si>
  <si>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</si>
  <si>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</si>
  <si>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</si>
  <si>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</si>
  <si>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</si>
  <si>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</si>
  <si>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</si>
  <si>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</si>
  <si>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</si>
  <si>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</si>
  <si>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</si>
  <si>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</si>
  <si>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</si>
  <si>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</si>
  <si>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</si>
  <si>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</si>
  <si>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</si>
  <si>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</si>
  <si>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</si>
  <si>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</si>
  <si>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</si>
  <si>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</si>
  <si>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</si>
  <si>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</si>
  <si>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</si>
  <si>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</si>
  <si>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</si>
  <si>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</si>
  <si>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</si>
  <si>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</si>
  <si>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</si>
  <si>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</si>
  <si>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</si>
  <si>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</si>
  <si>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</si>
  <si>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</si>
  <si>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</si>
  <si>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</si>
  <si>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</si>
  <si>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</si>
  <si>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</si>
  <si>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</si>
  <si>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</si>
  <si>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</si>
  <si>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</si>
  <si>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</si>
  <si>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</si>
  <si>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</si>
  <si>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</si>
  <si>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</si>
  <si>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</si>
  <si>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</si>
  <si>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</si>
  <si>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</si>
  <si>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</si>
  <si>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</si>
  <si>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</si>
  <si>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</si>
  <si>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</si>
  <si>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</si>
  <si>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</si>
  <si>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</si>
  <si>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</si>
  <si>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</si>
  <si>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</si>
  <si>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</si>
  <si>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</si>
  <si>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</si>
  <si>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</si>
  <si>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</si>
  <si>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</si>
  <si>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</si>
  <si>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</si>
  <si>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</si>
  <si>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</si>
  <si>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</si>
  <si>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</si>
  <si>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</si>
  <si>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</si>
  <si>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</si>
  <si>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</si>
  <si>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</si>
  <si>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</si>
  <si>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</si>
  <si>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</si>
  <si>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</si>
  <si>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</si>
  <si>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</si>
  <si>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</si>
  <si>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</si>
  <si>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</si>
  <si>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</si>
  <si>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</si>
  <si>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</si>
  <si>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</si>
  <si>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</si>
  <si>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</si>
  <si>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</si>
  <si>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</si>
  <si>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</si>
  <si>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</si>
  <si>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</si>
  <si>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</si>
  <si>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</si>
  <si>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</si>
  <si>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</si>
  <si>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</si>
  <si>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</si>
  <si>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</si>
  <si>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</si>
  <si>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</si>
  <si>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</si>
  <si>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</si>
  <si>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</si>
  <si>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</si>
  <si>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</si>
  <si>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</si>
  <si>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</si>
  <si>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</si>
  <si>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</si>
  <si>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</si>
  <si>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</si>
  <si>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</si>
  <si>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</si>
  <si>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</si>
  <si>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</si>
  <si>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</si>
  <si>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</si>
  <si>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</si>
  <si>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</si>
  <si>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</si>
  <si>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</si>
  <si>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</si>
  <si>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</si>
  <si>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</si>
  <si>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</si>
  <si>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</si>
  <si>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</si>
  <si>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</si>
  <si>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</si>
  <si>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</si>
  <si>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</si>
  <si>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</si>
  <si>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</si>
  <si>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</si>
  <si>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</si>
  <si>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</si>
  <si>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</si>
  <si>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</si>
  <si>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</si>
  <si>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</si>
  <si>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</si>
  <si>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</si>
  <si>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</si>
  <si>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</si>
  <si>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</si>
  <si>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</si>
  <si>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</si>
  <si>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</si>
  <si>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</si>
  <si>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</si>
  <si>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</si>
  <si>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</si>
  <si>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</si>
  <si>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</si>
  <si>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</si>
  <si>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</si>
  <si>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</si>
  <si>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</si>
  <si>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</si>
  <si>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</si>
  <si>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</si>
  <si>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</si>
  <si>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</si>
  <si>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</si>
  <si>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</si>
  <si>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</si>
  <si>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</si>
  <si>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</si>
  <si>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</si>
  <si>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</si>
  <si>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</si>
  <si>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</si>
  <si>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</si>
  <si>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</si>
  <si>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</si>
  <si>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</si>
  <si>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</si>
  <si>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</si>
  <si>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</si>
  <si>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</si>
  <si>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</si>
  <si>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</si>
  <si>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</si>
  <si>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</si>
  <si>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</si>
  <si>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</si>
  <si>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</si>
  <si>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</si>
  <si>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</si>
  <si>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</si>
  <si>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</si>
  <si>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</si>
  <si>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</si>
  <si>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</si>
  <si>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</si>
  <si>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</si>
  <si>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</si>
  <si>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</si>
  <si>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</si>
  <si>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</si>
  <si>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</si>
  <si>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</si>
  <si>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</si>
  <si>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</si>
  <si>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</si>
  <si>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</si>
  <si>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</si>
  <si>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</si>
  <si>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</si>
  <si>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</si>
  <si>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</si>
  <si>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</si>
  <si>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</si>
  <si>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</si>
  <si>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</si>
  <si>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</si>
  <si>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</si>
  <si>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</si>
  <si>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</si>
  <si>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</si>
  <si>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</si>
  <si>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</si>
  <si>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</si>
  <si>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</si>
  <si>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</si>
  <si>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</si>
  <si>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</si>
  <si>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</si>
  <si>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</si>
  <si>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</si>
  <si>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</si>
  <si>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</si>
  <si>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</si>
  <si>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</si>
  <si>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</si>
  <si>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</si>
  <si>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</si>
  <si>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</si>
  <si>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</si>
  <si>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</si>
  <si>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</si>
  <si>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</si>
  <si>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</si>
  <si>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</si>
  <si>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</si>
  <si>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</si>
  <si>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</si>
  <si>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</si>
  <si>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</si>
  <si>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</si>
  <si>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</si>
  <si>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</si>
  <si>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</si>
  <si>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</si>
  <si>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</si>
  <si>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</si>
  <si>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</si>
  <si>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</si>
  <si>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</si>
  <si>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</si>
  <si>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</si>
  <si>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</si>
  <si>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</si>
  <si>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</si>
  <si>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</si>
  <si>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</si>
  <si>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</si>
  <si>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</si>
  <si>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</si>
  <si>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</si>
  <si>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</si>
  <si>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</si>
  <si>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</si>
  <si>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</si>
  <si>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</si>
  <si>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</si>
  <si>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</si>
  <si>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</si>
  <si>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</si>
  <si>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</si>
  <si>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</si>
  <si>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</si>
  <si>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</si>
  <si>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</si>
  <si>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</si>
  <si>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</si>
  <si>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</si>
  <si>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</si>
  <si>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</si>
  <si>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</si>
  <si>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</si>
  <si>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</si>
  <si>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</si>
  <si>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</si>
  <si>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</si>
  <si>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</si>
  <si>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</si>
  <si>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</si>
  <si>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</si>
  <si>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</si>
  <si>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</si>
  <si>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</si>
  <si>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</si>
  <si>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</si>
  <si>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</si>
  <si>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</si>
  <si>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</si>
  <si>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</si>
  <si>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</si>
  <si>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</si>
  <si>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</si>
  <si>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</si>
  <si>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</si>
  <si>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</si>
  <si>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</si>
  <si>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</si>
  <si>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</si>
  <si>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</si>
  <si>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</si>
  <si>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</si>
  <si>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</si>
  <si>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</si>
  <si>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</si>
  <si>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</si>
  <si>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</si>
  <si>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</si>
  <si>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</si>
  <si>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</si>
  <si>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</si>
  <si>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</si>
  <si>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</si>
  <si>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</si>
  <si>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</si>
  <si>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</si>
  <si>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</si>
  <si>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</si>
  <si>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</si>
  <si>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</si>
  <si>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</si>
  <si>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</si>
  <si>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</si>
  <si>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</si>
  <si>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</si>
  <si>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</si>
  <si>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</si>
  <si>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</si>
  <si>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</si>
  <si>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</si>
  <si>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</si>
  <si>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</si>
  <si>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</si>
  <si>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</si>
  <si>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</si>
  <si>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</si>
  <si>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</si>
  <si>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</si>
  <si>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</si>
  <si>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</si>
  <si>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</si>
  <si>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</si>
  <si>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</si>
  <si>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</si>
  <si>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</si>
  <si>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</si>
  <si>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</si>
  <si>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</si>
  <si>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</si>
  <si>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</si>
  <si>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</si>
  <si>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</si>
  <si>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</si>
  <si>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</si>
  <si>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</si>
  <si>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</si>
  <si>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</si>
  <si>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</si>
  <si>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</si>
  <si>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</si>
  <si>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</si>
  <si>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</si>
  <si>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</si>
  <si>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</si>
  <si>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</si>
  <si>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</si>
  <si>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</si>
  <si>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</si>
  <si>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</si>
  <si>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</si>
  <si>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</si>
  <si>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</si>
  <si>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</si>
  <si>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</si>
  <si>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</si>
  <si>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</si>
  <si>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</si>
  <si>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</si>
  <si>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</si>
  <si>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</si>
  <si>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</si>
  <si>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</si>
  <si>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</si>
  <si>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</si>
  <si>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</si>
  <si>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</si>
  <si>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</si>
  <si>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</si>
  <si>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</si>
  <si>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</si>
  <si>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</si>
  <si>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</si>
  <si>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</si>
  <si>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</si>
  <si>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</si>
  <si>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</si>
  <si>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</si>
  <si>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</si>
  <si>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</si>
  <si>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</si>
  <si>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</si>
  <si>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</si>
  <si>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</si>
  <si>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</si>
  <si>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</si>
  <si>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</si>
  <si>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</si>
  <si>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</si>
  <si>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</si>
  <si>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</si>
  <si>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</si>
  <si>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</si>
  <si>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</si>
  <si>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</si>
  <si>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</si>
  <si>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</si>
  <si>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</si>
  <si>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</si>
  <si>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</si>
  <si>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</si>
  <si>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</si>
  <si>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</si>
  <si>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</si>
  <si>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</si>
  <si>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</si>
  <si>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</si>
  <si>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</si>
  <si>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</si>
  <si>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</si>
  <si>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</si>
  <si>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</si>
  <si>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</si>
  <si>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</si>
  <si>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</si>
  <si>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</si>
  <si>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</si>
  <si>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</si>
  <si>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</si>
  <si>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</si>
  <si>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</si>
  <si>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</si>
  <si>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</si>
  <si>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</si>
  <si>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</si>
  <si>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</si>
  <si>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</si>
  <si>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</si>
  <si>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</si>
  <si>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</si>
  <si>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</si>
  <si>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</si>
  <si>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</si>
  <si>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</si>
  <si>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</si>
  <si>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</si>
  <si>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</si>
  <si>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</si>
  <si>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</si>
  <si>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</si>
  <si>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</si>
  <si>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</si>
  <si>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</si>
  <si>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</si>
  <si>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</si>
  <si>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</si>
  <si>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</si>
  <si>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</si>
  <si>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</si>
  <si>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</si>
  <si>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</si>
  <si>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</si>
  <si>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</si>
  <si>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</si>
  <si>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</si>
  <si>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</si>
  <si>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</si>
  <si>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</si>
  <si>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</si>
  <si>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</si>
  <si>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</si>
  <si>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</si>
  <si>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</si>
  <si>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</si>
  <si>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</si>
  <si>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</si>
  <si>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</si>
  <si>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</si>
  <si>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</si>
  <si>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</si>
  <si>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</si>
  <si>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</si>
  <si>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</si>
  <si>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</si>
  <si>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</si>
  <si>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</si>
  <si>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</si>
  <si>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</si>
  <si>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</si>
  <si>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</si>
  <si>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</si>
  <si>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</si>
  <si>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</si>
  <si>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</si>
  <si>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</si>
  <si>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</si>
  <si>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</si>
  <si>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</si>
  <si>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</si>
  <si>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</si>
  <si>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</si>
  <si>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</si>
  <si>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</si>
  <si>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</si>
  <si>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</si>
  <si>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</si>
  <si>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</si>
  <si>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</si>
  <si>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</si>
  <si>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</si>
  <si>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</si>
  <si>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</si>
  <si>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</si>
  <si>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</si>
  <si>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</si>
  <si>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</si>
  <si>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</si>
  <si>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</si>
  <si>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</si>
  <si>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</si>
  <si>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</si>
  <si>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</si>
  <si>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</si>
  <si>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</si>
  <si>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</si>
  <si>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</si>
  <si>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</si>
  <si>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</si>
  <si>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</si>
  <si>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</si>
  <si>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</si>
  <si>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</si>
  <si>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</si>
  <si>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</si>
  <si>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</si>
  <si>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</si>
  <si>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</si>
  <si>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</si>
  <si>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</si>
  <si>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</si>
  <si>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</si>
  <si>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</si>
  <si>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</si>
  <si>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</si>
  <si>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</si>
  <si>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</si>
  <si>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</si>
  <si>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</si>
  <si>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</si>
  <si>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</si>
  <si>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</si>
  <si>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</si>
  <si>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</si>
  <si>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</si>
  <si>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</si>
  <si>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</si>
  <si>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</si>
  <si>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</si>
  <si>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</si>
  <si>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</si>
  <si>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</si>
  <si>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</si>
  <si>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</si>
  <si>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</si>
  <si>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</si>
  <si>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</si>
  <si>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</si>
  <si>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</si>
  <si>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</si>
  <si>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</si>
  <si>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</si>
  <si>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</si>
  <si>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</si>
  <si>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</si>
  <si>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</si>
  <si>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</si>
  <si>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</si>
  <si>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</si>
  <si>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</si>
  <si>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</si>
  <si>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</si>
  <si>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</si>
  <si>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</si>
  <si>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</si>
  <si>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</si>
  <si>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</si>
  <si>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</si>
  <si>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</si>
  <si>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</si>
  <si>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</si>
  <si>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</si>
  <si>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</si>
  <si>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</si>
  <si>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</si>
  <si>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</si>
  <si>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</si>
  <si>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</si>
  <si>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</si>
  <si>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</si>
  <si>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</si>
  <si>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</si>
  <si>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</si>
  <si>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</si>
  <si>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</si>
  <si>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</si>
  <si>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</si>
  <si>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</si>
  <si>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</si>
  <si>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</si>
  <si>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</si>
  <si>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</si>
  <si>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</si>
  <si>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</si>
  <si>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</si>
  <si>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</si>
  <si>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</si>
  <si>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</si>
  <si>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</si>
  <si>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</si>
  <si>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</si>
  <si>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</si>
  <si>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</si>
  <si>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</si>
  <si>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</si>
  <si>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</si>
  <si>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</si>
  <si>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</si>
  <si>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</si>
  <si>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</si>
  <si>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</si>
  <si>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</si>
  <si>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</si>
  <si>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</si>
  <si>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</si>
  <si>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</si>
  <si>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</si>
  <si>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</si>
  <si>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</si>
  <si>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</si>
  <si>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</si>
  <si>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</si>
  <si>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</si>
  <si>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</si>
  <si>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</si>
  <si>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</si>
  <si>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</si>
  <si>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</si>
  <si>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</si>
  <si>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</si>
  <si>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</si>
  <si>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</si>
  <si>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</si>
  <si>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</si>
  <si>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</si>
  <si>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</si>
  <si>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</si>
  <si>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</si>
  <si>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</si>
  <si>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</si>
  <si>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</si>
  <si>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</si>
  <si>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</si>
  <si>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</si>
  <si>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</si>
  <si>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</si>
  <si>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</si>
  <si>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</si>
  <si>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</si>
  <si>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</si>
  <si>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</si>
  <si>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</si>
  <si>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</si>
  <si>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</si>
  <si>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</si>
  <si>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</si>
  <si>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</si>
  <si>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</si>
  <si>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</si>
  <si>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</si>
  <si>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</si>
  <si>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</si>
  <si>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</si>
  <si>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</si>
  <si>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</si>
  <si>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</si>
  <si>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</si>
  <si>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</si>
  <si>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</si>
  <si>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</si>
  <si>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</si>
  <si>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</si>
  <si>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</si>
  <si>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</si>
  <si>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</si>
  <si>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</si>
  <si>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</si>
  <si>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</si>
  <si>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</si>
  <si>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</si>
  <si>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</si>
  <si>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</si>
  <si>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</si>
  <si>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</si>
  <si>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</si>
  <si>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</si>
  <si>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</si>
  <si>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</si>
  <si>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</si>
  <si>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</si>
  <si>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</si>
  <si>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</si>
  <si>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</si>
  <si>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</si>
  <si>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</si>
  <si>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</si>
  <si>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</si>
  <si>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</si>
  <si>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</si>
  <si>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</si>
  <si>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</si>
  <si>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</si>
  <si>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</si>
  <si>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</si>
  <si>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</si>
  <si>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</si>
  <si>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</si>
  <si>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</si>
  <si>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</si>
  <si>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</si>
  <si>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</si>
  <si>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</si>
  <si>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</si>
  <si>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</si>
  <si>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</si>
  <si>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</si>
  <si>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</si>
  <si>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</si>
  <si>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</si>
  <si>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</si>
  <si>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</si>
  <si>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</si>
  <si>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</si>
  <si>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</si>
  <si>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</si>
  <si>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</si>
  <si>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</si>
  <si>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</si>
  <si>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</si>
  <si>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</si>
  <si>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</si>
  <si>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</si>
  <si>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</si>
  <si>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</si>
  <si>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</si>
  <si>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</si>
  <si>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</si>
  <si>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</si>
  <si>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</si>
  <si>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</si>
  <si>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</si>
  <si>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</si>
  <si>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</si>
  <si>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</si>
  <si>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</si>
  <si>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</si>
  <si>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</si>
  <si>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</si>
  <si>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</si>
  <si>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</si>
  <si>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</si>
  <si>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</si>
  <si>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</si>
  <si>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</si>
  <si>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</si>
  <si>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</si>
  <si>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</si>
  <si>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</si>
  <si>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</si>
  <si>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</si>
  <si>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</si>
  <si>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</si>
  <si>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</si>
  <si>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</si>
  <si>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</si>
  <si>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</si>
  <si>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</si>
  <si>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</si>
  <si>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</si>
  <si>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</si>
  <si>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</si>
  <si>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</si>
  <si>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</si>
  <si>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</si>
  <si>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</si>
  <si>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</si>
  <si>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</si>
  <si>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</si>
  <si>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</si>
  <si>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</si>
  <si>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</si>
  <si>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</si>
  <si>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</si>
  <si>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</si>
  <si>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</si>
  <si>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</si>
  <si>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</si>
  <si>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</si>
  <si>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</si>
  <si>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</si>
  <si>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</si>
  <si>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</si>
  <si>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</si>
  <si>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</si>
  <si>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</si>
  <si>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</si>
  <si>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</si>
  <si>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</si>
  <si>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</si>
  <si>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</si>
  <si>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</si>
  <si>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</si>
  <si>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</si>
  <si>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</si>
  <si>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</si>
  <si>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</si>
  <si>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</si>
  <si>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</si>
  <si>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</si>
  <si>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</si>
  <si>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</si>
  <si>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</si>
  <si>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</si>
  <si>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</si>
  <si>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</si>
  <si>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</si>
  <si>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</si>
  <si>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</si>
  <si>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</si>
  <si>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</si>
  <si>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</si>
  <si>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</si>
  <si>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</si>
  <si>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</si>
  <si>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</si>
  <si>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</si>
  <si>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</si>
  <si>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</si>
  <si>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</si>
  <si>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</si>
  <si>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</si>
  <si>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</si>
  <si>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</si>
  <si>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</si>
  <si>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</si>
  <si>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</si>
  <si>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</si>
  <si>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</si>
  <si>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</si>
  <si>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</si>
  <si>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</si>
  <si>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</si>
  <si>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</si>
  <si>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</si>
  <si>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</si>
  <si>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</si>
  <si>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</si>
  <si>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</si>
  <si>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</si>
  <si>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</si>
  <si>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</si>
  <si>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</si>
  <si>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</si>
  <si>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</si>
  <si>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</si>
  <si>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</si>
  <si>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</si>
  <si>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</si>
  <si>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</si>
  <si>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</si>
  <si>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</si>
  <si>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</si>
  <si>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</si>
  <si>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</si>
  <si>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</si>
  <si>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</si>
  <si>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</si>
  <si>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</si>
  <si>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</si>
  <si>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</si>
  <si>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</si>
  <si>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</si>
  <si>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</si>
  <si>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</si>
  <si>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</si>
  <si>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</si>
  <si>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</si>
  <si>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</si>
  <si>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</si>
  <si>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</si>
  <si>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</si>
  <si>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</si>
  <si>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</si>
  <si>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</si>
  <si>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</si>
  <si>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</si>
  <si>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</si>
  <si>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</si>
  <si>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</si>
  <si>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</si>
  <si>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</si>
  <si>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</si>
  <si>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</si>
  <si>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</si>
  <si>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</si>
  <si>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</si>
  <si>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</si>
  <si>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</si>
  <si>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</si>
  <si>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</si>
  <si>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</si>
  <si>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</si>
  <si>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</si>
  <si>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</si>
  <si>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</si>
  <si>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</si>
  <si>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</si>
  <si>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</si>
  <si>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</si>
  <si>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</si>
  <si>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</si>
  <si>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</si>
  <si>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</si>
  <si>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</si>
  <si>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</si>
  <si>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</si>
  <si>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</si>
  <si>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</si>
  <si>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</si>
  <si>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</si>
  <si>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</si>
  <si>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</si>
  <si>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</si>
  <si>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</si>
  <si>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</si>
  <si>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</si>
  <si>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</si>
  <si>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</si>
  <si>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</si>
  <si>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</si>
  <si>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</si>
  <si>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</si>
  <si>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</si>
  <si>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</si>
  <si>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</si>
  <si>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</si>
  <si>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</si>
  <si>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</si>
  <si>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</si>
  <si>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</si>
  <si>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</si>
  <si>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</si>
  <si>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</si>
  <si>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</si>
  <si>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</si>
  <si>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</si>
  <si>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</si>
  <si>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</si>
  <si>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</si>
  <si>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</si>
  <si>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</si>
  <si>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</si>
  <si>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</si>
  <si>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</si>
  <si>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</si>
  <si>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</si>
  <si>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</si>
  <si>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</si>
  <si>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</si>
  <si>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</si>
  <si>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</si>
  <si>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</si>
  <si>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</si>
  <si>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</si>
  <si>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</si>
  <si>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</si>
  <si>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</si>
  <si>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</si>
  <si>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</si>
  <si>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</si>
  <si>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</si>
  <si>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</si>
  <si>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</si>
  <si>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</si>
  <si>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</si>
  <si>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</si>
  <si>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</si>
  <si>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</si>
  <si>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</si>
  <si>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</si>
  <si>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</si>
  <si>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</si>
  <si>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</si>
  <si>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</si>
  <si>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</si>
  <si>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</si>
  <si>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</si>
  <si>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</si>
  <si>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</si>
  <si>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</si>
  <si>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</si>
  <si>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</si>
  <si>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</si>
  <si>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</si>
  <si>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</si>
  <si>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</si>
  <si>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</si>
  <si>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</si>
  <si>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</si>
  <si>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</si>
  <si>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</si>
  <si>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</si>
  <si>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</si>
  <si>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</si>
  <si>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</si>
  <si>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</si>
  <si>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</si>
  <si>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</si>
  <si>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</si>
  <si>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</si>
  <si>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</si>
  <si>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</si>
  <si>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</si>
  <si>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</si>
  <si>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</si>
  <si>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</si>
  <si>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</si>
  <si>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</si>
  <si>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</si>
  <si>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</si>
  <si>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</si>
  <si>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</si>
  <si>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</si>
  <si>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</si>
  <si>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</si>
  <si>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</si>
  <si>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</si>
  <si>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</si>
  <si>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</si>
  <si>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</si>
  <si>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</si>
  <si>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</si>
  <si>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</si>
  <si>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</si>
  <si>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</si>
  <si>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</si>
  <si>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</si>
  <si>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</si>
  <si>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</si>
  <si>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</si>
  <si>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</si>
  <si>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</si>
  <si>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</si>
  <si>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</si>
  <si>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</si>
  <si>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</si>
  <si>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</si>
  <si>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</si>
  <si>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</si>
  <si>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</si>
  <si>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</si>
  <si>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</si>
  <si>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</si>
  <si>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</si>
  <si>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</si>
  <si>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</si>
  <si>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</si>
  <si>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</si>
  <si>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</si>
  <si>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</si>
  <si>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</si>
  <si>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</si>
  <si>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</si>
  <si>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</si>
  <si>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</si>
  <si>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</si>
  <si>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</si>
  <si>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</si>
  <si>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</si>
  <si>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</si>
  <si>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</si>
  <si>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</si>
  <si>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</si>
  <si>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</si>
  <si>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</si>
  <si>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</si>
  <si>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</si>
  <si>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</si>
  <si>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</si>
  <si>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</si>
  <si>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</si>
  <si>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</si>
  <si>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</si>
  <si>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</si>
  <si>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</si>
  <si>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</si>
  <si>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</si>
  <si>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</si>
  <si>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</si>
  <si>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</si>
  <si>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</si>
  <si>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</si>
  <si>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</si>
  <si>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</si>
  <si>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</si>
  <si>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</si>
  <si>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</si>
  <si>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</si>
  <si>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</si>
  <si>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</si>
  <si>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</si>
  <si>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</si>
  <si>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</si>
  <si>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</si>
  <si>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</si>
  <si>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</si>
  <si>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</si>
  <si>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</si>
  <si>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</si>
  <si>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</si>
  <si>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</si>
  <si>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</si>
  <si>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</si>
  <si>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</si>
  <si>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</si>
  <si>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</si>
  <si>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</si>
  <si>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</si>
  <si>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</si>
  <si>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</si>
  <si>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</si>
  <si>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</si>
  <si>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</si>
  <si>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</si>
  <si>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</si>
  <si>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</si>
  <si>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</si>
  <si>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</si>
  <si>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</si>
  <si>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</si>
  <si>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</si>
  <si>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</si>
  <si>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</si>
  <si>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</si>
  <si>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</si>
  <si>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</si>
  <si>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</si>
  <si>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</si>
  <si>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</si>
  <si>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</si>
  <si>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</si>
  <si>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</si>
  <si>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</si>
  <si>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</si>
  <si>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</si>
  <si>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</si>
  <si>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</si>
  <si>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</si>
  <si>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</si>
  <si>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</si>
  <si>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</si>
  <si>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</si>
  <si>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</si>
  <si>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</si>
  <si>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</si>
  <si>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</si>
  <si>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</si>
  <si>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</si>
  <si>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</si>
  <si>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</si>
  <si>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</si>
  <si>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</si>
  <si>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</si>
  <si>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</si>
  <si>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</si>
  <si>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</si>
  <si>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</si>
  <si>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</si>
  <si>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</si>
  <si>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</si>
  <si>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</si>
  <si>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</si>
  <si>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</si>
  <si>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</si>
  <si>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</si>
  <si>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</si>
  <si>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</si>
  <si>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</si>
  <si>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</si>
  <si>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</si>
  <si>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</si>
  <si>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</si>
  <si>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</si>
  <si>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</si>
  <si>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</si>
  <si>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</si>
  <si>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</si>
  <si>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</si>
  <si>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</si>
  <si>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</si>
  <si>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</si>
  <si>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</si>
  <si>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</si>
  <si>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</si>
  <si>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</si>
  <si>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</si>
  <si>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</si>
  <si>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</si>
  <si>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</si>
  <si>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</si>
  <si>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</si>
  <si>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</si>
  <si>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</si>
  <si>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</si>
  <si>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</si>
  <si>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</si>
  <si>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</si>
  <si>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</si>
  <si>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</si>
  <si>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</si>
  <si>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</si>
  <si>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</si>
  <si>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</si>
  <si>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</si>
  <si>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</si>
  <si>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</si>
  <si>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</si>
  <si>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</si>
  <si>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</si>
  <si>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</si>
  <si>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</si>
  <si>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</si>
  <si>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</si>
  <si>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</si>
  <si>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</si>
  <si>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</si>
  <si>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</si>
  <si>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</si>
  <si>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</si>
  <si>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</si>
  <si>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</si>
  <si>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</si>
  <si>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</si>
  <si>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</si>
  <si>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</si>
  <si>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</si>
  <si>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</si>
  <si>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</si>
  <si>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</si>
  <si>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</si>
  <si>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</si>
  <si>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</si>
  <si>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</si>
  <si>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</si>
  <si>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</si>
  <si>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</si>
  <si>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</si>
  <si>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</si>
  <si>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</si>
  <si>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</si>
  <si>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</si>
  <si>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</si>
  <si>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</si>
  <si>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</si>
  <si>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</si>
  <si>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</si>
  <si>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</si>
  <si>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</si>
  <si>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</si>
  <si>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</si>
  <si>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</si>
  <si>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</si>
  <si>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</si>
  <si>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</si>
  <si>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</si>
  <si>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</si>
  <si>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</si>
  <si>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</si>
  <si>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</si>
  <si>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</si>
  <si>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</si>
  <si>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</si>
  <si>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</si>
  <si>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</si>
  <si>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</si>
  <si>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</si>
  <si>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</si>
  <si>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</si>
  <si>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</si>
  <si>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</si>
  <si>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</si>
  <si>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</si>
  <si>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</si>
  <si>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</si>
  <si>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</si>
  <si>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</si>
  <si>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</si>
  <si>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</si>
  <si>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</si>
  <si>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</si>
  <si>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</si>
  <si>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</si>
  <si>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</si>
  <si>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</si>
  <si>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</si>
  <si>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</si>
  <si>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</si>
  <si>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</si>
  <si>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</si>
  <si>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</si>
  <si>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</si>
  <si>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</si>
  <si>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</si>
  <si>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</si>
  <si>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</si>
  <si>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</si>
  <si>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</si>
  <si>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</si>
  <si>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</si>
  <si>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</si>
  <si>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</si>
  <si>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</si>
  <si>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</si>
  <si>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</si>
  <si>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</si>
  <si>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</si>
  <si>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</si>
  <si>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</si>
  <si>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</si>
  <si>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</si>
  <si>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</si>
  <si>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</si>
  <si>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</si>
  <si>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</si>
  <si>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</si>
  <si>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</si>
  <si>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</si>
  <si>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</si>
  <si>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</si>
  <si>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</si>
  <si>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</si>
  <si>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</si>
  <si>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</si>
  <si>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</si>
  <si>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</si>
  <si>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</si>
  <si>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</si>
  <si>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</si>
  <si>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</si>
  <si>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</si>
  <si>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</si>
  <si>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</si>
  <si>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</si>
  <si>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</si>
  <si>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</si>
  <si>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</si>
  <si>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</si>
  <si>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</si>
  <si>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</si>
  <si>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</si>
  <si>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</si>
  <si>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</si>
  <si>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</si>
  <si>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</si>
  <si>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</si>
  <si>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</si>
  <si>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</si>
  <si>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</si>
  <si>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</si>
  <si>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</si>
  <si>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</si>
  <si>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</si>
  <si>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</si>
  <si>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</si>
  <si>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</si>
  <si>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</si>
  <si>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</si>
  <si>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</si>
  <si>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</si>
  <si>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</si>
  <si>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</si>
  <si>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</si>
  <si>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</si>
  <si>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</si>
  <si>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</si>
  <si>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</si>
  <si>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</si>
  <si>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</si>
  <si>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</si>
  <si>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</si>
  <si>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</si>
  <si>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</si>
  <si>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</si>
  <si>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</si>
  <si>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</si>
  <si>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</si>
  <si>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</si>
  <si>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</si>
  <si>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</si>
  <si>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</si>
  <si>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</si>
  <si>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</si>
  <si>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</si>
  <si>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</si>
  <si>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</si>
  <si>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</si>
  <si>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</si>
  <si>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</si>
  <si>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</si>
  <si>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</si>
  <si>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</si>
  <si>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</si>
  <si>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</si>
  <si>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</si>
  <si>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</si>
  <si>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</si>
  <si>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</si>
  <si>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</si>
  <si>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</si>
  <si>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</si>
  <si>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</si>
  <si>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</si>
  <si>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</si>
  <si>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</si>
  <si>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</si>
  <si>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</si>
  <si>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</si>
  <si>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</si>
  <si>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</si>
  <si>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</si>
  <si>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</si>
  <si>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</si>
  <si>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</si>
  <si>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</si>
  <si>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</si>
  <si>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</si>
  <si>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</si>
  <si>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</si>
  <si>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</si>
  <si>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</si>
  <si>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</si>
  <si>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</si>
  <si>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</si>
  <si>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</si>
  <si>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</si>
  <si>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</si>
  <si>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</si>
  <si>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</si>
  <si>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</si>
  <si>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</si>
  <si>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</si>
  <si>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</si>
  <si>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</si>
  <si>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</si>
  <si>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</si>
  <si>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</si>
  <si>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</si>
  <si>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</si>
  <si>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</si>
  <si>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</si>
  <si>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</si>
  <si>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</si>
  <si>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</si>
  <si>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</si>
  <si>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</si>
  <si>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</si>
  <si>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</si>
  <si>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</si>
  <si>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</si>
  <si>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</si>
  <si>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</si>
  <si>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</si>
  <si>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</si>
  <si>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</si>
  <si>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</si>
  <si>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</si>
  <si>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</si>
  <si>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</si>
  <si>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</si>
  <si>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</si>
  <si>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</si>
  <si>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</si>
  <si>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</si>
  <si>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</si>
  <si>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</si>
  <si>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</si>
  <si>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</si>
  <si>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</si>
  <si>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</si>
  <si>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</si>
  <si>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</si>
  <si>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</si>
  <si>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</si>
  <si>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</si>
  <si>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</si>
  <si>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</si>
  <si>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</si>
  <si>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</si>
  <si>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</si>
  <si>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</si>
  <si>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</si>
  <si>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</si>
  <si>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</si>
  <si>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</si>
  <si>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</si>
  <si>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</si>
  <si>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</si>
  <si>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</si>
  <si>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</si>
  <si>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</si>
  <si>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</si>
  <si>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</si>
  <si>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</si>
  <si>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</si>
  <si>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</si>
  <si>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</si>
  <si>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</si>
  <si>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</si>
  <si>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</si>
  <si>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</si>
  <si>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</si>
  <si>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</si>
  <si>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</si>
  <si>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</si>
  <si>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</si>
  <si>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</si>
  <si>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</si>
  <si>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</si>
  <si>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</si>
  <si>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</si>
  <si>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</si>
  <si>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</si>
  <si>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</si>
  <si>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</si>
  <si>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</si>
  <si>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</si>
  <si>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</si>
  <si>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</si>
  <si>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</si>
  <si>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</si>
  <si>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</si>
  <si>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</si>
  <si>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</si>
  <si>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</si>
  <si>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</si>
  <si>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</si>
  <si>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</si>
  <si>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</si>
  <si>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</si>
  <si>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</si>
  <si>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</si>
  <si>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</si>
  <si>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</si>
  <si>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</si>
  <si>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</si>
  <si>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</si>
  <si>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</si>
  <si>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</si>
  <si>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</si>
  <si>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</si>
  <si>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</si>
  <si>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</si>
  <si>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</si>
  <si>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</si>
  <si>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</si>
  <si>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</si>
  <si>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</si>
  <si>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</si>
  <si>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</si>
  <si>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</si>
  <si>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</si>
  <si>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</si>
  <si>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</si>
  <si>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</si>
  <si>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</si>
  <si>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</si>
  <si>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</si>
  <si>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</si>
  <si>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</si>
  <si>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</si>
  <si>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</si>
  <si>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</si>
  <si>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</si>
  <si>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</si>
  <si>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</si>
  <si>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</si>
  <si>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</si>
  <si>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</si>
  <si>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</si>
  <si>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</si>
  <si>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</si>
  <si>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</si>
  <si>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</si>
  <si>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</si>
  <si>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</si>
  <si>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</si>
  <si>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</si>
  <si>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</si>
  <si>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</si>
  <si>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</si>
  <si>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</si>
  <si>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</si>
  <si>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</si>
  <si>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</si>
  <si>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</si>
  <si>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</si>
  <si>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</si>
  <si>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</si>
  <si>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</si>
  <si>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</si>
  <si>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</si>
  <si>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</si>
  <si>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</si>
  <si>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</si>
  <si>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</si>
  <si>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</si>
  <si>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</si>
  <si>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</si>
  <si>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</si>
  <si>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</si>
  <si>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</si>
  <si>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</si>
  <si>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</si>
  <si>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</si>
  <si>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</si>
  <si>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</si>
  <si>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</si>
  <si>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</si>
  <si>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</si>
  <si>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</si>
  <si>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</si>
  <si>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</si>
  <si>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</si>
  <si>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</si>
  <si>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</si>
  <si>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</si>
  <si>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</si>
  <si>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</si>
  <si>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</si>
  <si>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</si>
  <si>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</si>
  <si>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</si>
  <si>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</si>
  <si>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</si>
  <si>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</si>
  <si>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</si>
  <si>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</si>
  <si>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</si>
  <si>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</si>
  <si>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</si>
  <si>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</si>
  <si>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</si>
  <si>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</si>
  <si>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</si>
  <si>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</si>
  <si>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</si>
  <si>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</si>
  <si>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</si>
  <si>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</si>
  <si>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</si>
  <si>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</si>
  <si>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</si>
  <si>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</si>
  <si>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</si>
  <si>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</si>
  <si>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</si>
  <si>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</si>
  <si>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</si>
  <si>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</si>
  <si>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</si>
  <si>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</si>
  <si>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</si>
  <si>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</si>
  <si>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</si>
  <si>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</si>
  <si>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</si>
  <si>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</si>
  <si>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</si>
  <si>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</si>
  <si>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</si>
  <si>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</si>
  <si>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</si>
  <si>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</si>
  <si>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</si>
  <si>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</si>
  <si>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</si>
  <si>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</si>
  <si>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</si>
  <si>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</si>
  <si>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</si>
  <si>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</si>
  <si>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</si>
  <si>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</si>
  <si>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</si>
  <si>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</si>
  <si>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</si>
  <si>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</si>
  <si>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</si>
  <si>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</si>
  <si>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</si>
  <si>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</si>
  <si>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</si>
  <si>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</si>
  <si>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</si>
  <si>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</si>
  <si>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</si>
  <si>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</si>
  <si>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</si>
  <si>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</si>
  <si>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</si>
  <si>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</si>
  <si>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</si>
  <si>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</si>
  <si>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</si>
  <si>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</si>
  <si>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</si>
  <si>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</si>
  <si>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</si>
  <si>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</si>
  <si>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</si>
  <si>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</si>
  <si>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</si>
  <si>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</si>
  <si>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</si>
  <si>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</si>
  <si>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</si>
  <si>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</si>
  <si>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</si>
  <si>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</si>
  <si>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</si>
  <si>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</si>
  <si>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</si>
  <si>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</si>
  <si>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</si>
  <si>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</si>
  <si>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</si>
  <si>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</si>
  <si>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</si>
  <si>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</si>
  <si>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</si>
  <si>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</si>
  <si>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</si>
  <si>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</si>
  <si>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</si>
  <si>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</si>
  <si>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</si>
  <si>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</si>
  <si>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</si>
  <si>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</si>
  <si>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</si>
  <si>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</si>
  <si>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</si>
  <si>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</si>
  <si>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</si>
  <si>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</si>
  <si>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</si>
  <si>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</si>
  <si>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</si>
  <si>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</si>
  <si>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</si>
  <si>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</si>
  <si>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</si>
  <si>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</si>
  <si>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</si>
  <si>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</si>
  <si>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</si>
  <si>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</si>
  <si>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</si>
  <si>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</si>
  <si>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</si>
  <si>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</si>
  <si>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</si>
  <si>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</si>
  <si>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</si>
  <si>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</si>
  <si>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</si>
  <si>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</si>
  <si>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</si>
  <si>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</si>
  <si>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</si>
  <si>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</si>
  <si>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</si>
  <si>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</si>
  <si>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</si>
  <si>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</si>
  <si>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</si>
  <si>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</si>
  <si>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</si>
  <si>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</si>
  <si>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</si>
  <si>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</si>
  <si>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</si>
  <si>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</si>
  <si>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</si>
  <si>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</si>
  <si>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</si>
  <si>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</si>
  <si>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</si>
  <si>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</si>
  <si>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</si>
  <si>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</si>
  <si>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</si>
  <si>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</si>
  <si>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</si>
  <si>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</si>
  <si>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</si>
  <si>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</si>
  <si>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</si>
  <si>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</si>
  <si>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</si>
  <si>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</si>
  <si>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</si>
  <si>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</si>
  <si>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</si>
  <si>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</si>
  <si>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</si>
  <si>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</si>
  <si>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</si>
  <si>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</si>
  <si>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</si>
  <si>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</si>
  <si>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</si>
  <si>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</si>
  <si>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</si>
  <si>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</si>
  <si>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</si>
  <si>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</si>
  <si>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</si>
  <si>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</si>
  <si>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</si>
  <si>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</si>
  <si>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</si>
  <si>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</si>
  <si>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</si>
  <si>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</si>
  <si>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</si>
  <si>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</si>
  <si>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</si>
  <si>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</si>
  <si>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</si>
  <si>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</si>
  <si>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</si>
  <si>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</si>
  <si>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</si>
  <si>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</si>
  <si>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</si>
  <si>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</si>
  <si>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</si>
  <si>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</si>
  <si>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</si>
  <si>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</si>
  <si>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</si>
  <si>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</si>
  <si>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</si>
  <si>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</si>
  <si>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</si>
  <si>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</si>
  <si>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</si>
  <si>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</si>
  <si>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</si>
  <si>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</si>
  <si>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</si>
  <si>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</si>
  <si>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</si>
  <si>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</si>
  <si>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</si>
  <si>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</si>
  <si>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</si>
  <si>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</si>
  <si>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</si>
  <si>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</si>
  <si>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</si>
  <si>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</si>
  <si>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</si>
  <si>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</si>
  <si>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</si>
  <si>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</si>
  <si>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</si>
  <si>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</si>
  <si>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</si>
  <si>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</si>
  <si>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</si>
  <si>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</si>
  <si>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</si>
  <si>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</si>
  <si>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</si>
  <si>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</si>
  <si>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</si>
  <si>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</si>
  <si>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</si>
  <si>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</si>
  <si>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</si>
  <si>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</si>
  <si>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</si>
  <si>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</si>
  <si>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</si>
  <si>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</si>
  <si>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</si>
  <si>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</si>
  <si>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</si>
  <si>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</si>
  <si>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</si>
  <si>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</si>
  <si>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</si>
  <si>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</si>
  <si>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</si>
  <si>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</si>
  <si>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</si>
  <si>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</si>
  <si>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</si>
  <si>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</si>
  <si>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</si>
  <si>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</si>
  <si>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</si>
  <si>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</si>
  <si>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</si>
  <si>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</si>
  <si>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</si>
  <si>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</si>
  <si>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</si>
  <si>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</si>
  <si>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</si>
  <si>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</si>
  <si>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</si>
  <si>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</si>
  <si>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</si>
  <si>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</si>
  <si>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</si>
  <si>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</si>
  <si>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</si>
  <si>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</si>
  <si>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</si>
  <si>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</si>
  <si>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</si>
  <si>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</si>
  <si>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</si>
  <si>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</si>
  <si>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</si>
  <si>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</si>
  <si>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</si>
  <si>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</si>
  <si>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</si>
  <si>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</si>
  <si>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</si>
  <si>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</si>
  <si>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</si>
  <si>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</si>
  <si>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</si>
  <si>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</si>
  <si>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</si>
  <si>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</si>
  <si>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</si>
  <si>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</si>
  <si>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</si>
  <si>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</si>
  <si>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</si>
  <si>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</si>
  <si>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</si>
  <si>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</si>
  <si>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</si>
  <si>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</si>
  <si>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</si>
  <si>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</si>
  <si>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</si>
  <si>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</si>
  <si>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</si>
  <si>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</si>
  <si>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</si>
  <si>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</si>
  <si>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</si>
  <si>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</si>
  <si>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</si>
  <si>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</si>
  <si>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</si>
  <si>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</si>
  <si>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</si>
  <si>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</si>
  <si>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</si>
  <si>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</si>
  <si>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</si>
  <si>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</si>
  <si>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</si>
  <si>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</si>
  <si>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</si>
  <si>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</si>
  <si>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</si>
  <si>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</si>
  <si>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</si>
  <si>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</si>
  <si>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</si>
  <si>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</si>
  <si>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</si>
  <si>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</si>
  <si>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</si>
  <si>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</si>
  <si>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</si>
  <si>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</si>
  <si>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</si>
  <si>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</si>
  <si>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</si>
  <si>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</si>
  <si>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</si>
  <si>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</si>
  <si>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</si>
  <si>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</si>
  <si>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</si>
  <si>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</si>
  <si>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</si>
  <si>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</si>
  <si>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</si>
  <si>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</si>
  <si>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</si>
  <si>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</si>
  <si>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</si>
  <si>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</si>
  <si>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</si>
  <si>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</si>
  <si>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</si>
  <si>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</si>
  <si>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</si>
  <si>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</si>
  <si>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</si>
  <si>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</si>
  <si>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</si>
  <si>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</si>
  <si>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</si>
  <si>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</si>
  <si>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</si>
  <si>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</si>
  <si>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</si>
  <si>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</si>
  <si>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</si>
  <si>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</si>
  <si>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</si>
  <si>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</si>
  <si>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</si>
  <si>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</si>
  <si>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</si>
  <si>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</si>
  <si>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</si>
  <si>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</si>
  <si>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</si>
  <si>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</si>
  <si>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</si>
  <si>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</si>
  <si>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</si>
  <si>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</si>
  <si>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</si>
  <si>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</si>
  <si>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</si>
  <si>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</si>
  <si>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</si>
  <si>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</si>
  <si>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</si>
  <si>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</si>
  <si>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</si>
  <si>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</si>
  <si>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</si>
  <si>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</si>
  <si>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</si>
  <si>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</si>
  <si>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</si>
  <si>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</si>
  <si>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</si>
  <si>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</si>
  <si>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</si>
  <si>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</si>
  <si>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</si>
  <si>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</si>
  <si>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</si>
  <si>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</si>
  <si>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</si>
  <si>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</si>
  <si>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</si>
  <si>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</si>
  <si>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</si>
  <si>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</si>
  <si>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</si>
  <si>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</si>
  <si>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</si>
  <si>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</si>
  <si>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</si>
  <si>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</si>
  <si>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</si>
  <si>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</si>
  <si>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</si>
  <si>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</si>
  <si>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</si>
  <si>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</si>
  <si>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</si>
  <si>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</si>
  <si>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</si>
  <si>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</si>
  <si>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</si>
  <si>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</si>
  <si>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</si>
  <si>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</si>
  <si>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</si>
  <si>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</si>
  <si>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</si>
  <si>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</si>
  <si>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</si>
  <si>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</si>
  <si>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</si>
  <si>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</si>
  <si>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</si>
  <si>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</si>
  <si>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</si>
  <si>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</si>
  <si>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</si>
  <si>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</si>
  <si>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</si>
  <si>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</si>
  <si>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</si>
  <si>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</si>
  <si>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</si>
  <si>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</si>
  <si>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</si>
  <si>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</si>
  <si>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</si>
  <si>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</si>
  <si>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</si>
  <si>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</si>
  <si>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</si>
  <si>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</si>
  <si>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</si>
  <si>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</si>
  <si>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</si>
  <si>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</si>
  <si>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</si>
  <si>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</si>
  <si>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</si>
  <si>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</si>
  <si>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</si>
  <si>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</si>
  <si>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</si>
  <si>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</si>
  <si>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</si>
  <si>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</si>
  <si>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</si>
  <si>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</si>
  <si>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</si>
  <si>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</si>
  <si>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</si>
  <si>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</si>
  <si>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</si>
  <si>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</si>
  <si>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</si>
  <si>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</si>
  <si>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</si>
  <si>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</si>
  <si>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</si>
  <si>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</si>
  <si>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</si>
  <si>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</si>
  <si>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</si>
  <si>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</si>
  <si>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</si>
  <si>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</si>
  <si>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</si>
  <si>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</si>
  <si>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</si>
  <si>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</si>
  <si>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</si>
  <si>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</si>
  <si>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</si>
  <si>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</si>
  <si>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</si>
  <si>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</si>
  <si>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</si>
  <si>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</si>
  <si>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</si>
  <si>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</si>
  <si>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</si>
  <si>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</si>
  <si>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</si>
  <si>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</si>
  <si>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</si>
  <si>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</si>
  <si>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</si>
  <si>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</si>
  <si>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</si>
  <si>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</si>
  <si>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</si>
  <si>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</si>
  <si>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</si>
  <si>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</si>
  <si>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</si>
  <si>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</si>
  <si>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</si>
  <si>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</si>
  <si>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</si>
  <si>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</si>
  <si>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</si>
  <si>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</si>
  <si>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</si>
  <si>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</si>
  <si>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</si>
  <si>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</si>
  <si>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</si>
  <si>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</si>
  <si>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</si>
  <si>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</si>
  <si>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</si>
  <si>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</si>
  <si>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</si>
  <si>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</si>
  <si>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</si>
  <si>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</si>
  <si>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</si>
  <si>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</si>
  <si>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</si>
  <si>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</si>
  <si>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</si>
  <si>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</si>
  <si>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</si>
  <si>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</si>
  <si>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</si>
  <si>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</si>
  <si>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</si>
  <si>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</si>
  <si>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</si>
  <si>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</si>
  <si>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</si>
  <si>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</si>
  <si>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</si>
  <si>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</si>
  <si>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</si>
  <si>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</si>
  <si>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</si>
  <si>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</si>
  <si>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</si>
  <si>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</si>
  <si>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</si>
  <si>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</si>
  <si>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</si>
  <si>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</si>
  <si>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</si>
  <si>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</si>
  <si>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</si>
  <si>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</si>
  <si>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</si>
  <si>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</si>
  <si>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</si>
  <si>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</si>
  <si>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</si>
  <si>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</si>
  <si>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</si>
  <si>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</si>
  <si>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</si>
  <si>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</si>
  <si>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</si>
  <si>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</si>
  <si>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</si>
  <si>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</si>
  <si>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</si>
  <si>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</si>
  <si>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</si>
  <si>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</si>
  <si>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</si>
  <si>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</si>
  <si>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</si>
  <si>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</si>
  <si>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</si>
  <si>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</si>
  <si>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</si>
  <si>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</si>
  <si>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</si>
  <si>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</si>
  <si>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</si>
  <si>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</si>
  <si>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</si>
  <si>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</si>
  <si>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</si>
  <si>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</si>
  <si>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</si>
  <si>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</si>
  <si>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</si>
  <si>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</si>
  <si>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</si>
  <si>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</si>
  <si>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</si>
  <si>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</si>
  <si>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</si>
  <si>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</si>
  <si>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</si>
  <si>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</si>
  <si>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</si>
  <si>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</si>
  <si>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</si>
  <si>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</si>
  <si>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</si>
  <si>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</si>
  <si>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</si>
  <si>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</si>
  <si>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</si>
  <si>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</si>
  <si>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</si>
  <si>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</si>
  <si>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</si>
  <si>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</si>
  <si>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</si>
  <si>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</si>
  <si>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</si>
  <si>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</si>
  <si>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</si>
  <si>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</si>
  <si>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</si>
  <si>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</si>
  <si>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</si>
  <si>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</si>
  <si>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</si>
  <si>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</si>
  <si>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</si>
  <si>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</si>
  <si>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</si>
  <si>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</si>
  <si>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</si>
  <si>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</si>
  <si>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</si>
  <si>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</si>
  <si>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</si>
  <si>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</si>
  <si>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</si>
  <si>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</si>
  <si>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</si>
  <si>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</si>
  <si>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</si>
  <si>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</si>
  <si>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</si>
  <si>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</si>
  <si>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</si>
  <si>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</si>
  <si>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</si>
  <si>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</si>
  <si>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</si>
  <si>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</si>
  <si>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</si>
  <si>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</si>
  <si>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</si>
  <si>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</si>
  <si>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</si>
  <si>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</si>
  <si>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</si>
  <si>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</si>
  <si>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</si>
  <si>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</si>
  <si>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</si>
  <si>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</si>
  <si>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</si>
  <si>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</si>
  <si>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</si>
  <si>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</si>
  <si>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</si>
  <si>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</si>
  <si>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</si>
  <si>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</si>
  <si>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</si>
  <si>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</si>
  <si>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</si>
  <si>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</si>
  <si>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</si>
  <si>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</si>
  <si>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</si>
  <si>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</si>
  <si>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</si>
  <si>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</si>
  <si>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</si>
  <si>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</si>
  <si>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</si>
  <si>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</si>
  <si>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</si>
  <si>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</si>
  <si>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</si>
  <si>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</si>
  <si>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</si>
  <si>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</si>
  <si>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</si>
  <si>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>ing ==&gt; ㄧㄥ</t>
    <phoneticPr fontId="9" type="noConversion"/>
  </si>
  <si>
    <t/>
  </si>
  <si>
    <t>&lt;&gt;*</t>
    <phoneticPr fontId="9" type="noConversion"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</si>
  <si>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</si>
  <si>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</si>
  <si>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</si>
  <si>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</si>
  <si>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</si>
  <si>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</si>
  <si>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</si>
  <si>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</si>
  <si>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</si>
  <si>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alphabet:</t>
    <phoneticPr fontId="9" type="noConversion"/>
  </si>
  <si>
    <t>入聲韻母輸入鍵</t>
    <phoneticPr fontId="9" type="noConversion"/>
  </si>
  <si>
    <t>韻尾</t>
    <phoneticPr fontId="9" type="noConversion"/>
  </si>
  <si>
    <t>&lt;&gt;韻尾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</si>
  <si>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</si>
  <si>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</si>
  <si>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</si>
  <si>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</si>
  <si>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</si>
  <si>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</si>
  <si>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</si>
  <si>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</si>
  <si>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</si>
  <si>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</si>
  <si>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</si>
  <si>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</si>
  <si>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</si>
  <si>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</si>
  <si>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</si>
  <si>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</si>
  <si>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</si>
  <si>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</si>
  <si>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</si>
  <si>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</si>
  <si>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</si>
  <si>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</si>
  <si>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</si>
  <si>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</si>
  <si>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</si>
  <si>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</si>
  <si>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</si>
  <si>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</si>
  <si>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</si>
  <si>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</si>
  <si>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</si>
  <si>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</si>
  <si>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韻尾</t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</si>
  <si>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</si>
  <si>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</si>
  <si>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</si>
  <si>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</si>
  <si>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ㄥ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</si>
  <si>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</si>
  <si>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</si>
  <si>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</si>
  <si>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</si>
  <si>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</si>
  <si>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</si>
  <si>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</si>
  <si>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</si>
  <si>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</si>
  <si>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</si>
  <si>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</si>
  <si>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輸入【鼻音化韻母】的【前置識別符】</t>
    <phoneticPr fontId="9" type="noConversion"/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</si>
  <si>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</si>
  <si>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</si>
  <si>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</si>
  <si>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</si>
  <si>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</si>
  <si>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</si>
  <si>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</si>
  <si>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</si>
  <si>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</si>
  <si>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</si>
  <si>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</si>
  <si>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</si>
  <si>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</si>
  <si>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</si>
  <si>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</si>
  <si>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</si>
  <si>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</si>
  <si>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</si>
  <si>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</si>
  <si>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</si>
  <si>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</si>
  <si>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</si>
  <si>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</si>
  <si>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</si>
  <si>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</si>
  <si>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</si>
  <si>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</si>
  <si>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</si>
  <si>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U</t>
    <phoneticPr fontId="9" type="noConversion"/>
  </si>
  <si>
    <t>Y</t>
    <phoneticPr fontId="9" type="noConversion"/>
  </si>
  <si>
    <t>Q</t>
    <phoneticPr fontId="9" type="noConversion"/>
  </si>
  <si>
    <t>R</t>
    <phoneticPr fontId="9" type="noConversion"/>
  </si>
  <si>
    <t>F</t>
    <phoneticPr fontId="9" type="noConversion"/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</si>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</sst>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29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16"/>
      <color rgb="FF0070C0"/>
      <name val="Arial"/>
      <family val="2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b/>
      <sz val="18"/>
      <color rgb="FFFF0000"/>
      <name val="Noto Serif TC Medium"/>
      <family val="1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16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49" fillId="0" borderId="0" xfId="2" applyAlignment="1">
      <alignment horizontal="center" vertical="center"/>
    </xf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4" fillId="30" borderId="0" xfId="0" applyFont="1" applyFill="1" applyAlignment="1">
      <alignment horizontal="left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203" fillId="0" borderId="0" xfId="2" applyFont="1" applyAlignment="1">
      <alignment vertical="center" readingOrder="1"/>
    </xf>
    <xf numFmtId="0" fontId="1" fillId="0" borderId="0" xfId="2" applyFont="1" applyAlignment="1">
      <alignment vertical="center" readingOrder="1"/>
    </xf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23" fillId="7" borderId="16" xfId="4" applyFont="1" applyFill="1" applyBorder="1" applyAlignment="1">
      <alignment horizontal="center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69" fillId="0" borderId="0" xfId="2" applyFont="1"/>
    <xf numFmtId="0" fontId="214" fillId="0" borderId="0" xfId="2" applyFont="1"/>
    <xf numFmtId="0" fontId="69" fillId="21" borderId="0" xfId="2" applyFont="1" applyFill="1"/>
    <xf numFmtId="0" fontId="30" fillId="13" borderId="0" xfId="1" applyFont="1" applyFill="1" applyAlignment="1">
      <alignment horizontal="left" vertical="center" indent="1"/>
    </xf>
    <xf numFmtId="177" fontId="215" fillId="7" borderId="23" xfId="2" applyNumberFormat="1" applyFont="1" applyFill="1" applyBorder="1" applyAlignment="1">
      <alignment horizontal="center" vertical="center"/>
    </xf>
    <xf numFmtId="177" fontId="216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20" fillId="0" borderId="16" xfId="1" applyFont="1" applyBorder="1" applyAlignment="1">
      <alignment horizontal="center" vertical="center"/>
    </xf>
    <xf numFmtId="0" fontId="221" fillId="0" borderId="16" xfId="1" applyFont="1" applyBorder="1" applyAlignment="1">
      <alignment horizontal="center" vertical="center"/>
    </xf>
    <xf numFmtId="0" fontId="220" fillId="0" borderId="16" xfId="2" applyFont="1" applyBorder="1" applyAlignment="1">
      <alignment horizontal="center" vertical="center"/>
    </xf>
    <xf numFmtId="0" fontId="220" fillId="0" borderId="16" xfId="2" applyFont="1" applyBorder="1" applyAlignment="1">
      <alignment horizontal="center"/>
    </xf>
    <xf numFmtId="0" fontId="220" fillId="9" borderId="16" xfId="1" applyFont="1" applyFill="1" applyBorder="1" applyAlignment="1">
      <alignment horizontal="center" vertical="center"/>
    </xf>
    <xf numFmtId="0" fontId="220" fillId="0" borderId="0" xfId="2" applyFont="1" applyAlignment="1">
      <alignment vertical="center"/>
    </xf>
    <xf numFmtId="0" fontId="223" fillId="31" borderId="16" xfId="1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 vertical="center"/>
    </xf>
    <xf numFmtId="0" fontId="223" fillId="31" borderId="16" xfId="2" applyFont="1" applyFill="1" applyBorder="1" applyAlignment="1">
      <alignment horizontal="center"/>
    </xf>
    <xf numFmtId="0" fontId="222" fillId="0" borderId="16" xfId="2" applyFont="1" applyBorder="1" applyAlignment="1">
      <alignment horizontal="center" vertical="center"/>
    </xf>
    <xf numFmtId="0" fontId="222" fillId="0" borderId="16" xfId="2" applyFont="1" applyBorder="1" applyAlignment="1">
      <alignment horizontal="left" vertical="center"/>
    </xf>
    <xf numFmtId="0" fontId="222" fillId="0" borderId="16" xfId="2" applyFont="1" applyBorder="1" applyAlignment="1">
      <alignment horizontal="left" vertical="center" readingOrder="1"/>
    </xf>
    <xf numFmtId="0" fontId="224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3" fillId="32" borderId="16" xfId="1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 vertical="center"/>
    </xf>
    <xf numFmtId="0" fontId="223" fillId="32" borderId="16" xfId="2" applyFont="1" applyFill="1" applyBorder="1" applyAlignment="1">
      <alignment horizontal="center"/>
    </xf>
    <xf numFmtId="0" fontId="223" fillId="33" borderId="16" xfId="1" applyFont="1" applyFill="1" applyBorder="1" applyAlignment="1">
      <alignment horizontal="center" vertical="center"/>
    </xf>
    <xf numFmtId="0" fontId="223" fillId="33" borderId="16" xfId="2" applyFont="1" applyFill="1" applyBorder="1" applyAlignment="1">
      <alignment horizontal="center" vertical="center"/>
    </xf>
    <xf numFmtId="0" fontId="223" fillId="33" borderId="16" xfId="2" applyFont="1" applyFill="1" applyBorder="1" applyAlignment="1">
      <alignment horizontal="center"/>
    </xf>
    <xf numFmtId="0" fontId="222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22" fillId="0" borderId="0" xfId="2" applyFont="1" applyBorder="1" applyAlignment="1">
      <alignment horizontal="left" vertical="center" readingOrder="1"/>
    </xf>
    <xf numFmtId="0" fontId="156" fillId="28" borderId="0" xfId="4" applyFont="1" applyFill="1" applyBorder="1" applyAlignment="1">
      <alignment horizontal="center" vertical="center"/>
    </xf>
    <xf numFmtId="0" fontId="225" fillId="28" borderId="28" xfId="4" applyFont="1" applyFill="1" applyBorder="1" applyAlignment="1">
      <alignment horizontal="center" vertical="center"/>
    </xf>
    <xf numFmtId="0" fontId="226" fillId="7" borderId="38" xfId="4" applyFont="1" applyFill="1" applyBorder="1" applyAlignment="1">
      <alignment horizontal="center" vertical="center"/>
    </xf>
    <xf numFmtId="0" fontId="226" fillId="7" borderId="6" xfId="4" applyFont="1" applyFill="1" applyBorder="1" applyAlignment="1">
      <alignment horizontal="center" vertical="center"/>
    </xf>
    <xf numFmtId="0" fontId="131" fillId="4" borderId="13" xfId="0" applyFont="1" applyFill="1" applyBorder="1" applyAlignment="1">
      <alignment horizontal="center" vertical="center"/>
    </xf>
    <xf numFmtId="0" fontId="180" fillId="4" borderId="13" xfId="0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45" fillId="4" borderId="13" xfId="0" applyFont="1" applyFill="1" applyBorder="1" applyAlignment="1">
      <alignment horizontal="center" vertical="center"/>
    </xf>
    <xf numFmtId="0" fontId="164" fillId="5" borderId="13" xfId="0" applyFont="1" applyFill="1" applyBorder="1" applyAlignment="1">
      <alignment horizontal="center" vertical="center"/>
    </xf>
    <xf numFmtId="0" fontId="156" fillId="4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10" fillId="4" borderId="0" xfId="0" applyFont="1" applyFill="1" applyBorder="1" applyAlignment="1">
      <alignment horizontal="center" vertical="center"/>
    </xf>
    <xf numFmtId="0" fontId="161" fillId="5" borderId="0" xfId="0" applyFont="1" applyFill="1" applyBorder="1" applyAlignment="1">
      <alignment horizontal="left" vertical="center" indent="2"/>
    </xf>
    <xf numFmtId="0" fontId="10" fillId="4" borderId="0" xfId="0" applyFont="1" applyFill="1" applyBorder="1" applyAlignment="1">
      <alignment horizontal="left" vertical="center"/>
    </xf>
    <xf numFmtId="0" fontId="129" fillId="6" borderId="0" xfId="0" applyFont="1" applyFill="1" applyBorder="1" applyAlignment="1">
      <alignment horizontal="center" vertical="center"/>
    </xf>
    <xf numFmtId="0" fontId="23" fillId="7" borderId="0" xfId="0" applyFont="1" applyFill="1" applyBorder="1" applyAlignment="1">
      <alignment horizontal="center" vertical="center"/>
    </xf>
    <xf numFmtId="0" fontId="10" fillId="4" borderId="13" xfId="0" applyNumberFormat="1" applyFont="1" applyFill="1" applyBorder="1" applyAlignment="1">
      <alignment horizontal="center" vertical="center"/>
    </xf>
    <xf numFmtId="0" fontId="129" fillId="6" borderId="8" xfId="0" applyNumberFormat="1" applyFont="1" applyFill="1" applyBorder="1" applyAlignment="1">
      <alignment horizontal="center" vertical="center"/>
    </xf>
    <xf numFmtId="0" fontId="227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8" fillId="0" borderId="0" xfId="0" applyFont="1"/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10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indexed="64"/>
        </bottom>
        <vertical/>
        <horizontal/>
      </border>
    </dxf>
    <dxf>
      <font>
        <color auto="1"/>
      </font>
      <fill>
        <patternFill>
          <bgColor theme="0" tint="-0.34998626667073579"/>
        </patternFill>
      </fill>
    </dxf>
    <dxf>
      <border>
        <bottom style="double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09" dataDxfId="107" headerRowBorderDxfId="108" tableBorderDxfId="106" headerRowCellStyle="一般 2" dataCellStyle="一般 2">
  <tableColumns count="9">
    <tableColumn id="1" xr3:uid="{423B74D9-3D3F-4B2B-8D68-A4E9171D5CB7}" name="序號" dataDxfId="105" dataCellStyle="一般 2"/>
    <tableColumn id="2" xr3:uid="{396D49D7-AA99-4DEA-9619-65E7FD5D39AB}" name="鍵盤按鍵" dataDxfId="104" dataCellStyle="一般 2"/>
    <tableColumn id="4" xr3:uid="{235A3757-E71F-4A17-A84D-41CE930C6F69}" name="方音符號" dataDxfId="103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02" dataCellStyle="一般 2"/>
    <tableColumn id="6" xr3:uid="{43C98D01-F75F-4F2F-A863-AE225770CCD0}" name="台語音標" dataDxfId="23" dataCellStyle="一般 2"/>
    <tableColumn id="5" xr3:uid="{FD87CD5D-A668-47A2-81A3-7C73ADB50A00}" name="注音二式" dataDxfId="101" dataCellStyle="一般 2"/>
    <tableColumn id="9" xr3:uid="{740AB951-BE37-47AA-A7ED-9C808A3139CE}" name="閩拼方案" dataDxfId="24" dataCellStyle="一般 2"/>
    <tableColumn id="7" xr3:uid="{F1056CD8-A3DD-470F-BA01-3A47106881E2}" name="聲韻調" dataDxfId="100" dataCellStyle="一般 2"/>
    <tableColumn id="8" xr3:uid="{283E1CF3-6561-41D8-B4DF-0A3C621707B0}" name="附註" dataDxfId="99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16" tableBorderDxfId="22">
  <autoFilter ref="B2:J62" xr:uid="{779076CF-6DEF-4E4E-89FE-E37B7352A3DC}"/>
  <tableColumns count="9">
    <tableColumn id="1" xr3:uid="{54A56422-F653-4F43-A4BC-B7E408DB967F}" name="序號" dataDxfId="21">
      <calculatedColumnFormula>ROW() - 2</calculatedColumnFormula>
    </tableColumn>
    <tableColumn id="4" xr3:uid="{7697EFEF-572C-4518-9C44-021ED2D17180}" name="方音符號" dataDxfId="20"/>
    <tableColumn id="3" xr3:uid="{141DBB4F-3B84-415F-90EB-264F04B73BB3}" name="字典編碼" dataDxfId="13">
      <calculatedColumnFormula array="1">IFERROR( INDEX(鍵盤設計表[字典編碼], MATCH(TRUE, EXACT(注音編碼對照表[[#This Row],[方音符號]], 鍵盤設計表[方音符號]),0)), "")</calculatedColumnFormula>
    </tableColumn>
    <tableColumn id="7" xr3:uid="{68891DDC-3F35-4319-9039-E9F7A8C68D7E}" name="國際音標" dataDxfId="19"/>
    <tableColumn id="5" xr3:uid="{8BB33926-9000-49E8-BA4C-48F0AB9CE640}" name="聲韻調" dataDxfId="12">
      <calculatedColumnFormula array="1">IFERROR( INDEX(鍵盤設計表[聲韻調], MATCH(TRUE, EXACT(注音編碼對照表[[#This Row],[方音符號]], 鍵盤設計表[方音符號]),0)), "")</calculatedColumnFormula>
    </tableColumn>
    <tableColumn id="6" xr3:uid="{DA2F3FE8-33AD-4080-8A02-15751E5C76A4}" name="台語音標" dataDxfId="10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11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18">
      <calculatedColumnFormula array="1">IFERROR( INDEX(鍵盤設計表[閩拼方案], MATCH(TRUE, EXACT(注音編碼對照表[[#This Row],[方音符號]], 鍵盤設計表[方音符號]),0)), "")</calculatedColumnFormula>
    </tableColumn>
    <tableColumn id="2" xr3:uid="{5A5D3F24-31DF-4DA1-90A3-3528AC1BB140}" name="鍵盤按鍵" dataDxfId="17">
      <calculatedColumnFormula array="1">IFERROR( INDEX(鍵盤設計表[鍵盤按鍵],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15" tableBorderDxfId="98">
  <autoFilter ref="B2:I59" xr:uid="{779076CF-6DEF-4E4E-89FE-E37B7352A3DC}"/>
  <tableColumns count="8">
    <tableColumn id="1" xr3:uid="{7ED75D5E-652B-4A3F-A63F-E28CD639A2D8}" name="序號" dataDxfId="97">
      <calculatedColumnFormula>ROW() - 2</calculatedColumnFormula>
    </tableColumn>
    <tableColumn id="4" xr3:uid="{529434D2-88AB-4124-93AE-208E9AF52CB4}" name="方音符號" dataDxfId="96"/>
    <tableColumn id="7" xr3:uid="{F4C14CB4-A82C-41D9-AF30-BE553CA46FA3}" name="國際音標" dataDxfId="95"/>
    <tableColumn id="5" xr3:uid="{D8D8222D-C8AE-4DF4-A34E-931893A344C9}" name="聲韻調" dataDxfId="94">
      <calculatedColumnFormula array="1">IFERROR( INDEX(鍵盤設計!$U$5:$U$58, MATCH(TRUE, EXACT(注音編碼對照表BAK[[#This Row],[方音符號]], 鍵盤設計!$Q$5:$Q$58),0)), "")</calculatedColumnFormula>
    </tableColumn>
    <tableColumn id="6" xr3:uid="{5020FE3A-F6A8-4B02-9B83-6BADE97A0BE0}" name="台語音標" dataDxfId="93"/>
    <tableColumn id="10" xr3:uid="{DA350350-8F6D-4C8C-83BA-6A539A0C0C5C}" name="注音二式" dataDxfId="92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91">
      <calculatedColumnFormula xml:space="preserve"> IFERROR( INDEX(#REF!, MATCH($AC3,#REF!, 0)), "")</calculatedColumnFormula>
    </tableColumn>
    <tableColumn id="2" xr3:uid="{A7CD0E37-FA88-4B7F-9344-02DCFD03CA57}" name="鍵盤按鍵" dataDxfId="90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89" dataDxfId="87" headerRowBorderDxfId="88" tableBorderDxfId="86" totalsRowBorderDxfId="85">
  <autoFilter ref="B98:H104" xr:uid="{6A40958B-9384-4E59-AE7A-3C944257DC11}"/>
  <tableColumns count="7">
    <tableColumn id="1" xr3:uid="{8F368751-5DB2-45B7-AEA8-1EA789D18D9E}" name="發音部位" dataDxfId="84"/>
    <tableColumn id="2" xr3:uid="{565C2DE6-6770-43E6-8E08-95DB3D74F449}" name="塞音_x000a_(不送氣)" dataDxfId="83"/>
    <tableColumn id="3" xr3:uid="{C60AB197-3C88-4553-AC8F-FA44CBAED771}" name="塞音_x000a_(送氣)" dataDxfId="82"/>
    <tableColumn id="4" xr3:uid="{D3AC809B-436F-4540-B125-7D7963B95663}" name="濁音" dataDxfId="81"/>
    <tableColumn id="5" xr3:uid="{E45EF470-ADED-4F00-ADA7-0F1E5230D10E}" name="鼻音" dataDxfId="80"/>
    <tableColumn id="6" xr3:uid="{67CD2B7D-B586-43C6-A726-BDF60FE9AE6C}" name="擦音" dataDxfId="79"/>
    <tableColumn id="7" xr3:uid="{0BF3A333-A1A0-4499-BCC9-FE62942F95E5}" name="邊音" dataDxfId="7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77">
  <autoFilter ref="C4:G56" xr:uid="{CBD99B6E-1695-45CA-A35A-919D424705A0}"/>
  <tableColumns count="5">
    <tableColumn id="1" xr3:uid="{23C441A4-A9BF-4AF3-9A00-C54EFA849863}" name="按鍵字元" dataDxfId="76"/>
    <tableColumn id="2" xr3:uid="{BF68382C-29B0-42B3-B1E7-6BBFB43FDBF8}" name="注音符號" dataDxfId="75"/>
    <tableColumn id="3" xr3:uid="{53638260-1BF6-4965-A4AE-956982740802}" name="方音符號" dataDxfId="74"/>
    <tableColumn id="4" xr3:uid="{DCF6B5DB-F2BF-4A75-8F81-445A20F5EFEC}" name="音標編碼" dataDxfId="73"/>
    <tableColumn id="5" xr3:uid="{138EEA27-F029-4B76-B6E7-B073EAAE87F1}" name="台語音標" dataDxfId="7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71" dataDxfId="70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69">
      <calculatedColumnFormula xml:space="preserve"> J3</calculatedColumnFormula>
    </tableColumn>
    <tableColumn id="4" xr3:uid="{7407D282-3312-489C-B29B-19D43E4E79D6}" name="注音編碼" dataDxfId="68" dataCellStyle="一般 4">
      <calculatedColumnFormula>I3</calculatedColumnFormula>
    </tableColumn>
    <tableColumn id="2" xr3:uid="{DAFEC160-B656-4EE0-9837-61A87BB277BC}" name="注音符號" dataDxfId="67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66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65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64">
      <calculatedColumnFormula>H3</calculatedColumnFormula>
    </tableColumn>
    <tableColumn id="4" xr3:uid="{52141FD4-4282-4655-8FDB-25D018179FEA}" name="字典編碼" dataDxfId="63" dataCellStyle="一般 4">
      <calculatedColumnFormula>G3</calculatedColumnFormula>
    </tableColumn>
    <tableColumn id="2" xr3:uid="{59B967E3-C71C-4CF6-991D-C8F093BAB101}" name="方音符號" dataDxfId="62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61" dataDxfId="59" headerRowBorderDxfId="60" tableBorderDxfId="58" totalsRowBorderDxfId="57">
  <autoFilter ref="B3:H9" xr:uid="{CB332761-5FFA-4AA1-A510-7EB68827E47D}"/>
  <tableColumns count="7">
    <tableColumn id="1" xr3:uid="{D99DF20F-51FB-47D5-B4CC-DA04A48AAC2D}" name="發音部位" dataDxfId="56"/>
    <tableColumn id="2" xr3:uid="{6BC15A71-E0D5-404C-A6A6-8B01367E9B89}" name="塞音(不送氣)" dataDxfId="55"/>
    <tableColumn id="3" xr3:uid="{44295C3E-0304-4D25-AA15-E5C51BA36FD4}" name="塞音(送氣)" dataDxfId="54"/>
    <tableColumn id="4" xr3:uid="{F4CC72CD-7170-4DE4-8D5A-C18C426CA527}" name="濁音" dataDxfId="53"/>
    <tableColumn id="5" xr3:uid="{CE151E5C-E9DA-4A02-AD63-353CCFA6087C}" name="鼻音" dataDxfId="52"/>
    <tableColumn id="6" xr3:uid="{69AB656D-E99F-4EEB-9854-42DF77ECEB05}" name="擦音" dataDxfId="51"/>
    <tableColumn id="7" xr3:uid="{F61BA027-9E56-47A1-8224-3F0734C11F32}" name="邊音" dataDxfId="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49" dataDxfId="47" headerRowBorderDxfId="48" tableBorderDxfId="46" totalsRowBorderDxfId="45">
  <tableColumns count="20">
    <tableColumn id="1" xr3:uid="{D5BB5D32-B8B3-4985-99FE-4CAE416F8896}" name="韻腹" dataDxfId="44"/>
    <tableColumn id="2" xr3:uid="{2E75F452-C9EB-485A-898D-31B0B52F386A}" name="a" dataDxfId="43"/>
    <tableColumn id="3" xr3:uid="{232D45FA-6A65-4DC6-83E0-957B07FDBA26}" name="aɪ" dataDxfId="42"/>
    <tableColumn id="4" xr3:uid="{70955649-D6B5-40D6-8690-B978B91DB6A6}" name="aʊ" dataDxfId="41"/>
    <tableColumn id="5" xr3:uid="{17517C7F-5843-41D1-B4A0-D822E2A05A3F}" name="e" dataDxfId="40"/>
    <tableColumn id="6" xr3:uid="{A32FB388-F51D-4A09-8143-A8FE8C2735DE}" name="i" dataDxfId="39"/>
    <tableColumn id="7" xr3:uid="{0E349367-F4AB-4C53-8AD3-78E3A14DA801}" name="ɪa" dataDxfId="38"/>
    <tableColumn id="8" xr3:uid="{79DEC6A5-E8D0-4D21-9F9D-F46FE120B69D}" name="ɪaʊ" dataDxfId="37"/>
    <tableColumn id="9" xr3:uid="{9744BF02-11F5-4A49-94C9-F7ABD46F3CF7}" name="ɪə" dataDxfId="36"/>
    <tableColumn id="10" xr3:uid="{7ECBA68D-4E2D-4AE6-95E9-14B150FB60F3}" name="ɪɔ" dataDxfId="35"/>
    <tableColumn id="11" xr3:uid="{AA74AB0B-66F4-4084-A3FE-D313C4537337}" name="iu" dataDxfId="34"/>
    <tableColumn id="12" xr3:uid="{952CA3C9-B72B-4B4A-8975-0116A219DC35}" name="ə" dataDxfId="33"/>
    <tableColumn id="13" xr3:uid="{889BAAAD-336F-4D7B-A274-546C3C9BAC2F}" name="ɔ" dataDxfId="32"/>
    <tableColumn id="14" xr3:uid="{91C2AF01-8439-4A47-A026-6CDF055DF255}" name="u" dataDxfId="31"/>
    <tableColumn id="15" xr3:uid="{5AC88F01-3D1A-4AB5-A9A0-C569C4DDA3AA}" name="ua" dataDxfId="30"/>
    <tableColumn id="16" xr3:uid="{53FD8BAA-0AD0-4BA5-A488-E8FBF6E3B776}" name="uaɪ" dataDxfId="29"/>
    <tableColumn id="17" xr3:uid="{AA997DB6-667B-42B6-9983-F5C6536CECFC}" name="ue" dataDxfId="28"/>
    <tableColumn id="18" xr3:uid="{07146182-EDC0-48F7-B098-DF65D5099290}" name="ui" dataDxfId="27"/>
    <tableColumn id="19" xr3:uid="{C0F0792E-1F02-4269-AD48-9C7CAC2FFDA8}" name="m" dataDxfId="26"/>
    <tableColumn id="20" xr3:uid="{CC92EBF2-6977-48AE-A3D3-E116BF9C29F9}" name="ŋ" dataDxfId="2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61" activePane="bottomLeft" state="frozen"/>
      <selection pane="bottomLeft" activeCell="D53" sqref="D53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31.69921875" style="580" customWidth="1"/>
    <col min="11" max="11" width="39.5" style="580" customWidth="1"/>
    <col min="12" max="12" width="6.296875" style="614" customWidth="1"/>
    <col min="13" max="13" width="9" style="733" customWidth="1"/>
    <col min="14" max="14" width="19.19921875" style="614" customWidth="1"/>
    <col min="15" max="16" width="5.09765625" style="614" customWidth="1"/>
    <col min="17" max="22" width="7.59765625" style="614" customWidth="1"/>
    <col min="23" max="23" width="33.8984375" style="614" customWidth="1"/>
    <col min="24" max="24" width="39.09765625" style="614" customWidth="1"/>
    <col min="25" max="25" width="4.8984375" style="614" customWidth="1"/>
    <col min="26" max="26" width="6.19921875" style="580" bestFit="1" customWidth="1"/>
    <col min="27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E1" s="675" t="s">
        <v>885</v>
      </c>
      <c r="G1" s="580"/>
      <c r="H1" s="580"/>
      <c r="I1" s="580"/>
      <c r="J1" s="614"/>
      <c r="K1" s="614"/>
      <c r="L1" s="733"/>
      <c r="M1" s="614"/>
      <c r="P1" s="675" t="s">
        <v>8711</v>
      </c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E2" s="676" t="s">
        <v>8710</v>
      </c>
      <c r="G2" s="580"/>
      <c r="H2" s="580"/>
      <c r="I2" s="580"/>
      <c r="J2" s="614"/>
      <c r="K2" s="614"/>
      <c r="L2" s="733"/>
      <c r="M2" s="614"/>
      <c r="P2" s="676" t="b">
        <f>LEN($E5)&gt;0</f>
        <v>1</v>
      </c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33"/>
      <c r="M3" s="614"/>
      <c r="X3" s="580"/>
      <c r="Y3" s="580"/>
    </row>
    <row r="4" spans="2:35" ht="25.5">
      <c r="B4" s="709" t="s">
        <v>14</v>
      </c>
      <c r="C4" s="710" t="s">
        <v>11</v>
      </c>
      <c r="D4" s="709" t="s">
        <v>9</v>
      </c>
      <c r="E4" s="710" t="s">
        <v>17</v>
      </c>
      <c r="F4" s="709" t="s">
        <v>388</v>
      </c>
      <c r="G4" s="709" t="s">
        <v>8588</v>
      </c>
      <c r="H4" s="709" t="s">
        <v>8807</v>
      </c>
      <c r="I4" s="709" t="s">
        <v>8715</v>
      </c>
      <c r="J4" s="711" t="s">
        <v>8589</v>
      </c>
      <c r="K4" s="673"/>
      <c r="L4" s="734"/>
      <c r="M4" s="673"/>
      <c r="N4" s="673"/>
      <c r="O4" s="647" t="s">
        <v>14</v>
      </c>
      <c r="P4" s="646" t="s">
        <v>11</v>
      </c>
      <c r="Q4" s="647" t="s">
        <v>9</v>
      </c>
      <c r="R4" s="646" t="s">
        <v>8741</v>
      </c>
      <c r="S4" s="647" t="s">
        <v>8588</v>
      </c>
      <c r="T4" s="647" t="s">
        <v>8736</v>
      </c>
      <c r="U4" s="647" t="s">
        <v>8715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582" t="s">
        <v>190</v>
      </c>
      <c r="F5" s="627" t="s">
        <v>217</v>
      </c>
      <c r="G5" s="627" t="s">
        <v>190</v>
      </c>
      <c r="H5" s="627" t="s">
        <v>190</v>
      </c>
      <c r="I5" s="627" t="s">
        <v>8716</v>
      </c>
      <c r="J5" s="707" t="s">
        <v>8727</v>
      </c>
      <c r="K5" s="673" t="b">
        <f xml:space="preserve"> ISBLANK(鍵盤設計表[[#This Row],[方音符號]])</f>
        <v>0</v>
      </c>
      <c r="L5" s="734">
        <f>LEN(鍵盤設計表[[#This Row],[方音符號]])</f>
        <v>1</v>
      </c>
      <c r="M5" s="673"/>
      <c r="N5" s="674">
        <f t="shared" ref="N5:N36" si="0">ROW() - 4</f>
        <v>1</v>
      </c>
      <c r="O5" s="651">
        <f xml:space="preserve"> ROW() - 4</f>
        <v>1</v>
      </c>
      <c r="P5" s="582" t="s">
        <v>361</v>
      </c>
      <c r="Q5" s="627" t="s">
        <v>20</v>
      </c>
      <c r="R5" s="582" t="s">
        <v>190</v>
      </c>
      <c r="S5" s="627" t="s">
        <v>190</v>
      </c>
      <c r="T5" s="627" t="s">
        <v>217</v>
      </c>
      <c r="U5" s="627" t="s">
        <v>8716</v>
      </c>
      <c r="V5" s="707" t="s">
        <v>8727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1" xml:space="preserve"> ROW() - 4</f>
        <v>2</v>
      </c>
      <c r="C6" s="586" t="s">
        <v>390</v>
      </c>
      <c r="D6" s="629" t="s">
        <v>27</v>
      </c>
      <c r="E6" s="586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34">
        <f>LEN(鍵盤設計表[[#This Row],[方音符號]])</f>
        <v>1</v>
      </c>
      <c r="M6" s="673"/>
      <c r="N6" s="674">
        <f t="shared" si="0"/>
        <v>2</v>
      </c>
      <c r="O6" s="652">
        <f t="shared" ref="O6:O61" si="2" xml:space="preserve"> ROW() - 4</f>
        <v>2</v>
      </c>
      <c r="P6" s="586" t="s">
        <v>390</v>
      </c>
      <c r="Q6" s="629" t="s">
        <v>27</v>
      </c>
      <c r="R6" s="586" t="s">
        <v>144</v>
      </c>
      <c r="S6" s="629" t="s">
        <v>838</v>
      </c>
      <c r="T6" s="629" t="s">
        <v>190</v>
      </c>
      <c r="U6" s="629" t="s">
        <v>2819</v>
      </c>
      <c r="V6" s="663"/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1"/>
        <v>3</v>
      </c>
      <c r="C7" s="586" t="s">
        <v>353</v>
      </c>
      <c r="D7" s="629" t="s">
        <v>23</v>
      </c>
      <c r="E7" s="586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34">
        <f>LEN(鍵盤設計表[[#This Row],[方音符號]])</f>
        <v>1</v>
      </c>
      <c r="M7" s="673"/>
      <c r="N7" s="674">
        <f t="shared" si="0"/>
        <v>3</v>
      </c>
      <c r="O7" s="652">
        <f t="shared" si="2"/>
        <v>3</v>
      </c>
      <c r="P7" s="586" t="s">
        <v>353</v>
      </c>
      <c r="Q7" s="629" t="s">
        <v>23</v>
      </c>
      <c r="R7" s="586" t="s">
        <v>217</v>
      </c>
      <c r="S7" s="629" t="s">
        <v>217</v>
      </c>
      <c r="T7" s="629" t="s">
        <v>392</v>
      </c>
      <c r="U7" s="629" t="s">
        <v>2819</v>
      </c>
      <c r="V7" s="663"/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1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9" t="s">
        <v>8709</v>
      </c>
      <c r="F8" s="648" t="s">
        <v>8709</v>
      </c>
      <c r="G8" s="648" t="s">
        <v>8709</v>
      </c>
      <c r="H8" s="648" t="s">
        <v>8709</v>
      </c>
      <c r="I8" s="648"/>
      <c r="J8" s="664"/>
      <c r="K8" s="673"/>
      <c r="L8" s="734">
        <f>LEN(鍵盤設計表[[#This Row],[方音符號]])</f>
        <v>0</v>
      </c>
      <c r="M8" s="673"/>
      <c r="N8" s="674">
        <f t="shared" si="0"/>
        <v>4</v>
      </c>
      <c r="O8" s="653">
        <f t="shared" si="2"/>
        <v>4</v>
      </c>
      <c r="P8" s="649" t="s">
        <v>351</v>
      </c>
      <c r="Q8" s="648" t="s">
        <v>83</v>
      </c>
      <c r="R8" s="649" t="s">
        <v>143</v>
      </c>
      <c r="S8" s="648" t="s">
        <v>143</v>
      </c>
      <c r="T8" s="648" t="s">
        <v>143</v>
      </c>
      <c r="U8" s="648" t="s">
        <v>2819</v>
      </c>
      <c r="V8" s="664" t="s">
        <v>8724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1"/>
        <v>5</v>
      </c>
      <c r="C9" s="649" t="s">
        <v>351</v>
      </c>
      <c r="D9" s="648" t="s">
        <v>83</v>
      </c>
      <c r="E9" s="649" t="s">
        <v>143</v>
      </c>
      <c r="F9" s="648" t="s">
        <v>143</v>
      </c>
      <c r="G9" s="648" t="s">
        <v>143</v>
      </c>
      <c r="H9" s="648" t="s">
        <v>8788</v>
      </c>
      <c r="I9" s="648" t="s">
        <v>2819</v>
      </c>
      <c r="J9" s="664" t="s">
        <v>8724</v>
      </c>
      <c r="K9" s="673"/>
      <c r="L9" s="734">
        <f>LEN(鍵盤設計表[[#This Row],[方音符號]])</f>
        <v>1</v>
      </c>
      <c r="M9" s="673"/>
      <c r="N9" s="674">
        <f t="shared" si="0"/>
        <v>5</v>
      </c>
      <c r="O9" s="653">
        <f t="shared" si="2"/>
        <v>5</v>
      </c>
      <c r="P9" s="649" t="s">
        <v>366</v>
      </c>
      <c r="Q9" s="648" t="s">
        <v>134</v>
      </c>
      <c r="R9" s="649" t="s">
        <v>601</v>
      </c>
      <c r="S9" s="648" t="s">
        <v>422</v>
      </c>
      <c r="T9" s="648" t="s">
        <v>422</v>
      </c>
      <c r="U9" s="648" t="s">
        <v>8722</v>
      </c>
      <c r="V9" s="664" t="s">
        <v>8731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1"/>
        <v>6</v>
      </c>
      <c r="C10" s="649" t="s">
        <v>401</v>
      </c>
      <c r="D10" s="648"/>
      <c r="E10" s="649"/>
      <c r="F10" s="648"/>
      <c r="G10" s="648"/>
      <c r="H10" s="648"/>
      <c r="I10" s="648"/>
      <c r="J10" s="664"/>
      <c r="K10" s="673"/>
      <c r="L10" s="734">
        <f>LEN(鍵盤設計表[[#This Row],[方音符號]])</f>
        <v>0</v>
      </c>
      <c r="M10" s="673"/>
      <c r="N10" s="674">
        <f t="shared" si="0"/>
        <v>6</v>
      </c>
      <c r="O10" s="651">
        <f t="shared" si="2"/>
        <v>6</v>
      </c>
      <c r="P10" s="582" t="s">
        <v>347</v>
      </c>
      <c r="Q10" s="627" t="s">
        <v>29</v>
      </c>
      <c r="R10" s="582" t="s">
        <v>309</v>
      </c>
      <c r="S10" s="627" t="s">
        <v>309</v>
      </c>
      <c r="T10" s="627" t="s">
        <v>30</v>
      </c>
      <c r="U10" s="627" t="s">
        <v>2819</v>
      </c>
      <c r="V10" s="707" t="s">
        <v>8733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1"/>
        <v>7</v>
      </c>
      <c r="C11" s="649" t="s">
        <v>366</v>
      </c>
      <c r="D11" s="648" t="s">
        <v>134</v>
      </c>
      <c r="E11" s="649" t="s">
        <v>8810</v>
      </c>
      <c r="F11" s="648" t="s">
        <v>422</v>
      </c>
      <c r="G11" s="648" t="s">
        <v>422</v>
      </c>
      <c r="H11" s="648" t="s">
        <v>422</v>
      </c>
      <c r="I11" s="648" t="s">
        <v>8722</v>
      </c>
      <c r="J11" s="664" t="s">
        <v>8731</v>
      </c>
      <c r="K11" s="673"/>
      <c r="L11" s="734">
        <f>LEN(鍵盤設計表[[#This Row],[方音符號]])</f>
        <v>1</v>
      </c>
      <c r="M11" s="673"/>
      <c r="N11" s="674">
        <f t="shared" si="0"/>
        <v>7</v>
      </c>
      <c r="O11" s="652">
        <f t="shared" si="2"/>
        <v>7</v>
      </c>
      <c r="P11" s="586" t="s">
        <v>341</v>
      </c>
      <c r="Q11" s="629" t="s">
        <v>31</v>
      </c>
      <c r="R11" s="586" t="s">
        <v>30</v>
      </c>
      <c r="S11" s="629" t="s">
        <v>30</v>
      </c>
      <c r="T11" s="629" t="s">
        <v>32</v>
      </c>
      <c r="U11" s="629" t="s">
        <v>2819</v>
      </c>
      <c r="V11" s="663"/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1"/>
        <v>8</v>
      </c>
      <c r="C12" s="590" t="s">
        <v>367</v>
      </c>
      <c r="D12" s="631"/>
      <c r="E12" s="590"/>
      <c r="F12" s="631"/>
      <c r="G12" s="631"/>
      <c r="H12" s="631"/>
      <c r="I12" s="631"/>
      <c r="J12" s="665"/>
      <c r="K12" s="673"/>
      <c r="L12" s="734">
        <f>LEN(鍵盤設計表[[#This Row],[方音符號]])</f>
        <v>0</v>
      </c>
      <c r="M12" s="673"/>
      <c r="N12" s="674">
        <f t="shared" si="0"/>
        <v>8</v>
      </c>
      <c r="O12" s="653">
        <f t="shared" si="2"/>
        <v>8</v>
      </c>
      <c r="P12" s="649" t="s">
        <v>338</v>
      </c>
      <c r="Q12" s="648" t="s">
        <v>33</v>
      </c>
      <c r="R12" s="649" t="s">
        <v>34</v>
      </c>
      <c r="S12" s="648" t="s">
        <v>34</v>
      </c>
      <c r="T12" s="648" t="s">
        <v>34</v>
      </c>
      <c r="U12" s="648" t="s">
        <v>2819</v>
      </c>
      <c r="V12" s="664" t="s">
        <v>8725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1"/>
        <v>9</v>
      </c>
      <c r="C13" s="582" t="s">
        <v>347</v>
      </c>
      <c r="D13" s="627" t="s">
        <v>29</v>
      </c>
      <c r="E13" s="582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7" t="s">
        <v>8733</v>
      </c>
      <c r="K13" s="673"/>
      <c r="L13" s="734">
        <f>LEN(鍵盤設計表[[#This Row],[方音符號]])</f>
        <v>1</v>
      </c>
      <c r="M13" s="673"/>
      <c r="N13" s="674">
        <f t="shared" si="0"/>
        <v>9</v>
      </c>
      <c r="O13" s="653">
        <f t="shared" si="2"/>
        <v>9</v>
      </c>
      <c r="P13" s="649" t="s">
        <v>413</v>
      </c>
      <c r="Q13" s="648" t="s">
        <v>85</v>
      </c>
      <c r="R13" s="649" t="s">
        <v>86</v>
      </c>
      <c r="S13" s="648" t="s">
        <v>86</v>
      </c>
      <c r="T13" s="648" t="s">
        <v>86</v>
      </c>
      <c r="U13" s="648" t="s">
        <v>2819</v>
      </c>
      <c r="V13" s="664"/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1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586" t="s">
        <v>8709</v>
      </c>
      <c r="F14" s="629" t="s">
        <v>8709</v>
      </c>
      <c r="G14" s="629" t="s">
        <v>8709</v>
      </c>
      <c r="H14" s="629" t="s">
        <v>8709</v>
      </c>
      <c r="I14" s="629"/>
      <c r="J14" s="663"/>
      <c r="K14" s="673"/>
      <c r="L14" s="734">
        <f>LEN(鍵盤設計表[[#This Row],[方音符號]])</f>
        <v>0</v>
      </c>
      <c r="M14" s="673"/>
      <c r="N14" s="674">
        <f t="shared" si="0"/>
        <v>10</v>
      </c>
      <c r="O14" s="651">
        <f t="shared" si="2"/>
        <v>10</v>
      </c>
      <c r="P14" s="582">
        <v>3</v>
      </c>
      <c r="Q14" s="627" t="s">
        <v>105</v>
      </c>
      <c r="R14" s="582" t="s">
        <v>191</v>
      </c>
      <c r="S14" s="627">
        <v>3</v>
      </c>
      <c r="T14" s="627">
        <v>3</v>
      </c>
      <c r="U14" s="627" t="s">
        <v>8717</v>
      </c>
      <c r="V14" s="662"/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1"/>
        <v>11</v>
      </c>
      <c r="C15" s="586" t="s">
        <v>341</v>
      </c>
      <c r="D15" s="629" t="s">
        <v>31</v>
      </c>
      <c r="E15" s="586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34">
        <f>LEN(鍵盤設計表[[#This Row],[方音符號]])</f>
        <v>1</v>
      </c>
      <c r="M15" s="673"/>
      <c r="N15" s="674">
        <f t="shared" si="0"/>
        <v>11</v>
      </c>
      <c r="O15" s="652">
        <f t="shared" si="2"/>
        <v>11</v>
      </c>
      <c r="P15" s="586" t="s">
        <v>329</v>
      </c>
      <c r="Q15" s="629" t="s">
        <v>36</v>
      </c>
      <c r="R15" s="586" t="s">
        <v>184</v>
      </c>
      <c r="S15" s="629" t="s">
        <v>184</v>
      </c>
      <c r="T15" s="629" t="s">
        <v>37</v>
      </c>
      <c r="U15" s="629" t="s">
        <v>2819</v>
      </c>
      <c r="V15" s="663" t="s">
        <v>8732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1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9" t="s">
        <v>8709</v>
      </c>
      <c r="F16" s="648" t="s">
        <v>8709</v>
      </c>
      <c r="G16" s="648" t="s">
        <v>8709</v>
      </c>
      <c r="H16" s="648" t="s">
        <v>8709</v>
      </c>
      <c r="I16" s="648"/>
      <c r="J16" s="664"/>
      <c r="K16" s="673"/>
      <c r="L16" s="734">
        <f>LEN(鍵盤設計表[[#This Row],[方音符號]])</f>
        <v>0</v>
      </c>
      <c r="M16" s="673"/>
      <c r="N16" s="674">
        <f t="shared" si="0"/>
        <v>12</v>
      </c>
      <c r="O16" s="653">
        <f t="shared" si="2"/>
        <v>12</v>
      </c>
      <c r="P16" s="649" t="s">
        <v>421</v>
      </c>
      <c r="Q16" s="648" t="s">
        <v>41</v>
      </c>
      <c r="R16" s="649" t="s">
        <v>141</v>
      </c>
      <c r="S16" s="648" t="s">
        <v>847</v>
      </c>
      <c r="T16" s="648" t="s">
        <v>184</v>
      </c>
      <c r="U16" s="648" t="s">
        <v>2819</v>
      </c>
      <c r="V16" s="664"/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1"/>
        <v>13</v>
      </c>
      <c r="C17" s="649" t="s">
        <v>338</v>
      </c>
      <c r="D17" s="648" t="s">
        <v>33</v>
      </c>
      <c r="E17" s="649" t="s">
        <v>34</v>
      </c>
      <c r="F17" s="648" t="s">
        <v>34</v>
      </c>
      <c r="G17" s="648" t="s">
        <v>34</v>
      </c>
      <c r="H17" s="648" t="s">
        <v>8789</v>
      </c>
      <c r="I17" s="648" t="s">
        <v>2819</v>
      </c>
      <c r="J17" s="664" t="s">
        <v>8725</v>
      </c>
      <c r="K17" s="673"/>
      <c r="L17" s="734">
        <f>LEN(鍵盤設計表[[#This Row],[方音符號]])</f>
        <v>1</v>
      </c>
      <c r="M17" s="673"/>
      <c r="N17" s="674">
        <f t="shared" si="0"/>
        <v>13</v>
      </c>
      <c r="O17" s="653">
        <f t="shared" si="2"/>
        <v>13</v>
      </c>
      <c r="P17" s="649" t="s">
        <v>328</v>
      </c>
      <c r="Q17" s="648" t="s">
        <v>38</v>
      </c>
      <c r="R17" s="649" t="s">
        <v>37</v>
      </c>
      <c r="S17" s="648" t="s">
        <v>37</v>
      </c>
      <c r="T17" s="648" t="s">
        <v>418</v>
      </c>
      <c r="U17" s="648" t="s">
        <v>2819</v>
      </c>
      <c r="V17" s="664"/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1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9" t="s">
        <v>8709</v>
      </c>
      <c r="F18" s="648" t="s">
        <v>8709</v>
      </c>
      <c r="G18" s="648" t="s">
        <v>8709</v>
      </c>
      <c r="H18" s="648" t="s">
        <v>8709</v>
      </c>
      <c r="I18" s="648"/>
      <c r="J18" s="664"/>
      <c r="K18" s="673"/>
      <c r="L18" s="734">
        <f>LEN(鍵盤設計表[[#This Row],[方音符號]])</f>
        <v>0</v>
      </c>
      <c r="M18" s="673"/>
      <c r="N18" s="674">
        <f t="shared" si="0"/>
        <v>14</v>
      </c>
      <c r="O18" s="653">
        <f t="shared" si="2"/>
        <v>14</v>
      </c>
      <c r="P18" s="649" t="s">
        <v>287</v>
      </c>
      <c r="Q18" s="648" t="s">
        <v>52</v>
      </c>
      <c r="R18" s="649" t="s">
        <v>422</v>
      </c>
      <c r="S18" s="648" t="s">
        <v>422</v>
      </c>
      <c r="T18" s="648" t="s">
        <v>422</v>
      </c>
      <c r="U18" s="648" t="s">
        <v>2819</v>
      </c>
      <c r="V18" s="664" t="s">
        <v>8726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1"/>
        <v>15</v>
      </c>
      <c r="C19" s="649" t="s">
        <v>413</v>
      </c>
      <c r="D19" s="648" t="s">
        <v>85</v>
      </c>
      <c r="E19" s="649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34">
        <f>LEN(鍵盤設計表[[#This Row],[方音符號]])</f>
        <v>1</v>
      </c>
      <c r="M19" s="673"/>
      <c r="N19" s="674">
        <f t="shared" si="0"/>
        <v>15</v>
      </c>
      <c r="O19" s="651">
        <f t="shared" si="2"/>
        <v>15</v>
      </c>
      <c r="P19" s="582">
        <v>4</v>
      </c>
      <c r="Q19" s="627" t="s">
        <v>104</v>
      </c>
      <c r="R19" s="582" t="s">
        <v>347</v>
      </c>
      <c r="S19" s="627">
        <v>2</v>
      </c>
      <c r="T19" s="627">
        <v>2</v>
      </c>
      <c r="U19" s="627" t="s">
        <v>8717</v>
      </c>
      <c r="V19" s="662"/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1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590" t="s">
        <v>8709</v>
      </c>
      <c r="F20" s="631" t="s">
        <v>8709</v>
      </c>
      <c r="G20" s="631" t="s">
        <v>8709</v>
      </c>
      <c r="H20" s="631" t="s">
        <v>8709</v>
      </c>
      <c r="I20" s="631"/>
      <c r="J20" s="665"/>
      <c r="K20" s="673"/>
      <c r="L20" s="734">
        <f>LEN(鍵盤設計表[[#This Row],[方音符號]])</f>
        <v>0</v>
      </c>
      <c r="M20" s="673"/>
      <c r="N20" s="674">
        <f t="shared" si="0"/>
        <v>16</v>
      </c>
      <c r="O20" s="653">
        <f t="shared" si="2"/>
        <v>16</v>
      </c>
      <c r="P20" s="649" t="s">
        <v>435</v>
      </c>
      <c r="Q20" s="648" t="s">
        <v>89</v>
      </c>
      <c r="R20" s="670" t="s">
        <v>254</v>
      </c>
      <c r="S20" s="648" t="s">
        <v>254</v>
      </c>
      <c r="T20" s="648" t="s">
        <v>8700</v>
      </c>
      <c r="U20" s="648" t="s">
        <v>2819</v>
      </c>
      <c r="V20" s="664"/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1"/>
        <v>17</v>
      </c>
      <c r="C21" s="582">
        <v>3</v>
      </c>
      <c r="D21" s="627" t="s">
        <v>105</v>
      </c>
      <c r="E21" s="582" t="s">
        <v>191</v>
      </c>
      <c r="F21" s="627">
        <v>3</v>
      </c>
      <c r="G21" s="627">
        <v>3</v>
      </c>
      <c r="H21" s="706">
        <v>5</v>
      </c>
      <c r="I21" s="627" t="s">
        <v>8717</v>
      </c>
      <c r="J21" s="662"/>
      <c r="K21" s="673"/>
      <c r="L21" s="734">
        <f>LEN(鍵盤設計表[[#This Row],[方音符號]])</f>
        <v>1</v>
      </c>
      <c r="M21" s="673"/>
      <c r="N21" s="674">
        <f t="shared" si="0"/>
        <v>17</v>
      </c>
      <c r="O21" s="653">
        <f t="shared" si="2"/>
        <v>17</v>
      </c>
      <c r="P21" s="649" t="s">
        <v>436</v>
      </c>
      <c r="Q21" s="648" t="s">
        <v>109</v>
      </c>
      <c r="R21" s="671" t="s">
        <v>249</v>
      </c>
      <c r="S21" s="648" t="s">
        <v>8734</v>
      </c>
      <c r="T21" s="648" t="s">
        <v>445</v>
      </c>
      <c r="U21" s="648" t="s">
        <v>2819</v>
      </c>
      <c r="V21" s="664"/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1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586" t="s">
        <v>8709</v>
      </c>
      <c r="F22" s="629" t="s">
        <v>8709</v>
      </c>
      <c r="G22" s="629" t="s">
        <v>8709</v>
      </c>
      <c r="H22" s="629" t="s">
        <v>8709</v>
      </c>
      <c r="I22" s="629"/>
      <c r="J22" s="663"/>
      <c r="K22" s="673"/>
      <c r="L22" s="734">
        <f>LEN(鍵盤設計表[[#This Row],[方音符號]])</f>
        <v>0</v>
      </c>
      <c r="M22" s="673"/>
      <c r="N22" s="674">
        <f t="shared" si="0"/>
        <v>18</v>
      </c>
      <c r="O22" s="653">
        <f t="shared" si="2"/>
        <v>18</v>
      </c>
      <c r="P22" s="649" t="s">
        <v>438</v>
      </c>
      <c r="Q22" s="648" t="s">
        <v>91</v>
      </c>
      <c r="R22" s="671" t="s">
        <v>456</v>
      </c>
      <c r="S22" s="648" t="s">
        <v>463</v>
      </c>
      <c r="T22" s="648" t="s">
        <v>427</v>
      </c>
      <c r="U22" s="648" t="s">
        <v>2819</v>
      </c>
      <c r="V22" s="664"/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1"/>
        <v>19</v>
      </c>
      <c r="C23" s="586" t="s">
        <v>329</v>
      </c>
      <c r="D23" s="629" t="s">
        <v>36</v>
      </c>
      <c r="E23" s="586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8732</v>
      </c>
      <c r="K23" s="673"/>
      <c r="L23" s="734">
        <f>LEN(鍵盤設計表[[#This Row],[方音符號]])</f>
        <v>1</v>
      </c>
      <c r="M23" s="673"/>
      <c r="N23" s="674">
        <f t="shared" si="0"/>
        <v>19</v>
      </c>
      <c r="O23" s="653">
        <f t="shared" si="2"/>
        <v>19</v>
      </c>
      <c r="P23" s="649" t="s">
        <v>443</v>
      </c>
      <c r="Q23" s="648" t="s">
        <v>284</v>
      </c>
      <c r="R23" s="671" t="s">
        <v>460</v>
      </c>
      <c r="S23" s="648" t="s">
        <v>8735</v>
      </c>
      <c r="T23" s="648" t="s">
        <v>433</v>
      </c>
      <c r="U23" s="648" t="s">
        <v>2819</v>
      </c>
      <c r="V23" s="664"/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1"/>
        <v>20</v>
      </c>
      <c r="C24" s="649" t="s">
        <v>421</v>
      </c>
      <c r="D24" s="648" t="s">
        <v>41</v>
      </c>
      <c r="E24" s="649" t="s">
        <v>141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34">
        <f>LEN(鍵盤設計表[[#This Row],[方音符號]])</f>
        <v>1</v>
      </c>
      <c r="M24" s="673"/>
      <c r="N24" s="674">
        <f t="shared" si="0"/>
        <v>20</v>
      </c>
      <c r="O24" s="651">
        <f t="shared" si="2"/>
        <v>20</v>
      </c>
      <c r="P24" s="582">
        <v>5</v>
      </c>
      <c r="Q24" s="627" t="s">
        <v>107</v>
      </c>
      <c r="R24" s="582">
        <v>0</v>
      </c>
      <c r="S24" s="627">
        <v>8</v>
      </c>
      <c r="T24" s="627">
        <v>8</v>
      </c>
      <c r="U24" s="627" t="s">
        <v>8717</v>
      </c>
      <c r="V24" s="662"/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1"/>
        <v>21</v>
      </c>
      <c r="C25" s="649" t="s">
        <v>328</v>
      </c>
      <c r="D25" s="648" t="s">
        <v>38</v>
      </c>
      <c r="E25" s="649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34">
        <f>LEN(鍵盤設計表[[#This Row],[方音符號]])</f>
        <v>1</v>
      </c>
      <c r="M25" s="673"/>
      <c r="N25" s="674">
        <f t="shared" si="0"/>
        <v>21</v>
      </c>
      <c r="O25" s="653">
        <f t="shared" si="2"/>
        <v>21</v>
      </c>
      <c r="P25" s="649" t="s">
        <v>340</v>
      </c>
      <c r="Q25" s="648" t="s">
        <v>130</v>
      </c>
      <c r="R25" s="649" t="s">
        <v>600</v>
      </c>
      <c r="S25" s="648" t="s">
        <v>30</v>
      </c>
      <c r="T25" s="648" t="s">
        <v>30</v>
      </c>
      <c r="U25" s="648" t="s">
        <v>8722</v>
      </c>
      <c r="V25" s="664" t="s">
        <v>8728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1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9" t="s">
        <v>8709</v>
      </c>
      <c r="F26" s="648" t="s">
        <v>8709</v>
      </c>
      <c r="G26" s="648" t="s">
        <v>8709</v>
      </c>
      <c r="H26" s="648" t="s">
        <v>8709</v>
      </c>
      <c r="I26" s="648"/>
      <c r="J26" s="664"/>
      <c r="K26" s="673"/>
      <c r="L26" s="734">
        <f>LEN(鍵盤設計表[[#This Row],[方音符號]])</f>
        <v>0</v>
      </c>
      <c r="M26" s="673"/>
      <c r="N26" s="674">
        <f t="shared" si="0"/>
        <v>22</v>
      </c>
      <c r="O26" s="653">
        <f t="shared" si="2"/>
        <v>22</v>
      </c>
      <c r="P26" s="649" t="s">
        <v>42</v>
      </c>
      <c r="Q26" s="648" t="s">
        <v>132</v>
      </c>
      <c r="R26" s="649" t="s">
        <v>353</v>
      </c>
      <c r="S26" s="648" t="s">
        <v>37</v>
      </c>
      <c r="T26" s="648" t="s">
        <v>37</v>
      </c>
      <c r="U26" s="648" t="s">
        <v>8722</v>
      </c>
      <c r="V26" s="664" t="s">
        <v>8729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1"/>
        <v>23</v>
      </c>
      <c r="C27" s="649" t="s">
        <v>287</v>
      </c>
      <c r="D27" s="648" t="s">
        <v>52</v>
      </c>
      <c r="E27" s="649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8726</v>
      </c>
      <c r="K27" s="673"/>
      <c r="L27" s="734">
        <f>LEN(鍵盤設計表[[#This Row],[方音符號]])</f>
        <v>1</v>
      </c>
      <c r="M27" s="673"/>
      <c r="N27" s="674">
        <f t="shared" si="0"/>
        <v>23</v>
      </c>
      <c r="O27" s="652">
        <f t="shared" si="2"/>
        <v>23</v>
      </c>
      <c r="P27" s="586" t="s">
        <v>190</v>
      </c>
      <c r="Q27" s="629" t="s">
        <v>128</v>
      </c>
      <c r="R27" s="586" t="s">
        <v>283</v>
      </c>
      <c r="S27" s="629" t="s">
        <v>217</v>
      </c>
      <c r="T27" s="629" t="s">
        <v>217</v>
      </c>
      <c r="U27" s="648" t="s">
        <v>8722</v>
      </c>
      <c r="V27" s="664" t="s">
        <v>8730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1"/>
        <v>24</v>
      </c>
      <c r="C28" s="590" t="s">
        <v>286</v>
      </c>
      <c r="D28" s="629"/>
      <c r="E28" s="586"/>
      <c r="F28" s="629"/>
      <c r="G28" s="629"/>
      <c r="H28" s="629"/>
      <c r="I28" s="629"/>
      <c r="J28" s="663"/>
      <c r="K28" s="673"/>
      <c r="L28" s="734">
        <f>LEN(鍵盤設計表[[#This Row],[方音符號]])</f>
        <v>0</v>
      </c>
      <c r="M28" s="673"/>
      <c r="N28" s="674">
        <f t="shared" si="0"/>
        <v>24</v>
      </c>
      <c r="O28" s="651">
        <f t="shared" si="2"/>
        <v>24</v>
      </c>
      <c r="P28" s="582">
        <v>6</v>
      </c>
      <c r="Q28" s="627" t="s">
        <v>106</v>
      </c>
      <c r="R28" s="582" t="s">
        <v>170</v>
      </c>
      <c r="S28" s="627">
        <v>5</v>
      </c>
      <c r="T28" s="627">
        <v>5</v>
      </c>
      <c r="U28" s="627" t="s">
        <v>2619</v>
      </c>
      <c r="V28" s="662"/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1"/>
        <v>25</v>
      </c>
      <c r="C29" s="582">
        <v>4</v>
      </c>
      <c r="D29" s="627" t="s">
        <v>104</v>
      </c>
      <c r="E29" s="582" t="s">
        <v>347</v>
      </c>
      <c r="F29" s="627">
        <v>2</v>
      </c>
      <c r="G29" s="627">
        <v>2</v>
      </c>
      <c r="H29" s="787">
        <v>3</v>
      </c>
      <c r="I29" s="627" t="s">
        <v>8717</v>
      </c>
      <c r="J29" s="662"/>
      <c r="K29" s="673"/>
      <c r="L29" s="734">
        <f>LEN(鍵盤設計表[[#This Row],[方音符號]])</f>
        <v>1</v>
      </c>
      <c r="M29" s="673"/>
      <c r="N29" s="674">
        <f t="shared" si="0"/>
        <v>25</v>
      </c>
      <c r="O29" s="653">
        <f t="shared" si="2"/>
        <v>25</v>
      </c>
      <c r="P29" s="649" t="s">
        <v>370</v>
      </c>
      <c r="Q29" s="648" t="s">
        <v>43</v>
      </c>
      <c r="R29" s="649" t="s">
        <v>179</v>
      </c>
      <c r="S29" s="648" t="s">
        <v>179</v>
      </c>
      <c r="T29" s="648" t="s">
        <v>179</v>
      </c>
      <c r="U29" s="648" t="s">
        <v>2819</v>
      </c>
      <c r="V29" s="664"/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1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9" t="s">
        <v>8709</v>
      </c>
      <c r="F30" s="648" t="s">
        <v>8709</v>
      </c>
      <c r="G30" s="648" t="s">
        <v>8709</v>
      </c>
      <c r="H30" s="648" t="s">
        <v>8709</v>
      </c>
      <c r="I30" s="648"/>
      <c r="J30" s="664"/>
      <c r="K30" s="673"/>
      <c r="L30" s="734">
        <f>LEN(鍵盤設計表[[#This Row],[方音符號]])</f>
        <v>0</v>
      </c>
      <c r="M30" s="673"/>
      <c r="N30" s="674">
        <f t="shared" si="0"/>
        <v>26</v>
      </c>
      <c r="O30" s="653">
        <f t="shared" si="2"/>
        <v>26</v>
      </c>
      <c r="P30" s="649" t="s">
        <v>374</v>
      </c>
      <c r="Q30" s="648" t="s">
        <v>48</v>
      </c>
      <c r="R30" s="649" t="s">
        <v>449</v>
      </c>
      <c r="S30" s="648" t="s">
        <v>857</v>
      </c>
      <c r="T30" s="648" t="s">
        <v>254</v>
      </c>
      <c r="U30" s="648" t="s">
        <v>2819</v>
      </c>
      <c r="V30" s="664"/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1"/>
        <v>27</v>
      </c>
      <c r="C31" s="649" t="s">
        <v>435</v>
      </c>
      <c r="D31" s="648" t="s">
        <v>89</v>
      </c>
      <c r="E31" s="670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34">
        <f>LEN(鍵盤設計表[[#This Row],[方音符號]])</f>
        <v>1</v>
      </c>
      <c r="M31" s="673"/>
      <c r="N31" s="674">
        <f t="shared" si="0"/>
        <v>27</v>
      </c>
      <c r="O31" s="653">
        <f t="shared" si="2"/>
        <v>27</v>
      </c>
      <c r="P31" s="649" t="s">
        <v>53</v>
      </c>
      <c r="Q31" s="648" t="s">
        <v>46</v>
      </c>
      <c r="R31" s="649" t="s">
        <v>305</v>
      </c>
      <c r="S31" s="648" t="s">
        <v>305</v>
      </c>
      <c r="T31" s="648" t="s">
        <v>305</v>
      </c>
      <c r="U31" s="648" t="s">
        <v>2819</v>
      </c>
      <c r="V31" s="664"/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1"/>
        <v>28</v>
      </c>
      <c r="C32" s="649" t="s">
        <v>436</v>
      </c>
      <c r="D32" s="648" t="s">
        <v>109</v>
      </c>
      <c r="E32" s="671" t="s">
        <v>249</v>
      </c>
      <c r="F32" s="648" t="s">
        <v>445</v>
      </c>
      <c r="G32" s="648" t="s">
        <v>8734</v>
      </c>
      <c r="H32" s="648" t="s">
        <v>8734</v>
      </c>
      <c r="I32" s="648" t="s">
        <v>2819</v>
      </c>
      <c r="J32" s="664"/>
      <c r="K32" s="673"/>
      <c r="L32" s="734">
        <f>LEN(鍵盤設計表[[#This Row],[方音符號]])</f>
        <v>1</v>
      </c>
      <c r="M32" s="673"/>
      <c r="N32" s="674">
        <f t="shared" si="0"/>
        <v>28</v>
      </c>
      <c r="O32" s="652">
        <f t="shared" si="2"/>
        <v>28</v>
      </c>
      <c r="P32" s="586" t="s">
        <v>34</v>
      </c>
      <c r="Q32" s="629" t="s">
        <v>50</v>
      </c>
      <c r="R32" s="586" t="s">
        <v>338</v>
      </c>
      <c r="S32" s="629" t="s">
        <v>338</v>
      </c>
      <c r="T32" s="629" t="s">
        <v>338</v>
      </c>
      <c r="U32" s="648" t="s">
        <v>2819</v>
      </c>
      <c r="V32" s="664"/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1"/>
        <v>29</v>
      </c>
      <c r="C33" s="649" t="s">
        <v>438</v>
      </c>
      <c r="D33" s="648" t="s">
        <v>91</v>
      </c>
      <c r="E33" s="671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34">
        <f>LEN(鍵盤設計表[[#This Row],[方音符號]])</f>
        <v>1</v>
      </c>
      <c r="M33" s="673"/>
      <c r="N33" s="674">
        <f t="shared" si="0"/>
        <v>29</v>
      </c>
      <c r="O33" s="651">
        <f t="shared" si="2"/>
        <v>29</v>
      </c>
      <c r="P33" s="586" t="s">
        <v>569</v>
      </c>
      <c r="Q33" s="629" t="s">
        <v>87</v>
      </c>
      <c r="R33" s="586" t="s">
        <v>341</v>
      </c>
      <c r="S33" s="629" t="s">
        <v>140</v>
      </c>
      <c r="T33" s="629" t="s">
        <v>140</v>
      </c>
      <c r="U33" s="648" t="s">
        <v>2819</v>
      </c>
      <c r="V33" s="664" t="s">
        <v>8758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1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9" t="s">
        <v>8709</v>
      </c>
      <c r="F34" s="648" t="s">
        <v>8709</v>
      </c>
      <c r="G34" s="648" t="s">
        <v>8709</v>
      </c>
      <c r="H34" s="648" t="s">
        <v>8709</v>
      </c>
      <c r="I34" s="648"/>
      <c r="J34" s="664"/>
      <c r="K34" s="673"/>
      <c r="L34" s="734">
        <f>LEN(鍵盤設計表[[#This Row],[方音符號]])</f>
        <v>0</v>
      </c>
      <c r="M34" s="673"/>
      <c r="N34" s="674">
        <f t="shared" si="0"/>
        <v>30</v>
      </c>
      <c r="O34" s="653">
        <f t="shared" si="2"/>
        <v>30</v>
      </c>
      <c r="P34" s="705">
        <v>7</v>
      </c>
      <c r="Q34" s="706" t="s">
        <v>108</v>
      </c>
      <c r="R34" s="705">
        <v>8</v>
      </c>
      <c r="S34" s="706">
        <v>8</v>
      </c>
      <c r="T34" s="706">
        <v>8</v>
      </c>
      <c r="U34" s="706" t="s">
        <v>2619</v>
      </c>
      <c r="V34" s="707" t="s">
        <v>8721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1"/>
        <v>31</v>
      </c>
      <c r="C35" s="649" t="s">
        <v>443</v>
      </c>
      <c r="D35" s="648" t="s">
        <v>284</v>
      </c>
      <c r="E35" s="671" t="s">
        <v>460</v>
      </c>
      <c r="F35" s="648" t="s">
        <v>433</v>
      </c>
      <c r="G35" s="648" t="s">
        <v>8735</v>
      </c>
      <c r="H35" s="648" t="s">
        <v>8735</v>
      </c>
      <c r="I35" s="648" t="s">
        <v>2819</v>
      </c>
      <c r="J35" s="664"/>
      <c r="K35" s="673"/>
      <c r="L35" s="734">
        <f>LEN(鍵盤設計表[[#This Row],[方音符號]])</f>
        <v>1</v>
      </c>
      <c r="M35" s="673"/>
      <c r="N35" s="674">
        <f t="shared" si="0"/>
        <v>31</v>
      </c>
      <c r="O35" s="653">
        <f t="shared" si="2"/>
        <v>31</v>
      </c>
      <c r="P35" s="649" t="s">
        <v>57</v>
      </c>
      <c r="Q35" s="648" t="s">
        <v>466</v>
      </c>
      <c r="R35" s="649" t="s">
        <v>279</v>
      </c>
      <c r="S35" s="648" t="s">
        <v>279</v>
      </c>
      <c r="T35" s="648" t="s">
        <v>279</v>
      </c>
      <c r="U35" s="648" t="s">
        <v>8718</v>
      </c>
      <c r="V35" s="664"/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1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9" t="s">
        <v>8709</v>
      </c>
      <c r="F36" s="648" t="s">
        <v>8709</v>
      </c>
      <c r="G36" s="648" t="s">
        <v>8709</v>
      </c>
      <c r="H36" s="648" t="s">
        <v>8709</v>
      </c>
      <c r="I36" s="648"/>
      <c r="J36" s="664"/>
      <c r="K36" s="673"/>
      <c r="L36" s="734">
        <f>LEN(鍵盤設計表[[#This Row],[方音符號]])</f>
        <v>0</v>
      </c>
      <c r="M36" s="673"/>
      <c r="N36" s="674">
        <f t="shared" si="0"/>
        <v>32</v>
      </c>
      <c r="O36" s="653">
        <f t="shared" si="2"/>
        <v>32</v>
      </c>
      <c r="P36" s="649" t="s">
        <v>230</v>
      </c>
      <c r="Q36" s="648" t="s">
        <v>111</v>
      </c>
      <c r="R36" s="649" t="s">
        <v>275</v>
      </c>
      <c r="S36" s="648" t="s">
        <v>513</v>
      </c>
      <c r="T36" s="648" t="s">
        <v>513</v>
      </c>
      <c r="U36" s="648" t="s">
        <v>8102</v>
      </c>
      <c r="V36" s="664"/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1"/>
        <v>33</v>
      </c>
      <c r="C37" s="582">
        <v>5</v>
      </c>
      <c r="D37" s="627" t="s">
        <v>107</v>
      </c>
      <c r="E37" s="582">
        <v>7</v>
      </c>
      <c r="F37" s="627">
        <v>7</v>
      </c>
      <c r="G37" s="627">
        <v>7</v>
      </c>
      <c r="H37" s="787">
        <v>6</v>
      </c>
      <c r="I37" s="627" t="s">
        <v>8717</v>
      </c>
      <c r="J37" s="662"/>
      <c r="K37" s="673"/>
      <c r="L37" s="734">
        <f>LEN(鍵盤設計表[[#This Row],[方音符號]])</f>
        <v>1</v>
      </c>
      <c r="M37" s="673"/>
      <c r="N37" s="674">
        <f t="shared" ref="N37:N61" si="3">ROW() - 4</f>
        <v>33</v>
      </c>
      <c r="O37" s="653">
        <f t="shared" si="2"/>
        <v>33</v>
      </c>
      <c r="P37" s="649" t="s">
        <v>49</v>
      </c>
      <c r="Q37" s="648" t="s">
        <v>56</v>
      </c>
      <c r="R37" s="649" t="s">
        <v>196</v>
      </c>
      <c r="S37" s="648" t="s">
        <v>196</v>
      </c>
      <c r="T37" s="648" t="s">
        <v>196</v>
      </c>
      <c r="U37" s="648" t="s">
        <v>8102</v>
      </c>
      <c r="V37" s="664"/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1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586" t="s">
        <v>8709</v>
      </c>
      <c r="F38" s="629" t="s">
        <v>8709</v>
      </c>
      <c r="G38" s="629" t="s">
        <v>8709</v>
      </c>
      <c r="H38" s="629" t="s">
        <v>8709</v>
      </c>
      <c r="I38" s="629"/>
      <c r="J38" s="663"/>
      <c r="K38" s="673"/>
      <c r="L38" s="734">
        <f>LEN(鍵盤設計表[[#This Row],[方音符號]])</f>
        <v>0</v>
      </c>
      <c r="M38" s="673"/>
      <c r="N38" s="674">
        <f t="shared" si="3"/>
        <v>34</v>
      </c>
      <c r="O38" s="652">
        <f t="shared" si="2"/>
        <v>34</v>
      </c>
      <c r="P38" s="649" t="s">
        <v>368</v>
      </c>
      <c r="Q38" s="648" t="s">
        <v>113</v>
      </c>
      <c r="R38" s="649" t="s">
        <v>259</v>
      </c>
      <c r="S38" s="648" t="s">
        <v>518</v>
      </c>
      <c r="T38" s="648" t="s">
        <v>518</v>
      </c>
      <c r="U38" s="648" t="s">
        <v>8102</v>
      </c>
      <c r="V38" s="664"/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1"/>
        <v>35</v>
      </c>
      <c r="C39" s="649" t="s">
        <v>340</v>
      </c>
      <c r="D39" s="648" t="s">
        <v>130</v>
      </c>
      <c r="E39" s="788" t="s">
        <v>8806</v>
      </c>
      <c r="F39" s="648" t="s">
        <v>30</v>
      </c>
      <c r="G39" s="648" t="s">
        <v>30</v>
      </c>
      <c r="H39" s="648" t="s">
        <v>30</v>
      </c>
      <c r="I39" s="648" t="s">
        <v>8722</v>
      </c>
      <c r="J39" s="664" t="s">
        <v>8728</v>
      </c>
      <c r="K39" s="673"/>
      <c r="L39" s="734">
        <f>LEN(鍵盤設計表[[#This Row],[方音符號]])</f>
        <v>1</v>
      </c>
      <c r="M39" s="673"/>
      <c r="N39" s="674">
        <f t="shared" si="3"/>
        <v>35</v>
      </c>
      <c r="O39" s="652">
        <f t="shared" si="2"/>
        <v>35</v>
      </c>
      <c r="P39" s="586" t="s">
        <v>143</v>
      </c>
      <c r="Q39" s="643" t="s">
        <v>145</v>
      </c>
      <c r="R39" s="708" t="s">
        <v>525</v>
      </c>
      <c r="S39" s="643" t="s">
        <v>143</v>
      </c>
      <c r="T39" s="643" t="s">
        <v>143</v>
      </c>
      <c r="U39" s="703" t="s">
        <v>8102</v>
      </c>
      <c r="V39" s="704"/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1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9" t="s">
        <v>8709</v>
      </c>
      <c r="F40" s="648" t="s">
        <v>8709</v>
      </c>
      <c r="G40" s="648" t="s">
        <v>8709</v>
      </c>
      <c r="H40" s="648" t="s">
        <v>8709</v>
      </c>
      <c r="I40" s="648"/>
      <c r="J40" s="664"/>
      <c r="K40" s="673"/>
      <c r="L40" s="734">
        <f>LEN(鍵盤設計表[[#This Row],[方音符號]])</f>
        <v>0</v>
      </c>
      <c r="M40" s="673"/>
      <c r="N40" s="674">
        <f t="shared" si="3"/>
        <v>36</v>
      </c>
      <c r="O40" s="651">
        <f t="shared" si="2"/>
        <v>36</v>
      </c>
      <c r="P40" s="708" t="s">
        <v>525</v>
      </c>
      <c r="Q40" s="629" t="s">
        <v>99</v>
      </c>
      <c r="R40" s="586" t="s">
        <v>568</v>
      </c>
      <c r="S40" s="629" t="s">
        <v>207</v>
      </c>
      <c r="T40" s="629" t="s">
        <v>207</v>
      </c>
      <c r="U40" s="629" t="s">
        <v>8102</v>
      </c>
      <c r="V40" s="663" t="s">
        <v>8738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1"/>
        <v>37</v>
      </c>
      <c r="C41" s="649" t="s">
        <v>42</v>
      </c>
      <c r="D41" s="648" t="s">
        <v>132</v>
      </c>
      <c r="E41" s="788" t="s">
        <v>8804</v>
      </c>
      <c r="F41" s="648" t="s">
        <v>37</v>
      </c>
      <c r="G41" s="648" t="s">
        <v>37</v>
      </c>
      <c r="H41" s="648" t="s">
        <v>37</v>
      </c>
      <c r="I41" s="648" t="s">
        <v>8722</v>
      </c>
      <c r="J41" s="664" t="s">
        <v>8729</v>
      </c>
      <c r="K41" s="673"/>
      <c r="L41" s="734">
        <f>LEN(鍵盤設計表[[#This Row],[方音符號]])</f>
        <v>1</v>
      </c>
      <c r="M41" s="673"/>
      <c r="N41" s="674">
        <f t="shared" si="3"/>
        <v>37</v>
      </c>
      <c r="O41" s="652">
        <f t="shared" si="2"/>
        <v>37</v>
      </c>
      <c r="P41" s="582" t="s">
        <v>589</v>
      </c>
      <c r="Q41" s="627" t="s">
        <v>58</v>
      </c>
      <c r="R41" s="582" t="s">
        <v>351</v>
      </c>
      <c r="S41" s="627" t="s">
        <v>351</v>
      </c>
      <c r="T41" s="627" t="s">
        <v>351</v>
      </c>
      <c r="U41" s="627" t="s">
        <v>8102</v>
      </c>
      <c r="V41" s="662"/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1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9" t="s">
        <v>8709</v>
      </c>
      <c r="F42" s="648" t="s">
        <v>8709</v>
      </c>
      <c r="G42" s="648" t="s">
        <v>8709</v>
      </c>
      <c r="H42" s="648" t="s">
        <v>8709</v>
      </c>
      <c r="I42" s="648"/>
      <c r="J42" s="664"/>
      <c r="K42" s="673"/>
      <c r="L42" s="734">
        <f>LEN(鍵盤設計表[[#This Row],[方音符號]])</f>
        <v>0</v>
      </c>
      <c r="M42" s="673"/>
      <c r="N42" s="674">
        <f t="shared" si="3"/>
        <v>38</v>
      </c>
      <c r="O42" s="653">
        <f t="shared" si="2"/>
        <v>38</v>
      </c>
      <c r="P42" s="586" t="s">
        <v>484</v>
      </c>
      <c r="Q42" s="629" t="s">
        <v>115</v>
      </c>
      <c r="R42" s="586" t="s">
        <v>609</v>
      </c>
      <c r="S42" s="629" t="s">
        <v>276</v>
      </c>
      <c r="T42" s="629" t="s">
        <v>276</v>
      </c>
      <c r="U42" s="629" t="s">
        <v>8102</v>
      </c>
      <c r="V42" s="663"/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1"/>
        <v>39</v>
      </c>
      <c r="C43" s="586" t="s">
        <v>190</v>
      </c>
      <c r="D43" s="629" t="s">
        <v>128</v>
      </c>
      <c r="E43" s="789" t="s">
        <v>8805</v>
      </c>
      <c r="F43" s="629" t="s">
        <v>217</v>
      </c>
      <c r="G43" s="629" t="s">
        <v>217</v>
      </c>
      <c r="H43" s="629" t="s">
        <v>217</v>
      </c>
      <c r="I43" s="648" t="s">
        <v>8722</v>
      </c>
      <c r="J43" s="664" t="s">
        <v>8730</v>
      </c>
      <c r="K43" s="673"/>
      <c r="L43" s="734">
        <f>LEN(鍵盤設計表[[#This Row],[方音符號]])</f>
        <v>1</v>
      </c>
      <c r="M43" s="673"/>
      <c r="N43" s="674">
        <f t="shared" si="3"/>
        <v>39</v>
      </c>
      <c r="O43" s="653">
        <f t="shared" si="2"/>
        <v>39</v>
      </c>
      <c r="P43" s="649" t="s">
        <v>55</v>
      </c>
      <c r="Q43" s="648" t="s">
        <v>67</v>
      </c>
      <c r="R43" s="649" t="s">
        <v>267</v>
      </c>
      <c r="S43" s="648" t="s">
        <v>346</v>
      </c>
      <c r="T43" s="648" t="s">
        <v>346</v>
      </c>
      <c r="U43" s="648" t="s">
        <v>8102</v>
      </c>
      <c r="V43" s="664"/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1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586" t="s">
        <v>8709</v>
      </c>
      <c r="F44" s="629" t="s">
        <v>8709</v>
      </c>
      <c r="G44" s="629" t="s">
        <v>8709</v>
      </c>
      <c r="H44" s="629" t="s">
        <v>8709</v>
      </c>
      <c r="I44" s="648"/>
      <c r="J44" s="664"/>
      <c r="K44" s="673"/>
      <c r="L44" s="734">
        <f>LEN(鍵盤設計表[[#This Row],[方音符號]])</f>
        <v>0</v>
      </c>
      <c r="M44" s="673"/>
      <c r="N44" s="674">
        <f t="shared" si="3"/>
        <v>40</v>
      </c>
      <c r="O44" s="653">
        <f t="shared" si="2"/>
        <v>40</v>
      </c>
      <c r="P44" s="649" t="s">
        <v>239</v>
      </c>
      <c r="Q44" s="648" t="s">
        <v>121</v>
      </c>
      <c r="R44" s="649" t="s">
        <v>558</v>
      </c>
      <c r="S44" s="648" t="s">
        <v>864</v>
      </c>
      <c r="T44" s="648" t="s">
        <v>273</v>
      </c>
      <c r="U44" s="648" t="s">
        <v>8102</v>
      </c>
      <c r="V44" s="664"/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1"/>
        <v>41</v>
      </c>
      <c r="C45" s="582">
        <v>6</v>
      </c>
      <c r="D45" s="627" t="s">
        <v>106</v>
      </c>
      <c r="E45" s="582" t="s">
        <v>170</v>
      </c>
      <c r="F45" s="627">
        <v>5</v>
      </c>
      <c r="G45" s="627">
        <v>5</v>
      </c>
      <c r="H45" s="627">
        <v>5</v>
      </c>
      <c r="I45" s="627" t="s">
        <v>2619</v>
      </c>
      <c r="J45" s="662"/>
      <c r="K45" s="673"/>
      <c r="L45" s="734">
        <f>LEN(鍵盤設計表[[#This Row],[方音符號]])</f>
        <v>1</v>
      </c>
      <c r="M45" s="673"/>
      <c r="N45" s="674">
        <f t="shared" si="3"/>
        <v>41</v>
      </c>
      <c r="O45" s="653">
        <f t="shared" si="2"/>
        <v>41</v>
      </c>
      <c r="P45" s="649" t="s">
        <v>321</v>
      </c>
      <c r="Q45" s="648" t="s">
        <v>473</v>
      </c>
      <c r="R45" s="649" t="s">
        <v>65</v>
      </c>
      <c r="S45" s="648" t="s">
        <v>866</v>
      </c>
      <c r="T45" s="648" t="s">
        <v>65</v>
      </c>
      <c r="U45" s="648" t="s">
        <v>8102</v>
      </c>
      <c r="V45" s="664"/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1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586" t="s">
        <v>8709</v>
      </c>
      <c r="F46" s="629" t="s">
        <v>8709</v>
      </c>
      <c r="G46" s="629" t="s">
        <v>8709</v>
      </c>
      <c r="H46" s="629" t="s">
        <v>8709</v>
      </c>
      <c r="I46" s="629"/>
      <c r="J46" s="663"/>
      <c r="K46" s="673"/>
      <c r="L46" s="734">
        <f>LEN(鍵盤設計表[[#This Row],[方音符號]])</f>
        <v>0</v>
      </c>
      <c r="M46" s="673"/>
      <c r="N46" s="674">
        <f t="shared" si="3"/>
        <v>42</v>
      </c>
      <c r="O46" s="652">
        <f t="shared" si="2"/>
        <v>42</v>
      </c>
      <c r="P46" s="649" t="s">
        <v>316</v>
      </c>
      <c r="Q46" s="648" t="s">
        <v>591</v>
      </c>
      <c r="R46" s="649" t="s">
        <v>560</v>
      </c>
      <c r="S46" s="648" t="s">
        <v>522</v>
      </c>
      <c r="T46" s="648" t="s">
        <v>522</v>
      </c>
      <c r="U46" s="648" t="s">
        <v>8756</v>
      </c>
      <c r="V46" s="664"/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1"/>
        <v>43</v>
      </c>
      <c r="C47" s="649" t="s">
        <v>370</v>
      </c>
      <c r="D47" s="648" t="s">
        <v>43</v>
      </c>
      <c r="E47" s="649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34">
        <f>LEN(鍵盤設計表[[#This Row],[方音符號]])</f>
        <v>1</v>
      </c>
      <c r="M47" s="673"/>
      <c r="N47" s="674">
        <f t="shared" si="3"/>
        <v>43</v>
      </c>
      <c r="O47" s="652">
        <f t="shared" si="2"/>
        <v>43</v>
      </c>
      <c r="P47" s="586" t="s">
        <v>225</v>
      </c>
      <c r="Q47" s="629" t="s">
        <v>61</v>
      </c>
      <c r="R47" s="586" t="s">
        <v>329</v>
      </c>
      <c r="S47" s="629" t="s">
        <v>329</v>
      </c>
      <c r="T47" s="629" t="s">
        <v>329</v>
      </c>
      <c r="U47" s="648" t="s">
        <v>8102</v>
      </c>
      <c r="V47" s="664"/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1"/>
        <v>44</v>
      </c>
      <c r="C48" s="649" t="s">
        <v>374</v>
      </c>
      <c r="D48" s="648" t="s">
        <v>48</v>
      </c>
      <c r="E48" s="649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34">
        <f>LEN(鍵盤設計表[[#This Row],[方音符號]])</f>
        <v>1</v>
      </c>
      <c r="M48" s="673"/>
      <c r="N48" s="674">
        <f t="shared" si="3"/>
        <v>44</v>
      </c>
      <c r="O48" s="651">
        <f t="shared" si="2"/>
        <v>44</v>
      </c>
      <c r="P48" s="586" t="s">
        <v>223</v>
      </c>
      <c r="Q48" s="629" t="s">
        <v>119</v>
      </c>
      <c r="R48" s="586" t="s">
        <v>322</v>
      </c>
      <c r="S48" s="629" t="s">
        <v>270</v>
      </c>
      <c r="T48" s="629" t="s">
        <v>270</v>
      </c>
      <c r="U48" s="648" t="s">
        <v>8102</v>
      </c>
      <c r="V48" s="664"/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1"/>
        <v>45</v>
      </c>
      <c r="C49" s="649" t="s">
        <v>53</v>
      </c>
      <c r="D49" s="648" t="s">
        <v>46</v>
      </c>
      <c r="E49" s="649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34">
        <f>LEN(鍵盤設計表[[#This Row],[方音符號]])</f>
        <v>1</v>
      </c>
      <c r="M49" s="673"/>
      <c r="N49" s="674">
        <f t="shared" si="3"/>
        <v>45</v>
      </c>
      <c r="O49" s="652">
        <f t="shared" si="2"/>
        <v>45</v>
      </c>
      <c r="P49" s="582" t="s">
        <v>264</v>
      </c>
      <c r="Q49" s="627" t="s">
        <v>241</v>
      </c>
      <c r="R49" s="582" t="s">
        <v>332</v>
      </c>
      <c r="S49" s="627" t="s">
        <v>330</v>
      </c>
      <c r="T49" s="627" t="s">
        <v>330</v>
      </c>
      <c r="U49" s="627" t="s">
        <v>8102</v>
      </c>
      <c r="V49" s="662"/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1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9" t="s">
        <v>8709</v>
      </c>
      <c r="F50" s="648" t="s">
        <v>8709</v>
      </c>
      <c r="G50" s="648" t="s">
        <v>8709</v>
      </c>
      <c r="H50" s="648" t="s">
        <v>8709</v>
      </c>
      <c r="I50" s="648"/>
      <c r="J50" s="664"/>
      <c r="K50" s="673"/>
      <c r="L50" s="734">
        <f>LEN(鍵盤設計表[[#This Row],[方音符號]])</f>
        <v>0</v>
      </c>
      <c r="M50" s="673"/>
      <c r="N50" s="674">
        <f t="shared" si="3"/>
        <v>46</v>
      </c>
      <c r="O50" s="653">
        <f t="shared" si="2"/>
        <v>46</v>
      </c>
      <c r="P50" s="586" t="s">
        <v>491</v>
      </c>
      <c r="Q50" s="629" t="s">
        <v>117</v>
      </c>
      <c r="R50" s="586" t="s">
        <v>567</v>
      </c>
      <c r="S50" s="629" t="s">
        <v>268</v>
      </c>
      <c r="T50" s="629" t="s">
        <v>268</v>
      </c>
      <c r="U50" s="629" t="s">
        <v>8102</v>
      </c>
      <c r="V50" s="663"/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1"/>
        <v>47</v>
      </c>
      <c r="C51" s="586" t="s">
        <v>34</v>
      </c>
      <c r="D51" s="629" t="s">
        <v>50</v>
      </c>
      <c r="E51" s="586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34">
        <f>LEN(鍵盤設計表[[#This Row],[方音符號]])</f>
        <v>1</v>
      </c>
      <c r="M51" s="673"/>
      <c r="N51" s="674">
        <f t="shared" si="3"/>
        <v>47</v>
      </c>
      <c r="O51" s="653">
        <f t="shared" si="2"/>
        <v>47</v>
      </c>
      <c r="P51" s="670" t="s">
        <v>66</v>
      </c>
      <c r="Q51" s="703" t="s">
        <v>101</v>
      </c>
      <c r="R51" s="670" t="s">
        <v>454</v>
      </c>
      <c r="S51" s="712" t="s">
        <v>160</v>
      </c>
      <c r="T51" s="712" t="s">
        <v>160</v>
      </c>
      <c r="U51" s="703" t="s">
        <v>8102</v>
      </c>
      <c r="V51" s="704" t="s">
        <v>8737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1"/>
        <v>48</v>
      </c>
      <c r="C52" s="586" t="s">
        <v>569</v>
      </c>
      <c r="D52" s="629" t="s">
        <v>87</v>
      </c>
      <c r="E52" s="586" t="s">
        <v>341</v>
      </c>
      <c r="F52" s="629" t="s">
        <v>140</v>
      </c>
      <c r="G52" s="629" t="s">
        <v>140</v>
      </c>
      <c r="H52" s="629" t="s">
        <v>8790</v>
      </c>
      <c r="I52" s="648" t="s">
        <v>2819</v>
      </c>
      <c r="J52" s="664" t="s">
        <v>8758</v>
      </c>
      <c r="K52" s="673"/>
      <c r="L52" s="734">
        <f>LEN(鍵盤設計表[[#This Row],[方音符號]])</f>
        <v>1</v>
      </c>
      <c r="M52" s="673"/>
      <c r="N52" s="674">
        <f t="shared" si="3"/>
        <v>48</v>
      </c>
      <c r="O52" s="653">
        <f t="shared" si="2"/>
        <v>48</v>
      </c>
      <c r="P52" s="649" t="s">
        <v>69</v>
      </c>
      <c r="Q52" s="629" t="s">
        <v>125</v>
      </c>
      <c r="R52" s="586" t="s">
        <v>189</v>
      </c>
      <c r="S52" s="629" t="s">
        <v>203</v>
      </c>
      <c r="T52" s="629" t="s">
        <v>203</v>
      </c>
      <c r="U52" s="629" t="s">
        <v>8102</v>
      </c>
      <c r="V52" s="663" t="s">
        <v>8738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1"/>
        <v>49</v>
      </c>
      <c r="C53" s="705">
        <v>7</v>
      </c>
      <c r="D53" s="706" t="s">
        <v>108</v>
      </c>
      <c r="E53" s="705">
        <v>0</v>
      </c>
      <c r="F53" s="706">
        <v>0</v>
      </c>
      <c r="G53" s="706">
        <v>0</v>
      </c>
      <c r="H53" s="706">
        <v>0</v>
      </c>
      <c r="I53" s="706" t="s">
        <v>2619</v>
      </c>
      <c r="J53" s="707" t="s">
        <v>8721</v>
      </c>
      <c r="K53" s="673"/>
      <c r="L53" s="734">
        <f>LEN(鍵盤設計表[[#This Row],[方音符號]])</f>
        <v>1</v>
      </c>
      <c r="M53" s="673"/>
      <c r="N53" s="674">
        <f t="shared" si="3"/>
        <v>49</v>
      </c>
      <c r="O53" s="653">
        <f t="shared" si="2"/>
        <v>49</v>
      </c>
      <c r="P53" s="649" t="s">
        <v>496</v>
      </c>
      <c r="Q53" s="648" t="s">
        <v>72</v>
      </c>
      <c r="R53" s="649" t="s">
        <v>588</v>
      </c>
      <c r="S53" s="648" t="s">
        <v>326</v>
      </c>
      <c r="T53" s="648" t="s">
        <v>326</v>
      </c>
      <c r="U53" s="648" t="s">
        <v>8102</v>
      </c>
      <c r="V53" s="664"/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1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586" t="s">
        <v>8709</v>
      </c>
      <c r="F54" s="629" t="s">
        <v>8709</v>
      </c>
      <c r="G54" s="629" t="s">
        <v>8709</v>
      </c>
      <c r="H54" s="629" t="s">
        <v>8709</v>
      </c>
      <c r="I54" s="629"/>
      <c r="J54" s="663"/>
      <c r="K54" s="673"/>
      <c r="L54" s="734">
        <f>LEN(鍵盤設計表[[#This Row],[方音符號]])</f>
        <v>0</v>
      </c>
      <c r="M54" s="673"/>
      <c r="N54" s="674">
        <f t="shared" si="3"/>
        <v>50</v>
      </c>
      <c r="O54" s="651">
        <f t="shared" si="2"/>
        <v>50</v>
      </c>
      <c r="P54" s="649" t="s">
        <v>497</v>
      </c>
      <c r="Q54" s="648" t="s">
        <v>123</v>
      </c>
      <c r="R54" s="649" t="s">
        <v>447</v>
      </c>
      <c r="S54" s="648" t="s">
        <v>265</v>
      </c>
      <c r="T54" s="648" t="s">
        <v>265</v>
      </c>
      <c r="U54" s="648" t="s">
        <v>8102</v>
      </c>
      <c r="V54" s="664"/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1"/>
        <v>51</v>
      </c>
      <c r="C55" s="649" t="s">
        <v>57</v>
      </c>
      <c r="D55" s="648" t="s">
        <v>466</v>
      </c>
      <c r="E55" s="649" t="s">
        <v>279</v>
      </c>
      <c r="F55" s="648" t="s">
        <v>279</v>
      </c>
      <c r="G55" s="648" t="s">
        <v>279</v>
      </c>
      <c r="H55" s="648" t="s">
        <v>279</v>
      </c>
      <c r="I55" s="648" t="s">
        <v>8718</v>
      </c>
      <c r="J55" s="664"/>
      <c r="K55" s="673"/>
      <c r="L55" s="734">
        <f>LEN(鍵盤設計表[[#This Row],[方音符號]])</f>
        <v>1</v>
      </c>
      <c r="M55" s="673"/>
      <c r="N55" s="674">
        <f t="shared" si="3"/>
        <v>51</v>
      </c>
      <c r="O55" s="653">
        <f t="shared" si="2"/>
        <v>51</v>
      </c>
      <c r="P55" s="753" t="s">
        <v>500</v>
      </c>
      <c r="Q55" s="754" t="s">
        <v>8774</v>
      </c>
      <c r="R55" s="753">
        <v>0</v>
      </c>
      <c r="S55" s="754">
        <v>0</v>
      </c>
      <c r="T55" s="754">
        <v>0</v>
      </c>
      <c r="U55" s="754" t="s">
        <v>8760</v>
      </c>
      <c r="V55" s="664"/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1"/>
        <v>52</v>
      </c>
      <c r="C56" s="649" t="s">
        <v>230</v>
      </c>
      <c r="D56" s="648" t="s">
        <v>111</v>
      </c>
      <c r="E56" s="649" t="s">
        <v>275</v>
      </c>
      <c r="F56" s="648" t="s">
        <v>513</v>
      </c>
      <c r="G56" s="648" t="s">
        <v>513</v>
      </c>
      <c r="H56" s="648" t="s">
        <v>513</v>
      </c>
      <c r="I56" s="648" t="s">
        <v>8102</v>
      </c>
      <c r="J56" s="664"/>
      <c r="K56" s="673"/>
      <c r="L56" s="734">
        <f>LEN(鍵盤設計表[[#This Row],[方音符號]])</f>
        <v>1</v>
      </c>
      <c r="M56" s="673"/>
      <c r="N56" s="674">
        <f t="shared" si="3"/>
        <v>52</v>
      </c>
      <c r="O56" s="653">
        <f t="shared" si="2"/>
        <v>52</v>
      </c>
      <c r="P56" s="582" t="s">
        <v>219</v>
      </c>
      <c r="Q56" s="627" t="s">
        <v>97</v>
      </c>
      <c r="R56" s="582" t="s">
        <v>611</v>
      </c>
      <c r="S56" s="627" t="s">
        <v>177</v>
      </c>
      <c r="T56" s="627" t="s">
        <v>177</v>
      </c>
      <c r="U56" s="627" t="s">
        <v>8102</v>
      </c>
      <c r="V56" s="662"/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1"/>
        <v>53</v>
      </c>
      <c r="C57" s="649" t="s">
        <v>49</v>
      </c>
      <c r="D57" s="648" t="s">
        <v>56</v>
      </c>
      <c r="E57" s="649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34">
        <f>LEN(鍵盤設計表[[#This Row],[方音符號]])</f>
        <v>1</v>
      </c>
      <c r="M57" s="673"/>
      <c r="N57" s="674">
        <f t="shared" si="3"/>
        <v>53</v>
      </c>
      <c r="O57" s="652">
        <f t="shared" si="2"/>
        <v>53</v>
      </c>
      <c r="P57" s="649" t="s">
        <v>21</v>
      </c>
      <c r="Q57" s="648" t="s">
        <v>76</v>
      </c>
      <c r="R57" s="649" t="s">
        <v>569</v>
      </c>
      <c r="S57" s="648" t="s">
        <v>34</v>
      </c>
      <c r="T57" s="648" t="s">
        <v>34</v>
      </c>
      <c r="U57" s="648" t="s">
        <v>8102</v>
      </c>
      <c r="V57" s="664" t="s">
        <v>8725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1"/>
        <v>54</v>
      </c>
      <c r="C58" s="649" t="s">
        <v>368</v>
      </c>
      <c r="D58" s="648" t="s">
        <v>113</v>
      </c>
      <c r="E58" s="649" t="s">
        <v>259</v>
      </c>
      <c r="F58" s="648" t="s">
        <v>518</v>
      </c>
      <c r="G58" s="648" t="s">
        <v>518</v>
      </c>
      <c r="H58" s="648" t="s">
        <v>518</v>
      </c>
      <c r="I58" s="648" t="s">
        <v>8102</v>
      </c>
      <c r="J58" s="664"/>
      <c r="K58" s="673"/>
      <c r="L58" s="734">
        <f>LEN(鍵盤設計表[[#This Row],[方音符號]])</f>
        <v>1</v>
      </c>
      <c r="M58" s="673"/>
      <c r="N58" s="674">
        <f t="shared" si="3"/>
        <v>54</v>
      </c>
      <c r="O58" s="652">
        <f t="shared" si="2"/>
        <v>54</v>
      </c>
      <c r="P58" s="649" t="s">
        <v>512</v>
      </c>
      <c r="Q58" s="648" t="s">
        <v>95</v>
      </c>
      <c r="R58" s="671" t="s">
        <v>400</v>
      </c>
      <c r="S58" s="648" t="s">
        <v>163</v>
      </c>
      <c r="T58" s="648" t="s">
        <v>163</v>
      </c>
      <c r="U58" s="648" t="s">
        <v>8102</v>
      </c>
      <c r="V58" s="664"/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1"/>
        <v>55</v>
      </c>
      <c r="C59" s="586" t="s">
        <v>143</v>
      </c>
      <c r="D59" s="643" t="s">
        <v>145</v>
      </c>
      <c r="E59" s="708" t="s">
        <v>525</v>
      </c>
      <c r="F59" s="643" t="s">
        <v>143</v>
      </c>
      <c r="G59" s="643" t="s">
        <v>143</v>
      </c>
      <c r="H59" s="643" t="s">
        <v>143</v>
      </c>
      <c r="I59" s="703" t="s">
        <v>8102</v>
      </c>
      <c r="J59" s="704"/>
      <c r="K59" s="673"/>
      <c r="L59" s="734">
        <f>LEN(鍵盤設計表[[#This Row],[方音符號]])</f>
        <v>1</v>
      </c>
      <c r="M59" s="673"/>
      <c r="N59" s="674">
        <f t="shared" si="3"/>
        <v>55</v>
      </c>
      <c r="O59" s="652">
        <f t="shared" si="2"/>
        <v>55</v>
      </c>
      <c r="P59" s="586" t="s">
        <v>516</v>
      </c>
      <c r="Q59" s="629" t="s">
        <v>74</v>
      </c>
      <c r="R59" s="586" t="s">
        <v>559</v>
      </c>
      <c r="S59" s="629" t="s">
        <v>140</v>
      </c>
      <c r="T59" s="629" t="s">
        <v>140</v>
      </c>
      <c r="U59" s="629" t="s">
        <v>8102</v>
      </c>
      <c r="V59" s="663" t="s">
        <v>8757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1"/>
        <v>56</v>
      </c>
      <c r="C60" s="708" t="s">
        <v>525</v>
      </c>
      <c r="D60" s="629" t="s">
        <v>99</v>
      </c>
      <c r="E60" s="586" t="s">
        <v>8803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8738</v>
      </c>
      <c r="K60" s="673"/>
      <c r="L60" s="734">
        <f>LEN(鍵盤設計表[[#This Row],[方音符號]])</f>
        <v>1</v>
      </c>
      <c r="M60" s="673"/>
      <c r="N60" s="674">
        <f t="shared" si="3"/>
        <v>56</v>
      </c>
      <c r="O60" s="652">
        <f t="shared" si="2"/>
        <v>56</v>
      </c>
      <c r="P60" s="582" t="s">
        <v>82</v>
      </c>
      <c r="Q60" s="627" t="s">
        <v>8768</v>
      </c>
      <c r="R60" s="582" t="s">
        <v>472</v>
      </c>
      <c r="S60" s="627" t="s">
        <v>8767</v>
      </c>
      <c r="T60" s="627" t="s">
        <v>8767</v>
      </c>
      <c r="U60" s="627" t="s">
        <v>7878</v>
      </c>
      <c r="V60" s="662" t="s">
        <v>8769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1"/>
        <v>57</v>
      </c>
      <c r="C61" s="582" t="s">
        <v>589</v>
      </c>
      <c r="D61" s="627" t="s">
        <v>58</v>
      </c>
      <c r="E61" s="582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34">
        <f>LEN(鍵盤設計表[[#This Row],[方音符號]])</f>
        <v>1</v>
      </c>
      <c r="M61" s="673"/>
      <c r="N61" s="674">
        <f t="shared" si="3"/>
        <v>57</v>
      </c>
      <c r="O61" s="652">
        <f t="shared" si="2"/>
        <v>57</v>
      </c>
      <c r="P61" s="582" t="s">
        <v>528</v>
      </c>
      <c r="Q61" s="627" t="s">
        <v>127</v>
      </c>
      <c r="R61" s="582" t="s">
        <v>231</v>
      </c>
      <c r="S61" s="627" t="s">
        <v>8772</v>
      </c>
      <c r="T61" s="627" t="s">
        <v>8772</v>
      </c>
      <c r="U61" s="627" t="s">
        <v>7878</v>
      </c>
      <c r="V61" s="662" t="s">
        <v>8773</v>
      </c>
      <c r="W61" s="674"/>
      <c r="X61" s="580"/>
      <c r="Y61" s="580"/>
    </row>
    <row r="62" spans="2:28" ht="32.25" customHeight="1">
      <c r="B62" s="652">
        <f t="shared" si="1"/>
        <v>58</v>
      </c>
      <c r="C62" s="586" t="s">
        <v>484</v>
      </c>
      <c r="D62" s="629" t="s">
        <v>115</v>
      </c>
      <c r="E62" s="586" t="s">
        <v>609</v>
      </c>
      <c r="F62" s="629" t="s">
        <v>276</v>
      </c>
      <c r="G62" s="629" t="s">
        <v>276</v>
      </c>
      <c r="H62" s="629" t="s">
        <v>8792</v>
      </c>
      <c r="I62" s="629" t="s">
        <v>8102</v>
      </c>
      <c r="J62" s="663"/>
      <c r="K62" s="673"/>
      <c r="L62" s="734">
        <f>LEN(鍵盤設計表[[#This Row],[方音符號]])</f>
        <v>1</v>
      </c>
      <c r="M62" s="673"/>
      <c r="N62" s="674"/>
      <c r="W62" s="674"/>
      <c r="X62" s="580"/>
      <c r="Y62" s="580"/>
    </row>
    <row r="63" spans="2:28" ht="32.25" customHeight="1">
      <c r="B63" s="653">
        <f t="shared" si="1"/>
        <v>59</v>
      </c>
      <c r="C63" s="649" t="s">
        <v>55</v>
      </c>
      <c r="D63" s="648" t="s">
        <v>67</v>
      </c>
      <c r="E63" s="649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34">
        <f>LEN(鍵盤設計表[[#This Row],[方音符號]])</f>
        <v>1</v>
      </c>
      <c r="M63" s="673"/>
      <c r="N63" s="674"/>
      <c r="W63" s="674"/>
      <c r="X63" s="580"/>
      <c r="Y63" s="580"/>
    </row>
    <row r="64" spans="2:28" ht="32.25" customHeight="1">
      <c r="B64" s="653">
        <f t="shared" si="1"/>
        <v>60</v>
      </c>
      <c r="C64" s="649" t="s">
        <v>239</v>
      </c>
      <c r="D64" s="648" t="s">
        <v>121</v>
      </c>
      <c r="E64" s="649" t="s">
        <v>558</v>
      </c>
      <c r="F64" s="648" t="s">
        <v>273</v>
      </c>
      <c r="G64" s="648" t="s">
        <v>864</v>
      </c>
      <c r="H64" s="648" t="s">
        <v>8791</v>
      </c>
      <c r="I64" s="648" t="s">
        <v>8102</v>
      </c>
      <c r="J64" s="664"/>
      <c r="K64" s="673"/>
      <c r="L64" s="734">
        <f>LEN(鍵盤設計表[[#This Row],[方音符號]])</f>
        <v>1</v>
      </c>
      <c r="M64" s="673"/>
      <c r="N64" s="674"/>
      <c r="W64" s="674"/>
      <c r="X64" s="580"/>
      <c r="Y64" s="580"/>
    </row>
    <row r="65" spans="2:25" ht="32.25" customHeight="1">
      <c r="B65" s="653">
        <f t="shared" si="1"/>
        <v>61</v>
      </c>
      <c r="C65" s="649" t="s">
        <v>321</v>
      </c>
      <c r="D65" s="648" t="s">
        <v>473</v>
      </c>
      <c r="E65" s="649" t="s">
        <v>65</v>
      </c>
      <c r="F65" s="648" t="s">
        <v>65</v>
      </c>
      <c r="G65" s="648" t="s">
        <v>866</v>
      </c>
      <c r="H65" s="648" t="s">
        <v>8793</v>
      </c>
      <c r="I65" s="648" t="s">
        <v>8102</v>
      </c>
      <c r="J65" s="664"/>
      <c r="K65" s="673"/>
      <c r="L65" s="734">
        <f>LEN(鍵盤設計表[[#This Row],[方音符號]])</f>
        <v>1</v>
      </c>
      <c r="M65" s="673"/>
      <c r="N65" s="674"/>
      <c r="W65" s="674"/>
      <c r="X65" s="580"/>
      <c r="Y65" s="580"/>
    </row>
    <row r="66" spans="2:25" ht="32.25" customHeight="1">
      <c r="B66" s="653">
        <f t="shared" si="1"/>
        <v>62</v>
      </c>
      <c r="C66" s="649" t="s">
        <v>316</v>
      </c>
      <c r="D66" s="648" t="s">
        <v>591</v>
      </c>
      <c r="E66" s="649" t="s">
        <v>560</v>
      </c>
      <c r="F66" s="648" t="s">
        <v>522</v>
      </c>
      <c r="G66" s="648" t="s">
        <v>522</v>
      </c>
      <c r="H66" s="648" t="s">
        <v>8794</v>
      </c>
      <c r="I66" s="648" t="s">
        <v>8756</v>
      </c>
      <c r="J66" s="664"/>
      <c r="K66" s="673"/>
      <c r="L66" s="734">
        <f>LEN(鍵盤設計表[[#This Row],[方音符號]])</f>
        <v>1</v>
      </c>
      <c r="M66" s="673"/>
      <c r="N66" s="674"/>
      <c r="W66" s="674"/>
      <c r="X66" s="580"/>
      <c r="Y66" s="580"/>
    </row>
    <row r="67" spans="2:25" ht="32.25" customHeight="1">
      <c r="B67" s="652">
        <f t="shared" si="1"/>
        <v>63</v>
      </c>
      <c r="C67" s="586" t="s">
        <v>225</v>
      </c>
      <c r="D67" s="629" t="s">
        <v>61</v>
      </c>
      <c r="E67" s="586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34">
        <f>LEN(鍵盤設計表[[#This Row],[方音符號]])</f>
        <v>1</v>
      </c>
      <c r="M67" s="673"/>
      <c r="N67" s="674"/>
      <c r="W67" s="674"/>
      <c r="X67" s="580"/>
      <c r="Y67" s="580"/>
    </row>
    <row r="68" spans="2:25" ht="32.25" customHeight="1">
      <c r="B68" s="652">
        <f t="shared" si="1"/>
        <v>64</v>
      </c>
      <c r="C68" s="586" t="s">
        <v>223</v>
      </c>
      <c r="D68" s="629" t="s">
        <v>119</v>
      </c>
      <c r="E68" s="586" t="s">
        <v>322</v>
      </c>
      <c r="F68" s="629" t="s">
        <v>270</v>
      </c>
      <c r="G68" s="629" t="s">
        <v>270</v>
      </c>
      <c r="H68" s="629" t="s">
        <v>8795</v>
      </c>
      <c r="I68" s="648" t="s">
        <v>8102</v>
      </c>
      <c r="J68" s="664"/>
      <c r="K68" s="673"/>
      <c r="L68" s="734">
        <f>LEN(鍵盤設計表[[#This Row],[方音符號]])</f>
        <v>1</v>
      </c>
      <c r="M68" s="673"/>
      <c r="N68" s="674"/>
      <c r="W68" s="674"/>
      <c r="X68" s="580"/>
      <c r="Y68" s="580"/>
    </row>
    <row r="69" spans="2:25" ht="32.25" customHeight="1">
      <c r="B69" s="651">
        <f t="shared" si="1"/>
        <v>65</v>
      </c>
      <c r="C69" s="582" t="s">
        <v>264</v>
      </c>
      <c r="D69" s="627" t="s">
        <v>241</v>
      </c>
      <c r="E69" s="582" t="s">
        <v>8809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34">
        <f>LEN(鍵盤設計表[[#This Row],[方音符號]])</f>
        <v>1</v>
      </c>
      <c r="M69" s="673"/>
      <c r="N69" s="674"/>
      <c r="W69" s="674"/>
      <c r="X69" s="580"/>
      <c r="Y69" s="580"/>
    </row>
    <row r="70" spans="2:25" ht="32.25" customHeight="1">
      <c r="B70" s="652">
        <f t="shared" ref="B70:B94" si="4" xml:space="preserve"> ROW() - 4</f>
        <v>66</v>
      </c>
      <c r="C70" s="586" t="s">
        <v>491</v>
      </c>
      <c r="D70" s="629" t="s">
        <v>117</v>
      </c>
      <c r="E70" s="586" t="s">
        <v>567</v>
      </c>
      <c r="F70" s="629" t="s">
        <v>268</v>
      </c>
      <c r="G70" s="629" t="s">
        <v>268</v>
      </c>
      <c r="H70" s="629" t="s">
        <v>8796</v>
      </c>
      <c r="I70" s="629" t="s">
        <v>8102</v>
      </c>
      <c r="J70" s="663"/>
      <c r="K70" s="673"/>
      <c r="L70" s="734">
        <f>LEN(鍵盤設計表[[#This Row],[方音符號]])</f>
        <v>1</v>
      </c>
      <c r="M70" s="673"/>
      <c r="N70" s="674"/>
      <c r="W70" s="674"/>
      <c r="X70" s="580"/>
      <c r="Y70" s="580"/>
    </row>
    <row r="71" spans="2:25" ht="32.25" customHeight="1">
      <c r="B71" s="653">
        <f t="shared" si="4"/>
        <v>67</v>
      </c>
      <c r="C71" s="670" t="s">
        <v>66</v>
      </c>
      <c r="D71" s="703" t="s">
        <v>101</v>
      </c>
      <c r="E71" s="670" t="s">
        <v>454</v>
      </c>
      <c r="F71" s="712" t="s">
        <v>160</v>
      </c>
      <c r="G71" s="712" t="s">
        <v>160</v>
      </c>
      <c r="H71" s="712" t="s">
        <v>160</v>
      </c>
      <c r="I71" s="703" t="s">
        <v>8102</v>
      </c>
      <c r="J71" s="704" t="s">
        <v>8737</v>
      </c>
      <c r="K71" s="673"/>
      <c r="L71" s="734">
        <f>LEN(鍵盤設計表[[#This Row],[方音符號]])</f>
        <v>1</v>
      </c>
      <c r="M71" s="673" t="s">
        <v>8707</v>
      </c>
      <c r="N71" s="674"/>
      <c r="W71" s="674"/>
      <c r="X71" s="580"/>
      <c r="Y71" s="580"/>
    </row>
    <row r="72" spans="2:25" ht="32.25" customHeight="1">
      <c r="B72" s="653">
        <f t="shared" si="4"/>
        <v>68</v>
      </c>
      <c r="C72" s="649" t="s">
        <v>69</v>
      </c>
      <c r="D72" s="629" t="s">
        <v>125</v>
      </c>
      <c r="E72" s="586" t="s">
        <v>8800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8738</v>
      </c>
      <c r="K72" s="673"/>
      <c r="L72" s="734">
        <f>LEN(鍵盤設計表[[#This Row],[方音符號]])</f>
        <v>1</v>
      </c>
      <c r="M72" s="673"/>
      <c r="N72" s="674"/>
      <c r="W72" s="674"/>
      <c r="X72" s="580"/>
      <c r="Y72" s="580"/>
    </row>
    <row r="73" spans="2:25" ht="32.25" customHeight="1">
      <c r="B73" s="653">
        <f t="shared" si="4"/>
        <v>69</v>
      </c>
      <c r="C73" s="649" t="s">
        <v>496</v>
      </c>
      <c r="D73" s="648" t="s">
        <v>72</v>
      </c>
      <c r="E73" s="649" t="s">
        <v>8801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34">
        <f>LEN(鍵盤設計表[[#This Row],[方音符號]])</f>
        <v>1</v>
      </c>
      <c r="M73" s="673"/>
      <c r="N73" s="674"/>
      <c r="W73" s="674"/>
      <c r="X73" s="580"/>
      <c r="Y73" s="580"/>
    </row>
    <row r="74" spans="2:25" ht="32.25" customHeight="1">
      <c r="B74" s="653">
        <f t="shared" si="4"/>
        <v>70</v>
      </c>
      <c r="C74" s="649" t="s">
        <v>497</v>
      </c>
      <c r="D74" s="648" t="s">
        <v>123</v>
      </c>
      <c r="E74" s="649" t="s">
        <v>8802</v>
      </c>
      <c r="F74" s="648" t="s">
        <v>265</v>
      </c>
      <c r="G74" s="648" t="s">
        <v>265</v>
      </c>
      <c r="H74" s="648" t="s">
        <v>8797</v>
      </c>
      <c r="I74" s="648" t="s">
        <v>8102</v>
      </c>
      <c r="J74" s="664"/>
      <c r="K74" s="673"/>
      <c r="L74" s="734">
        <f>LEN(鍵盤設計表[[#This Row],[方音符號]])</f>
        <v>1</v>
      </c>
      <c r="M74" s="673"/>
      <c r="N74" s="674"/>
      <c r="W74" s="674"/>
      <c r="X74" s="580"/>
      <c r="Y74" s="580"/>
    </row>
    <row r="75" spans="2:25" ht="32.25" customHeight="1">
      <c r="B75" s="653">
        <f t="shared" si="4"/>
        <v>71</v>
      </c>
      <c r="C75" s="753" t="s">
        <v>500</v>
      </c>
      <c r="D75" s="754" t="s">
        <v>8774</v>
      </c>
      <c r="E75" s="753">
        <v>9</v>
      </c>
      <c r="F75" s="754">
        <v>9</v>
      </c>
      <c r="G75" s="754">
        <v>9</v>
      </c>
      <c r="H75" s="754">
        <v>9</v>
      </c>
      <c r="I75" s="754" t="s">
        <v>8760</v>
      </c>
      <c r="J75" s="664"/>
      <c r="K75" s="673"/>
      <c r="L75" s="734">
        <f>LEN(鍵盤設計表[[#This Row],[方音符號]])</f>
        <v>1</v>
      </c>
      <c r="M75" s="673"/>
      <c r="N75" s="674"/>
      <c r="W75" s="674"/>
      <c r="X75" s="580"/>
      <c r="Y75" s="580"/>
    </row>
    <row r="76" spans="2:25" ht="32.25" customHeight="1">
      <c r="B76" s="652">
        <f t="shared" si="4"/>
        <v>72</v>
      </c>
      <c r="C76" s="755" t="s">
        <v>8770</v>
      </c>
      <c r="D76" s="629"/>
      <c r="E76" s="586"/>
      <c r="F76" s="629"/>
      <c r="G76" s="629"/>
      <c r="H76" s="629"/>
      <c r="I76" s="629"/>
      <c r="J76" s="663"/>
      <c r="K76" s="673"/>
      <c r="L76" s="734">
        <f>LEN(鍵盤設計表[[#This Row],[方音符號]])</f>
        <v>0</v>
      </c>
      <c r="M76" s="673"/>
      <c r="N76" s="674"/>
      <c r="W76" s="674"/>
      <c r="X76" s="580"/>
      <c r="Y76" s="580"/>
    </row>
    <row r="77" spans="2:25" ht="32.25" customHeight="1">
      <c r="B77" s="651">
        <f t="shared" si="4"/>
        <v>73</v>
      </c>
      <c r="C77" s="582" t="s">
        <v>219</v>
      </c>
      <c r="D77" s="627" t="s">
        <v>97</v>
      </c>
      <c r="E77" s="582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34">
        <f>LEN(鍵盤設計表[[#This Row],[方音符號]])</f>
        <v>1</v>
      </c>
      <c r="M77" s="673"/>
      <c r="N77" s="674"/>
      <c r="W77" s="674"/>
      <c r="X77" s="580"/>
      <c r="Y77" s="580"/>
    </row>
    <row r="78" spans="2:25" ht="32.25" customHeight="1">
      <c r="B78" s="652">
        <f t="shared" si="4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586" t="s">
        <v>8709</v>
      </c>
      <c r="F78" s="629" t="s">
        <v>8709</v>
      </c>
      <c r="G78" s="629" t="s">
        <v>8709</v>
      </c>
      <c r="H78" s="629" t="s">
        <v>8709</v>
      </c>
      <c r="I78" s="629"/>
      <c r="J78" s="663"/>
      <c r="K78" s="673"/>
      <c r="L78" s="734">
        <f>LEN(鍵盤設計表[[#This Row],[方音符號]])</f>
        <v>0</v>
      </c>
      <c r="M78" s="673"/>
      <c r="N78" s="674"/>
      <c r="W78" s="674"/>
      <c r="X78" s="580"/>
      <c r="Y78" s="580"/>
    </row>
    <row r="79" spans="2:25" ht="32.25" customHeight="1">
      <c r="B79" s="653">
        <f t="shared" si="4"/>
        <v>75</v>
      </c>
      <c r="C79" s="649" t="s">
        <v>21</v>
      </c>
      <c r="D79" s="648" t="s">
        <v>76</v>
      </c>
      <c r="E79" s="649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8725</v>
      </c>
      <c r="K79" s="673"/>
      <c r="L79" s="734">
        <f>LEN(鍵盤設計表[[#This Row],[方音符號]])</f>
        <v>1</v>
      </c>
      <c r="M79" s="673"/>
      <c r="N79" s="674"/>
      <c r="W79" s="674"/>
      <c r="X79" s="580"/>
      <c r="Y79" s="580"/>
    </row>
    <row r="80" spans="2:25" ht="32.25" customHeight="1">
      <c r="B80" s="653">
        <f t="shared" si="4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9" t="s">
        <v>8709</v>
      </c>
      <c r="F80" s="648" t="s">
        <v>8709</v>
      </c>
      <c r="G80" s="648" t="s">
        <v>8709</v>
      </c>
      <c r="H80" s="648" t="s">
        <v>8709</v>
      </c>
      <c r="I80" s="648"/>
      <c r="J80" s="664"/>
      <c r="K80" s="673"/>
      <c r="L80" s="734">
        <f>LEN(鍵盤設計表[[#This Row],[方音符號]])</f>
        <v>0</v>
      </c>
      <c r="M80" s="673"/>
      <c r="N80" s="674"/>
      <c r="W80" s="674"/>
      <c r="X80" s="580"/>
      <c r="Y80" s="580"/>
    </row>
    <row r="81" spans="2:25" ht="32.25" customHeight="1">
      <c r="B81" s="653">
        <f t="shared" si="4"/>
        <v>77</v>
      </c>
      <c r="C81" s="649" t="s">
        <v>512</v>
      </c>
      <c r="D81" s="648" t="s">
        <v>95</v>
      </c>
      <c r="E81" s="671" t="s">
        <v>8799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34">
        <f>LEN(鍵盤設計表[[#This Row],[方音符號]])</f>
        <v>1</v>
      </c>
      <c r="M81" s="673"/>
      <c r="N81" s="674"/>
      <c r="W81" s="674"/>
      <c r="X81" s="580"/>
      <c r="Y81" s="580"/>
    </row>
    <row r="82" spans="2:25" ht="32.25" customHeight="1">
      <c r="B82" s="653">
        <f t="shared" si="4"/>
        <v>78</v>
      </c>
      <c r="C82" s="649" t="s">
        <v>509</v>
      </c>
      <c r="D82" s="648"/>
      <c r="E82" s="649"/>
      <c r="F82" s="648"/>
      <c r="G82" s="648"/>
      <c r="H82" s="648"/>
      <c r="I82" s="648"/>
      <c r="J82" s="664"/>
      <c r="K82" s="673"/>
      <c r="L82" s="734">
        <f>LEN(鍵盤設計表[[#This Row],[方音符號]])</f>
        <v>0</v>
      </c>
      <c r="M82" s="673"/>
      <c r="N82" s="674"/>
      <c r="W82" s="674"/>
      <c r="X82" s="580"/>
      <c r="Y82" s="580"/>
    </row>
    <row r="83" spans="2:25" ht="32.25" customHeight="1">
      <c r="B83" s="652">
        <f t="shared" si="4"/>
        <v>79</v>
      </c>
      <c r="C83" s="586" t="s">
        <v>516</v>
      </c>
      <c r="D83" s="629" t="s">
        <v>74</v>
      </c>
      <c r="E83" s="586" t="s">
        <v>8798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8757</v>
      </c>
      <c r="K83" s="673"/>
      <c r="L83" s="734">
        <f>LEN(鍵盤設計表[[#This Row],[方音符號]])</f>
        <v>1</v>
      </c>
      <c r="M83" s="673"/>
      <c r="N83" s="674"/>
      <c r="W83" s="674"/>
      <c r="X83" s="580"/>
      <c r="Y83" s="580"/>
    </row>
    <row r="84" spans="2:25" ht="32.25" customHeight="1">
      <c r="B84" s="652">
        <f t="shared" si="4"/>
        <v>80</v>
      </c>
      <c r="C84" s="586" t="s">
        <v>517</v>
      </c>
      <c r="D84" s="629"/>
      <c r="E84" s="586"/>
      <c r="F84" s="629"/>
      <c r="G84" s="629"/>
      <c r="H84" s="629"/>
      <c r="I84" s="648"/>
      <c r="J84" s="664"/>
      <c r="K84" s="673"/>
      <c r="L84" s="734">
        <f>LEN(鍵盤設計表[[#This Row],[方音符號]])</f>
        <v>0</v>
      </c>
      <c r="M84" s="673"/>
      <c r="N84" s="674"/>
      <c r="W84" s="674"/>
      <c r="X84" s="580"/>
      <c r="Y84" s="580"/>
    </row>
    <row r="85" spans="2:25" ht="32.25" customHeight="1">
      <c r="B85" s="651">
        <f t="shared" si="4"/>
        <v>81</v>
      </c>
      <c r="C85" s="582" t="s">
        <v>8750</v>
      </c>
      <c r="D85" s="627" t="s">
        <v>8768</v>
      </c>
      <c r="E85" s="582" t="s">
        <v>484</v>
      </c>
      <c r="F85" s="627" t="s">
        <v>8767</v>
      </c>
      <c r="G85" s="627" t="s">
        <v>8767</v>
      </c>
      <c r="H85" s="627" t="s">
        <v>8787</v>
      </c>
      <c r="I85" s="627" t="s">
        <v>7878</v>
      </c>
      <c r="J85" s="662" t="s">
        <v>8769</v>
      </c>
      <c r="K85" s="673"/>
      <c r="L85" s="734">
        <f>LEN(鍵盤設計表[[#This Row],[方音符號]])</f>
        <v>1</v>
      </c>
      <c r="M85" s="673"/>
      <c r="N85" s="674"/>
      <c r="W85" s="674"/>
      <c r="X85" s="580"/>
      <c r="Y85" s="580"/>
    </row>
    <row r="86" spans="2:25" ht="32.25" customHeight="1">
      <c r="B86" s="652">
        <f t="shared" si="4"/>
        <v>82</v>
      </c>
      <c r="C86" s="586" t="s">
        <v>8749</v>
      </c>
      <c r="D86" s="648"/>
      <c r="E86" s="649"/>
      <c r="F86" s="648"/>
      <c r="G86" s="648"/>
      <c r="H86" s="648"/>
      <c r="I86" s="648"/>
      <c r="J86" s="664"/>
      <c r="K86" s="673"/>
      <c r="L86" s="734">
        <f>LEN(鍵盤設計表[[#This Row],[方音符號]])</f>
        <v>0</v>
      </c>
      <c r="M86" s="673"/>
      <c r="N86" s="674"/>
      <c r="W86" s="674"/>
      <c r="X86" s="580"/>
      <c r="Y86" s="580"/>
    </row>
    <row r="87" spans="2:25" ht="32.25" customHeight="1">
      <c r="B87" s="652">
        <f t="shared" si="4"/>
        <v>83</v>
      </c>
      <c r="C87" s="586" t="s">
        <v>515</v>
      </c>
      <c r="D87" s="613" t="s">
        <v>531</v>
      </c>
      <c r="E87" s="586">
        <v>4</v>
      </c>
      <c r="F87" s="629">
        <v>4</v>
      </c>
      <c r="G87" s="629">
        <v>4</v>
      </c>
      <c r="H87" s="629">
        <v>4</v>
      </c>
      <c r="I87" s="786" t="s">
        <v>2619</v>
      </c>
      <c r="J87" s="663"/>
      <c r="K87" s="673"/>
      <c r="L87" s="734">
        <f>LEN(鍵盤設計表[[#This Row],[方音符號]])</f>
        <v>1</v>
      </c>
      <c r="M87" s="673"/>
      <c r="N87" s="674"/>
      <c r="W87" s="674"/>
      <c r="X87" s="580"/>
      <c r="Y87" s="580"/>
    </row>
    <row r="88" spans="2:25" ht="32.25" customHeight="1">
      <c r="B88" s="652">
        <f t="shared" si="4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586" t="s">
        <v>8709</v>
      </c>
      <c r="F88" s="629" t="s">
        <v>8709</v>
      </c>
      <c r="G88" s="629" t="s">
        <v>8709</v>
      </c>
      <c r="H88" s="629" t="s">
        <v>8709</v>
      </c>
      <c r="I88" s="650"/>
      <c r="J88" s="663"/>
      <c r="K88" s="673"/>
      <c r="L88" s="734">
        <f>LEN(鍵盤設計表[[#This Row],[方音符號]])</f>
        <v>0</v>
      </c>
      <c r="M88" s="673"/>
      <c r="N88" s="674"/>
      <c r="W88" s="674"/>
      <c r="X88" s="580"/>
      <c r="Y88" s="580"/>
    </row>
    <row r="89" spans="2:25" ht="32.25" customHeight="1">
      <c r="B89" s="652">
        <f t="shared" si="4"/>
        <v>85</v>
      </c>
      <c r="C89" s="613" t="s">
        <v>526</v>
      </c>
      <c r="D89" s="613" t="s">
        <v>531</v>
      </c>
      <c r="E89" s="671">
        <v>1</v>
      </c>
      <c r="F89" s="629">
        <v>1</v>
      </c>
      <c r="G89" s="629">
        <v>1</v>
      </c>
      <c r="H89" s="629">
        <v>1</v>
      </c>
      <c r="I89" s="786" t="s">
        <v>2619</v>
      </c>
      <c r="J89" s="663"/>
      <c r="K89" s="673"/>
      <c r="L89" s="734">
        <f>LEN(鍵盤設計表[[#This Row],[方音符號]])</f>
        <v>1</v>
      </c>
      <c r="M89" s="673"/>
      <c r="N89" s="674"/>
      <c r="W89" s="674"/>
      <c r="X89" s="580"/>
      <c r="Y89" s="580"/>
    </row>
    <row r="90" spans="2:25" ht="32.25" customHeight="1">
      <c r="B90" s="652">
        <f t="shared" si="4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13" t="s">
        <v>8709</v>
      </c>
      <c r="F90" s="629" t="s">
        <v>8709</v>
      </c>
      <c r="G90" s="629" t="s">
        <v>8709</v>
      </c>
      <c r="H90" s="629" t="s">
        <v>8709</v>
      </c>
      <c r="I90" s="629"/>
      <c r="J90" s="663"/>
      <c r="K90" s="673"/>
      <c r="L90" s="734">
        <f>LEN(鍵盤設計表[[#This Row],[方音符號]])</f>
        <v>0</v>
      </c>
      <c r="M90" s="673"/>
      <c r="N90" s="674"/>
      <c r="W90" s="674"/>
      <c r="X90" s="580"/>
      <c r="Y90" s="580"/>
    </row>
    <row r="91" spans="2:25" ht="32.25" customHeight="1">
      <c r="B91" s="651">
        <f t="shared" si="4"/>
        <v>87</v>
      </c>
      <c r="C91" s="582" t="s">
        <v>528</v>
      </c>
      <c r="D91" s="627" t="s">
        <v>127</v>
      </c>
      <c r="E91" s="582" t="s">
        <v>231</v>
      </c>
      <c r="F91" s="627" t="s">
        <v>8772</v>
      </c>
      <c r="G91" s="627" t="s">
        <v>8772</v>
      </c>
      <c r="H91" s="627" t="s">
        <v>8772</v>
      </c>
      <c r="I91" s="627" t="s">
        <v>7878</v>
      </c>
      <c r="J91" s="662" t="s">
        <v>8773</v>
      </c>
      <c r="K91" s="673"/>
      <c r="L91" s="734">
        <f>LEN(鍵盤設計表[[#This Row],[方音符號]])</f>
        <v>1</v>
      </c>
      <c r="M91" s="673"/>
      <c r="N91" s="674"/>
      <c r="W91" s="674"/>
      <c r="X91" s="580"/>
      <c r="Y91" s="580"/>
    </row>
    <row r="92" spans="2:25" ht="32.25" customHeight="1">
      <c r="B92" s="651">
        <f t="shared" si="4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5" t="s">
        <v>8709</v>
      </c>
      <c r="F92" s="650" t="s">
        <v>8709</v>
      </c>
      <c r="G92" s="650" t="s">
        <v>8709</v>
      </c>
      <c r="H92" s="650" t="s">
        <v>8709</v>
      </c>
      <c r="I92" s="650"/>
      <c r="J92" s="666"/>
      <c r="K92" s="673"/>
      <c r="L92" s="734">
        <f>LEN(鍵盤設計表[[#This Row],[方音符號]])</f>
        <v>0</v>
      </c>
      <c r="M92" s="673"/>
      <c r="N92" s="674"/>
      <c r="W92" s="674"/>
      <c r="X92" s="580"/>
      <c r="Y92" s="580"/>
    </row>
    <row r="93" spans="2:25" ht="32.25" customHeight="1">
      <c r="B93" s="652">
        <f t="shared" si="4"/>
        <v>89</v>
      </c>
      <c r="C93" s="586" t="s">
        <v>511</v>
      </c>
      <c r="D93" s="586" t="s">
        <v>536</v>
      </c>
      <c r="E93" s="586">
        <v>8</v>
      </c>
      <c r="F93" s="629">
        <v>8</v>
      </c>
      <c r="G93" s="629">
        <v>8</v>
      </c>
      <c r="H93" s="629">
        <v>8</v>
      </c>
      <c r="I93" s="786" t="s">
        <v>2619</v>
      </c>
      <c r="J93" s="663"/>
      <c r="K93" s="673"/>
      <c r="L93" s="734">
        <f>LEN(鍵盤設計表[[#This Row],[方音符號]])</f>
        <v>1</v>
      </c>
      <c r="M93" s="673"/>
      <c r="N93" s="674"/>
      <c r="W93" s="674"/>
      <c r="X93" s="580"/>
      <c r="Y93" s="580"/>
    </row>
    <row r="94" spans="2:25" ht="32.25" customHeight="1">
      <c r="B94" s="653">
        <f t="shared" si="4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9" t="s">
        <v>8709</v>
      </c>
      <c r="F94" s="648" t="s">
        <v>8709</v>
      </c>
      <c r="G94" s="648" t="s">
        <v>8709</v>
      </c>
      <c r="H94" s="648" t="s">
        <v>8709</v>
      </c>
      <c r="I94" s="648"/>
      <c r="J94" s="664"/>
      <c r="K94" s="673"/>
      <c r="L94" s="734">
        <f>LEN(鍵盤設計表[[#This Row],[方音符號]])</f>
        <v>0</v>
      </c>
      <c r="M94" s="673"/>
      <c r="N94" s="674"/>
      <c r="W94" s="674"/>
      <c r="X94" s="580"/>
      <c r="Y94" s="580"/>
    </row>
    <row r="96" spans="2:25">
      <c r="M96" s="733">
        <f>SUM(L5:L94)</f>
        <v>60</v>
      </c>
      <c r="N96" s="614">
        <f>B94-M96</f>
        <v>30</v>
      </c>
    </row>
    <row r="97" spans="12:14" ht="34.5" customHeight="1"/>
    <row r="98" spans="12:14" ht="34.5" customHeight="1"/>
    <row r="99" spans="12:14" ht="34.5" customHeight="1"/>
    <row r="100" spans="12:14" ht="34.5" customHeight="1"/>
    <row r="101" spans="12:14" ht="34.5" customHeight="1"/>
    <row r="102" spans="12:14" ht="34.5" customHeight="1">
      <c r="L102" s="664"/>
      <c r="M102" s="735"/>
      <c r="N102" s="664" t="s">
        <v>8708</v>
      </c>
    </row>
  </sheetData>
  <sortState xmlns:xlrd2="http://schemas.microsoft.com/office/spreadsheetml/2017/richdata2" ref="N5:V59">
    <sortCondition ref="O5:O59"/>
  </sortState>
  <phoneticPr fontId="9" type="noConversion"/>
  <conditionalFormatting sqref="W5:W94 B28:C28 B60:C60 B72:C72 B76:C76 B83:C83 B5:J27 B29:J59 B61:J71 B73:J75 B77:J82 L102:N102 B84:J94">
    <cfRule type="cellIs" dxfId="9" priority="6" operator="equal">
      <formula>CHAR(32)</formula>
    </cfRule>
  </conditionalFormatting>
  <conditionalFormatting sqref="N5:N94">
    <cfRule type="cellIs" dxfId="8" priority="7" operator="equal">
      <formula>CHAR(32)</formula>
    </cfRule>
  </conditionalFormatting>
  <conditionalFormatting sqref="Y55">
    <cfRule type="cellIs" dxfId="7" priority="4" operator="equal">
      <formula>CHAR(32)</formula>
    </cfRule>
  </conditionalFormatting>
  <conditionalFormatting sqref="AD5:AH14">
    <cfRule type="cellIs" dxfId="6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8711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8715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8709</v>
      </c>
      <c r="F5" s="648" t="s">
        <v>8709</v>
      </c>
      <c r="G5" s="648" t="s">
        <v>8709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8709</v>
      </c>
      <c r="F6" s="648" t="s">
        <v>8709</v>
      </c>
      <c r="G6" s="648" t="s">
        <v>8709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8709</v>
      </c>
      <c r="F7" s="631" t="s">
        <v>8709</v>
      </c>
      <c r="G7" s="631" t="s">
        <v>8709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8709</v>
      </c>
      <c r="F8" s="629" t="s">
        <v>8709</v>
      </c>
      <c r="G8" s="629" t="s">
        <v>8709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8709</v>
      </c>
      <c r="F9" s="648" t="s">
        <v>8709</v>
      </c>
      <c r="G9" s="648" t="s">
        <v>8709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8709</v>
      </c>
      <c r="F10" s="648" t="s">
        <v>8709</v>
      </c>
      <c r="G10" s="648" t="s">
        <v>8709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8709</v>
      </c>
      <c r="F11" s="631" t="s">
        <v>8709</v>
      </c>
      <c r="G11" s="631" t="s">
        <v>8709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8709</v>
      </c>
      <c r="F12" s="629" t="s">
        <v>8709</v>
      </c>
      <c r="G12" s="629" t="s">
        <v>8709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8709</v>
      </c>
      <c r="F13" s="648" t="s">
        <v>8709</v>
      </c>
      <c r="G13" s="648" t="s">
        <v>8709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8709</v>
      </c>
      <c r="F14" s="648" t="s">
        <v>8709</v>
      </c>
      <c r="G14" s="648" t="s">
        <v>8709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8709</v>
      </c>
      <c r="F15" s="648" t="s">
        <v>8709</v>
      </c>
      <c r="G15" s="648" t="s">
        <v>8709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8709</v>
      </c>
      <c r="F16" s="648" t="s">
        <v>8709</v>
      </c>
      <c r="G16" s="648" t="s">
        <v>8709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8709</v>
      </c>
      <c r="F17" s="629" t="s">
        <v>8709</v>
      </c>
      <c r="G17" s="629" t="s">
        <v>8709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8709</v>
      </c>
      <c r="F18" s="648" t="s">
        <v>8709</v>
      </c>
      <c r="G18" s="648" t="s">
        <v>8709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8709</v>
      </c>
      <c r="F19" s="648" t="s">
        <v>8709</v>
      </c>
      <c r="G19" s="648" t="s">
        <v>8709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8709</v>
      </c>
      <c r="F20" s="629" t="s">
        <v>8709</v>
      </c>
      <c r="G20" s="629" t="s">
        <v>8709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8709</v>
      </c>
      <c r="E21" s="629" t="s">
        <v>8709</v>
      </c>
      <c r="F21" s="629" t="s">
        <v>8709</v>
      </c>
      <c r="G21" s="629" t="s">
        <v>8709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8709</v>
      </c>
      <c r="F22" s="648" t="s">
        <v>8709</v>
      </c>
      <c r="G22" s="648" t="s">
        <v>8709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8709</v>
      </c>
      <c r="F23" s="629" t="s">
        <v>8709</v>
      </c>
      <c r="G23" s="629" t="s">
        <v>8709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8709</v>
      </c>
      <c r="F24" s="629" t="s">
        <v>8709</v>
      </c>
      <c r="G24" s="629" t="s">
        <v>8709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8709</v>
      </c>
      <c r="F26" s="648" t="s">
        <v>8709</v>
      </c>
      <c r="G26" s="648" t="s">
        <v>8709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8709</v>
      </c>
      <c r="F27" s="629" t="s">
        <v>8709</v>
      </c>
      <c r="G27" s="629" t="s">
        <v>8709</v>
      </c>
      <c r="H27" s="648"/>
      <c r="I27" s="704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8709</v>
      </c>
      <c r="F28" s="629" t="s">
        <v>8709</v>
      </c>
      <c r="G28" s="629" t="s">
        <v>8709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8709</v>
      </c>
      <c r="F29" s="629" t="s">
        <v>8709</v>
      </c>
      <c r="G29" s="629" t="s">
        <v>8709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8709</v>
      </c>
      <c r="F30" s="648" t="s">
        <v>8709</v>
      </c>
      <c r="G30" s="648" t="s">
        <v>8709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8709</v>
      </c>
      <c r="F31" s="648" t="s">
        <v>8709</v>
      </c>
      <c r="G31" s="648" t="s">
        <v>8709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8709</v>
      </c>
      <c r="E33" s="629" t="s">
        <v>8709</v>
      </c>
      <c r="F33" s="629" t="s">
        <v>8709</v>
      </c>
      <c r="G33" s="629" t="s">
        <v>8709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8709</v>
      </c>
      <c r="E35" s="629" t="s">
        <v>8709</v>
      </c>
      <c r="F35" s="629" t="s">
        <v>8709</v>
      </c>
      <c r="G35" s="629" t="s">
        <v>8709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8709</v>
      </c>
      <c r="E36" s="629" t="s">
        <v>8709</v>
      </c>
      <c r="F36" s="629" t="s">
        <v>8709</v>
      </c>
      <c r="G36" s="629" t="s">
        <v>8709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8709</v>
      </c>
      <c r="E37" s="627" t="s">
        <v>8709</v>
      </c>
      <c r="F37" s="627" t="s">
        <v>8709</v>
      </c>
      <c r="G37" s="627" t="s">
        <v>8709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8709</v>
      </c>
      <c r="F38" s="650" t="s">
        <v>8709</v>
      </c>
      <c r="G38" s="650" t="s">
        <v>8709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8709</v>
      </c>
      <c r="F40" s="648" t="s">
        <v>8709</v>
      </c>
      <c r="G40" s="648" t="s">
        <v>8709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5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V102"/>
  <sheetViews>
    <sheetView tabSelected="1" zoomScale="90" zoomScaleNormal="90" workbookViewId="0">
      <pane ySplit="2" topLeftCell="A9" activePane="bottomLeft" state="frozen"/>
      <selection pane="bottomLeft" activeCell="F87" sqref="F87"/>
    </sheetView>
  </sheetViews>
  <sheetFormatPr defaultRowHeight="23.25"/>
  <cols>
    <col min="2" max="2" width="6.3984375" style="2" customWidth="1"/>
    <col min="3" max="3" width="12.296875" customWidth="1"/>
    <col min="4" max="4" width="12.59765625" style="779" customWidth="1"/>
    <col min="5" max="5" width="12.59765625" customWidth="1"/>
    <col min="6" max="6" width="12.59765625" style="370" customWidth="1"/>
    <col min="7" max="7" width="12.59765625" style="11" customWidth="1"/>
    <col min="8" max="8" width="12.59765625" customWidth="1"/>
    <col min="9" max="9" width="12.59765625" style="459" customWidth="1"/>
    <col min="10" max="10" width="12.59765625" customWidth="1"/>
    <col min="11" max="11" width="10.69921875" style="370" customWidth="1"/>
    <col min="14" max="14" width="10.69921875" customWidth="1"/>
    <col min="16" max="17" width="10.59765625" style="370" customWidth="1"/>
    <col min="19" max="19" width="10.59765625" style="11" customWidth="1"/>
    <col min="22" max="22" width="10.59765625" style="359" customWidth="1"/>
    <col min="26" max="31" width="9.69921875" customWidth="1"/>
  </cols>
  <sheetData>
    <row r="1" spans="2:22" ht="32.25">
      <c r="B1" s="7" t="s">
        <v>5</v>
      </c>
      <c r="C1" s="139"/>
      <c r="D1" s="139"/>
      <c r="E1" s="139"/>
      <c r="F1" s="8"/>
      <c r="G1" s="8"/>
      <c r="H1" s="138"/>
      <c r="I1"/>
      <c r="K1"/>
      <c r="P1"/>
      <c r="Q1"/>
      <c r="S1"/>
      <c r="V1"/>
    </row>
    <row r="2" spans="2:22" thickBot="1">
      <c r="B2" s="800" t="s">
        <v>14</v>
      </c>
      <c r="C2" s="801" t="s">
        <v>386</v>
      </c>
      <c r="D2" s="803" t="s">
        <v>17</v>
      </c>
      <c r="E2" s="802" t="s">
        <v>362</v>
      </c>
      <c r="F2" s="801" t="s">
        <v>8715</v>
      </c>
      <c r="G2" s="802" t="s">
        <v>388</v>
      </c>
      <c r="H2" s="801" t="s">
        <v>835</v>
      </c>
      <c r="I2" s="801" t="s">
        <v>8808</v>
      </c>
      <c r="J2" s="804" t="s">
        <v>19</v>
      </c>
      <c r="K2"/>
      <c r="M2" s="370"/>
      <c r="P2"/>
      <c r="Q2"/>
      <c r="S2"/>
      <c r="V2"/>
    </row>
    <row r="3" spans="2:22" ht="33" thickTop="1">
      <c r="B3" s="798">
        <f>ROW() - 2</f>
        <v>1</v>
      </c>
      <c r="C3" s="56" t="s">
        <v>83</v>
      </c>
      <c r="D3" s="424" t="str" cm="1">
        <f t="array" ref="D3">IFERROR( INDEX(鍵盤設計表[字典編碼], MATCH(TRUE, EXACT(注音編碼對照表[[#This Row],[方音符號]], 鍵盤設計表[方音符號]),0)), "")</f>
        <v>m</v>
      </c>
      <c r="E3" s="780" t="s">
        <v>84</v>
      </c>
      <c r="F3" s="42" t="str" cm="1">
        <f t="array" ref="F3">IFERROR( INDEX(鍵盤設計表[聲韻調], MATCH(TRUE, EXACT(注音編碼對照表[[#This Row],[方音符號]], 鍵盤設計表[方音符號]),0)), "")</f>
        <v>聲</v>
      </c>
      <c r="G3" s="812" t="str" cm="1">
        <f t="array" ref="G3">IFERROR( INDEX(鍵盤設計表[台語音標], MATCH(TRUE, EXACT(注音編碼對照表[[#This Row],[方音符號]], 鍵盤設計表[方音符號]),0)), "")</f>
        <v>m</v>
      </c>
      <c r="H3" s="509" t="str" cm="1">
        <f t="array" ref="H3">IFERROR( INDEX(鍵盤設計表[注音二式], MATCH(TRUE, EXACT(注音編碼對照表[[#This Row],[方音符號]], 鍵盤設計表[方音符號]),0)),"")</f>
        <v>m</v>
      </c>
      <c r="I3" s="509" t="str" cm="1">
        <f t="array" ref="I3">IFERROR( INDEX(鍵盤設計表[閩拼方案], MATCH(TRUE, EXACT(注音編碼對照表[[#This Row],[方音符號]], 鍵盤設計表[方音符號]),0)), "")</f>
        <v>bbn</v>
      </c>
      <c r="J3" s="73" t="str" cm="1">
        <f t="array" ref="J3">IFERROR( INDEX(鍵盤設計表[鍵盤按鍵], MATCH(TRUE, EXACT(注音編碼對照表[[#This Row],[方音符號]], 鍵盤設計表[方音符號]),0)), "")</f>
        <v>a</v>
      </c>
      <c r="K3"/>
      <c r="M3" s="370"/>
      <c r="P3"/>
      <c r="Q3"/>
      <c r="S3"/>
      <c r="V3"/>
    </row>
    <row r="4" spans="2:22" ht="32.25">
      <c r="B4" s="799">
        <f>ROW() - 2</f>
        <v>2</v>
      </c>
      <c r="C4" s="42" t="s">
        <v>27</v>
      </c>
      <c r="D4" s="424" t="str" cm="1">
        <f t="array" ref="D4">IFERROR( INDEX(鍵盤設計表[字典編碼], MATCH(TRUE, EXACT(注音編碼對照表[[#This Row],[方音符號]], 鍵盤設計表[方音符號]),0)), "")</f>
        <v>B</v>
      </c>
      <c r="E4" s="771" t="s">
        <v>28</v>
      </c>
      <c r="F4" s="42" t="str" cm="1">
        <f t="array" ref="F4">IFERROR( INDEX(鍵盤設計表[聲韻調], MATCH(TRUE, EXACT(注音編碼對照表[[#This Row],[方音符號]], 鍵盤設計表[方音符號]),0)), "")</f>
        <v>聲</v>
      </c>
      <c r="G4" s="812" t="str" cm="1">
        <f t="array" ref="G4">IFERROR( INDEX(鍵盤設計表[台語音標], MATCH(TRUE, EXACT(注音編碼對照表[[#This Row],[方音符號]], 鍵盤設計表[方音符號]),0)), "")</f>
        <v>b</v>
      </c>
      <c r="H4" s="509" t="str" cm="1">
        <f t="array" ref="H4">IFERROR( INDEX(鍵盤設計表[注音二式], MATCH(TRUE, EXACT(注音編碼對照表[[#This Row],[方音符號]], 鍵盤設計表[方音符號]),0)),"")</f>
        <v>bb</v>
      </c>
      <c r="I4" s="509" t="str" cm="1">
        <f t="array" ref="I4">IFERROR( INDEX(鍵盤設計表[閩拼方案], MATCH(TRUE, EXACT(注音編碼對照表[[#This Row],[方音符號]], 鍵盤設計表[方音符號]),0)), "")</f>
        <v>bb</v>
      </c>
      <c r="J4" s="73" t="str" cm="1">
        <f t="array" ref="J4">IFERROR( INDEX(鍵盤設計表[鍵盤按鍵], MATCH(TRUE, EXACT(注音編碼對照表[[#This Row],[方音符號]], 鍵盤設計表[方音符號]),0)), "")</f>
        <v>!</v>
      </c>
      <c r="K4"/>
      <c r="M4" s="370"/>
      <c r="P4"/>
      <c r="Q4"/>
      <c r="S4"/>
      <c r="V4"/>
    </row>
    <row r="5" spans="2:22" ht="32.25">
      <c r="B5" s="798">
        <f>ROW() - 2</f>
        <v>3</v>
      </c>
      <c r="C5" s="56" t="s">
        <v>20</v>
      </c>
      <c r="D5" s="424" t="str" cm="1">
        <f t="array" ref="D5">IFERROR( INDEX(鍵盤設計表[字典編碼], MATCH(TRUE, EXACT(注音編碼對照表[[#This Row],[方音符號]], 鍵盤設計表[方音符號]),0)), "")</f>
        <v>b</v>
      </c>
      <c r="E5" s="780" t="s">
        <v>21</v>
      </c>
      <c r="F5" s="42" t="str" cm="1">
        <f t="array" ref="F5">IFERROR( INDEX(鍵盤設計表[聲韻調], MATCH(TRUE, EXACT(注音編碼對照表[[#This Row],[方音符號]], 鍵盤設計表[方音符號]),0)), "")</f>
        <v>聲</v>
      </c>
      <c r="G5" s="812" t="str" cm="1">
        <f t="array" ref="G5">IFERROR( INDEX(鍵盤設計表[台語音標], MATCH(TRUE, EXACT(注音編碼對照表[[#This Row],[方音符號]], 鍵盤設計表[方音符號]),0)), "")</f>
        <v>p</v>
      </c>
      <c r="H5" s="509" t="str" cm="1">
        <f t="array" ref="H5">IFERROR( INDEX(鍵盤設計表[注音二式], MATCH(TRUE, EXACT(注音編碼對照表[[#This Row],[方音符號]], 鍵盤設計表[方音符號]),0)),"")</f>
        <v>b</v>
      </c>
      <c r="I5" s="509" t="str" cm="1">
        <f t="array" ref="I5">IFERROR( INDEX(鍵盤設計表[閩拼方案], MATCH(TRUE, EXACT(注音編碼對照表[[#This Row],[方音符號]], 鍵盤設計表[方音符號]),0)), "")</f>
        <v>b</v>
      </c>
      <c r="J5" s="73" t="str" cm="1">
        <f t="array" ref="J5">IFERROR( INDEX(鍵盤設計表[鍵盤按鍵], MATCH(TRUE, EXACT(注音編碼對照表[[#This Row],[方音符號]], 鍵盤設計表[方音符號]),0)), "")</f>
        <v>1</v>
      </c>
      <c r="K5"/>
      <c r="M5" s="370"/>
      <c r="P5"/>
      <c r="Q5"/>
      <c r="S5"/>
      <c r="V5"/>
    </row>
    <row r="6" spans="2:22" ht="32.25">
      <c r="B6" s="798">
        <f>ROW() - 2</f>
        <v>4</v>
      </c>
      <c r="C6" s="56" t="s">
        <v>23</v>
      </c>
      <c r="D6" s="424" t="str" cm="1">
        <f t="array" ref="D6">IFERROR( INDEX(鍵盤設計表[字典編碼], MATCH(TRUE, EXACT(注音編碼對照表[[#This Row],[方音符號]], 鍵盤設計表[方音符號]),0)), "")</f>
        <v>p</v>
      </c>
      <c r="E6" s="780" t="s">
        <v>708</v>
      </c>
      <c r="F6" s="42" t="str" cm="1">
        <f t="array" ref="F6">IFERROR( INDEX(鍵盤設計表[聲韻調], MATCH(TRUE, EXACT(注音編碼對照表[[#This Row],[方音符號]], 鍵盤設計表[方音符號]),0)), "")</f>
        <v>聲</v>
      </c>
      <c r="G6" s="812" t="str" cm="1">
        <f t="array" ref="G6">IFERROR( INDEX(鍵盤設計表[台語音標], MATCH(TRUE, EXACT(注音編碼對照表[[#This Row],[方音符號]], 鍵盤設計表[方音符號]),0)), "")</f>
        <v>ph</v>
      </c>
      <c r="H6" s="509" t="str" cm="1">
        <f t="array" ref="H6">IFERROR( INDEX(鍵盤設計表[注音二式], MATCH(TRUE, EXACT(注音編碼對照表[[#This Row],[方音符號]], 鍵盤設計表[方音符號]),0)),"")</f>
        <v>p</v>
      </c>
      <c r="I6" s="509" t="str" cm="1">
        <f t="array" ref="I6">IFERROR( INDEX(鍵盤設計表[閩拼方案], MATCH(TRUE, EXACT(注音編碼對照表[[#This Row],[方音符號]], 鍵盤設計表[方音符號]),0)), "")</f>
        <v>p</v>
      </c>
      <c r="J6" s="73" t="str" cm="1">
        <f t="array" ref="J6">IFERROR( INDEX(鍵盤設計表[鍵盤按鍵], MATCH(TRUE, EXACT(注音編碼對照表[[#This Row],[方音符號]], 鍵盤設計表[方音符號]),0)), "")</f>
        <v>q</v>
      </c>
      <c r="K6"/>
      <c r="M6" s="370"/>
      <c r="P6"/>
      <c r="Q6"/>
      <c r="S6"/>
      <c r="V6"/>
    </row>
    <row r="7" spans="2:22" ht="32.25">
      <c r="B7" s="798">
        <f>ROW() - 2</f>
        <v>5</v>
      </c>
      <c r="C7" s="56" t="s">
        <v>33</v>
      </c>
      <c r="D7" s="424" t="str" cm="1">
        <f t="array" ref="D7">IFERROR( INDEX(鍵盤設計表[字典編碼], MATCH(TRUE, EXACT(注音編碼對照表[[#This Row],[方音符號]], 鍵盤設計表[方音符號]),0)), "")</f>
        <v>n</v>
      </c>
      <c r="E7" s="780" t="s">
        <v>372</v>
      </c>
      <c r="F7" s="42" t="str" cm="1">
        <f t="array" ref="F7">IFERROR( INDEX(鍵盤設計表[聲韻調], MATCH(TRUE, EXACT(注音編碼對照表[[#This Row],[方音符號]], 鍵盤設計表[方音符號]),0)), "")</f>
        <v>聲</v>
      </c>
      <c r="G7" s="812" t="str" cm="1">
        <f t="array" ref="G7">IFERROR( INDEX(鍵盤設計表[台語音標], MATCH(TRUE, EXACT(注音編碼對照表[[#This Row],[方音符號]], 鍵盤設計表[方音符號]),0)), "")</f>
        <v>n</v>
      </c>
      <c r="H7" s="509" t="str" cm="1">
        <f t="array" ref="H7">IFERROR( INDEX(鍵盤設計表[注音二式], MATCH(TRUE, EXACT(注音編碼對照表[[#This Row],[方音符號]], 鍵盤設計表[方音符號]),0)),"")</f>
        <v>n</v>
      </c>
      <c r="I7" s="509" t="str" cm="1">
        <f t="array" ref="I7">IFERROR( INDEX(鍵盤設計表[閩拼方案], MATCH(TRUE, EXACT(注音編碼對照表[[#This Row],[方音符號]], 鍵盤設計表[方音符號]),0)), "")</f>
        <v>ln</v>
      </c>
      <c r="J7" s="73" t="str" cm="1">
        <f t="array" ref="J7">IFERROR( INDEX(鍵盤設計表[鍵盤按鍵], MATCH(TRUE, EXACT(注音編碼對照表[[#This Row],[方音符號]], 鍵盤設計表[方音符號]),0)), "")</f>
        <v>s</v>
      </c>
      <c r="K7"/>
      <c r="M7" s="370"/>
      <c r="P7"/>
      <c r="Q7"/>
      <c r="S7"/>
      <c r="V7"/>
    </row>
    <row r="8" spans="2:22" ht="32.25">
      <c r="B8" s="798">
        <f>ROW() - 2</f>
        <v>6</v>
      </c>
      <c r="C8" s="56" t="s">
        <v>29</v>
      </c>
      <c r="D8" s="424" t="str" cm="1">
        <f t="array" ref="D8">IFERROR( INDEX(鍵盤設計表[字典編碼], MATCH(TRUE, EXACT(注音編碼對照表[[#This Row],[方音符號]], 鍵盤設計表[方音符號]),0)), "")</f>
        <v>d</v>
      </c>
      <c r="E8" s="780" t="s">
        <v>340</v>
      </c>
      <c r="F8" s="42" t="str" cm="1">
        <f t="array" ref="F8">IFERROR( INDEX(鍵盤設計表[聲韻調], MATCH(TRUE, EXACT(注音編碼對照表[[#This Row],[方音符號]], 鍵盤設計表[方音符號]),0)), "")</f>
        <v>聲</v>
      </c>
      <c r="G8" s="812" t="str" cm="1">
        <f t="array" ref="G8">IFERROR( INDEX(鍵盤設計表[台語音標], MATCH(TRUE, EXACT(注音編碼對照表[[#This Row],[方音符號]], 鍵盤設計表[方音符號]),0)), "")</f>
        <v>t</v>
      </c>
      <c r="H8" s="509" t="str" cm="1">
        <f t="array" ref="H8">IFERROR( INDEX(鍵盤設計表[注音二式], MATCH(TRUE, EXACT(注音編碼對照表[[#This Row],[方音符號]], 鍵盤設計表[方音符號]),0)),"")</f>
        <v>d</v>
      </c>
      <c r="I8" s="509" t="str" cm="1">
        <f t="array" ref="I8">IFERROR( INDEX(鍵盤設計表[閩拼方案], MATCH(TRUE, EXACT(注音編碼對照表[[#This Row],[方音符號]], 鍵盤設計表[方音符號]),0)), "")</f>
        <v>d</v>
      </c>
      <c r="J8" s="73" t="str" cm="1">
        <f t="array" ref="J8">IFERROR( INDEX(鍵盤設計表[鍵盤按鍵], MATCH(TRUE, EXACT(注音編碼對照表[[#This Row],[方音符號]], 鍵盤設計表[方音符號]),0)), "")</f>
        <v>2</v>
      </c>
      <c r="K8"/>
      <c r="M8" s="370"/>
      <c r="P8"/>
      <c r="Q8"/>
      <c r="S8"/>
      <c r="V8"/>
    </row>
    <row r="9" spans="2:22" ht="32.25">
      <c r="B9" s="798">
        <f>ROW() - 2</f>
        <v>7</v>
      </c>
      <c r="C9" s="56" t="s">
        <v>31</v>
      </c>
      <c r="D9" s="424" t="str" cm="1">
        <f t="array" ref="D9">IFERROR( INDEX(鍵盤設計表[字典編碼], MATCH(TRUE, EXACT(注音編碼對照表[[#This Row],[方音符號]], 鍵盤設計表[方音符號]),0)), "")</f>
        <v>t</v>
      </c>
      <c r="E9" s="780" t="s">
        <v>709</v>
      </c>
      <c r="F9" s="42" t="str" cm="1">
        <f t="array" ref="F9">IFERROR( INDEX(鍵盤設計表[聲韻調], MATCH(TRUE, EXACT(注音編碼對照表[[#This Row],[方音符號]], 鍵盤設計表[方音符號]),0)), "")</f>
        <v>聲</v>
      </c>
      <c r="G9" s="812" t="str" cm="1">
        <f t="array" ref="G9">IFERROR( INDEX(鍵盤設計表[台語音標], MATCH(TRUE, EXACT(注音編碼對照表[[#This Row],[方音符號]], 鍵盤設計表[方音符號]),0)), "")</f>
        <v>th</v>
      </c>
      <c r="H9" s="509" t="str" cm="1">
        <f t="array" ref="H9">IFERROR( INDEX(鍵盤設計表[注音二式], MATCH(TRUE, EXACT(注音編碼對照表[[#This Row],[方音符號]], 鍵盤設計表[方音符號]),0)),"")</f>
        <v>t</v>
      </c>
      <c r="I9" s="509" t="str" cm="1">
        <f t="array" ref="I9">IFERROR( INDEX(鍵盤設計表[閩拼方案], MATCH(TRUE, EXACT(注音編碼對照表[[#This Row],[方音符號]], 鍵盤設計表[方音符號]),0)), "")</f>
        <v>t</v>
      </c>
      <c r="J9" s="73" t="str" cm="1">
        <f t="array" ref="J9">IFERROR( INDEX(鍵盤設計表[鍵盤按鍵], MATCH(TRUE, EXACT(注音編碼對照表[[#This Row],[方音符號]], 鍵盤設計表[方音符號]),0)), "")</f>
        <v>w</v>
      </c>
      <c r="K9"/>
      <c r="M9" s="370"/>
      <c r="P9"/>
      <c r="Q9"/>
      <c r="S9"/>
      <c r="V9"/>
    </row>
    <row r="10" spans="2:22" ht="32.25">
      <c r="B10" s="798">
        <f>ROW() - 2</f>
        <v>8</v>
      </c>
      <c r="C10" s="56" t="s">
        <v>85</v>
      </c>
      <c r="D10" s="424" t="str" cm="1">
        <f t="array" ref="D10">IFERROR( INDEX(鍵盤設計表[字典編碼], MATCH(TRUE, EXACT(注音編碼對照表[[#This Row],[方音符號]], 鍵盤設計表[方音符號]),0)), "")</f>
        <v>l</v>
      </c>
      <c r="E10" s="780" t="s">
        <v>496</v>
      </c>
      <c r="F10" s="42" t="str" cm="1">
        <f t="array" ref="F10">IFERROR( INDEX(鍵盤設計表[聲韻調], MATCH(TRUE, EXACT(注音編碼對照表[[#This Row],[方音符號]], 鍵盤設計表[方音符號]),0)), "")</f>
        <v>聲</v>
      </c>
      <c r="G10" s="812" t="str" cm="1">
        <f t="array" ref="G10">IFERROR( INDEX(鍵盤設計表[台語音標], MATCH(TRUE, EXACT(注音編碼對照表[[#This Row],[方音符號]], 鍵盤設計表[方音符號]),0)), "")</f>
        <v>l</v>
      </c>
      <c r="H10" s="509" t="str" cm="1">
        <f t="array" ref="H10">IFERROR( INDEX(鍵盤設計表[注音二式], MATCH(TRUE, EXACT(注音編碼對照表[[#This Row],[方音符號]], 鍵盤設計表[方音符號]),0)),"")</f>
        <v>l</v>
      </c>
      <c r="I10" s="509" t="str" cm="1">
        <f t="array" ref="I10">IFERROR( INDEX(鍵盤設計表[閩拼方案], MATCH(TRUE, EXACT(注音編碼對照表[[#This Row],[方音符號]], 鍵盤設計表[方音符號]),0)), "")</f>
        <v>l</v>
      </c>
      <c r="J10" s="73" t="str" cm="1">
        <f t="array" ref="J10">IFERROR( INDEX(鍵盤設計表[鍵盤按鍵], MATCH(TRUE, EXACT(注音編碼對照表[[#This Row],[方音符號]], 鍵盤設計表[方音符號]),0)), "")</f>
        <v>x</v>
      </c>
      <c r="K10"/>
      <c r="M10" s="370"/>
      <c r="P10"/>
      <c r="Q10"/>
      <c r="S10"/>
      <c r="V10"/>
    </row>
    <row r="11" spans="2:22" ht="32.25">
      <c r="B11" s="798">
        <f>ROW() - 2</f>
        <v>9</v>
      </c>
      <c r="C11" s="790" t="s">
        <v>625</v>
      </c>
      <c r="D11" s="424" t="str" cm="1">
        <f t="array" ref="D11">IFERROR( INDEX(鍵盤設計表[字典編碼], MATCH(TRUE, EXACT(注音編碼對照表[[#This Row],[方音符號]], 鍵盤設計表[方音符號]),0)), "")</f>
        <v>w</v>
      </c>
      <c r="E11" s="780" t="s">
        <v>711</v>
      </c>
      <c r="F11" s="42" t="str" cm="1">
        <f t="array" ref="F11">IFERROR( INDEX(鍵盤設計表[聲韻調], MATCH(TRUE, EXACT(注音編碼對照表[[#This Row],[方音符號]], 鍵盤設計表[方音符號]),0)), "")</f>
        <v>聲</v>
      </c>
      <c r="G11" s="812" t="str" cm="1">
        <f t="array" ref="G11">IFERROR( INDEX(鍵盤設計表[台語音標], MATCH(TRUE, EXACT(注音編碼對照表[[#This Row],[方音符號]], 鍵盤設計表[方音符號]),0)), "")</f>
        <v>ng</v>
      </c>
      <c r="H11" s="509" t="str" cm="1">
        <f t="array" ref="H11">IFERROR( INDEX(鍵盤設計表[注音二式], MATCH(TRUE, EXACT(注音編碼對照表[[#This Row],[方音符號]], 鍵盤設計表[方音符號]),0)),"")</f>
        <v>ng</v>
      </c>
      <c r="I11" s="509" t="str" cm="1">
        <f t="array" ref="I11">IFERROR( INDEX(鍵盤設計表[閩拼方案], MATCH(TRUE, EXACT(注音編碼對照表[[#This Row],[方音符號]], 鍵盤設計表[方音符號]),0)), "")</f>
        <v>ggn</v>
      </c>
      <c r="J11" s="73" t="str" cm="1">
        <f t="array" ref="J11">IFERROR( INDEX(鍵盤設計表[鍵盤按鍵], MATCH(TRUE, EXACT(注音編碼對照表[[#This Row],[方音符號]], 鍵盤設計表[方音符號]),0)), "")</f>
        <v>N</v>
      </c>
      <c r="K11"/>
      <c r="P11"/>
      <c r="Q11"/>
      <c r="S11"/>
      <c r="V11"/>
    </row>
    <row r="12" spans="2:22" ht="32.25">
      <c r="B12" s="798">
        <f>ROW() - 2</f>
        <v>10</v>
      </c>
      <c r="C12" s="56" t="s">
        <v>41</v>
      </c>
      <c r="D12" s="424" t="str" cm="1">
        <f t="array" ref="D12">IFERROR( INDEX(鍵盤設計表[字典編碼], MATCH(TRUE, EXACT(注音編碼對照表[[#This Row],[方音符號]], 鍵盤設計表[方音符號]),0)), "")</f>
        <v>G</v>
      </c>
      <c r="E12" s="780" t="s">
        <v>42</v>
      </c>
      <c r="F12" s="42" t="str" cm="1">
        <f t="array" ref="F12">IFERROR( INDEX(鍵盤設計表[聲韻調], MATCH(TRUE, EXACT(注音編碼對照表[[#This Row],[方音符號]], 鍵盤設計表[方音符號]),0)), "")</f>
        <v>聲</v>
      </c>
      <c r="G12" s="812" t="str" cm="1">
        <f t="array" ref="G12">IFERROR( INDEX(鍵盤設計表[台語音標], MATCH(TRUE, EXACT(注音編碼對照表[[#This Row],[方音符號]], 鍵盤設計表[方音符號]),0)), "")</f>
        <v>g</v>
      </c>
      <c r="H12" s="509" t="str" cm="1">
        <f t="array" ref="H12">IFERROR( INDEX(鍵盤設計表[注音二式], MATCH(TRUE, EXACT(注音編碼對照表[[#This Row],[方音符號]], 鍵盤設計表[方音符號]),0)),"")</f>
        <v>gg</v>
      </c>
      <c r="I12" s="509" t="str" cm="1">
        <f t="array" ref="I12">IFERROR( INDEX(鍵盤設計表[閩拼方案], MATCH(TRUE, EXACT(注音編碼對照表[[#This Row],[方音符號]], 鍵盤設計表[方音符號]),0)), "")</f>
        <v>gg</v>
      </c>
      <c r="J12" s="73" t="str" cm="1">
        <f t="array" ref="J12">IFERROR( INDEX(鍵盤設計表[鍵盤按鍵], MATCH(TRUE, EXACT(注音編碼對照表[[#This Row],[方音符號]], 鍵盤設計表[方音符號]),0)), "")</f>
        <v>E</v>
      </c>
      <c r="K12"/>
      <c r="P12"/>
      <c r="Q12"/>
      <c r="S12"/>
      <c r="V12"/>
    </row>
    <row r="13" spans="2:22" ht="32.25">
      <c r="B13" s="798">
        <f>ROW() - 2</f>
        <v>11</v>
      </c>
      <c r="C13" s="56" t="s">
        <v>36</v>
      </c>
      <c r="D13" s="424" t="str" cm="1">
        <f t="array" ref="D13">IFERROR( INDEX(鍵盤設計表[字典編碼], MATCH(TRUE, EXACT(注音編碼對照表[[#This Row],[方音符號]], 鍵盤設計表[方音符號]),0)), "")</f>
        <v>g</v>
      </c>
      <c r="E13" s="780" t="s">
        <v>321</v>
      </c>
      <c r="F13" s="42" t="str" cm="1">
        <f t="array" ref="F13">IFERROR( INDEX(鍵盤設計表[聲韻調], MATCH(TRUE, EXACT(注音編碼對照表[[#This Row],[方音符號]], 鍵盤設計表[方音符號]),0)), "")</f>
        <v>聲</v>
      </c>
      <c r="G13" s="812" t="str" cm="1">
        <f t="array" ref="G13">IFERROR( INDEX(鍵盤設計表[台語音標], MATCH(TRUE, EXACT(注音編碼對照表[[#This Row],[方音符號]], 鍵盤設計表[方音符號]),0)), "")</f>
        <v>k</v>
      </c>
      <c r="H13" s="509" t="str" cm="1">
        <f t="array" ref="H13">IFERROR( INDEX(鍵盤設計表[注音二式], MATCH(TRUE, EXACT(注音編碼對照表[[#This Row],[方音符號]], 鍵盤設計表[方音符號]),0)),"")</f>
        <v>g</v>
      </c>
      <c r="I13" s="509" t="str" cm="1">
        <f t="array" ref="I13">IFERROR( INDEX(鍵盤設計表[閩拼方案], MATCH(TRUE, EXACT(注音編碼對照表[[#This Row],[方音符號]], 鍵盤設計表[方音符號]),0)), "")</f>
        <v>g</v>
      </c>
      <c r="J13" s="73" t="str" cm="1">
        <f t="array" ref="J13">IFERROR( INDEX(鍵盤設計表[鍵盤按鍵], MATCH(TRUE, EXACT(注音編碼對照表[[#This Row],[方音符號]], 鍵盤設計表[方音符號]),0)), "")</f>
        <v>e</v>
      </c>
      <c r="K13"/>
      <c r="P13"/>
      <c r="Q13"/>
      <c r="S13"/>
      <c r="V13"/>
    </row>
    <row r="14" spans="2:22" ht="32.25">
      <c r="B14" s="798">
        <f>ROW() - 2</f>
        <v>12</v>
      </c>
      <c r="C14" s="56" t="s">
        <v>38</v>
      </c>
      <c r="D14" s="424" t="str" cm="1">
        <f t="array" ref="D14">IFERROR( INDEX(鍵盤設計表[字典編碼], MATCH(TRUE, EXACT(注音編碼對照表[[#This Row],[方音符號]], 鍵盤設計表[方音符號]),0)), "")</f>
        <v>k</v>
      </c>
      <c r="E14" s="780" t="s">
        <v>710</v>
      </c>
      <c r="F14" s="42" t="str" cm="1">
        <f t="array" ref="F14">IFERROR( INDEX(鍵盤設計表[聲韻調], MATCH(TRUE, EXACT(注音編碼對照表[[#This Row],[方音符號]], 鍵盤設計表[方音符號]),0)), "")</f>
        <v>聲</v>
      </c>
      <c r="G14" s="812" t="str" cm="1">
        <f t="array" ref="G14">IFERROR( INDEX(鍵盤設計表[台語音標], MATCH(TRUE, EXACT(注音編碼對照表[[#This Row],[方音符號]], 鍵盤設計表[方音符號]),0)), "")</f>
        <v>kh</v>
      </c>
      <c r="H14" s="509" t="str" cm="1">
        <f t="array" ref="H14">IFERROR( INDEX(鍵盤設計表[注音二式], MATCH(TRUE, EXACT(注音編碼對照表[[#This Row],[方音符號]], 鍵盤設計表[方音符號]),0)),"")</f>
        <v>k</v>
      </c>
      <c r="I14" s="509" t="str" cm="1">
        <f t="array" ref="I14">IFERROR( INDEX(鍵盤設計表[閩拼方案], MATCH(TRUE, EXACT(注音編碼對照表[[#This Row],[方音符號]], 鍵盤設計表[方音符號]),0)), "")</f>
        <v>k</v>
      </c>
      <c r="J14" s="73" t="str" cm="1">
        <f t="array" ref="J14">IFERROR( INDEX(鍵盤設計表[鍵盤按鍵], MATCH(TRUE, EXACT(注音編碼對照表[[#This Row],[方音符號]], 鍵盤設計表[方音符號]),0)), "")</f>
        <v>d</v>
      </c>
      <c r="K14"/>
      <c r="P14"/>
      <c r="Q14"/>
      <c r="S14"/>
      <c r="V14"/>
    </row>
    <row r="15" spans="2:22" ht="32.25">
      <c r="B15" s="798">
        <f>ROW() - 2</f>
        <v>13</v>
      </c>
      <c r="C15" s="56" t="s">
        <v>442</v>
      </c>
      <c r="D15" s="424" t="str" cm="1">
        <f t="array" ref="D15">IFERROR( INDEX(鍵盤設計表[字典編碼], MATCH(TRUE, EXACT(注音編碼對照表[[#This Row],[方音符號]], 鍵盤設計表[方音符號]),0)), "")</f>
        <v>Z</v>
      </c>
      <c r="E15" s="780" t="s">
        <v>702</v>
      </c>
      <c r="F15" s="42" t="str" cm="1">
        <f t="array" ref="F15">IFERROR( INDEX(鍵盤設計表[聲韻調], MATCH(TRUE, EXACT(注音編碼對照表[[#This Row],[方音符號]], 鍵盤設計表[方音符號]),0)), "")</f>
        <v>聲</v>
      </c>
      <c r="G15" s="812" t="str" cm="1">
        <f t="array" ref="G15">IFERROR( INDEX(鍵盤設計表[台語音標], MATCH(TRUE, EXACT(注音編碼對照表[[#This Row],[方音符號]], 鍵盤設計表[方音符號]),0)), "")</f>
        <v>j</v>
      </c>
      <c r="H15" s="509" t="str" cm="1">
        <f t="array" ref="H15">IFERROR( INDEX(鍵盤設計表[注音二式], MATCH(TRUE, EXACT(注音編碼對照表[[#This Row],[方音符號]], 鍵盤設計表[方音符號]),0)),"")</f>
        <v>zz</v>
      </c>
      <c r="I15" s="509" t="str" cm="1">
        <f t="array" ref="I15">IFERROR( INDEX(鍵盤設計表[閩拼方案], MATCH(TRUE, EXACT(注音編碼對照表[[#This Row],[方音符號]], 鍵盤設計表[方音符號]),0)), "")</f>
        <v>zz</v>
      </c>
      <c r="J15" s="73" t="str" cm="1">
        <f t="array" ref="J15">IFERROR( INDEX(鍵盤設計表[鍵盤按鍵], MATCH(TRUE, EXACT(注音編碼對照表[[#This Row],[方音符號]], 鍵盤設計表[方音符號]),0)), "")</f>
        <v>Y</v>
      </c>
      <c r="K15"/>
      <c r="P15"/>
      <c r="Q15"/>
      <c r="S15"/>
      <c r="V15"/>
    </row>
    <row r="16" spans="2:22" ht="32.25">
      <c r="B16" s="798">
        <f>ROW() - 2</f>
        <v>14</v>
      </c>
      <c r="C16" s="790" t="s">
        <v>43</v>
      </c>
      <c r="D16" s="424" t="str" cm="1">
        <f t="array" ref="D16">IFERROR( INDEX(鍵盤設計表[字典編碼], MATCH(TRUE, EXACT(注音編碼對照表[[#This Row],[方音符號]], 鍵盤設計表[方音符號]),0)), "")</f>
        <v>z</v>
      </c>
      <c r="E16" s="780" t="s">
        <v>701</v>
      </c>
      <c r="F16" s="42" t="str" cm="1">
        <f t="array" ref="F16">IFERROR( INDEX(鍵盤設計表[聲韻調], MATCH(TRUE, EXACT(注音編碼對照表[[#This Row],[方音符號]], 鍵盤設計表[方音符號]),0)), "")</f>
        <v>聲</v>
      </c>
      <c r="G16" s="812" t="str" cm="1">
        <f t="array" ref="G16">IFERROR( INDEX(鍵盤設計表[台語音標], MATCH(TRUE, EXACT(注音編碼對照表[[#This Row],[方音符號]], 鍵盤設計表[方音符號]),0)), "")</f>
        <v>z</v>
      </c>
      <c r="H16" s="509" t="str" cm="1">
        <f t="array" ref="H16">IFERROR( INDEX(鍵盤設計表[注音二式], MATCH(TRUE, EXACT(注音編碼對照表[[#This Row],[方音符號]], 鍵盤設計表[方音符號]),0)),"")</f>
        <v>z</v>
      </c>
      <c r="I16" s="509" t="str" cm="1">
        <f t="array" ref="I16">IFERROR( INDEX(鍵盤設計表[閩拼方案], MATCH(TRUE, EXACT(注音編碼對照表[[#This Row],[方音符號]], 鍵盤設計表[方音符號]),0)), "")</f>
        <v>z</v>
      </c>
      <c r="J16" s="73" t="str" cm="1">
        <f t="array" ref="J16">IFERROR( INDEX(鍵盤設計表[鍵盤按鍵], MATCH(TRUE, EXACT(注音編碼對照表[[#This Row],[方音符號]], 鍵盤設計表[方音符號]),0)), "")</f>
        <v>y</v>
      </c>
      <c r="K16"/>
      <c r="P16"/>
      <c r="Q16"/>
      <c r="S16"/>
      <c r="V16"/>
    </row>
    <row r="17" spans="2:22" ht="32.25">
      <c r="B17" s="798">
        <f>ROW() - 2</f>
        <v>15</v>
      </c>
      <c r="C17" s="790" t="s">
        <v>46</v>
      </c>
      <c r="D17" s="424" t="str" cm="1">
        <f t="array" ref="D17">IFERROR( INDEX(鍵盤設計表[字典編碼], MATCH(TRUE, EXACT(注音編碼對照表[[#This Row],[方音符號]], 鍵盤設計表[方音符號]),0)), "")</f>
        <v>c</v>
      </c>
      <c r="E17" s="780" t="s">
        <v>700</v>
      </c>
      <c r="F17" s="42" t="str" cm="1">
        <f t="array" ref="F17">IFERROR( INDEX(鍵盤設計表[聲韻調], MATCH(TRUE, EXACT(注音編碼對照表[[#This Row],[方音符號]], 鍵盤設計表[方音符號]),0)), "")</f>
        <v>聲</v>
      </c>
      <c r="G17" s="812" t="str" cm="1">
        <f t="array" ref="G17">IFERROR( INDEX(鍵盤設計表[台語音標], MATCH(TRUE, EXACT(注音編碼對照表[[#This Row],[方音符號]], 鍵盤設計表[方音符號]),0)), "")</f>
        <v>c</v>
      </c>
      <c r="H17" s="509" t="str" cm="1">
        <f t="array" ref="H17">IFERROR( INDEX(鍵盤設計表[注音二式], MATCH(TRUE, EXACT(注音編碼對照表[[#This Row],[方音符號]], 鍵盤設計表[方音符號]),0)),"")</f>
        <v>c</v>
      </c>
      <c r="I17" s="509" t="str" cm="1">
        <f t="array" ref="I17">IFERROR( INDEX(鍵盤設計表[閩拼方案], MATCH(TRUE, EXACT(注音編碼對照表[[#This Row],[方音符號]], 鍵盤設計表[方音符號]),0)), "")</f>
        <v>c</v>
      </c>
      <c r="J17" s="73" t="str" cm="1">
        <f t="array" ref="J17">IFERROR( INDEX(鍵盤設計表[鍵盤按鍵], MATCH(TRUE, EXACT(注音編碼對照表[[#This Row],[方音符號]], 鍵盤設計表[方音符號]),0)), "")</f>
        <v>h</v>
      </c>
      <c r="K17"/>
      <c r="P17"/>
      <c r="Q17"/>
      <c r="S17"/>
      <c r="V17"/>
    </row>
    <row r="18" spans="2:22" ht="32.25">
      <c r="B18" s="798">
        <f>ROW() - 2</f>
        <v>16</v>
      </c>
      <c r="C18" s="790" t="s">
        <v>50</v>
      </c>
      <c r="D18" s="424" t="str" cm="1">
        <f t="array" ref="D18">IFERROR( INDEX(鍵盤設計表[字典編碼], MATCH(TRUE, EXACT(注音編碼對照表[[#This Row],[方音符號]], 鍵盤設計表[方音符號]),0)), "")</f>
        <v>s</v>
      </c>
      <c r="E18" s="780" t="s">
        <v>51</v>
      </c>
      <c r="F18" s="42" t="str" cm="1">
        <f t="array" ref="F18">IFERROR( INDEX(鍵盤設計表[聲韻調], MATCH(TRUE, EXACT(注音編碼對照表[[#This Row],[方音符號]], 鍵盤設計表[方音符號]),0)), "")</f>
        <v>聲</v>
      </c>
      <c r="G18" s="812" t="str" cm="1">
        <f t="array" ref="G18">IFERROR( INDEX(鍵盤設計表[台語音標], MATCH(TRUE, EXACT(注音編碼對照表[[#This Row],[方音符號]], 鍵盤設計表[方音符號]),0)), "")</f>
        <v>s</v>
      </c>
      <c r="H18" s="509" t="str" cm="1">
        <f t="array" ref="H18">IFERROR( INDEX(鍵盤設計表[注音二式], MATCH(TRUE, EXACT(注音編碼對照表[[#This Row],[方音符號]], 鍵盤設計表[方音符號]),0)),"")</f>
        <v>s</v>
      </c>
      <c r="I18" s="509" t="str" cm="1">
        <f t="array" ref="I18">IFERROR( INDEX(鍵盤設計表[閩拼方案], MATCH(TRUE, EXACT(注音編碼對照表[[#This Row],[方音符號]], 鍵盤設計表[方音符號]),0)), "")</f>
        <v>s</v>
      </c>
      <c r="J18" s="73" t="str" cm="1">
        <f t="array" ref="J18">IFERROR( INDEX(鍵盤設計表[鍵盤按鍵], MATCH(TRUE, EXACT(注音編碼對照表[[#This Row],[方音符號]], 鍵盤設計表[方音符號]),0)), "")</f>
        <v>n</v>
      </c>
      <c r="K18"/>
      <c r="P18"/>
      <c r="Q18"/>
      <c r="S18"/>
      <c r="V18"/>
    </row>
    <row r="19" spans="2:22" ht="32.25">
      <c r="B19" s="798">
        <f>ROW() - 2</f>
        <v>17</v>
      </c>
      <c r="C19" s="791" t="s">
        <v>109</v>
      </c>
      <c r="D19" s="424" t="str" cm="1">
        <f t="array" ref="D19">IFERROR( INDEX(鍵盤設計表[字典編碼], MATCH(TRUE, EXACT(注音編碼對照表[[#This Row],[方音符號]], 鍵盤設計表[方音符號]),0)), "")</f>
        <v>J</v>
      </c>
      <c r="E19" s="780" t="s">
        <v>893</v>
      </c>
      <c r="F19" s="42" t="str" cm="1">
        <f t="array" ref="F19">IFERROR( INDEX(鍵盤設計表[聲韻調], MATCH(TRUE, EXACT(注音編碼對照表[[#This Row],[方音符號]], 鍵盤設計表[方音符號]),0)), "")</f>
        <v>聲</v>
      </c>
      <c r="G19" s="812" t="str" cm="1">
        <f t="array" ref="G19">IFERROR( INDEX(鍵盤設計表[台語音標], MATCH(TRUE, EXACT(注音編碼對照表[[#This Row],[方音符號]], 鍵盤設計表[方音符號]),0)), "")</f>
        <v>ji</v>
      </c>
      <c r="H19" s="509" t="str" cm="1">
        <f t="array" ref="H19">IFERROR( INDEX(鍵盤設計表[注音二式], MATCH(TRUE, EXACT(注音編碼對照表[[#This Row],[方音符號]], 鍵盤設計表[方音符號]),0)),"")</f>
        <v>jj</v>
      </c>
      <c r="I19" s="509" t="str" cm="1">
        <f t="array" ref="I19">IFERROR( INDEX(鍵盤設計表[閩拼方案], MATCH(TRUE, EXACT(注音編碼對照表[[#This Row],[方音符號]], 鍵盤設計表[方音符號]),0)), "")</f>
        <v>jj</v>
      </c>
      <c r="J19" s="73" t="str" cm="1">
        <f t="array" ref="J19">IFERROR( INDEX(鍵盤設計表[鍵盤按鍵], MATCH(TRUE, EXACT(注音編碼對照表[[#This Row],[方音符號]], 鍵盤設計表[方音符號]),0)), "")</f>
        <v>R</v>
      </c>
      <c r="K19"/>
      <c r="P19"/>
      <c r="Q19"/>
      <c r="S19"/>
      <c r="V19"/>
    </row>
    <row r="20" spans="2:22" ht="32.25">
      <c r="B20" s="798">
        <f>ROW() - 2</f>
        <v>18</v>
      </c>
      <c r="C20" s="791" t="s">
        <v>89</v>
      </c>
      <c r="D20" s="424" t="str" cm="1">
        <f t="array" ref="D20">IFERROR( INDEX(鍵盤設計表[字典編碼], MATCH(TRUE, EXACT(注音編碼對照表[[#This Row],[方音符號]], 鍵盤設計表[方音符號]),0)), "")</f>
        <v>j</v>
      </c>
      <c r="E20" s="780" t="s">
        <v>90</v>
      </c>
      <c r="F20" s="42" t="str" cm="1">
        <f t="array" ref="F20">IFERROR( INDEX(鍵盤設計表[聲韻調], MATCH(TRUE, EXACT(注音編碼對照表[[#This Row],[方音符號]], 鍵盤設計表[方音符號]),0)), "")</f>
        <v>聲</v>
      </c>
      <c r="G20" s="812" t="str" cm="1">
        <f t="array" ref="G20">IFERROR( INDEX(鍵盤設計表[台語音標], MATCH(TRUE, EXACT(注音編碼對照表[[#This Row],[方音符號]], 鍵盤設計表[方音符號]),0)), "")</f>
        <v>zi</v>
      </c>
      <c r="H20" s="509" t="str" cm="1">
        <f t="array" ref="H20">IFERROR( INDEX(鍵盤設計表[注音二式], MATCH(TRUE, EXACT(注音編碼對照表[[#This Row],[方音符號]], 鍵盤設計表[方音符號]),0)),"")</f>
        <v>j</v>
      </c>
      <c r="I20" s="509" t="str" cm="1">
        <f t="array" ref="I20">IFERROR( INDEX(鍵盤設計表[閩拼方案], MATCH(TRUE, EXACT(注音編碼對照表[[#This Row],[方音符號]], 鍵盤設計表[方音符號]),0)), "")</f>
        <v>j</v>
      </c>
      <c r="J20" s="73" t="str" cm="1">
        <f t="array" ref="J20">IFERROR( INDEX(鍵盤設計表[鍵盤按鍵], MATCH(TRUE, EXACT(注音編碼對照表[[#This Row],[方音符號]], 鍵盤設計表[方音符號]),0)), "")</f>
        <v>r</v>
      </c>
      <c r="K20"/>
      <c r="P20"/>
      <c r="Q20"/>
      <c r="S20"/>
      <c r="V20"/>
    </row>
    <row r="21" spans="2:22" ht="32.25">
      <c r="B21" s="798">
        <f>ROW() - 2</f>
        <v>19</v>
      </c>
      <c r="C21" s="791" t="s">
        <v>91</v>
      </c>
      <c r="D21" s="424" t="str" cm="1">
        <f t="array" ref="D21">IFERROR( INDEX(鍵盤設計表[字典編碼], MATCH(TRUE, EXACT(注音編碼對照表[[#This Row],[方音符號]], 鍵盤設計表[方音符號]),0)), "")</f>
        <v>C</v>
      </c>
      <c r="E21" s="780" t="s">
        <v>892</v>
      </c>
      <c r="F21" s="42" t="str" cm="1">
        <f t="array" ref="F21">IFERROR( INDEX(鍵盤設計表[聲韻調], MATCH(TRUE, EXACT(注音編碼對照表[[#This Row],[方音符號]], 鍵盤設計表[方音符號]),0)), "")</f>
        <v>聲</v>
      </c>
      <c r="G21" s="812" t="str" cm="1">
        <f t="array" ref="G21">IFERROR( INDEX(鍵盤設計表[台語音標], MATCH(TRUE, EXACT(注音編碼對照表[[#This Row],[方音符號]], 鍵盤設計表[方音符號]),0)), "")</f>
        <v>ci</v>
      </c>
      <c r="H21" s="509" t="str" cm="1">
        <f t="array" ref="H21">IFERROR( INDEX(鍵盤設計表[注音二式], MATCH(TRUE, EXACT(注音編碼對照表[[#This Row],[方音符號]], 鍵盤設計表[方音符號]),0)),"")</f>
        <v>ch</v>
      </c>
      <c r="I21" s="509" t="str" cm="1">
        <f t="array" ref="I21">IFERROR( INDEX(鍵盤設計表[閩拼方案], MATCH(TRUE, EXACT(注音編碼對照表[[#This Row],[方音符號]], 鍵盤設計表[方音符號]),0)), "")</f>
        <v>ch</v>
      </c>
      <c r="J21" s="73" t="str" cm="1">
        <f t="array" ref="J21">IFERROR( INDEX(鍵盤設計表[鍵盤按鍵], MATCH(TRUE, EXACT(注音編碼對照表[[#This Row],[方音符號]], 鍵盤設計表[方音符號]),0)), "")</f>
        <v>f</v>
      </c>
      <c r="K21"/>
      <c r="P21"/>
      <c r="Q21"/>
      <c r="S21"/>
      <c r="V21"/>
    </row>
    <row r="22" spans="2:22" ht="32.25">
      <c r="B22" s="798">
        <f>ROW() - 2</f>
        <v>20</v>
      </c>
      <c r="C22" s="791" t="s">
        <v>284</v>
      </c>
      <c r="D22" s="424" t="str" cm="1">
        <f t="array" ref="D22">IFERROR( INDEX(鍵盤設計表[字典編碼], MATCH(TRUE, EXACT(注音編碼對照表[[#This Row],[方音符號]], 鍵盤設計表[方音符號]),0)), "")</f>
        <v>S</v>
      </c>
      <c r="E22" s="780" t="s">
        <v>94</v>
      </c>
      <c r="F22" s="42" t="str" cm="1">
        <f t="array" ref="F22">IFERROR( INDEX(鍵盤設計表[聲韻調], MATCH(TRUE, EXACT(注音編碼對照表[[#This Row],[方音符號]], 鍵盤設計表[方音符號]),0)), "")</f>
        <v>聲</v>
      </c>
      <c r="G22" s="812" t="str" cm="1">
        <f t="array" ref="G22">IFERROR( INDEX(鍵盤設計表[台語音標], MATCH(TRUE, EXACT(注音編碼對照表[[#This Row],[方音符號]], 鍵盤設計表[方音符號]),0)), "")</f>
        <v>si</v>
      </c>
      <c r="H22" s="509" t="str" cm="1">
        <f t="array" ref="H22">IFERROR( INDEX(鍵盤設計表[注音二式], MATCH(TRUE, EXACT(注音編碼對照表[[#This Row],[方音符號]], 鍵盤設計表[方音符號]),0)),"")</f>
        <v>sh</v>
      </c>
      <c r="I22" s="509" t="str" cm="1">
        <f t="array" ref="I22">IFERROR( INDEX(鍵盤設計表[閩拼方案], MATCH(TRUE, EXACT(注音編碼對照表[[#This Row],[方音符號]], 鍵盤設計表[方音符號]),0)), "")</f>
        <v>sh</v>
      </c>
      <c r="J22" s="73" t="str" cm="1">
        <f t="array" ref="J22">IFERROR( INDEX(鍵盤設計表[鍵盤按鍵], MATCH(TRUE, EXACT(注音編碼對照表[[#This Row],[方音符號]], 鍵盤設計表[方音符號]),0)), "")</f>
        <v>v</v>
      </c>
      <c r="K22"/>
      <c r="P22"/>
      <c r="Q22"/>
      <c r="S22"/>
      <c r="V22"/>
    </row>
    <row r="23" spans="2:22" ht="32.25">
      <c r="B23" s="798">
        <f>ROW() - 2</f>
        <v>21</v>
      </c>
      <c r="C23" s="56" t="s">
        <v>52</v>
      </c>
      <c r="D23" s="424" t="str" cm="1">
        <f t="array" ref="D23">IFERROR( INDEX(鍵盤設計表[字典編碼], MATCH(TRUE, EXACT(注音編碼對照表[[#This Row],[方音符號]], 鍵盤設計表[方音符號]),0)), "")</f>
        <v>h</v>
      </c>
      <c r="E23" s="780" t="s">
        <v>53</v>
      </c>
      <c r="F23" s="42" t="str" cm="1">
        <f t="array" ref="F23">IFERROR( INDEX(鍵盤設計表[聲韻調], MATCH(TRUE, EXACT(注音編碼對照表[[#This Row],[方音符號]], 鍵盤設計表[方音符號]),0)), "")</f>
        <v>聲</v>
      </c>
      <c r="G23" s="812" t="str" cm="1">
        <f t="array" ref="G23">IFERROR( INDEX(鍵盤設計表[台語音標], MATCH(TRUE, EXACT(注音編碼對照表[[#This Row],[方音符號]], 鍵盤設計表[方音符號]),0)), "")</f>
        <v>h</v>
      </c>
      <c r="H23" s="509" t="str" cm="1">
        <f t="array" ref="H23">IFERROR( INDEX(鍵盤設計表[注音二式], MATCH(TRUE, EXACT(注音編碼對照表[[#This Row],[方音符號]], 鍵盤設計表[方音符號]),0)),"")</f>
        <v>h</v>
      </c>
      <c r="I23" s="509" t="str" cm="1">
        <f t="array" ref="I23">IFERROR( INDEX(鍵盤設計表[閩拼方案], MATCH(TRUE, EXACT(注音編碼對照表[[#This Row],[方音符號]], 鍵盤設計表[方音符號]),0)), "")</f>
        <v>h</v>
      </c>
      <c r="J23" s="73" t="str" cm="1">
        <f t="array" ref="J23">IFERROR( INDEX(鍵盤設計表[鍵盤按鍵], MATCH(TRUE, EXACT(注音編碼對照表[[#This Row],[方音符號]], 鍵盤設計表[方音符號]),0)), "")</f>
        <v>c</v>
      </c>
      <c r="K23"/>
      <c r="P23"/>
      <c r="Q23"/>
      <c r="S23"/>
      <c r="V23"/>
    </row>
    <row r="24" spans="2:22" ht="32.25">
      <c r="B24" s="792">
        <f>ROW() - 2</f>
        <v>22</v>
      </c>
      <c r="C24" s="56" t="s">
        <v>58</v>
      </c>
      <c r="D24" s="424" t="str" cm="1">
        <f t="array" ref="D24">IFERROR( INDEX(鍵盤設計表[字典編碼], MATCH(TRUE, EXACT(注音編碼對照表[[#This Row],[方音符號]], 鍵盤設計表[方音符號]),0)), "")</f>
        <v>a</v>
      </c>
      <c r="E24" s="780" t="s">
        <v>59</v>
      </c>
      <c r="F24" s="42" t="str" cm="1">
        <f t="array" ref="F24">IFERROR( INDEX(鍵盤設計表[聲韻調], MATCH(TRUE, EXACT(注音編碼對照表[[#This Row],[方音符號]], 鍵盤設計表[方音符號]),0)), "")</f>
        <v>韻</v>
      </c>
      <c r="G24" s="812" t="str" cm="1">
        <f t="array" ref="G24">IFERROR( INDEX(鍵盤設計表[台語音標], MATCH(TRUE, EXACT(注音編碼對照表[[#This Row],[方音符號]], 鍵盤設計表[方音符號]),0)), "")</f>
        <v>a</v>
      </c>
      <c r="H24" s="509" t="str" cm="1">
        <f t="array" ref="H24">IFERROR( INDEX(鍵盤設計表[注音二式], MATCH(TRUE, EXACT(注音編碼對照表[[#This Row],[方音符號]], 鍵盤設計表[方音符號]),0)),"")</f>
        <v>a</v>
      </c>
      <c r="I24" s="509" t="str" cm="1">
        <f t="array" ref="I24">IFERROR( INDEX(鍵盤設計表[閩拼方案], MATCH(TRUE, EXACT(注音編碼對照表[[#This Row],[方音符號]], 鍵盤設計表[方音符號]),0)), "")</f>
        <v>a</v>
      </c>
      <c r="J24" s="73" t="str" cm="1">
        <f t="array" ref="J24">IFERROR( INDEX(鍵盤設計表[鍵盤按鍵], MATCH(TRUE, EXACT(注音編碼對照表[[#This Row],[方音符號]], 鍵盤設計表[方音符號]),0)), "")</f>
        <v>8</v>
      </c>
      <c r="K24"/>
      <c r="P24"/>
      <c r="Q24"/>
      <c r="S24"/>
      <c r="V24"/>
    </row>
    <row r="25" spans="2:22" ht="32.25">
      <c r="B25" s="792">
        <f>ROW() - 2</f>
        <v>23</v>
      </c>
      <c r="C25" s="790" t="s">
        <v>54</v>
      </c>
      <c r="D25" s="424" t="str" cm="1">
        <f t="array" ref="D25">IFERROR( INDEX(鍵盤設計表[字典編碼], MATCH(TRUE, EXACT(注音編碼對照表[[#This Row],[方音符號]], 鍵盤設計表[方音符號]),0)), "")</f>
        <v>i</v>
      </c>
      <c r="E25" s="780" t="s">
        <v>55</v>
      </c>
      <c r="F25" s="42" t="str" cm="1">
        <f t="array" ref="F25">IFERROR( INDEX(鍵盤設計表[聲韻調], MATCH(TRUE, EXACT(注音編碼對照表[[#This Row],[方音符號]], 鍵盤設計表[方音符號]),0)), "")</f>
        <v>韻</v>
      </c>
      <c r="G25" s="812" t="str" cm="1">
        <f t="array" ref="G25">IFERROR( INDEX(鍵盤設計表[台語音標], MATCH(TRUE, EXACT(注音編碼對照表[[#This Row],[方音符號]], 鍵盤設計表[方音符號]),0)), "")</f>
        <v>i</v>
      </c>
      <c r="H25" s="509" t="str" cm="1">
        <f t="array" ref="H25">IFERROR( INDEX(鍵盤設計表[注音二式], MATCH(TRUE, EXACT(注音編碼對照表[[#This Row],[方音符號]], 鍵盤設計表[方音符號]),0)),"")</f>
        <v>i</v>
      </c>
      <c r="I25" s="509" t="str" cm="1">
        <f t="array" ref="I25">IFERROR( INDEX(鍵盤設計表[閩拼方案], MATCH(TRUE, EXACT(注音編碼對照表[[#This Row],[方音符號]], 鍵盤設計表[方音符號]),0)), "")</f>
        <v>i</v>
      </c>
      <c r="J25" s="73" t="str" cm="1">
        <f t="array" ref="J25">IFERROR( INDEX(鍵盤設計表[鍵盤按鍵], MATCH(TRUE, EXACT(注音編碼對照表[[#This Row],[方音符號]], 鍵盤設計表[方音符號]),0)), "")</f>
        <v>u</v>
      </c>
      <c r="K25"/>
      <c r="P25"/>
      <c r="Q25"/>
      <c r="S25"/>
      <c r="V25"/>
    </row>
    <row r="26" spans="2:22" ht="32.25">
      <c r="B26" s="792">
        <f>ROW() - 2</f>
        <v>24</v>
      </c>
      <c r="C26" s="790" t="s">
        <v>56</v>
      </c>
      <c r="D26" s="424" t="str" cm="1">
        <f t="array" ref="D26">IFERROR( INDEX(鍵盤設計表[字典編碼], MATCH(TRUE, EXACT(注音編碼對照表[[#This Row],[方音符號]], 鍵盤設計表[方音符號]),0)), "")</f>
        <v>u</v>
      </c>
      <c r="E26" s="780" t="s">
        <v>57</v>
      </c>
      <c r="F26" s="42" t="str" cm="1">
        <f t="array" ref="F26">IFERROR( INDEX(鍵盤設計表[聲韻調], MATCH(TRUE, EXACT(注音編碼對照表[[#This Row],[方音符號]], 鍵盤設計表[方音符號]),0)), "")</f>
        <v>韻</v>
      </c>
      <c r="G26" s="812" t="str" cm="1">
        <f t="array" ref="G26">IFERROR( INDEX(鍵盤設計表[台語音標], MATCH(TRUE, EXACT(注音編碼對照表[[#This Row],[方音符號]], 鍵盤設計表[方音符號]),0)), "")</f>
        <v>u</v>
      </c>
      <c r="H26" s="509" t="str" cm="1">
        <f t="array" ref="H26">IFERROR( INDEX(鍵盤設計表[注音二式], MATCH(TRUE, EXACT(注音編碼對照表[[#This Row],[方音符號]], 鍵盤設計表[方音符號]),0)),"")</f>
        <v>u</v>
      </c>
      <c r="I26" s="509" t="str" cm="1">
        <f t="array" ref="I26">IFERROR( INDEX(鍵盤設計表[閩拼方案], MATCH(TRUE, EXACT(注音編碼對照表[[#This Row],[方音符號]], 鍵盤設計表[方音符號]),0)), "")</f>
        <v>u</v>
      </c>
      <c r="J26" s="73" t="str" cm="1">
        <f t="array" ref="J26">IFERROR( INDEX(鍵盤設計表[鍵盤按鍵], MATCH(TRUE, EXACT(注音編碼對照表[[#This Row],[方音符號]], 鍵盤設計表[方音符號]),0)), "")</f>
        <v>j</v>
      </c>
      <c r="K26"/>
      <c r="P26"/>
      <c r="Q26"/>
      <c r="S26"/>
      <c r="V26"/>
    </row>
    <row r="27" spans="2:22" ht="32.25">
      <c r="B27" s="792">
        <f>ROW() - 2</f>
        <v>25</v>
      </c>
      <c r="C27" s="793" t="s">
        <v>61</v>
      </c>
      <c r="D27" s="424" t="str" cm="1">
        <f t="array" ref="D27">IFERROR( INDEX(鍵盤設計表[字典編碼], MATCH(TRUE, EXACT(注音編碼對照表[[#This Row],[方音符號]], 鍵盤設計表[方音符號]),0)), "")</f>
        <v>e</v>
      </c>
      <c r="E27" s="794" t="s">
        <v>62</v>
      </c>
      <c r="F27" s="42" t="str" cm="1">
        <f t="array" ref="F27">IFERROR( INDEX(鍵盤設計表[聲韻調], MATCH(TRUE, EXACT(注音編碼對照表[[#This Row],[方音符號]], 鍵盤設計表[方音符號]),0)), "")</f>
        <v>韻</v>
      </c>
      <c r="G27" s="812" t="str" cm="1">
        <f t="array" ref="G27">IFERROR( INDEX(鍵盤設計表[台語音標], MATCH(TRUE, EXACT(注音編碼對照表[[#This Row],[方音符號]], 鍵盤設計表[方音符號]),0)), "")</f>
        <v>e</v>
      </c>
      <c r="H27" s="509" t="str" cm="1">
        <f t="array" ref="H27">IFERROR( INDEX(鍵盤設計表[注音二式], MATCH(TRUE, EXACT(注音編碼對照表[[#This Row],[方音符號]], 鍵盤設計表[方音符號]),0)),"")</f>
        <v>e</v>
      </c>
      <c r="I27" s="509" t="str" cm="1">
        <f t="array" ref="I27">IFERROR( INDEX(鍵盤設計表[閩拼方案], MATCH(TRUE, EXACT(注音編碼對照表[[#This Row],[方音符號]], 鍵盤設計表[方音符號]),0)), "")</f>
        <v>e</v>
      </c>
      <c r="J27" s="73" t="str" cm="1">
        <f t="array" ref="J27">IFERROR( INDEX(鍵盤設計表[鍵盤按鍵], MATCH(TRUE, EXACT(注音編碼對照表[[#This Row],[方音符號]], 鍵盤設計表[方音符號]),0)), "")</f>
        <v>,</v>
      </c>
      <c r="K27"/>
      <c r="P27"/>
      <c r="Q27"/>
      <c r="S27"/>
      <c r="V27"/>
    </row>
    <row r="28" spans="2:22" ht="32.25">
      <c r="B28" s="792">
        <f>ROW() - 2</f>
        <v>26</v>
      </c>
      <c r="C28" s="56" t="s">
        <v>67</v>
      </c>
      <c r="D28" s="424" t="str" cm="1">
        <f t="array" ref="D28">IFERROR( INDEX(鍵盤設計表[字典編碼], MATCH(TRUE, EXACT(注音編碼對照表[[#This Row],[方音符號]], 鍵盤設計表[方音符號]),0)), "")</f>
        <v>O</v>
      </c>
      <c r="E28" s="780" t="s">
        <v>712</v>
      </c>
      <c r="F28" s="42" t="str" cm="1">
        <f t="array" ref="F28">IFERROR( INDEX(鍵盤設計表[聲韻調], MATCH(TRUE, EXACT(注音編碼對照表[[#This Row],[方音符號]], 鍵盤設計表[方音符號]),0)), "")</f>
        <v>韻</v>
      </c>
      <c r="G28" s="812" t="str" cm="1">
        <f t="array" ref="G28">IFERROR( INDEX(鍵盤設計表[台語音標], MATCH(TRUE, EXACT(注音編碼對照表[[#This Row],[方音符號]], 鍵盤設計表[方音符號]),0)), "")</f>
        <v>oo</v>
      </c>
      <c r="H28" s="509" t="str" cm="1">
        <f t="array" ref="H28">IFERROR( INDEX(鍵盤設計表[注音二式], MATCH(TRUE, EXACT(注音編碼對照表[[#This Row],[方音符號]], 鍵盤設計表[方音符號]),0)),"")</f>
        <v>oo</v>
      </c>
      <c r="I28" s="509" t="str" cm="1">
        <f t="array" ref="I28">IFERROR( INDEX(鍵盤設計表[閩拼方案], MATCH(TRUE, EXACT(注音編碼對照表[[#This Row],[方音符號]], 鍵盤設計表[方音符號]),0)), "")</f>
        <v>oo</v>
      </c>
      <c r="J28" s="73" t="str" cm="1">
        <f t="array" ref="J28">IFERROR( INDEX(鍵盤設計表[鍵盤按鍵], MATCH(TRUE, EXACT(注音編碼對照表[[#This Row],[方音符號]], 鍵盤設計表[方音符號]),0)), "")</f>
        <v>i</v>
      </c>
      <c r="K28"/>
      <c r="P28"/>
      <c r="Q28"/>
      <c r="S28"/>
      <c r="V28"/>
    </row>
    <row r="29" spans="2:22" ht="32.25">
      <c r="B29" s="792">
        <f>ROW() - 2</f>
        <v>27</v>
      </c>
      <c r="C29" s="56" t="s">
        <v>473</v>
      </c>
      <c r="D29" s="424" t="str" cm="1">
        <f t="array" ref="D29">IFERROR( INDEX(鍵盤設計表[字典編碼], MATCH(TRUE, EXACT(注音編碼對照表[[#This Row],[方音符號]], 鍵盤設計表[方音符號]),0)), "")</f>
        <v>o</v>
      </c>
      <c r="E29" s="780" t="s">
        <v>713</v>
      </c>
      <c r="F29" s="42" t="str" cm="1">
        <f t="array" ref="F29">IFERROR( INDEX(鍵盤設計表[聲韻調], MATCH(TRUE, EXACT(注音編碼對照表[[#This Row],[方音符號]], 鍵盤設計表[方音符號]),0)), "")</f>
        <v>韻</v>
      </c>
      <c r="G29" s="812" t="str" cm="1">
        <f t="array" ref="G29">IFERROR( INDEX(鍵盤設計表[台語音標], MATCH(TRUE, EXACT(注音編碼對照表[[#This Row],[方音符號]], 鍵盤設計表[方音符號]),0)), "")</f>
        <v>o</v>
      </c>
      <c r="H29" s="509" t="str" cm="1">
        <f t="array" ref="H29">IFERROR( INDEX(鍵盤設計表[注音二式], MATCH(TRUE, EXACT(注音編碼對照表[[#This Row],[方音符號]], 鍵盤設計表[方音符號]),0)),"")</f>
        <v>or</v>
      </c>
      <c r="I29" s="509" t="str" cm="1">
        <f t="array" ref="I29">IFERROR( INDEX(鍵盤設計表[閩拼方案], MATCH(TRUE, EXACT(注音編碼對照表[[#This Row],[方音符號]], 鍵盤設計表[方音符號]),0)), "")</f>
        <v>o</v>
      </c>
      <c r="J29" s="73" t="str" cm="1">
        <f t="array" ref="J29">IFERROR( INDEX(鍵盤設計表[鍵盤按鍵], MATCH(TRUE, EXACT(注音編碼對照表[[#This Row],[方音符號]], 鍵盤設計表[方音符號]),0)), "")</f>
        <v>k</v>
      </c>
      <c r="K29"/>
      <c r="P29"/>
      <c r="Q29"/>
      <c r="S29"/>
      <c r="V29"/>
    </row>
    <row r="30" spans="2:22" ht="32.25">
      <c r="B30" s="792">
        <f>ROW() - 2</f>
        <v>28</v>
      </c>
      <c r="C30" s="793" t="s">
        <v>241</v>
      </c>
      <c r="D30" s="424" t="str" cm="1">
        <f t="array" ref="D30">IFERROR( INDEX(鍵盤設計表[字典編碼], MATCH(TRUE, EXACT(注音編碼對照表[[#This Row],[方音符號]], 鍵盤設計表[方音符號]),0)), "")</f>
        <v>I</v>
      </c>
      <c r="E30" s="780" t="s">
        <v>71</v>
      </c>
      <c r="F30" s="42" t="str" cm="1">
        <f t="array" ref="F30">IFERROR( INDEX(鍵盤設計表[聲韻調], MATCH(TRUE, EXACT(注音編碼對照表[[#This Row],[方音符號]], 鍵盤設計表[方音符號]),0)), "")</f>
        <v>韻</v>
      </c>
      <c r="G30" s="812" t="str" cm="1">
        <f t="array" ref="G30">IFERROR( INDEX(鍵盤設計表[台語音標], MATCH(TRUE, EXACT(注音編碼對照表[[#This Row],[方音符號]], 鍵盤設計表[方音符號]),0)), "")</f>
        <v>ai</v>
      </c>
      <c r="H30" s="509" t="str" cm="1">
        <f t="array" ref="H30">IFERROR( INDEX(鍵盤設計表[注音二式], MATCH(TRUE, EXACT(注音編碼對照表[[#This Row],[方音符號]], 鍵盤設計表[方音符號]),0)),"")</f>
        <v>ai</v>
      </c>
      <c r="I30" s="509" t="str" cm="1">
        <f t="array" ref="I30">IFERROR( INDEX(鍵盤設計表[閩拼方案], MATCH(TRUE, EXACT(注音編碼對照表[[#This Row],[方音符號]], 鍵盤設計表[方音符號]),0)), "")</f>
        <v>ai</v>
      </c>
      <c r="J30" s="73" t="str" cm="1">
        <f t="array" ref="J30">IFERROR( INDEX(鍵盤設計表[鍵盤按鍵], MATCH(TRUE, EXACT(注音編碼對照表[[#This Row],[方音符號]], 鍵盤設計表[方音符號]),0)), "")</f>
        <v>9</v>
      </c>
      <c r="K30"/>
      <c r="P30"/>
      <c r="Q30"/>
      <c r="S30"/>
      <c r="V30"/>
    </row>
    <row r="31" spans="2:22" ht="32.25">
      <c r="B31" s="792">
        <f>ROW() - 2</f>
        <v>29</v>
      </c>
      <c r="C31" s="56" t="s">
        <v>72</v>
      </c>
      <c r="D31" s="424" t="str" cm="1">
        <f t="array" ref="D31">IFERROR( INDEX(鍵盤設計表[字典編碼], MATCH(TRUE, EXACT(注音編碼對照表[[#This Row],[方音符號]], 鍵盤設計表[方音符號]),0)), "")</f>
        <v>u</v>
      </c>
      <c r="E31" s="780" t="s">
        <v>73</v>
      </c>
      <c r="F31" s="42" t="str" cm="1">
        <f t="array" ref="F31">IFERROR( INDEX(鍵盤設計表[聲韻調], MATCH(TRUE, EXACT(注音編碼對照表[[#This Row],[方音符號]], 鍵盤設計表[方音符號]),0)), "")</f>
        <v>韻</v>
      </c>
      <c r="G31" s="812" t="str" cm="1">
        <f t="array" ref="G31">IFERROR( INDEX(鍵盤設計表[台語音標], MATCH(TRUE, EXACT(注音編碼對照表[[#This Row],[方音符號]], 鍵盤設計表[方音符號]),0)), "")</f>
        <v>au</v>
      </c>
      <c r="H31" s="509" t="str" cm="1">
        <f t="array" ref="H31">IFERROR( INDEX(鍵盤設計表[注音二式], MATCH(TRUE, EXACT(注音編碼對照表[[#This Row],[方音符號]], 鍵盤設計表[方音符號]),0)),"")</f>
        <v>au</v>
      </c>
      <c r="I31" s="509" t="str" cm="1">
        <f t="array" ref="I31">IFERROR( INDEX(鍵盤設計表[閩拼方案], MATCH(TRUE, EXACT(注音編碼對照表[[#This Row],[方音符號]], 鍵盤設計表[方音符號]),0)), "")</f>
        <v>au</v>
      </c>
      <c r="J31" s="73" t="str" cm="1">
        <f t="array" ref="J31">IFERROR( INDEX(鍵盤設計表[鍵盤按鍵], MATCH(TRUE, EXACT(注音編碼對照表[[#This Row],[方音符號]], 鍵盤設計表[方音符號]),0)), "")</f>
        <v>l</v>
      </c>
      <c r="K31"/>
      <c r="P31"/>
      <c r="Q31"/>
      <c r="S31"/>
      <c r="V31"/>
    </row>
    <row r="32" spans="2:22" ht="32.25">
      <c r="B32" s="792">
        <f>ROW() - 2</f>
        <v>30</v>
      </c>
      <c r="C32" s="56" t="s">
        <v>591</v>
      </c>
      <c r="D32" s="424" t="str" cm="1">
        <f t="array" ref="D32">IFERROR( INDEX(鍵盤設計表[字典編碼], MATCH(TRUE, EXACT(注音編碼對照表[[#This Row],[方音符號]], 鍵盤設計表[方音符號]),0)), "")</f>
        <v>R</v>
      </c>
      <c r="E32" s="780" t="s">
        <v>8786</v>
      </c>
      <c r="F32" s="42" t="str" cm="1">
        <f t="array" ref="F32">IFERROR( INDEX(鍵盤設計表[聲韻調], MATCH(TRUE, EXACT(注音編碼對照表[[#This Row],[方音符號]], 鍵盤設計表[方音符號]),0)), "")</f>
        <v>韻尾</v>
      </c>
      <c r="G32" s="812" t="str" cm="1">
        <f t="array" ref="G32">IFERROR( INDEX(鍵盤設計表[台語音標], MATCH(TRUE, EXACT(注音編碼對照表[[#This Row],[方音符號]], 鍵盤設計表[方音符號]),0)), "")</f>
        <v>ir</v>
      </c>
      <c r="H32" s="509" t="str" cm="1">
        <f t="array" ref="H32">IFERROR( INDEX(鍵盤設計表[注音二式], MATCH(TRUE, EXACT(注音編碼對照表[[#This Row],[方音符號]], 鍵盤設計表[方音符號]),0)),"")</f>
        <v>ir</v>
      </c>
      <c r="I32" s="509" t="str" cm="1">
        <f t="array" ref="I32">IFERROR( INDEX(鍵盤設計表[閩拼方案], MATCH(TRUE, EXACT(注音編碼對照表[[#This Row],[方音符號]], 鍵盤設計表[方音符號]),0)), "")</f>
        <v>eu</v>
      </c>
      <c r="J32" s="73" t="str" cm="1">
        <f t="array" ref="J32">IFERROR( INDEX(鍵盤設計表[鍵盤按鍵], MATCH(TRUE, EXACT(注音編碼對照表[[#This Row],[方音符號]], 鍵盤設計表[方音符號]),0)), "")</f>
        <v>K</v>
      </c>
      <c r="K32"/>
      <c r="P32"/>
      <c r="Q32"/>
      <c r="S32"/>
      <c r="V32"/>
    </row>
    <row r="33" spans="2:22" ht="32.25">
      <c r="B33" s="792">
        <f>ROW() - 2</f>
        <v>31</v>
      </c>
      <c r="C33" s="56" t="s">
        <v>115</v>
      </c>
      <c r="D33" s="424" t="str" cm="1">
        <f t="array" ref="D33">IFERROR( INDEX(鍵盤設計表[字典編碼], MATCH(TRUE, EXACT(注音編碼對照表[[#This Row],[方音符號]], 鍵盤設計表[方音符號]),0)), "")</f>
        <v>A</v>
      </c>
      <c r="E33" s="780" t="s">
        <v>349</v>
      </c>
      <c r="F33" s="42" t="str" cm="1">
        <f t="array" ref="F33">IFERROR( INDEX(鍵盤設計表[聲韻調], MATCH(TRUE, EXACT(注音編碼對照表[[#This Row],[方音符號]], 鍵盤設計表[方音符號]),0)), "")</f>
        <v>韻</v>
      </c>
      <c r="G33" s="812" t="str" cm="1">
        <f t="array" ref="G33">IFERROR( INDEX(鍵盤設計表[台語音標], MATCH(TRUE, EXACT(注音編碼對照表[[#This Row],[方音符號]], 鍵盤設計表[方音符號]),0)), "")</f>
        <v>ann</v>
      </c>
      <c r="H33" s="509" t="str" cm="1">
        <f t="array" ref="H33">IFERROR( INDEX(鍵盤設計表[注音二式], MATCH(TRUE, EXACT(注音編碼對照表[[#This Row],[方音符號]], 鍵盤設計表[方音符號]),0)),"")</f>
        <v>ann</v>
      </c>
      <c r="I33" s="509" t="str" cm="1">
        <f t="array" ref="I33">IFERROR( INDEX(鍵盤設計表[閩拼方案], MATCH(TRUE, EXACT(注音編碼對照表[[#This Row],[方音符號]], 鍵盤設計表[方音符號]),0)), "")</f>
        <v>na</v>
      </c>
      <c r="J33" s="73" t="str" cm="1">
        <f t="array" ref="J33">IFERROR( INDEX(鍵盤設計表[鍵盤按鍵], MATCH(TRUE, EXACT(注音編碼對照表[[#This Row],[方音符號]], 鍵盤設計表[方音符號]),0)), "")</f>
        <v>*</v>
      </c>
      <c r="K33"/>
      <c r="P33"/>
      <c r="Q33"/>
      <c r="S33"/>
      <c r="V33"/>
    </row>
    <row r="34" spans="2:22" ht="32.25">
      <c r="B34" s="792">
        <f>ROW() - 2</f>
        <v>32</v>
      </c>
      <c r="C34" s="56" t="s">
        <v>8696</v>
      </c>
      <c r="D34" s="424" t="str" cm="1">
        <f t="array" ref="D34">IFERROR( INDEX(鍵盤設計表[字典編碼], MATCH(TRUE, EXACT(注音編碼對照表[[#This Row],[方音符號]], 鍵盤設計表[方音符號]),0)), "")</f>
        <v>I</v>
      </c>
      <c r="E34" s="780" t="s">
        <v>725</v>
      </c>
      <c r="F34" s="42" t="str" cm="1">
        <f t="array" ref="F34">IFERROR( INDEX(鍵盤設計表[聲韻調], MATCH(TRUE, EXACT(注音編碼對照表[[#This Row],[方音符號]], 鍵盤設計表[方音符號]),0)), "")</f>
        <v>韻</v>
      </c>
      <c r="G34" s="812" t="str" cm="1">
        <f t="array" ref="G34">IFERROR( INDEX(鍵盤設計表[台語音標], MATCH(TRUE, EXACT(注音編碼對照表[[#This Row],[方音符號]], 鍵盤設計表[方音符號]),0)), "")</f>
        <v>inn</v>
      </c>
      <c r="H34" s="509" t="str" cm="1">
        <f t="array" ref="H34">IFERROR( INDEX(鍵盤設計表[注音二式], MATCH(TRUE, EXACT(注音編碼對照表[[#This Row],[方音符號]], 鍵盤設計表[方音符號]),0)),"")</f>
        <v>inn</v>
      </c>
      <c r="I34" s="509" t="str" cm="1">
        <f t="array" ref="I34">IFERROR( INDEX(鍵盤設計表[閩拼方案], MATCH(TRUE, EXACT(注音編碼對照表[[#This Row],[方音符號]], 鍵盤設計表[方音符號]),0)), "")</f>
        <v>inn</v>
      </c>
      <c r="J34" s="73" t="str" cm="1">
        <f t="array" ref="J34">IFERROR( INDEX(鍵盤設計表[鍵盤按鍵], MATCH(TRUE, EXACT(注音編碼對照表[[#This Row],[方音符號]], 鍵盤設計表[方音符號]),0)), "")</f>
        <v>U</v>
      </c>
      <c r="K34"/>
      <c r="P34"/>
      <c r="Q34"/>
      <c r="S34"/>
      <c r="V34"/>
    </row>
    <row r="35" spans="2:22" ht="32.25">
      <c r="B35" s="792">
        <f>ROW() - 2</f>
        <v>33</v>
      </c>
      <c r="C35" s="790" t="s">
        <v>113</v>
      </c>
      <c r="D35" s="424" t="str" cm="1">
        <f t="array" ref="D35">IFERROR( INDEX(鍵盤設計表[字典編碼], MATCH(TRUE, EXACT(注音編碼對照表[[#This Row],[方音符號]], 鍵盤設計表[方音符號]),0)), "")</f>
        <v>U</v>
      </c>
      <c r="E35" s="780" t="s">
        <v>724</v>
      </c>
      <c r="F35" s="42" t="str" cm="1">
        <f t="array" ref="F35">IFERROR( INDEX(鍵盤設計表[聲韻調], MATCH(TRUE, EXACT(注音編碼對照表[[#This Row],[方音符號]], 鍵盤設計表[方音符號]),0)), "")</f>
        <v>韻</v>
      </c>
      <c r="G35" s="812" t="str" cm="1">
        <f t="array" ref="G35">IFERROR( INDEX(鍵盤設計表[台語音標], MATCH(TRUE, EXACT(注音編碼對照表[[#This Row],[方音符號]], 鍵盤設計表[方音符號]),0)), "")</f>
        <v>unn</v>
      </c>
      <c r="H35" s="509" t="str" cm="1">
        <f t="array" ref="H35">IFERROR( INDEX(鍵盤設計表[注音二式], MATCH(TRUE, EXACT(注音編碼對照表[[#This Row],[方音符號]], 鍵盤設計表[方音符號]),0)),"")</f>
        <v>unn</v>
      </c>
      <c r="I35" s="509" t="str" cm="1">
        <f t="array" ref="I35">IFERROR( INDEX(鍵盤設計表[閩拼方案], MATCH(TRUE, EXACT(注音編碼對照表[[#This Row],[方音符號]], 鍵盤設計表[方音符號]),0)), "")</f>
        <v>unn</v>
      </c>
      <c r="J35" s="73" t="str" cm="1">
        <f t="array" ref="J35">IFERROR( INDEX(鍵盤設計表[鍵盤按鍵], MATCH(TRUE, EXACT(注音編碼對照表[[#This Row],[方音符號]], 鍵盤設計表[方音符號]),0)), "")</f>
        <v>J</v>
      </c>
      <c r="P35"/>
      <c r="Q35"/>
      <c r="S35"/>
      <c r="V35"/>
    </row>
    <row r="36" spans="2:22" ht="32.25">
      <c r="B36" s="792">
        <f>ROW() - 2</f>
        <v>34</v>
      </c>
      <c r="C36" s="56" t="s">
        <v>119</v>
      </c>
      <c r="D36" s="424" t="str" cm="1">
        <f t="array" ref="D36">IFERROR( INDEX(鍵盤設計表[字典編碼], MATCH(TRUE, EXACT(注音編碼對照表[[#This Row],[方音符號]], 鍵盤設計表[方音符號]),0)), "")</f>
        <v>E</v>
      </c>
      <c r="E36" s="780" t="s">
        <v>726</v>
      </c>
      <c r="F36" s="42" t="str" cm="1">
        <f t="array" ref="F36">IFERROR( INDEX(鍵盤設計表[聲韻調], MATCH(TRUE, EXACT(注音編碼對照表[[#This Row],[方音符號]], 鍵盤設計表[方音符號]),0)), "")</f>
        <v>韻</v>
      </c>
      <c r="G36" s="812" t="str" cm="1">
        <f t="array" ref="G36">IFERROR( INDEX(鍵盤設計表[台語音標], MATCH(TRUE, EXACT(注音編碼對照表[[#This Row],[方音符號]], 鍵盤設計表[方音符號]),0)), "")</f>
        <v>enn</v>
      </c>
      <c r="H36" s="509" t="str" cm="1">
        <f t="array" ref="H36">IFERROR( INDEX(鍵盤設計表[注音二式], MATCH(TRUE, EXACT(注音編碼對照表[[#This Row],[方音符號]], 鍵盤設計表[方音符號]),0)),"")</f>
        <v>enn</v>
      </c>
      <c r="I36" s="509" t="str" cm="1">
        <f t="array" ref="I36">IFERROR( INDEX(鍵盤設計表[閩拼方案], MATCH(TRUE, EXACT(注音編碼對照表[[#This Row],[方音符號]], 鍵盤設計表[方音符號]),0)), "")</f>
        <v>ne</v>
      </c>
      <c r="J36" s="73" t="str" cm="1">
        <f t="array" ref="J36">IFERROR( INDEX(鍵盤設計表[鍵盤按鍵], MATCH(TRUE, EXACT(注音編碼對照表[[#This Row],[方音符號]], 鍵盤設計表[方音符號]),0)), "")</f>
        <v>&lt;</v>
      </c>
      <c r="P36"/>
      <c r="Q36"/>
      <c r="S36"/>
      <c r="V36"/>
    </row>
    <row r="37" spans="2:22" ht="32.25">
      <c r="B37" s="792">
        <f>ROW() - 2</f>
        <v>35</v>
      </c>
      <c r="C37" s="56" t="s">
        <v>121</v>
      </c>
      <c r="D37" s="424" t="str" cm="1">
        <f t="array" ref="D37">IFERROR( INDEX(鍵盤設計表[字典編碼], MATCH(TRUE, EXACT(注音編碼對照表[[#This Row],[方音符號]], 鍵盤設計表[方音符號]),0)), "")</f>
        <v>Q</v>
      </c>
      <c r="E37" s="780" t="s">
        <v>729</v>
      </c>
      <c r="F37" s="42" t="str" cm="1">
        <f t="array" ref="F37">IFERROR( INDEX(鍵盤設計表[聲韻調], MATCH(TRUE, EXACT(注音編碼對照表[[#This Row],[方音符號]], 鍵盤設計表[方音符號]),0)), "")</f>
        <v>韻</v>
      </c>
      <c r="G37" s="812" t="str" cm="1">
        <f t="array" ref="G37">IFERROR( INDEX(鍵盤設計表[台語音標], MATCH(TRUE, EXACT(注音編碼對照表[[#This Row],[方音符號]], 鍵盤設計表[方音符號]),0)), "")</f>
        <v>onn</v>
      </c>
      <c r="H37" s="509" t="str" cm="1">
        <f t="array" ref="H37">IFERROR( INDEX(鍵盤設計表[注音二式], MATCH(TRUE, EXACT(注音編碼對照表[[#This Row],[方音符號]], 鍵盤設計表[方音符號]),0)),"")</f>
        <v>oonn</v>
      </c>
      <c r="I37" s="509" t="str" cm="1">
        <f t="array" ref="I37">IFERROR( INDEX(鍵盤設計表[閩拼方案], MATCH(TRUE, EXACT(注音編碼對照表[[#This Row],[方音符號]], 鍵盤設計表[方音符號]),0)), "")</f>
        <v>no</v>
      </c>
      <c r="J37" s="73" t="str" cm="1">
        <f t="array" ref="J37">IFERROR( INDEX(鍵盤設計表[鍵盤按鍵], MATCH(TRUE, EXACT(注音編碼對照表[[#This Row],[方音符號]], 鍵盤設計表[方音符號]),0)), "")</f>
        <v>I</v>
      </c>
      <c r="K37"/>
      <c r="P37"/>
      <c r="Q37"/>
      <c r="S37"/>
      <c r="V37"/>
    </row>
    <row r="38" spans="2:22" ht="32.25">
      <c r="B38" s="792">
        <f>ROW() - 2</f>
        <v>36</v>
      </c>
      <c r="C38" s="56" t="s">
        <v>117</v>
      </c>
      <c r="D38" s="424" t="str" cm="1">
        <f t="array" ref="D38">IFERROR( INDEX(鍵盤設計表[字典編碼], MATCH(TRUE, EXACT(注音編碼對照表[[#This Row],[方音符號]], 鍵盤設計表[方音符號]),0)), "")</f>
        <v>X</v>
      </c>
      <c r="E38" s="780" t="s">
        <v>8784</v>
      </c>
      <c r="F38" s="42" t="str" cm="1">
        <f t="array" ref="F38">IFERROR( INDEX(鍵盤設計表[聲韻調], MATCH(TRUE, EXACT(注音編碼對照表[[#This Row],[方音符號]], 鍵盤設計表[方音符號]),0)), "")</f>
        <v>韻</v>
      </c>
      <c r="G38" s="812" t="str" cm="1">
        <f t="array" ref="G38">IFERROR( INDEX(鍵盤設計表[台語音標], MATCH(TRUE, EXACT(注音編碼對照表[[#This Row],[方音符號]], 鍵盤設計表[方音符號]),0)), "")</f>
        <v>ainn</v>
      </c>
      <c r="H38" s="509" t="str" cm="1">
        <f t="array" ref="H38">IFERROR( INDEX(鍵盤設計表[注音二式], MATCH(TRUE, EXACT(注音編碼對照表[[#This Row],[方音符號]], 鍵盤設計表[方音符號]),0)),"")</f>
        <v>ainn</v>
      </c>
      <c r="I38" s="509" t="str" cm="1">
        <f t="array" ref="I38">IFERROR( INDEX(鍵盤設計表[閩拼方案], MATCH(TRUE, EXACT(注音編碼對照表[[#This Row],[方音符號]], 鍵盤設計表[方音符號]),0)), "")</f>
        <v>nai</v>
      </c>
      <c r="J38" s="73" t="str" cm="1">
        <f t="array" ref="J38">IFERROR( INDEX(鍵盤設計表[鍵盤按鍵], MATCH(TRUE, EXACT(注音編碼對照表[[#This Row],[方音符號]], 鍵盤設計表[方音符號]),0)), "")</f>
        <v>(</v>
      </c>
      <c r="K38"/>
      <c r="P38"/>
      <c r="Q38"/>
      <c r="S38"/>
      <c r="V38"/>
    </row>
    <row r="39" spans="2:22" ht="32.25">
      <c r="B39" s="792">
        <f>ROW() - 2</f>
        <v>37</v>
      </c>
      <c r="C39" s="56" t="s">
        <v>123</v>
      </c>
      <c r="D39" s="424" t="str" cm="1">
        <f t="array" ref="D39">IFERROR( INDEX(鍵盤設計表[字典編碼], MATCH(TRUE, EXACT(注音編碼對照表[[#This Row],[方音符號]], 鍵盤設計表[方音符號]),0)), "")</f>
        <v>U</v>
      </c>
      <c r="E39" s="780" t="s">
        <v>8785</v>
      </c>
      <c r="F39" s="42" t="str" cm="1">
        <f t="array" ref="F39">IFERROR( INDEX(鍵盤設計表[聲韻調], MATCH(TRUE, EXACT(注音編碼對照表[[#This Row],[方音符號]], 鍵盤設計表[方音符號]),0)), "")</f>
        <v>韻</v>
      </c>
      <c r="G39" s="812" t="str" cm="1">
        <f t="array" ref="G39">IFERROR( INDEX(鍵盤設計表[台語音標], MATCH(TRUE, EXACT(注音編碼對照表[[#This Row],[方音符號]], 鍵盤設計表[方音符號]),0)), "")</f>
        <v>aunn</v>
      </c>
      <c r="H39" s="509" t="str" cm="1">
        <f t="array" ref="H39">IFERROR( INDEX(鍵盤設計表[注音二式], MATCH(TRUE, EXACT(注音編碼對照表[[#This Row],[方音符號]], 鍵盤設計表[方音符號]),0)),"")</f>
        <v>aunn</v>
      </c>
      <c r="I39" s="509" t="str" cm="1">
        <f t="array" ref="I39">IFERROR( INDEX(鍵盤設計表[閩拼方案], MATCH(TRUE, EXACT(注音編碼對照表[[#This Row],[方音符號]], 鍵盤設計表[方音符號]),0)), "")</f>
        <v>nau</v>
      </c>
      <c r="J39" s="73" t="str" cm="1">
        <f t="array" ref="J39">IFERROR( INDEX(鍵盤設計表[鍵盤按鍵], MATCH(TRUE, EXACT(注音編碼對照表[[#This Row],[方音符號]], 鍵盤設計表[方音符號]),0)), "")</f>
        <v>L</v>
      </c>
      <c r="K39"/>
      <c r="P39"/>
      <c r="Q39"/>
      <c r="S39"/>
      <c r="V39"/>
    </row>
    <row r="40" spans="2:22" ht="32.25">
      <c r="B40" s="792">
        <f>ROW() - 2</f>
        <v>38</v>
      </c>
      <c r="C40" s="56" t="s">
        <v>145</v>
      </c>
      <c r="D40" s="424" t="str" cm="1">
        <f t="array" ref="D40">IFERROR( INDEX(鍵盤設計表[字典編碼], MATCH(TRUE, EXACT(注音編碼對照表[[#This Row],[方音符號]], 鍵盤設計表[方音符號]),0)), "")</f>
        <v>M</v>
      </c>
      <c r="E40" s="780" t="s">
        <v>745</v>
      </c>
      <c r="F40" s="42" t="str" cm="1">
        <f t="array" ref="F40">IFERROR( INDEX(鍵盤設計表[聲韻調], MATCH(TRUE, EXACT(注音編碼對照表[[#This Row],[方音符號]], 鍵盤設計表[方音符號]),0)), "")</f>
        <v>韻</v>
      </c>
      <c r="G40" s="812" t="str" cm="1">
        <f t="array" ref="G40">IFERROR( INDEX(鍵盤設計表[台語音標], MATCH(TRUE, EXACT(注音編碼對照表[[#This Row],[方音符號]], 鍵盤設計表[方音符號]),0)), "")</f>
        <v>m</v>
      </c>
      <c r="H40" s="509" t="str" cm="1">
        <f t="array" ref="H40">IFERROR( INDEX(鍵盤設計表[注音二式], MATCH(TRUE, EXACT(注音編碼對照表[[#This Row],[方音符號]], 鍵盤設計表[方音符號]),0)),"")</f>
        <v>m</v>
      </c>
      <c r="I40" s="509" t="str" cm="1">
        <f t="array" ref="I40">IFERROR( INDEX(鍵盤設計表[閩拼方案], MATCH(TRUE, EXACT(注音編碼對照表[[#This Row],[方音符號]], 鍵盤設計表[方音符號]),0)), "")</f>
        <v>m</v>
      </c>
      <c r="J40" s="73" t="str" cm="1">
        <f t="array" ref="J40">IFERROR( INDEX(鍵盤設計表[鍵盤按鍵], MATCH(TRUE, EXACT(注音編碼對照表[[#This Row],[方音符號]], 鍵盤設計表[方音符號]),0)), "")</f>
        <v>m</v>
      </c>
      <c r="K40"/>
      <c r="P40"/>
      <c r="Q40"/>
      <c r="S40"/>
      <c r="V40"/>
    </row>
    <row r="41" spans="2:22" ht="32.25">
      <c r="B41" s="792">
        <f>ROW() - 2</f>
        <v>39</v>
      </c>
      <c r="C41" s="791" t="s">
        <v>740</v>
      </c>
      <c r="D41" s="424" t="str" cm="1">
        <f t="array" ref="D41">IFERROR( INDEX(鍵盤設計表[字典編碼], MATCH(TRUE, EXACT(注音編碼對照表[[#This Row],[方音符號]], 鍵盤設計表[方音符號]),0)), "")</f>
        <v>N</v>
      </c>
      <c r="E41" s="780" t="s">
        <v>739</v>
      </c>
      <c r="F41" s="42" t="str" cm="1">
        <f t="array" ref="F41">IFERROR( INDEX(鍵盤設計表[聲韻調], MATCH(TRUE, EXACT(注音編碼對照表[[#This Row],[方音符號]], 鍵盤設計表[方音符號]),0)), "")</f>
        <v>韻</v>
      </c>
      <c r="G41" s="812" t="str" cm="1">
        <f t="array" ref="G41">IFERROR( INDEX(鍵盤設計表[台語音標], MATCH(TRUE, EXACT(注音編碼對照表[[#This Row],[方音符號]], 鍵盤設計表[方音符號]),0)), "")</f>
        <v>n</v>
      </c>
      <c r="H41" s="509" t="str" cm="1">
        <f t="array" ref="H41">IFERROR( INDEX(鍵盤設計表[注音二式], MATCH(TRUE, EXACT(注音編碼對照表[[#This Row],[方音符號]], 鍵盤設計表[方音符號]),0)),"")</f>
        <v>n</v>
      </c>
      <c r="I41" s="509" t="str" cm="1">
        <f t="array" ref="I41">IFERROR( INDEX(鍵盤設計表[閩拼方案], MATCH(TRUE, EXACT(注音編碼對照表[[#This Row],[方音符號]], 鍵盤設計表[方音符號]),0)), "")</f>
        <v>n</v>
      </c>
      <c r="J41" s="73" t="str" cm="1">
        <f t="array" ref="J41">IFERROR( INDEX(鍵盤設計表[鍵盤按鍵], MATCH(TRUE, EXACT(注音編碼對照表[[#This Row],[方音符號]], 鍵盤設計表[方音符號]),0)), "")</f>
        <v>p</v>
      </c>
      <c r="K41"/>
      <c r="P41"/>
      <c r="Q41"/>
      <c r="S41"/>
      <c r="V41"/>
    </row>
    <row r="42" spans="2:22" ht="32.25">
      <c r="B42" s="792">
        <f>ROW() - 2</f>
        <v>40</v>
      </c>
      <c r="C42" s="56" t="s">
        <v>74</v>
      </c>
      <c r="D42" s="424" t="str" cm="1">
        <f t="array" ref="D42">IFERROR( INDEX(鍵盤設計表[字典編碼], MATCH(TRUE, EXACT(注音編碼對照表[[#This Row],[方音符號]], 鍵盤設計表[方音符號]),0)), "")</f>
        <v>G</v>
      </c>
      <c r="E42" s="780" t="s">
        <v>746</v>
      </c>
      <c r="F42" s="42" t="str" cm="1">
        <f t="array" ref="F42">IFERROR( INDEX(鍵盤設計表[聲韻調], MATCH(TRUE, EXACT(注音編碼對照表[[#This Row],[方音符號]], 鍵盤設計表[方音符號]),0)), "")</f>
        <v>韻</v>
      </c>
      <c r="G42" s="812" t="str" cm="1">
        <f t="array" ref="G42">IFERROR( INDEX(鍵盤設計表[台語音標], MATCH(TRUE, EXACT(注音編碼對照表[[#This Row],[方音符號]], 鍵盤設計表[方音符號]),0)), "")</f>
        <v>ng</v>
      </c>
      <c r="H42" s="509" t="str" cm="1">
        <f t="array" ref="H42">IFERROR( INDEX(鍵盤設計表[注音二式], MATCH(TRUE, EXACT(注音編碼對照表[[#This Row],[方音符號]], 鍵盤設計表[方音符號]),0)),"")</f>
        <v>ng</v>
      </c>
      <c r="I42" s="509" t="str" cm="1">
        <f t="array" ref="I42">IFERROR( INDEX(鍵盤設計表[閩拼方案], MATCH(TRUE, EXACT(注音編碼對照表[[#This Row],[方音符號]], 鍵盤設計表[方音符號]),0)), "")</f>
        <v>ng</v>
      </c>
      <c r="J42" s="73" t="str" cm="1">
        <f t="array" ref="J42">IFERROR( INDEX(鍵盤設計表[鍵盤按鍵], MATCH(TRUE, EXACT(注音編碼對照表[[#This Row],[方音符號]], 鍵盤設計表[方音符號]),0)), "")</f>
        <v>/</v>
      </c>
      <c r="K42"/>
      <c r="P42"/>
      <c r="Q42"/>
      <c r="S42"/>
      <c r="V42"/>
    </row>
    <row r="43" spans="2:22" ht="32.25">
      <c r="B43" s="792">
        <f>ROW() - 2</f>
        <v>41</v>
      </c>
      <c r="C43" s="56" t="s">
        <v>99</v>
      </c>
      <c r="D43" s="424" t="str" cm="1">
        <f t="array" ref="D43">IFERROR( INDEX(鍵盤設計表[字典編碼], MATCH(TRUE, EXACT(注音編碼對照表[[#This Row],[方音符號]], 鍵盤設計表[方音符號]),0)), "")</f>
        <v>Y</v>
      </c>
      <c r="E43" s="780" t="s">
        <v>100</v>
      </c>
      <c r="F43" s="42" t="str" cm="1">
        <f t="array" ref="F43">IFERROR( INDEX(鍵盤設計表[聲韻調], MATCH(TRUE, EXACT(注音編碼對照表[[#This Row],[方音符號]], 鍵盤設計表[方音符號]),0)), "")</f>
        <v>韻</v>
      </c>
      <c r="G43" s="812" t="str" cm="1">
        <f t="array" ref="G43">IFERROR( INDEX(鍵盤設計表[台語音標], MATCH(TRUE, EXACT(注音編碼對照表[[#This Row],[方音符號]], 鍵盤設計表[方音符號]),0)), "")</f>
        <v>am</v>
      </c>
      <c r="H43" s="509" t="str" cm="1">
        <f t="array" ref="H43">IFERROR( INDEX(鍵盤設計表[注音二式], MATCH(TRUE, EXACT(注音編碼對照表[[#This Row],[方音符號]], 鍵盤設計表[方音符號]),0)),"")</f>
        <v>am</v>
      </c>
      <c r="I43" s="509" t="str" cm="1">
        <f t="array" ref="I43">IFERROR( INDEX(鍵盤設計表[閩拼方案], MATCH(TRUE, EXACT(注音編碼對照表[[#This Row],[方音符號]], 鍵盤設計表[方音符號]),0)), "")</f>
        <v>am</v>
      </c>
      <c r="J43" s="73" t="str" cm="1">
        <f t="array" ref="J43">IFERROR( INDEX(鍵盤設計表[鍵盤按鍵], MATCH(TRUE, EXACT(注音編碼對照表[[#This Row],[方音符號]], 鍵盤設計表[方音符號]),0)), "")</f>
        <v>M</v>
      </c>
      <c r="K43"/>
      <c r="P43"/>
      <c r="Q43"/>
      <c r="S43"/>
      <c r="V43"/>
    </row>
    <row r="44" spans="2:22" ht="32.25">
      <c r="B44" s="792">
        <f>ROW() - 2</f>
        <v>42</v>
      </c>
      <c r="C44" s="56" t="s">
        <v>97</v>
      </c>
      <c r="D44" s="424" t="str" cm="1">
        <f t="array" ref="D44">IFERROR( INDEX(鍵盤設計表[字典編碼], MATCH(TRUE, EXACT(注音編碼對照表[[#This Row],[方音符號]], 鍵盤設計表[方音符號]),0)), "")</f>
        <v>@</v>
      </c>
      <c r="E44" s="780" t="s">
        <v>98</v>
      </c>
      <c r="F44" s="42" t="str" cm="1">
        <f t="array" ref="F44">IFERROR( INDEX(鍵盤設計表[聲韻調], MATCH(TRUE, EXACT(注音編碼對照表[[#This Row],[方音符號]], 鍵盤設計表[方音符號]),0)), "")</f>
        <v>韻</v>
      </c>
      <c r="G44" s="812" t="str" cm="1">
        <f t="array" ref="G44">IFERROR( INDEX(鍵盤設計表[台語音標], MATCH(TRUE, EXACT(注音編碼對照表[[#This Row],[方音符號]], 鍵盤設計表[方音符號]),0)), "")</f>
        <v>an</v>
      </c>
      <c r="H44" s="509" t="str" cm="1">
        <f t="array" ref="H44">IFERROR( INDEX(鍵盤設計表[注音二式], MATCH(TRUE, EXACT(注音編碼對照表[[#This Row],[方音符號]], 鍵盤設計表[方音符號]),0)),"")</f>
        <v>an</v>
      </c>
      <c r="I44" s="509" t="str" cm="1">
        <f t="array" ref="I44">IFERROR( INDEX(鍵盤設計表[閩拼方案], MATCH(TRUE, EXACT(注音編碼對照表[[#This Row],[方音符號]], 鍵盤設計表[方音符號]),0)), "")</f>
        <v>an</v>
      </c>
      <c r="J44" s="73" t="str" cm="1">
        <f t="array" ref="J44">IFERROR( INDEX(鍵盤設計表[鍵盤按鍵], MATCH(TRUE, EXACT(注音編碼對照表[[#This Row],[方音符號]], 鍵盤設計表[方音符號]),0)), "")</f>
        <v>0</v>
      </c>
      <c r="K44"/>
      <c r="P44"/>
      <c r="Q44"/>
      <c r="S44"/>
      <c r="V44"/>
    </row>
    <row r="45" spans="2:22" ht="32.25">
      <c r="B45" s="792">
        <f>ROW() - 2</f>
        <v>43</v>
      </c>
      <c r="C45" s="56" t="s">
        <v>95</v>
      </c>
      <c r="D45" s="424" t="str" cm="1">
        <f t="array" ref="D45">IFERROR( INDEX(鍵盤設計表[字典編碼], MATCH(TRUE, EXACT(注音編碼對照表[[#This Row],[方音符號]], 鍵盤設計表[方音符號]),0)), "")</f>
        <v>A</v>
      </c>
      <c r="E45" s="780" t="s">
        <v>720</v>
      </c>
      <c r="F45" s="42" t="str" cm="1">
        <f t="array" ref="F45">IFERROR( INDEX(鍵盤設計表[聲韻調], MATCH(TRUE, EXACT(注音編碼對照表[[#This Row],[方音符號]], 鍵盤設計表[方音符號]),0)), "")</f>
        <v>韻</v>
      </c>
      <c r="G45" s="812" t="str" cm="1">
        <f t="array" ref="G45">IFERROR( INDEX(鍵盤設計表[台語音標], MATCH(TRUE, EXACT(注音編碼對照表[[#This Row],[方音符號]], 鍵盤設計表[方音符號]),0)), "")</f>
        <v>ang</v>
      </c>
      <c r="H45" s="509" t="str" cm="1">
        <f t="array" ref="H45">IFERROR( INDEX(鍵盤設計表[注音二式], MATCH(TRUE, EXACT(注音編碼對照表[[#This Row],[方音符號]], 鍵盤設計表[方音符號]),0)),"")</f>
        <v>ang</v>
      </c>
      <c r="I45" s="509" t="str" cm="1">
        <f t="array" ref="I45">IFERROR( INDEX(鍵盤設計表[閩拼方案], MATCH(TRUE, EXACT(注音編碼對照表[[#This Row],[方音符號]], 鍵盤設計表[方音符號]),0)), "")</f>
        <v>ang</v>
      </c>
      <c r="J45" s="73" t="str" cm="1">
        <f t="array" ref="J45">IFERROR( INDEX(鍵盤設計表[鍵盤按鍵], MATCH(TRUE, EXACT(注音編碼對照表[[#This Row],[方音符號]], 鍵盤設計表[方音符號]),0)), "")</f>
        <v>;</v>
      </c>
      <c r="K45"/>
      <c r="P45"/>
      <c r="Q45"/>
      <c r="S45"/>
      <c r="V45"/>
    </row>
    <row r="46" spans="2:22" ht="32.25">
      <c r="B46" s="792">
        <f>ROW() - 2</f>
        <v>44</v>
      </c>
      <c r="C46" s="795" t="s">
        <v>125</v>
      </c>
      <c r="D46" s="424" t="str" cm="1">
        <f t="array" ref="D46">IFERROR( INDEX(鍵盤設計表[字典編碼], MATCH(TRUE, EXACT(注音編碼對照表[[#This Row],[方音符號]], 鍵盤設計表[方音符號]),0)), "")</f>
        <v>W</v>
      </c>
      <c r="E46" s="780" t="s">
        <v>126</v>
      </c>
      <c r="F46" s="42" t="str" cm="1">
        <f t="array" ref="F46">IFERROR( INDEX(鍵盤設計表[聲韻調], MATCH(TRUE, EXACT(注音編碼對照表[[#This Row],[方音符號]], 鍵盤設計表[方音符號]),0)), "")</f>
        <v>韻</v>
      </c>
      <c r="G46" s="812" t="str" cm="1">
        <f t="array" ref="G46">IFERROR( INDEX(鍵盤設計表[台語音標], MATCH(TRUE, EXACT(注音編碼對照表[[#This Row],[方音符號]], 鍵盤設計表[方音符號]),0)), "")</f>
        <v>om</v>
      </c>
      <c r="H46" s="509" t="str" cm="1">
        <f t="array" ref="H46">IFERROR( INDEX(鍵盤設計表[注音二式], MATCH(TRUE, EXACT(注音編碼對照表[[#This Row],[方音符號]], 鍵盤設計表[方音符號]),0)),"")</f>
        <v>om</v>
      </c>
      <c r="I46" s="509" t="str" cm="1">
        <f t="array" ref="I46">IFERROR( INDEX(鍵盤設計表[閩拼方案], MATCH(TRUE, EXACT(注音編碼對照表[[#This Row],[方音符號]], 鍵盤設計表[方音符號]),0)), "")</f>
        <v>om</v>
      </c>
      <c r="J46" s="73" t="str" cm="1">
        <f t="array" ref="J46">IFERROR( INDEX(鍵盤設計表[鍵盤按鍵], MATCH(TRUE, EXACT(注音編碼對照表[[#This Row],[方音符號]], 鍵盤設計表[方音符號]),0)), "")</f>
        <v>O</v>
      </c>
      <c r="K46"/>
      <c r="P46"/>
      <c r="Q46"/>
      <c r="S46"/>
      <c r="V46"/>
    </row>
    <row r="47" spans="2:22" ht="32.25">
      <c r="B47" s="792">
        <f>ROW() - 2</f>
        <v>45</v>
      </c>
      <c r="C47" s="56" t="s">
        <v>101</v>
      </c>
      <c r="D47" s="424" t="str" cm="1">
        <f t="array" ref="D47">IFERROR( INDEX(鍵盤設計表[字典編碼], MATCH(TRUE, EXACT(注音編碼對照表[[#This Row],[方音符號]], 鍵盤設計表[方音符號]),0)), "")</f>
        <v>H</v>
      </c>
      <c r="E47" s="780" t="s">
        <v>741</v>
      </c>
      <c r="F47" s="42" t="str" cm="1">
        <f t="array" ref="F47">IFERROR( INDEX(鍵盤設計表[聲韻調], MATCH(TRUE, EXACT(注音編碼對照表[[#This Row],[方音符號]], 鍵盤設計表[方音符號]),0)), "")</f>
        <v>韻</v>
      </c>
      <c r="G47" s="812" t="str" cm="1">
        <f t="array" ref="G47">IFERROR( INDEX(鍵盤設計表[台語音標], MATCH(TRUE, EXACT(注音編碼對照表[[#This Row],[方音符號]], 鍵盤設計表[方音符號]),0)), "")</f>
        <v>ong</v>
      </c>
      <c r="H47" s="509" t="str" cm="1">
        <f t="array" ref="H47">IFERROR( INDEX(鍵盤設計表[注音二式], MATCH(TRUE, EXACT(注音編碼對照表[[#This Row],[方音符號]], 鍵盤設計表[方音符號]),0)),"")</f>
        <v>ong</v>
      </c>
      <c r="I47" s="509" t="str" cm="1">
        <f t="array" ref="I47">IFERROR( INDEX(鍵盤設計表[閩拼方案], MATCH(TRUE, EXACT(注音編碼對照表[[#This Row],[方音符號]], 鍵盤設計表[方音符號]),0)), "")</f>
        <v>ong</v>
      </c>
      <c r="J47" s="73" t="str" cm="1">
        <f t="array" ref="J47">IFERROR( INDEX(鍵盤設計表[鍵盤按鍵], MATCH(TRUE, EXACT(注音編碼對照表[[#This Row],[方音符號]], 鍵盤設計表[方音符號]),0)), "")</f>
        <v>o</v>
      </c>
      <c r="K47"/>
      <c r="P47"/>
      <c r="Q47"/>
      <c r="S47"/>
      <c r="V47"/>
    </row>
    <row r="48" spans="2:22" ht="32.25">
      <c r="B48" s="792">
        <f>ROW() - 2</f>
        <v>46</v>
      </c>
      <c r="C48" s="56" t="s">
        <v>128</v>
      </c>
      <c r="D48" s="424" t="str" cm="1">
        <f t="array" ref="D48">IFERROR( INDEX(鍵盤設計表[字典編碼], MATCH(TRUE, EXACT(注音編碼對照表[[#This Row],[方音符號]], 鍵盤設計表[方音符號]),0)), "")</f>
        <v>R</v>
      </c>
      <c r="E48" s="796" t="s">
        <v>747</v>
      </c>
      <c r="F48" s="42" t="str" cm="1">
        <f t="array" ref="F48">IFERROR( INDEX(鍵盤設計表[聲韻調], MATCH(TRUE, EXACT(注音編碼對照表[[#This Row],[方音符號]], 鍵盤設計表[方音符號]),0)), "")</f>
        <v>韻尾</v>
      </c>
      <c r="G48" s="812" t="str" cm="1">
        <f t="array" ref="G48">IFERROR( INDEX(鍵盤設計表[台語音標], MATCH(TRUE, EXACT(注音編碼對照表[[#This Row],[方音符號]], 鍵盤設計表[方音符號]),0)), "")</f>
        <v>p</v>
      </c>
      <c r="H48" s="509" t="str" cm="1">
        <f t="array" ref="H48">IFERROR( INDEX(鍵盤設計表[注音二式], MATCH(TRUE, EXACT(注音編碼對照表[[#This Row],[方音符號]], 鍵盤設計表[方音符號]),0)),"")</f>
        <v>p</v>
      </c>
      <c r="I48" s="509" t="str" cm="1">
        <f t="array" ref="I48">IFERROR( INDEX(鍵盤設計表[閩拼方案], MATCH(TRUE, EXACT(注音編碼對照表[[#This Row],[方音符號]], 鍵盤設計表[方音符號]),0)), "")</f>
        <v>p</v>
      </c>
      <c r="J48" s="73" t="str" cm="1">
        <f t="array" ref="J48">IFERROR( INDEX(鍵盤設計表[鍵盤按鍵], MATCH(TRUE, EXACT(注音編碼對照表[[#This Row],[方音符號]], 鍵盤設計表[方音符號]),0)), "")</f>
        <v>b</v>
      </c>
      <c r="K48"/>
      <c r="P48"/>
      <c r="Q48"/>
      <c r="S48"/>
      <c r="V48"/>
    </row>
    <row r="49" spans="2:22" ht="32.25">
      <c r="B49" s="792">
        <f>ROW() - 2</f>
        <v>47</v>
      </c>
      <c r="C49" s="56" t="s">
        <v>130</v>
      </c>
      <c r="D49" s="424" t="str" cm="1">
        <f t="array" ref="D49">IFERROR( INDEX(鍵盤設計表[字典編碼], MATCH(TRUE, EXACT(注音編碼對照表[[#This Row],[方音符號]], 鍵盤設計表[方音符號]),0)), "")</f>
        <v>F</v>
      </c>
      <c r="E49" s="796" t="s">
        <v>748</v>
      </c>
      <c r="F49" s="42" t="str" cm="1">
        <f t="array" ref="F49">IFERROR( INDEX(鍵盤設計表[聲韻調], MATCH(TRUE, EXACT(注音編碼對照表[[#This Row],[方音符號]], 鍵盤設計表[方音符號]),0)), "")</f>
        <v>韻尾</v>
      </c>
      <c r="G49" s="812" t="str" cm="1">
        <f t="array" ref="G49">IFERROR( INDEX(鍵盤設計表[台語音標], MATCH(TRUE, EXACT(注音編碼對照表[[#This Row],[方音符號]], 鍵盤設計表[方音符號]),0)), "")</f>
        <v>t</v>
      </c>
      <c r="H49" s="509" t="str" cm="1">
        <f t="array" ref="H49">IFERROR( INDEX(鍵盤設計表[注音二式], MATCH(TRUE, EXACT(注音編碼對照表[[#This Row],[方音符號]], 鍵盤設計表[方音符號]),0)),"")</f>
        <v>t</v>
      </c>
      <c r="I49" s="509" t="str" cm="1">
        <f t="array" ref="I49">IFERROR( INDEX(鍵盤設計表[閩拼方案], MATCH(TRUE, EXACT(注音編碼對照表[[#This Row],[方音符號]], 鍵盤設計表[方音符號]),0)), "")</f>
        <v>t</v>
      </c>
      <c r="J49" s="73" t="str" cm="1">
        <f t="array" ref="J49">IFERROR( INDEX(鍵盤設計表[鍵盤按鍵], MATCH(TRUE, EXACT(注音編碼對照表[[#This Row],[方音符號]], 鍵盤設計表[方音符號]),0)), "")</f>
        <v>t</v>
      </c>
      <c r="K49"/>
      <c r="P49"/>
      <c r="Q49"/>
      <c r="S49"/>
      <c r="V49"/>
    </row>
    <row r="50" spans="2:22" ht="32.25">
      <c r="B50" s="792">
        <f>ROW() - 2</f>
        <v>48</v>
      </c>
      <c r="C50" s="56" t="s">
        <v>132</v>
      </c>
      <c r="D50" s="424" t="str" cm="1">
        <f t="array" ref="D50">IFERROR( INDEX(鍵盤設計表[字典編碼], MATCH(TRUE, EXACT(注音編碼對照表[[#This Row],[方音符號]], 鍵盤設計表[方音符號]),0)), "")</f>
        <v>Q</v>
      </c>
      <c r="E50" s="796" t="s">
        <v>749</v>
      </c>
      <c r="F50" s="42" t="str" cm="1">
        <f t="array" ref="F50">IFERROR( INDEX(鍵盤設計表[聲韻調], MATCH(TRUE, EXACT(注音編碼對照表[[#This Row],[方音符號]], 鍵盤設計表[方音符號]),0)), "")</f>
        <v>韻尾</v>
      </c>
      <c r="G50" s="812" t="str" cm="1">
        <f t="array" ref="G50">IFERROR( INDEX(鍵盤設計表[台語音標], MATCH(TRUE, EXACT(注音編碼對照表[[#This Row],[方音符號]], 鍵盤設計表[方音符號]),0)), "")</f>
        <v>k</v>
      </c>
      <c r="H50" s="509" t="str" cm="1">
        <f t="array" ref="H50">IFERROR( INDEX(鍵盤設計表[注音二式], MATCH(TRUE, EXACT(注音編碼對照表[[#This Row],[方音符號]], 鍵盤設計表[方音符號]),0)),"")</f>
        <v>k</v>
      </c>
      <c r="I50" s="509" t="str" cm="1">
        <f t="array" ref="I50">IFERROR( INDEX(鍵盤設計表[閩拼方案], MATCH(TRUE, EXACT(注音編碼對照表[[#This Row],[方音符號]], 鍵盤設計表[方音符號]),0)), "")</f>
        <v>k</v>
      </c>
      <c r="J50" s="73" t="str" cm="1">
        <f t="array" ref="J50">IFERROR( INDEX(鍵盤設計表[鍵盤按鍵], MATCH(TRUE, EXACT(注音編碼對照表[[#This Row],[方音符號]], 鍵盤設計表[方音符號]),0)), "")</f>
        <v>g</v>
      </c>
      <c r="K50"/>
      <c r="P50"/>
      <c r="Q50"/>
      <c r="S50"/>
      <c r="V50"/>
    </row>
    <row r="51" spans="2:22" ht="32.25">
      <c r="B51" s="792">
        <f>ROW() - 2</f>
        <v>49</v>
      </c>
      <c r="C51" s="56" t="s">
        <v>627</v>
      </c>
      <c r="D51" s="424" t="str" cm="1">
        <f t="array" ref="D51">IFERROR( INDEX(鍵盤設計表[字典編碼], MATCH(TRUE, EXACT(注音編碼對照表[[#This Row],[方音符號]], 鍵盤設計表[方音符號]),0)), "")</f>
        <v>V</v>
      </c>
      <c r="E51" s="796" t="s">
        <v>750</v>
      </c>
      <c r="F51" s="42" t="str" cm="1">
        <f t="array" ref="F51">IFERROR( INDEX(鍵盤設計表[聲韻調], MATCH(TRUE, EXACT(注音編碼對照表[[#This Row],[方音符號]], 鍵盤設計表[方音符號]),0)), "")</f>
        <v>韻尾</v>
      </c>
      <c r="G51" s="812" t="str" cm="1">
        <f t="array" ref="G51">IFERROR( INDEX(鍵盤設計表[台語音標], MATCH(TRUE, EXACT(注音編碼對照表[[#This Row],[方音符號]], 鍵盤設計表[方音符號]),0)), "")</f>
        <v>h</v>
      </c>
      <c r="H51" s="509" t="str" cm="1">
        <f t="array" ref="H51">IFERROR( INDEX(鍵盤設計表[注音二式], MATCH(TRUE, EXACT(注音編碼對照表[[#This Row],[方音符號]], 鍵盤設計表[方音符號]),0)),"")</f>
        <v>h</v>
      </c>
      <c r="I51" s="509" t="str" cm="1">
        <f t="array" ref="I51">IFERROR( INDEX(鍵盤設計表[閩拼方案], MATCH(TRUE, EXACT(注音編碼對照表[[#This Row],[方音符號]], 鍵盤設計表[方音符號]),0)), "")</f>
        <v>h</v>
      </c>
      <c r="J51" s="73" t="str" cm="1">
        <f t="array" ref="J51">IFERROR( INDEX(鍵盤設計表[鍵盤按鍵], MATCH(TRUE, EXACT(注音編碼對照表[[#This Row],[方音符號]], 鍵盤設計表[方音符號]),0)), "")</f>
        <v>z</v>
      </c>
      <c r="K51"/>
      <c r="P51"/>
      <c r="Q51"/>
      <c r="S51"/>
      <c r="V51"/>
    </row>
    <row r="52" spans="2:22" ht="32.25">
      <c r="B52" s="792">
        <f>ROW() - 2</f>
        <v>50</v>
      </c>
      <c r="C52" s="56" t="s">
        <v>107</v>
      </c>
      <c r="D52" s="424" cm="1">
        <f t="array" ref="D52">IFERROR( INDEX(鍵盤設計表[字典編碼], MATCH(TRUE, EXACT(注音編碼對照表[[#This Row],[方音符號]], 鍵盤設計表[方音符號]),0)), "")</f>
        <v>7</v>
      </c>
      <c r="E52" s="780"/>
      <c r="F52" s="42" t="str" cm="1">
        <f t="array" ref="F52">IFERROR( INDEX(鍵盤設計表[聲韻調], MATCH(TRUE, EXACT(注音編碼對照表[[#This Row],[方音符號]], 鍵盤設計表[方音符號]),0)), "")</f>
        <v>調</v>
      </c>
      <c r="G52" s="812" cm="1">
        <f t="array" ref="G52">IFERROR( INDEX(鍵盤設計表[台語音標], MATCH(TRUE, EXACT(注音編碼對照表[[#This Row],[方音符號]], 鍵盤設計表[方音符號]),0)), "")</f>
        <v>7</v>
      </c>
      <c r="H52" s="509" cm="1">
        <f t="array" ref="H52">IFERROR( INDEX(鍵盤設計表[注音二式], MATCH(TRUE, EXACT(注音編碼對照表[[#This Row],[方音符號]], 鍵盤設計表[方音符號]),0)),"")</f>
        <v>7</v>
      </c>
      <c r="I52" s="509" cm="1">
        <f t="array" ref="I52">IFERROR( INDEX(鍵盤設計表[閩拼方案], MATCH(TRUE, EXACT(注音編碼對照表[[#This Row],[方音符號]], 鍵盤設計表[方音符號]),0)), "")</f>
        <v>6</v>
      </c>
      <c r="J52" s="73" cm="1">
        <f t="array" ref="J52">IFERROR( INDEX(鍵盤設計表[鍵盤按鍵], MATCH(TRUE, EXACT(注音編碼對照表[[#This Row],[方音符號]], 鍵盤設計表[方音符號]),0)), "")</f>
        <v>5</v>
      </c>
      <c r="K52"/>
      <c r="P52"/>
      <c r="Q52"/>
      <c r="S52"/>
      <c r="V52"/>
    </row>
    <row r="53" spans="2:22" ht="32.25">
      <c r="B53" s="792">
        <f>ROW() - 2</f>
        <v>51</v>
      </c>
      <c r="C53" s="56" t="s">
        <v>105</v>
      </c>
      <c r="D53" s="424" t="str" cm="1">
        <f t="array" ref="D53">IFERROR( INDEX(鍵盤設計表[字典編碼], MATCH(TRUE, EXACT(注音編碼對照表[[#This Row],[方音符號]], 鍵盤設計表[方音符號]),0)), "")</f>
        <v>3</v>
      </c>
      <c r="E53" s="780"/>
      <c r="F53" s="42" t="str" cm="1">
        <f t="array" ref="F53">IFERROR( INDEX(鍵盤設計表[聲韻調], MATCH(TRUE, EXACT(注音編碼對照表[[#This Row],[方音符號]], 鍵盤設計表[方音符號]),0)), "")</f>
        <v>調</v>
      </c>
      <c r="G53" s="812" cm="1">
        <f t="array" ref="G53">IFERROR( INDEX(鍵盤設計表[台語音標], MATCH(TRUE, EXACT(注音編碼對照表[[#This Row],[方音符號]], 鍵盤設計表[方音符號]),0)), "")</f>
        <v>3</v>
      </c>
      <c r="H53" s="509" cm="1">
        <f t="array" ref="H53">IFERROR( INDEX(鍵盤設計表[注音二式], MATCH(TRUE, EXACT(注音編碼對照表[[#This Row],[方音符號]], 鍵盤設計表[方音符號]),0)),"")</f>
        <v>3</v>
      </c>
      <c r="I53" s="509" cm="1">
        <f t="array" ref="I53">IFERROR( INDEX(鍵盤設計表[閩拼方案], MATCH(TRUE, EXACT(注音編碼對照表[[#This Row],[方音符號]], 鍵盤設計表[方音符號]),0)), "")</f>
        <v>5</v>
      </c>
      <c r="J53" s="73" cm="1">
        <f t="array" ref="J53">IFERROR( INDEX(鍵盤設計表[鍵盤按鍵], MATCH(TRUE, EXACT(注音編碼對照表[[#This Row],[方音符號]], 鍵盤設計表[方音符號]),0)), "")</f>
        <v>3</v>
      </c>
      <c r="K53"/>
      <c r="P53"/>
      <c r="Q53"/>
      <c r="S53"/>
      <c r="V53"/>
    </row>
    <row r="54" spans="2:22" ht="32.25">
      <c r="B54" s="792">
        <f>ROW() - 2</f>
        <v>52</v>
      </c>
      <c r="C54" s="56" t="s">
        <v>104</v>
      </c>
      <c r="D54" s="424" t="str" cm="1">
        <f t="array" ref="D54">IFERROR( INDEX(鍵盤設計表[字典編碼], MATCH(TRUE, EXACT(注音編碼對照表[[#This Row],[方音符號]], 鍵盤設計表[方音符號]),0)), "")</f>
        <v>2</v>
      </c>
      <c r="E54" s="780"/>
      <c r="F54" s="42" t="str" cm="1">
        <f t="array" ref="F54">IFERROR( INDEX(鍵盤設計表[聲韻調], MATCH(TRUE, EXACT(注音編碼對照表[[#This Row],[方音符號]], 鍵盤設計表[方音符號]),0)), "")</f>
        <v>調</v>
      </c>
      <c r="G54" s="812" cm="1">
        <f t="array" ref="G54">IFERROR( INDEX(鍵盤設計表[台語音標], MATCH(TRUE, EXACT(注音編碼對照表[[#This Row],[方音符號]], 鍵盤設計表[方音符號]),0)), "")</f>
        <v>2</v>
      </c>
      <c r="H54" s="509" cm="1">
        <f t="array" ref="H54">IFERROR( INDEX(鍵盤設計表[注音二式], MATCH(TRUE, EXACT(注音編碼對照表[[#This Row],[方音符號]], 鍵盤設計表[方音符號]),0)),"")</f>
        <v>2</v>
      </c>
      <c r="I54" s="509" cm="1">
        <f t="array" ref="I54">IFERROR( INDEX(鍵盤設計表[閩拼方案], MATCH(TRUE, EXACT(注音編碼對照表[[#This Row],[方音符號]], 鍵盤設計表[方音符號]),0)), "")</f>
        <v>3</v>
      </c>
      <c r="J54" s="73" cm="1">
        <f t="array" ref="J54">IFERROR( INDEX(鍵盤設計表[鍵盤按鍵], MATCH(TRUE, EXACT(注音編碼對照表[[#This Row],[方音符號]], 鍵盤設計表[方音符號]),0)), "")</f>
        <v>4</v>
      </c>
      <c r="K54"/>
      <c r="P54"/>
      <c r="Q54"/>
      <c r="S54"/>
      <c r="V54"/>
    </row>
    <row r="55" spans="2:22" ht="32.25">
      <c r="B55" s="792">
        <f>ROW() - 2</f>
        <v>53</v>
      </c>
      <c r="C55" s="56" t="s">
        <v>106</v>
      </c>
      <c r="D55" s="424" t="str" cm="1">
        <f t="array" ref="D55">IFERROR( INDEX(鍵盤設計表[字典編碼], MATCH(TRUE, EXACT(注音編碼對照表[[#This Row],[方音符號]], 鍵盤設計表[方音符號]),0)), "")</f>
        <v>5</v>
      </c>
      <c r="E55" s="780"/>
      <c r="F55" s="42" t="str" cm="1">
        <f t="array" ref="F55">IFERROR( INDEX(鍵盤設計表[聲韻調], MATCH(TRUE, EXACT(注音編碼對照表[[#This Row],[方音符號]], 鍵盤設計表[方音符號]),0)), "")</f>
        <v>調</v>
      </c>
      <c r="G55" s="812" cm="1">
        <f t="array" ref="G55">IFERROR( INDEX(鍵盤設計表[台語音標], MATCH(TRUE, EXACT(注音編碼對照表[[#This Row],[方音符號]], 鍵盤設計表[方音符號]),0)), "")</f>
        <v>5</v>
      </c>
      <c r="H55" s="509" cm="1">
        <f t="array" ref="H55">IFERROR( INDEX(鍵盤設計表[注音二式], MATCH(TRUE, EXACT(注音編碼對照表[[#This Row],[方音符號]], 鍵盤設計表[方音符號]),0)),"")</f>
        <v>5</v>
      </c>
      <c r="I55" s="509" cm="1">
        <f t="array" ref="I55">IFERROR( INDEX(鍵盤設計表[閩拼方案], MATCH(TRUE, EXACT(注音編碼對照表[[#This Row],[方音符號]], 鍵盤設計表[方音符號]),0)), "")</f>
        <v>5</v>
      </c>
      <c r="J55" s="73" cm="1">
        <f t="array" ref="J55">IFERROR( INDEX(鍵盤設計表[鍵盤按鍵], MATCH(TRUE, EXACT(注音編碼對照表[[#This Row],[方音符號]], 鍵盤設計表[方音符號]),0)), "")</f>
        <v>6</v>
      </c>
      <c r="K55"/>
      <c r="P55"/>
      <c r="Q55"/>
      <c r="S55"/>
      <c r="V55"/>
    </row>
    <row r="56" spans="2:22" ht="32.25">
      <c r="B56" s="792">
        <f>ROW() - 2</f>
        <v>54</v>
      </c>
      <c r="C56" s="56" t="s">
        <v>106</v>
      </c>
      <c r="D56" s="424">
        <v>8</v>
      </c>
      <c r="E56" s="780"/>
      <c r="F56" s="42" t="str" cm="1">
        <f t="array" ref="F56">IFERROR( INDEX(鍵盤設計表[聲韻調], MATCH(TRUE, EXACT(注音編碼對照表[[#This Row],[方音符號]], 鍵盤設計表[方音符號]),0)), "")</f>
        <v>調</v>
      </c>
      <c r="G56" s="812">
        <v>8</v>
      </c>
      <c r="H56" s="509">
        <v>8</v>
      </c>
      <c r="I56" s="509">
        <v>8</v>
      </c>
      <c r="J56" s="73" t="s">
        <v>511</v>
      </c>
      <c r="K56"/>
      <c r="P56"/>
      <c r="Q56"/>
      <c r="S56"/>
      <c r="V56"/>
    </row>
    <row r="57" spans="2:22" ht="32.25">
      <c r="B57" s="792">
        <f>ROW() - 2</f>
        <v>55</v>
      </c>
      <c r="C57" s="56" t="s">
        <v>531</v>
      </c>
      <c r="D57" s="811">
        <v>1</v>
      </c>
      <c r="E57" s="780"/>
      <c r="F57" s="810" t="str" cm="1">
        <f t="array" ref="F57">IFERROR( INDEX(鍵盤設計表[聲韻調], MATCH(TRUE, EXACT(注音編碼對照表[[#This Row],[方音符號]], 鍵盤設計表[方音符號]),0)), "")</f>
        <v>調</v>
      </c>
      <c r="G57" s="812">
        <v>1</v>
      </c>
      <c r="H57" s="509">
        <v>1</v>
      </c>
      <c r="I57" s="509">
        <v>1</v>
      </c>
      <c r="J57" s="813" t="s">
        <v>526</v>
      </c>
      <c r="K57"/>
      <c r="P57"/>
      <c r="Q57"/>
      <c r="S57"/>
      <c r="V57"/>
    </row>
    <row r="58" spans="2:22" ht="32.25">
      <c r="B58" s="792">
        <f>ROW() - 2</f>
        <v>56</v>
      </c>
      <c r="C58" s="56" t="s">
        <v>531</v>
      </c>
      <c r="D58" s="424" cm="1">
        <f t="array" ref="D58">IFERROR( INDEX(鍵盤設計表[字典編碼], MATCH(TRUE, EXACT(注音編碼對照表[[#This Row],[方音符號]], 鍵盤設計表[方音符號]),0)), "")</f>
        <v>4</v>
      </c>
      <c r="E58" s="780"/>
      <c r="F58" s="42" t="str" cm="1">
        <f t="array" ref="F58">IFERROR( INDEX(鍵盤設計表[聲韻調], MATCH(TRUE, EXACT(注音編碼對照表[[#This Row],[方音符號]], 鍵盤設計表[方音符號]),0)), "")</f>
        <v>調</v>
      </c>
      <c r="G58" s="812" cm="1">
        <f t="array" ref="G58">IFERROR( INDEX(鍵盤設計表[台語音標], MATCH(TRUE, EXACT(注音編碼對照表[[#This Row],[方音符號]], 鍵盤設計表[方音符號]),0)), "")</f>
        <v>4</v>
      </c>
      <c r="H58" s="509" cm="1">
        <f t="array" ref="H58">IFERROR( INDEX(鍵盤設計表[注音二式], MATCH(TRUE, EXACT(注音編碼對照表[[#This Row],[方音符號]], 鍵盤設計表[方音符號]),0)),"")</f>
        <v>4</v>
      </c>
      <c r="I58" s="509" cm="1">
        <f t="array" ref="I58">IFERROR( INDEX(鍵盤設計表[閩拼方案], MATCH(TRUE, EXACT(注音編碼對照表[[#This Row],[方音符號]], 鍵盤設計表[方音符號]),0)), "")</f>
        <v>4</v>
      </c>
      <c r="J58" s="73" t="str" cm="1">
        <f t="array" ref="J58">IFERROR( INDEX(鍵盤設計表[鍵盤按鍵], MATCH(TRUE, EXACT(注音編碼對照表[[#This Row],[方音符號]], 鍵盤設計表[方音符號]),0)), "")</f>
        <v>[</v>
      </c>
      <c r="K58"/>
      <c r="P58"/>
      <c r="Q58"/>
      <c r="S58"/>
      <c r="V58"/>
    </row>
    <row r="59" spans="2:22" ht="32.25">
      <c r="B59" s="792">
        <f>ROW() - 2</f>
        <v>57</v>
      </c>
      <c r="C59" s="56" t="s">
        <v>108</v>
      </c>
      <c r="D59" s="424" cm="1">
        <f t="array" ref="D59">IFERROR( INDEX(鍵盤設計表[字典編碼], MATCH(TRUE, EXACT(注音編碼對照表[[#This Row],[方音符號]], 鍵盤設計表[方音符號]),0)), "")</f>
        <v>0</v>
      </c>
      <c r="E59" s="780"/>
      <c r="F59" s="42" t="str" cm="1">
        <f t="array" ref="F59">IFERROR( INDEX(鍵盤設計表[聲韻調], MATCH(TRUE, EXACT(注音編碼對照表[[#This Row],[方音符號]], 鍵盤設計表[方音符號]),0)), "")</f>
        <v>調</v>
      </c>
      <c r="G59" s="812" cm="1">
        <f t="array" ref="G59">IFERROR( INDEX(鍵盤設計表[台語音標], MATCH(TRUE, EXACT(注音編碼對照表[[#This Row],[方音符號]], 鍵盤設計表[方音符號]),0)), "")</f>
        <v>0</v>
      </c>
      <c r="H59" s="509" cm="1">
        <f t="array" ref="H59">IFERROR( INDEX(鍵盤設計表[注音二式], MATCH(TRUE, EXACT(注音編碼對照表[[#This Row],[方音符號]], 鍵盤設計表[方音符號]),0)),"")</f>
        <v>0</v>
      </c>
      <c r="I59" s="509" cm="1">
        <f t="array" ref="I59">IFERROR( INDEX(鍵盤設計表[閩拼方案], MATCH(TRUE, EXACT(注音編碼對照表[[#This Row],[方音符號]], 鍵盤設計表[方音符號]),0)), "")</f>
        <v>0</v>
      </c>
      <c r="J59" s="73" cm="1">
        <f t="array" ref="J59">IFERROR( INDEX(鍵盤設計表[鍵盤按鍵], MATCH(TRUE, EXACT(注音編碼對照表[[#This Row],[方音符號]], 鍵盤設計表[方音符號]),0)), "")</f>
        <v>7</v>
      </c>
      <c r="K59"/>
      <c r="P59"/>
      <c r="Q59"/>
      <c r="S59"/>
      <c r="V59"/>
    </row>
    <row r="60" spans="2:22" ht="32.25">
      <c r="B60" s="797">
        <f>ROW() - 2</f>
        <v>58</v>
      </c>
      <c r="C60" s="791" t="s">
        <v>8774</v>
      </c>
      <c r="D60" s="424" cm="1">
        <f t="array" ref="D60">IFERROR( INDEX(鍵盤設計表[字典編碼], MATCH(TRUE, EXACT(注音編碼對照表[[#This Row],[方音符號]], 鍵盤設計表[方音符號]),0)), "")</f>
        <v>9</v>
      </c>
      <c r="E60" s="780"/>
      <c r="F60" s="42" t="str" cm="1">
        <f t="array" ref="F60">IFERROR( INDEX(鍵盤設計表[聲韻調], MATCH(TRUE, EXACT(注音編碼對照表[[#This Row],[方音符號]], 鍵盤設計表[方音符號]),0)), "")</f>
        <v>鍵</v>
      </c>
      <c r="G60" s="812" cm="1">
        <f t="array" ref="G60">IFERROR( INDEX(鍵盤設計表[台語音標], MATCH(TRUE, EXACT(注音編碼對照表[[#This Row],[方音符號]], 鍵盤設計表[方音符號]),0)), "")</f>
        <v>9</v>
      </c>
      <c r="H60" s="509" cm="1">
        <f t="array" ref="H60">IFERROR( INDEX(鍵盤設計表[注音二式], MATCH(TRUE, EXACT(注音編碼對照表[[#This Row],[方音符號]], 鍵盤設計表[方音符號]),0)),"")</f>
        <v>9</v>
      </c>
      <c r="I60" s="509" cm="1">
        <f t="array" ref="I60">IFERROR( INDEX(鍵盤設計表[閩拼方案], MATCH(TRUE, EXACT(注音編碼對照表[[#This Row],[方音符號]], 鍵盤設計表[方音符號]),0)), "")</f>
        <v>9</v>
      </c>
      <c r="J60" s="73" t="str" cm="1">
        <f t="array" ref="J60">IFERROR( INDEX(鍵盤設計表[鍵盤按鍵], MATCH(TRUE, EXACT(注音編碼對照表[[#This Row],[方音符號]], 鍵盤設計表[方音符號]),0)), "")</f>
        <v>.</v>
      </c>
      <c r="K60"/>
      <c r="P60"/>
      <c r="Q60"/>
      <c r="S60"/>
      <c r="V60"/>
    </row>
    <row r="61" spans="2:22" ht="32.25">
      <c r="B61" s="797">
        <f>ROW() - 2</f>
        <v>59</v>
      </c>
      <c r="C61" s="791" t="s">
        <v>626</v>
      </c>
      <c r="D61" s="424" t="str" cm="1">
        <f t="array" ref="D61">IFERROR( INDEX(鍵盤設計表[字典編碼], MATCH(TRUE, EXACT(注音編碼對照表[[#This Row],[方音符號]], 鍵盤設計表[方音符號]),0)), "")</f>
        <v>L</v>
      </c>
      <c r="E61" s="780"/>
      <c r="F61" s="42" t="str" cm="1">
        <f t="array" ref="F61">IFERROR( INDEX(鍵盤設計表[聲韻調], MATCH(TRUE, EXACT(注音編碼對照表[[#This Row],[方音符號]], 鍵盤設計表[方音符號]),0)), "")</f>
        <v>鍵</v>
      </c>
      <c r="G61" s="812" t="str" cm="1">
        <f t="array" ref="G61">IFERROR( INDEX(鍵盤設計表[台語音標], MATCH(TRUE, EXACT(注音編碼對照表[[#This Row],[方音符號]], 鍵盤設計表[方音符號]),0)), "")</f>
        <v>nn</v>
      </c>
      <c r="H61" s="509" t="str" cm="1">
        <f t="array" ref="H61">IFERROR( INDEX(鍵盤設計表[注音二式], MATCH(TRUE, EXACT(注音編碼對照表[[#This Row],[方音符號]], 鍵盤設計表[方音符號]),0)),"")</f>
        <v>nn</v>
      </c>
      <c r="I61" s="509" t="str" cm="1">
        <f t="array" ref="I61">IFERROR( INDEX(鍵盤設計表[閩拼方案], MATCH(TRUE, EXACT(注音編碼對照表[[#This Row],[方音符號]], 鍵盤設計表[方音符號]),0)), "")</f>
        <v>nn</v>
      </c>
      <c r="J61" s="73" t="str" cm="1">
        <f t="array" ref="J61">IFERROR( INDEX(鍵盤設計表[鍵盤按鍵], MATCH(TRUE, EXACT(注音編碼對照表[[#This Row],[方音符號]], 鍵盤設計表[方音符號]),0)), "")</f>
        <v>=</v>
      </c>
      <c r="K61"/>
      <c r="P61"/>
      <c r="Q61" s="322">
        <v>8</v>
      </c>
      <c r="R61" s="403" t="s">
        <v>108</v>
      </c>
      <c r="S61" s="403" t="s">
        <v>108</v>
      </c>
      <c r="T61" s="403" t="s">
        <v>108</v>
      </c>
      <c r="V61"/>
    </row>
    <row r="62" spans="2:22" ht="32.25">
      <c r="B62" s="110">
        <f>ROW() - 2</f>
        <v>60</v>
      </c>
      <c r="C62" s="26" t="s">
        <v>8771</v>
      </c>
      <c r="D62" s="424" t="str" cm="1">
        <f t="array" ref="D62">IFERROR( INDEX(鍵盤設計表[字典編碼], MATCH(TRUE, EXACT(注音編碼對照表[[#This Row],[方音符號]], 鍵盤設計表[方音符號]),0)), "")</f>
        <v>*</v>
      </c>
      <c r="E62" s="455"/>
      <c r="F62" s="42" t="str" cm="1">
        <f t="array" ref="F62">IFERROR( INDEX(鍵盤設計表[聲韻調], MATCH(TRUE, EXACT(注音編碼對照表[[#This Row],[方音符號]], 鍵盤設計表[方音符號]),0)), "")</f>
        <v>鍵</v>
      </c>
      <c r="G62" s="812" t="str" cm="1">
        <f t="array" ref="G62">IFERROR( INDEX(鍵盤設計表[台語音標], MATCH(TRUE, EXACT(注音編碼對照表[[#This Row],[方音符號]], 鍵盤設計表[方音符號]),0)), "")</f>
        <v>*nn</v>
      </c>
      <c r="H62" s="509" t="str" cm="1">
        <f t="array" ref="H62">IFERROR( INDEX(鍵盤設計表[注音二式], MATCH(TRUE, EXACT(注音編碼對照表[[#This Row],[方音符號]], 鍵盤設計表[方音符號]),0)),"")</f>
        <v>*nn</v>
      </c>
      <c r="I62" s="509" t="str" cm="1">
        <f t="array" ref="I62">IFERROR( INDEX(鍵盤設計表[閩拼方案], MATCH(TRUE, EXACT(注音編碼對照表[[#This Row],[方音符號]], 鍵盤設計表[方音符號]),0)), "")</f>
        <v>*nn</v>
      </c>
      <c r="J62" s="73" t="str" cm="1">
        <f t="array" ref="J62">IFERROR( INDEX(鍵盤設計表[鍵盤按鍵], MATCH(TRUE, EXACT(注音編碼對照表[[#This Row],[方音符號]], 鍵盤設計表[方音符號]),0)), "")</f>
        <v>-</v>
      </c>
      <c r="P62"/>
      <c r="Q62"/>
      <c r="S62"/>
      <c r="V62"/>
    </row>
    <row r="63" spans="2:22">
      <c r="I63"/>
      <c r="P63"/>
      <c r="Q63"/>
      <c r="S63"/>
      <c r="V63"/>
    </row>
    <row r="64" spans="2:22">
      <c r="F64" s="404"/>
      <c r="P64"/>
      <c r="Q64"/>
      <c r="S64"/>
      <c r="V64"/>
    </row>
    <row r="65" spans="6:22">
      <c r="F65" s="404"/>
      <c r="P65"/>
      <c r="Q65"/>
      <c r="S65"/>
      <c r="V65"/>
    </row>
    <row r="66" spans="6:22">
      <c r="F66" s="404"/>
      <c r="P66"/>
      <c r="Q66"/>
      <c r="S66"/>
      <c r="V66"/>
    </row>
    <row r="67" spans="6:22">
      <c r="F67" s="404"/>
      <c r="P67"/>
      <c r="Q67"/>
      <c r="S67"/>
      <c r="V67"/>
    </row>
    <row r="68" spans="6:22">
      <c r="F68" s="404"/>
      <c r="P68"/>
      <c r="Q68"/>
      <c r="S68"/>
      <c r="V68"/>
    </row>
    <row r="69" spans="6:22">
      <c r="F69" s="404"/>
      <c r="P69"/>
      <c r="Q69"/>
      <c r="S69"/>
      <c r="V69"/>
    </row>
    <row r="70" spans="6:22">
      <c r="F70" s="404"/>
      <c r="P70"/>
      <c r="Q70"/>
      <c r="S70"/>
      <c r="V70"/>
    </row>
    <row r="71" spans="6:22">
      <c r="F71" s="404"/>
      <c r="P71"/>
      <c r="Q71"/>
      <c r="S71"/>
      <c r="V71"/>
    </row>
    <row r="72" spans="6:22">
      <c r="F72" s="404"/>
      <c r="P72"/>
      <c r="Q72"/>
      <c r="S72"/>
      <c r="V72"/>
    </row>
    <row r="73" spans="6:22">
      <c r="F73" s="404"/>
      <c r="P73"/>
      <c r="Q73"/>
      <c r="S73"/>
      <c r="V73"/>
    </row>
    <row r="74" spans="6:22">
      <c r="F74" s="404"/>
      <c r="P74"/>
      <c r="Q74"/>
      <c r="S74"/>
      <c r="V74"/>
    </row>
    <row r="75" spans="6:22">
      <c r="F75" s="404"/>
      <c r="P75"/>
      <c r="Q75"/>
      <c r="S75"/>
      <c r="V75"/>
    </row>
    <row r="76" spans="6:22">
      <c r="F76" s="404"/>
      <c r="P76"/>
      <c r="Q76"/>
      <c r="S76"/>
      <c r="V76"/>
    </row>
    <row r="77" spans="6:22">
      <c r="F77" s="404"/>
      <c r="P77"/>
      <c r="Q77"/>
      <c r="S77"/>
      <c r="V77"/>
    </row>
    <row r="78" spans="6:22">
      <c r="F78" s="404"/>
      <c r="P78"/>
      <c r="Q78"/>
      <c r="S78"/>
      <c r="V78"/>
    </row>
    <row r="79" spans="6:22">
      <c r="F79" s="404"/>
      <c r="P79"/>
      <c r="Q79"/>
      <c r="S79"/>
      <c r="V79"/>
    </row>
    <row r="80" spans="6:22">
      <c r="F80" s="404"/>
      <c r="P80"/>
      <c r="Q80"/>
      <c r="S80"/>
      <c r="V80"/>
    </row>
    <row r="81" spans="6:22">
      <c r="F81" s="404"/>
      <c r="P81"/>
      <c r="Q81"/>
      <c r="S81"/>
      <c r="V81"/>
    </row>
    <row r="82" spans="6:22">
      <c r="P82"/>
      <c r="Q82"/>
      <c r="S82"/>
      <c r="V82"/>
    </row>
    <row r="83" spans="6:22">
      <c r="F83" s="404"/>
      <c r="P83"/>
      <c r="Q83"/>
      <c r="S83"/>
      <c r="V83"/>
    </row>
    <row r="84" spans="6:22">
      <c r="F84" s="404"/>
      <c r="P84"/>
      <c r="Q84"/>
      <c r="S84"/>
      <c r="V84"/>
    </row>
    <row r="85" spans="6:22">
      <c r="P85"/>
      <c r="Q85"/>
      <c r="S85"/>
      <c r="V85"/>
    </row>
    <row r="86" spans="6:22">
      <c r="F86" s="404"/>
      <c r="P86"/>
      <c r="Q86"/>
      <c r="S86"/>
      <c r="V86"/>
    </row>
    <row r="87" spans="6:22">
      <c r="F87" s="404"/>
      <c r="P87"/>
      <c r="Q87"/>
      <c r="S87"/>
      <c r="V87"/>
    </row>
    <row r="88" spans="6:22">
      <c r="F88" s="404"/>
      <c r="P88"/>
      <c r="Q88"/>
      <c r="S88"/>
      <c r="V88"/>
    </row>
    <row r="89" spans="6:22">
      <c r="F89" s="404"/>
      <c r="P89"/>
      <c r="Q89"/>
      <c r="S89"/>
      <c r="V89"/>
    </row>
    <row r="90" spans="6:22">
      <c r="P90"/>
      <c r="Q90"/>
      <c r="S90"/>
      <c r="V90"/>
    </row>
    <row r="91" spans="6:22">
      <c r="P91"/>
      <c r="Q91"/>
      <c r="S91"/>
      <c r="V91"/>
    </row>
    <row r="92" spans="6:22">
      <c r="P92"/>
      <c r="Q92"/>
      <c r="S92"/>
      <c r="V92"/>
    </row>
    <row r="93" spans="6:22">
      <c r="P93"/>
      <c r="Q93"/>
      <c r="S93"/>
      <c r="V93"/>
    </row>
    <row r="94" spans="6:22">
      <c r="P94"/>
      <c r="Q94"/>
      <c r="S94"/>
      <c r="V94"/>
    </row>
    <row r="95" spans="6:22">
      <c r="P95"/>
      <c r="Q95"/>
      <c r="S95"/>
      <c r="V95"/>
    </row>
    <row r="96" spans="6:22">
      <c r="P96"/>
      <c r="Q96"/>
      <c r="S96"/>
      <c r="V96"/>
    </row>
    <row r="97" spans="16:22">
      <c r="P97"/>
      <c r="Q97"/>
      <c r="S97"/>
      <c r="V97"/>
    </row>
    <row r="98" spans="16:22">
      <c r="P98"/>
      <c r="Q98"/>
      <c r="S98"/>
      <c r="V98"/>
    </row>
    <row r="99" spans="16:22">
      <c r="P99"/>
      <c r="Q99"/>
      <c r="S99"/>
      <c r="V99"/>
    </row>
    <row r="100" spans="16:22">
      <c r="P100"/>
      <c r="Q100"/>
      <c r="S100"/>
      <c r="V100"/>
    </row>
    <row r="101" spans="16:22">
      <c r="P101"/>
      <c r="Q101"/>
      <c r="S101"/>
      <c r="V101"/>
    </row>
    <row r="102" spans="16:22">
      <c r="P102"/>
      <c r="Q102"/>
      <c r="S102"/>
      <c r="V102"/>
    </row>
  </sheetData>
  <phoneticPr fontId="9" type="noConversion"/>
  <conditionalFormatting sqref="C3:J62">
    <cfRule type="cellIs" dxfId="4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</sheetViews>
  <sheetFormatPr defaultRowHeight="21"/>
  <cols>
    <col min="2" max="2" width="12.3984375" customWidth="1"/>
  </cols>
  <sheetData>
    <row r="2" spans="2:4" ht="38.25">
      <c r="B2" s="404" t="s">
        <v>633</v>
      </c>
      <c r="C2" s="814">
        <f xml:space="preserve"> HEX2DEC( RIGHT(B2,4))</f>
        <v>63696</v>
      </c>
      <c r="D2" s="815" t="str">
        <f xml:space="preserve"> _xlfn.UNICHAR(C2)</f>
        <v></v>
      </c>
    </row>
    <row r="3" spans="2:4" ht="38.25">
      <c r="B3" s="404" t="s">
        <v>634</v>
      </c>
      <c r="C3" s="814">
        <f xml:space="preserve"> HEX2DEC( RIGHT(B3,4))</f>
        <v>63697</v>
      </c>
      <c r="D3" s="815" t="str">
        <f xml:space="preserve"> _xlfn.UNICHAR(C3)</f>
        <v></v>
      </c>
    </row>
    <row r="4" spans="2:4" ht="38.25">
      <c r="B4" s="404" t="s">
        <v>635</v>
      </c>
      <c r="C4" s="814">
        <f xml:space="preserve"> HEX2DEC( RIGHT(B4,4))</f>
        <v>63698</v>
      </c>
      <c r="D4" s="815" t="str">
        <f xml:space="preserve"> _xlfn.UNICHAR(C4)</f>
        <v></v>
      </c>
    </row>
    <row r="5" spans="2:4" ht="38.25">
      <c r="B5" s="404" t="s">
        <v>636</v>
      </c>
      <c r="C5" s="814">
        <f xml:space="preserve"> HEX2DEC( RIGHT(B5,4))</f>
        <v>63699</v>
      </c>
      <c r="D5" s="815" t="str">
        <f xml:space="preserve"> _xlfn.UNICHAR(C5)</f>
        <v></v>
      </c>
    </row>
    <row r="6" spans="2:4" ht="38.25">
      <c r="B6" s="370"/>
      <c r="C6" s="814"/>
      <c r="D6" s="815"/>
    </row>
    <row r="7" spans="2:4" ht="38.25">
      <c r="B7" s="404" t="s">
        <v>637</v>
      </c>
      <c r="C7" s="814">
        <f xml:space="preserve"> HEX2DEC( RIGHT(B7,4))</f>
        <v>63712</v>
      </c>
      <c r="D7" s="815" t="str">
        <f xml:space="preserve"> _xlfn.UNICHAR(C7)</f>
        <v></v>
      </c>
    </row>
    <row r="8" spans="2:4" ht="38.25">
      <c r="B8" s="404" t="s">
        <v>638</v>
      </c>
      <c r="C8" s="814">
        <f xml:space="preserve"> HEX2DEC( RIGHT(B8,4))</f>
        <v>63713</v>
      </c>
      <c r="D8" s="815" t="str">
        <f xml:space="preserve"> _xlfn.UNICHAR(C8)</f>
        <v></v>
      </c>
    </row>
    <row r="9" spans="2:4" ht="38.25">
      <c r="B9" s="370"/>
      <c r="C9" s="814"/>
      <c r="D9" s="815"/>
    </row>
    <row r="10" spans="2:4" ht="38.25">
      <c r="B10" s="404" t="s">
        <v>639</v>
      </c>
      <c r="C10" s="814">
        <f xml:space="preserve"> HEX2DEC( RIGHT(B10,4))</f>
        <v>63728</v>
      </c>
      <c r="D10" s="815" t="str">
        <f xml:space="preserve"> _xlfn.UNICHAR(C10)</f>
        <v></v>
      </c>
    </row>
    <row r="11" spans="2:4" ht="38.25">
      <c r="B11" s="404" t="s">
        <v>640</v>
      </c>
      <c r="C11" s="814">
        <f xml:space="preserve"> HEX2DEC( RIGHT(B11,4))</f>
        <v>63729</v>
      </c>
      <c r="D11" s="815" t="str">
        <f xml:space="preserve"> _xlfn.UNICHAR(C11)</f>
        <v></v>
      </c>
    </row>
    <row r="12" spans="2:4" ht="38.25">
      <c r="B12" s="404" t="s">
        <v>641</v>
      </c>
      <c r="C12" s="814">
        <f xml:space="preserve"> HEX2DEC( RIGHT(B12,4))</f>
        <v>63730</v>
      </c>
      <c r="D12" s="815" t="str">
        <f xml:space="preserve"> _xlfn.UNICHAR(C12)</f>
        <v></v>
      </c>
    </row>
    <row r="13" spans="2:4" ht="38.25">
      <c r="B13" s="404" t="s">
        <v>642</v>
      </c>
      <c r="C13" s="814">
        <f xml:space="preserve"> HEX2DEC( RIGHT(B13,4))</f>
        <v>63731</v>
      </c>
      <c r="D13" s="815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CP89"/>
  <sheetViews>
    <sheetView topLeftCell="A41" zoomScale="40" zoomScaleNormal="40" workbookViewId="0">
      <selection activeCell="B53" sqref="B53:B55"/>
    </sheetView>
  </sheetViews>
  <sheetFormatPr defaultColWidth="7.19921875" defaultRowHeight="36"/>
  <cols>
    <col min="1" max="58" width="6.59765625" style="145" customWidth="1"/>
    <col min="59" max="62" width="5.796875" style="145" customWidth="1"/>
    <col min="63" max="64" width="7.19921875" style="145"/>
    <col min="65" max="65" width="6.19921875" style="145" customWidth="1"/>
    <col min="66" max="66" width="13.69921875" style="235" customWidth="1"/>
    <col min="67" max="67" width="13.69921875" style="699" customWidth="1"/>
    <col min="68" max="71" width="13.69921875" style="145" customWidth="1"/>
    <col min="72" max="72" width="7.19921875" style="145"/>
    <col min="73" max="73" width="62.296875" style="548" customWidth="1"/>
    <col min="74" max="74" width="7.19921875" style="145"/>
    <col min="75" max="75" width="8.796875" style="236" bestFit="1" customWidth="1"/>
    <col min="76" max="76" width="23.796875" style="237" bestFit="1" customWidth="1"/>
    <col min="78" max="78" width="15.19921875" style="145" customWidth="1"/>
    <col min="79" max="79" width="15.19921875" customWidth="1"/>
    <col min="80" max="83" width="15.19921875" style="145" customWidth="1"/>
    <col min="84" max="84" width="7.19921875" style="145"/>
    <col min="85" max="85" width="52.19921875" style="698" customWidth="1"/>
    <col min="87" max="87" width="15.19921875" customWidth="1"/>
    <col min="88" max="92" width="15.19921875" style="145" customWidth="1"/>
    <col min="93" max="93" width="7.19921875" style="145"/>
    <col min="94" max="94" width="52.19921875" style="698" customWidth="1"/>
    <col min="95" max="16384" width="7.19921875" style="145"/>
  </cols>
  <sheetData>
    <row r="1" spans="1:94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BZ1" s="700" t="s">
        <v>8715</v>
      </c>
      <c r="CA1" s="700" t="s">
        <v>835</v>
      </c>
      <c r="CB1" s="700" t="s">
        <v>8715</v>
      </c>
      <c r="CI1" s="700" t="s">
        <v>835</v>
      </c>
      <c r="CJ1" s="700" t="s">
        <v>8715</v>
      </c>
      <c r="CK1" s="147"/>
    </row>
    <row r="2" spans="1:94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M2" s="145"/>
      <c r="BN2" s="235"/>
      <c r="BO2" s="699"/>
      <c r="BP2" s="145"/>
      <c r="BQ2" s="145"/>
      <c r="BR2" s="145"/>
      <c r="BS2" s="145"/>
      <c r="BT2" s="145"/>
      <c r="BU2" s="548"/>
      <c r="BV2" s="145"/>
      <c r="BW2" s="236"/>
      <c r="BX2" s="237"/>
      <c r="BZ2" s="697" t="s">
        <v>8718</v>
      </c>
      <c r="CA2" s="697" t="s">
        <v>484</v>
      </c>
      <c r="CB2" s="697" t="s">
        <v>8723</v>
      </c>
      <c r="CG2" s="698"/>
      <c r="CI2" s="697" t="s">
        <v>484</v>
      </c>
      <c r="CJ2" s="697" t="s">
        <v>8716</v>
      </c>
      <c r="CP2" s="698"/>
    </row>
    <row r="3" spans="1:94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M3" s="6" t="s">
        <v>550</v>
      </c>
      <c r="BN3" s="240"/>
      <c r="BO3" s="11"/>
      <c r="BP3" s="11"/>
      <c r="BQ3" s="145"/>
      <c r="BR3" s="11"/>
      <c r="BS3" s="11"/>
      <c r="BU3" s="548"/>
      <c r="BW3" s="745"/>
      <c r="BX3" s="242"/>
      <c r="CG3" s="698"/>
      <c r="CP3" s="698"/>
    </row>
    <row r="4" spans="1:94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8754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9" t="s">
        <v>8763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8762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M4" s="2"/>
      <c r="BN4" s="744" t="s">
        <v>386</v>
      </c>
      <c r="BO4" s="741" t="s">
        <v>8715</v>
      </c>
      <c r="BP4" s="114" t="s">
        <v>8740</v>
      </c>
      <c r="BQ4" s="742" t="s">
        <v>8741</v>
      </c>
      <c r="BR4" s="741" t="s">
        <v>835</v>
      </c>
      <c r="BS4" s="743" t="s">
        <v>8714</v>
      </c>
      <c r="BT4" s="147"/>
      <c r="BV4" s="147"/>
      <c r="BW4" s="745"/>
      <c r="BX4" s="242"/>
      <c r="BZ4" s="744" t="s">
        <v>386</v>
      </c>
      <c r="CA4" s="741" t="s">
        <v>8715</v>
      </c>
      <c r="CB4" s="114" t="s">
        <v>8740</v>
      </c>
      <c r="CC4" s="742" t="s">
        <v>8741</v>
      </c>
      <c r="CD4" s="741" t="s">
        <v>835</v>
      </c>
      <c r="CE4" s="743" t="s">
        <v>8714</v>
      </c>
      <c r="CI4" s="744" t="s">
        <v>386</v>
      </c>
      <c r="CJ4" s="741" t="s">
        <v>8715</v>
      </c>
      <c r="CK4" s="114" t="s">
        <v>8740</v>
      </c>
      <c r="CL4" s="742" t="s">
        <v>8741</v>
      </c>
      <c r="CM4" s="741" t="s">
        <v>835</v>
      </c>
      <c r="CN4" s="743" t="s">
        <v>8714</v>
      </c>
    </row>
    <row r="5" spans="1:94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M5" s="262">
        <f xml:space="preserve"> ROW() - 4</f>
        <v>1</v>
      </c>
      <c r="BN5" s="737" t="s">
        <v>20</v>
      </c>
      <c r="BO5" s="738" t="str" cm="1">
        <f t="array" ref="BO5" xml:space="preserve"> INDEX(鍵盤設計表[聲韻調], MATCH(TRUE, EXACT($BN5, 鍵盤設計表[方音符號]), 0))</f>
        <v>聲</v>
      </c>
      <c r="BP5" s="739" t="str" cm="1">
        <f t="array" ref="BP5" xml:space="preserve"> INDEX(注音編碼對照表BAK[鍵盤按鍵], MATCH(TRUE, EXACT($BN5, 注音編碼對照表BAK[方音符號]),0))</f>
        <v>1</v>
      </c>
      <c r="BQ5" s="58" t="str" cm="1">
        <f t="array" ref="BQ5" xml:space="preserve"> INDEX(鍵盤設計表[字典編碼], MATCH(TRUE, EXACT($BN5, 鍵盤設計表[方音符號]), 0))</f>
        <v>b</v>
      </c>
      <c r="BR5" s="113" t="str" cm="1">
        <f t="array" ref="BR5" xml:space="preserve"> INDEX(鍵盤設計表[注音二式], MATCH(TRUE, EXACT($BN5, 鍵盤設計表[方音符號]), 0))</f>
        <v>b</v>
      </c>
      <c r="BS5" s="740">
        <f t="shared" ref="BS5:BS58" si="0" xml:space="preserve"> LEN(BR5)</f>
        <v>1</v>
      </c>
      <c r="BT5" s="145"/>
      <c r="BU5" s="549" t="str">
        <f xml:space="preserve"> "    """ &amp; BP5 &amp; """: { commit: """ &amp; BN5 &amp; """ }" &amp; "  # " &amp; "/" &amp; BR5 &amp; "/ ==&gt; " &amp; BQ5</f>
        <v xml:space="preserve">    "1": { commit: "ㄅ" }  # /b/ ==&gt; b</v>
      </c>
      <c r="BV5" s="145"/>
      <c r="BW5" s="745"/>
      <c r="BX5" s="263"/>
      <c r="BZ5" s="319" t="s">
        <v>121</v>
      </c>
      <c r="CA5" s="738" t="s">
        <v>8102</v>
      </c>
      <c r="CB5" s="739" t="s">
        <v>275</v>
      </c>
      <c r="CC5" s="58" t="s">
        <v>558</v>
      </c>
      <c r="CD5" s="113" t="s">
        <v>864</v>
      </c>
      <c r="CE5" s="740">
        <v>4</v>
      </c>
      <c r="CG5" s="698" t="str">
        <f xml:space="preserve"> IFERROR( IF(CD5=0, "", IF(CB5=CC5, "", "    - xform/" &amp; CD5 &amp; "/" &amp; CC5 &amp; "/  # " &amp; BZ5 &amp; " [" &amp; CF5 &amp; CD5 &amp; "]")), "")</f>
        <v xml:space="preserve">    - xform/oonn/Q/  # ㆧ [oonn]</v>
      </c>
      <c r="CI5" s="737" t="s">
        <v>20</v>
      </c>
      <c r="CJ5" s="738" t="s">
        <v>2819</v>
      </c>
      <c r="CK5" s="739" t="s">
        <v>361</v>
      </c>
      <c r="CL5" s="58" t="s">
        <v>190</v>
      </c>
      <c r="CM5" s="113" t="s">
        <v>190</v>
      </c>
      <c r="CN5" s="740">
        <v>1</v>
      </c>
      <c r="CP5" s="698" t="str">
        <f xml:space="preserve"> IF(CM5=0, "", "    - xform/^" &amp; CM5 &amp; "(?!\d)/" &amp; CL5 &amp; "/  # " &amp; CI5 &amp; " [ " &amp; CM5 &amp; "]")</f>
        <v xml:space="preserve">    - xform/^b(?!\d)/b/  # ㄅ [ b]</v>
      </c>
    </row>
    <row r="6" spans="1:94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8742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2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M6" s="262">
        <f t="shared" ref="BM6:BM61" si="1" xml:space="preserve"> ROW() - 4</f>
        <v>2</v>
      </c>
      <c r="BN6" s="736" t="s">
        <v>27</v>
      </c>
      <c r="BO6" s="738" t="str" cm="1">
        <f t="array" ref="BO6" xml:space="preserve"> INDEX(鍵盤設計表[聲韻調], MATCH(TRUE, EXACT($BN6, 鍵盤設計表[方音符號]), 0))</f>
        <v>聲</v>
      </c>
      <c r="BP6" s="739" t="str" cm="1">
        <f t="array" ref="BP6" xml:space="preserve"> INDEX(注音編碼對照表BAK[鍵盤按鍵], MATCH(TRUE, EXACT($BN6, 注音編碼對照表BAK[方音符號]),0))</f>
        <v>!</v>
      </c>
      <c r="BQ6" s="58" t="str" cm="1">
        <f t="array" ref="BQ6" xml:space="preserve"> INDEX(鍵盤設計表[字典編碼], MATCH(TRUE, EXACT($BN6, 鍵盤設計表[方音符號]), 0))</f>
        <v>B</v>
      </c>
      <c r="BR6" s="113" t="str" cm="1">
        <f t="array" ref="BR6" xml:space="preserve"> INDEX(鍵盤設計表[注音二式], MATCH(TRUE, EXACT($BN6, 鍵盤設計表[方音符號]), 0))</f>
        <v>bb</v>
      </c>
      <c r="BS6" s="740">
        <f t="shared" si="0"/>
        <v>2</v>
      </c>
      <c r="BU6" s="549" t="str">
        <f t="shared" ref="BU6:BU61" si="2" xml:space="preserve"> "    """ &amp; BP6 &amp; """: { commit: """ &amp; BN6 &amp; """ }" &amp; "  # " &amp; "/" &amp; BR6 &amp; "/ ==&gt; " &amp; BQ6</f>
        <v xml:space="preserve">    "!": { commit: "ㆠ" }  # /bb/ ==&gt; B</v>
      </c>
      <c r="BW6" s="745"/>
      <c r="BX6" s="263"/>
      <c r="BZ6" s="319" t="s">
        <v>117</v>
      </c>
      <c r="CA6" s="738" t="s">
        <v>8102</v>
      </c>
      <c r="CB6" s="739" t="s">
        <v>240</v>
      </c>
      <c r="CC6" s="58" t="s">
        <v>567</v>
      </c>
      <c r="CD6" s="113" t="s">
        <v>268</v>
      </c>
      <c r="CE6" s="740">
        <v>4</v>
      </c>
      <c r="CG6" s="698" t="str">
        <f t="shared" ref="CG6:CG27" si="3" xml:space="preserve"> IFERROR( IF(CD6=0, "", IF(CB6=CC6, "", "    - xform/" &amp; CD6 &amp; "/" &amp; CC6 &amp; "/  # " &amp; BZ6 &amp; " [" &amp; CF6 &amp; CD6 &amp; "]")), "")</f>
        <v xml:space="preserve">    - xform/ainn/X/  # ㆮ [ainn]</v>
      </c>
      <c r="CI6" s="736" t="s">
        <v>27</v>
      </c>
      <c r="CJ6" s="738" t="s">
        <v>2819</v>
      </c>
      <c r="CK6" s="739" t="s">
        <v>394</v>
      </c>
      <c r="CL6" s="58" t="s">
        <v>144</v>
      </c>
      <c r="CM6" s="113" t="s">
        <v>838</v>
      </c>
      <c r="CN6" s="740">
        <v>2</v>
      </c>
      <c r="CP6" s="698" t="str">
        <f t="shared" ref="CP6:CP55" si="4" xml:space="preserve"> IF(CM6=0, "", "    - xform/^" &amp; CM6 &amp; "(?!\d)/" &amp; CL6 &amp; "/  # " &amp; CI6 &amp; " [ " &amp; CM6 &amp; "]")</f>
        <v xml:space="preserve">    - xform/^bb(?!\d)/B/  # ㆠ [ bb]</v>
      </c>
    </row>
    <row r="7" spans="1:94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8755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8742</v>
      </c>
      <c r="O7" s="250" t="s">
        <v>130</v>
      </c>
      <c r="P7" s="251"/>
      <c r="Q7" s="516" t="s">
        <v>8745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7" t="s">
        <v>8753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M7" s="262">
        <f t="shared" si="1"/>
        <v>3</v>
      </c>
      <c r="BN7" s="319" t="s">
        <v>23</v>
      </c>
      <c r="BO7" s="738" t="str" cm="1">
        <f t="array" ref="BO7" xml:space="preserve"> INDEX(鍵盤設計表[聲韻調], MATCH(TRUE, EXACT($BN7, 鍵盤設計表[方音符號]), 0))</f>
        <v>聲</v>
      </c>
      <c r="BP7" s="739" t="str" cm="1">
        <f t="array" ref="BP7" xml:space="preserve"> INDEX(注音編碼對照表BAK[鍵盤按鍵], MATCH(TRUE, EXACT($BN7, 注音編碼對照表BAK[方音符號]),0))</f>
        <v>q</v>
      </c>
      <c r="BQ7" s="58" t="str" cm="1">
        <f t="array" ref="BQ7" xml:space="preserve"> INDEX(鍵盤設計表[字典編碼], MATCH(TRUE, EXACT($BN7, 鍵盤設計表[方音符號]), 0))</f>
        <v>p</v>
      </c>
      <c r="BR7" s="113" t="str" cm="1">
        <f t="array" ref="BR7" xml:space="preserve"> INDEX(鍵盤設計表[注音二式], MATCH(TRUE, EXACT($BN7, 鍵盤設計表[方音符號]), 0))</f>
        <v>p</v>
      </c>
      <c r="BS7" s="740">
        <f t="shared" si="0"/>
        <v>1</v>
      </c>
      <c r="BT7" s="147"/>
      <c r="BU7" s="549" t="str">
        <f t="shared" si="2"/>
        <v xml:space="preserve">    "q": { commit: "ㄆ" }  # /p/ ==&gt; p</v>
      </c>
      <c r="BV7" s="147"/>
      <c r="BW7" s="745"/>
      <c r="BX7" s="263"/>
      <c r="BZ7" s="319" t="s">
        <v>123</v>
      </c>
      <c r="CA7" s="738" t="s">
        <v>8102</v>
      </c>
      <c r="CB7" s="739" t="s">
        <v>231</v>
      </c>
      <c r="CC7" s="58" t="s">
        <v>447</v>
      </c>
      <c r="CD7" s="113" t="s">
        <v>265</v>
      </c>
      <c r="CE7" s="740">
        <v>4</v>
      </c>
      <c r="CG7" s="698" t="str">
        <f t="shared" si="3"/>
        <v xml:space="preserve">    - xform/aunn/Y/  # ㆯ [aunn]</v>
      </c>
      <c r="CI7" s="319" t="s">
        <v>23</v>
      </c>
      <c r="CJ7" s="738" t="s">
        <v>2819</v>
      </c>
      <c r="CK7" s="739" t="s">
        <v>353</v>
      </c>
      <c r="CL7" s="58" t="s">
        <v>217</v>
      </c>
      <c r="CM7" s="113" t="s">
        <v>217</v>
      </c>
      <c r="CN7" s="740">
        <v>1</v>
      </c>
      <c r="CP7" s="698" t="str">
        <f t="shared" si="4"/>
        <v xml:space="preserve">    - xform/^p(?!\d)/p/  # ㄆ [ p]</v>
      </c>
    </row>
    <row r="8" spans="1:94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M8" s="262">
        <f t="shared" si="1"/>
        <v>4</v>
      </c>
      <c r="BN8" s="319" t="s">
        <v>83</v>
      </c>
      <c r="BO8" s="738" t="str" cm="1">
        <f t="array" ref="BO8" xml:space="preserve"> INDEX(鍵盤設計表[聲韻調], MATCH(TRUE, EXACT($BN8, 鍵盤設計表[方音符號]), 0))</f>
        <v>聲</v>
      </c>
      <c r="BP8" s="739" t="str" cm="1">
        <f t="array" ref="BP8" xml:space="preserve"> INDEX(注音編碼對照表BAK[鍵盤按鍵], MATCH(TRUE, EXACT($BN8, 注音編碼對照表BAK[方音符號]),0))</f>
        <v>a</v>
      </c>
      <c r="BQ8" s="58" t="str" cm="1">
        <f t="array" ref="BQ8" xml:space="preserve"> INDEX(鍵盤設計表[字典編碼], MATCH(TRUE, EXACT($BN8, 鍵盤設計表[方音符號]), 0))</f>
        <v>m</v>
      </c>
      <c r="BR8" s="113" t="str" cm="1">
        <f t="array" ref="BR8" xml:space="preserve"> INDEX(鍵盤設計表[注音二式], MATCH(TRUE, EXACT($BN8, 鍵盤設計表[方音符號]), 0))</f>
        <v>m</v>
      </c>
      <c r="BS8" s="740">
        <f t="shared" si="0"/>
        <v>1</v>
      </c>
      <c r="BT8" s="145"/>
      <c r="BU8" s="549" t="str">
        <f t="shared" si="2"/>
        <v xml:space="preserve">    "a": { commit: "ㄇ" }  # /m/ ==&gt; m</v>
      </c>
      <c r="BV8" s="145"/>
      <c r="BW8" s="236"/>
      <c r="BX8" s="263"/>
      <c r="BZ8" s="319" t="s">
        <v>111</v>
      </c>
      <c r="CA8" s="738" t="s">
        <v>8102</v>
      </c>
      <c r="CB8" s="739" t="s">
        <v>259</v>
      </c>
      <c r="CC8" s="58" t="s">
        <v>275</v>
      </c>
      <c r="CD8" s="113" t="s">
        <v>513</v>
      </c>
      <c r="CE8" s="740">
        <v>3</v>
      </c>
      <c r="CG8" s="698" t="str">
        <f t="shared" si="3"/>
        <v xml:space="preserve">    - xform/inn/I/  # ㆪ [inn]</v>
      </c>
      <c r="CI8" s="319" t="s">
        <v>83</v>
      </c>
      <c r="CJ8" s="738" t="s">
        <v>2819</v>
      </c>
      <c r="CK8" s="739" t="s">
        <v>351</v>
      </c>
      <c r="CL8" s="58" t="s">
        <v>143</v>
      </c>
      <c r="CM8" s="113" t="s">
        <v>143</v>
      </c>
      <c r="CN8" s="740">
        <v>1</v>
      </c>
      <c r="CP8" s="698" t="str">
        <f t="shared" si="4"/>
        <v xml:space="preserve">    - xform/^m(?!\d)/m/  # ㄇ [ m]</v>
      </c>
    </row>
    <row r="9" spans="1:94" s="147" customFormat="1" ht="45" customHeight="1">
      <c r="A9" s="238"/>
      <c r="B9" s="238"/>
      <c r="C9" s="268"/>
      <c r="D9" s="243"/>
      <c r="E9" s="518"/>
      <c r="F9" s="726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M9" s="262">
        <f t="shared" si="1"/>
        <v>5</v>
      </c>
      <c r="BN9" s="319" t="s">
        <v>29</v>
      </c>
      <c r="BO9" s="738" t="str" cm="1">
        <f t="array" ref="BO9" xml:space="preserve"> INDEX(鍵盤設計表[聲韻調], MATCH(TRUE, EXACT($BN9, 鍵盤設計表[方音符號]), 0))</f>
        <v>聲</v>
      </c>
      <c r="BP9" s="739" t="str" cm="1">
        <f t="array" ref="BP9" xml:space="preserve"> INDEX(注音編碼對照表BAK[鍵盤按鍵], MATCH(TRUE, EXACT($BN9, 注音編碼對照表BAK[方音符號]),0))</f>
        <v>2</v>
      </c>
      <c r="BQ9" s="58" t="str" cm="1">
        <f t="array" ref="BQ9" xml:space="preserve"> INDEX(鍵盤設計表[字典編碼], MATCH(TRUE, EXACT($BN9, 鍵盤設計表[方音符號]), 0))</f>
        <v>d</v>
      </c>
      <c r="BR9" s="113" t="str" cm="1">
        <f t="array" ref="BR9" xml:space="preserve"> INDEX(鍵盤設計表[注音二式], MATCH(TRUE, EXACT($BN9, 鍵盤設計表[方音符號]), 0))</f>
        <v>d</v>
      </c>
      <c r="BS9" s="740">
        <f t="shared" si="0"/>
        <v>1</v>
      </c>
      <c r="BU9" s="549" t="str">
        <f t="shared" si="2"/>
        <v xml:space="preserve">    "2": { commit: "ㄉ" }  # /d/ ==&gt; d</v>
      </c>
      <c r="BW9" s="745"/>
      <c r="BX9" s="263"/>
      <c r="BZ9" s="319" t="s">
        <v>113</v>
      </c>
      <c r="CA9" s="738" t="s">
        <v>8102</v>
      </c>
      <c r="CB9" s="739" t="s">
        <v>249</v>
      </c>
      <c r="CC9" s="58" t="s">
        <v>259</v>
      </c>
      <c r="CD9" s="113" t="s">
        <v>518</v>
      </c>
      <c r="CE9" s="740">
        <v>3</v>
      </c>
      <c r="CG9" s="698" t="str">
        <f t="shared" si="3"/>
        <v xml:space="preserve">    - xform/unn/U/  # ㆫ [unn]</v>
      </c>
      <c r="CI9" s="319" t="s">
        <v>29</v>
      </c>
      <c r="CJ9" s="738" t="s">
        <v>2819</v>
      </c>
      <c r="CK9" s="739" t="s">
        <v>347</v>
      </c>
      <c r="CL9" s="58" t="s">
        <v>309</v>
      </c>
      <c r="CM9" s="113" t="s">
        <v>309</v>
      </c>
      <c r="CN9" s="740">
        <v>1</v>
      </c>
      <c r="CP9" s="698" t="str">
        <f t="shared" si="4"/>
        <v xml:space="preserve">    - xform/^d(?!\d)/d/  # ㄉ [ d]</v>
      </c>
    </row>
    <row r="10" spans="1:94" ht="45" customHeight="1" thickBot="1">
      <c r="A10" s="249"/>
      <c r="B10" s="249"/>
      <c r="C10" s="249"/>
      <c r="D10" s="250" t="s">
        <v>83</v>
      </c>
      <c r="E10" s="251"/>
      <c r="F10" s="253" t="s">
        <v>8751</v>
      </c>
      <c r="G10" s="250" t="s">
        <v>33</v>
      </c>
      <c r="H10" s="251"/>
      <c r="I10" s="253" t="s">
        <v>8752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8743</v>
      </c>
      <c r="P10" s="264" t="s">
        <v>132</v>
      </c>
      <c r="Q10" s="251"/>
      <c r="R10" s="267" t="s">
        <v>8746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M10" s="262">
        <f t="shared" si="1"/>
        <v>6</v>
      </c>
      <c r="BN10" s="319" t="s">
        <v>31</v>
      </c>
      <c r="BO10" s="738" t="str" cm="1">
        <f t="array" ref="BO10" xml:space="preserve"> INDEX(鍵盤設計表[聲韻調], MATCH(TRUE, EXACT($BN10, 鍵盤設計表[方音符號]), 0))</f>
        <v>聲</v>
      </c>
      <c r="BP10" s="739" t="str" cm="1">
        <f t="array" ref="BP10" xml:space="preserve"> INDEX(注音編碼對照表BAK[鍵盤按鍵], MATCH(TRUE, EXACT($BN10, 注音編碼對照表BAK[方音符號]),0))</f>
        <v>w</v>
      </c>
      <c r="BQ10" s="58" t="str" cm="1">
        <f t="array" ref="BQ10" xml:space="preserve"> INDEX(鍵盤設計表[字典編碼], MATCH(TRUE, EXACT($BN10, 鍵盤設計表[方音符號]), 0))</f>
        <v>t</v>
      </c>
      <c r="BR10" s="113" t="str" cm="1">
        <f t="array" ref="BR10" xml:space="preserve"> INDEX(鍵盤設計表[注音二式], MATCH(TRUE, EXACT($BN10, 鍵盤設計表[方音符號]), 0))</f>
        <v>t</v>
      </c>
      <c r="BS10" s="740">
        <f t="shared" si="0"/>
        <v>1</v>
      </c>
      <c r="BT10" s="147"/>
      <c r="BU10" s="549" t="str">
        <f t="shared" si="2"/>
        <v xml:space="preserve">    "w": { commit: "ㄊ" }  # /t/ ==&gt; t</v>
      </c>
      <c r="BV10" s="147"/>
      <c r="BW10" s="745"/>
      <c r="BX10" s="263"/>
      <c r="BZ10" s="319" t="s">
        <v>115</v>
      </c>
      <c r="CA10" s="738" t="s">
        <v>8102</v>
      </c>
      <c r="CB10" s="739" t="s">
        <v>281</v>
      </c>
      <c r="CC10" s="58" t="s">
        <v>609</v>
      </c>
      <c r="CD10" s="113" t="s">
        <v>276</v>
      </c>
      <c r="CE10" s="740">
        <v>3</v>
      </c>
      <c r="CG10" s="698" t="str">
        <f t="shared" si="3"/>
        <v xml:space="preserve">    - xform/ann/A/  # ㆩ [ann]</v>
      </c>
      <c r="CI10" s="319" t="s">
        <v>31</v>
      </c>
      <c r="CJ10" s="738" t="s">
        <v>2819</v>
      </c>
      <c r="CK10" s="739" t="s">
        <v>341</v>
      </c>
      <c r="CL10" s="58" t="s">
        <v>30</v>
      </c>
      <c r="CM10" s="113" t="s">
        <v>30</v>
      </c>
      <c r="CN10" s="740">
        <v>1</v>
      </c>
      <c r="CP10" s="698" t="str">
        <f t="shared" si="4"/>
        <v xml:space="preserve">    - xform/^t(?!\d)/t/  # ㄊ [ t]</v>
      </c>
    </row>
    <row r="11" spans="1:94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M11" s="262">
        <f t="shared" si="1"/>
        <v>7</v>
      </c>
      <c r="BN11" s="319" t="s">
        <v>33</v>
      </c>
      <c r="BO11" s="738" t="str" cm="1">
        <f t="array" ref="BO11" xml:space="preserve"> INDEX(鍵盤設計表[聲韻調], MATCH(TRUE, EXACT($BN11, 鍵盤設計表[方音符號]), 0))</f>
        <v>聲</v>
      </c>
      <c r="BP11" s="739" t="str" cm="1">
        <f t="array" ref="BP11" xml:space="preserve"> INDEX(注音編碼對照表BAK[鍵盤按鍵], MATCH(TRUE, EXACT($BN11, 注音編碼對照表BAK[方音符號]),0))</f>
        <v>s</v>
      </c>
      <c r="BQ11" s="58" t="str" cm="1">
        <f t="array" ref="BQ11" xml:space="preserve"> INDEX(鍵盤設計表[字典編碼], MATCH(TRUE, EXACT($BN11, 鍵盤設計表[方音符號]), 0))</f>
        <v>n</v>
      </c>
      <c r="BR11" s="113" t="str" cm="1">
        <f t="array" ref="BR11" xml:space="preserve"> INDEX(鍵盤設計表[注音二式], MATCH(TRUE, EXACT($BN11, 鍵盤設計表[方音符號]), 0))</f>
        <v>n</v>
      </c>
      <c r="BS11" s="740">
        <f t="shared" si="0"/>
        <v>1</v>
      </c>
      <c r="BT11" s="145"/>
      <c r="BU11" s="549" t="str">
        <f t="shared" si="2"/>
        <v xml:space="preserve">    "s": { commit: "ㄋ" }  # /n/ ==&gt; n</v>
      </c>
      <c r="BV11" s="145"/>
      <c r="BW11" s="236"/>
      <c r="BX11" s="263"/>
      <c r="BZ11" s="319" t="s">
        <v>119</v>
      </c>
      <c r="CA11" s="738" t="s">
        <v>8102</v>
      </c>
      <c r="CB11" s="739" t="s">
        <v>223</v>
      </c>
      <c r="CC11" s="58" t="s">
        <v>322</v>
      </c>
      <c r="CD11" s="113" t="s">
        <v>270</v>
      </c>
      <c r="CE11" s="740">
        <v>3</v>
      </c>
      <c r="CG11" s="698" t="str">
        <f t="shared" si="3"/>
        <v xml:space="preserve">    - xform/enn/E/  # ㆥ [enn]</v>
      </c>
      <c r="CI11" s="319" t="s">
        <v>33</v>
      </c>
      <c r="CJ11" s="738" t="s">
        <v>2819</v>
      </c>
      <c r="CK11" s="739" t="s">
        <v>338</v>
      </c>
      <c r="CL11" s="58" t="s">
        <v>34</v>
      </c>
      <c r="CM11" s="113" t="s">
        <v>34</v>
      </c>
      <c r="CN11" s="740">
        <v>1</v>
      </c>
      <c r="CP11" s="698" t="str">
        <f t="shared" si="4"/>
        <v xml:space="preserve">    - xform/^n(?!\d)/n/  # ㄋ [ n]</v>
      </c>
    </row>
    <row r="12" spans="1:94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50" t="s">
        <v>8764</v>
      </c>
      <c r="AD12" s="751"/>
      <c r="AE12" s="752" t="s">
        <v>8765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M12" s="262">
        <f t="shared" si="1"/>
        <v>8</v>
      </c>
      <c r="BN12" s="319" t="s">
        <v>85</v>
      </c>
      <c r="BO12" s="738" t="str" cm="1">
        <f t="array" ref="BO12" xml:space="preserve"> INDEX(鍵盤設計表[聲韻調], MATCH(TRUE, EXACT($BN12, 鍵盤設計表[方音符號]), 0))</f>
        <v>聲</v>
      </c>
      <c r="BP12" s="739" t="str" cm="1">
        <f t="array" ref="BP12" xml:space="preserve"> INDEX(注音編碼對照表BAK[鍵盤按鍵], MATCH(TRUE, EXACT($BN12, 注音編碼對照表BAK[方音符號]),0))</f>
        <v>x</v>
      </c>
      <c r="BQ12" s="58" t="str" cm="1">
        <f t="array" ref="BQ12" xml:space="preserve"> INDEX(鍵盤設計表[字典編碼], MATCH(TRUE, EXACT($BN12, 鍵盤設計表[方音符號]), 0))</f>
        <v>l</v>
      </c>
      <c r="BR12" s="113" t="str" cm="1">
        <f t="array" ref="BR12" xml:space="preserve"> INDEX(鍵盤設計表[注音二式], MATCH(TRUE, EXACT($BN12, 鍵盤設計表[方音符號]), 0))</f>
        <v>l</v>
      </c>
      <c r="BS12" s="740">
        <f t="shared" si="0"/>
        <v>1</v>
      </c>
      <c r="BU12" s="549" t="str">
        <f t="shared" si="2"/>
        <v xml:space="preserve">    "x": { commit: "ㄌ" }  # /l/ ==&gt; l</v>
      </c>
      <c r="BW12" s="745"/>
      <c r="BX12" s="263"/>
      <c r="BZ12" s="319" t="s">
        <v>95</v>
      </c>
      <c r="CA12" s="738" t="s">
        <v>8102</v>
      </c>
      <c r="CB12" s="739" t="s">
        <v>212</v>
      </c>
      <c r="CC12" s="58" t="s">
        <v>400</v>
      </c>
      <c r="CD12" s="113" t="s">
        <v>163</v>
      </c>
      <c r="CE12" s="740">
        <v>3</v>
      </c>
      <c r="CG12" s="698" t="str">
        <f t="shared" si="3"/>
        <v xml:space="preserve">    - xform/ang/P/  # ㄤ [ang]</v>
      </c>
      <c r="CI12" s="319" t="s">
        <v>85</v>
      </c>
      <c r="CJ12" s="738" t="s">
        <v>2819</v>
      </c>
      <c r="CK12" s="739" t="s">
        <v>332</v>
      </c>
      <c r="CL12" s="58" t="s">
        <v>86</v>
      </c>
      <c r="CM12" s="113" t="s">
        <v>86</v>
      </c>
      <c r="CN12" s="740">
        <v>1</v>
      </c>
      <c r="CP12" s="698" t="str">
        <f t="shared" si="4"/>
        <v xml:space="preserve">    - xform/^l(?!\d)/l/  # ㄌ [ l]</v>
      </c>
    </row>
    <row r="13" spans="1:94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8748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8744</v>
      </c>
      <c r="Q13" s="264" t="s">
        <v>128</v>
      </c>
      <c r="R13" s="251"/>
      <c r="S13" s="267" t="s">
        <v>8747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8766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M13" s="262">
        <f t="shared" si="1"/>
        <v>9</v>
      </c>
      <c r="BN13" s="319" t="s">
        <v>36</v>
      </c>
      <c r="BO13" s="738" t="str" cm="1">
        <f t="array" ref="BO13" xml:space="preserve"> INDEX(鍵盤設計表[聲韻調], MATCH(TRUE, EXACT($BN13, 鍵盤設計表[方音符號]), 0))</f>
        <v>聲</v>
      </c>
      <c r="BP13" s="739" t="str" cm="1">
        <f t="array" ref="BP13" xml:space="preserve"> INDEX(注音編碼對照表BAK[鍵盤按鍵], MATCH(TRUE, EXACT($BN13, 注音編碼對照表BAK[方音符號]),0))</f>
        <v>e</v>
      </c>
      <c r="BQ13" s="58" t="str" cm="1">
        <f t="array" ref="BQ13" xml:space="preserve"> INDEX(鍵盤設計表[字典編碼], MATCH(TRUE, EXACT($BN13, 鍵盤設計表[方音符號]), 0))</f>
        <v>g</v>
      </c>
      <c r="BR13" s="113" t="str" cm="1">
        <f t="array" ref="BR13" xml:space="preserve"> INDEX(鍵盤設計表[注音二式], MATCH(TRUE, EXACT($BN13, 鍵盤設計表[方音符號]), 0))</f>
        <v>g</v>
      </c>
      <c r="BS13" s="740">
        <f t="shared" si="0"/>
        <v>1</v>
      </c>
      <c r="BT13" s="147"/>
      <c r="BU13" s="549" t="str">
        <f t="shared" si="2"/>
        <v xml:space="preserve">    "e": { commit: "ㄍ" }  # /g/ ==&gt; g</v>
      </c>
      <c r="BV13" s="147"/>
      <c r="BW13" s="745"/>
      <c r="BX13" s="263"/>
      <c r="BZ13" s="319" t="s">
        <v>101</v>
      </c>
      <c r="CA13" s="738" t="s">
        <v>8102</v>
      </c>
      <c r="CB13" s="739" t="s">
        <v>65</v>
      </c>
      <c r="CC13" s="58" t="s">
        <v>454</v>
      </c>
      <c r="CD13" s="113" t="s">
        <v>160</v>
      </c>
      <c r="CE13" s="740">
        <v>3</v>
      </c>
      <c r="CG13" s="698" t="str">
        <f t="shared" si="3"/>
        <v xml:space="preserve">    - xform/ong/H/  # ㆲ [ong]</v>
      </c>
      <c r="CI13" s="319" t="s">
        <v>36</v>
      </c>
      <c r="CJ13" s="738" t="s">
        <v>2819</v>
      </c>
      <c r="CK13" s="739" t="s">
        <v>329</v>
      </c>
      <c r="CL13" s="58" t="s">
        <v>184</v>
      </c>
      <c r="CM13" s="113" t="s">
        <v>184</v>
      </c>
      <c r="CN13" s="740">
        <v>1</v>
      </c>
      <c r="CP13" s="698" t="str">
        <f t="shared" si="4"/>
        <v xml:space="preserve">    - xform/^g(?!\d)/g/  # ㄍ [ g]</v>
      </c>
    </row>
    <row r="14" spans="1:94" ht="45" customHeight="1">
      <c r="BJ14" s="147"/>
      <c r="BM14" s="262">
        <f t="shared" si="1"/>
        <v>10</v>
      </c>
      <c r="BN14" s="319" t="s">
        <v>41</v>
      </c>
      <c r="BO14" s="738" t="str" cm="1">
        <f t="array" ref="BO14" xml:space="preserve"> INDEX(鍵盤設計表[聲韻調], MATCH(TRUE, EXACT($BN14, 鍵盤設計表[方音符號]), 0))</f>
        <v>聲</v>
      </c>
      <c r="BP14" s="739" t="str" cm="1">
        <f t="array" ref="BP14" xml:space="preserve"> INDEX(注音編碼對照表BAK[鍵盤按鍵], MATCH(TRUE, EXACT($BN14, 注音編碼對照表BAK[方音符號]),0))</f>
        <v>E</v>
      </c>
      <c r="BQ14" s="58" t="str" cm="1">
        <f t="array" ref="BQ14" xml:space="preserve"> INDEX(鍵盤設計表[字典編碼], MATCH(TRUE, EXACT($BN14, 鍵盤設計表[方音符號]), 0))</f>
        <v>G</v>
      </c>
      <c r="BR14" s="113" t="str" cm="1">
        <f t="array" ref="BR14" xml:space="preserve"> INDEX(鍵盤設計表[注音二式], MATCH(TRUE, EXACT($BN14, 鍵盤設計表[方音符號]), 0))</f>
        <v>gg</v>
      </c>
      <c r="BS14" s="740">
        <f t="shared" si="0"/>
        <v>2</v>
      </c>
      <c r="BU14" s="549" t="str">
        <f t="shared" si="2"/>
        <v xml:space="preserve">    "E": { commit: "ㆣ" }  # /gg/ ==&gt; G</v>
      </c>
      <c r="BX14" s="263"/>
      <c r="BZ14" s="319" t="s">
        <v>67</v>
      </c>
      <c r="CA14" s="738" t="s">
        <v>8102</v>
      </c>
      <c r="CB14" s="739" t="s">
        <v>279</v>
      </c>
      <c r="CC14" s="58" t="s">
        <v>267</v>
      </c>
      <c r="CD14" s="113" t="s">
        <v>346</v>
      </c>
      <c r="CE14" s="740">
        <v>2</v>
      </c>
      <c r="CG14" s="698" t="str">
        <f t="shared" si="3"/>
        <v xml:space="preserve">    - xform/oo/O/  # ㆦ [oo]</v>
      </c>
      <c r="CI14" s="319" t="s">
        <v>41</v>
      </c>
      <c r="CJ14" s="738" t="s">
        <v>2819</v>
      </c>
      <c r="CK14" s="739" t="s">
        <v>322</v>
      </c>
      <c r="CL14" s="58" t="s">
        <v>141</v>
      </c>
      <c r="CM14" s="113" t="s">
        <v>847</v>
      </c>
      <c r="CN14" s="740">
        <v>2</v>
      </c>
      <c r="CP14" s="698" t="str">
        <f t="shared" si="4"/>
        <v xml:space="preserve">    - xform/^gg(?!\d)/G/  # ㆣ [ gg]</v>
      </c>
    </row>
    <row r="15" spans="1:94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M15" s="262">
        <f t="shared" si="1"/>
        <v>11</v>
      </c>
      <c r="BN15" s="319" t="s">
        <v>38</v>
      </c>
      <c r="BO15" s="738" t="str" cm="1">
        <f t="array" ref="BO15" xml:space="preserve"> INDEX(鍵盤設計表[聲韻調], MATCH(TRUE, EXACT($BN15, 鍵盤設計表[方音符號]), 0))</f>
        <v>聲</v>
      </c>
      <c r="BP15" s="739" t="str" cm="1">
        <f t="array" ref="BP15" xml:space="preserve"> INDEX(注音編碼對照表BAK[鍵盤按鍵], MATCH(TRUE, EXACT($BN15, 注音編碼對照表BAK[方音符號]),0))</f>
        <v>d</v>
      </c>
      <c r="BQ15" s="58" t="str" cm="1">
        <f t="array" ref="BQ15" xml:space="preserve"> INDEX(鍵盤設計表[字典編碼], MATCH(TRUE, EXACT($BN15, 鍵盤設計表[方音符號]), 0))</f>
        <v>k</v>
      </c>
      <c r="BR15" s="113" t="str" cm="1">
        <f t="array" ref="BR15" xml:space="preserve"> INDEX(鍵盤設計表[注音二式], MATCH(TRUE, EXACT($BN15, 鍵盤設計表[方音符號]), 0))</f>
        <v>k</v>
      </c>
      <c r="BS15" s="740">
        <f t="shared" si="0"/>
        <v>1</v>
      </c>
      <c r="BT15" s="145"/>
      <c r="BU15" s="549" t="str">
        <f t="shared" si="2"/>
        <v xml:space="preserve">    "d": { commit: "ㄎ" }  # /k/ ==&gt; k</v>
      </c>
      <c r="BV15" s="145"/>
      <c r="BW15" s="236"/>
      <c r="BX15" s="263"/>
      <c r="BZ15" s="319" t="s">
        <v>473</v>
      </c>
      <c r="CA15" s="738" t="s">
        <v>8102</v>
      </c>
      <c r="CB15" s="739" t="s">
        <v>37</v>
      </c>
      <c r="CC15" s="58" t="s">
        <v>65</v>
      </c>
      <c r="CD15" s="113" t="s">
        <v>866</v>
      </c>
      <c r="CE15" s="740">
        <v>2</v>
      </c>
      <c r="CG15" s="698" t="str">
        <f t="shared" si="3"/>
        <v xml:space="preserve">    - xform/or/o/  # ㄜ [or]</v>
      </c>
      <c r="CI15" s="319" t="s">
        <v>38</v>
      </c>
      <c r="CJ15" s="738" t="s">
        <v>2819</v>
      </c>
      <c r="CK15" s="739" t="s">
        <v>309</v>
      </c>
      <c r="CL15" s="58" t="s">
        <v>37</v>
      </c>
      <c r="CM15" s="113" t="s">
        <v>37</v>
      </c>
      <c r="CN15" s="740">
        <v>1</v>
      </c>
      <c r="CP15" s="698" t="str">
        <f t="shared" si="4"/>
        <v xml:space="preserve">    - xform/^k(?!\d)/k/  # ㄎ [ k]</v>
      </c>
    </row>
    <row r="16" spans="1:94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147"/>
      <c r="BJ16" s="147"/>
      <c r="BM16" s="262">
        <f t="shared" si="1"/>
        <v>12</v>
      </c>
      <c r="BN16" s="319" t="s">
        <v>87</v>
      </c>
      <c r="BO16" s="738" t="str" cm="1">
        <f t="array" ref="BO16" xml:space="preserve"> INDEX(鍵盤設計表[聲韻調], MATCH(TRUE, EXACT($BN16, 鍵盤設計表[方音符號]), 0))</f>
        <v>聲</v>
      </c>
      <c r="BP16" s="739" t="str" cm="1">
        <f t="array" ref="BP16" xml:space="preserve"> INDEX(注音編碼對照表BAK[鍵盤按鍵], MATCH(TRUE, EXACT($BN16, 注音編碼對照表BAK[方音符號]),0))</f>
        <v>N</v>
      </c>
      <c r="BQ16" s="58" t="str" cm="1">
        <f t="array" ref="BQ16" xml:space="preserve"> INDEX(鍵盤設計表[字典編碼], MATCH(TRUE, EXACT($BN16, 鍵盤設計表[方音符號]), 0))</f>
        <v>w</v>
      </c>
      <c r="BR16" s="113" t="str" cm="1">
        <f t="array" ref="BR16" xml:space="preserve"> INDEX(鍵盤設計表[注音二式], MATCH(TRUE, EXACT($BN16, 鍵盤設計表[方音符號]), 0))</f>
        <v>ng</v>
      </c>
      <c r="BS16" s="740">
        <f t="shared" si="0"/>
        <v>2</v>
      </c>
      <c r="BT16" s="190"/>
      <c r="BU16" s="549" t="str">
        <f t="shared" si="2"/>
        <v xml:space="preserve">    "N": { commit: "ㄫ" }  # /ng/ ==&gt; w</v>
      </c>
      <c r="BV16" s="190"/>
      <c r="BW16" s="746"/>
      <c r="BX16" s="263"/>
      <c r="BZ16" s="319" t="s">
        <v>241</v>
      </c>
      <c r="CA16" s="738" t="s">
        <v>8102</v>
      </c>
      <c r="CB16" s="739" t="s">
        <v>264</v>
      </c>
      <c r="CC16" s="58" t="s">
        <v>332</v>
      </c>
      <c r="CD16" s="113" t="s">
        <v>330</v>
      </c>
      <c r="CE16" s="740">
        <v>2</v>
      </c>
      <c r="CG16" s="698" t="str">
        <f t="shared" si="3"/>
        <v xml:space="preserve">    - xform/ai/x/  # ㄞ [ai]</v>
      </c>
      <c r="CI16" s="319" t="s">
        <v>87</v>
      </c>
      <c r="CJ16" s="738" t="s">
        <v>2819</v>
      </c>
      <c r="CK16" s="739" t="s">
        <v>429</v>
      </c>
      <c r="CL16" s="58" t="s">
        <v>341</v>
      </c>
      <c r="CM16" s="113" t="s">
        <v>140</v>
      </c>
      <c r="CN16" s="740">
        <v>2</v>
      </c>
      <c r="CP16" s="698" t="str">
        <f t="shared" si="4"/>
        <v xml:space="preserve">    - xform/^ng(?!\d)/w/  # ㄫ [ ng]</v>
      </c>
    </row>
    <row r="17" spans="1:94" s="193" customFormat="1" ht="45" customHeight="1">
      <c r="A17" s="281"/>
      <c r="B17" s="317" t="s">
        <v>386</v>
      </c>
      <c r="C17" s="318"/>
      <c r="D17" s="319" t="s">
        <v>20</v>
      </c>
      <c r="E17" s="319" t="s">
        <v>27</v>
      </c>
      <c r="F17" s="319" t="s">
        <v>23</v>
      </c>
      <c r="G17" s="319" t="s">
        <v>83</v>
      </c>
      <c r="H17" s="319" t="s">
        <v>29</v>
      </c>
      <c r="I17" s="319" t="s">
        <v>31</v>
      </c>
      <c r="J17" s="319" t="s">
        <v>33</v>
      </c>
      <c r="K17" s="319" t="s">
        <v>85</v>
      </c>
      <c r="L17" s="319" t="s">
        <v>36</v>
      </c>
      <c r="M17" s="319" t="s">
        <v>41</v>
      </c>
      <c r="N17" s="319" t="s">
        <v>38</v>
      </c>
      <c r="O17" s="319" t="s">
        <v>87</v>
      </c>
      <c r="P17" s="319" t="s">
        <v>52</v>
      </c>
      <c r="Q17" s="319" t="s">
        <v>89</v>
      </c>
      <c r="R17" s="319" t="s">
        <v>109</v>
      </c>
      <c r="S17" s="319" t="s">
        <v>91</v>
      </c>
      <c r="T17" s="319" t="s">
        <v>284</v>
      </c>
      <c r="U17" s="319" t="s">
        <v>43</v>
      </c>
      <c r="V17" s="319" t="s">
        <v>48</v>
      </c>
      <c r="W17" s="319" t="s">
        <v>46</v>
      </c>
      <c r="X17" s="319" t="s">
        <v>50</v>
      </c>
      <c r="Y17" s="319" t="s">
        <v>54</v>
      </c>
      <c r="Z17" s="319" t="s">
        <v>111</v>
      </c>
      <c r="AA17" s="319" t="s">
        <v>56</v>
      </c>
      <c r="AB17" s="319" t="s">
        <v>113</v>
      </c>
      <c r="AC17" s="319" t="s">
        <v>58</v>
      </c>
      <c r="AD17" s="319" t="s">
        <v>115</v>
      </c>
      <c r="AE17" s="319" t="s">
        <v>67</v>
      </c>
      <c r="AF17" s="319" t="s">
        <v>121</v>
      </c>
      <c r="AG17" s="319" t="s">
        <v>473</v>
      </c>
      <c r="AH17" s="319" t="s">
        <v>61</v>
      </c>
      <c r="AI17" s="319" t="s">
        <v>119</v>
      </c>
      <c r="AJ17" s="319" t="s">
        <v>241</v>
      </c>
      <c r="AK17" s="319" t="s">
        <v>117</v>
      </c>
      <c r="AL17" s="319" t="s">
        <v>72</v>
      </c>
      <c r="AM17" s="319" t="s">
        <v>123</v>
      </c>
      <c r="AN17" s="319" t="s">
        <v>95</v>
      </c>
      <c r="AO17" s="319" t="s">
        <v>101</v>
      </c>
      <c r="AP17" s="319" t="s">
        <v>99</v>
      </c>
      <c r="AQ17" s="319" t="s">
        <v>125</v>
      </c>
      <c r="AR17" s="319" t="s">
        <v>97</v>
      </c>
      <c r="AS17" s="319" t="s">
        <v>145</v>
      </c>
      <c r="AT17" s="319" t="s">
        <v>76</v>
      </c>
      <c r="AU17" s="319" t="s">
        <v>74</v>
      </c>
      <c r="AV17" s="319" t="s">
        <v>591</v>
      </c>
      <c r="AW17" s="319" t="s">
        <v>128</v>
      </c>
      <c r="AX17" s="319" t="s">
        <v>130</v>
      </c>
      <c r="AY17" s="319" t="s">
        <v>132</v>
      </c>
      <c r="AZ17" s="319" t="s">
        <v>134</v>
      </c>
      <c r="BA17" s="319" t="s">
        <v>104</v>
      </c>
      <c r="BB17" s="319" t="s">
        <v>105</v>
      </c>
      <c r="BC17" s="319" t="s">
        <v>106</v>
      </c>
      <c r="BD17" s="319" t="s">
        <v>107</v>
      </c>
      <c r="BE17" s="319" t="s">
        <v>108</v>
      </c>
      <c r="BF17" s="319" t="s">
        <v>8774</v>
      </c>
      <c r="BG17" s="319" t="s">
        <v>8761</v>
      </c>
      <c r="BH17" s="319" t="s">
        <v>8771</v>
      </c>
      <c r="BI17" s="147"/>
      <c r="BJ17" s="147"/>
      <c r="BM17" s="262">
        <f t="shared" si="1"/>
        <v>13</v>
      </c>
      <c r="BN17" s="319" t="s">
        <v>52</v>
      </c>
      <c r="BO17" s="738" t="str" cm="1">
        <f t="array" ref="BO17" xml:space="preserve"> INDEX(鍵盤設計表[聲韻調], MATCH(TRUE, EXACT($BN17, 鍵盤設計表[方音符號]), 0))</f>
        <v>聲</v>
      </c>
      <c r="BP17" s="739" t="str" cm="1">
        <f t="array" ref="BP17" xml:space="preserve"> INDEX(注音編碼對照表BAK[鍵盤按鍵], MATCH(TRUE, EXACT($BN17, 注音編碼對照表BAK[方音符號]),0))</f>
        <v>c</v>
      </c>
      <c r="BQ17" s="58" t="str" cm="1">
        <f t="array" ref="BQ17" xml:space="preserve"> INDEX(鍵盤設計表[字典編碼], MATCH(TRUE, EXACT($BN17, 鍵盤設計表[方音符號]), 0))</f>
        <v>h</v>
      </c>
      <c r="BR17" s="113" t="str" cm="1">
        <f t="array" ref="BR17" xml:space="preserve"> INDEX(鍵盤設計表[注音二式], MATCH(TRUE, EXACT($BN17, 鍵盤設計表[方音符號]), 0))</f>
        <v>h</v>
      </c>
      <c r="BS17" s="740">
        <f t="shared" si="0"/>
        <v>1</v>
      </c>
      <c r="BU17" s="549" t="str">
        <f t="shared" si="2"/>
        <v xml:space="preserve">    "c": { commit: "ㄏ" }  # /h/ ==&gt; h</v>
      </c>
      <c r="BW17" s="745"/>
      <c r="BX17" s="263"/>
      <c r="BZ17" s="319" t="s">
        <v>72</v>
      </c>
      <c r="CA17" s="738" t="s">
        <v>8102</v>
      </c>
      <c r="CB17" s="739" t="s">
        <v>86</v>
      </c>
      <c r="CC17" s="58" t="s">
        <v>588</v>
      </c>
      <c r="CD17" s="113" t="s">
        <v>326</v>
      </c>
      <c r="CE17" s="740">
        <v>2</v>
      </c>
      <c r="CG17" s="698" t="str">
        <f t="shared" si="3"/>
        <v xml:space="preserve">    - xform/au/y/  # ㄠ [au]</v>
      </c>
      <c r="CI17" s="319" t="s">
        <v>52</v>
      </c>
      <c r="CJ17" s="738" t="s">
        <v>2819</v>
      </c>
      <c r="CK17" s="739" t="s">
        <v>305</v>
      </c>
      <c r="CL17" s="58" t="s">
        <v>422</v>
      </c>
      <c r="CM17" s="113" t="s">
        <v>422</v>
      </c>
      <c r="CN17" s="740">
        <v>1</v>
      </c>
      <c r="CP17" s="698" t="str">
        <f t="shared" si="4"/>
        <v xml:space="preserve">    - xform/^h(?!\d)/h/  # ㄏ [ h]</v>
      </c>
    </row>
    <row r="18" spans="1:94" s="193" customFormat="1" ht="45" customHeight="1">
      <c r="A18" s="281"/>
      <c r="B18" s="725" t="s">
        <v>835</v>
      </c>
      <c r="C18" s="288"/>
      <c r="D18" s="289" t="str" cm="1">
        <f t="array" ref="D18" xml:space="preserve"> INDEX(注音編碼對照表BAK[注音二式], MATCH(TRUE, EXACT(D$17, 注音編碼對照表BAK[方音符號]),0))</f>
        <v>b</v>
      </c>
      <c r="E18" s="289" t="str" cm="1">
        <f t="array" ref="E18" xml:space="preserve"> INDEX(注音編碼對照表BAK[注音二式], MATCH(TRUE, EXACT(E$17, 注音編碼對照表BAK[方音符號]),0))</f>
        <v>bb</v>
      </c>
      <c r="F18" s="289" t="str" cm="1">
        <f t="array" ref="F18" xml:space="preserve"> INDEX(注音編碼對照表BAK[注音二式], MATCH(TRUE, EXACT(F$17, 注音編碼對照表BAK[方音符號]),0))</f>
        <v>p</v>
      </c>
      <c r="G18" s="289" t="str" cm="1">
        <f t="array" ref="G18" xml:space="preserve"> INDEX(注音編碼對照表BAK[注音二式], MATCH(TRUE, EXACT(G$17, 注音編碼對照表BAK[方音符號]),0))</f>
        <v>m</v>
      </c>
      <c r="H18" s="289" t="str" cm="1">
        <f t="array" ref="H18" xml:space="preserve"> INDEX(注音編碼對照表BAK[注音二式], MATCH(TRUE, EXACT(H$17, 注音編碼對照表BAK[方音符號]),0))</f>
        <v>d</v>
      </c>
      <c r="I18" s="289" t="str" cm="1">
        <f t="array" ref="I18" xml:space="preserve"> INDEX(注音編碼對照表BAK[注音二式], MATCH(TRUE, EXACT(I$17, 注音編碼對照表BAK[方音符號]),0))</f>
        <v>t</v>
      </c>
      <c r="J18" s="289" t="str" cm="1">
        <f t="array" ref="J18" xml:space="preserve"> INDEX(注音編碼對照表BAK[注音二式], MATCH(TRUE, EXACT(J$17, 注音編碼對照表BAK[方音符號]),0))</f>
        <v>n</v>
      </c>
      <c r="K18" s="289" t="str" cm="1">
        <f t="array" ref="K18" xml:space="preserve"> INDEX(注音編碼對照表BAK[注音二式], MATCH(TRUE, EXACT(K$17, 注音編碼對照表BAK[方音符號]),0))</f>
        <v>l</v>
      </c>
      <c r="L18" s="289" t="str" cm="1">
        <f t="array" ref="L18" xml:space="preserve"> INDEX(注音編碼對照表BAK[注音二式], MATCH(TRUE, EXACT(L$17, 注音編碼對照表BAK[方音符號]),0))</f>
        <v>g</v>
      </c>
      <c r="M18" s="289" t="str" cm="1">
        <f t="array" ref="M18" xml:space="preserve"> INDEX(注音編碼對照表BAK[注音二式], MATCH(TRUE, EXACT(M$17, 注音編碼對照表BAK[方音符號]),0))</f>
        <v>gg</v>
      </c>
      <c r="N18" s="289" t="str" cm="1">
        <f t="array" ref="N18" xml:space="preserve"> INDEX(注音編碼對照表BAK[注音二式], MATCH(TRUE, EXACT(N$17, 注音編碼對照表BAK[方音符號]),0))</f>
        <v>k</v>
      </c>
      <c r="O18" s="289" t="str" cm="1">
        <f t="array" ref="O18" xml:space="preserve"> INDEX(注音編碼對照表BAK[注音二式], MATCH(TRUE, EXACT(O$17, 注音編碼對照表BAK[方音符號]),0))</f>
        <v>ng</v>
      </c>
      <c r="P18" s="289" t="str" cm="1">
        <f t="array" ref="P18" xml:space="preserve"> INDEX(注音編碼對照表BAK[注音二式], MATCH(TRUE, EXACT(P$17, 注音編碼對照表BAK[方音符號]),0))</f>
        <v>h</v>
      </c>
      <c r="Q18" s="289" t="str" cm="1">
        <f t="array" ref="Q18" xml:space="preserve"> INDEX(注音編碼對照表BAK[注音二式], MATCH(TRUE, EXACT(Q$17, 注音編碼對照表BAK[方音符號]),0))</f>
        <v>j</v>
      </c>
      <c r="R18" s="289" t="str" cm="1">
        <f t="array" ref="R18" xml:space="preserve"> INDEX(注音編碼對照表BAK[注音二式], MATCH(TRUE, EXACT(R$17, 注音編碼對照表BAK[方音符號]),0))</f>
        <v>jj</v>
      </c>
      <c r="S18" s="289" t="str" cm="1">
        <f t="array" ref="S18" xml:space="preserve"> INDEX(注音編碼對照表BAK[注音二式], MATCH(TRUE, EXACT(S$17, 注音編碼對照表BAK[方音符號]),0))</f>
        <v>ch</v>
      </c>
      <c r="T18" s="289" t="str" cm="1">
        <f t="array" ref="T18" xml:space="preserve"> INDEX(注音編碼對照表BAK[注音二式], MATCH(TRUE, EXACT(T$17, 注音編碼對照表BAK[方音符號]),0))</f>
        <v>sh</v>
      </c>
      <c r="U18" s="289" t="str" cm="1">
        <f t="array" ref="U18" xml:space="preserve"> INDEX(注音編碼對照表BAK[注音二式], MATCH(TRUE, EXACT(U$17, 注音編碼對照表BAK[方音符號]),0))</f>
        <v>z</v>
      </c>
      <c r="V18" s="289" t="str" cm="1">
        <f t="array" ref="V18" xml:space="preserve"> INDEX(注音編碼對照表BAK[注音二式], MATCH(TRUE, EXACT(V$17, 注音編碼對照表BAK[方音符號]),0))</f>
        <v>zz</v>
      </c>
      <c r="W18" s="289" t="str" cm="1">
        <f t="array" ref="W18" xml:space="preserve"> INDEX(注音編碼對照表BAK[注音二式], MATCH(TRUE, EXACT(W$17, 注音編碼對照表BAK[方音符號]),0))</f>
        <v>c</v>
      </c>
      <c r="X18" s="289" t="str" cm="1">
        <f t="array" ref="X18" xml:space="preserve"> INDEX(注音編碼對照表BAK[注音二式], MATCH(TRUE, EXACT(X$17, 注音編碼對照表BAK[方音符號]),0))</f>
        <v>s</v>
      </c>
      <c r="Y18" s="289" t="str" cm="1">
        <f t="array" ref="Y18" xml:space="preserve"> INDEX(注音編碼對照表BAK[注音二式], MATCH(TRUE, EXACT(Y$17, 注音編碼對照表BAK[方音符號]),0))</f>
        <v>i</v>
      </c>
      <c r="Z18" s="289" t="str" cm="1">
        <f t="array" ref="Z18" xml:space="preserve"> INDEX(注音編碼對照表BAK[注音二式], MATCH(TRUE, EXACT(Z$17, 注音編碼對照表BAK[方音符號]),0))</f>
        <v>inn</v>
      </c>
      <c r="AA18" s="289" t="str" cm="1">
        <f t="array" ref="AA18" xml:space="preserve"> INDEX(注音編碼對照表BAK[注音二式], MATCH(TRUE, EXACT(AA$17, 注音編碼對照表BAK[方音符號]),0))</f>
        <v>u</v>
      </c>
      <c r="AB18" s="289" t="str" cm="1">
        <f t="array" ref="AB18" xml:space="preserve"> INDEX(注音編碼對照表BAK[注音二式], MATCH(TRUE, EXACT(AB$17, 注音編碼對照表BAK[方音符號]),0))</f>
        <v>unn</v>
      </c>
      <c r="AC18" s="289" t="str" cm="1">
        <f t="array" ref="AC18" xml:space="preserve"> INDEX(注音編碼對照表BAK[注音二式], MATCH(TRUE, EXACT(AC$17, 注音編碼對照表BAK[方音符號]),0))</f>
        <v>a</v>
      </c>
      <c r="AD18" s="289" t="str" cm="1">
        <f t="array" ref="AD18" xml:space="preserve"> INDEX(注音編碼對照表BAK[注音二式], MATCH(TRUE, EXACT(AD$17, 注音編碼對照表BAK[方音符號]),0))</f>
        <v>ann</v>
      </c>
      <c r="AE18" s="289" t="str" cm="1">
        <f t="array" ref="AE18" xml:space="preserve"> INDEX(注音編碼對照表BAK[注音二式], MATCH(TRUE, EXACT(AE$17, 注音編碼對照表BAK[方音符號]),0))</f>
        <v>oo</v>
      </c>
      <c r="AF18" s="289" t="str" cm="1">
        <f t="array" ref="AF18" xml:space="preserve"> INDEX(注音編碼對照表BAK[注音二式], MATCH(TRUE, EXACT(AF$17, 注音編碼對照表BAK[方音符號]),0))</f>
        <v>oonn</v>
      </c>
      <c r="AG18" s="289" t="str" cm="1">
        <f t="array" ref="AG18" xml:space="preserve"> INDEX(注音編碼對照表BAK[注音二式], MATCH(TRUE, EXACT(AG$17, 注音編碼對照表BAK[方音符號]),0))</f>
        <v>or</v>
      </c>
      <c r="AH18" s="289" t="str" cm="1">
        <f t="array" ref="AH18" xml:space="preserve"> INDEX(注音編碼對照表BAK[注音二式], MATCH(TRUE, EXACT(AH$17, 注音編碼對照表BAK[方音符號]),0))</f>
        <v>e</v>
      </c>
      <c r="AI18" s="289" t="str" cm="1">
        <f t="array" ref="AI18" xml:space="preserve"> INDEX(注音編碼對照表BAK[注音二式], MATCH(TRUE, EXACT(AI$17, 注音編碼對照表BAK[方音符號]),0))</f>
        <v>enn</v>
      </c>
      <c r="AJ18" s="289" t="str" cm="1">
        <f t="array" ref="AJ18" xml:space="preserve"> INDEX(注音編碼對照表BAK[注音二式], MATCH(TRUE, EXACT(AJ$17, 注音編碼對照表BAK[方音符號]),0))</f>
        <v>ai</v>
      </c>
      <c r="AK18" s="289" t="str" cm="1">
        <f t="array" ref="AK18" xml:space="preserve"> INDEX(注音編碼對照表BAK[注音二式], MATCH(TRUE, EXACT(AK$17, 注音編碼對照表BAK[方音符號]),0))</f>
        <v>ainn</v>
      </c>
      <c r="AL18" s="289" t="str" cm="1">
        <f t="array" ref="AL18" xml:space="preserve"> INDEX(注音編碼對照表BAK[注音二式], MATCH(TRUE, EXACT(AL$17, 注音編碼對照表BAK[方音符號]),0))</f>
        <v>au</v>
      </c>
      <c r="AM18" s="289" t="str" cm="1">
        <f t="array" ref="AM18" xml:space="preserve"> INDEX(注音編碼對照表BAK[注音二式], MATCH(TRUE, EXACT(AM$17, 注音編碼對照表BAK[方音符號]),0))</f>
        <v>aunn</v>
      </c>
      <c r="AN18" s="289" t="str" cm="1">
        <f t="array" ref="AN18" xml:space="preserve"> INDEX(注音編碼對照表BAK[注音二式], MATCH(TRUE, EXACT(AN$17, 注音編碼對照表BAK[方音符號]),0))</f>
        <v>ang</v>
      </c>
      <c r="AO18" s="289" t="str" cm="1">
        <f t="array" ref="AO18" xml:space="preserve"> INDEX(注音編碼對照表BAK[注音二式], MATCH(TRUE, EXACT(AO$17, 注音編碼對照表BAK[方音符號]),0))</f>
        <v>ong</v>
      </c>
      <c r="AP18" s="289" t="str" cm="1">
        <f t="array" ref="AP18" xml:space="preserve"> INDEX(注音編碼對照表BAK[注音二式], MATCH(TRUE, EXACT(AP$17, 注音編碼對照表BAK[方音符號]),0))</f>
        <v>am</v>
      </c>
      <c r="AQ18" s="289" t="str" cm="1">
        <f t="array" ref="AQ18" xml:space="preserve"> INDEX(注音編碼對照表BAK[注音二式], MATCH(TRUE, EXACT(AQ$17, 注音編碼對照表BAK[方音符號]),0))</f>
        <v>om</v>
      </c>
      <c r="AR18" s="289" t="str" cm="1">
        <f t="array" ref="AR18" xml:space="preserve"> INDEX(注音編碼對照表BAK[注音二式], MATCH(TRUE, EXACT(AR$17, 注音編碼對照表BAK[方音符號]),0))</f>
        <v>an</v>
      </c>
      <c r="AS18" s="289" t="str" cm="1">
        <f t="array" ref="AS18" xml:space="preserve"> INDEX(注音編碼對照表BAK[注音二式], MATCH(TRUE, EXACT(AS$17, 注音編碼對照表BAK[方音符號]),0))</f>
        <v>m</v>
      </c>
      <c r="AT18" s="289" t="str" cm="1">
        <f t="array" ref="AT18" xml:space="preserve"> INDEX(注音編碼對照表BAK[注音二式], MATCH(TRUE, EXACT(AT$17, 注音編碼對照表BAK[方音符號]),0))</f>
        <v>n</v>
      </c>
      <c r="AU18" s="289" t="str" cm="1">
        <f t="array" ref="AU18" xml:space="preserve"> INDEX(注音編碼對照表BAK[注音二式], MATCH(TRUE, EXACT(AU$17, 注音編碼對照表BAK[方音符號]),0))</f>
        <v>ng</v>
      </c>
      <c r="AV18" s="289" t="str" cm="1">
        <f t="array" ref="AV18" xml:space="preserve"> INDEX(注音編碼對照表BAK[注音二式], MATCH(TRUE, EXACT(AV$17, 注音編碼對照表BAK[方音符號]),0))</f>
        <v>ir</v>
      </c>
      <c r="AW18" s="289" t="str" cm="1">
        <f t="array" ref="AW18" xml:space="preserve"> INDEX(注音編碼對照表BAK[注音二式], MATCH(TRUE, EXACT(AW$17, 注音編碼對照表BAK[方音符號]),0))</f>
        <v>p</v>
      </c>
      <c r="AX18" s="289" t="str" cm="1">
        <f t="array" ref="AX18" xml:space="preserve"> INDEX(注音編碼對照表BAK[注音二式], MATCH(TRUE, EXACT(AX$17, 注音編碼對照表BAK[方音符號]),0))</f>
        <v>t</v>
      </c>
      <c r="AY18" s="289" t="str" cm="1">
        <f t="array" ref="AY18" xml:space="preserve"> INDEX(注音編碼對照表BAK[注音二式], MATCH(TRUE, EXACT(AY$17, 注音編碼對照表BAK[方音符號]),0))</f>
        <v>k</v>
      </c>
      <c r="AZ18" s="289" t="str" cm="1">
        <f t="array" ref="AZ18" xml:space="preserve"> INDEX(注音編碼對照表BAK[注音二式], MATCH(TRUE, EXACT(AZ$17, 注音編碼對照表BAK[方音符號]),0))</f>
        <v>h</v>
      </c>
      <c r="BA18" s="289" cm="1">
        <f t="array" ref="BA18" xml:space="preserve"> INDEX(注音編碼對照表BAK[注音二式], MATCH(TRUE, EXACT(BA$17, 注音編碼對照表BAK[方音符號]),0))</f>
        <v>2</v>
      </c>
      <c r="BB18" s="289" cm="1">
        <f t="array" ref="BB18" xml:space="preserve"> INDEX(注音編碼對照表BAK[注音二式], MATCH(TRUE, EXACT(BB$17, 注音編碼對照表BAK[方音符號]),0))</f>
        <v>3</v>
      </c>
      <c r="BC18" s="289" cm="1">
        <f t="array" ref="BC18" xml:space="preserve"> INDEX(注音編碼對照表BAK[注音二式], MATCH(TRUE, EXACT(BC$17, 注音編碼對照表BAK[方音符號]),0))</f>
        <v>5</v>
      </c>
      <c r="BD18" s="289" cm="1">
        <f t="array" ref="BD18" xml:space="preserve"> INDEX(注音編碼對照表BAK[注音二式], MATCH(TRUE, EXACT(BD$17, 注音編碼對照表BAK[方音符號]),0))</f>
        <v>8</v>
      </c>
      <c r="BE18" s="289" cm="1">
        <f t="array" ref="BE18" xml:space="preserve"> INDEX(注音編碼對照表BAK[注音二式], MATCH(TRUE, EXACT(BE$17, 注音編碼對照表BAK[方音符號]),0))</f>
        <v>8</v>
      </c>
      <c r="BF18" s="289" cm="1">
        <f t="array" ref="BF18" xml:space="preserve"> INDEX(注音編碼對照表BAK[注音二式], MATCH(TRUE, EXACT(BF$17, 注音編碼對照表BAK[方音符號]),0))</f>
        <v>0</v>
      </c>
      <c r="BG18" s="289" t="str" cm="1">
        <f t="array" ref="BG18" xml:space="preserve"> INDEX(注音編碼對照表BAK[注音二式], MATCH(TRUE, EXACT(BG$17, 注音編碼對照表BAK[方音符號]),0))</f>
        <v>nn</v>
      </c>
      <c r="BH18" s="289" t="str" cm="1">
        <f t="array" ref="BH18" xml:space="preserve"> INDEX(注音編碼對照表BAK[注音二式], MATCH(TRUE, EXACT(BH$17, 注音編碼對照表BAK[方音符號]),0))</f>
        <v>*nn</v>
      </c>
      <c r="BI18" s="147"/>
      <c r="BJ18" s="147"/>
      <c r="BM18" s="262">
        <f t="shared" si="1"/>
        <v>14</v>
      </c>
      <c r="BN18" s="319" t="s">
        <v>89</v>
      </c>
      <c r="BO18" s="738" t="str" cm="1">
        <f t="array" ref="BO18" xml:space="preserve"> INDEX(鍵盤設計表[聲韻調], MATCH(TRUE, EXACT($BN18, 鍵盤設計表[方音符號]), 0))</f>
        <v>聲</v>
      </c>
      <c r="BP18" s="739" t="str" cm="1">
        <f t="array" ref="BP18" xml:space="preserve"> INDEX(注音編碼對照表BAK[鍵盤按鍵], MATCH(TRUE, EXACT($BN18, 注音編碼對照表BAK[方音符號]),0))</f>
        <v>r</v>
      </c>
      <c r="BQ18" s="58" t="str" cm="1">
        <f t="array" ref="BQ18" xml:space="preserve"> INDEX(鍵盤設計表[字典編碼], MATCH(TRUE, EXACT($BN18, 鍵盤設計表[方音符號]), 0))</f>
        <v>j</v>
      </c>
      <c r="BR18" s="113" t="str" cm="1">
        <f t="array" ref="BR18" xml:space="preserve"> INDEX(鍵盤設計表[注音二式], MATCH(TRUE, EXACT($BN18, 鍵盤設計表[方音符號]), 0))</f>
        <v>j</v>
      </c>
      <c r="BS18" s="740">
        <f t="shared" si="0"/>
        <v>1</v>
      </c>
      <c r="BU18" s="549" t="str">
        <f t="shared" si="2"/>
        <v xml:space="preserve">    "r": { commit: "ㄐ" }  # /j/ ==&gt; j</v>
      </c>
      <c r="BW18" s="745"/>
      <c r="BX18" s="263"/>
      <c r="BZ18" s="319" t="s">
        <v>99</v>
      </c>
      <c r="CA18" s="738" t="s">
        <v>8102</v>
      </c>
      <c r="CB18" s="739" t="s">
        <v>525</v>
      </c>
      <c r="CC18" s="58" t="s">
        <v>568</v>
      </c>
      <c r="CD18" s="113" t="s">
        <v>207</v>
      </c>
      <c r="CE18" s="740">
        <v>2</v>
      </c>
      <c r="CG18" s="698" t="str">
        <f t="shared" si="3"/>
        <v xml:space="preserve">    - xform/am/V/  # ㆰ [am]</v>
      </c>
      <c r="CI18" s="319" t="s">
        <v>89</v>
      </c>
      <c r="CJ18" s="738" t="s">
        <v>2819</v>
      </c>
      <c r="CK18" s="739" t="s">
        <v>283</v>
      </c>
      <c r="CL18" s="58" t="s">
        <v>254</v>
      </c>
      <c r="CM18" s="113" t="s">
        <v>254</v>
      </c>
      <c r="CN18" s="740">
        <v>1</v>
      </c>
      <c r="CP18" s="698" t="str">
        <f t="shared" si="4"/>
        <v xml:space="preserve">    - xform/^j(?!\d)/j/  # ㄐ [ j]</v>
      </c>
    </row>
    <row r="19" spans="1:94" s="193" customFormat="1" ht="45" customHeight="1">
      <c r="A19" s="281"/>
      <c r="B19" s="515" t="s">
        <v>8741</v>
      </c>
      <c r="C19" s="285"/>
      <c r="D19" s="286" t="str" cm="1">
        <f t="array" ref="D19" xml:space="preserve"> INDEX(注音編碼對照表BAK[字典編碼], MATCH(TRUE, EXACT(D$17, 注音編碼對照表BAK[方音符號]),0))</f>
        <v>b</v>
      </c>
      <c r="E19" s="286" t="str" cm="1">
        <f t="array" ref="E19" xml:space="preserve"> INDEX(注音編碼對照表BAK[字典編碼], MATCH(TRUE, EXACT(E$17, 注音編碼對照表BAK[方音符號]),0))</f>
        <v>B</v>
      </c>
      <c r="F19" s="286" t="str" cm="1">
        <f t="array" ref="F19" xml:space="preserve"> INDEX(注音編碼對照表BAK[字典編碼], MATCH(TRUE, EXACT(F$17, 注音編碼對照表BAK[方音符號]),0))</f>
        <v>p</v>
      </c>
      <c r="G19" s="286" t="str" cm="1">
        <f t="array" ref="G19" xml:space="preserve"> INDEX(注音編碼對照表BAK[字典編碼], MATCH(TRUE, EXACT(G$17, 注音編碼對照表BAK[方音符號]),0))</f>
        <v>m</v>
      </c>
      <c r="H19" s="286" t="str" cm="1">
        <f t="array" ref="H19" xml:space="preserve"> INDEX(注音編碼對照表BAK[字典編碼], MATCH(TRUE, EXACT(H$17, 注音編碼對照表BAK[方音符號]),0))</f>
        <v>d</v>
      </c>
      <c r="I19" s="286" t="str" cm="1">
        <f t="array" ref="I19" xml:space="preserve"> INDEX(注音編碼對照表BAK[字典編碼], MATCH(TRUE, EXACT(I$17, 注音編碼對照表BAK[方音符號]),0))</f>
        <v>t</v>
      </c>
      <c r="J19" s="286" t="str" cm="1">
        <f t="array" ref="J19" xml:space="preserve"> INDEX(注音編碼對照表BAK[字典編碼], MATCH(TRUE, EXACT(J$17, 注音編碼對照表BAK[方音符號]),0))</f>
        <v>n</v>
      </c>
      <c r="K19" s="286" t="str" cm="1">
        <f t="array" ref="K19" xml:space="preserve"> INDEX(注音編碼對照表BAK[字典編碼], MATCH(TRUE, EXACT(K$17, 注音編碼對照表BAK[方音符號]),0))</f>
        <v>l</v>
      </c>
      <c r="L19" s="286" t="str" cm="1">
        <f t="array" ref="L19" xml:space="preserve"> INDEX(注音編碼對照表BAK[字典編碼], MATCH(TRUE, EXACT(L$17, 注音編碼對照表BAK[方音符號]),0))</f>
        <v>g</v>
      </c>
      <c r="M19" s="286" t="str" cm="1">
        <f t="array" ref="M19" xml:space="preserve"> INDEX(注音編碼對照表BAK[字典編碼], MATCH(TRUE, EXACT(M$17, 注音編碼對照表BAK[方音符號]),0))</f>
        <v>G</v>
      </c>
      <c r="N19" s="286" t="str" cm="1">
        <f t="array" ref="N19" xml:space="preserve"> INDEX(注音編碼對照表BAK[字典編碼], MATCH(TRUE, EXACT(N$17, 注音編碼對照表BAK[方音符號]),0))</f>
        <v>k</v>
      </c>
      <c r="O19" s="286" t="str" cm="1">
        <f t="array" ref="O19" xml:space="preserve"> INDEX(注音編碼對照表BAK[字典編碼], MATCH(TRUE, EXACT(O$17, 注音編碼對照表BAK[方音符號]),0))</f>
        <v>w</v>
      </c>
      <c r="P19" s="286" t="str" cm="1">
        <f t="array" ref="P19" xml:space="preserve"> INDEX(注音編碼對照表BAK[字典編碼], MATCH(TRUE, EXACT(P$17, 注音編碼對照表BAK[方音符號]),0))</f>
        <v>h</v>
      </c>
      <c r="Q19" s="286" t="str" cm="1">
        <f t="array" ref="Q19" xml:space="preserve"> INDEX(注音編碼對照表BAK[字典編碼], MATCH(TRUE, EXACT(Q$17, 注音編碼對照表BAK[方音符號]),0))</f>
        <v>j</v>
      </c>
      <c r="R19" s="286" t="str" cm="1">
        <f t="array" ref="R19" xml:space="preserve"> INDEX(注音編碼對照表BAK[字典編碼], MATCH(TRUE, EXACT(R$17, 注音編碼對照表BAK[方音符號]),0))</f>
        <v>J</v>
      </c>
      <c r="S19" s="286" t="str" cm="1">
        <f t="array" ref="S19" xml:space="preserve"> INDEX(注音編碼對照表BAK[字典編碼], MATCH(TRUE, EXACT(S$17, 注音編碼對照表BAK[方音符號]),0))</f>
        <v>C</v>
      </c>
      <c r="T19" s="286" t="str" cm="1">
        <f t="array" ref="T19" xml:space="preserve"> INDEX(注音編碼對照表BAK[字典編碼], MATCH(TRUE, EXACT(T$17, 注音編碼對照表BAK[方音符號]),0))</f>
        <v>S</v>
      </c>
      <c r="U19" s="286" t="str" cm="1">
        <f t="array" ref="U19" xml:space="preserve"> INDEX(注音編碼對照表BAK[字典編碼], MATCH(TRUE, EXACT(U$17, 注音編碼對照表BAK[方音符號]),0))</f>
        <v>z</v>
      </c>
      <c r="V19" s="286" t="str" cm="1">
        <f t="array" ref="V19" xml:space="preserve"> INDEX(注音編碼對照表BAK[字典編碼], MATCH(TRUE, EXACT(V$17, 注音編碼對照表BAK[方音符號]),0))</f>
        <v>Z</v>
      </c>
      <c r="W19" s="286" t="str" cm="1">
        <f t="array" ref="W19" xml:space="preserve"> INDEX(注音編碼對照表BAK[字典編碼], MATCH(TRUE, EXACT(W$17, 注音編碼對照表BAK[方音符號]),0))</f>
        <v>c</v>
      </c>
      <c r="X19" s="286" t="str" cm="1">
        <f t="array" ref="X19" xml:space="preserve"> INDEX(注音編碼對照表BAK[字典編碼], MATCH(TRUE, EXACT(X$17, 注音編碼對照表BAK[方音符號]),0))</f>
        <v>s</v>
      </c>
      <c r="Y19" s="286" t="str" cm="1">
        <f t="array" ref="Y19" xml:space="preserve"> INDEX(注音編碼對照表BAK[字典編碼], MATCH(TRUE, EXACT(Y$17, 注音編碼對照表BAK[方音符號]),0))</f>
        <v>i</v>
      </c>
      <c r="Z19" s="286" t="str" cm="1">
        <f t="array" ref="Z19" xml:space="preserve"> INDEX(注音編碼對照表BAK[字典編碼], MATCH(TRUE, EXACT(Z$17, 注音編碼對照表BAK[方音符號]),0))</f>
        <v>I</v>
      </c>
      <c r="AA19" s="286" t="str" cm="1">
        <f t="array" ref="AA19" xml:space="preserve"> INDEX(注音編碼對照表BAK[字典編碼], MATCH(TRUE, EXACT(AA$17, 注音編碼對照表BAK[方音符號]),0))</f>
        <v>u</v>
      </c>
      <c r="AB19" s="286" t="str" cm="1">
        <f t="array" ref="AB19" xml:space="preserve"> INDEX(注音編碼對照表BAK[字典編碼], MATCH(TRUE, EXACT(AB$17, 注音編碼對照表BAK[方音符號]),0))</f>
        <v>U</v>
      </c>
      <c r="AC19" s="286" t="str" cm="1">
        <f t="array" ref="AC19" xml:space="preserve"> INDEX(注音編碼對照表BAK[字典編碼], MATCH(TRUE, EXACT(AC$17, 注音編碼對照表BAK[方音符號]),0))</f>
        <v>a</v>
      </c>
      <c r="AD19" s="286" t="str" cm="1">
        <f t="array" ref="AD19" xml:space="preserve"> INDEX(注音編碼對照表BAK[字典編碼], MATCH(TRUE, EXACT(AD$17, 注音編碼對照表BAK[方音符號]),0))</f>
        <v>A</v>
      </c>
      <c r="AE19" s="286" t="str" cm="1">
        <f t="array" ref="AE19" xml:space="preserve"> INDEX(注音編碼對照表BAK[字典編碼], MATCH(TRUE, EXACT(AE$17, 注音編碼對照表BAK[方音符號]),0))</f>
        <v>O</v>
      </c>
      <c r="AF19" s="286" t="str" cm="1">
        <f t="array" ref="AF19" xml:space="preserve"> INDEX(注音編碼對照表BAK[字典編碼], MATCH(TRUE, EXACT(AF$17, 注音編碼對照表BAK[方音符號]),0))</f>
        <v>Q</v>
      </c>
      <c r="AG19" s="286" t="str" cm="1">
        <f t="array" ref="AG19" xml:space="preserve"> INDEX(注音編碼對照表BAK[字典編碼], MATCH(TRUE, EXACT(AG$17, 注音編碼對照表BAK[方音符號]),0))</f>
        <v>o</v>
      </c>
      <c r="AH19" s="286" t="str" cm="1">
        <f t="array" ref="AH19" xml:space="preserve"> INDEX(注音編碼對照表BAK[字典編碼], MATCH(TRUE, EXACT(AH$17, 注音編碼對照表BAK[方音符號]),0))</f>
        <v>e</v>
      </c>
      <c r="AI19" s="286" t="str" cm="1">
        <f t="array" ref="AI19" xml:space="preserve"> INDEX(注音編碼對照表BAK[字典編碼], MATCH(TRUE, EXACT(AI$17, 注音編碼對照表BAK[方音符號]),0))</f>
        <v>E</v>
      </c>
      <c r="AJ19" s="286" t="str" cm="1">
        <f t="array" ref="AJ19" xml:space="preserve"> INDEX(注音編碼對照表BAK[字典編碼], MATCH(TRUE, EXACT(AJ$17, 注音編碼對照表BAK[方音符號]),0))</f>
        <v>x</v>
      </c>
      <c r="AK19" s="286" t="str" cm="1">
        <f t="array" ref="AK19" xml:space="preserve"> INDEX(注音編碼對照表BAK[字典編碼], MATCH(TRUE, EXACT(AK$17, 注音編碼對照表BAK[方音符號]),0))</f>
        <v>X</v>
      </c>
      <c r="AL19" s="286" t="str" cm="1">
        <f t="array" ref="AL19" xml:space="preserve"> INDEX(注音編碼對照表BAK[字典編碼], MATCH(TRUE, EXACT(AL$17, 注音編碼對照表BAK[方音符號]),0))</f>
        <v>y</v>
      </c>
      <c r="AM19" s="286" t="str" cm="1">
        <f t="array" ref="AM19" xml:space="preserve"> INDEX(注音編碼對照表BAK[字典編碼], MATCH(TRUE, EXACT(AM$17, 注音編碼對照表BAK[方音符號]),0))</f>
        <v>Y</v>
      </c>
      <c r="AN19" s="286" t="str" cm="1">
        <f t="array" ref="AN19" xml:space="preserve"> INDEX(注音編碼對照表BAK[字典編碼], MATCH(TRUE, EXACT(AN$17, 注音編碼對照表BAK[方音符號]),0))</f>
        <v>P</v>
      </c>
      <c r="AO19" s="286" t="str" cm="1">
        <f t="array" ref="AO19" xml:space="preserve"> INDEX(注音編碼對照表BAK[字典編碼], MATCH(TRUE, EXACT(AO$17, 注音編碼對照表BAK[方音符號]),0))</f>
        <v>H</v>
      </c>
      <c r="AP19" s="286" t="str" cm="1">
        <f t="array" ref="AP19" xml:space="preserve"> INDEX(注音編碼對照表BAK[字典編碼], MATCH(TRUE, EXACT(AP$17, 注音編碼對照表BAK[方音符號]),0))</f>
        <v>V</v>
      </c>
      <c r="AQ19" s="286" t="str" cm="1">
        <f t="array" ref="AQ19" xml:space="preserve"> INDEX(注音編碼對照表BAK[字典編碼], MATCH(TRUE, EXACT(AQ$17, 注音編碼對照表BAK[方音符號]),0))</f>
        <v>D</v>
      </c>
      <c r="AR19" s="286" t="str" cm="1">
        <f t="array" ref="AR19" xml:space="preserve"> INDEX(注音編碼對照表BAK[字典編碼], MATCH(TRUE, EXACT(AR$17, 注音編碼對照表BAK[方音符號]),0))</f>
        <v>@</v>
      </c>
      <c r="AS19" s="286" t="str" cm="1">
        <f t="array" ref="AS19" xml:space="preserve"> INDEX(注音編碼對照表BAK[字典編碼], MATCH(TRUE, EXACT(AS$17, 注音編碼對照表BAK[方音符號]),0))</f>
        <v>M</v>
      </c>
      <c r="AT19" s="286" t="str" cm="1">
        <f t="array" ref="AT19" xml:space="preserve"> INDEX(注音編碼對照表BAK[字典編碼], MATCH(TRUE, EXACT(AT$17, 注音編碼對照表BAK[方音符號]),0))</f>
        <v>N</v>
      </c>
      <c r="AU19" s="286" t="str" cm="1">
        <f t="array" ref="AU19" xml:space="preserve"> INDEX(注音編碼對照表BAK[字典編碼], MATCH(TRUE, EXACT(AU$17, 注音編碼對照表BAK[方音符號]),0))</f>
        <v>W</v>
      </c>
      <c r="AV19" s="286" t="str" cm="1">
        <f t="array" ref="AV19" xml:space="preserve"> INDEX(注音編碼對照表BAK[字典編碼], MATCH(TRUE, EXACT(AV$17, 注音編碼對照表BAK[方音符號]),0))</f>
        <v>R</v>
      </c>
      <c r="AW19" s="286" t="str" cm="1">
        <f t="array" ref="AW19" xml:space="preserve"> INDEX(注音編碼對照表BAK[字典編碼], MATCH(TRUE, EXACT(AW$17, 注音編碼對照表BAK[方音符號]),0))</f>
        <v>r</v>
      </c>
      <c r="AX19" s="286" t="str" cm="1">
        <f t="array" ref="AX19" xml:space="preserve"> INDEX(注音編碼對照表BAK[字典編碼], MATCH(TRUE, EXACT(AX$17, 注音編碼對照表BAK[方音符號]),0))</f>
        <v>f</v>
      </c>
      <c r="AY19" s="286" t="str" cm="1">
        <f t="array" ref="AY19" xml:space="preserve"> INDEX(注音編碼對照表BAK[字典編碼], MATCH(TRUE, EXACT(AY$17, 注音編碼對照表BAK[方音符號]),0))</f>
        <v>q</v>
      </c>
      <c r="AZ19" s="286" t="str" cm="1">
        <f t="array" ref="AZ19" xml:space="preserve"> INDEX(注音編碼對照表BAK[字典編碼], MATCH(TRUE, EXACT(AZ$17, 注音編碼對照表BAK[方音符號]),0))</f>
        <v>v</v>
      </c>
      <c r="BA19" s="286" t="str" cm="1">
        <f t="array" ref="BA19" xml:space="preserve"> INDEX(注音編碼對照表BAK[字典編碼], MATCH(TRUE, EXACT(BA$17, 注音編碼對照表BAK[方音符號]),0))</f>
        <v>2</v>
      </c>
      <c r="BB19" s="286" t="str" cm="1">
        <f t="array" ref="BB19" xml:space="preserve"> INDEX(注音編碼對照表BAK[字典編碼], MATCH(TRUE, EXACT(BB$17, 注音編碼對照表BAK[方音符號]),0))</f>
        <v>3</v>
      </c>
      <c r="BC19" s="286" t="str" cm="1">
        <f t="array" ref="BC19" xml:space="preserve"> INDEX(注音編碼對照表BAK[字典編碼], MATCH(TRUE, EXACT(BC$17, 注音編碼對照表BAK[方音符號]),0))</f>
        <v>5</v>
      </c>
      <c r="BD19" s="286" cm="1">
        <f t="array" ref="BD19" xml:space="preserve"> INDEX(注音編碼對照表BAK[字典編碼], MATCH(TRUE, EXACT(BD$17, 注音編碼對照表BAK[方音符號]),0))</f>
        <v>0</v>
      </c>
      <c r="BE19" s="286" cm="1">
        <f t="array" ref="BE19" xml:space="preserve"> INDEX(注音編碼對照表BAK[字典編碼], MATCH(TRUE, EXACT(BE$17, 注音編碼對照表BAK[方音符號]),0))</f>
        <v>8</v>
      </c>
      <c r="BF19" s="286" cm="1">
        <f t="array" ref="BF19" xml:space="preserve"> INDEX(注音編碼對照表BAK[字典編碼], MATCH(TRUE, EXACT(BF$17, 注音編碼對照表BAK[方音符號]),0))</f>
        <v>0</v>
      </c>
      <c r="BG19" s="286" t="str" cm="1">
        <f t="array" ref="BG19" xml:space="preserve"> INDEX(注音編碼對照表BAK[字典編碼], MATCH(TRUE, EXACT(BG$17, 注音編碼對照表BAK[方音符號]),0))</f>
        <v>L</v>
      </c>
      <c r="BH19" s="286" t="str" cm="1">
        <f t="array" ref="BH19" xml:space="preserve"> INDEX(注音編碼對照表BAK[字典編碼], MATCH(TRUE, EXACT(BH$17, 注音編碼對照表BAK[方音符號]),0))</f>
        <v>&amp;</v>
      </c>
      <c r="BI19" s="145"/>
      <c r="BJ19" s="145"/>
      <c r="BK19" s="145"/>
      <c r="BM19" s="262">
        <f t="shared" si="1"/>
        <v>15</v>
      </c>
      <c r="BN19" s="319" t="s">
        <v>109</v>
      </c>
      <c r="BO19" s="738" t="str" cm="1">
        <f t="array" ref="BO19" xml:space="preserve"> INDEX(鍵盤設計表[聲韻調], MATCH(TRUE, EXACT($BN19, 鍵盤設計表[方音符號]), 0))</f>
        <v>聲</v>
      </c>
      <c r="BP19" s="739" t="str" cm="1">
        <f t="array" ref="BP19" xml:space="preserve"> INDEX(注音編碼對照表BAK[鍵盤按鍵], MATCH(TRUE, EXACT($BN19, 注音編碼對照表BAK[方音符號]),0))</f>
        <v>R</v>
      </c>
      <c r="BQ19" s="58" t="str" cm="1">
        <f t="array" ref="BQ19" xml:space="preserve"> INDEX(鍵盤設計表[字典編碼], MATCH(TRUE, EXACT($BN19, 鍵盤設計表[方音符號]), 0))</f>
        <v>J</v>
      </c>
      <c r="BR19" s="113" t="str" cm="1">
        <f t="array" ref="BR19" xml:space="preserve"> INDEX(鍵盤設計表[注音二式], MATCH(TRUE, EXACT($BN19, 鍵盤設計表[方音符號]), 0))</f>
        <v>jj</v>
      </c>
      <c r="BS19" s="740">
        <f t="shared" si="0"/>
        <v>2</v>
      </c>
      <c r="BU19" s="549" t="str">
        <f t="shared" si="2"/>
        <v xml:space="preserve">    "R": { commit: "ㆢ" }  # /jj/ ==&gt; J</v>
      </c>
      <c r="BW19" s="745"/>
      <c r="BX19" s="263"/>
      <c r="BZ19" s="319" t="s">
        <v>125</v>
      </c>
      <c r="CA19" s="738" t="s">
        <v>8102</v>
      </c>
      <c r="CB19" s="739" t="s">
        <v>267</v>
      </c>
      <c r="CC19" s="58" t="s">
        <v>189</v>
      </c>
      <c r="CD19" s="113" t="s">
        <v>203</v>
      </c>
      <c r="CE19" s="740">
        <v>2</v>
      </c>
      <c r="CG19" s="698" t="str">
        <f t="shared" si="3"/>
        <v xml:space="preserve">    - xform/om/D/  # ㆱ [om]</v>
      </c>
      <c r="CI19" s="319" t="s">
        <v>109</v>
      </c>
      <c r="CJ19" s="738" t="s">
        <v>2819</v>
      </c>
      <c r="CK19" s="739" t="s">
        <v>560</v>
      </c>
      <c r="CL19" s="58" t="s">
        <v>249</v>
      </c>
      <c r="CM19" s="113" t="s">
        <v>8734</v>
      </c>
      <c r="CN19" s="740">
        <v>2</v>
      </c>
      <c r="CP19" s="698" t="str">
        <f t="shared" si="4"/>
        <v xml:space="preserve">    - xform/^jj(?!\d)/J/  # ㆢ [ jj]</v>
      </c>
    </row>
    <row r="20" spans="1:94" ht="45" customHeight="1">
      <c r="A20" s="281"/>
      <c r="B20" s="282" t="s">
        <v>8740</v>
      </c>
      <c r="C20" s="283"/>
      <c r="D20" s="724" t="str" cm="1">
        <f t="array" ref="D20" xml:space="preserve"> INDEX(注音編碼對照表BAK[鍵盤按鍵], MATCH(TRUE, EXACT(D$17, 注音編碼對照表BAK[方音符號]),0))</f>
        <v>1</v>
      </c>
      <c r="E20" s="724" t="str" cm="1">
        <f t="array" ref="E20" xml:space="preserve"> INDEX(注音編碼對照表BAK[鍵盤按鍵], MATCH(TRUE, EXACT(E$17, 注音編碼對照表BAK[方音符號]),0))</f>
        <v>!</v>
      </c>
      <c r="F20" s="724" t="str" cm="1">
        <f t="array" ref="F20" xml:space="preserve"> INDEX(注音編碼對照表BAK[鍵盤按鍵], MATCH(TRUE, EXACT(F$17, 注音編碼對照表BAK[方音符號]),0))</f>
        <v>q</v>
      </c>
      <c r="G20" s="724" t="str" cm="1">
        <f t="array" ref="G20" xml:space="preserve"> INDEX(注音編碼對照表BAK[鍵盤按鍵], MATCH(TRUE, EXACT(G$17, 注音編碼對照表BAK[方音符號]),0))</f>
        <v>a</v>
      </c>
      <c r="H20" s="724" t="str" cm="1">
        <f t="array" ref="H20" xml:space="preserve"> INDEX(注音編碼對照表BAK[鍵盤按鍵], MATCH(TRUE, EXACT(H$17, 注音編碼對照表BAK[方音符號]),0))</f>
        <v>2</v>
      </c>
      <c r="I20" s="724" t="str" cm="1">
        <f t="array" ref="I20" xml:space="preserve"> INDEX(注音編碼對照表BAK[鍵盤按鍵], MATCH(TRUE, EXACT(I$17, 注音編碼對照表BAK[方音符號]),0))</f>
        <v>w</v>
      </c>
      <c r="J20" s="724" t="str" cm="1">
        <f t="array" ref="J20" xml:space="preserve"> INDEX(注音編碼對照表BAK[鍵盤按鍵], MATCH(TRUE, EXACT(J$17, 注音編碼對照表BAK[方音符號]),0))</f>
        <v>s</v>
      </c>
      <c r="K20" s="724" t="str" cm="1">
        <f t="array" ref="K20" xml:space="preserve"> INDEX(注音編碼對照表BAK[鍵盤按鍵], MATCH(TRUE, EXACT(K$17, 注音編碼對照表BAK[方音符號]),0))</f>
        <v>x</v>
      </c>
      <c r="L20" s="724" t="str" cm="1">
        <f t="array" ref="L20" xml:space="preserve"> INDEX(注音編碼對照表BAK[鍵盤按鍵], MATCH(TRUE, EXACT(L$17, 注音編碼對照表BAK[方音符號]),0))</f>
        <v>e</v>
      </c>
      <c r="M20" s="724" t="str" cm="1">
        <f t="array" ref="M20" xml:space="preserve"> INDEX(注音編碼對照表BAK[鍵盤按鍵], MATCH(TRUE, EXACT(M$17, 注音編碼對照表BAK[方音符號]),0))</f>
        <v>E</v>
      </c>
      <c r="N20" s="724" t="str" cm="1">
        <f t="array" ref="N20" xml:space="preserve"> INDEX(注音編碼對照表BAK[鍵盤按鍵], MATCH(TRUE, EXACT(N$17, 注音編碼對照表BAK[方音符號]),0))</f>
        <v>d</v>
      </c>
      <c r="O20" s="724" t="str" cm="1">
        <f t="array" ref="O20" xml:space="preserve"> INDEX(注音編碼對照表BAK[鍵盤按鍵], MATCH(TRUE, EXACT(O$17, 注音編碼對照表BAK[方音符號]),0))</f>
        <v>N</v>
      </c>
      <c r="P20" s="724" t="str" cm="1">
        <f t="array" ref="P20" xml:space="preserve"> INDEX(注音編碼對照表BAK[鍵盤按鍵], MATCH(TRUE, EXACT(P$17, 注音編碼對照表BAK[方音符號]),0))</f>
        <v>c</v>
      </c>
      <c r="Q20" s="724" t="str" cm="1">
        <f t="array" ref="Q20" xml:space="preserve"> INDEX(注音編碼對照表BAK[鍵盤按鍵], MATCH(TRUE, EXACT(Q$17, 注音編碼對照表BAK[方音符號]),0))</f>
        <v>r</v>
      </c>
      <c r="R20" s="724" t="str" cm="1">
        <f t="array" ref="R20" xml:space="preserve"> INDEX(注音編碼對照表BAK[鍵盤按鍵], MATCH(TRUE, EXACT(R$17, 注音編碼對照表BAK[方音符號]),0))</f>
        <v>R</v>
      </c>
      <c r="S20" s="724" t="str" cm="1">
        <f t="array" ref="S20" xml:space="preserve"> INDEX(注音編碼對照表BAK[鍵盤按鍵], MATCH(TRUE, EXACT(S$17, 注音編碼對照表BAK[方音符號]),0))</f>
        <v>f</v>
      </c>
      <c r="T20" s="724" t="str" cm="1">
        <f t="array" ref="T20" xml:space="preserve"> INDEX(注音編碼對照表BAK[鍵盤按鍵], MATCH(TRUE, EXACT(T$17, 注音編碼對照表BAK[方音符號]),0))</f>
        <v>v</v>
      </c>
      <c r="U20" s="724" t="str" cm="1">
        <f t="array" ref="U20" xml:space="preserve"> INDEX(注音編碼對照表BAK[鍵盤按鍵], MATCH(TRUE, EXACT(U$17, 注音編碼對照表BAK[方音符號]),0))</f>
        <v>y</v>
      </c>
      <c r="V20" s="724" t="str" cm="1">
        <f t="array" ref="V20" xml:space="preserve"> INDEX(注音編碼對照表BAK[鍵盤按鍵], MATCH(TRUE, EXACT(V$17, 注音編碼對照表BAK[方音符號]),0))</f>
        <v>Y</v>
      </c>
      <c r="W20" s="724" t="str" cm="1">
        <f t="array" ref="W20" xml:space="preserve"> INDEX(注音編碼對照表BAK[鍵盤按鍵], MATCH(TRUE, EXACT(W$17, 注音編碼對照表BAK[方音符號]),0))</f>
        <v>h</v>
      </c>
      <c r="X20" s="724" t="str" cm="1">
        <f t="array" ref="X20" xml:space="preserve"> INDEX(注音編碼對照表BAK[鍵盤按鍵], MATCH(TRUE, EXACT(X$17, 注音編碼對照表BAK[方音符號]),0))</f>
        <v>n</v>
      </c>
      <c r="Y20" s="724" t="str" cm="1">
        <f t="array" ref="Y20" xml:space="preserve"> INDEX(注音編碼對照表BAK[鍵盤按鍵], MATCH(TRUE, EXACT(Y$17, 注音編碼對照表BAK[方音符號]),0))</f>
        <v>u</v>
      </c>
      <c r="Z20" s="724" t="str" cm="1">
        <f t="array" ref="Z20" xml:space="preserve"> INDEX(注音編碼對照表BAK[鍵盤按鍵], MATCH(TRUE, EXACT(Z$17, 注音編碼對照表BAK[方音符號]),0))</f>
        <v>U</v>
      </c>
      <c r="AA20" s="724" t="str" cm="1">
        <f t="array" ref="AA20" xml:space="preserve"> INDEX(注音編碼對照表BAK[鍵盤按鍵], MATCH(TRUE, EXACT(AA$17, 注音編碼對照表BAK[方音符號]),0))</f>
        <v>j</v>
      </c>
      <c r="AB20" s="724" t="str" cm="1">
        <f t="array" ref="AB20" xml:space="preserve"> INDEX(注音編碼對照表BAK[鍵盤按鍵], MATCH(TRUE, EXACT(AB$17, 注音編碼對照表BAK[方音符號]),0))</f>
        <v>J</v>
      </c>
      <c r="AC20" s="724" t="str" cm="1">
        <f t="array" ref="AC20" xml:space="preserve"> INDEX(注音編碼對照表BAK[鍵盤按鍵], MATCH(TRUE, EXACT(AC$17, 注音編碼對照表BAK[方音符號]),0))</f>
        <v>8</v>
      </c>
      <c r="AD20" s="724" t="str" cm="1">
        <f t="array" ref="AD20" xml:space="preserve"> INDEX(注音編碼對照表BAK[鍵盤按鍵], MATCH(TRUE, EXACT(AD$17, 注音編碼對照表BAK[方音符號]),0))</f>
        <v>*</v>
      </c>
      <c r="AE20" s="724" t="str" cm="1">
        <f t="array" ref="AE20" xml:space="preserve"> INDEX(注音編碼對照表BAK[鍵盤按鍵], MATCH(TRUE, EXACT(AE$17, 注音編碼對照表BAK[方音符號]),0))</f>
        <v>i</v>
      </c>
      <c r="AF20" s="724" t="str" cm="1">
        <f t="array" ref="AF20" xml:space="preserve"> INDEX(注音編碼對照表BAK[鍵盤按鍵], MATCH(TRUE, EXACT(AF$17, 注音編碼對照表BAK[方音符號]),0))</f>
        <v>I</v>
      </c>
      <c r="AG20" s="724" t="str" cm="1">
        <f t="array" ref="AG20" xml:space="preserve"> INDEX(注音編碼對照表BAK[鍵盤按鍵], MATCH(TRUE, EXACT(AG$17, 注音編碼對照表BAK[方音符號]),0))</f>
        <v>k</v>
      </c>
      <c r="AH20" s="724" t="str" cm="1">
        <f t="array" ref="AH20" xml:space="preserve"> INDEX(注音編碼對照表BAK[鍵盤按鍵], MATCH(TRUE, EXACT(AH$17, 注音編碼對照表BAK[方音符號]),0))</f>
        <v>,</v>
      </c>
      <c r="AI20" s="724" t="str" cm="1">
        <f t="array" ref="AI20" xml:space="preserve"> INDEX(注音編碼對照表BAK[鍵盤按鍵], MATCH(TRUE, EXACT(AI$17, 注音編碼對照表BAK[方音符號]),0))</f>
        <v>&lt;</v>
      </c>
      <c r="AJ20" s="724" t="str" cm="1">
        <f t="array" ref="AJ20" xml:space="preserve"> INDEX(注音編碼對照表BAK[鍵盤按鍵], MATCH(TRUE, EXACT(AJ$17, 注音編碼對照表BAK[方音符號]),0))</f>
        <v>9</v>
      </c>
      <c r="AK20" s="724" t="str" cm="1">
        <f t="array" ref="AK20" xml:space="preserve"> INDEX(注音編碼對照表BAK[鍵盤按鍵], MATCH(TRUE, EXACT(AK$17, 注音編碼對照表BAK[方音符號]),0))</f>
        <v>(</v>
      </c>
      <c r="AL20" s="724" t="str" cm="1">
        <f t="array" ref="AL20" xml:space="preserve"> INDEX(注音編碼對照表BAK[鍵盤按鍵], MATCH(TRUE, EXACT(AL$17, 注音編碼對照表BAK[方音符號]),0))</f>
        <v>l</v>
      </c>
      <c r="AM20" s="724" t="str" cm="1">
        <f t="array" ref="AM20" xml:space="preserve"> INDEX(注音編碼對照表BAK[鍵盤按鍵], MATCH(TRUE, EXACT(AM$17, 注音編碼對照表BAK[方音符號]),0))</f>
        <v>L</v>
      </c>
      <c r="AN20" s="724" t="str" cm="1">
        <f t="array" ref="AN20" xml:space="preserve"> INDEX(注音編碼對照表BAK[鍵盤按鍵], MATCH(TRUE, EXACT(AN$17, 注音編碼對照表BAK[方音符號]),0))</f>
        <v>;</v>
      </c>
      <c r="AO20" s="724" t="str" cm="1">
        <f t="array" ref="AO20" xml:space="preserve"> INDEX(注音編碼對照表BAK[鍵盤按鍵], MATCH(TRUE, EXACT(AO$17, 注音編碼對照表BAK[方音符號]),0))</f>
        <v>o</v>
      </c>
      <c r="AP20" s="724" t="str" cm="1">
        <f t="array" ref="AP20" xml:space="preserve"> INDEX(注音編碼對照表BAK[鍵盤按鍵], MATCH(TRUE, EXACT(AP$17, 注音編碼對照表BAK[方音符號]),0))</f>
        <v>M</v>
      </c>
      <c r="AQ20" s="724" t="str" cm="1">
        <f t="array" ref="AQ20" xml:space="preserve"> INDEX(注音編碼對照表BAK[鍵盤按鍵], MATCH(TRUE, EXACT(AQ$17, 注音編碼對照表BAK[方音符號]),0))</f>
        <v>O</v>
      </c>
      <c r="AR20" s="724" t="str" cm="1">
        <f t="array" ref="AR20" xml:space="preserve"> INDEX(注音編碼對照表BAK[鍵盤按鍵], MATCH(TRUE, EXACT(AR$17, 注音編碼對照表BAK[方音符號]),0))</f>
        <v>0</v>
      </c>
      <c r="AS20" s="724" t="str" cm="1">
        <f t="array" ref="AS20" xml:space="preserve"> INDEX(注音編碼對照表BAK[鍵盤按鍵], MATCH(TRUE, EXACT(AS$17, 注音編碼對照表BAK[方音符號]),0))</f>
        <v>m</v>
      </c>
      <c r="AT20" s="724" t="str" cm="1">
        <f t="array" ref="AT20" xml:space="preserve"> INDEX(注音編碼對照表BAK[鍵盤按鍵], MATCH(TRUE, EXACT(AT$17, 注音編碼對照表BAK[方音符號]),0))</f>
        <v>p</v>
      </c>
      <c r="AU20" s="724" t="str" cm="1">
        <f t="array" ref="AU20" xml:space="preserve"> INDEX(注音編碼對照表BAK[鍵盤按鍵], MATCH(TRUE, EXACT(AU$17, 注音編碼對照表BAK[方音符號]),0))</f>
        <v>/</v>
      </c>
      <c r="AV20" s="724" t="str" cm="1">
        <f t="array" ref="AV20" xml:space="preserve"> INDEX(注音編碼對照表BAK[鍵盤按鍵], MATCH(TRUE, EXACT(AV$17, 注音編碼對照表BAK[方音符號]),0))</f>
        <v>K</v>
      </c>
      <c r="AW20" s="724" t="str" cm="1">
        <f t="array" ref="AW20" xml:space="preserve"> INDEX(注音編碼對照表BAK[鍵盤按鍵], MATCH(TRUE, EXACT(AW$17, 注音編碼對照表BAK[方音符號]),0))</f>
        <v>b</v>
      </c>
      <c r="AX20" s="724" t="str" cm="1">
        <f t="array" ref="AX20" xml:space="preserve"> INDEX(注音編碼對照表BAK[鍵盤按鍵], MATCH(TRUE, EXACT(AX$17, 注音編碼對照表BAK[方音符號]),0))</f>
        <v>t</v>
      </c>
      <c r="AY20" s="724" t="str" cm="1">
        <f t="array" ref="AY20" xml:space="preserve"> INDEX(注音編碼對照表BAK[鍵盤按鍵], MATCH(TRUE, EXACT(AY$17, 注音編碼對照表BAK[方音符號]),0))</f>
        <v>g</v>
      </c>
      <c r="AZ20" s="724" t="str" cm="1">
        <f t="array" ref="AZ20" xml:space="preserve"> INDEX(注音編碼對照表BAK[鍵盤按鍵], MATCH(TRUE, EXACT(AZ$17, 注音編碼對照表BAK[方音符號]),0))</f>
        <v>z</v>
      </c>
      <c r="BA20" s="724" cm="1">
        <f t="array" ref="BA20" xml:space="preserve"> INDEX(注音編碼對照表BAK[鍵盤按鍵], MATCH(TRUE, EXACT(BA$17, 注音編碼對照表BAK[方音符號]),0))</f>
        <v>4</v>
      </c>
      <c r="BB20" s="724" cm="1">
        <f t="array" ref="BB20" xml:space="preserve"> INDEX(注音編碼對照表BAK[鍵盤按鍵], MATCH(TRUE, EXACT(BB$17, 注音編碼對照表BAK[方音符號]),0))</f>
        <v>3</v>
      </c>
      <c r="BC20" s="724" cm="1">
        <f t="array" ref="BC20" xml:space="preserve"> INDEX(注音編碼對照表BAK[鍵盤按鍵], MATCH(TRUE, EXACT(BC$17, 注音編碼對照表BAK[方音符號]),0))</f>
        <v>6</v>
      </c>
      <c r="BD20" s="724" cm="1">
        <f t="array" ref="BD20" xml:space="preserve"> INDEX(注音編碼對照表BAK[鍵盤按鍵], MATCH(TRUE, EXACT(BD$17, 注音編碼對照表BAK[方音符號]),0))</f>
        <v>5</v>
      </c>
      <c r="BE20" s="724" cm="1">
        <f t="array" ref="BE20" xml:space="preserve"> INDEX(注音編碼對照表BAK[鍵盤按鍵], MATCH(TRUE, EXACT(BE$17, 注音編碼對照表BAK[方音符號]),0))</f>
        <v>7</v>
      </c>
      <c r="BF20" s="724" t="str" cm="1">
        <f t="array" ref="BF20" xml:space="preserve"> INDEX(注音編碼對照表BAK[鍵盤按鍵], MATCH(TRUE, EXACT(BF$17, 注音編碼對照表BAK[方音符號]),0))</f>
        <v>.</v>
      </c>
      <c r="BG20" s="724" t="str" cm="1">
        <f t="array" ref="BG20" xml:space="preserve"> INDEX(注音編碼對照表BAK[鍵盤按鍵], MATCH(TRUE, EXACT(BG$17, 注音編碼對照表BAK[方音符號]),0))</f>
        <v>=</v>
      </c>
      <c r="BH20" s="724" t="str" cm="1">
        <f t="array" ref="BH20" xml:space="preserve"> INDEX(注音編碼對照表BAK[鍵盤按鍵], MATCH(TRUE, EXACT(BH$17, 注音編碼對照表BAK[方音符號]),0))</f>
        <v>-</v>
      </c>
      <c r="BJ20" s="195"/>
      <c r="BK20" s="195"/>
      <c r="BM20" s="262">
        <f t="shared" si="1"/>
        <v>16</v>
      </c>
      <c r="BN20" s="319" t="s">
        <v>91</v>
      </c>
      <c r="BO20" s="738" t="str" cm="1">
        <f t="array" ref="BO20" xml:space="preserve"> INDEX(鍵盤設計表[聲韻調], MATCH(TRUE, EXACT($BN20, 鍵盤設計表[方音符號]), 0))</f>
        <v>聲</v>
      </c>
      <c r="BP20" s="739" t="str" cm="1">
        <f t="array" ref="BP20" xml:space="preserve"> INDEX(注音編碼對照表BAK[鍵盤按鍵], MATCH(TRUE, EXACT($BN20, 注音編碼對照表BAK[方音符號]),0))</f>
        <v>f</v>
      </c>
      <c r="BQ20" s="58" t="str" cm="1">
        <f t="array" ref="BQ20" xml:space="preserve"> INDEX(鍵盤設計表[字典編碼], MATCH(TRUE, EXACT($BN20, 鍵盤設計表[方音符號]), 0))</f>
        <v>C</v>
      </c>
      <c r="BR20" s="113" t="str" cm="1">
        <f t="array" ref="BR20" xml:space="preserve"> INDEX(鍵盤設計表[注音二式], MATCH(TRUE, EXACT($BN20, 鍵盤設計表[方音符號]), 0))</f>
        <v>ch</v>
      </c>
      <c r="BS20" s="740">
        <f t="shared" si="0"/>
        <v>2</v>
      </c>
      <c r="BT20" s="193"/>
      <c r="BU20" s="549" t="str">
        <f t="shared" si="2"/>
        <v xml:space="preserve">    "f": { commit: "ㄑ" }  # /ch/ ==&gt; C</v>
      </c>
      <c r="BV20" s="193"/>
      <c r="BW20" s="745"/>
      <c r="BX20" s="263"/>
      <c r="BZ20" s="319" t="s">
        <v>97</v>
      </c>
      <c r="CA20" s="738" t="s">
        <v>8102</v>
      </c>
      <c r="CB20" s="739" t="s">
        <v>219</v>
      </c>
      <c r="CC20" s="58" t="s">
        <v>611</v>
      </c>
      <c r="CD20" s="113" t="s">
        <v>177</v>
      </c>
      <c r="CE20" s="740">
        <v>2</v>
      </c>
      <c r="CG20" s="698" t="str">
        <f t="shared" si="3"/>
        <v xml:space="preserve">    - xform/an/@/  # ㄢ [an]</v>
      </c>
      <c r="CI20" s="319" t="s">
        <v>91</v>
      </c>
      <c r="CJ20" s="738" t="s">
        <v>2819</v>
      </c>
      <c r="CK20" s="739" t="s">
        <v>600</v>
      </c>
      <c r="CL20" s="58" t="s">
        <v>456</v>
      </c>
      <c r="CM20" s="113" t="s">
        <v>463</v>
      </c>
      <c r="CN20" s="740">
        <v>2</v>
      </c>
      <c r="CP20" s="698" t="str">
        <f t="shared" si="4"/>
        <v xml:space="preserve">    - xform/^ch(?!\d)/C/  # ㄑ [ ch]</v>
      </c>
    </row>
    <row r="21" spans="1:94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J21" s="290"/>
      <c r="BK21" s="290"/>
      <c r="BM21" s="262">
        <f t="shared" si="1"/>
        <v>17</v>
      </c>
      <c r="BN21" s="319" t="s">
        <v>284</v>
      </c>
      <c r="BO21" s="738" t="str" cm="1">
        <f t="array" ref="BO21" xml:space="preserve"> INDEX(鍵盤設計表[聲韻調], MATCH(TRUE, EXACT($BN21, 鍵盤設計表[方音符號]), 0))</f>
        <v>聲</v>
      </c>
      <c r="BP21" s="739" t="str" cm="1">
        <f t="array" ref="BP21" xml:space="preserve"> INDEX(注音編碼對照表BAK[鍵盤按鍵], MATCH(TRUE, EXACT($BN21, 注音編碼對照表BAK[方音符號]),0))</f>
        <v>v</v>
      </c>
      <c r="BQ21" s="58" t="str" cm="1">
        <f t="array" ref="BQ21" xml:space="preserve"> INDEX(鍵盤設計表[字典編碼], MATCH(TRUE, EXACT($BN21, 鍵盤設計表[方音符號]), 0))</f>
        <v>S</v>
      </c>
      <c r="BR21" s="113" t="str" cm="1">
        <f t="array" ref="BR21" xml:space="preserve"> INDEX(鍵盤設計表[注音二式], MATCH(TRUE, EXACT($BN21, 鍵盤設計表[方音符號]), 0))</f>
        <v>sh</v>
      </c>
      <c r="BS21" s="740">
        <f t="shared" si="0"/>
        <v>2</v>
      </c>
      <c r="BT21" s="145"/>
      <c r="BU21" s="549" t="str">
        <f t="shared" si="2"/>
        <v xml:space="preserve">    "v": { commit: "ㄒ" }  # /sh/ ==&gt; S</v>
      </c>
      <c r="BV21" s="145"/>
      <c r="BW21" s="236"/>
      <c r="BX21" s="263"/>
      <c r="BZ21" s="319" t="s">
        <v>74</v>
      </c>
      <c r="CA21" s="738" t="s">
        <v>8102</v>
      </c>
      <c r="CB21" s="739" t="s">
        <v>202</v>
      </c>
      <c r="CC21" s="58" t="s">
        <v>559</v>
      </c>
      <c r="CD21" s="113" t="s">
        <v>140</v>
      </c>
      <c r="CE21" s="740">
        <v>2</v>
      </c>
      <c r="CG21" s="698" t="str">
        <f t="shared" si="3"/>
        <v xml:space="preserve">    - xform/ng/W/  # ㆭ [ng]</v>
      </c>
      <c r="CI21" s="319" t="s">
        <v>284</v>
      </c>
      <c r="CJ21" s="738" t="s">
        <v>2819</v>
      </c>
      <c r="CK21" s="739" t="s">
        <v>601</v>
      </c>
      <c r="CL21" s="58" t="s">
        <v>460</v>
      </c>
      <c r="CM21" s="113" t="s">
        <v>8735</v>
      </c>
      <c r="CN21" s="740">
        <v>2</v>
      </c>
      <c r="CP21" s="698" t="str">
        <f t="shared" si="4"/>
        <v xml:space="preserve">    - xform/^sh(?!\d)/S/  # ㄒ [ sh]</v>
      </c>
    </row>
    <row r="22" spans="1:94" s="195" customFormat="1" ht="45" customHeight="1">
      <c r="B22" s="293" t="s">
        <v>615</v>
      </c>
      <c r="C22" s="293"/>
      <c r="D22" s="293"/>
      <c r="E22" s="293"/>
      <c r="F22" s="293"/>
      <c r="G22" s="293"/>
      <c r="H22" s="293"/>
      <c r="I22" s="293"/>
      <c r="J22" s="293"/>
      <c r="K22" s="293"/>
      <c r="L22" s="293"/>
      <c r="M22" s="293"/>
      <c r="N22" s="293"/>
      <c r="O22" s="293"/>
      <c r="P22" s="293"/>
      <c r="Q22" s="293"/>
      <c r="R22" s="293"/>
      <c r="S22" s="293"/>
      <c r="T22" s="294"/>
      <c r="U22" s="293"/>
      <c r="V22" s="293"/>
      <c r="W22" s="293"/>
      <c r="X22" s="293"/>
      <c r="Y22" s="293"/>
      <c r="Z22" s="293"/>
      <c r="AA22" s="293"/>
      <c r="AB22" s="293"/>
      <c r="AC22" s="293"/>
      <c r="AD22" s="293"/>
      <c r="AE22" s="293"/>
      <c r="AF22" s="293"/>
      <c r="AG22" s="293"/>
      <c r="AH22" s="293"/>
      <c r="AI22" s="290"/>
      <c r="AJ22" s="290"/>
      <c r="AK22" s="290"/>
      <c r="AL22" s="290"/>
      <c r="AN22" s="290"/>
      <c r="AO22" s="290"/>
      <c r="AP22" s="290"/>
      <c r="AQ22" s="290"/>
      <c r="AR22" s="290"/>
      <c r="AS22" s="290"/>
      <c r="AT22" s="290"/>
      <c r="AU22" s="290"/>
      <c r="AV22" s="290"/>
      <c r="AW22" s="290"/>
      <c r="AX22" s="290"/>
      <c r="AY22" s="290"/>
      <c r="AZ22" s="290"/>
      <c r="BA22" s="290"/>
      <c r="BB22" s="290"/>
      <c r="BC22" s="290"/>
      <c r="BD22" s="290"/>
      <c r="BE22" s="290"/>
      <c r="BF22" s="290"/>
      <c r="BG22" s="290"/>
      <c r="BH22" s="290"/>
      <c r="BI22" s="290"/>
      <c r="BJ22" s="290"/>
      <c r="BK22" s="290"/>
      <c r="BM22" s="262">
        <f t="shared" si="1"/>
        <v>18</v>
      </c>
      <c r="BN22" s="319" t="s">
        <v>43</v>
      </c>
      <c r="BO22" s="738" t="str" cm="1">
        <f t="array" ref="BO22" xml:space="preserve"> INDEX(鍵盤設計表[聲韻調], MATCH(TRUE, EXACT($BN22, 鍵盤設計表[方音符號]), 0))</f>
        <v>聲</v>
      </c>
      <c r="BP22" s="739" t="str" cm="1">
        <f t="array" ref="BP22" xml:space="preserve"> INDEX(注音編碼對照表BAK[鍵盤按鍵], MATCH(TRUE, EXACT($BN22, 注音編碼對照表BAK[方音符號]),0))</f>
        <v>y</v>
      </c>
      <c r="BQ22" s="58" t="str" cm="1">
        <f t="array" ref="BQ22" xml:space="preserve"> INDEX(鍵盤設計表[字典編碼], MATCH(TRUE, EXACT($BN22, 鍵盤設計表[方音符號]), 0))</f>
        <v>z</v>
      </c>
      <c r="BR22" s="113" t="str" cm="1">
        <f t="array" ref="BR22" xml:space="preserve"> INDEX(鍵盤設計表[注音二式], MATCH(TRUE, EXACT($BN22, 鍵盤設計表[方音符號]), 0))</f>
        <v>z</v>
      </c>
      <c r="BS22" s="740">
        <f t="shared" si="0"/>
        <v>1</v>
      </c>
      <c r="BU22" s="549" t="str">
        <f t="shared" si="2"/>
        <v xml:space="preserve">    "y": { commit: "ㄗ" }  # /z/ ==&gt; z</v>
      </c>
      <c r="BW22" s="745"/>
      <c r="BX22" s="263"/>
      <c r="BZ22" s="319" t="s">
        <v>54</v>
      </c>
      <c r="CA22" s="738" t="s">
        <v>8102</v>
      </c>
      <c r="CB22" s="739" t="s">
        <v>196</v>
      </c>
      <c r="CC22" s="58" t="s">
        <v>279</v>
      </c>
      <c r="CD22" s="113" t="s">
        <v>279</v>
      </c>
      <c r="CE22" s="740">
        <v>1</v>
      </c>
      <c r="CG22" s="698" t="str">
        <f t="shared" si="3"/>
        <v xml:space="preserve">    - xform/i/i/  # ㄧ [i]</v>
      </c>
      <c r="CI22" s="319" t="s">
        <v>43</v>
      </c>
      <c r="CJ22" s="738" t="s">
        <v>2819</v>
      </c>
      <c r="CK22" s="739" t="s">
        <v>588</v>
      </c>
      <c r="CL22" s="58" t="s">
        <v>179</v>
      </c>
      <c r="CM22" s="113" t="s">
        <v>179</v>
      </c>
      <c r="CN22" s="740">
        <v>1</v>
      </c>
      <c r="CP22" s="698" t="str">
        <f t="shared" si="4"/>
        <v xml:space="preserve">    - xform/^z(?!\d)/z/  # ㄗ [ z]</v>
      </c>
    </row>
    <row r="23" spans="1:94" s="717" customFormat="1" ht="45" customHeight="1">
      <c r="A23" s="713"/>
      <c r="B23" s="714" t="s">
        <v>8720</v>
      </c>
      <c r="C23" s="714"/>
      <c r="D23" s="714" t="str">
        <f xml:space="preserve"> _xlfn.CONCAT(D20:AZ20, BF20:BH20, BA20:BE20)</f>
        <v>1!qa2wsxeEdNcrRfvyYhnuUjJ8*iIk,&lt;9(lL;oMO0mp/Kbtgz.=-43657</v>
      </c>
      <c r="E23" s="714"/>
      <c r="F23" s="714"/>
      <c r="G23" s="714"/>
      <c r="H23" s="714"/>
      <c r="I23" s="714"/>
      <c r="J23" s="714"/>
      <c r="K23" s="714"/>
      <c r="L23" s="714"/>
      <c r="M23" s="714"/>
      <c r="N23" s="714"/>
      <c r="O23" s="714"/>
      <c r="P23" s="714"/>
      <c r="Q23" s="714"/>
      <c r="R23" s="714"/>
      <c r="S23" s="714"/>
      <c r="T23" s="714"/>
      <c r="U23" s="714"/>
      <c r="V23" s="714"/>
      <c r="W23" s="714"/>
      <c r="X23" s="714"/>
      <c r="Y23" s="714"/>
      <c r="Z23" s="714"/>
      <c r="AA23" s="714"/>
      <c r="AB23" s="714"/>
      <c r="AC23" s="714"/>
      <c r="AD23" s="714"/>
      <c r="AE23" s="714"/>
      <c r="AF23" s="714"/>
      <c r="AG23" s="714"/>
      <c r="AH23" s="714"/>
      <c r="AI23" s="714"/>
      <c r="AJ23" s="714"/>
      <c r="AK23" s="713"/>
      <c r="AL23" s="713"/>
      <c r="AM23" s="713"/>
      <c r="AN23" s="713"/>
      <c r="AO23" s="713"/>
      <c r="AP23" s="713"/>
      <c r="AQ23" s="713"/>
      <c r="AR23" s="715"/>
      <c r="AS23" s="715"/>
      <c r="AT23" s="713"/>
      <c r="AU23" s="713"/>
      <c r="AV23" s="713"/>
      <c r="AW23" s="716"/>
      <c r="AX23" s="716"/>
      <c r="AY23" s="716"/>
      <c r="AZ23" s="716"/>
      <c r="BA23" s="716"/>
      <c r="BB23" s="716"/>
      <c r="BJ23" s="718"/>
      <c r="BK23" s="718"/>
      <c r="BM23" s="262">
        <f t="shared" si="1"/>
        <v>19</v>
      </c>
      <c r="BN23" s="319" t="s">
        <v>48</v>
      </c>
      <c r="BO23" s="738" t="str" cm="1">
        <f t="array" ref="BO23" xml:space="preserve"> INDEX(鍵盤設計表[聲韻調], MATCH(TRUE, EXACT($BN23, 鍵盤設計表[方音符號]), 0))</f>
        <v>聲</v>
      </c>
      <c r="BP23" s="739" t="str" cm="1">
        <f t="array" ref="BP23" xml:space="preserve"> INDEX(注音編碼對照表BAK[鍵盤按鍵], MATCH(TRUE, EXACT($BN23, 注音編碼對照表BAK[方音符號]),0))</f>
        <v>Y</v>
      </c>
      <c r="BQ23" s="58" t="str" cm="1">
        <f t="array" ref="BQ23" xml:space="preserve"> INDEX(鍵盤設計表[字典編碼], MATCH(TRUE, EXACT($BN23, 鍵盤設計表[方音符號]), 0))</f>
        <v>Z</v>
      </c>
      <c r="BR23" s="113" t="str" cm="1">
        <f t="array" ref="BR23" xml:space="preserve"> INDEX(鍵盤設計表[注音二式], MATCH(TRUE, EXACT($BN23, 鍵盤設計表[方音符號]), 0))</f>
        <v>zz</v>
      </c>
      <c r="BS23" s="740">
        <f t="shared" si="0"/>
        <v>2</v>
      </c>
      <c r="BT23" s="195"/>
      <c r="BU23" s="549" t="str">
        <f xml:space="preserve"> "    """ &amp; BP23 &amp; """: { commit: """ &amp; BN23 &amp; """ }" &amp; "  # " &amp; "/" &amp; BR23 &amp; "/ ==&gt; " &amp; BQ23</f>
        <v xml:space="preserve">    "Y": { commit: "ㆡ" }  # /zz/ ==&gt; Z</v>
      </c>
      <c r="BV23" s="195"/>
      <c r="BW23" s="745"/>
      <c r="BX23" s="263"/>
      <c r="BZ23" s="319" t="s">
        <v>56</v>
      </c>
      <c r="CA23" s="738" t="s">
        <v>8102</v>
      </c>
      <c r="CB23" s="739" t="s">
        <v>254</v>
      </c>
      <c r="CC23" s="58" t="s">
        <v>196</v>
      </c>
      <c r="CD23" s="113" t="s">
        <v>196</v>
      </c>
      <c r="CE23" s="740">
        <v>1</v>
      </c>
      <c r="CG23" s="698" t="str">
        <f t="shared" si="3"/>
        <v xml:space="preserve">    - xform/u/u/  # ㄨ [u]</v>
      </c>
      <c r="CI23" s="319" t="s">
        <v>48</v>
      </c>
      <c r="CJ23" s="738" t="s">
        <v>2819</v>
      </c>
      <c r="CK23" s="739" t="s">
        <v>447</v>
      </c>
      <c r="CL23" s="58" t="s">
        <v>449</v>
      </c>
      <c r="CM23" s="113" t="s">
        <v>857</v>
      </c>
      <c r="CN23" s="740">
        <v>2</v>
      </c>
      <c r="CP23" s="698" t="str">
        <f t="shared" si="4"/>
        <v xml:space="preserve">    - xform/^zz(?!\d)/Z/  # ㆡ [ zz]</v>
      </c>
    </row>
    <row r="24" spans="1:94" s="195" customFormat="1" ht="45" customHeight="1">
      <c r="A24" s="249"/>
      <c r="B24" s="249"/>
      <c r="C24" s="249"/>
      <c r="D24" s="720"/>
      <c r="E24" s="721"/>
      <c r="F24" s="721"/>
      <c r="G24" s="721"/>
      <c r="H24" s="721"/>
      <c r="I24" s="721"/>
      <c r="J24" s="721"/>
      <c r="K24" s="721"/>
      <c r="L24" s="721"/>
      <c r="M24" s="721"/>
      <c r="N24" s="721"/>
      <c r="O24" s="721"/>
      <c r="P24" s="721"/>
      <c r="Q24" s="721"/>
      <c r="R24" s="721"/>
      <c r="S24" s="721"/>
      <c r="T24" s="721"/>
      <c r="U24" s="721"/>
      <c r="V24" s="721"/>
      <c r="W24" s="721"/>
      <c r="X24" s="721"/>
      <c r="Y24" s="721"/>
      <c r="Z24" s="721"/>
      <c r="AA24" s="721"/>
      <c r="AB24" s="721"/>
      <c r="AC24" s="721"/>
      <c r="AD24" s="721"/>
      <c r="AE24" s="721"/>
      <c r="AF24" s="721"/>
      <c r="AG24" s="721"/>
      <c r="AH24" s="721"/>
      <c r="AI24" s="721"/>
      <c r="AJ24" s="721"/>
      <c r="AK24" s="249"/>
      <c r="AL24" s="249"/>
      <c r="AM24" s="249"/>
      <c r="AN24" s="249"/>
      <c r="AO24" s="249"/>
      <c r="AP24" s="249"/>
      <c r="AQ24" s="249"/>
      <c r="AR24" s="234"/>
      <c r="AS24" s="234"/>
      <c r="AT24" s="249"/>
      <c r="AU24" s="249"/>
      <c r="AV24" s="249"/>
      <c r="AW24" s="145"/>
      <c r="AX24" s="145"/>
      <c r="AY24" s="145"/>
      <c r="AZ24" s="145"/>
      <c r="BA24" s="145"/>
      <c r="BB24" s="145"/>
      <c r="BJ24" s="290"/>
      <c r="BK24" s="290"/>
      <c r="BM24" s="262">
        <f t="shared" si="1"/>
        <v>20</v>
      </c>
      <c r="BN24" s="319" t="s">
        <v>46</v>
      </c>
      <c r="BO24" s="738" t="str" cm="1">
        <f t="array" ref="BO24" xml:space="preserve"> INDEX(鍵盤設計表[聲韻調], MATCH(TRUE, EXACT($BN24, 鍵盤設計表[方音符號]), 0))</f>
        <v>聲</v>
      </c>
      <c r="BP24" s="739" t="str" cm="1">
        <f t="array" ref="BP24" xml:space="preserve"> INDEX(注音編碼對照表BAK[鍵盤按鍵], MATCH(TRUE, EXACT($BN24, 注音編碼對照表BAK[方音符號]),0))</f>
        <v>h</v>
      </c>
      <c r="BQ24" s="58" t="str" cm="1">
        <f t="array" ref="BQ24" xml:space="preserve"> INDEX(鍵盤設計表[字典編碼], MATCH(TRUE, EXACT($BN24, 鍵盤設計表[方音符號]), 0))</f>
        <v>c</v>
      </c>
      <c r="BR24" s="113" t="str" cm="1">
        <f t="array" ref="BR24" xml:space="preserve"> INDEX(鍵盤設計表[注音二式], MATCH(TRUE, EXACT($BN24, 鍵盤設計表[方音符號]), 0))</f>
        <v>c</v>
      </c>
      <c r="BS24" s="740">
        <f t="shared" si="0"/>
        <v>1</v>
      </c>
      <c r="BT24" s="717"/>
      <c r="BU24" s="549" t="str">
        <f t="shared" si="2"/>
        <v xml:space="preserve">    "h": { commit: "ㄘ" }  # /c/ ==&gt; c</v>
      </c>
      <c r="BV24" s="717"/>
      <c r="BW24" s="745"/>
      <c r="BX24" s="719"/>
      <c r="BZ24" s="319" t="s">
        <v>58</v>
      </c>
      <c r="CA24" s="738" t="s">
        <v>8102</v>
      </c>
      <c r="CB24" s="739" t="s">
        <v>589</v>
      </c>
      <c r="CC24" s="58" t="s">
        <v>351</v>
      </c>
      <c r="CD24" s="113" t="s">
        <v>351</v>
      </c>
      <c r="CE24" s="740">
        <v>1</v>
      </c>
      <c r="CG24" s="698" t="str">
        <f t="shared" si="3"/>
        <v xml:space="preserve">    - xform/a/a/  # ㄚ [a]</v>
      </c>
      <c r="CI24" s="319" t="s">
        <v>46</v>
      </c>
      <c r="CJ24" s="738" t="s">
        <v>2819</v>
      </c>
      <c r="CK24" s="739" t="s">
        <v>422</v>
      </c>
      <c r="CL24" s="58" t="s">
        <v>305</v>
      </c>
      <c r="CM24" s="113" t="s">
        <v>305</v>
      </c>
      <c r="CN24" s="740">
        <v>1</v>
      </c>
      <c r="CP24" s="698" t="str">
        <f t="shared" si="4"/>
        <v xml:space="preserve">    - xform/^c(?!\d)/c/  # ㄘ [ c]</v>
      </c>
    </row>
    <row r="25" spans="1:94" s="195" customFormat="1" ht="45" customHeight="1">
      <c r="A25" s="249"/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/>
      <c r="V25" s="249"/>
      <c r="W25" s="249"/>
      <c r="X25" s="249"/>
      <c r="Y25" s="249"/>
      <c r="Z25" s="249"/>
      <c r="AA25" s="249"/>
      <c r="AB25" s="249"/>
      <c r="AC25" s="249"/>
      <c r="AD25" s="249"/>
      <c r="AE25" s="249"/>
      <c r="AF25" s="249"/>
      <c r="AG25" s="249"/>
      <c r="AH25" s="249"/>
      <c r="AI25" s="249"/>
      <c r="AJ25" s="249"/>
      <c r="AK25" s="249"/>
      <c r="AL25" s="249"/>
      <c r="AM25" s="249"/>
      <c r="AN25" s="249"/>
      <c r="AO25" s="249"/>
      <c r="AP25" s="249"/>
      <c r="AQ25" s="249"/>
      <c r="AR25" s="234"/>
      <c r="AS25" s="234"/>
      <c r="AT25" s="249"/>
      <c r="AU25" s="249"/>
      <c r="AV25" s="249"/>
      <c r="AW25" s="145"/>
      <c r="AX25" s="145"/>
      <c r="AY25" s="145"/>
      <c r="AZ25" s="145"/>
      <c r="BA25" s="145"/>
      <c r="BB25" s="145"/>
      <c r="BJ25" s="290"/>
      <c r="BK25" s="290"/>
      <c r="BM25" s="262">
        <f t="shared" si="1"/>
        <v>21</v>
      </c>
      <c r="BN25" s="319" t="s">
        <v>50</v>
      </c>
      <c r="BO25" s="738" t="str" cm="1">
        <f t="array" ref="BO25" xml:space="preserve"> INDEX(鍵盤設計表[聲韻調], MATCH(TRUE, EXACT($BN25, 鍵盤設計表[方音符號]), 0))</f>
        <v>聲</v>
      </c>
      <c r="BP25" s="739" t="str" cm="1">
        <f t="array" ref="BP25" xml:space="preserve"> INDEX(注音編碼對照表BAK[鍵盤按鍵], MATCH(TRUE, EXACT($BN25, 注音編碼對照表BAK[方音符號]),0))</f>
        <v>n</v>
      </c>
      <c r="BQ25" s="58" t="str" cm="1">
        <f t="array" ref="BQ25" xml:space="preserve"> INDEX(鍵盤設計表[字典編碼], MATCH(TRUE, EXACT($BN25, 鍵盤設計表[方音符號]), 0))</f>
        <v>s</v>
      </c>
      <c r="BR25" s="113" t="str" cm="1">
        <f t="array" ref="BR25" xml:space="preserve"> INDEX(鍵盤設計表[注音二式], MATCH(TRUE, EXACT($BN25, 鍵盤設計表[方音符號]), 0))</f>
        <v>s</v>
      </c>
      <c r="BS25" s="740">
        <f t="shared" si="0"/>
        <v>1</v>
      </c>
      <c r="BU25" s="549" t="str">
        <f t="shared" si="2"/>
        <v xml:space="preserve">    "n": { commit: "ㄙ" }  # /s/ ==&gt; s</v>
      </c>
      <c r="BW25" s="745"/>
      <c r="BX25" s="263"/>
      <c r="BZ25" s="319" t="s">
        <v>61</v>
      </c>
      <c r="CA25" s="738" t="s">
        <v>8102</v>
      </c>
      <c r="CB25" s="739" t="s">
        <v>225</v>
      </c>
      <c r="CC25" s="58" t="s">
        <v>329</v>
      </c>
      <c r="CD25" s="113" t="s">
        <v>329</v>
      </c>
      <c r="CE25" s="740">
        <v>1</v>
      </c>
      <c r="CG25" s="698" t="str">
        <f t="shared" si="3"/>
        <v xml:space="preserve">    - xform/e/e/  # ㆤ [e]</v>
      </c>
      <c r="CI25" s="319" t="s">
        <v>50</v>
      </c>
      <c r="CJ25" s="738" t="s">
        <v>2819</v>
      </c>
      <c r="CK25" s="739" t="s">
        <v>34</v>
      </c>
      <c r="CL25" s="58" t="s">
        <v>338</v>
      </c>
      <c r="CM25" s="113" t="s">
        <v>338</v>
      </c>
      <c r="CN25" s="740">
        <v>1</v>
      </c>
      <c r="CP25" s="698" t="str">
        <f t="shared" si="4"/>
        <v xml:space="preserve">    - xform/^s(?!\d)/s/  # ㄙ [ s]</v>
      </c>
    </row>
    <row r="26" spans="1:94" s="195" customFormat="1" ht="45" customHeight="1">
      <c r="B26" s="291" t="s">
        <v>573</v>
      </c>
      <c r="C26" s="292"/>
      <c r="D26" s="292"/>
      <c r="E26" s="292"/>
      <c r="F26" s="292"/>
      <c r="G26" s="292"/>
      <c r="H26" s="292"/>
      <c r="I26" s="292"/>
      <c r="J26" s="292"/>
      <c r="K26" s="292"/>
      <c r="L26" s="29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292"/>
      <c r="Y26" s="292"/>
      <c r="Z26" s="292"/>
      <c r="AA26" s="292"/>
      <c r="AB26" s="292"/>
      <c r="AC26" s="292"/>
      <c r="AD26" s="292"/>
      <c r="AE26" s="292"/>
      <c r="AF26" s="292"/>
      <c r="AG26" s="292"/>
      <c r="AH26" s="292"/>
      <c r="BC26" s="290"/>
      <c r="BD26" s="290"/>
      <c r="BE26" s="290"/>
      <c r="BF26" s="290"/>
      <c r="BG26" s="290"/>
      <c r="BH26" s="290"/>
      <c r="BI26" s="290"/>
      <c r="BJ26" s="290"/>
      <c r="BK26" s="290"/>
      <c r="BM26" s="262">
        <f t="shared" si="1"/>
        <v>22</v>
      </c>
      <c r="BN26" s="319" t="s">
        <v>54</v>
      </c>
      <c r="BO26" s="738" t="str" cm="1">
        <f t="array" ref="BO26" xml:space="preserve"> INDEX(鍵盤設計表[聲韻調], MATCH(TRUE, EXACT($BN26, 鍵盤設計表[方音符號]), 0))</f>
        <v>韻</v>
      </c>
      <c r="BP26" s="739" t="str" cm="1">
        <f t="array" ref="BP26" xml:space="preserve"> INDEX(注音編碼對照表BAK[鍵盤按鍵], MATCH(TRUE, EXACT($BN26, 注音編碼對照表BAK[方音符號]),0))</f>
        <v>u</v>
      </c>
      <c r="BQ26" s="58" t="str" cm="1">
        <f t="array" ref="BQ26" xml:space="preserve"> INDEX(鍵盤設計表[字典編碼], MATCH(TRUE, EXACT($BN26, 鍵盤設計表[方音符號]), 0))</f>
        <v>i</v>
      </c>
      <c r="BR26" s="113" t="str" cm="1">
        <f t="array" ref="BR26" xml:space="preserve"> INDEX(鍵盤設計表[注音二式], MATCH(TRUE, EXACT($BN26, 鍵盤設計表[方音符號]), 0))</f>
        <v>i</v>
      </c>
      <c r="BS26" s="740">
        <f t="shared" si="0"/>
        <v>1</v>
      </c>
      <c r="BU26" s="549" t="str">
        <f t="shared" si="2"/>
        <v xml:space="preserve">    "u": { commit: "ㄧ" }  # /i/ ==&gt; i</v>
      </c>
      <c r="BW26" s="745"/>
      <c r="BX26" s="263"/>
      <c r="BZ26" s="319" t="s">
        <v>145</v>
      </c>
      <c r="CA26" s="738" t="s">
        <v>8102</v>
      </c>
      <c r="CB26" s="739" t="s">
        <v>143</v>
      </c>
      <c r="CC26" s="58" t="s">
        <v>525</v>
      </c>
      <c r="CD26" s="113" t="s">
        <v>143</v>
      </c>
      <c r="CE26" s="740">
        <v>1</v>
      </c>
      <c r="CG26" s="698" t="str">
        <f t="shared" si="3"/>
        <v/>
      </c>
      <c r="CI26"/>
      <c r="CJ26" s="145"/>
      <c r="CK26" s="145"/>
      <c r="CL26" s="145"/>
      <c r="CM26" s="145"/>
      <c r="CN26" s="145"/>
      <c r="CP26" s="698" t="str">
        <f t="shared" si="4"/>
        <v/>
      </c>
    </row>
    <row r="27" spans="1:94" s="195" customFormat="1" ht="45" customHeight="1">
      <c r="B27" s="293" t="s">
        <v>574</v>
      </c>
      <c r="C27" s="293"/>
      <c r="D27" s="293"/>
      <c r="E27" s="293"/>
      <c r="F27" s="293"/>
      <c r="G27" s="293"/>
      <c r="H27" s="293"/>
      <c r="I27" s="293"/>
      <c r="J27" s="293"/>
      <c r="K27" s="293"/>
      <c r="L27" s="293"/>
      <c r="M27" s="293"/>
      <c r="N27" s="293"/>
      <c r="O27" s="293"/>
      <c r="P27" s="293"/>
      <c r="Q27" s="293"/>
      <c r="R27" s="293"/>
      <c r="S27" s="293"/>
      <c r="T27" s="294"/>
      <c r="U27" s="293"/>
      <c r="V27" s="293"/>
      <c r="W27" s="293"/>
      <c r="X27" s="293"/>
      <c r="Y27" s="293"/>
      <c r="Z27" s="293"/>
      <c r="AA27" s="293" t="s">
        <v>509</v>
      </c>
      <c r="AB27" s="293"/>
      <c r="AC27" s="293"/>
      <c r="AD27" s="293"/>
      <c r="AE27" s="293"/>
      <c r="AF27" s="293"/>
      <c r="AG27" s="293"/>
      <c r="AH27" s="293"/>
      <c r="AI27" s="290"/>
      <c r="AJ27" s="290"/>
      <c r="AK27" s="290"/>
      <c r="AL27" s="290"/>
      <c r="AN27" s="290"/>
      <c r="AO27" s="290"/>
      <c r="AP27" s="290"/>
      <c r="AQ27" s="290"/>
      <c r="AR27" s="290"/>
      <c r="AS27" s="290"/>
      <c r="AT27" s="290"/>
      <c r="AU27" s="290"/>
      <c r="AV27" s="290"/>
      <c r="AW27" s="290"/>
      <c r="AX27" s="290"/>
      <c r="AY27" s="290"/>
      <c r="AZ27" s="290"/>
      <c r="BA27" s="290"/>
      <c r="BB27" s="290"/>
      <c r="BC27" s="290"/>
      <c r="BD27" s="290"/>
      <c r="BE27" s="290"/>
      <c r="BF27" s="290"/>
      <c r="BG27" s="290"/>
      <c r="BH27" s="290"/>
      <c r="BI27" s="290"/>
      <c r="BJ27" s="290"/>
      <c r="BK27" s="290"/>
      <c r="BM27" s="262">
        <f t="shared" si="1"/>
        <v>23</v>
      </c>
      <c r="BN27" s="319" t="s">
        <v>111</v>
      </c>
      <c r="BO27" s="738" t="str" cm="1">
        <f t="array" ref="BO27" xml:space="preserve"> INDEX(鍵盤設計表[聲韻調], MATCH(TRUE, EXACT($BN27, 鍵盤設計表[方音符號]), 0))</f>
        <v>韻</v>
      </c>
      <c r="BP27" s="739" t="str" cm="1">
        <f t="array" ref="BP27" xml:space="preserve"> INDEX(注音編碼對照表BAK[鍵盤按鍵], MATCH(TRUE, EXACT($BN27, 注音編碼對照表BAK[方音符號]),0))</f>
        <v>U</v>
      </c>
      <c r="BQ27" s="58" t="str" cm="1">
        <f t="array" ref="BQ27" xml:space="preserve"> INDEX(鍵盤設計表[字典編碼], MATCH(TRUE, EXACT($BN27, 鍵盤設計表[方音符號]), 0))</f>
        <v>I</v>
      </c>
      <c r="BR27" s="113" t="str" cm="1">
        <f t="array" ref="BR27" xml:space="preserve"> INDEX(鍵盤設計表[注音二式], MATCH(TRUE, EXACT($BN27, 鍵盤設計表[方音符號]), 0))</f>
        <v>inn</v>
      </c>
      <c r="BS27" s="740">
        <f t="shared" si="0"/>
        <v>3</v>
      </c>
      <c r="BU27" s="549" t="str">
        <f t="shared" si="2"/>
        <v xml:space="preserve">    "U": { commit: "ㆪ" }  # /inn/ ==&gt; I</v>
      </c>
      <c r="BW27" s="745"/>
      <c r="BX27" s="263"/>
      <c r="BZ27" s="319" t="s">
        <v>76</v>
      </c>
      <c r="CA27" s="738" t="s">
        <v>8102</v>
      </c>
      <c r="CB27" s="739" t="s">
        <v>217</v>
      </c>
      <c r="CC27" s="58" t="s">
        <v>569</v>
      </c>
      <c r="CD27" s="113" t="s">
        <v>34</v>
      </c>
      <c r="CE27" s="740">
        <v>1</v>
      </c>
      <c r="CG27" s="698" t="str">
        <f t="shared" si="3"/>
        <v xml:space="preserve">    - xform/n/N/  # ㄣ [n]</v>
      </c>
      <c r="CI27"/>
      <c r="CJ27" s="145"/>
      <c r="CK27" s="145"/>
      <c r="CL27" s="145"/>
      <c r="CM27" s="145"/>
      <c r="CN27" s="145"/>
      <c r="CP27" s="698" t="str">
        <f t="shared" si="4"/>
        <v/>
      </c>
    </row>
    <row r="28" spans="1:94" s="195" customFormat="1" ht="45" customHeight="1">
      <c r="B28" s="295" t="s">
        <v>8741</v>
      </c>
      <c r="C28" s="296"/>
      <c r="D28" s="297">
        <f xml:space="preserve"> LEN(E28)</f>
        <v>57</v>
      </c>
      <c r="E28" s="297" t="str">
        <f xml:space="preserve"> _xlfn.CONCAT(D19:BH19)</f>
        <v>bBpmdtnlgGkwhjJCSzZcsiIuUaAOQoeExXyYPHVD@MNWRrfqv235080L&amp;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M28" s="262">
        <f t="shared" si="1"/>
        <v>24</v>
      </c>
      <c r="BN28" s="319" t="s">
        <v>56</v>
      </c>
      <c r="BO28" s="738" t="str" cm="1">
        <f t="array" ref="BO28" xml:space="preserve"> INDEX(鍵盤設計表[聲韻調], MATCH(TRUE, EXACT($BN28, 鍵盤設計表[方音符號]), 0))</f>
        <v>韻</v>
      </c>
      <c r="BP28" s="739" t="str" cm="1">
        <f t="array" ref="BP28" xml:space="preserve"> INDEX(注音編碼對照表BAK[鍵盤按鍵], MATCH(TRUE, EXACT($BN28, 注音編碼對照表BAK[方音符號]),0))</f>
        <v>j</v>
      </c>
      <c r="BQ28" s="58" t="str" cm="1">
        <f t="array" ref="BQ28" xml:space="preserve"> INDEX(鍵盤設計表[字典編碼], MATCH(TRUE, EXACT($BN28, 鍵盤設計表[方音符號]), 0))</f>
        <v>u</v>
      </c>
      <c r="BR28" s="113" t="str" cm="1">
        <f t="array" ref="BR28" xml:space="preserve"> INDEX(鍵盤設計表[注音二式], MATCH(TRUE, EXACT($BN28, 鍵盤設計表[方音符號]), 0))</f>
        <v>u</v>
      </c>
      <c r="BS28" s="740">
        <f t="shared" si="0"/>
        <v>1</v>
      </c>
      <c r="BU28" s="549" t="str">
        <f t="shared" si="2"/>
        <v xml:space="preserve">    "j": { commit: "ㄨ" }  # /u/ ==&gt; u</v>
      </c>
      <c r="BW28" s="745"/>
      <c r="BX28" s="263"/>
      <c r="BZ28" s="145"/>
      <c r="CA28"/>
      <c r="CB28" s="145"/>
      <c r="CC28" s="145"/>
      <c r="CD28" s="145"/>
      <c r="CE28" s="145"/>
      <c r="CG28" s="698"/>
      <c r="CI28"/>
      <c r="CJ28" s="145"/>
      <c r="CK28" s="145"/>
      <c r="CL28" s="145"/>
      <c r="CM28" s="145"/>
      <c r="CN28" s="145"/>
      <c r="CP28" s="698" t="str">
        <f t="shared" si="4"/>
        <v/>
      </c>
    </row>
    <row r="29" spans="1:94" s="195" customFormat="1" ht="45" customHeight="1">
      <c r="B29" s="728" t="s">
        <v>19</v>
      </c>
      <c r="C29" s="299"/>
      <c r="D29" s="300">
        <f xml:space="preserve"> LEN(E29)</f>
        <v>57</v>
      </c>
      <c r="E29" s="300" t="str">
        <f xml:space="preserve"> _xlfn.CONCAT(D20:BH20)</f>
        <v>1!qa2wsxeEdNcrRfvyYhnuUjJ8*iIk,&lt;9(lL;oMO0mp/Kbtgz43657.=-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301"/>
      <c r="BK29" s="301"/>
      <c r="BM29" s="262">
        <f t="shared" si="1"/>
        <v>25</v>
      </c>
      <c r="BN29" s="319" t="s">
        <v>113</v>
      </c>
      <c r="BO29" s="738" t="str" cm="1">
        <f t="array" ref="BO29" xml:space="preserve"> INDEX(鍵盤設計表[聲韻調], MATCH(TRUE, EXACT($BN29, 鍵盤設計表[方音符號]), 0))</f>
        <v>韻</v>
      </c>
      <c r="BP29" s="739" t="str" cm="1">
        <f t="array" ref="BP29" xml:space="preserve"> INDEX(注音編碼對照表BAK[鍵盤按鍵], MATCH(TRUE, EXACT($BN29, 注音編碼對照表BAK[方音符號]),0))</f>
        <v>J</v>
      </c>
      <c r="BQ29" s="58" t="str" cm="1">
        <f t="array" ref="BQ29" xml:space="preserve"> INDEX(鍵盤設計表[字典編碼], MATCH(TRUE, EXACT($BN29, 鍵盤設計表[方音符號]), 0))</f>
        <v>U</v>
      </c>
      <c r="BR29" s="113" t="str" cm="1">
        <f t="array" ref="BR29" xml:space="preserve"> INDEX(鍵盤設計表[注音二式], MATCH(TRUE, EXACT($BN29, 鍵盤設計表[方音符號]), 0))</f>
        <v>unn</v>
      </c>
      <c r="BS29" s="740">
        <f t="shared" si="0"/>
        <v>3</v>
      </c>
      <c r="BU29" s="549" t="str">
        <f t="shared" si="2"/>
        <v xml:space="preserve">    "J": { commit: "ㆫ" }  # /unn/ ==&gt; U</v>
      </c>
      <c r="BW29" s="745"/>
      <c r="BX29" s="263"/>
      <c r="BZ29" s="145"/>
      <c r="CA29"/>
      <c r="CB29" s="145"/>
      <c r="CC29" s="145"/>
      <c r="CD29" s="145"/>
      <c r="CE29" s="145"/>
      <c r="CG29" s="698"/>
      <c r="CI29"/>
      <c r="CJ29" s="145"/>
      <c r="CK29" s="145"/>
      <c r="CL29" s="145"/>
      <c r="CM29" s="145"/>
      <c r="CN29" s="145"/>
      <c r="CP29" s="698" t="str">
        <f t="shared" si="4"/>
        <v/>
      </c>
    </row>
    <row r="30" spans="1:94" s="302" customFormat="1" ht="45" customHeight="1">
      <c r="A30" s="195"/>
      <c r="B30" s="303" t="str">
        <f xml:space="preserve"> "    - xlit|" &amp; E28 &amp; "|" &amp; E29 &amp; "|"</f>
        <v xml:space="preserve">    - xlit|bBpmdtnlgGkwhjJCSzZcsiIuUaAOQoeExXyYPHVD@MNWRrfqv235080L&amp;|1!qa2wsxeEdNcrRfvyYhnuUjJ8*iIk,&lt;9(lL;oMO0mp/Kbtgz43657.=-|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M30" s="195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301"/>
      <c r="BD30" s="301"/>
      <c r="BE30" s="301"/>
      <c r="BF30" s="301"/>
      <c r="BG30" s="301"/>
      <c r="BH30" s="301"/>
      <c r="BI30" s="301"/>
      <c r="BJ30" s="290"/>
      <c r="BK30" s="290"/>
      <c r="BM30" s="262">
        <f t="shared" si="1"/>
        <v>26</v>
      </c>
      <c r="BN30" s="319" t="s">
        <v>58</v>
      </c>
      <c r="BO30" s="738" t="str" cm="1">
        <f t="array" ref="BO30" xml:space="preserve"> INDEX(鍵盤設計表[聲韻調], MATCH(TRUE, EXACT($BN30, 鍵盤設計表[方音符號]), 0))</f>
        <v>韻</v>
      </c>
      <c r="BP30" s="739" t="str" cm="1">
        <f t="array" ref="BP30" xml:space="preserve"> INDEX(注音編碼對照表BAK[鍵盤按鍵], MATCH(TRUE, EXACT($BN30, 注音編碼對照表BAK[方音符號]),0))</f>
        <v>8</v>
      </c>
      <c r="BQ30" s="58" t="str" cm="1">
        <f t="array" ref="BQ30" xml:space="preserve"> INDEX(鍵盤設計表[字典編碼], MATCH(TRUE, EXACT($BN30, 鍵盤設計表[方音符號]), 0))</f>
        <v>a</v>
      </c>
      <c r="BR30" s="113" t="str" cm="1">
        <f t="array" ref="BR30" xml:space="preserve"> INDEX(鍵盤設計表[注音二式], MATCH(TRUE, EXACT($BN30, 鍵盤設計表[方音符號]), 0))</f>
        <v>a</v>
      </c>
      <c r="BS30" s="740">
        <f t="shared" si="0"/>
        <v>1</v>
      </c>
      <c r="BT30" s="195"/>
      <c r="BU30" s="549" t="str">
        <f t="shared" si="2"/>
        <v xml:space="preserve">    "8": { commit: "ㄚ" }  # /a/ ==&gt; a</v>
      </c>
      <c r="BV30" s="195"/>
      <c r="BW30" s="745"/>
      <c r="BX30" s="263"/>
      <c r="BY30" s="195"/>
      <c r="BZ30" s="145"/>
      <c r="CA30"/>
      <c r="CB30" s="145"/>
      <c r="CC30" s="145"/>
      <c r="CD30" s="145"/>
      <c r="CE30" s="145"/>
      <c r="CF30" s="195"/>
      <c r="CG30" s="698"/>
      <c r="CH30" s="195"/>
      <c r="CI30"/>
      <c r="CJ30" s="145"/>
      <c r="CK30" s="145"/>
      <c r="CL30" s="145"/>
      <c r="CM30" s="145"/>
      <c r="CN30" s="145"/>
      <c r="CO30" s="195"/>
      <c r="CP30" s="698" t="str">
        <f t="shared" si="4"/>
        <v/>
      </c>
    </row>
    <row r="31" spans="1:94" s="195" customFormat="1" ht="45" customHeight="1">
      <c r="A31" s="302"/>
      <c r="B31" s="305"/>
      <c r="C31" s="306"/>
      <c r="D31" s="306"/>
      <c r="E31" s="306"/>
      <c r="F31" s="306"/>
      <c r="G31" s="306"/>
      <c r="H31" s="306"/>
      <c r="I31" s="306"/>
      <c r="J31" s="306"/>
      <c r="K31" s="306"/>
      <c r="L31" s="306"/>
      <c r="M31" s="306"/>
      <c r="N31" s="306"/>
      <c r="O31" s="306"/>
      <c r="P31" s="306"/>
      <c r="Q31" s="306"/>
      <c r="R31" s="306"/>
      <c r="S31" s="306"/>
      <c r="T31" s="306"/>
      <c r="U31" s="306"/>
      <c r="V31" s="306"/>
      <c r="W31" s="306"/>
      <c r="X31" s="306"/>
      <c r="Y31" s="306"/>
      <c r="Z31" s="306"/>
      <c r="AA31" s="306"/>
      <c r="AB31" s="306"/>
      <c r="AC31" s="306"/>
      <c r="AD31" s="306"/>
      <c r="AE31" s="306"/>
      <c r="AF31" s="306"/>
      <c r="AG31" s="306"/>
      <c r="AH31" s="306"/>
      <c r="AI31" s="306"/>
      <c r="AJ31" s="306"/>
      <c r="AK31" s="301"/>
      <c r="AL31" s="301"/>
      <c r="AN31" s="290"/>
      <c r="AO31" s="290"/>
      <c r="AP31" s="290"/>
      <c r="AQ31" s="290"/>
      <c r="AR31" s="290"/>
      <c r="AS31" s="290"/>
      <c r="AT31" s="301"/>
      <c r="AU31" s="301"/>
      <c r="AV31" s="301"/>
      <c r="AW31" s="301"/>
      <c r="AX31" s="301"/>
      <c r="AY31" s="301"/>
      <c r="AZ31" s="301"/>
      <c r="BA31" s="301"/>
      <c r="BB31" s="301"/>
      <c r="BC31" s="290"/>
      <c r="BD31" s="290"/>
      <c r="BE31" s="290"/>
      <c r="BF31" s="290"/>
      <c r="BG31" s="290"/>
      <c r="BH31" s="290"/>
      <c r="BI31" s="290"/>
      <c r="BJ31" s="290"/>
      <c r="BK31" s="290"/>
      <c r="BM31" s="262">
        <f t="shared" si="1"/>
        <v>27</v>
      </c>
      <c r="BN31" s="319" t="s">
        <v>115</v>
      </c>
      <c r="BO31" s="738" t="str" cm="1">
        <f t="array" ref="BO31" xml:space="preserve"> INDEX(鍵盤設計表[聲韻調], MATCH(TRUE, EXACT($BN31, 鍵盤設計表[方音符號]), 0))</f>
        <v>韻</v>
      </c>
      <c r="BP31" s="739" t="str" cm="1">
        <f t="array" ref="BP31" xml:space="preserve"> INDEX(注音編碼對照表BAK[鍵盤按鍵], MATCH(TRUE, EXACT($BN31, 注音編碼對照表BAK[方音符號]),0))</f>
        <v>*</v>
      </c>
      <c r="BQ31" s="58" t="str" cm="1">
        <f t="array" ref="BQ31" xml:space="preserve"> INDEX(鍵盤設計表[字典編碼], MATCH(TRUE, EXACT($BN31, 鍵盤設計表[方音符號]), 0))</f>
        <v>A</v>
      </c>
      <c r="BR31" s="113" t="str" cm="1">
        <f t="array" ref="BR31" xml:space="preserve"> INDEX(鍵盤設計表[注音二式], MATCH(TRUE, EXACT($BN31, 鍵盤設計表[方音符號]), 0))</f>
        <v>ann</v>
      </c>
      <c r="BS31" s="740">
        <f t="shared" si="0"/>
        <v>3</v>
      </c>
      <c r="BU31" s="549" t="str">
        <f t="shared" si="2"/>
        <v xml:space="preserve">    "*": { commit: "ㆩ" }  # /ann/ ==&gt; A</v>
      </c>
      <c r="BW31" s="745"/>
      <c r="BX31" s="263"/>
      <c r="BY31" s="302"/>
      <c r="BZ31" s="145"/>
      <c r="CA31"/>
      <c r="CB31" s="145"/>
      <c r="CC31" s="145"/>
      <c r="CD31" s="145"/>
      <c r="CE31" s="145"/>
      <c r="CF31" s="302"/>
      <c r="CG31" s="698"/>
      <c r="CH31" s="302"/>
      <c r="CI31"/>
      <c r="CJ31" s="145"/>
      <c r="CK31" s="145"/>
      <c r="CL31" s="145"/>
      <c r="CM31" s="145"/>
      <c r="CN31" s="145"/>
      <c r="CO31" s="302"/>
      <c r="CP31" s="698" t="str">
        <f t="shared" si="4"/>
        <v/>
      </c>
    </row>
    <row r="32" spans="1:94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M32" s="262">
        <f t="shared" si="1"/>
        <v>28</v>
      </c>
      <c r="BN32" s="319" t="s">
        <v>67</v>
      </c>
      <c r="BO32" s="738" t="str" cm="1">
        <f t="array" ref="BO32" xml:space="preserve"> INDEX(鍵盤設計表[聲韻調], MATCH(TRUE, EXACT($BN32, 鍵盤設計表[方音符號]), 0))</f>
        <v>韻</v>
      </c>
      <c r="BP32" s="739" t="str" cm="1">
        <f t="array" ref="BP32" xml:space="preserve"> INDEX(注音編碼對照表BAK[鍵盤按鍵], MATCH(TRUE, EXACT($BN32, 注音編碼對照表BAK[方音符號]),0))</f>
        <v>i</v>
      </c>
      <c r="BQ32" s="58" t="str" cm="1">
        <f t="array" ref="BQ32" xml:space="preserve"> INDEX(鍵盤設計表[字典編碼], MATCH(TRUE, EXACT($BN32, 鍵盤設計表[方音符號]), 0))</f>
        <v>O</v>
      </c>
      <c r="BR32" s="113" t="str" cm="1">
        <f t="array" ref="BR32" xml:space="preserve"> INDEX(鍵盤設計表[注音二式], MATCH(TRUE, EXACT($BN32, 鍵盤設計表[方音符號]), 0))</f>
        <v>oo</v>
      </c>
      <c r="BS32" s="740">
        <f t="shared" si="0"/>
        <v>2</v>
      </c>
      <c r="BU32" s="549" t="str">
        <f t="shared" si="2"/>
        <v xml:space="preserve">    "i": { commit: "ㆦ" }  # /oo/ ==&gt; O</v>
      </c>
      <c r="BV32" s="302"/>
      <c r="BW32" s="747"/>
      <c r="BX32" s="263"/>
      <c r="BZ32" s="145"/>
      <c r="CA32"/>
      <c r="CB32" s="145"/>
      <c r="CC32" s="145"/>
      <c r="CD32" s="145"/>
      <c r="CE32" s="145"/>
      <c r="CG32" s="698"/>
      <c r="CI32"/>
      <c r="CJ32" s="145"/>
      <c r="CK32" s="145"/>
      <c r="CL32" s="145"/>
      <c r="CM32" s="145"/>
      <c r="CN32" s="145"/>
      <c r="CP32" s="698" t="str">
        <f t="shared" si="4"/>
        <v/>
      </c>
    </row>
    <row r="33" spans="1:94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M33" s="262">
        <f t="shared" si="1"/>
        <v>29</v>
      </c>
      <c r="BN33" s="319" t="s">
        <v>121</v>
      </c>
      <c r="BO33" s="738" t="str" cm="1">
        <f t="array" ref="BO33" xml:space="preserve"> INDEX(鍵盤設計表[聲韻調], MATCH(TRUE, EXACT($BN33, 鍵盤設計表[方音符號]), 0))</f>
        <v>韻</v>
      </c>
      <c r="BP33" s="739" t="str" cm="1">
        <f t="array" ref="BP33" xml:space="preserve"> INDEX(注音編碼對照表BAK[鍵盤按鍵], MATCH(TRUE, EXACT($BN33, 注音編碼對照表BAK[方音符號]),0))</f>
        <v>I</v>
      </c>
      <c r="BQ33" s="58" t="str" cm="1">
        <f t="array" ref="BQ33" xml:space="preserve"> INDEX(鍵盤設計表[字典編碼], MATCH(TRUE, EXACT($BN33, 鍵盤設計表[方音符號]), 0))</f>
        <v>Q</v>
      </c>
      <c r="BR33" s="113" t="str" cm="1">
        <f t="array" ref="BR33" xml:space="preserve"> INDEX(鍵盤設計表[注音二式], MATCH(TRUE, EXACT($BN33, 鍵盤設計表[方音符號]), 0))</f>
        <v>oonn</v>
      </c>
      <c r="BS33" s="740">
        <f t="shared" si="0"/>
        <v>4</v>
      </c>
      <c r="BU33" s="549" t="str">
        <f t="shared" si="2"/>
        <v xml:space="preserve">    "I": { commit: "ㆧ" }  # /oonn/ ==&gt; Q</v>
      </c>
      <c r="BW33" s="745"/>
      <c r="BX33" s="263"/>
      <c r="BZ33" s="145"/>
      <c r="CA33"/>
      <c r="CB33" s="145"/>
      <c r="CC33" s="145"/>
      <c r="CD33" s="145"/>
      <c r="CE33" s="145"/>
      <c r="CG33" s="698"/>
      <c r="CI33"/>
      <c r="CJ33" s="145"/>
      <c r="CK33" s="145"/>
      <c r="CL33" s="145"/>
      <c r="CM33" s="145"/>
      <c r="CN33" s="145"/>
      <c r="CP33" s="698" t="str">
        <f t="shared" si="4"/>
        <v/>
      </c>
    </row>
    <row r="34" spans="1:94" s="195" customFormat="1" ht="45" customHeight="1">
      <c r="B34" s="308" t="s">
        <v>8740</v>
      </c>
      <c r="C34" s="309"/>
      <c r="D34" s="309">
        <f xml:space="preserve"> LEN(E34)</f>
        <v>57</v>
      </c>
      <c r="E34" s="310" t="str">
        <f xml:space="preserve"> _xlfn.CONCAT(D20:BH20)</f>
        <v>1!qa2wsxeEdNcrRfvyYhnuUjJ8*iIk,&lt;9(lL;oMO0mp/Kbtgz43657.=-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M34" s="262">
        <f t="shared" si="1"/>
        <v>30</v>
      </c>
      <c r="BN34" s="319" t="s">
        <v>473</v>
      </c>
      <c r="BO34" s="738" t="str" cm="1">
        <f t="array" ref="BO34" xml:space="preserve"> INDEX(鍵盤設計表[聲韻調], MATCH(TRUE, EXACT($BN34, 鍵盤設計表[方音符號]), 0))</f>
        <v>韻</v>
      </c>
      <c r="BP34" s="739" t="str" cm="1">
        <f t="array" ref="BP34" xml:space="preserve"> INDEX(注音編碼對照表BAK[鍵盤按鍵], MATCH(TRUE, EXACT($BN34, 注音編碼對照表BAK[方音符號]),0))</f>
        <v>k</v>
      </c>
      <c r="BQ34" s="58" t="str" cm="1">
        <f t="array" ref="BQ34" xml:space="preserve"> INDEX(鍵盤設計表[字典編碼], MATCH(TRUE, EXACT($BN34, 鍵盤設計表[方音符號]), 0))</f>
        <v>o</v>
      </c>
      <c r="BR34" s="113" t="str" cm="1">
        <f t="array" ref="BR34" xml:space="preserve"> INDEX(鍵盤設計表[注音二式], MATCH(TRUE, EXACT($BN34, 鍵盤設計表[方音符號]), 0))</f>
        <v>or</v>
      </c>
      <c r="BS34" s="740">
        <f t="shared" si="0"/>
        <v>2</v>
      </c>
      <c r="BU34" s="549" t="str">
        <f t="shared" si="2"/>
        <v xml:space="preserve">    "k": { commit: "ㄜ" }  # /or/ ==&gt; o</v>
      </c>
      <c r="BW34" s="745"/>
      <c r="BX34" s="263"/>
      <c r="BZ34" s="145"/>
      <c r="CA34"/>
      <c r="CB34" s="145"/>
      <c r="CC34" s="145"/>
      <c r="CD34" s="145"/>
      <c r="CE34" s="145"/>
      <c r="CG34" s="698"/>
      <c r="CI34"/>
      <c r="CJ34" s="145"/>
      <c r="CK34" s="145"/>
      <c r="CL34" s="145"/>
      <c r="CM34" s="145"/>
      <c r="CN34" s="145"/>
      <c r="CP34" s="698" t="str">
        <f t="shared" si="4"/>
        <v/>
      </c>
    </row>
    <row r="35" spans="1:94" s="195" customFormat="1" ht="45" customHeight="1">
      <c r="B35" s="729" t="s">
        <v>8759</v>
      </c>
      <c r="C35" s="312"/>
      <c r="D35" s="312">
        <f>LEN(E35)</f>
        <v>57</v>
      </c>
      <c r="E35" s="311" t="str">
        <f xml:space="preserve"> _xlfn.CONCAT(D17:BH17)</f>
        <v>ㄅㆠㄆㄇㄉㄊㄋㄌㄍㆣㄎㄫㄏㄐㆢㄑㄒㄗㆡㄘㄙㄧㆪㄨㆫㄚㆩㆦㆧㄜㆤㆥㄞㆮㄠㆯㄤㆲㆰㆱㄢㆬㄣㆭㆨㆴㆵㆻㆷˋ˪ˊ˫˙入ㄥñ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M35" s="262">
        <f t="shared" si="1"/>
        <v>31</v>
      </c>
      <c r="BN35" s="319" t="s">
        <v>61</v>
      </c>
      <c r="BO35" s="738" t="str" cm="1">
        <f t="array" ref="BO35" xml:space="preserve"> INDEX(鍵盤設計表[聲韻調], MATCH(TRUE, EXACT($BN35, 鍵盤設計表[方音符號]), 0))</f>
        <v>韻</v>
      </c>
      <c r="BP35" s="739" t="str" cm="1">
        <f t="array" ref="BP35" xml:space="preserve"> INDEX(注音編碼對照表BAK[鍵盤按鍵], MATCH(TRUE, EXACT($BN35, 注音編碼對照表BAK[方音符號]),0))</f>
        <v>,</v>
      </c>
      <c r="BQ35" s="58" t="str" cm="1">
        <f t="array" ref="BQ35" xml:space="preserve"> INDEX(鍵盤設計表[字典編碼], MATCH(TRUE, EXACT($BN35, 鍵盤設計表[方音符號]), 0))</f>
        <v>e</v>
      </c>
      <c r="BR35" s="113" t="str" cm="1">
        <f t="array" ref="BR35" xml:space="preserve"> INDEX(鍵盤設計表[注音二式], MATCH(TRUE, EXACT($BN35, 鍵盤設計表[方音符號]), 0))</f>
        <v>e</v>
      </c>
      <c r="BS35" s="740">
        <f t="shared" si="0"/>
        <v>1</v>
      </c>
      <c r="BU35" s="549" t="str">
        <f t="shared" si="2"/>
        <v xml:space="preserve">    ",": { commit: "ㆤ" }  # /e/ ==&gt; e</v>
      </c>
      <c r="BW35" s="745"/>
      <c r="BX35" s="263"/>
      <c r="BZ35" s="145"/>
      <c r="CA35"/>
      <c r="CB35" s="145"/>
      <c r="CC35" s="145"/>
      <c r="CD35" s="145"/>
      <c r="CE35" s="145"/>
      <c r="CG35" s="698"/>
      <c r="CI35"/>
      <c r="CJ35" s="145"/>
      <c r="CK35" s="145"/>
      <c r="CL35" s="145"/>
      <c r="CM35" s="145"/>
      <c r="CN35" s="145"/>
      <c r="CP35" s="698" t="str">
        <f t="shared" si="4"/>
        <v/>
      </c>
    </row>
    <row r="36" spans="1:94" s="195" customFormat="1" ht="45" customHeight="1">
      <c r="B36" s="303" t="str">
        <f xml:space="preserve"> "    - xlit|" &amp; E34 &amp; "|" &amp; E35 &amp; "|"</f>
        <v xml:space="preserve">    - xlit|1!qa2wsxeEdNcrRfvyYhnuUjJ8*iIk,&lt;9(lL;oMO0mp/Kbtgz43657.=-|ㄅㆠㄆㄇㄉㄊㄋㄌㄍㆣㄎㄫㄏㄐㆢㄑㄒㄗㆡㄘㄙㄧㆪㄨㆫㄚㆩㆦㆧㄜㆤㆥㄞㆮㄠㆯㄤㆲㆰㆱㄢㆬㄣㆭㆨㆴㆵㆻㆷˋ˪ˊ˫˙入ㄥñ|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290"/>
      <c r="AN36" s="290"/>
      <c r="AO36" s="290"/>
      <c r="AP36" s="290"/>
      <c r="AQ36" s="290"/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M36" s="262">
        <f t="shared" si="1"/>
        <v>32</v>
      </c>
      <c r="BN36" s="319" t="s">
        <v>119</v>
      </c>
      <c r="BO36" s="738" t="str" cm="1">
        <f t="array" ref="BO36" xml:space="preserve"> INDEX(鍵盤設計表[聲韻調], MATCH(TRUE, EXACT($BN36, 鍵盤設計表[方音符號]), 0))</f>
        <v>韻</v>
      </c>
      <c r="BP36" s="739" t="str" cm="1">
        <f t="array" ref="BP36" xml:space="preserve"> INDEX(注音編碼對照表BAK[鍵盤按鍵], MATCH(TRUE, EXACT($BN36, 注音編碼對照表BAK[方音符號]),0))</f>
        <v>&lt;</v>
      </c>
      <c r="BQ36" s="58" t="str" cm="1">
        <f t="array" ref="BQ36" xml:space="preserve"> INDEX(鍵盤設計表[字典編碼], MATCH(TRUE, EXACT($BN36, 鍵盤設計表[方音符號]), 0))</f>
        <v>E</v>
      </c>
      <c r="BR36" s="113" t="str" cm="1">
        <f t="array" ref="BR36" xml:space="preserve"> INDEX(鍵盤設計表[注音二式], MATCH(TRUE, EXACT($BN36, 鍵盤設計表[方音符號]), 0))</f>
        <v>enn</v>
      </c>
      <c r="BS36" s="740">
        <f t="shared" si="0"/>
        <v>3</v>
      </c>
      <c r="BU36" s="549" t="str">
        <f t="shared" si="2"/>
        <v xml:space="preserve">    "&lt;": { commit: "ㆥ" }  # /enn/ ==&gt; E</v>
      </c>
      <c r="BW36" s="745"/>
      <c r="BX36" s="263"/>
      <c r="BZ36" s="145"/>
      <c r="CA36"/>
      <c r="CB36" s="145"/>
      <c r="CC36" s="145"/>
      <c r="CD36" s="145"/>
      <c r="CE36" s="145"/>
      <c r="CG36" s="698"/>
      <c r="CI36"/>
      <c r="CJ36" s="145"/>
      <c r="CK36" s="145"/>
      <c r="CL36" s="145"/>
      <c r="CM36" s="145"/>
      <c r="CN36" s="145"/>
      <c r="CP36" s="698" t="str">
        <f t="shared" si="4"/>
        <v/>
      </c>
    </row>
    <row r="37" spans="1:94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290"/>
      <c r="AN37" s="290"/>
      <c r="AO37" s="290"/>
      <c r="AP37" s="290"/>
      <c r="AQ37" s="290"/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M37" s="262">
        <f t="shared" si="1"/>
        <v>33</v>
      </c>
      <c r="BN37" s="319" t="s">
        <v>241</v>
      </c>
      <c r="BO37" s="738" t="str" cm="1">
        <f t="array" ref="BO37" xml:space="preserve"> INDEX(鍵盤設計表[聲韻調], MATCH(TRUE, EXACT($BN37, 鍵盤設計表[方音符號]), 0))</f>
        <v>韻</v>
      </c>
      <c r="BP37" s="739" t="str" cm="1">
        <f t="array" ref="BP37" xml:space="preserve"> INDEX(注音編碼對照表BAK[鍵盤按鍵], MATCH(TRUE, EXACT($BN37, 注音編碼對照表BAK[方音符號]),0))</f>
        <v>9</v>
      </c>
      <c r="BQ37" s="58" t="str" cm="1">
        <f t="array" ref="BQ37" xml:space="preserve"> INDEX(鍵盤設計表[字典編碼], MATCH(TRUE, EXACT($BN37, 鍵盤設計表[方音符號]), 0))</f>
        <v>I</v>
      </c>
      <c r="BR37" s="113" t="str" cm="1">
        <f t="array" ref="BR37" xml:space="preserve"> INDEX(鍵盤設計表[注音二式], MATCH(TRUE, EXACT($BN37, 鍵盤設計表[方音符號]), 0))</f>
        <v>ai</v>
      </c>
      <c r="BS37" s="740">
        <f t="shared" si="0"/>
        <v>2</v>
      </c>
      <c r="BU37" s="549" t="str">
        <f t="shared" si="2"/>
        <v xml:space="preserve">    "9": { commit: "ㄞ" }  # /ai/ ==&gt; I</v>
      </c>
      <c r="BW37" s="745"/>
      <c r="BX37" s="263"/>
      <c r="BZ37" s="145"/>
      <c r="CA37"/>
      <c r="CB37" s="145"/>
      <c r="CC37" s="145"/>
      <c r="CD37" s="145"/>
      <c r="CE37" s="145"/>
      <c r="CG37" s="698"/>
      <c r="CI37"/>
      <c r="CJ37" s="145"/>
      <c r="CK37" s="145"/>
      <c r="CL37" s="145"/>
      <c r="CM37" s="145"/>
      <c r="CN37" s="145"/>
      <c r="CP37" s="698" t="str">
        <f t="shared" si="4"/>
        <v/>
      </c>
    </row>
    <row r="38" spans="1:94" s="195" customFormat="1" ht="45" customHeight="1">
      <c r="B38" s="307" t="s">
        <v>578</v>
      </c>
      <c r="C38" s="293"/>
      <c r="D38" s="293"/>
      <c r="E38" s="293"/>
      <c r="F38" s="293"/>
      <c r="G38" s="293"/>
      <c r="H38" s="293"/>
      <c r="I38" s="293"/>
      <c r="J38" s="293"/>
      <c r="K38" s="293"/>
      <c r="L38" s="293"/>
      <c r="M38" s="293"/>
      <c r="N38" s="293"/>
      <c r="O38" s="293"/>
      <c r="P38" s="293"/>
      <c r="Q38" s="293"/>
      <c r="R38" s="293"/>
      <c r="S38" s="293"/>
      <c r="T38" s="293"/>
      <c r="U38" s="293"/>
      <c r="V38" s="293"/>
      <c r="W38" s="293"/>
      <c r="X38" s="293"/>
      <c r="Y38" s="293"/>
      <c r="Z38" s="293"/>
      <c r="AA38" s="293"/>
      <c r="AB38" s="293"/>
      <c r="AC38" s="293"/>
      <c r="AD38" s="293"/>
      <c r="AE38" s="293"/>
      <c r="AF38" s="293"/>
      <c r="AG38" s="293"/>
      <c r="AH38" s="290"/>
      <c r="AI38" s="290"/>
      <c r="AJ38" s="290"/>
      <c r="AK38" s="316"/>
      <c r="AL38" s="316"/>
      <c r="AM38" s="290"/>
      <c r="AN38" s="316"/>
      <c r="AO38" s="316"/>
      <c r="AP38" s="316"/>
      <c r="AQ38" s="316"/>
      <c r="AR38" s="316"/>
      <c r="AS38" s="316"/>
      <c r="AT38" s="316"/>
      <c r="AU38" s="316"/>
      <c r="AV38" s="316"/>
      <c r="AW38" s="316"/>
      <c r="AX38" s="316"/>
      <c r="AY38" s="316"/>
      <c r="AZ38" s="316"/>
      <c r="BA38" s="316"/>
      <c r="BB38" s="316"/>
      <c r="BC38" s="316"/>
      <c r="BD38" s="316"/>
      <c r="BE38" s="316"/>
      <c r="BF38" s="316"/>
      <c r="BG38" s="290"/>
      <c r="BH38" s="290"/>
      <c r="BI38" s="290"/>
      <c r="BJ38" s="316"/>
      <c r="BK38" s="316"/>
      <c r="BM38" s="262">
        <f t="shared" si="1"/>
        <v>34</v>
      </c>
      <c r="BN38" s="319" t="s">
        <v>117</v>
      </c>
      <c r="BO38" s="738" t="str" cm="1">
        <f t="array" ref="BO38" xml:space="preserve"> INDEX(鍵盤設計表[聲韻調], MATCH(TRUE, EXACT($BN38, 鍵盤設計表[方音符號]), 0))</f>
        <v>韻</v>
      </c>
      <c r="BP38" s="739" t="str" cm="1">
        <f t="array" ref="BP38" xml:space="preserve"> INDEX(注音編碼對照表BAK[鍵盤按鍵], MATCH(TRUE, EXACT($BN38, 注音編碼對照表BAK[方音符號]),0))</f>
        <v>(</v>
      </c>
      <c r="BQ38" s="58" t="str" cm="1">
        <f t="array" ref="BQ38" xml:space="preserve"> INDEX(鍵盤設計表[字典編碼], MATCH(TRUE, EXACT($BN38, 鍵盤設計表[方音符號]), 0))</f>
        <v>X</v>
      </c>
      <c r="BR38" s="113" t="str" cm="1">
        <f t="array" ref="BR38" xml:space="preserve"> INDEX(鍵盤設計表[注音二式], MATCH(TRUE, EXACT($BN38, 鍵盤設計表[方音符號]), 0))</f>
        <v>ainn</v>
      </c>
      <c r="BS38" s="740">
        <f t="shared" si="0"/>
        <v>4</v>
      </c>
      <c r="BU38" s="549" t="str">
        <f t="shared" si="2"/>
        <v xml:space="preserve">    "(": { commit: "ㆮ" }  # /ainn/ ==&gt; X</v>
      </c>
      <c r="BW38" s="745"/>
      <c r="BX38" s="263"/>
      <c r="BZ38" s="145"/>
      <c r="CA38"/>
      <c r="CB38" s="145"/>
      <c r="CC38" s="145"/>
      <c r="CD38" s="145"/>
      <c r="CE38" s="145"/>
      <c r="CG38" s="698"/>
      <c r="CI38"/>
      <c r="CJ38" s="145"/>
      <c r="CK38" s="145"/>
      <c r="CL38" s="145"/>
      <c r="CM38" s="145"/>
      <c r="CN38" s="145"/>
      <c r="CP38" s="698" t="str">
        <f t="shared" si="4"/>
        <v/>
      </c>
    </row>
    <row r="39" spans="1:94" ht="45" customHeight="1">
      <c r="A39" s="195"/>
      <c r="B39" s="293" t="s">
        <v>579</v>
      </c>
      <c r="C39" s="293"/>
      <c r="D39" s="293"/>
      <c r="E39" s="293"/>
      <c r="F39" s="293"/>
      <c r="G39" s="293"/>
      <c r="H39" s="293"/>
      <c r="I39" s="293"/>
      <c r="J39" s="293"/>
      <c r="K39" s="293"/>
      <c r="L39" s="293"/>
      <c r="M39" s="293"/>
      <c r="N39" s="293"/>
      <c r="O39" s="293"/>
      <c r="P39" s="293"/>
      <c r="Q39" s="293"/>
      <c r="R39" s="293"/>
      <c r="S39" s="294"/>
      <c r="T39" s="293"/>
      <c r="U39" s="293"/>
      <c r="V39" s="293"/>
      <c r="W39" s="293"/>
      <c r="X39" s="293"/>
      <c r="Y39" s="293"/>
      <c r="Z39" s="293"/>
      <c r="AA39" s="293"/>
      <c r="AB39" s="293"/>
      <c r="AC39" s="293"/>
      <c r="AD39" s="293"/>
      <c r="AE39" s="293"/>
      <c r="AF39" s="293"/>
      <c r="AG39" s="293"/>
      <c r="AH39" s="290"/>
      <c r="AI39" s="290"/>
      <c r="AJ39" s="290"/>
      <c r="AK39" s="316"/>
      <c r="AL39" s="316"/>
      <c r="AM39" s="316"/>
      <c r="AN39" s="316"/>
      <c r="AO39" s="316"/>
      <c r="AP39" s="316"/>
      <c r="AQ39" s="316"/>
      <c r="AR39" s="316"/>
      <c r="AS39" s="316"/>
      <c r="AT39" s="316"/>
      <c r="AU39" s="316"/>
      <c r="AV39" s="316"/>
      <c r="AW39" s="316"/>
      <c r="AX39" s="316"/>
      <c r="AY39" s="316"/>
      <c r="AZ39" s="316"/>
      <c r="BA39" s="316"/>
      <c r="BB39" s="316"/>
      <c r="BC39" s="316"/>
      <c r="BD39" s="316"/>
      <c r="BE39" s="316"/>
      <c r="BF39" s="316"/>
      <c r="BG39" s="316"/>
      <c r="BH39" s="316"/>
      <c r="BI39" s="316"/>
      <c r="BJ39" s="316"/>
      <c r="BK39" s="316"/>
      <c r="BM39" s="262">
        <f t="shared" si="1"/>
        <v>35</v>
      </c>
      <c r="BN39" s="319" t="s">
        <v>72</v>
      </c>
      <c r="BO39" s="738" t="str" cm="1">
        <f t="array" ref="BO39" xml:space="preserve"> INDEX(鍵盤設計表[聲韻調], MATCH(TRUE, EXACT($BN39, 鍵盤設計表[方音符號]), 0))</f>
        <v>韻</v>
      </c>
      <c r="BP39" s="739" t="str" cm="1">
        <f t="array" ref="BP39" xml:space="preserve"> INDEX(注音編碼對照表BAK[鍵盤按鍵], MATCH(TRUE, EXACT($BN39, 注音編碼對照表BAK[方音符號]),0))</f>
        <v>l</v>
      </c>
      <c r="BQ39" s="58" t="str" cm="1">
        <f t="array" ref="BQ39" xml:space="preserve"> INDEX(鍵盤設計表[字典編碼], MATCH(TRUE, EXACT($BN39, 鍵盤設計表[方音符號]), 0))</f>
        <v>u</v>
      </c>
      <c r="BR39" s="113" t="str" cm="1">
        <f t="array" ref="BR39" xml:space="preserve"> INDEX(鍵盤設計表[注音二式], MATCH(TRUE, EXACT($BN39, 鍵盤設計表[方音符號]), 0))</f>
        <v>au</v>
      </c>
      <c r="BS39" s="740">
        <f t="shared" si="0"/>
        <v>2</v>
      </c>
      <c r="BT39" s="195"/>
      <c r="BU39" s="549" t="str">
        <f t="shared" si="2"/>
        <v xml:space="preserve">    "l": { commit: "ㄠ" }  # /au/ ==&gt; u</v>
      </c>
      <c r="BV39" s="195"/>
      <c r="BW39" s="745"/>
      <c r="BX39" s="263"/>
      <c r="BY39" s="195"/>
      <c r="CF39" s="195"/>
      <c r="CH39" s="195"/>
      <c r="CO39" s="195"/>
      <c r="CP39" s="698" t="str">
        <f t="shared" si="4"/>
        <v/>
      </c>
    </row>
    <row r="40" spans="1:94" ht="45" customHeight="1">
      <c r="B40" s="308" t="s">
        <v>8713</v>
      </c>
      <c r="C40" s="309"/>
      <c r="D40" s="309">
        <f xml:space="preserve"> LEN(E40)</f>
        <v>54</v>
      </c>
      <c r="E40" s="310" t="str">
        <f xml:space="preserve"> _xlfn.CONCAT(D19:BE19)</f>
        <v>bBpmdtnlgGkwhjJCSzZcsiIuUaAOQoeExXyYPHVD@MNWRrfqv23508</v>
      </c>
      <c r="F40" s="310"/>
      <c r="G40" s="310"/>
      <c r="H40" s="310"/>
      <c r="I40" s="310"/>
      <c r="J40" s="310"/>
      <c r="K40" s="310"/>
      <c r="L40" s="310"/>
      <c r="M40" s="310"/>
      <c r="N40" s="310"/>
      <c r="O40" s="310"/>
      <c r="P40" s="310"/>
      <c r="Q40" s="310"/>
      <c r="R40" s="310"/>
      <c r="S40" s="310"/>
      <c r="T40" s="310"/>
      <c r="U40" s="310"/>
      <c r="V40" s="310"/>
      <c r="W40" s="310"/>
      <c r="X40" s="310"/>
      <c r="Y40" s="310"/>
      <c r="Z40" s="310"/>
      <c r="AA40" s="310"/>
      <c r="AB40" s="310"/>
      <c r="AC40" s="310"/>
      <c r="AD40" s="310"/>
      <c r="AE40" s="310"/>
      <c r="AF40" s="310"/>
      <c r="AG40" s="310"/>
      <c r="AH40" s="310"/>
      <c r="AI40" s="310"/>
      <c r="AJ40" s="310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J40" s="316"/>
      <c r="BK40" s="316"/>
      <c r="BM40" s="262">
        <f t="shared" si="1"/>
        <v>36</v>
      </c>
      <c r="BN40" s="319" t="s">
        <v>123</v>
      </c>
      <c r="BO40" s="738" t="str" cm="1">
        <f t="array" ref="BO40" xml:space="preserve"> INDEX(鍵盤設計表[聲韻調], MATCH(TRUE, EXACT($BN40, 鍵盤設計表[方音符號]), 0))</f>
        <v>韻</v>
      </c>
      <c r="BP40" s="739" t="str" cm="1">
        <f t="array" ref="BP40" xml:space="preserve"> INDEX(注音編碼對照表BAK[鍵盤按鍵], MATCH(TRUE, EXACT($BN40, 注音編碼對照表BAK[方音符號]),0))</f>
        <v>L</v>
      </c>
      <c r="BQ40" s="58" t="str" cm="1">
        <f t="array" ref="BQ40" xml:space="preserve"> INDEX(鍵盤設計表[字典編碼], MATCH(TRUE, EXACT($BN40, 鍵盤設計表[方音符號]), 0))</f>
        <v>U</v>
      </c>
      <c r="BR40" s="113" t="str" cm="1">
        <f t="array" ref="BR40" xml:space="preserve"> INDEX(鍵盤設計表[注音二式], MATCH(TRUE, EXACT($BN40, 鍵盤設計表[方音符號]), 0))</f>
        <v>aunn</v>
      </c>
      <c r="BS40" s="740">
        <f t="shared" si="0"/>
        <v>4</v>
      </c>
      <c r="BT40" s="195"/>
      <c r="BU40" s="549" t="str">
        <f t="shared" si="2"/>
        <v xml:space="preserve">    "L": { commit: "ㆯ" }  # /aunn/ ==&gt; U</v>
      </c>
      <c r="BV40" s="195"/>
      <c r="BW40" s="745"/>
      <c r="BX40" s="263"/>
      <c r="CP40" s="698" t="str">
        <f t="shared" si="4"/>
        <v/>
      </c>
    </row>
    <row r="41" spans="1:94" ht="45" customHeight="1">
      <c r="B41" s="311" t="s">
        <v>15</v>
      </c>
      <c r="C41" s="312"/>
      <c r="D41" s="312">
        <f>LEN(E41)</f>
        <v>54</v>
      </c>
      <c r="E41" s="311" t="str">
        <f xml:space="preserve"> _xlfn.CONCAT(D17:BE17)</f>
        <v>ㄅㆠㄆㄇㄉㄊㄋㄌㄍㆣㄎㄫㄏㄐㆢㄑㄒㄗㆡㄘㄙㄧㆪㄨㆫㄚㆩㆦㆧㄜㆤㆥㄞㆮㄠㆯㄤㆲㆰㆱㄢㆬㄣㆭㆨㆴㆵㆻㆷˋ˪ˊ˫˙</v>
      </c>
      <c r="F41" s="311"/>
      <c r="G41" s="311"/>
      <c r="H41" s="311"/>
      <c r="I41" s="311"/>
      <c r="J41" s="311"/>
      <c r="K41" s="311"/>
      <c r="L41" s="311"/>
      <c r="M41" s="311"/>
      <c r="N41" s="311"/>
      <c r="O41" s="311"/>
      <c r="P41" s="311"/>
      <c r="Q41" s="311"/>
      <c r="R41" s="311"/>
      <c r="S41" s="311"/>
      <c r="T41" s="311"/>
      <c r="U41" s="311"/>
      <c r="V41" s="311"/>
      <c r="W41" s="311"/>
      <c r="X41" s="311"/>
      <c r="Y41" s="311"/>
      <c r="Z41" s="311"/>
      <c r="AA41" s="311"/>
      <c r="AB41" s="311"/>
      <c r="AC41" s="311"/>
      <c r="AD41" s="311"/>
      <c r="AE41" s="311"/>
      <c r="AF41" s="311"/>
      <c r="AG41" s="311"/>
      <c r="AH41" s="311"/>
      <c r="AI41" s="311"/>
      <c r="AJ41" s="311"/>
      <c r="BJ41" s="316"/>
      <c r="BK41" s="316"/>
      <c r="BM41" s="262">
        <f t="shared" si="1"/>
        <v>37</v>
      </c>
      <c r="BN41" s="319" t="s">
        <v>95</v>
      </c>
      <c r="BO41" s="738" t="str" cm="1">
        <f t="array" ref="BO41" xml:space="preserve"> INDEX(鍵盤設計表[聲韻調], MATCH(TRUE, EXACT($BN41, 鍵盤設計表[方音符號]), 0))</f>
        <v>韻</v>
      </c>
      <c r="BP41" s="739" t="str" cm="1">
        <f t="array" ref="BP41" xml:space="preserve"> INDEX(注音編碼對照表BAK[鍵盤按鍵], MATCH(TRUE, EXACT($BN41, 注音編碼對照表BAK[方音符號]),0))</f>
        <v>;</v>
      </c>
      <c r="BQ41" s="58" t="str" cm="1">
        <f t="array" ref="BQ41" xml:space="preserve"> INDEX(鍵盤設計表[字典編碼], MATCH(TRUE, EXACT($BN41, 鍵盤設計表[方音符號]), 0))</f>
        <v>A</v>
      </c>
      <c r="BR41" s="113" t="str" cm="1">
        <f t="array" ref="BR41" xml:space="preserve"> INDEX(鍵盤設計表[注音二式], MATCH(TRUE, EXACT($BN41, 鍵盤設計表[方音符號]), 0))</f>
        <v>ang</v>
      </c>
      <c r="BS41" s="740">
        <f t="shared" si="0"/>
        <v>3</v>
      </c>
      <c r="BU41" s="549" t="str">
        <f t="shared" si="2"/>
        <v xml:space="preserve">    ";": { commit: "ㄤ" }  # /ang/ ==&gt; A</v>
      </c>
      <c r="BX41" s="263"/>
      <c r="CP41" s="698" t="str">
        <f t="shared" si="4"/>
        <v/>
      </c>
    </row>
    <row r="42" spans="1:94" ht="45" customHeight="1">
      <c r="B42" s="303" t="str">
        <f xml:space="preserve"> "- xlit|" &amp; E40 &amp; "|" &amp; E41 &amp; "|"</f>
        <v>- xlit|bBpmdtnlgGkwhjJCSzZcsiIuUaAOQoeExXyYPHVD@MNWRrfqv23508|ㄅㆠㄆㄇㄉㄊㄋㄌㄍㆣㄎㄫㄏㄐㆢㄑㄒㄗㆡㄘㄙㄧㆪㄨㆫㄚㆩㆦㆧㄜㆤㆥㄞㆮㄠㆯㄤㆲㆰㆱㄢㆬㄣㆭㆨㆴㆵㆻㆷˋ˪ˊ˫˙|</v>
      </c>
      <c r="C42" s="314"/>
      <c r="D42" s="314"/>
      <c r="E42" s="314"/>
      <c r="F42" s="314"/>
      <c r="G42" s="314"/>
      <c r="H42" s="314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4"/>
      <c r="AC42" s="314"/>
      <c r="AD42" s="314"/>
      <c r="AE42" s="314"/>
      <c r="AF42" s="314"/>
      <c r="AG42" s="304"/>
      <c r="AH42" s="304"/>
      <c r="AI42" s="304"/>
      <c r="AJ42" s="304"/>
      <c r="BJ42" s="316"/>
      <c r="BK42" s="316"/>
      <c r="BM42" s="262">
        <f t="shared" si="1"/>
        <v>38</v>
      </c>
      <c r="BN42" s="319" t="s">
        <v>101</v>
      </c>
      <c r="BO42" s="738" t="str" cm="1">
        <f t="array" ref="BO42" xml:space="preserve"> INDEX(鍵盤設計表[聲韻調], MATCH(TRUE, EXACT($BN42, 鍵盤設計表[方音符號]), 0))</f>
        <v>韻</v>
      </c>
      <c r="BP42" s="739" t="str" cm="1">
        <f t="array" ref="BP42" xml:space="preserve"> INDEX(注音編碼對照表BAK[鍵盤按鍵], MATCH(TRUE, EXACT($BN42, 注音編碼對照表BAK[方音符號]),0))</f>
        <v>o</v>
      </c>
      <c r="BQ42" s="58" t="str" cm="1">
        <f t="array" ref="BQ42" xml:space="preserve"> INDEX(鍵盤設計表[字典編碼], MATCH(TRUE, EXACT($BN42, 鍵盤設計表[方音符號]), 0))</f>
        <v>H</v>
      </c>
      <c r="BR42" s="113" t="str" cm="1">
        <f t="array" ref="BR42" xml:space="preserve"> INDEX(鍵盤設計表[注音二式], MATCH(TRUE, EXACT($BN42, 鍵盤設計表[方音符號]), 0))</f>
        <v>ong</v>
      </c>
      <c r="BS42" s="740">
        <f t="shared" si="0"/>
        <v>3</v>
      </c>
      <c r="BU42" s="549" t="str">
        <f t="shared" si="2"/>
        <v xml:space="preserve">    "o": { commit: "ㆲ" }  # /ong/ ==&gt; H</v>
      </c>
      <c r="BX42" s="263"/>
      <c r="CP42" s="698" t="str">
        <f t="shared" si="4"/>
        <v/>
      </c>
    </row>
    <row r="43" spans="1:94" ht="45" customHeight="1">
      <c r="B43" s="316"/>
      <c r="C43" s="316"/>
      <c r="D43" s="316"/>
      <c r="E43" s="316"/>
      <c r="F43" s="316"/>
      <c r="G43" s="316"/>
      <c r="H43" s="316"/>
      <c r="I43" s="316"/>
      <c r="J43" s="316"/>
      <c r="K43" s="316"/>
      <c r="L43" s="316"/>
      <c r="M43" s="316"/>
      <c r="N43" s="316"/>
      <c r="O43" s="316"/>
      <c r="P43" s="316"/>
      <c r="Q43" s="316"/>
      <c r="R43" s="316"/>
      <c r="S43" s="316"/>
      <c r="T43" s="316"/>
      <c r="U43" s="316"/>
      <c r="V43" s="316"/>
      <c r="W43" s="316"/>
      <c r="X43" s="316"/>
      <c r="Y43" s="316"/>
      <c r="Z43" s="316"/>
      <c r="AA43" s="316"/>
      <c r="AB43" s="316"/>
      <c r="AC43" s="316"/>
      <c r="AD43" s="316"/>
      <c r="AE43" s="316"/>
      <c r="AF43" s="316"/>
      <c r="AG43" s="316"/>
      <c r="AH43" s="316"/>
      <c r="AI43" s="316"/>
      <c r="AJ43" s="316"/>
      <c r="BJ43" s="316"/>
      <c r="BK43" s="316"/>
      <c r="BM43" s="262">
        <f t="shared" si="1"/>
        <v>39</v>
      </c>
      <c r="BN43" s="319" t="s">
        <v>99</v>
      </c>
      <c r="BO43" s="738" t="str" cm="1">
        <f t="array" ref="BO43" xml:space="preserve"> INDEX(鍵盤設計表[聲韻調], MATCH(TRUE, EXACT($BN43, 鍵盤設計表[方音符號]), 0))</f>
        <v>韻</v>
      </c>
      <c r="BP43" s="739" t="str" cm="1">
        <f t="array" ref="BP43" xml:space="preserve"> INDEX(注音編碼對照表BAK[鍵盤按鍵], MATCH(TRUE, EXACT($BN43, 注音編碼對照表BAK[方音符號]),0))</f>
        <v>M</v>
      </c>
      <c r="BQ43" s="58" t="str" cm="1">
        <f t="array" ref="BQ43" xml:space="preserve"> INDEX(鍵盤設計表[字典編碼], MATCH(TRUE, EXACT($BN43, 鍵盤設計表[方音符號]), 0))</f>
        <v>Y</v>
      </c>
      <c r="BR43" s="113" t="str" cm="1">
        <f t="array" ref="BR43" xml:space="preserve"> INDEX(鍵盤設計表[注音二式], MATCH(TRUE, EXACT($BN43, 鍵盤設計表[方音符號]), 0))</f>
        <v>am</v>
      </c>
      <c r="BS43" s="740">
        <f t="shared" si="0"/>
        <v>2</v>
      </c>
      <c r="BU43" s="549" t="str">
        <f t="shared" si="2"/>
        <v xml:space="preserve">    "M": { commit: "ㆰ" }  # /am/ ==&gt; Y</v>
      </c>
      <c r="BX43" s="263"/>
      <c r="CP43" s="698" t="str">
        <f t="shared" si="4"/>
        <v/>
      </c>
    </row>
    <row r="44" spans="1:94" ht="45" customHeight="1">
      <c r="B44" s="763" t="s">
        <v>8775</v>
      </c>
      <c r="C44" s="316"/>
      <c r="D44" s="316"/>
      <c r="E44" s="316"/>
      <c r="F44" s="316"/>
      <c r="G44" s="316"/>
      <c r="H44" s="316"/>
      <c r="I44" s="316"/>
      <c r="J44" s="316"/>
      <c r="K44" s="316"/>
      <c r="L44" s="316"/>
      <c r="M44" s="316"/>
      <c r="N44" s="316"/>
      <c r="O44" s="316"/>
      <c r="P44" s="316"/>
      <c r="Q44" s="316"/>
      <c r="R44" s="316"/>
      <c r="S44" s="316"/>
      <c r="T44" s="316"/>
      <c r="U44" s="316"/>
      <c r="V44" s="316"/>
      <c r="W44" s="316"/>
      <c r="X44" s="316"/>
      <c r="Y44" s="763" cm="1">
        <f t="array" aca="1" ref="Y44" ca="1" xml:space="preserve"> INDIRECT( ADDRESS( ROW()-1, COLUMN()-1) )</f>
        <v>0</v>
      </c>
      <c r="Z44" s="316"/>
      <c r="AA44" s="316"/>
      <c r="AB44" s="316"/>
      <c r="AC44" s="316"/>
      <c r="AD44" s="316"/>
      <c r="AE44" s="316"/>
      <c r="AF44" s="316"/>
      <c r="AG44" s="316"/>
      <c r="AH44" s="316"/>
      <c r="AI44" s="316"/>
      <c r="AJ44" s="316"/>
      <c r="BJ44" s="316"/>
      <c r="BK44" s="316"/>
      <c r="BM44" s="262">
        <f t="shared" si="1"/>
        <v>40</v>
      </c>
      <c r="BN44" s="319" t="s">
        <v>125</v>
      </c>
      <c r="BO44" s="738" t="str" cm="1">
        <f t="array" ref="BO44" xml:space="preserve"> INDEX(鍵盤設計表[聲韻調], MATCH(TRUE, EXACT($BN44, 鍵盤設計表[方音符號]), 0))</f>
        <v>韻</v>
      </c>
      <c r="BP44" s="739" t="str" cm="1">
        <f t="array" ref="BP44" xml:space="preserve"> INDEX(注音編碼對照表BAK[鍵盤按鍵], MATCH(TRUE, EXACT($BN44, 注音編碼對照表BAK[方音符號]),0))</f>
        <v>O</v>
      </c>
      <c r="BQ44" s="58" t="str" cm="1">
        <f t="array" ref="BQ44" xml:space="preserve"> INDEX(鍵盤設計表[字典編碼], MATCH(TRUE, EXACT($BN44, 鍵盤設計表[方音符號]), 0))</f>
        <v>W</v>
      </c>
      <c r="BR44" s="113" t="str" cm="1">
        <f t="array" ref="BR44" xml:space="preserve"> INDEX(鍵盤設計表[注音二式], MATCH(TRUE, EXACT($BN44, 鍵盤設計表[方音符號]), 0))</f>
        <v>om</v>
      </c>
      <c r="BS44" s="740">
        <f t="shared" si="0"/>
        <v>2</v>
      </c>
      <c r="BU44" s="549" t="str">
        <f t="shared" si="2"/>
        <v xml:space="preserve">    "O": { commit: "ㆱ" }  # /om/ ==&gt; W</v>
      </c>
      <c r="BX44" s="263"/>
      <c r="CP44" s="698" t="str">
        <f t="shared" si="4"/>
        <v/>
      </c>
    </row>
    <row r="45" spans="1:94" ht="45" customHeight="1">
      <c r="B45" s="763" t="s">
        <v>8776</v>
      </c>
      <c r="C45" s="316"/>
      <c r="D45" s="316"/>
      <c r="E45" s="316"/>
      <c r="F45" s="316"/>
      <c r="G45" s="316"/>
      <c r="H45" s="316"/>
      <c r="I45" s="316"/>
      <c r="J45" s="316"/>
      <c r="K45" s="316"/>
      <c r="L45" s="316"/>
      <c r="M45" s="316"/>
      <c r="N45" s="316"/>
      <c r="O45" s="316"/>
      <c r="P45" s="316"/>
      <c r="Q45" s="316"/>
      <c r="R45" s="316"/>
      <c r="S45" s="316"/>
      <c r="T45" s="316"/>
      <c r="U45" s="316"/>
      <c r="V45" s="316"/>
      <c r="W45" s="316"/>
      <c r="X45" s="316"/>
      <c r="Y45" s="763"/>
      <c r="Z45" s="316"/>
      <c r="AA45" s="316"/>
      <c r="AB45" s="316"/>
      <c r="AC45" s="316"/>
      <c r="AD45" s="316"/>
      <c r="AE45" s="316"/>
      <c r="AF45" s="316"/>
      <c r="AG45" s="316"/>
      <c r="AH45" s="316"/>
      <c r="AI45" s="316"/>
      <c r="AJ45" s="316"/>
      <c r="BJ45" s="316"/>
      <c r="BK45" s="316"/>
      <c r="BM45" s="262">
        <f t="shared" si="1"/>
        <v>41</v>
      </c>
      <c r="BN45" s="319" t="s">
        <v>97</v>
      </c>
      <c r="BO45" s="738" t="str" cm="1">
        <f t="array" ref="BO45" xml:space="preserve"> INDEX(鍵盤設計表[聲韻調], MATCH(TRUE, EXACT($BN45, 鍵盤設計表[方音符號]), 0))</f>
        <v>韻</v>
      </c>
      <c r="BP45" s="739" t="str" cm="1">
        <f t="array" ref="BP45" xml:space="preserve"> INDEX(注音編碼對照表BAK[鍵盤按鍵], MATCH(TRUE, EXACT($BN45, 注音編碼對照表BAK[方音符號]),0))</f>
        <v>0</v>
      </c>
      <c r="BQ45" s="58" t="str" cm="1">
        <f t="array" ref="BQ45" xml:space="preserve"> INDEX(鍵盤設計表[字典編碼], MATCH(TRUE, EXACT($BN45, 鍵盤設計表[方音符號]), 0))</f>
        <v>@</v>
      </c>
      <c r="BR45" s="113" t="str" cm="1">
        <f t="array" ref="BR45" xml:space="preserve"> INDEX(鍵盤設計表[注音二式], MATCH(TRUE, EXACT($BN45, 鍵盤設計表[方音符號]), 0))</f>
        <v>an</v>
      </c>
      <c r="BS45" s="740">
        <f t="shared" si="0"/>
        <v>2</v>
      </c>
      <c r="BU45" s="549" t="str">
        <f t="shared" si="2"/>
        <v xml:space="preserve">    "0": { commit: "ㄢ" }  # /an/ ==&gt; @</v>
      </c>
      <c r="BX45" s="263"/>
      <c r="CP45" s="698" t="str">
        <f t="shared" si="4"/>
        <v/>
      </c>
    </row>
    <row r="46" spans="1:94" ht="45" customHeight="1">
      <c r="B46" s="316"/>
      <c r="C46" s="316"/>
      <c r="D46" s="316"/>
      <c r="E46" s="316"/>
      <c r="F46" s="316"/>
      <c r="G46" s="316"/>
      <c r="H46" s="316"/>
      <c r="I46" s="316"/>
      <c r="J46" s="316"/>
      <c r="K46" s="316"/>
      <c r="L46" s="316"/>
      <c r="M46" s="316"/>
      <c r="N46" s="316"/>
      <c r="O46" s="316"/>
      <c r="P46" s="316"/>
      <c r="Q46" s="316"/>
      <c r="R46" s="316"/>
      <c r="S46" s="316"/>
      <c r="T46" s="316"/>
      <c r="U46" s="316"/>
      <c r="V46" s="316"/>
      <c r="W46" s="316"/>
      <c r="X46" s="316"/>
      <c r="Y46" s="316"/>
      <c r="Z46" s="316"/>
      <c r="AA46" s="316"/>
      <c r="AB46" s="316"/>
      <c r="AC46" s="316"/>
      <c r="AD46" s="316"/>
      <c r="AE46" s="316"/>
      <c r="AF46" s="316"/>
      <c r="AG46" s="316"/>
      <c r="AH46" s="316"/>
      <c r="AI46" s="316"/>
      <c r="AJ46" s="316"/>
      <c r="BJ46" s="316"/>
      <c r="BK46" s="316"/>
      <c r="BM46" s="262">
        <f t="shared" si="1"/>
        <v>42</v>
      </c>
      <c r="BN46" s="319" t="s">
        <v>145</v>
      </c>
      <c r="BO46" s="738" t="str" cm="1">
        <f t="array" ref="BO46" xml:space="preserve"> INDEX(鍵盤設計表[聲韻調], MATCH(TRUE, EXACT($BN46, 鍵盤設計表[方音符號]), 0))</f>
        <v>韻</v>
      </c>
      <c r="BP46" s="739" t="str" cm="1">
        <f t="array" ref="BP46" xml:space="preserve"> INDEX(注音編碼對照表BAK[鍵盤按鍵], MATCH(TRUE, EXACT($BN46, 注音編碼對照表BAK[方音符號]),0))</f>
        <v>m</v>
      </c>
      <c r="BQ46" s="58" t="str" cm="1">
        <f t="array" ref="BQ46" xml:space="preserve"> INDEX(鍵盤設計表[字典編碼], MATCH(TRUE, EXACT($BN46, 鍵盤設計表[方音符號]), 0))</f>
        <v>M</v>
      </c>
      <c r="BR46" s="113" t="str" cm="1">
        <f t="array" ref="BR46" xml:space="preserve"> INDEX(鍵盤設計表[注音二式], MATCH(TRUE, EXACT($BN46, 鍵盤設計表[方音符號]), 0))</f>
        <v>m</v>
      </c>
      <c r="BS46" s="740">
        <f t="shared" si="0"/>
        <v>1</v>
      </c>
      <c r="BU46" s="549" t="str">
        <f t="shared" si="2"/>
        <v xml:space="preserve">    "m": { commit: "ㆬ" }  # /m/ ==&gt; M</v>
      </c>
      <c r="CP46" s="698" t="str">
        <f t="shared" si="4"/>
        <v/>
      </c>
    </row>
    <row r="47" spans="1:94" ht="45" customHeight="1">
      <c r="B47" s="316"/>
      <c r="C47" s="316"/>
      <c r="D47" s="316"/>
      <c r="BC47" s="316"/>
      <c r="BD47" s="316"/>
      <c r="BE47" s="316"/>
      <c r="BF47" s="316"/>
      <c r="BG47" s="316"/>
      <c r="BH47" s="316"/>
      <c r="BI47" s="316"/>
      <c r="BJ47" s="316"/>
      <c r="BK47" s="316"/>
      <c r="BM47" s="262">
        <f t="shared" si="1"/>
        <v>43</v>
      </c>
      <c r="BN47" s="319" t="s">
        <v>76</v>
      </c>
      <c r="BO47" s="738" t="str" cm="1">
        <f t="array" ref="BO47" xml:space="preserve"> INDEX(鍵盤設計表[聲韻調], MATCH(TRUE, EXACT($BN47, 鍵盤設計表[方音符號]), 0))</f>
        <v>韻</v>
      </c>
      <c r="BP47" s="739" t="str" cm="1">
        <f t="array" ref="BP47" xml:space="preserve"> INDEX(注音編碼對照表BAK[鍵盤按鍵], MATCH(TRUE, EXACT($BN47, 注音編碼對照表BAK[方音符號]),0))</f>
        <v>p</v>
      </c>
      <c r="BQ47" s="58" t="str" cm="1">
        <f t="array" ref="BQ47" xml:space="preserve"> INDEX(鍵盤設計表[字典編碼], MATCH(TRUE, EXACT($BN47, 鍵盤設計表[方音符號]), 0))</f>
        <v>N</v>
      </c>
      <c r="BR47" s="113" t="str" cm="1">
        <f t="array" ref="BR47" xml:space="preserve"> INDEX(鍵盤設計表[注音二式], MATCH(TRUE, EXACT($BN47, 鍵盤設計表[方音符號]), 0))</f>
        <v>n</v>
      </c>
      <c r="BS47" s="740">
        <f t="shared" si="0"/>
        <v>1</v>
      </c>
      <c r="BU47" s="549" t="str">
        <f t="shared" si="2"/>
        <v xml:space="preserve">    "p": { commit: "ㄣ" }  # /n/ ==&gt; N</v>
      </c>
      <c r="CP47" s="698" t="str">
        <f t="shared" si="4"/>
        <v/>
      </c>
    </row>
    <row r="48" spans="1:94" ht="45" customHeight="1">
      <c r="B48" s="758">
        <v>1</v>
      </c>
      <c r="C48" s="758">
        <v>2</v>
      </c>
      <c r="D48" s="758">
        <v>3</v>
      </c>
      <c r="E48" s="758">
        <v>4</v>
      </c>
      <c r="F48" s="758">
        <v>5</v>
      </c>
      <c r="G48" s="758">
        <v>6</v>
      </c>
      <c r="H48" s="758">
        <v>7</v>
      </c>
      <c r="I48" s="758">
        <v>8</v>
      </c>
      <c r="J48" s="758">
        <v>9</v>
      </c>
      <c r="K48" s="758">
        <v>10</v>
      </c>
      <c r="L48" s="758">
        <v>11</v>
      </c>
      <c r="M48" s="758">
        <v>12</v>
      </c>
      <c r="N48" s="758">
        <v>13</v>
      </c>
      <c r="O48" s="758">
        <v>14</v>
      </c>
      <c r="P48" s="758">
        <v>15</v>
      </c>
      <c r="Q48" s="758">
        <v>16</v>
      </c>
      <c r="R48" s="758">
        <v>17</v>
      </c>
      <c r="S48" s="759">
        <v>18</v>
      </c>
      <c r="T48" s="758">
        <v>19</v>
      </c>
      <c r="U48" s="758">
        <v>20</v>
      </c>
      <c r="V48" s="758">
        <v>21</v>
      </c>
      <c r="W48" s="758">
        <v>22</v>
      </c>
      <c r="X48" s="758">
        <v>23</v>
      </c>
      <c r="Y48" s="758">
        <v>24</v>
      </c>
      <c r="Z48" s="758">
        <v>25</v>
      </c>
      <c r="AA48" s="758">
        <v>26</v>
      </c>
      <c r="AB48" s="758">
        <v>27</v>
      </c>
      <c r="AC48" s="758">
        <v>28</v>
      </c>
      <c r="AD48" s="758">
        <v>29</v>
      </c>
      <c r="AE48" s="758">
        <v>30</v>
      </c>
      <c r="AF48" s="758">
        <v>31</v>
      </c>
      <c r="AG48" s="758">
        <v>32</v>
      </c>
      <c r="AH48" s="760">
        <v>33</v>
      </c>
      <c r="AI48" s="760">
        <v>34</v>
      </c>
      <c r="AJ48" s="760">
        <v>35</v>
      </c>
      <c r="AK48" s="760">
        <v>36</v>
      </c>
      <c r="AL48" s="761">
        <v>37</v>
      </c>
      <c r="AM48" s="760">
        <v>38</v>
      </c>
      <c r="AN48" s="760">
        <v>39</v>
      </c>
      <c r="AO48" s="760">
        <v>40</v>
      </c>
      <c r="AP48" s="760">
        <v>41</v>
      </c>
      <c r="AQ48" s="760">
        <v>42</v>
      </c>
      <c r="AR48" s="760">
        <v>43</v>
      </c>
      <c r="AS48" s="760">
        <v>44</v>
      </c>
      <c r="AT48" s="760">
        <v>45</v>
      </c>
      <c r="AU48" s="760">
        <v>46</v>
      </c>
      <c r="AV48" s="760">
        <v>47</v>
      </c>
      <c r="AW48" s="760">
        <v>48</v>
      </c>
      <c r="AX48" s="760">
        <v>49</v>
      </c>
      <c r="AY48" s="760">
        <v>50</v>
      </c>
      <c r="AZ48" s="760">
        <v>51</v>
      </c>
      <c r="BA48" s="760">
        <v>52</v>
      </c>
      <c r="BB48" s="760">
        <v>53</v>
      </c>
      <c r="BC48" s="760">
        <v>54</v>
      </c>
      <c r="BD48" s="760">
        <v>55</v>
      </c>
      <c r="BE48" s="760">
        <v>56</v>
      </c>
      <c r="BF48" s="760">
        <v>57</v>
      </c>
      <c r="BG48" s="760">
        <v>58</v>
      </c>
      <c r="BH48" s="760">
        <v>59</v>
      </c>
      <c r="BI48" s="760">
        <v>60</v>
      </c>
      <c r="BJ48" s="316"/>
      <c r="BK48" s="316"/>
      <c r="BM48" s="262">
        <f t="shared" si="1"/>
        <v>44</v>
      </c>
      <c r="BN48" s="319" t="s">
        <v>74</v>
      </c>
      <c r="BO48" s="738" t="str" cm="1">
        <f t="array" ref="BO48" xml:space="preserve"> INDEX(鍵盤設計表[聲韻調], MATCH(TRUE, EXACT($BN48, 鍵盤設計表[方音符號]), 0))</f>
        <v>韻</v>
      </c>
      <c r="BP48" s="739" t="str" cm="1">
        <f t="array" ref="BP48" xml:space="preserve"> INDEX(注音編碼對照表BAK[鍵盤按鍵], MATCH(TRUE, EXACT($BN48, 注音編碼對照表BAK[方音符號]),0))</f>
        <v>/</v>
      </c>
      <c r="BQ48" s="58" t="str" cm="1">
        <f t="array" ref="BQ48" xml:space="preserve"> INDEX(鍵盤設計表[字典編碼], MATCH(TRUE, EXACT($BN48, 鍵盤設計表[方音符號]), 0))</f>
        <v>G</v>
      </c>
      <c r="BR48" s="113" t="str" cm="1">
        <f t="array" ref="BR48" xml:space="preserve"> INDEX(鍵盤設計表[注音二式], MATCH(TRUE, EXACT($BN48, 鍵盤設計表[方音符號]), 0))</f>
        <v>ng</v>
      </c>
      <c r="BS48" s="740">
        <f t="shared" si="0"/>
        <v>2</v>
      </c>
      <c r="BU48" s="549" t="str">
        <f t="shared" si="2"/>
        <v xml:space="preserve">    "/": { commit: "ㆭ" }  # /ng/ ==&gt; G</v>
      </c>
      <c r="CP48" s="698" t="str">
        <f t="shared" si="4"/>
        <v/>
      </c>
    </row>
    <row r="49" spans="1:94" ht="45" customHeight="1">
      <c r="B49" s="775" t="str" cm="1">
        <f t="array" ref="B49:BI49" xml:space="preserve"> TRANSPOSE(注音編碼對照表[字典編碼])</f>
        <v>m</v>
      </c>
      <c r="C49" s="775" t="str">
        <v>B</v>
      </c>
      <c r="D49" s="775" t="str">
        <v>b</v>
      </c>
      <c r="E49" s="775" t="str">
        <v>p</v>
      </c>
      <c r="F49" s="775" t="str">
        <v>n</v>
      </c>
      <c r="G49" s="775" t="str">
        <v>d</v>
      </c>
      <c r="H49" s="775" t="str">
        <v>t</v>
      </c>
      <c r="I49" s="775" t="str">
        <v>l</v>
      </c>
      <c r="J49" s="775" t="str">
        <v>w</v>
      </c>
      <c r="K49" s="775" t="str">
        <v>G</v>
      </c>
      <c r="L49" s="775" t="str">
        <v>g</v>
      </c>
      <c r="M49" s="775" t="str">
        <v>k</v>
      </c>
      <c r="N49" s="775" t="str">
        <v>Z</v>
      </c>
      <c r="O49" s="775" t="str">
        <v>z</v>
      </c>
      <c r="P49" s="775" t="str">
        <v>c</v>
      </c>
      <c r="Q49" s="775" t="str">
        <v>s</v>
      </c>
      <c r="R49" s="775" t="str">
        <v>J</v>
      </c>
      <c r="S49" s="775" t="str">
        <v>j</v>
      </c>
      <c r="T49" s="775" t="str">
        <v>C</v>
      </c>
      <c r="U49" s="775" t="str">
        <v>S</v>
      </c>
      <c r="V49" s="775" t="str">
        <v>h</v>
      </c>
      <c r="W49" s="775" t="str">
        <v>a</v>
      </c>
      <c r="X49" s="775" t="str">
        <v>i</v>
      </c>
      <c r="Y49" s="775" t="str">
        <v>u</v>
      </c>
      <c r="Z49" s="775" t="str">
        <v>e</v>
      </c>
      <c r="AA49" s="775" t="str">
        <v>O</v>
      </c>
      <c r="AB49" s="775" t="str">
        <v>o</v>
      </c>
      <c r="AC49" s="775" t="str">
        <v>I</v>
      </c>
      <c r="AD49" s="775" t="str">
        <v>u</v>
      </c>
      <c r="AE49" s="775" t="str">
        <v>R</v>
      </c>
      <c r="AF49" s="775" t="str">
        <v>A</v>
      </c>
      <c r="AG49" s="775" t="str">
        <v>I</v>
      </c>
      <c r="AH49" s="776" t="str">
        <v>U</v>
      </c>
      <c r="AI49" s="776" t="str">
        <v>E</v>
      </c>
      <c r="AJ49" s="776" t="str">
        <v>Q</v>
      </c>
      <c r="AK49" s="776" t="str">
        <v>X</v>
      </c>
      <c r="AL49" s="777" t="str">
        <v>U</v>
      </c>
      <c r="AM49" s="776" t="str">
        <v>M</v>
      </c>
      <c r="AN49" s="776" t="str">
        <v>N</v>
      </c>
      <c r="AO49" s="776" t="str">
        <v>G</v>
      </c>
      <c r="AP49" s="776" t="str">
        <v>Y</v>
      </c>
      <c r="AQ49" s="776" t="str">
        <v>@</v>
      </c>
      <c r="AR49" s="776" t="str">
        <v>A</v>
      </c>
      <c r="AS49" s="776" t="str">
        <v>W</v>
      </c>
      <c r="AT49" s="776" t="str">
        <v>H</v>
      </c>
      <c r="AU49" s="776" t="str">
        <v>R</v>
      </c>
      <c r="AV49" s="776" t="str">
        <v>F</v>
      </c>
      <c r="AW49" s="776" t="str">
        <v>Q</v>
      </c>
      <c r="AX49" s="776" t="str">
        <v>V</v>
      </c>
      <c r="AY49" s="776">
        <v>7</v>
      </c>
      <c r="AZ49" s="776" t="str">
        <v>3</v>
      </c>
      <c r="BA49" s="776" t="str">
        <v>2</v>
      </c>
      <c r="BB49" s="776" t="str">
        <v>5</v>
      </c>
      <c r="BC49" s="776">
        <v>8</v>
      </c>
      <c r="BD49" s="776">
        <v>1</v>
      </c>
      <c r="BE49" s="776">
        <v>4</v>
      </c>
      <c r="BF49" s="776">
        <v>0</v>
      </c>
      <c r="BG49" s="776">
        <v>9</v>
      </c>
      <c r="BH49" s="776" t="str">
        <v>L</v>
      </c>
      <c r="BI49" s="776" t="str">
        <v>*</v>
      </c>
      <c r="BJ49" s="316"/>
      <c r="BK49" s="316"/>
      <c r="BM49" s="262">
        <f t="shared" si="1"/>
        <v>45</v>
      </c>
      <c r="BN49" s="319" t="s">
        <v>591</v>
      </c>
      <c r="BO49" s="738" t="str" cm="1">
        <f t="array" ref="BO49" xml:space="preserve"> INDEX(鍵盤設計表[聲韻調], MATCH(TRUE, EXACT($BN49, 鍵盤設計表[方音符號]), 0))</f>
        <v>韻尾</v>
      </c>
      <c r="BP49" s="739" t="str" cm="1">
        <f t="array" ref="BP49" xml:space="preserve"> INDEX(注音編碼對照表BAK[鍵盤按鍵], MATCH(TRUE, EXACT($BN49, 注音編碼對照表BAK[方音符號]),0))</f>
        <v>K</v>
      </c>
      <c r="BQ49" s="58" t="str" cm="1">
        <f t="array" ref="BQ49" xml:space="preserve"> INDEX(鍵盤設計表[字典編碼], MATCH(TRUE, EXACT($BN49, 鍵盤設計表[方音符號]), 0))</f>
        <v>R</v>
      </c>
      <c r="BR49" s="113" t="str" cm="1">
        <f t="array" ref="BR49" xml:space="preserve"> INDEX(鍵盤設計表[注音二式], MATCH(TRUE, EXACT($BN49, 鍵盤設計表[方音符號]), 0))</f>
        <v>ir</v>
      </c>
      <c r="BS49" s="740">
        <f t="shared" si="0"/>
        <v>2</v>
      </c>
      <c r="BU49" s="549" t="str">
        <f t="shared" si="2"/>
        <v xml:space="preserve">    "K": { commit: "ㆨ" }  # /ir/ ==&gt; R</v>
      </c>
      <c r="CP49" s="698" t="str">
        <f t="shared" si="4"/>
        <v/>
      </c>
    </row>
    <row r="50" spans="1:94" ht="45" customHeight="1">
      <c r="B50" s="772" t="str" cm="1">
        <f t="array" ref="B50:BI50" xml:space="preserve"> TRANSPOSE(注音編碼對照表[鍵盤按鍵])</f>
        <v>a</v>
      </c>
      <c r="C50" s="772" t="str">
        <v>!</v>
      </c>
      <c r="D50" s="772" t="str">
        <v>1</v>
      </c>
      <c r="E50" s="772" t="str">
        <v>q</v>
      </c>
      <c r="F50" s="772" t="str">
        <v>s</v>
      </c>
      <c r="G50" s="772" t="str">
        <v>2</v>
      </c>
      <c r="H50" s="772" t="str">
        <v>w</v>
      </c>
      <c r="I50" s="772" t="str">
        <v>x</v>
      </c>
      <c r="J50" s="772" t="str">
        <v>N</v>
      </c>
      <c r="K50" s="772" t="str">
        <v>E</v>
      </c>
      <c r="L50" s="772" t="str">
        <v>e</v>
      </c>
      <c r="M50" s="772" t="str">
        <v>d</v>
      </c>
      <c r="N50" s="772" t="str">
        <v>Y</v>
      </c>
      <c r="O50" s="772" t="str">
        <v>y</v>
      </c>
      <c r="P50" s="772" t="str">
        <v>h</v>
      </c>
      <c r="Q50" s="772" t="str">
        <v>n</v>
      </c>
      <c r="R50" s="772" t="str">
        <v>R</v>
      </c>
      <c r="S50" s="772" t="str">
        <v>r</v>
      </c>
      <c r="T50" s="772" t="str">
        <v>f</v>
      </c>
      <c r="U50" s="772" t="str">
        <v>v</v>
      </c>
      <c r="V50" s="772" t="str">
        <v>c</v>
      </c>
      <c r="W50" s="772" t="str">
        <v>8</v>
      </c>
      <c r="X50" s="772" t="str">
        <v>u</v>
      </c>
      <c r="Y50" s="772" t="str">
        <v>j</v>
      </c>
      <c r="Z50" s="772" t="str">
        <v>,</v>
      </c>
      <c r="AA50" s="772" t="str">
        <v>i</v>
      </c>
      <c r="AB50" s="772" t="str">
        <v>k</v>
      </c>
      <c r="AC50" s="772" t="str">
        <v>9</v>
      </c>
      <c r="AD50" s="772" t="str">
        <v>l</v>
      </c>
      <c r="AE50" s="772" t="str">
        <v>K</v>
      </c>
      <c r="AF50" s="772" t="str">
        <v>*</v>
      </c>
      <c r="AG50" s="772" t="str">
        <v>U</v>
      </c>
      <c r="AH50" s="773" t="str">
        <v>J</v>
      </c>
      <c r="AI50" s="773" t="str">
        <v>&lt;</v>
      </c>
      <c r="AJ50" s="773" t="str">
        <v>I</v>
      </c>
      <c r="AK50" s="773" t="str">
        <v>(</v>
      </c>
      <c r="AL50" s="774" t="str">
        <v>L</v>
      </c>
      <c r="AM50" s="773" t="str">
        <v>m</v>
      </c>
      <c r="AN50" s="773" t="str">
        <v>p</v>
      </c>
      <c r="AO50" s="773" t="str">
        <v>/</v>
      </c>
      <c r="AP50" s="773" t="str">
        <v>M</v>
      </c>
      <c r="AQ50" s="773" t="str">
        <v>0</v>
      </c>
      <c r="AR50" s="773" t="str">
        <v>;</v>
      </c>
      <c r="AS50" s="773" t="str">
        <v>O</v>
      </c>
      <c r="AT50" s="773" t="str">
        <v>o</v>
      </c>
      <c r="AU50" s="773" t="str">
        <v>b</v>
      </c>
      <c r="AV50" s="773" t="str">
        <v>t</v>
      </c>
      <c r="AW50" s="773" t="str">
        <v>g</v>
      </c>
      <c r="AX50" s="773" t="str">
        <v>z</v>
      </c>
      <c r="AY50" s="773">
        <v>5</v>
      </c>
      <c r="AZ50" s="773">
        <v>3</v>
      </c>
      <c r="BA50" s="773">
        <v>4</v>
      </c>
      <c r="BB50" s="773">
        <v>6</v>
      </c>
      <c r="BC50" s="773" t="str">
        <v>]</v>
      </c>
      <c r="BD50" s="773" t="str">
        <v>'</v>
      </c>
      <c r="BE50" s="773" t="str">
        <v>[</v>
      </c>
      <c r="BF50" s="773">
        <v>7</v>
      </c>
      <c r="BG50" s="773" t="str">
        <v>.</v>
      </c>
      <c r="BH50" s="773" t="str">
        <v>=</v>
      </c>
      <c r="BI50" s="773" t="str">
        <v>-</v>
      </c>
      <c r="BJ50" s="316"/>
      <c r="BK50" s="316"/>
      <c r="BM50" s="262">
        <f t="shared" si="1"/>
        <v>46</v>
      </c>
      <c r="BN50" s="319" t="s">
        <v>128</v>
      </c>
      <c r="BO50" s="738" t="str" cm="1">
        <f t="array" ref="BO50" xml:space="preserve"> INDEX(鍵盤設計表[聲韻調], MATCH(TRUE, EXACT($BN50, 鍵盤設計表[方音符號]), 0))</f>
        <v>韻尾</v>
      </c>
      <c r="BP50" s="739" t="str" cm="1">
        <f t="array" ref="BP50" xml:space="preserve"> INDEX(注音編碼對照表BAK[鍵盤按鍵], MATCH(TRUE, EXACT($BN50, 注音編碼對照表BAK[方音符號]),0))</f>
        <v>b</v>
      </c>
      <c r="BQ50" s="58" t="str" cm="1">
        <f t="array" ref="BQ50" xml:space="preserve"> INDEX(鍵盤設計表[字典編碼], MATCH(TRUE, EXACT($BN50, 鍵盤設計表[方音符號]), 0))</f>
        <v>R</v>
      </c>
      <c r="BR50" s="113" t="str" cm="1">
        <f t="array" ref="BR50" xml:space="preserve"> INDEX(鍵盤設計表[注音二式], MATCH(TRUE, EXACT($BN50, 鍵盤設計表[方音符號]), 0))</f>
        <v>p</v>
      </c>
      <c r="BS50" s="740">
        <f t="shared" si="0"/>
        <v>1</v>
      </c>
      <c r="BU50" s="549" t="str">
        <f t="shared" si="2"/>
        <v xml:space="preserve">    "b": { commit: "ㆴ" }  # /p/ ==&gt; R</v>
      </c>
      <c r="CP50" s="698" t="str">
        <f t="shared" si="4"/>
        <v/>
      </c>
    </row>
    <row r="51" spans="1:94" ht="45" customHeight="1">
      <c r="B51" s="764" t="str" cm="1">
        <f t="array" ref="B51:BI51" xml:space="preserve"> TRANSPOSE(注音編碼對照表[方音符號])</f>
        <v>ㄇ</v>
      </c>
      <c r="C51" s="764" t="str">
        <v>ㆠ</v>
      </c>
      <c r="D51" s="764" t="str">
        <v>ㄅ</v>
      </c>
      <c r="E51" s="764" t="str">
        <v>ㄆ</v>
      </c>
      <c r="F51" s="764" t="str">
        <v>ㄋ</v>
      </c>
      <c r="G51" s="764" t="str">
        <v>ㄉ</v>
      </c>
      <c r="H51" s="764" t="str">
        <v>ㄊ</v>
      </c>
      <c r="I51" s="764" t="str">
        <v>ㄌ</v>
      </c>
      <c r="J51" s="764" t="str">
        <v>ㄫ</v>
      </c>
      <c r="K51" s="764" t="str">
        <v>ㆣ</v>
      </c>
      <c r="L51" s="764" t="str">
        <v>ㄍ</v>
      </c>
      <c r="M51" s="764" t="str">
        <v>ㄎ</v>
      </c>
      <c r="N51" s="764" t="str">
        <v>ㆡ</v>
      </c>
      <c r="O51" s="764" t="str">
        <v>ㄗ</v>
      </c>
      <c r="P51" s="764" t="str">
        <v>ㄘ</v>
      </c>
      <c r="Q51" s="764" t="str">
        <v>ㄙ</v>
      </c>
      <c r="R51" s="764" t="str">
        <v>ㆢ</v>
      </c>
      <c r="S51" s="764" t="str">
        <v>ㄐ</v>
      </c>
      <c r="T51" s="764" t="str">
        <v>ㄑ</v>
      </c>
      <c r="U51" s="764" t="str">
        <v>ㄒ</v>
      </c>
      <c r="V51" s="764" t="str">
        <v>ㄏ</v>
      </c>
      <c r="W51" s="764" t="str">
        <v>ㄚ</v>
      </c>
      <c r="X51" s="764" t="str">
        <v>ㄧ</v>
      </c>
      <c r="Y51" s="764" t="str">
        <v>ㄨ</v>
      </c>
      <c r="Z51" s="764" t="str">
        <v>ㆤ</v>
      </c>
      <c r="AA51" s="764" t="str">
        <v>ㆦ</v>
      </c>
      <c r="AB51" s="764" t="str">
        <v>ㄜ</v>
      </c>
      <c r="AC51" s="764" t="str">
        <v>ㄞ</v>
      </c>
      <c r="AD51" s="764" t="str">
        <v>ㄠ</v>
      </c>
      <c r="AE51" s="764" t="str">
        <v>ㆨ</v>
      </c>
      <c r="AF51" s="764" t="str">
        <v>ㆩ</v>
      </c>
      <c r="AG51" s="764" t="str">
        <v>ㆪ</v>
      </c>
      <c r="AH51" s="765" t="str">
        <v>ㆫ</v>
      </c>
      <c r="AI51" s="765" t="str">
        <v>ㆥ</v>
      </c>
      <c r="AJ51" s="765" t="str">
        <v>ㆧ</v>
      </c>
      <c r="AK51" s="765" t="str">
        <v>ㆮ</v>
      </c>
      <c r="AL51" s="766" t="str">
        <v>ㆯ</v>
      </c>
      <c r="AM51" s="765" t="str">
        <v>ㆬ</v>
      </c>
      <c r="AN51" s="765" t="str">
        <v>ㄣ</v>
      </c>
      <c r="AO51" s="765" t="str">
        <v>ㆭ</v>
      </c>
      <c r="AP51" s="765" t="str">
        <v>ㆰ</v>
      </c>
      <c r="AQ51" s="765" t="str">
        <v>ㄢ</v>
      </c>
      <c r="AR51" s="765" t="str">
        <v>ㄤ</v>
      </c>
      <c r="AS51" s="765" t="str">
        <v>ㆱ</v>
      </c>
      <c r="AT51" s="765" t="str">
        <v>ㆲ</v>
      </c>
      <c r="AU51" s="765" t="str">
        <v>ㆴ</v>
      </c>
      <c r="AV51" s="765" t="str">
        <v>ㆵ</v>
      </c>
      <c r="AW51" s="765" t="str">
        <v>ㆻ</v>
      </c>
      <c r="AX51" s="765" t="str">
        <v>ㆷ</v>
      </c>
      <c r="AY51" s="765" t="str">
        <v>˫</v>
      </c>
      <c r="AZ51" s="765" t="str">
        <v>˪</v>
      </c>
      <c r="BA51" s="765" t="str">
        <v>ˋ</v>
      </c>
      <c r="BB51" s="765" t="str">
        <v>ˊ</v>
      </c>
      <c r="BC51" s="765" t="str">
        <v>ˊ</v>
      </c>
      <c r="BD51" s="765" t="str">
        <v>ˉ</v>
      </c>
      <c r="BE51" s="765" t="str">
        <v>ˉ</v>
      </c>
      <c r="BF51" s="765" t="str">
        <v>˙</v>
      </c>
      <c r="BG51" s="765" t="str">
        <v>入</v>
      </c>
      <c r="BH51" s="765" t="str">
        <v>ㄥ</v>
      </c>
      <c r="BI51" s="765" t="str">
        <v>ñ</v>
      </c>
      <c r="BJ51" s="316"/>
      <c r="BK51" s="316"/>
      <c r="BM51" s="262">
        <f t="shared" si="1"/>
        <v>47</v>
      </c>
      <c r="BN51" s="319" t="s">
        <v>130</v>
      </c>
      <c r="BO51" s="738" t="str" cm="1">
        <f t="array" ref="BO51" xml:space="preserve"> INDEX(鍵盤設計表[聲韻調], MATCH(TRUE, EXACT($BN51, 鍵盤設計表[方音符號]), 0))</f>
        <v>韻尾</v>
      </c>
      <c r="BP51" s="739" t="str" cm="1">
        <f t="array" ref="BP51" xml:space="preserve"> INDEX(注音編碼對照表BAK[鍵盤按鍵], MATCH(TRUE, EXACT($BN51, 注音編碼對照表BAK[方音符號]),0))</f>
        <v>t</v>
      </c>
      <c r="BQ51" s="58" t="str" cm="1">
        <f t="array" ref="BQ51" xml:space="preserve"> INDEX(鍵盤設計表[字典編碼], MATCH(TRUE, EXACT($BN51, 鍵盤設計表[方音符號]), 0))</f>
        <v>F</v>
      </c>
      <c r="BR51" s="113" t="str" cm="1">
        <f t="array" ref="BR51" xml:space="preserve"> INDEX(鍵盤設計表[注音二式], MATCH(TRUE, EXACT($BN51, 鍵盤設計表[方音符號]), 0))</f>
        <v>t</v>
      </c>
      <c r="BS51" s="740">
        <f t="shared" si="0"/>
        <v>1</v>
      </c>
      <c r="BU51" s="549" t="str">
        <f t="shared" si="2"/>
        <v xml:space="preserve">    "t": { commit: "ㆵ" }  # /t/ ==&gt; F</v>
      </c>
      <c r="CP51" s="698" t="str">
        <f t="shared" si="4"/>
        <v/>
      </c>
    </row>
    <row r="52" spans="1:94" ht="45" customHeight="1">
      <c r="B52" s="316"/>
      <c r="C52" s="316"/>
      <c r="D52" s="316"/>
      <c r="E52" s="316"/>
      <c r="F52" s="316"/>
      <c r="G52" s="316"/>
      <c r="H52" s="316"/>
      <c r="I52" s="316"/>
      <c r="J52" s="316"/>
      <c r="K52" s="316"/>
      <c r="L52" s="316"/>
      <c r="M52" s="316"/>
      <c r="N52" s="316"/>
      <c r="O52" s="316"/>
      <c r="P52" s="316"/>
      <c r="Q52" s="316"/>
      <c r="R52" s="316"/>
      <c r="S52" s="316"/>
      <c r="T52" s="316"/>
      <c r="U52" s="316"/>
      <c r="V52" s="316"/>
      <c r="W52" s="316"/>
      <c r="X52" s="316"/>
      <c r="Y52" s="316"/>
      <c r="Z52" s="316"/>
      <c r="AA52" s="316"/>
      <c r="AB52" s="316"/>
      <c r="AC52" s="316"/>
      <c r="AD52" s="316"/>
      <c r="AE52" s="316"/>
      <c r="AF52" s="316"/>
      <c r="AG52" s="316"/>
      <c r="AH52" s="316"/>
      <c r="AI52" s="316"/>
      <c r="AJ52" s="316"/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M52" s="262">
        <f t="shared" si="1"/>
        <v>48</v>
      </c>
      <c r="BN52" s="319" t="s">
        <v>132</v>
      </c>
      <c r="BO52" s="738" t="str" cm="1">
        <f t="array" ref="BO52" xml:space="preserve"> INDEX(鍵盤設計表[聲韻調], MATCH(TRUE, EXACT($BN52, 鍵盤設計表[方音符號]), 0))</f>
        <v>韻尾</v>
      </c>
      <c r="BP52" s="739" t="str" cm="1">
        <f t="array" ref="BP52" xml:space="preserve"> INDEX(注音編碼對照表BAK[鍵盤按鍵], MATCH(TRUE, EXACT($BN52, 注音編碼對照表BAK[方音符號]),0))</f>
        <v>g</v>
      </c>
      <c r="BQ52" s="58" t="str" cm="1">
        <f t="array" ref="BQ52" xml:space="preserve"> INDEX(鍵盤設計表[字典編碼], MATCH(TRUE, EXACT($BN52, 鍵盤設計表[方音符號]), 0))</f>
        <v>Q</v>
      </c>
      <c r="BR52" s="113" t="str" cm="1">
        <f t="array" ref="BR52" xml:space="preserve"> INDEX(鍵盤設計表[注音二式], MATCH(TRUE, EXACT($BN52, 鍵盤設計表[方音符號]), 0))</f>
        <v>k</v>
      </c>
      <c r="BS52" s="740">
        <f t="shared" si="0"/>
        <v>1</v>
      </c>
      <c r="BU52" s="549" t="str">
        <f t="shared" si="2"/>
        <v xml:space="preserve">    "g": { commit: "ㆻ" }  # /k/ ==&gt; Q</v>
      </c>
      <c r="CP52" s="698" t="str">
        <f t="shared" si="4"/>
        <v/>
      </c>
    </row>
    <row r="53" spans="1:94" ht="45" customHeight="1">
      <c r="B53" s="785" t="str">
        <f>_xlfn.CONCAT("  alphabet: """,B50:AX50,BF50:BH50,AY50:BE50,"""")</f>
        <v xml:space="preserve">  alphabet: "a!1qs2wxNEedYyhnRrfvc8uj,ik9lK*UJ&lt;I(Lmp/M0;Oobtgz7.=5346]'["</v>
      </c>
      <c r="C53" s="785"/>
      <c r="D53" s="785"/>
      <c r="E53" s="785"/>
      <c r="F53" s="785"/>
      <c r="G53" s="785"/>
      <c r="H53" s="785"/>
      <c r="I53" s="785"/>
      <c r="J53" s="785"/>
      <c r="K53" s="785"/>
      <c r="L53" s="785"/>
      <c r="M53" s="785"/>
      <c r="N53" s="785"/>
      <c r="O53" s="785"/>
      <c r="P53" s="785"/>
      <c r="Q53" s="785"/>
      <c r="R53" s="785"/>
      <c r="S53" s="785"/>
      <c r="T53" s="785"/>
      <c r="U53" s="785"/>
      <c r="V53" s="785"/>
      <c r="W53" s="785"/>
      <c r="X53" s="785"/>
      <c r="Y53" s="785"/>
      <c r="Z53" s="785"/>
      <c r="AA53" s="785"/>
      <c r="AB53" s="785"/>
      <c r="AC53" s="785"/>
      <c r="AD53" s="785"/>
      <c r="AE53" s="785"/>
      <c r="AF53" s="785"/>
      <c r="AG53" s="785"/>
      <c r="AH53" s="785"/>
      <c r="AI53" s="785"/>
      <c r="AJ53" s="785"/>
      <c r="AK53" s="785"/>
      <c r="AL53" s="785"/>
      <c r="AM53" s="785"/>
      <c r="AN53" s="785"/>
      <c r="AO53" s="785"/>
      <c r="AP53" s="785"/>
      <c r="AQ53" s="785"/>
      <c r="AR53" s="785"/>
      <c r="AS53" s="785"/>
      <c r="AT53" s="785"/>
      <c r="AU53" s="785"/>
      <c r="AV53" s="785"/>
      <c r="AW53" s="785"/>
      <c r="AX53" s="785"/>
      <c r="AY53" s="785"/>
      <c r="AZ53" s="785"/>
      <c r="BA53" s="785"/>
      <c r="BB53" s="785"/>
      <c r="BC53" s="785"/>
      <c r="BD53" s="785"/>
      <c r="BE53" s="785"/>
      <c r="BF53" s="785"/>
      <c r="BG53" s="785"/>
      <c r="BH53" s="785"/>
      <c r="BI53" s="785"/>
      <c r="BJ53" s="316"/>
      <c r="BK53" s="316"/>
      <c r="BM53" s="262">
        <f t="shared" si="1"/>
        <v>49</v>
      </c>
      <c r="BN53" s="319" t="s">
        <v>134</v>
      </c>
      <c r="BO53" s="738" t="str" cm="1">
        <f t="array" ref="BO53" xml:space="preserve"> INDEX(鍵盤設計表[聲韻調], MATCH(TRUE, EXACT($BN53, 鍵盤設計表[方音符號]), 0))</f>
        <v>韻尾</v>
      </c>
      <c r="BP53" s="739" t="str" cm="1">
        <f t="array" ref="BP53" xml:space="preserve"> INDEX(注音編碼對照表BAK[鍵盤按鍵], MATCH(TRUE, EXACT($BN53, 注音編碼對照表BAK[方音符號]),0))</f>
        <v>z</v>
      </c>
      <c r="BQ53" s="58" t="str" cm="1">
        <f t="array" ref="BQ53" xml:space="preserve"> INDEX(鍵盤設計表[字典編碼], MATCH(TRUE, EXACT($BN53, 鍵盤設計表[方音符號]), 0))</f>
        <v>V</v>
      </c>
      <c r="BR53" s="113" t="str" cm="1">
        <f t="array" ref="BR53" xml:space="preserve"> INDEX(鍵盤設計表[注音二式], MATCH(TRUE, EXACT($BN53, 鍵盤設計表[方音符號]), 0))</f>
        <v>h</v>
      </c>
      <c r="BS53" s="740">
        <f t="shared" si="0"/>
        <v>1</v>
      </c>
      <c r="BU53" s="549" t="str">
        <f xml:space="preserve"> "    """ &amp; BP53 &amp; """: { commit: """ &amp; BN53 &amp; """ }" &amp; "  # " &amp; "/" &amp; BR53 &amp; "/ ==&gt; " &amp; BQ53</f>
        <v xml:space="preserve">    "z": { commit: "ㆷ" }  # /h/ ==&gt; V</v>
      </c>
      <c r="CP53" s="698" t="str">
        <f t="shared" si="4"/>
        <v/>
      </c>
    </row>
    <row r="54" spans="1:94" ht="45" customHeight="1">
      <c r="B54" s="785" t="str">
        <f>_xlfn.CONCAT("  initials: """,B50:AX50,BF50:BH50,"""")</f>
        <v xml:space="preserve">  initials: "a!1qs2wxNEedYyhnRrfvc8uj,ik9lK*UJ&lt;I(Lmp/M0;Oobtgz7.="</v>
      </c>
      <c r="C54" s="785"/>
      <c r="D54" s="785"/>
      <c r="E54" s="785"/>
      <c r="F54" s="785"/>
      <c r="G54" s="785"/>
      <c r="H54" s="785"/>
      <c r="I54" s="785"/>
      <c r="J54" s="785"/>
      <c r="K54" s="785"/>
      <c r="L54" s="785"/>
      <c r="M54" s="785"/>
      <c r="N54" s="785"/>
      <c r="O54" s="785"/>
      <c r="P54" s="785"/>
      <c r="Q54" s="785"/>
      <c r="R54" s="785"/>
      <c r="S54" s="785"/>
      <c r="T54" s="785"/>
      <c r="U54" s="785"/>
      <c r="V54" s="785"/>
      <c r="W54" s="785"/>
      <c r="X54" s="785"/>
      <c r="Y54" s="785"/>
      <c r="Z54" s="785"/>
      <c r="AA54" s="785"/>
      <c r="AB54" s="785"/>
      <c r="AC54" s="785"/>
      <c r="AD54" s="785"/>
      <c r="AE54" s="785"/>
      <c r="AF54" s="785"/>
      <c r="AG54" s="785"/>
      <c r="AH54" s="785"/>
      <c r="AI54" s="785"/>
      <c r="AJ54" s="785"/>
      <c r="AK54" s="785"/>
      <c r="AL54" s="785"/>
      <c r="AM54" s="785"/>
      <c r="AN54" s="785"/>
      <c r="AO54" s="785"/>
      <c r="AP54" s="785"/>
      <c r="AQ54" s="785"/>
      <c r="AR54" s="785"/>
      <c r="AS54" s="785"/>
      <c r="AT54" s="785"/>
      <c r="AU54" s="785"/>
      <c r="AV54" s="785"/>
      <c r="AW54" s="785"/>
      <c r="AX54" s="785"/>
      <c r="AY54" s="785"/>
      <c r="AZ54" s="785"/>
      <c r="BA54" s="785"/>
      <c r="BB54" s="785"/>
      <c r="BC54" s="785"/>
      <c r="BD54" s="785"/>
      <c r="BE54" s="785"/>
      <c r="BF54" s="785"/>
      <c r="BG54" s="785"/>
      <c r="BH54" s="785"/>
      <c r="BI54" s="785"/>
      <c r="BJ54" s="316"/>
      <c r="BK54" s="316"/>
      <c r="BM54" s="262">
        <f t="shared" si="1"/>
        <v>50</v>
      </c>
      <c r="BN54" s="319" t="s">
        <v>104</v>
      </c>
      <c r="BO54" s="738" t="str" cm="1">
        <f t="array" ref="BO54" xml:space="preserve"> INDEX(鍵盤設計表[聲韻調], MATCH(TRUE, EXACT($BN54, 鍵盤設計表[方音符號]), 0))</f>
        <v>調</v>
      </c>
      <c r="BP54" s="739" cm="1">
        <f t="array" ref="BP54" xml:space="preserve"> INDEX(注音編碼對照表BAK[鍵盤按鍵], MATCH(TRUE, EXACT($BN54, 注音編碼對照表BAK[方音符號]),0))</f>
        <v>4</v>
      </c>
      <c r="BQ54" s="58" t="str" cm="1">
        <f t="array" ref="BQ54" xml:space="preserve"> INDEX(鍵盤設計表[字典編碼], MATCH(TRUE, EXACT($BN54, 鍵盤設計表[方音符號]), 0))</f>
        <v>2</v>
      </c>
      <c r="BR54" s="113" cm="1">
        <f t="array" ref="BR54" xml:space="preserve"> INDEX(鍵盤設計表[注音二式], MATCH(TRUE, EXACT($BN54, 鍵盤設計表[方音符號]), 0))</f>
        <v>2</v>
      </c>
      <c r="BS54" s="740">
        <f t="shared" si="0"/>
        <v>1</v>
      </c>
      <c r="BU54" s="549" t="str">
        <f t="shared" si="2"/>
        <v xml:space="preserve">    "4": { commit: "ˋ" }  # /2/ ==&gt; 2</v>
      </c>
      <c r="CP54" s="698" t="str">
        <f t="shared" si="4"/>
        <v/>
      </c>
    </row>
    <row r="55" spans="1:94" ht="45" customHeight="1">
      <c r="B55" s="785" t="str">
        <f>_xlfn.CONCAT("  finals: """,AY50:BE50,"""")</f>
        <v xml:space="preserve">  finals: "5346]'["</v>
      </c>
      <c r="C55" s="785"/>
      <c r="D55" s="785"/>
      <c r="E55" s="785"/>
      <c r="F55" s="785"/>
      <c r="G55" s="785"/>
      <c r="H55" s="785"/>
      <c r="I55" s="785"/>
      <c r="J55" s="785"/>
      <c r="K55" s="785"/>
      <c r="L55" s="785"/>
      <c r="M55" s="785"/>
      <c r="N55" s="785"/>
      <c r="O55" s="785"/>
      <c r="P55" s="785"/>
      <c r="Q55" s="785"/>
      <c r="R55" s="785"/>
      <c r="S55" s="785"/>
      <c r="T55" s="785"/>
      <c r="U55" s="785"/>
      <c r="V55" s="785"/>
      <c r="W55" s="785"/>
      <c r="X55" s="785"/>
      <c r="Y55" s="785"/>
      <c r="Z55" s="785"/>
      <c r="AA55" s="785"/>
      <c r="AB55" s="785"/>
      <c r="AC55" s="785"/>
      <c r="AD55" s="785"/>
      <c r="AE55" s="785"/>
      <c r="AF55" s="785"/>
      <c r="AG55" s="785"/>
      <c r="AH55" s="785"/>
      <c r="AI55" s="785"/>
      <c r="AJ55" s="785"/>
      <c r="AK55" s="785"/>
      <c r="AL55" s="785"/>
      <c r="AM55" s="785"/>
      <c r="AN55" s="785"/>
      <c r="AO55" s="785"/>
      <c r="AP55" s="785"/>
      <c r="AQ55" s="785"/>
      <c r="AR55" s="785"/>
      <c r="AS55" s="785"/>
      <c r="AT55" s="785"/>
      <c r="AU55" s="785"/>
      <c r="AV55" s="785"/>
      <c r="AW55" s="785"/>
      <c r="AX55" s="785"/>
      <c r="AY55" s="785"/>
      <c r="AZ55" s="785"/>
      <c r="BA55" s="785"/>
      <c r="BB55" s="785"/>
      <c r="BC55" s="785"/>
      <c r="BD55" s="785"/>
      <c r="BE55" s="785"/>
      <c r="BF55" s="785"/>
      <c r="BG55" s="785"/>
      <c r="BH55" s="785"/>
      <c r="BI55" s="785"/>
      <c r="BJ55" s="316"/>
      <c r="BK55" s="316"/>
      <c r="BM55" s="262">
        <f t="shared" si="1"/>
        <v>51</v>
      </c>
      <c r="BN55" s="319" t="s">
        <v>105</v>
      </c>
      <c r="BO55" s="738" t="str" cm="1">
        <f t="array" ref="BO55" xml:space="preserve"> INDEX(鍵盤設計表[聲韻調], MATCH(TRUE, EXACT($BN55, 鍵盤設計表[方音符號]), 0))</f>
        <v>調</v>
      </c>
      <c r="BP55" s="739" cm="1">
        <f t="array" ref="BP55" xml:space="preserve"> INDEX(注音編碼對照表BAK[鍵盤按鍵], MATCH(TRUE, EXACT($BN55, 注音編碼對照表BAK[方音符號]),0))</f>
        <v>3</v>
      </c>
      <c r="BQ55" s="58" t="str" cm="1">
        <f t="array" ref="BQ55" xml:space="preserve"> INDEX(鍵盤設計表[字典編碼], MATCH(TRUE, EXACT($BN55, 鍵盤設計表[方音符號]), 0))</f>
        <v>3</v>
      </c>
      <c r="BR55" s="113" cm="1">
        <f t="array" ref="BR55" xml:space="preserve"> INDEX(鍵盤設計表[注音二式], MATCH(TRUE, EXACT($BN55, 鍵盤設計表[方音符號]), 0))</f>
        <v>3</v>
      </c>
      <c r="BS55" s="740">
        <f t="shared" si="0"/>
        <v>1</v>
      </c>
      <c r="BU55" s="549" t="str">
        <f t="shared" si="2"/>
        <v xml:space="preserve">    "3": { commit: "˪" }  # /3/ ==&gt; 3</v>
      </c>
      <c r="CP55" s="698" t="str">
        <f t="shared" si="4"/>
        <v/>
      </c>
    </row>
    <row r="56" spans="1:94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M56" s="262">
        <f t="shared" si="1"/>
        <v>52</v>
      </c>
      <c r="BN56" s="319" t="s">
        <v>106</v>
      </c>
      <c r="BO56" s="738" t="str" cm="1">
        <f t="array" ref="BO56" xml:space="preserve"> INDEX(鍵盤設計表[聲韻調], MATCH(TRUE, EXACT($BN56, 鍵盤設計表[方音符號]), 0))</f>
        <v>調</v>
      </c>
      <c r="BP56" s="739" cm="1">
        <f t="array" ref="BP56" xml:space="preserve"> INDEX(注音編碼對照表BAK[鍵盤按鍵], MATCH(TRUE, EXACT($BN56, 注音編碼對照表BAK[方音符號]),0))</f>
        <v>6</v>
      </c>
      <c r="BQ56" s="58" t="str" cm="1">
        <f t="array" ref="BQ56" xml:space="preserve"> INDEX(鍵盤設計表[字典編碼], MATCH(TRUE, EXACT($BN56, 鍵盤設計表[方音符號]), 0))</f>
        <v>5</v>
      </c>
      <c r="BR56" s="113" cm="1">
        <f t="array" ref="BR56" xml:space="preserve"> INDEX(鍵盤設計表[注音二式], MATCH(TRUE, EXACT($BN56, 鍵盤設計表[方音符號]), 0))</f>
        <v>5</v>
      </c>
      <c r="BS56" s="740">
        <f t="shared" si="0"/>
        <v>1</v>
      </c>
      <c r="BU56" s="549" t="str">
        <f t="shared" si="2"/>
        <v xml:space="preserve">    "6": { commit: "ˊ" }  # /5/ ==&gt; 5</v>
      </c>
    </row>
    <row r="57" spans="1:94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M57" s="262">
        <f t="shared" si="1"/>
        <v>53</v>
      </c>
      <c r="BN57" s="319" t="s">
        <v>107</v>
      </c>
      <c r="BO57" s="738" t="str" cm="1">
        <f t="array" ref="BO57" xml:space="preserve"> INDEX(鍵盤設計表[聲韻調], MATCH(TRUE, EXACT($BN57, 鍵盤設計表[方音符號]), 0))</f>
        <v>調</v>
      </c>
      <c r="BP57" s="739" cm="1">
        <f t="array" ref="BP57" xml:space="preserve"> INDEX(注音編碼對照表BAK[鍵盤按鍵], MATCH(TRUE, EXACT($BN57, 注音編碼對照表BAK[方音符號]),0))</f>
        <v>5</v>
      </c>
      <c r="BQ57" s="58" cm="1">
        <f t="array" ref="BQ57" xml:space="preserve"> INDEX(鍵盤設計表[字典編碼], MATCH(TRUE, EXACT($BN57, 鍵盤設計表[方音符號]), 0))</f>
        <v>7</v>
      </c>
      <c r="BR57" s="113" cm="1">
        <f t="array" ref="BR57" xml:space="preserve"> INDEX(鍵盤設計表[注音二式], MATCH(TRUE, EXACT($BN57, 鍵盤設計表[方音符號]), 0))</f>
        <v>7</v>
      </c>
      <c r="BS57" s="740">
        <f t="shared" si="0"/>
        <v>1</v>
      </c>
      <c r="BU57" s="549" t="str">
        <f t="shared" si="2"/>
        <v xml:space="preserve">    "5": { commit: "˫" }  # /7/ ==&gt; 7</v>
      </c>
    </row>
    <row r="58" spans="1:94" ht="45" customHeight="1">
      <c r="A58" s="770">
        <f xml:space="preserve"> LEN(B58)</f>
        <v>60</v>
      </c>
      <c r="B58" s="769" t="str">
        <f>_xlfn.CONCAT(_xlfn.ANCHORARRAY(B49))</f>
        <v>mBbpndtlwGgkZzcsJjCShaiueOoIuRAIUEQXUMNGY@AWHRFQV732581409L*</v>
      </c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M58" s="262">
        <f t="shared" si="1"/>
        <v>54</v>
      </c>
      <c r="BN58" s="319" t="s">
        <v>108</v>
      </c>
      <c r="BO58" s="738" t="str" cm="1">
        <f t="array" ref="BO58" xml:space="preserve"> INDEX(鍵盤設計表[聲韻調], MATCH(TRUE, EXACT($BN58, 鍵盤設計表[方音符號]), 0))</f>
        <v>調</v>
      </c>
      <c r="BP58" s="739" cm="1">
        <f t="array" ref="BP58" xml:space="preserve"> INDEX(注音編碼對照表BAK[鍵盤按鍵], MATCH(TRUE, EXACT($BN58, 注音編碼對照表BAK[方音符號]),0))</f>
        <v>7</v>
      </c>
      <c r="BQ58" s="58" cm="1">
        <f t="array" ref="BQ58" xml:space="preserve"> INDEX(鍵盤設計表[字典編碼], MATCH(TRUE, EXACT($BN58, 鍵盤設計表[方音符號]), 0))</f>
        <v>0</v>
      </c>
      <c r="BR58" s="113" cm="1">
        <f t="array" ref="BR58" xml:space="preserve"> INDEX(鍵盤設計表[注音二式], MATCH(TRUE, EXACT($BN58, 鍵盤設計表[方音符號]), 0))</f>
        <v>0</v>
      </c>
      <c r="BS58" s="740">
        <f t="shared" si="0"/>
        <v>1</v>
      </c>
      <c r="BU58" s="549" t="str">
        <f t="shared" si="2"/>
        <v xml:space="preserve">    "7": { commit: "˙" }  # /0/ ==&gt; 0</v>
      </c>
    </row>
    <row r="59" spans="1:94" ht="38.1" customHeight="1">
      <c r="A59" s="770">
        <f xml:space="preserve"> LEN(B59)</f>
        <v>60</v>
      </c>
      <c r="B59" s="769" t="str">
        <f>_xlfn.CONCAT(_xlfn.ANCHORARRAY(B50))</f>
        <v>a!1qs2wxNEedYyhnRrfvc8uj,ik9lK*UJ&lt;I(Lmp/M0;Oobtgz5346]'[7.=-</v>
      </c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M59" s="262">
        <f t="shared" si="1"/>
        <v>55</v>
      </c>
      <c r="BN59" s="319" t="s">
        <v>8774</v>
      </c>
      <c r="BO59" s="738" t="str" cm="1">
        <f t="array" ref="BO59" xml:space="preserve"> INDEX(鍵盤設計表[聲韻調], MATCH(TRUE, EXACT($BN59, 鍵盤設計表[方音符號]), 0))</f>
        <v>鍵</v>
      </c>
      <c r="BP59" s="739" t="str" cm="1">
        <f t="array" ref="BP59" xml:space="preserve"> INDEX(注音編碼對照表BAK[鍵盤按鍵], MATCH(TRUE, EXACT($BN59, 注音編碼對照表BAK[方音符號]),0))</f>
        <v>.</v>
      </c>
      <c r="BQ59" s="58" cm="1">
        <f t="array" ref="BQ59" xml:space="preserve"> INDEX(鍵盤設計表[字典編碼], MATCH(TRUE, EXACT($BN59, 鍵盤設計表[方音符號]), 0))</f>
        <v>9</v>
      </c>
      <c r="BR59" s="113" cm="1">
        <f t="array" ref="BR59" xml:space="preserve"> INDEX(鍵盤設計表[注音二式], MATCH(TRUE, EXACT($BN59, 鍵盤設計表[方音符號]), 0))</f>
        <v>9</v>
      </c>
      <c r="BS59" s="740">
        <f t="shared" ref="BS59:BS60" si="5" xml:space="preserve"> LEN(BR59)</f>
        <v>1</v>
      </c>
      <c r="BU59" s="549" t="str">
        <f t="shared" si="2"/>
        <v xml:space="preserve">    ".": { commit: "入" }  # /9/ ==&gt; 9</v>
      </c>
    </row>
    <row r="60" spans="1:94" ht="38.1" customHeight="1">
      <c r="B60" s="769" t="str">
        <f xml:space="preserve"> _xlfn.CONCAT("    - xlit|", B58, "|", B59,"|")</f>
        <v xml:space="preserve">    - xlit|mBbpndtlwGgkZzcsJjCShaiueOoIuRAIUEQXUMNGY@AWHRFQV732581409L*|a!1qs2wxNEedYyhnRrfvc8uj,ik9lK*UJ&lt;I(Lmp/M0;Oobtgz5346]'[7.=-|</v>
      </c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M60" s="262">
        <f t="shared" si="1"/>
        <v>56</v>
      </c>
      <c r="BN60" s="319" t="s">
        <v>8771</v>
      </c>
      <c r="BO60" s="738" t="str" cm="1">
        <f t="array" ref="BO60" xml:space="preserve"> INDEX(鍵盤設計表[聲韻調], MATCH(TRUE, EXACT($BN60, 鍵盤設計表[方音符號]), 0))</f>
        <v>鍵</v>
      </c>
      <c r="BP60" s="739" t="str" cm="1">
        <f t="array" ref="BP60" xml:space="preserve"> INDEX(注音編碼對照表BAK[鍵盤按鍵], MATCH(TRUE, EXACT($BN60, 注音編碼對照表BAK[方音符號]),0))</f>
        <v>-</v>
      </c>
      <c r="BQ60" s="58" t="str" cm="1">
        <f t="array" ref="BQ60" xml:space="preserve"> INDEX(鍵盤設計表[字典編碼], MATCH(TRUE, EXACT($BN60, 鍵盤設計表[方音符號]), 0))</f>
        <v>*</v>
      </c>
      <c r="BR60" s="113" t="str" cm="1">
        <f t="array" ref="BR60" xml:space="preserve"> INDEX(鍵盤設計表[注音二式], MATCH(TRUE, EXACT($BN60, 鍵盤設計表[方音符號]), 0))</f>
        <v>*nn</v>
      </c>
      <c r="BS60" s="740">
        <f t="shared" si="5"/>
        <v>3</v>
      </c>
      <c r="BU60" s="549" t="str">
        <f t="shared" si="2"/>
        <v xml:space="preserve">    "-": { commit: "ñ" }  # /*nn/ ==&gt; *</v>
      </c>
    </row>
    <row r="61" spans="1:94" ht="45.75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M61" s="262">
        <f t="shared" si="1"/>
        <v>57</v>
      </c>
      <c r="BN61" s="319" t="s">
        <v>127</v>
      </c>
      <c r="BO61" s="738" t="str" cm="1">
        <f t="array" ref="BO61" xml:space="preserve"> INDEX(鍵盤設計表[聲韻調], MATCH(TRUE, EXACT($BN61, 鍵盤設計表[方音符號]), 0))</f>
        <v>鍵</v>
      </c>
      <c r="BP61" s="739" t="str" cm="1">
        <f t="array" ref="BP61" xml:space="preserve"> INDEX(注音編碼對照表BAK[鍵盤按鍵], MATCH(TRUE, EXACT($BN61, 注音編碼對照表BAK[方音符號]),0))</f>
        <v>=</v>
      </c>
      <c r="BQ61" s="58" t="str" cm="1">
        <f t="array" ref="BQ61" xml:space="preserve"> INDEX(鍵盤設計表[字典編碼], MATCH(TRUE, EXACT($BN61, 鍵盤設計表[方音符號]), 0))</f>
        <v>L</v>
      </c>
      <c r="BR61" s="113" t="str" cm="1">
        <f t="array" ref="BR61" xml:space="preserve"> INDEX(鍵盤設計表[注音二式], MATCH(TRUE, EXACT($BN61, 鍵盤設計表[方音符號]), 0))</f>
        <v>nn</v>
      </c>
      <c r="BS61" s="740">
        <f t="shared" ref="BS61" si="6" xml:space="preserve"> LEN(BR61)</f>
        <v>2</v>
      </c>
      <c r="BU61" s="549" t="str">
        <f t="shared" si="2"/>
        <v xml:space="preserve">    "=": { commit: "ㄥ" }  # /nn/ ==&gt; L</v>
      </c>
    </row>
    <row r="62" spans="1:94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</row>
    <row r="63" spans="1:94" ht="39">
      <c r="A63" s="770">
        <f xml:space="preserve"> LEN(B63)</f>
        <v>49</v>
      </c>
      <c r="B63" s="769" t="str">
        <f>_xlfn.CONCAT(B50:AX50)</f>
        <v>a!1qs2wxNEedYyhnRrfvc8uj,ik9lK*UJ&lt;I(Lmp/M0;Oobtgz</v>
      </c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</row>
    <row r="64" spans="1:94" ht="39">
      <c r="A64" s="770">
        <f xml:space="preserve"> LEN(B64)</f>
        <v>49</v>
      </c>
      <c r="B64" s="769" t="str">
        <f>_xlfn.CONCAT(B51:AX51)</f>
        <v>ㄇㆠㄅㄆㄋㄉㄊㄌㄫㆣㄍㄎㆡㄗㄘㄙㆢㄐㄑㄒㄏㄚㄧㄨㆤㆦㄜㄞㄠㆨㆩㆪㆫㆥㆧㆮㆯㆬㄣㆭㆰㄢㄤㆱㆲㆴㆵㆻㆷ</v>
      </c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</row>
    <row r="65" spans="1:63" ht="39">
      <c r="B65" s="769" t="str">
        <f xml:space="preserve"> _xlfn.CONCAT("    - xlit|", B63, "|", B64,"|")</f>
        <v xml:space="preserve">    - xlit|a!1qs2wxNEedYyhnRrfvc8uj,ik9lK*UJ&lt;I(Lmp/M0;Oobtgz|ㄇㆠㄅㄆㄋㄉㄊㄌㄫㆣㄍㄎㆡㄗㄘㄙㆢㄐㄑㄒㄏㄚㄧㄨㆤㆦㄜㄞㄠㆨㆩㆪㆫㆥㆧㆮㆯㆬㄣㆭㆰㄢㄤㆱㆲㆴㆵㆻㆷ|</v>
      </c>
      <c r="C65" s="316"/>
      <c r="D65" s="316"/>
      <c r="E65" s="316"/>
      <c r="F65" s="316"/>
      <c r="G65" s="316"/>
      <c r="H65" s="316"/>
      <c r="I65" s="316"/>
      <c r="J65" s="316"/>
      <c r="K65" s="316"/>
      <c r="L65" s="316"/>
      <c r="M65" s="316"/>
      <c r="N65" s="316"/>
      <c r="O65" s="316"/>
      <c r="P65" s="316"/>
      <c r="Q65" s="316"/>
      <c r="R65" s="316"/>
      <c r="S65" s="316"/>
      <c r="T65" s="316"/>
      <c r="U65" s="316"/>
      <c r="V65" s="316"/>
      <c r="W65" s="316"/>
      <c r="X65" s="316"/>
      <c r="Y65" s="316"/>
      <c r="Z65" s="316"/>
      <c r="AA65" s="316"/>
      <c r="AB65" s="316"/>
      <c r="AC65" s="316"/>
      <c r="AD65" s="316"/>
      <c r="AE65" s="316"/>
      <c r="AF65" s="316"/>
      <c r="AG65" s="316"/>
      <c r="AH65" s="316"/>
      <c r="AI65" s="316"/>
      <c r="AJ65" s="316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C65" s="316"/>
      <c r="BD65" s="316"/>
      <c r="BE65" s="316"/>
      <c r="BF65" s="316"/>
      <c r="BG65" s="316"/>
      <c r="BH65" s="316"/>
      <c r="BI65" s="316"/>
      <c r="BJ65" s="316"/>
      <c r="BK65" s="316"/>
    </row>
    <row r="66" spans="1:63" ht="39">
      <c r="B66" s="778"/>
      <c r="C66" s="316"/>
      <c r="D66" s="316"/>
      <c r="E66" s="316"/>
      <c r="F66" s="316"/>
      <c r="G66" s="316"/>
      <c r="H66" s="316"/>
      <c r="I66" s="316"/>
      <c r="J66" s="316"/>
      <c r="K66" s="316"/>
      <c r="L66" s="316"/>
      <c r="M66" s="316"/>
      <c r="N66" s="316"/>
      <c r="O66" s="316"/>
      <c r="P66" s="316"/>
      <c r="Q66" s="316"/>
      <c r="R66" s="316"/>
      <c r="S66" s="316"/>
      <c r="T66" s="316"/>
      <c r="U66" s="316"/>
      <c r="V66" s="316"/>
      <c r="W66" s="316"/>
      <c r="X66" s="316"/>
      <c r="Y66" s="316"/>
      <c r="Z66" s="316"/>
      <c r="AA66" s="316"/>
      <c r="AB66" s="316"/>
      <c r="AC66" s="316"/>
      <c r="AD66" s="316"/>
      <c r="AE66" s="316"/>
      <c r="AF66" s="316"/>
      <c r="AG66" s="316"/>
      <c r="AH66" s="316"/>
      <c r="AI66" s="316"/>
      <c r="AJ66" s="316"/>
      <c r="AK66" s="316"/>
      <c r="AL66" s="316"/>
      <c r="AM66" s="316"/>
      <c r="AN66" s="316"/>
      <c r="AO66" s="316"/>
      <c r="AP66" s="316"/>
      <c r="AQ66" s="316"/>
      <c r="AR66" s="316"/>
      <c r="AS66" s="316"/>
      <c r="AT66" s="316"/>
      <c r="AU66" s="316"/>
      <c r="AV66" s="316"/>
      <c r="AW66" s="316"/>
      <c r="AX66" s="316"/>
      <c r="AY66" s="316"/>
      <c r="AZ66" s="316"/>
      <c r="BA66" s="316"/>
      <c r="BB66" s="316"/>
      <c r="BC66" s="316"/>
      <c r="BD66" s="316"/>
      <c r="BE66" s="316"/>
      <c r="BF66" s="316"/>
      <c r="BG66" s="316"/>
      <c r="BH66" s="316"/>
      <c r="BI66" s="316"/>
      <c r="BJ66" s="316"/>
      <c r="BK66" s="316"/>
    </row>
    <row r="67" spans="1:63" ht="39">
      <c r="B67" s="778"/>
      <c r="C67" s="316"/>
      <c r="D67" s="316"/>
      <c r="E67" s="316"/>
      <c r="F67" s="316"/>
      <c r="G67" s="316"/>
      <c r="H67" s="316"/>
      <c r="I67" s="316"/>
      <c r="J67" s="316"/>
      <c r="K67" s="316"/>
      <c r="L67" s="316"/>
      <c r="M67" s="316"/>
      <c r="N67" s="316"/>
      <c r="O67" s="316"/>
      <c r="P67" s="316"/>
      <c r="Q67" s="316"/>
      <c r="R67" s="316"/>
      <c r="S67" s="316"/>
      <c r="T67" s="316"/>
      <c r="U67" s="316"/>
      <c r="V67" s="316"/>
      <c r="W67" s="316"/>
      <c r="X67" s="316"/>
      <c r="Y67" s="316"/>
      <c r="Z67" s="316"/>
      <c r="AA67" s="316"/>
      <c r="AB67" s="316"/>
      <c r="AC67" s="316"/>
      <c r="AD67" s="316"/>
      <c r="AE67" s="316"/>
      <c r="AF67" s="316"/>
      <c r="AG67" s="316"/>
      <c r="AH67" s="316"/>
      <c r="AI67" s="316"/>
      <c r="AJ67" s="316"/>
      <c r="AK67" s="316"/>
      <c r="AL67" s="316"/>
      <c r="AM67" s="316"/>
      <c r="AN67" s="316"/>
      <c r="AO67" s="316"/>
      <c r="AP67" s="316"/>
      <c r="AQ67" s="316"/>
      <c r="AR67" s="316"/>
      <c r="AS67" s="316"/>
      <c r="AT67" s="316"/>
      <c r="AU67" s="316"/>
      <c r="AV67" s="316"/>
      <c r="AW67" s="316"/>
      <c r="AX67" s="316"/>
      <c r="AY67" s="316"/>
      <c r="AZ67" s="316"/>
      <c r="BA67" s="316"/>
      <c r="BB67" s="316"/>
      <c r="BC67" s="316"/>
      <c r="BD67" s="316"/>
      <c r="BE67" s="316"/>
      <c r="BF67" s="316"/>
      <c r="BG67" s="316"/>
      <c r="BH67" s="316"/>
      <c r="BI67" s="316"/>
      <c r="BJ67" s="316"/>
      <c r="BK67" s="316"/>
    </row>
    <row r="68" spans="1:63" ht="39">
      <c r="A68" s="770">
        <f xml:space="preserve"> LEN(B68)</f>
        <v>60</v>
      </c>
      <c r="B68" s="769" t="str">
        <f>_xlfn.CONCAT(_xlfn.ANCHORARRAY(B50))</f>
        <v>a!1qs2wxNEedYyhnRrfvc8uj,ik9lK*UJ&lt;I(Lmp/M0;Oobtgz5346]'[7.=-</v>
      </c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AK68" s="316"/>
      <c r="AL68" s="316"/>
      <c r="AM68" s="316"/>
      <c r="AN68" s="316"/>
      <c r="AO68" s="316"/>
      <c r="AP68" s="316"/>
      <c r="AQ68" s="316"/>
      <c r="AR68" s="316"/>
      <c r="AS68" s="316"/>
      <c r="AT68" s="316"/>
      <c r="AU68" s="316"/>
      <c r="AV68" s="316"/>
      <c r="AW68" s="316"/>
      <c r="AX68" s="316"/>
      <c r="AY68" s="316"/>
      <c r="AZ68" s="316"/>
      <c r="BA68" s="316"/>
      <c r="BB68" s="316"/>
      <c r="BC68" s="316"/>
      <c r="BD68" s="316"/>
      <c r="BE68" s="316"/>
      <c r="BF68" s="316"/>
      <c r="BG68" s="316"/>
      <c r="BH68" s="316"/>
      <c r="BI68" s="316"/>
      <c r="BJ68" s="316"/>
      <c r="BK68" s="316"/>
    </row>
    <row r="69" spans="1:63" ht="39">
      <c r="A69" s="770">
        <f xml:space="preserve"> LEN(B69)</f>
        <v>60</v>
      </c>
      <c r="B69" s="769" t="str">
        <f>_xlfn.CONCAT(_xlfn.ANCHORARRAY(B51))</f>
        <v>ㄇㆠㄅㄆㄋㄉㄊㄌㄫㆣㄍㄎㆡㄗㄘㄙㆢㄐㄑㄒㄏㄚㄧㄨㆤㆦㄜㄞㄠㆨㆩㆪㆫㆥㆧㆮㆯㆬㄣㆭㆰㄢㄤㆱㆲㆴㆵㆻㆷ˫˪ˋˊˊˉˉ˙入ㄥñ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316"/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AK69" s="316"/>
      <c r="AL69" s="316"/>
      <c r="AM69" s="316"/>
      <c r="AN69" s="316"/>
      <c r="AO69" s="316"/>
      <c r="AP69" s="316"/>
      <c r="AQ69" s="316"/>
      <c r="AR69" s="316"/>
      <c r="AS69" s="316"/>
      <c r="AT69" s="316"/>
      <c r="AU69" s="316"/>
      <c r="AV69" s="316"/>
      <c r="AW69" s="316"/>
      <c r="AX69" s="316"/>
      <c r="AY69" s="316"/>
      <c r="AZ69" s="316"/>
      <c r="BA69" s="316"/>
      <c r="BB69" s="316"/>
      <c r="BC69" s="316"/>
      <c r="BD69" s="316"/>
      <c r="BE69" s="316"/>
      <c r="BF69" s="316"/>
      <c r="BG69" s="316"/>
      <c r="BH69" s="316"/>
      <c r="BI69" s="316"/>
      <c r="BJ69" s="316"/>
      <c r="BK69" s="316"/>
    </row>
    <row r="70" spans="1:63" ht="39">
      <c r="B70" s="769" t="str">
        <f xml:space="preserve"> _xlfn.CONCAT("    - xlit|", B68, "|", B69,"|")</f>
        <v xml:space="preserve">    - xlit|a!1qs2wxNEedYyhnRrfvc8uj,ik9lK*UJ&lt;I(Lmp/M0;Oobtgz5346]'[7.=-|ㄇㆠㄅㄆㄋㄉㄊㄌㄫㆣㄍㄎㆡㄗㄘㄙㆢㄐㄑㄒㄏㄚㄧㄨㆤㆦㄜㄞㄠㆨㆩㆪㆫㆥㆧㆮㆯㆬㄣㆭㆰㄢㄤㆱㆲㆴㆵㆻㆷ˫˪ˋˊˊˉˉ˙入ㄥñ|</v>
      </c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316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AK70" s="316"/>
      <c r="AL70" s="316"/>
      <c r="AM70" s="316"/>
      <c r="AN70" s="316"/>
      <c r="AO70" s="316"/>
      <c r="AP70" s="316"/>
      <c r="AQ70" s="316"/>
      <c r="AR70" s="316"/>
      <c r="AS70" s="316"/>
      <c r="AT70" s="316"/>
      <c r="AU70" s="316"/>
      <c r="AV70" s="316"/>
      <c r="AW70" s="316"/>
      <c r="AX70" s="316"/>
      <c r="AY70" s="316"/>
      <c r="AZ70" s="316"/>
      <c r="BA70" s="316"/>
      <c r="BB70" s="316"/>
      <c r="BC70" s="316"/>
      <c r="BD70" s="316"/>
      <c r="BE70" s="316"/>
      <c r="BF70" s="316"/>
      <c r="BG70" s="316"/>
      <c r="BH70" s="316"/>
      <c r="BI70" s="316"/>
      <c r="BJ70" s="316"/>
      <c r="BK70" s="316"/>
    </row>
    <row r="71" spans="1:63" ht="39">
      <c r="B71" s="778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AK71" s="316"/>
      <c r="AL71" s="316"/>
      <c r="AM71" s="316"/>
      <c r="AN71" s="316"/>
      <c r="AO71" s="316"/>
      <c r="AP71" s="316"/>
      <c r="AQ71" s="316"/>
      <c r="AR71" s="316"/>
      <c r="AS71" s="316"/>
      <c r="AT71" s="316"/>
      <c r="AU71" s="316"/>
      <c r="AV71" s="316"/>
      <c r="AW71" s="316"/>
      <c r="AX71" s="316"/>
      <c r="AY71" s="316"/>
      <c r="AZ71" s="316"/>
      <c r="BA71" s="316"/>
      <c r="BB71" s="316"/>
      <c r="BC71" s="316"/>
      <c r="BD71" s="316"/>
      <c r="BE71" s="316"/>
      <c r="BF71" s="316"/>
      <c r="BG71" s="316"/>
      <c r="BH71" s="316"/>
      <c r="BI71" s="316"/>
    </row>
    <row r="72" spans="1:63" ht="39">
      <c r="B72" s="778"/>
      <c r="C72" s="316"/>
      <c r="D72" s="316"/>
      <c r="E72" s="316"/>
      <c r="F72" s="316"/>
      <c r="G72" s="316"/>
      <c r="H72" s="316"/>
      <c r="I72" s="316"/>
      <c r="J72" s="316"/>
      <c r="K72" s="316"/>
      <c r="L72" s="316"/>
      <c r="M72" s="316"/>
      <c r="N72" s="316"/>
      <c r="O72" s="316"/>
      <c r="P72" s="316"/>
      <c r="Q72" s="316"/>
      <c r="R72" s="316"/>
      <c r="S72" s="316"/>
      <c r="T72" s="316"/>
      <c r="U72" s="316"/>
      <c r="V72" s="316"/>
      <c r="W72" s="316"/>
      <c r="X72" s="316"/>
      <c r="Y72" s="316"/>
      <c r="Z72" s="316"/>
      <c r="AA72" s="316"/>
      <c r="AB72" s="316"/>
      <c r="AC72" s="316"/>
      <c r="AD72" s="316"/>
      <c r="AE72" s="316"/>
      <c r="AF72" s="316"/>
      <c r="AG72" s="316"/>
      <c r="AH72" s="316"/>
      <c r="AI72" s="316"/>
      <c r="AJ72" s="316"/>
      <c r="AK72" s="316"/>
      <c r="AL72" s="316"/>
      <c r="AM72" s="316"/>
      <c r="AN72" s="316"/>
      <c r="AO72" s="316"/>
      <c r="AP72" s="316"/>
      <c r="AQ72" s="316"/>
      <c r="AR72" s="316"/>
      <c r="AS72" s="316"/>
      <c r="AT72" s="316"/>
      <c r="AU72" s="316"/>
      <c r="AV72" s="316"/>
      <c r="AW72" s="316"/>
      <c r="AX72" s="316"/>
      <c r="AY72" s="316"/>
      <c r="AZ72" s="316"/>
      <c r="BA72" s="316"/>
      <c r="BB72" s="316"/>
      <c r="BC72" s="316"/>
      <c r="BD72" s="316"/>
      <c r="BE72" s="316"/>
      <c r="BF72" s="316"/>
      <c r="BG72" s="316"/>
      <c r="BH72" s="316"/>
      <c r="BI72" s="316"/>
    </row>
    <row r="73" spans="1:63">
      <c r="B73" s="316"/>
      <c r="C73" s="316"/>
      <c r="D73" s="316"/>
      <c r="E73" s="316"/>
      <c r="F73" s="316"/>
      <c r="G73" s="316"/>
      <c r="H73" s="316"/>
      <c r="I73" s="316"/>
      <c r="J73" s="316"/>
      <c r="K73" s="316"/>
      <c r="L73" s="316"/>
      <c r="M73" s="316"/>
      <c r="N73" s="316"/>
      <c r="O73" s="316"/>
      <c r="P73" s="316"/>
      <c r="Q73" s="316"/>
      <c r="R73" s="316"/>
      <c r="S73" s="316"/>
      <c r="T73" s="316"/>
      <c r="U73" s="316"/>
      <c r="V73" s="316"/>
      <c r="W73" s="316"/>
      <c r="X73" s="316"/>
      <c r="Y73" s="316"/>
      <c r="Z73" s="316"/>
      <c r="AA73" s="316"/>
      <c r="AB73" s="316"/>
      <c r="AC73" s="316"/>
      <c r="AD73" s="316"/>
      <c r="AE73" s="316"/>
      <c r="AF73" s="316"/>
      <c r="AG73" s="316"/>
      <c r="AH73" s="316"/>
      <c r="AI73" s="316"/>
      <c r="AJ73" s="316"/>
      <c r="AK73" s="316"/>
      <c r="AL73" s="316"/>
      <c r="AM73" s="316"/>
      <c r="AN73" s="316"/>
      <c r="AO73" s="316"/>
      <c r="AP73" s="316"/>
      <c r="AQ73" s="316"/>
      <c r="AR73" s="316"/>
      <c r="AS73" s="316"/>
      <c r="AT73" s="316"/>
      <c r="AU73" s="316"/>
      <c r="AV73" s="316"/>
      <c r="AW73" s="316"/>
      <c r="AX73" s="316"/>
      <c r="AY73" s="316"/>
      <c r="AZ73" s="316"/>
      <c r="BA73" s="316"/>
      <c r="BB73" s="316"/>
      <c r="BC73" s="316"/>
      <c r="BD73" s="316"/>
      <c r="BE73" s="316"/>
      <c r="BF73" s="316"/>
      <c r="BG73" s="316"/>
      <c r="BH73" s="316"/>
      <c r="BI73" s="316"/>
    </row>
    <row r="74" spans="1:63">
      <c r="A74" s="770">
        <f xml:space="preserve"> LEN(B74)</f>
        <v>49</v>
      </c>
      <c r="B74" s="763" t="s">
        <v>8777</v>
      </c>
      <c r="C74" s="316"/>
      <c r="D74" s="316"/>
      <c r="E74" s="316"/>
      <c r="F74" s="316"/>
      <c r="G74" s="316"/>
      <c r="H74" s="316"/>
      <c r="I74" s="316"/>
      <c r="J74" s="316"/>
      <c r="K74" s="316"/>
      <c r="L74" s="316"/>
      <c r="M74" s="316"/>
      <c r="N74" s="316"/>
      <c r="O74" s="316"/>
      <c r="P74" s="316"/>
      <c r="Q74" s="316"/>
      <c r="R74" s="316"/>
      <c r="S74" s="316"/>
      <c r="T74" s="316"/>
      <c r="U74" s="316"/>
      <c r="V74" s="316"/>
      <c r="W74" s="316"/>
      <c r="X74" s="316"/>
      <c r="Y74" s="316"/>
      <c r="Z74" s="316"/>
      <c r="AA74" s="316"/>
      <c r="AB74" s="316"/>
      <c r="AC74" s="316"/>
      <c r="AD74" s="316"/>
      <c r="AE74" s="316"/>
      <c r="AF74" s="316"/>
      <c r="AG74" s="316"/>
      <c r="AH74" s="316"/>
      <c r="AI74" s="316"/>
      <c r="AJ74" s="316"/>
      <c r="AK74" s="316"/>
      <c r="AL74" s="316"/>
      <c r="AM74" s="316"/>
      <c r="AN74" s="316"/>
      <c r="AO74" s="316"/>
      <c r="AP74" s="316"/>
      <c r="AQ74" s="316"/>
      <c r="AR74" s="316"/>
      <c r="AS74" s="316"/>
      <c r="AT74" s="316"/>
      <c r="AU74" s="316"/>
      <c r="AV74" s="316"/>
      <c r="AW74" s="316"/>
      <c r="AX74" s="316"/>
      <c r="AY74" s="316"/>
      <c r="AZ74" s="316"/>
      <c r="BA74" s="316"/>
      <c r="BB74" s="316"/>
      <c r="BC74" s="316"/>
      <c r="BD74" s="316"/>
      <c r="BE74" s="316"/>
      <c r="BF74" s="316"/>
      <c r="BG74" s="316"/>
      <c r="BH74" s="316"/>
      <c r="BI74" s="316"/>
    </row>
    <row r="75" spans="1:63">
      <c r="A75" s="770">
        <f xml:space="preserve"> LEN(B75)</f>
        <v>49</v>
      </c>
      <c r="B75" s="763" t="s">
        <v>8778</v>
      </c>
      <c r="C75" s="316"/>
      <c r="D75" s="316"/>
      <c r="E75" s="316"/>
      <c r="F75" s="316"/>
      <c r="G75" s="316"/>
      <c r="H75" s="316"/>
      <c r="I75" s="316"/>
      <c r="J75" s="316"/>
      <c r="K75" s="316"/>
      <c r="L75" s="316"/>
      <c r="M75" s="316"/>
      <c r="N75" s="316"/>
      <c r="O75" s="316"/>
      <c r="P75" s="316"/>
      <c r="Q75" s="316"/>
      <c r="R75" s="316"/>
      <c r="S75" s="316"/>
      <c r="T75" s="316"/>
      <c r="U75" s="316"/>
      <c r="V75" s="316"/>
      <c r="W75" s="316"/>
      <c r="X75" s="316"/>
      <c r="Y75" s="316"/>
      <c r="Z75" s="316"/>
      <c r="AA75" s="316"/>
      <c r="AB75" s="316"/>
      <c r="AC75" s="316"/>
      <c r="AD75" s="316"/>
      <c r="AE75" s="316"/>
      <c r="AF75" s="316"/>
      <c r="AG75" s="316"/>
      <c r="AH75" s="316"/>
      <c r="AI75" s="316"/>
      <c r="AJ75" s="316"/>
      <c r="AK75" s="316"/>
      <c r="AL75" s="316"/>
      <c r="AM75" s="316"/>
      <c r="AN75" s="316"/>
      <c r="AO75" s="316"/>
      <c r="AP75" s="316"/>
      <c r="AQ75" s="316"/>
      <c r="AR75" s="316"/>
      <c r="AS75" s="316"/>
      <c r="AT75" s="316"/>
      <c r="AU75" s="316"/>
      <c r="AV75" s="316"/>
      <c r="AW75" s="316"/>
      <c r="AX75" s="316"/>
      <c r="AY75" s="316"/>
      <c r="AZ75" s="316"/>
      <c r="BA75" s="316"/>
      <c r="BB75" s="316"/>
      <c r="BC75" s="316"/>
      <c r="BD75" s="316"/>
      <c r="BE75" s="316"/>
      <c r="BF75" s="316"/>
      <c r="BG75" s="316"/>
      <c r="BH75" s="316"/>
      <c r="BI75" s="316"/>
    </row>
    <row r="76" spans="1:63">
      <c r="B76" s="316"/>
      <c r="C76" s="316"/>
      <c r="D76" s="316"/>
      <c r="E76" s="316"/>
      <c r="F76" s="316"/>
      <c r="G76" s="316"/>
      <c r="H76" s="316"/>
      <c r="I76" s="316"/>
      <c r="J76" s="316"/>
      <c r="K76" s="316"/>
      <c r="L76" s="316"/>
      <c r="M76" s="316"/>
      <c r="N76" s="316"/>
      <c r="O76" s="316"/>
      <c r="P76" s="316"/>
      <c r="Q76" s="316"/>
      <c r="R76" s="316"/>
      <c r="S76" s="316"/>
      <c r="T76" s="316"/>
      <c r="U76" s="316"/>
      <c r="V76" s="316"/>
      <c r="W76" s="316"/>
      <c r="X76" s="316"/>
      <c r="Y76" s="316"/>
      <c r="Z76" s="316"/>
      <c r="AA76" s="316"/>
      <c r="AB76" s="316"/>
      <c r="AC76" s="316"/>
      <c r="AD76" s="316"/>
      <c r="AE76" s="316"/>
      <c r="AF76" s="316"/>
      <c r="AG76" s="316"/>
      <c r="AH76" s="316"/>
      <c r="AI76" s="316"/>
      <c r="AJ76" s="316"/>
      <c r="AK76" s="316"/>
      <c r="AL76" s="316"/>
      <c r="AM76" s="316"/>
      <c r="AN76" s="316"/>
      <c r="AO76" s="316"/>
      <c r="AP76" s="316"/>
      <c r="AQ76" s="316"/>
      <c r="AR76" s="316"/>
      <c r="AS76" s="316"/>
      <c r="AT76" s="316"/>
      <c r="AU76" s="316" t="s">
        <v>190</v>
      </c>
      <c r="AV76" s="316" t="s">
        <v>30</v>
      </c>
      <c r="AW76" s="316" t="s">
        <v>184</v>
      </c>
      <c r="AX76" s="316" t="s">
        <v>179</v>
      </c>
      <c r="AY76" s="316"/>
      <c r="AZ76" s="316"/>
      <c r="BA76" s="316"/>
      <c r="BB76" s="316"/>
      <c r="BC76" s="316"/>
      <c r="BD76" s="316"/>
      <c r="BE76" s="316"/>
      <c r="BF76" s="316"/>
      <c r="BG76" s="316"/>
      <c r="BH76" s="316"/>
      <c r="BI76" s="316"/>
    </row>
    <row r="77" spans="1:63"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G77" s="316"/>
      <c r="BH77" s="316"/>
      <c r="BI77" s="316"/>
    </row>
    <row r="78" spans="1:63">
      <c r="B78" s="758">
        <v>1</v>
      </c>
      <c r="C78" s="758">
        <v>2</v>
      </c>
      <c r="D78" s="758">
        <v>3</v>
      </c>
      <c r="E78" s="758">
        <v>4</v>
      </c>
      <c r="F78" s="758">
        <v>5</v>
      </c>
      <c r="G78" s="758">
        <v>6</v>
      </c>
      <c r="H78" s="758">
        <v>7</v>
      </c>
      <c r="I78" s="758">
        <v>8</v>
      </c>
      <c r="J78" s="758">
        <v>9</v>
      </c>
      <c r="K78" s="758">
        <v>10</v>
      </c>
      <c r="L78" s="758">
        <v>11</v>
      </c>
      <c r="M78" s="758">
        <v>12</v>
      </c>
      <c r="N78" s="758">
        <v>13</v>
      </c>
      <c r="O78" s="758">
        <v>14</v>
      </c>
      <c r="P78" s="758">
        <v>15</v>
      </c>
      <c r="Q78" s="758">
        <v>16</v>
      </c>
      <c r="R78" s="758">
        <v>17</v>
      </c>
      <c r="S78" s="759">
        <v>18</v>
      </c>
      <c r="T78" s="758">
        <v>19</v>
      </c>
      <c r="U78" s="758">
        <v>20</v>
      </c>
      <c r="V78" s="758">
        <v>21</v>
      </c>
      <c r="W78" s="758">
        <v>22</v>
      </c>
      <c r="X78" s="758">
        <v>23</v>
      </c>
      <c r="Y78" s="758">
        <v>24</v>
      </c>
      <c r="Z78" s="758">
        <v>25</v>
      </c>
      <c r="AA78" s="758">
        <v>26</v>
      </c>
      <c r="AB78" s="758">
        <v>27</v>
      </c>
      <c r="AC78" s="758">
        <v>28</v>
      </c>
      <c r="AD78" s="758">
        <v>29</v>
      </c>
      <c r="AE78" s="758">
        <v>30</v>
      </c>
      <c r="AF78" s="758">
        <v>31</v>
      </c>
      <c r="AG78" s="758">
        <v>32</v>
      </c>
      <c r="AH78" s="760">
        <v>33</v>
      </c>
      <c r="AI78" s="760">
        <v>34</v>
      </c>
      <c r="AJ78" s="760">
        <v>35</v>
      </c>
      <c r="AK78" s="760">
        <v>36</v>
      </c>
      <c r="AL78" s="761">
        <v>37</v>
      </c>
      <c r="AM78" s="760">
        <v>38</v>
      </c>
      <c r="AN78" s="760">
        <v>39</v>
      </c>
      <c r="AO78" s="760">
        <v>40</v>
      </c>
      <c r="AP78" s="760">
        <v>41</v>
      </c>
      <c r="AQ78" s="760">
        <v>42</v>
      </c>
      <c r="AR78" s="760">
        <v>43</v>
      </c>
      <c r="AS78" s="760">
        <v>44</v>
      </c>
      <c r="AT78" s="760">
        <v>45</v>
      </c>
      <c r="AU78" s="760">
        <v>46</v>
      </c>
      <c r="AV78" s="760">
        <v>47</v>
      </c>
      <c r="AW78" s="760">
        <v>48</v>
      </c>
      <c r="AX78" s="760">
        <v>49</v>
      </c>
      <c r="AY78" s="760">
        <v>50</v>
      </c>
      <c r="AZ78" s="760">
        <v>51</v>
      </c>
      <c r="BA78" s="760">
        <v>52</v>
      </c>
      <c r="BB78" s="760">
        <v>53</v>
      </c>
      <c r="BC78" s="760">
        <v>54</v>
      </c>
      <c r="BD78" s="760">
        <v>55</v>
      </c>
      <c r="BE78" s="760">
        <v>56</v>
      </c>
      <c r="BF78" s="760">
        <v>57</v>
      </c>
      <c r="BG78" s="760">
        <v>58</v>
      </c>
      <c r="BH78" s="760">
        <v>59</v>
      </c>
      <c r="BI78" s="760">
        <v>60</v>
      </c>
    </row>
    <row r="79" spans="1:63">
      <c r="B79" s="762" t="str" cm="1">
        <f t="array" aca="1" ref="B79" ca="1" xml:space="preserve"> MID($B$74, INDIRECT( ADDRESS(ROW()-1, COLUMN()) ),1)</f>
        <v>1</v>
      </c>
      <c r="C79" s="762" t="str" cm="1">
        <f t="array" aca="1" ref="C79" ca="1" xml:space="preserve"> MID($B$74, INDIRECT( ADDRESS(ROW()-1, COLUMN()) ),1)</f>
        <v>!</v>
      </c>
      <c r="D79" s="762" t="str" cm="1">
        <f t="array" aca="1" ref="D79" ca="1" xml:space="preserve"> MID($B$74, INDIRECT( ADDRESS(ROW()-1, COLUMN()) ),1)</f>
        <v>q</v>
      </c>
      <c r="E79" s="762" t="str" cm="1">
        <f t="array" aca="1" ref="E79" ca="1" xml:space="preserve"> MID($B$74, INDIRECT( ADDRESS(ROW()-1, COLUMN()) ),1)</f>
        <v>a</v>
      </c>
      <c r="F79" s="762" t="str" cm="1">
        <f t="array" aca="1" ref="F79" ca="1" xml:space="preserve"> MID($B$74, INDIRECT( ADDRESS(ROW()-1, COLUMN()) ),1)</f>
        <v>2</v>
      </c>
      <c r="G79" s="762" t="str" cm="1">
        <f t="array" aca="1" ref="G79" ca="1" xml:space="preserve"> MID($B$74, INDIRECT( ADDRESS(ROW()-1, COLUMN()) ),1)</f>
        <v>w</v>
      </c>
      <c r="H79" s="762" t="str" cm="1">
        <f t="array" aca="1" ref="H79" ca="1" xml:space="preserve"> MID($B$74, INDIRECT( ADDRESS(ROW()-1, COLUMN()) ),1)</f>
        <v>s</v>
      </c>
      <c r="I79" s="762" t="str" cm="1">
        <f t="array" aca="1" ref="I79" ca="1" xml:space="preserve"> MID($B$74, INDIRECT( ADDRESS(ROW()-1, COLUMN()) ),1)</f>
        <v>x</v>
      </c>
      <c r="J79" s="762" t="str" cm="1">
        <f t="array" aca="1" ref="J79" ca="1" xml:space="preserve"> MID($B$74, INDIRECT( ADDRESS(ROW()-1, COLUMN()) ),1)</f>
        <v>e</v>
      </c>
      <c r="K79" s="762" t="str" cm="1">
        <f t="array" aca="1" ref="K79" ca="1" xml:space="preserve"> MID($B$74, INDIRECT( ADDRESS(ROW()-1, COLUMN()) ),1)</f>
        <v>E</v>
      </c>
      <c r="L79" s="762" t="str" cm="1">
        <f t="array" aca="1" ref="L79" ca="1" xml:space="preserve"> MID($B$74, INDIRECT( ADDRESS(ROW()-1, COLUMN()) ),1)</f>
        <v>d</v>
      </c>
      <c r="M79" s="762" t="s">
        <v>8779</v>
      </c>
      <c r="N79" s="762" t="str" cm="1">
        <f t="array" aca="1" ref="N79" ca="1" xml:space="preserve"> MID($B$74, INDIRECT( ADDRESS(ROW()-1, COLUMN()) ),1)</f>
        <v>c</v>
      </c>
      <c r="O79" s="762" t="str" cm="1">
        <f t="array" aca="1" ref="O79" ca="1" xml:space="preserve"> MID($B$74, INDIRECT( ADDRESS(ROW()-1, COLUMN()) ),1)</f>
        <v>r</v>
      </c>
      <c r="P79" s="762" t="str" cm="1">
        <f t="array" aca="1" ref="P79" ca="1" xml:space="preserve"> MID($B$74, INDIRECT( ADDRESS(ROW()-1, COLUMN()) ),1)</f>
        <v>R</v>
      </c>
      <c r="Q79" s="762" t="str" cm="1">
        <f t="array" aca="1" ref="Q79" ca="1" xml:space="preserve"> MID($B$74, INDIRECT( ADDRESS(ROW()-1, COLUMN()) ),1)</f>
        <v>f</v>
      </c>
      <c r="R79" s="762" t="str" cm="1">
        <f t="array" aca="1" ref="R79" ca="1" xml:space="preserve"> MID($B$74, INDIRECT( ADDRESS(ROW()-1, COLUMN()) ),1)</f>
        <v>v</v>
      </c>
      <c r="S79" s="762" t="str" cm="1">
        <f t="array" aca="1" ref="S79" ca="1" xml:space="preserve"> MID($B$74, INDIRECT( ADDRESS(ROW()-1, COLUMN()) ),1)</f>
        <v>y</v>
      </c>
      <c r="T79" s="762" t="str" cm="1">
        <f t="array" aca="1" ref="T79" ca="1" xml:space="preserve"> MID($B$74, INDIRECT( ADDRESS(ROW()-1, COLUMN()) ),1)</f>
        <v>Y</v>
      </c>
      <c r="U79" s="762" t="str" cm="1">
        <f t="array" aca="1" ref="U79" ca="1" xml:space="preserve"> MID($B$74, INDIRECT( ADDRESS(ROW()-1, COLUMN()) ),1)</f>
        <v>h</v>
      </c>
      <c r="V79" s="762" t="str" cm="1">
        <f t="array" aca="1" ref="V79" ca="1" xml:space="preserve"> MID($B$74, INDIRECT( ADDRESS(ROW()-1, COLUMN()) ),1)</f>
        <v>n</v>
      </c>
      <c r="W79" s="762" t="str" cm="1">
        <f t="array" aca="1" ref="W79" ca="1" xml:space="preserve"> MID($B$74, INDIRECT( ADDRESS(ROW()-1, COLUMN()) ),1)</f>
        <v>u</v>
      </c>
      <c r="X79" s="762" t="str" cm="1">
        <f t="array" aca="1" ref="X79" ca="1" xml:space="preserve"> MID($B$74, INDIRECT( ADDRESS(ROW()-1, COLUMN()) ),1)</f>
        <v>U</v>
      </c>
      <c r="Y79" s="762" t="str" cm="1">
        <f t="array" aca="1" ref="Y79" ca="1" xml:space="preserve"> MID($B$74, INDIRECT( ADDRESS(ROW()-1, COLUMN()) ),1)</f>
        <v>j</v>
      </c>
      <c r="Z79" s="762" t="str" cm="1">
        <f t="array" aca="1" ref="Z79" ca="1" xml:space="preserve"> MID($B$74, INDIRECT( ADDRESS(ROW()-1, COLUMN()) ),1)</f>
        <v>J</v>
      </c>
      <c r="AA79" s="762" t="str" cm="1">
        <f t="array" aca="1" ref="AA79" ca="1" xml:space="preserve"> MID($B$74, INDIRECT( ADDRESS(ROW()-1, COLUMN()) ),1)</f>
        <v>8</v>
      </c>
      <c r="AB79" s="762" t="str" cm="1">
        <f t="array" aca="1" ref="AB79" ca="1" xml:space="preserve"> MID($B$74, INDIRECT( ADDRESS(ROW()-1, COLUMN()) ),1)</f>
        <v>*</v>
      </c>
      <c r="AC79" s="762" t="str" cm="1">
        <f t="array" aca="1" ref="AC79" ca="1" xml:space="preserve"> MID($B$74, INDIRECT( ADDRESS(ROW()-1, COLUMN()) ),1)</f>
        <v>i</v>
      </c>
      <c r="AD79" s="762" t="str" cm="1">
        <f t="array" aca="1" ref="AD79" ca="1" xml:space="preserve"> MID($B$74, INDIRECT( ADDRESS(ROW()-1, COLUMN()) ),1)</f>
        <v>I</v>
      </c>
      <c r="AE79" s="762" t="str" cm="1">
        <f t="array" aca="1" ref="AE79" ca="1" xml:space="preserve"> MID($B$74, INDIRECT( ADDRESS(ROW()-1, COLUMN()) ),1)</f>
        <v>k</v>
      </c>
      <c r="AF79" s="762" t="str" cm="1">
        <f t="array" aca="1" ref="AF79" ca="1" xml:space="preserve"> MID($B$74, INDIRECT( ADDRESS(ROW()-1, COLUMN()) ),1)</f>
        <v>,</v>
      </c>
      <c r="AG79" s="762" t="str" cm="1">
        <f t="array" aca="1" ref="AG79" ca="1" xml:space="preserve"> MID($B$74, INDIRECT( ADDRESS(ROW()-1, COLUMN()) ),1)</f>
        <v>&lt;</v>
      </c>
      <c r="AH79" s="762" t="str" cm="1">
        <f t="array" aca="1" ref="AH79" ca="1" xml:space="preserve"> MID($B$74, INDIRECT( ADDRESS(ROW()-1, COLUMN()) ),1)</f>
        <v>9</v>
      </c>
      <c r="AI79" s="762" t="str" cm="1">
        <f t="array" aca="1" ref="AI79" ca="1" xml:space="preserve"> MID($B$74, INDIRECT( ADDRESS(ROW()-1, COLUMN()) ),1)</f>
        <v>(</v>
      </c>
      <c r="AJ79" s="762" t="str" cm="1">
        <f t="array" aca="1" ref="AJ79" ca="1" xml:space="preserve"> MID($B$74, INDIRECT( ADDRESS(ROW()-1, COLUMN()) ),1)</f>
        <v>l</v>
      </c>
      <c r="AK79" s="762" t="str" cm="1">
        <f t="array" aca="1" ref="AK79" ca="1" xml:space="preserve"> MID($B$74, INDIRECT( ADDRESS(ROW()-1, COLUMN()) ),1)</f>
        <v>L</v>
      </c>
      <c r="AL79" s="762" t="str" cm="1">
        <f t="array" aca="1" ref="AL79" ca="1" xml:space="preserve"> MID($B$74, INDIRECT( ADDRESS(ROW()-1, COLUMN()) ),1)</f>
        <v>;</v>
      </c>
      <c r="AM79" s="762" t="str" cm="1">
        <f t="array" aca="1" ref="AM79" ca="1" xml:space="preserve"> MID($B$74, INDIRECT( ADDRESS(ROW()-1, COLUMN()) ),1)</f>
        <v>o</v>
      </c>
      <c r="AN79" s="762" t="str" cm="1">
        <f t="array" aca="1" ref="AN79" ca="1" xml:space="preserve"> MID($B$74, INDIRECT( ADDRESS(ROW()-1, COLUMN()) ),1)</f>
        <v>M</v>
      </c>
      <c r="AO79" s="762" t="str" cm="1">
        <f t="array" aca="1" ref="AO79" ca="1" xml:space="preserve"> MID($B$74, INDIRECT( ADDRESS(ROW()-1, COLUMN()) ),1)</f>
        <v>O</v>
      </c>
      <c r="AP79" s="762" t="str" cm="1">
        <f t="array" aca="1" ref="AP79" ca="1" xml:space="preserve"> MID($B$74, INDIRECT( ADDRESS(ROW()-1, COLUMN()) ),1)</f>
        <v>0</v>
      </c>
      <c r="AQ79" s="762" t="str" cm="1">
        <f t="array" aca="1" ref="AQ79" ca="1" xml:space="preserve"> MID($B$74, INDIRECT( ADDRESS(ROW()-1, COLUMN()) ),1)</f>
        <v>m</v>
      </c>
      <c r="AR79" s="762" t="str" cm="1">
        <f t="array" aca="1" ref="AR79" ca="1" xml:space="preserve"> MID($B$74, INDIRECT( ADDRESS(ROW()-1, COLUMN()) ),1)</f>
        <v>p</v>
      </c>
      <c r="AS79" s="762" t="str" cm="1">
        <f t="array" aca="1" ref="AS79" ca="1" xml:space="preserve"> MID($B$74, INDIRECT( ADDRESS(ROW()-1, COLUMN()) ),1)</f>
        <v>/</v>
      </c>
      <c r="AT79" s="762" t="str" cm="1">
        <f t="array" aca="1" ref="AT79" ca="1" xml:space="preserve"> MID($B$74, INDIRECT( ADDRESS(ROW()-1, COLUMN()) ),1)</f>
        <v>K</v>
      </c>
      <c r="AU79" s="762" t="s">
        <v>8780</v>
      </c>
      <c r="AV79" s="762" t="s">
        <v>8781</v>
      </c>
      <c r="AW79" s="762" t="s">
        <v>8782</v>
      </c>
      <c r="AX79" s="762" t="s">
        <v>8783</v>
      </c>
      <c r="AY79" s="762" t="str" cm="1">
        <f t="array" aca="1" ref="AY79" ca="1" xml:space="preserve"> MID($B$74, INDIRECT( ADDRESS(ROW()-1, COLUMN()) ),1)</f>
        <v/>
      </c>
      <c r="AZ79" s="762" t="str" cm="1">
        <f t="array" aca="1" ref="AZ79" ca="1" xml:space="preserve"> MID($B$74, INDIRECT( ADDRESS(ROW()-1, COLUMN()) ),1)</f>
        <v/>
      </c>
      <c r="BA79" s="762" t="str" cm="1">
        <f t="array" aca="1" ref="BA79" ca="1" xml:space="preserve"> MID($B$74, INDIRECT( ADDRESS(ROW()-1, COLUMN()) ),1)</f>
        <v/>
      </c>
      <c r="BB79" s="762" t="str" cm="1">
        <f t="array" aca="1" ref="BB79" ca="1" xml:space="preserve"> MID($B$74, INDIRECT( ADDRESS(ROW()-1, COLUMN()) ),1)</f>
        <v/>
      </c>
      <c r="BC79" s="762" t="str" cm="1">
        <f t="array" aca="1" ref="BC79" ca="1" xml:space="preserve"> MID($B$74, INDIRECT( ADDRESS(ROW()-1, COLUMN()) ),1)</f>
        <v/>
      </c>
      <c r="BD79" s="762" t="str" cm="1">
        <f t="array" aca="1" ref="BD79" ca="1" xml:space="preserve"> MID($B$74, INDIRECT( ADDRESS(ROW()-1, COLUMN()) ),1)</f>
        <v/>
      </c>
      <c r="BE79" s="762" t="str" cm="1">
        <f t="array" aca="1" ref="BE79" ca="1" xml:space="preserve"> MID($B$74, INDIRECT( ADDRESS(ROW()-1, COLUMN()) ),1)</f>
        <v/>
      </c>
      <c r="BF79" s="762" t="str" cm="1">
        <f t="array" aca="1" ref="BF79" ca="1" xml:space="preserve"> MID($B$74, INDIRECT( ADDRESS(ROW()-1, COLUMN()) ),1)</f>
        <v/>
      </c>
      <c r="BG79" s="762" t="str" cm="1">
        <f t="array" aca="1" ref="BG79" ca="1" xml:space="preserve"> MID($B$74, INDIRECT( ADDRESS(ROW()-1, COLUMN()) ),1)</f>
        <v/>
      </c>
      <c r="BH79" s="762" t="str" cm="1">
        <f t="array" aca="1" ref="BH79" ca="1" xml:space="preserve"> MID($B$74, INDIRECT( ADDRESS(ROW()-1, COLUMN()) ),1)</f>
        <v/>
      </c>
      <c r="BI79" s="762" t="str" cm="1">
        <f t="array" aca="1" ref="BI79" ca="1" xml:space="preserve"> MID($B$74, INDIRECT( ADDRESS(ROW()-1, COLUMN()) ),1)</f>
        <v/>
      </c>
    </row>
    <row r="80" spans="1:63">
      <c r="A80" s="770"/>
      <c r="B80" s="762" t="str" cm="1">
        <f t="array" aca="1" ref="B80" ca="1" xml:space="preserve"> MID($B$75, INDIRECT( ADDRESS(ROW()-2, COLUMN()) ),1)</f>
        <v>ㄅ</v>
      </c>
      <c r="C80" s="762" t="str" cm="1">
        <f t="array" aca="1" ref="C80" ca="1" xml:space="preserve"> MID($B$75, INDIRECT( ADDRESS(ROW()-2, COLUMN()) ),1)</f>
        <v>ㆠ</v>
      </c>
      <c r="D80" s="762" t="str" cm="1">
        <f t="array" aca="1" ref="D80" ca="1" xml:space="preserve"> MID($B$75, INDIRECT( ADDRESS(ROW()-2, COLUMN()) ),1)</f>
        <v>ㄆ</v>
      </c>
      <c r="E80" s="762" t="str" cm="1">
        <f t="array" aca="1" ref="E80" ca="1" xml:space="preserve"> MID($B$75, INDIRECT( ADDRESS(ROW()-2, COLUMN()) ),1)</f>
        <v>ㄇ</v>
      </c>
      <c r="F80" s="762" t="str" cm="1">
        <f t="array" aca="1" ref="F80" ca="1" xml:space="preserve"> MID($B$75, INDIRECT( ADDRESS(ROW()-2, COLUMN()) ),1)</f>
        <v>ㄉ</v>
      </c>
      <c r="G80" s="762" t="str" cm="1">
        <f t="array" aca="1" ref="G80" ca="1" xml:space="preserve"> MID($B$75, INDIRECT( ADDRESS(ROW()-2, COLUMN()) ),1)</f>
        <v>ㄊ</v>
      </c>
      <c r="H80" s="762" t="str" cm="1">
        <f t="array" aca="1" ref="H80" ca="1" xml:space="preserve"> MID($B$75, INDIRECT( ADDRESS(ROW()-2, COLUMN()) ),1)</f>
        <v>ㄋ</v>
      </c>
      <c r="I80" s="762" t="str" cm="1">
        <f t="array" aca="1" ref="I80" ca="1" xml:space="preserve"> MID($B$75, INDIRECT( ADDRESS(ROW()-2, COLUMN()) ),1)</f>
        <v>ㄌ</v>
      </c>
      <c r="J80" s="762" t="str" cm="1">
        <f t="array" aca="1" ref="J80" ca="1" xml:space="preserve"> MID($B$75, INDIRECT( ADDRESS(ROW()-2, COLUMN()) ),1)</f>
        <v>ㄍ</v>
      </c>
      <c r="K80" s="762" t="str" cm="1">
        <f t="array" aca="1" ref="K80" ca="1" xml:space="preserve"> MID($B$75, INDIRECT( ADDRESS(ROW()-2, COLUMN()) ),1)</f>
        <v>ㆣ</v>
      </c>
      <c r="L80" s="762" t="str" cm="1">
        <f t="array" aca="1" ref="L80" ca="1" xml:space="preserve"> MID($B$75, INDIRECT( ADDRESS(ROW()-2, COLUMN()) ),1)</f>
        <v>ㄎ</v>
      </c>
      <c r="M80" s="762" t="str" cm="1">
        <f t="array" aca="1" ref="M80" ca="1" xml:space="preserve"> MID($B$75, INDIRECT( ADDRESS(ROW()-2, COLUMN()) ),1)</f>
        <v>ㄫ</v>
      </c>
      <c r="N80" s="762" t="str" cm="1">
        <f t="array" aca="1" ref="N80" ca="1" xml:space="preserve"> MID($B$75, INDIRECT( ADDRESS(ROW()-2, COLUMN()) ),1)</f>
        <v>ㄏ</v>
      </c>
      <c r="O80" s="762" t="str" cm="1">
        <f t="array" aca="1" ref="O80" ca="1" xml:space="preserve"> MID($B$75, INDIRECT( ADDRESS(ROW()-2, COLUMN()) ),1)</f>
        <v>ㄐ</v>
      </c>
      <c r="P80" s="762" t="str" cm="1">
        <f t="array" aca="1" ref="P80" ca="1" xml:space="preserve"> MID($B$75, INDIRECT( ADDRESS(ROW()-2, COLUMN()) ),1)</f>
        <v>ㆢ</v>
      </c>
      <c r="Q80" s="762" t="str" cm="1">
        <f t="array" aca="1" ref="Q80" ca="1" xml:space="preserve"> MID($B$75, INDIRECT( ADDRESS(ROW()-2, COLUMN()) ),1)</f>
        <v>ㄑ</v>
      </c>
      <c r="R80" s="762" t="str" cm="1">
        <f t="array" aca="1" ref="R80" ca="1" xml:space="preserve"> MID($B$75, INDIRECT( ADDRESS(ROW()-2, COLUMN()) ),1)</f>
        <v>ㄒ</v>
      </c>
      <c r="S80" s="762" t="str" cm="1">
        <f t="array" aca="1" ref="S80" ca="1" xml:space="preserve"> MID($B$75, INDIRECT( ADDRESS(ROW()-2, COLUMN()) ),1)</f>
        <v>ㄗ</v>
      </c>
      <c r="T80" s="762" t="str" cm="1">
        <f t="array" aca="1" ref="T80" ca="1" xml:space="preserve"> MID($B$75, INDIRECT( ADDRESS(ROW()-2, COLUMN()) ),1)</f>
        <v>ㆡ</v>
      </c>
      <c r="U80" s="762" t="str" cm="1">
        <f t="array" aca="1" ref="U80" ca="1" xml:space="preserve"> MID($B$75, INDIRECT( ADDRESS(ROW()-2, COLUMN()) ),1)</f>
        <v>ㄘ</v>
      </c>
      <c r="V80" s="762" t="str" cm="1">
        <f t="array" aca="1" ref="V80" ca="1" xml:space="preserve"> MID($B$75, INDIRECT( ADDRESS(ROW()-2, COLUMN()) ),1)</f>
        <v>ㄙ</v>
      </c>
      <c r="W80" s="762" t="str" cm="1">
        <f t="array" aca="1" ref="W80" ca="1" xml:space="preserve"> MID($B$75, INDIRECT( ADDRESS(ROW()-2, COLUMN()) ),1)</f>
        <v>ㄧ</v>
      </c>
      <c r="X80" s="762" t="str" cm="1">
        <f t="array" aca="1" ref="X80" ca="1" xml:space="preserve"> MID($B$75, INDIRECT( ADDRESS(ROW()-2, COLUMN()) ),1)</f>
        <v>ㆪ</v>
      </c>
      <c r="Y80" s="762" t="str" cm="1">
        <f t="array" aca="1" ref="Y80" ca="1" xml:space="preserve"> MID($B$75, INDIRECT( ADDRESS(ROW()-2, COLUMN()) ),1)</f>
        <v>ㄨ</v>
      </c>
      <c r="Z80" s="762" t="str" cm="1">
        <f t="array" aca="1" ref="Z80" ca="1" xml:space="preserve"> MID($B$75, INDIRECT( ADDRESS(ROW()-2, COLUMN()) ),1)</f>
        <v>ㆫ</v>
      </c>
      <c r="AA80" s="762" t="str" cm="1">
        <f t="array" aca="1" ref="AA80" ca="1" xml:space="preserve"> MID($B$75, INDIRECT( ADDRESS(ROW()-2, COLUMN()) ),1)</f>
        <v>ㄚ</v>
      </c>
      <c r="AB80" s="762" t="str" cm="1">
        <f t="array" aca="1" ref="AB80" ca="1" xml:space="preserve"> MID($B$75, INDIRECT( ADDRESS(ROW()-2, COLUMN()) ),1)</f>
        <v>ㆩ</v>
      </c>
      <c r="AC80" s="762" t="str" cm="1">
        <f t="array" aca="1" ref="AC80" ca="1" xml:space="preserve"> MID($B$75, INDIRECT( ADDRESS(ROW()-2, COLUMN()) ),1)</f>
        <v>ㆦ</v>
      </c>
      <c r="AD80" s="762" t="str" cm="1">
        <f t="array" aca="1" ref="AD80" ca="1" xml:space="preserve"> MID($B$75, INDIRECT( ADDRESS(ROW()-2, COLUMN()) ),1)</f>
        <v>ㆧ</v>
      </c>
      <c r="AE80" s="762" t="str" cm="1">
        <f t="array" aca="1" ref="AE80" ca="1" xml:space="preserve"> MID($B$75, INDIRECT( ADDRESS(ROW()-2, COLUMN()) ),1)</f>
        <v>ㄜ</v>
      </c>
      <c r="AF80" s="762" t="str" cm="1">
        <f t="array" aca="1" ref="AF80" ca="1" xml:space="preserve"> MID($B$75, INDIRECT( ADDRESS(ROW()-2, COLUMN()) ),1)</f>
        <v>ㆤ</v>
      </c>
      <c r="AG80" s="762" t="str" cm="1">
        <f t="array" aca="1" ref="AG80" ca="1" xml:space="preserve"> MID($B$75, INDIRECT( ADDRESS(ROW()-2, COLUMN()) ),1)</f>
        <v>ㆥ</v>
      </c>
      <c r="AH80" s="762" t="str" cm="1">
        <f t="array" aca="1" ref="AH80" ca="1" xml:space="preserve"> MID($B$75, INDIRECT( ADDRESS(ROW()-2, COLUMN()) ),1)</f>
        <v>ㄞ</v>
      </c>
      <c r="AI80" s="762" t="str" cm="1">
        <f t="array" aca="1" ref="AI80" ca="1" xml:space="preserve"> MID($B$75, INDIRECT( ADDRESS(ROW()-2, COLUMN()) ),1)</f>
        <v>ㆮ</v>
      </c>
      <c r="AJ80" s="762" t="str" cm="1">
        <f t="array" aca="1" ref="AJ80" ca="1" xml:space="preserve"> MID($B$75, INDIRECT( ADDRESS(ROW()-2, COLUMN()) ),1)</f>
        <v>ㄠ</v>
      </c>
      <c r="AK80" s="762" t="str" cm="1">
        <f t="array" aca="1" ref="AK80" ca="1" xml:space="preserve"> MID($B$75, INDIRECT( ADDRESS(ROW()-2, COLUMN()) ),1)</f>
        <v>ㆯ</v>
      </c>
      <c r="AL80" s="762" t="str" cm="1">
        <f t="array" aca="1" ref="AL80" ca="1" xml:space="preserve"> MID($B$75, INDIRECT( ADDRESS(ROW()-2, COLUMN()) ),1)</f>
        <v>ㄤ</v>
      </c>
      <c r="AM80" s="762" t="str" cm="1">
        <f t="array" aca="1" ref="AM80" ca="1" xml:space="preserve"> MID($B$75, INDIRECT( ADDRESS(ROW()-2, COLUMN()) ),1)</f>
        <v>ㆲ</v>
      </c>
      <c r="AN80" s="762" t="str" cm="1">
        <f t="array" aca="1" ref="AN80" ca="1" xml:space="preserve"> MID($B$75, INDIRECT( ADDRESS(ROW()-2, COLUMN()) ),1)</f>
        <v>ㆰ</v>
      </c>
      <c r="AO80" s="762" t="str" cm="1">
        <f t="array" aca="1" ref="AO80" ca="1" xml:space="preserve"> MID($B$75, INDIRECT( ADDRESS(ROW()-2, COLUMN()) ),1)</f>
        <v>ㆱ</v>
      </c>
      <c r="AP80" s="762" t="str" cm="1">
        <f t="array" aca="1" ref="AP80" ca="1" xml:space="preserve"> MID($B$75, INDIRECT( ADDRESS(ROW()-2, COLUMN()) ),1)</f>
        <v>ㄢ</v>
      </c>
      <c r="AQ80" s="762" t="str" cm="1">
        <f t="array" aca="1" ref="AQ80" ca="1" xml:space="preserve"> MID($B$75, INDIRECT( ADDRESS(ROW()-2, COLUMN()) ),1)</f>
        <v>ㆬ</v>
      </c>
      <c r="AR80" s="762" t="str" cm="1">
        <f t="array" aca="1" ref="AR80" ca="1" xml:space="preserve"> MID($B$75, INDIRECT( ADDRESS(ROW()-2, COLUMN()) ),1)</f>
        <v>ㄣ</v>
      </c>
      <c r="AS80" s="762" t="str" cm="1">
        <f t="array" aca="1" ref="AS80" ca="1" xml:space="preserve"> MID($B$75, INDIRECT( ADDRESS(ROW()-2, COLUMN()) ),1)</f>
        <v>ㆭ</v>
      </c>
      <c r="AT80" s="762" t="str" cm="1">
        <f t="array" aca="1" ref="AT80" ca="1" xml:space="preserve"> MID($B$75, INDIRECT( ADDRESS(ROW()-2, COLUMN()) ),1)</f>
        <v>ㆨ</v>
      </c>
      <c r="AU80" s="762" t="str" cm="1">
        <f t="array" aca="1" ref="AU80" ca="1" xml:space="preserve"> MID($B$75, INDIRECT( ADDRESS(ROW()-2, COLUMN()) ),1)</f>
        <v>ㆴ</v>
      </c>
      <c r="AV80" s="762" t="str" cm="1">
        <f t="array" aca="1" ref="AV80" ca="1" xml:space="preserve"> MID($B$75, INDIRECT( ADDRESS(ROW()-2, COLUMN()) ),1)</f>
        <v>ㆵ</v>
      </c>
      <c r="AW80" s="762" t="str" cm="1">
        <f t="array" aca="1" ref="AW80" ca="1" xml:space="preserve"> MID($B$75, INDIRECT( ADDRESS(ROW()-2, COLUMN()) ),1)</f>
        <v>ㆻ</v>
      </c>
      <c r="AX80" s="762" t="str" cm="1">
        <f t="array" aca="1" ref="AX80" ca="1" xml:space="preserve"> MID($B$75, INDIRECT( ADDRESS(ROW()-2, COLUMN()) ),1)</f>
        <v>ㆷ</v>
      </c>
      <c r="AY80" s="762" t="str" cm="1">
        <f t="array" aca="1" ref="AY80" ca="1" xml:space="preserve"> MID($B$75, INDIRECT( ADDRESS(ROW()-2, COLUMN()) ),1)</f>
        <v/>
      </c>
      <c r="AZ80" s="762" t="str" cm="1">
        <f t="array" aca="1" ref="AZ80" ca="1" xml:space="preserve"> MID($B$75, INDIRECT( ADDRESS(ROW()-2, COLUMN()) ),1)</f>
        <v/>
      </c>
      <c r="BA80" s="762" t="str" cm="1">
        <f t="array" aca="1" ref="BA80" ca="1" xml:space="preserve"> MID($B$75, INDIRECT( ADDRESS(ROW()-2, COLUMN()) ),1)</f>
        <v/>
      </c>
      <c r="BB80" s="762" t="str" cm="1">
        <f t="array" aca="1" ref="BB80" ca="1" xml:space="preserve"> MID($B$75, INDIRECT( ADDRESS(ROW()-2, COLUMN()) ),1)</f>
        <v/>
      </c>
      <c r="BC80" s="762" t="str" cm="1">
        <f t="array" aca="1" ref="BC80" ca="1" xml:space="preserve"> MID($B$75, INDIRECT( ADDRESS(ROW()-2, COLUMN()) ),1)</f>
        <v/>
      </c>
      <c r="BD80" s="762" t="str" cm="1">
        <f t="array" aca="1" ref="BD80" ca="1" xml:space="preserve"> MID($B$75, INDIRECT( ADDRESS(ROW()-2, COLUMN()) ),1)</f>
        <v/>
      </c>
      <c r="BE80" s="762" t="str" cm="1">
        <f t="array" aca="1" ref="BE80" ca="1" xml:space="preserve"> MID($B$75, INDIRECT( ADDRESS(ROW()-2, COLUMN()) ),1)</f>
        <v/>
      </c>
      <c r="BF80" s="762" t="str" cm="1">
        <f t="array" aca="1" ref="BF80" ca="1" xml:space="preserve"> MID($B$75, INDIRECT( ADDRESS(ROW()-2, COLUMN()) ),1)</f>
        <v/>
      </c>
      <c r="BG80" s="762" t="str" cm="1">
        <f t="array" aca="1" ref="BG80" ca="1" xml:space="preserve"> MID($B$75, INDIRECT( ADDRESS(ROW()-2, COLUMN()) ),1)</f>
        <v/>
      </c>
      <c r="BH80" s="762" t="str" cm="1">
        <f t="array" aca="1" ref="BH80" ca="1" xml:space="preserve"> MID($B$75, INDIRECT( ADDRESS(ROW()-2, COLUMN()) ),1)</f>
        <v/>
      </c>
      <c r="BI80" s="762" t="str" cm="1">
        <f t="array" aca="1" ref="BI80" ca="1" xml:space="preserve"> MID($B$75, INDIRECT( ADDRESS(ROW()-2, COLUMN()) ),1)</f>
        <v/>
      </c>
    </row>
    <row r="81" spans="1:61">
      <c r="A81" s="770"/>
      <c r="B81" s="764" t="str" cm="1">
        <f t="array" aca="1" ref="B81" ca="1" xml:space="preserve"> IFERROR( INDEX(注音編碼對照表[方音符號], MATCH(TRUE, EXACT(B83, 注音編碼對照表[鍵盤按鍵]),0)), "")</f>
        <v>ㄅ</v>
      </c>
      <c r="C81" s="764" t="str" cm="1">
        <f t="array" aca="1" ref="C81" ca="1" xml:space="preserve"> IFERROR( INDEX(注音編碼對照表[方音符號], MATCH(TRUE, EXACT(C83, 注音編碼對照表[鍵盤按鍵]),0)), "")</f>
        <v>ㆠ</v>
      </c>
      <c r="D81" s="764" t="str" cm="1">
        <f t="array" aca="1" ref="D81" ca="1" xml:space="preserve"> IFERROR( INDEX(注音編碼對照表[方音符號], MATCH(TRUE, EXACT(D83, 注音編碼對照表[鍵盤按鍵]),0)), "")</f>
        <v>ㄆ</v>
      </c>
      <c r="E81" s="764" t="str" cm="1">
        <f t="array" aca="1" ref="E81" ca="1" xml:space="preserve"> IFERROR( INDEX(注音編碼對照表[方音符號], MATCH(TRUE, EXACT(E83, 注音編碼對照表[鍵盤按鍵]),0)), "")</f>
        <v>ㄇ</v>
      </c>
      <c r="F81" s="764" t="str" cm="1">
        <f t="array" aca="1" ref="F81" ca="1" xml:space="preserve"> IFERROR( INDEX(注音編碼對照表[方音符號], MATCH(TRUE, EXACT(F83, 注音編碼對照表[鍵盤按鍵]),0)), "")</f>
        <v>ㄉ</v>
      </c>
      <c r="G81" s="764" t="str" cm="1">
        <f t="array" aca="1" ref="G81" ca="1" xml:space="preserve"> IFERROR( INDEX(注音編碼對照表[方音符號], MATCH(TRUE, EXACT(G83, 注音編碼對照表[鍵盤按鍵]),0)), "")</f>
        <v>ㄊ</v>
      </c>
      <c r="H81" s="764" t="str" cm="1">
        <f t="array" aca="1" ref="H81" ca="1" xml:space="preserve"> IFERROR( INDEX(注音編碼對照表[方音符號], MATCH(TRUE, EXACT(H83, 注音編碼對照表[鍵盤按鍵]),0)), "")</f>
        <v>ㄋ</v>
      </c>
      <c r="I81" s="764" t="str" cm="1">
        <f t="array" aca="1" ref="I81" ca="1" xml:space="preserve"> IFERROR( INDEX(注音編碼對照表[方音符號], MATCH(TRUE, EXACT(I83, 注音編碼對照表[鍵盤按鍵]),0)), "")</f>
        <v>ㄌ</v>
      </c>
      <c r="J81" s="764" t="str" cm="1">
        <f t="array" aca="1" ref="J81" ca="1" xml:space="preserve"> IFERROR( INDEX(注音編碼對照表[方音符號], MATCH(TRUE, EXACT(J83, 注音編碼對照表[鍵盤按鍵]),0)), "")</f>
        <v>ㄍ</v>
      </c>
      <c r="K81" s="764" t="str" cm="1">
        <f t="array" aca="1" ref="K81" ca="1" xml:space="preserve"> IFERROR( INDEX(注音編碼對照表[方音符號], MATCH(TRUE, EXACT(K83, 注音編碼對照表[鍵盤按鍵]),0)), "")</f>
        <v>ㆣ</v>
      </c>
      <c r="L81" s="764" t="str" cm="1">
        <f t="array" aca="1" ref="L81" ca="1" xml:space="preserve"> IFERROR( INDEX(注音編碼對照表[方音符號], MATCH(TRUE, EXACT(L83, 注音編碼對照表[鍵盤按鍵]),0)), "")</f>
        <v>ㄎ</v>
      </c>
      <c r="M81" s="764" t="str" cm="1">
        <f t="array" aca="1" ref="M81" ca="1" xml:space="preserve"> IFERROR( INDEX(注音編碼對照表[方音符號], MATCH(TRUE, EXACT(M83, 注音編碼對照表[鍵盤按鍵]),0)), "")</f>
        <v/>
      </c>
      <c r="N81" s="764" t="str" cm="1">
        <f t="array" aca="1" ref="N81" ca="1" xml:space="preserve"> IFERROR( INDEX(注音編碼對照表[方音符號], MATCH(TRUE, EXACT(N83, 注音編碼對照表[鍵盤按鍵]),0)), "")</f>
        <v>ㄏ</v>
      </c>
      <c r="O81" s="764" t="str" cm="1">
        <f t="array" aca="1" ref="O81" ca="1" xml:space="preserve"> IFERROR( INDEX(注音編碼對照表[方音符號], MATCH(TRUE, EXACT(O83, 注音編碼對照表[鍵盤按鍵]),0)), "")</f>
        <v>ㄐ</v>
      </c>
      <c r="P81" s="764" t="str" cm="1">
        <f t="array" aca="1" ref="P81" ca="1" xml:space="preserve"> IFERROR( INDEX(注音編碼對照表[方音符號], MATCH(TRUE, EXACT(P83, 注音編碼對照表[鍵盤按鍵]),0)), "")</f>
        <v>ㆢ</v>
      </c>
      <c r="Q81" s="764" t="str" cm="1">
        <f t="array" aca="1" ref="Q81" ca="1" xml:space="preserve"> IFERROR( INDEX(注音編碼對照表[方音符號], MATCH(TRUE, EXACT(Q83, 注音編碼對照表[鍵盤按鍵]),0)), "")</f>
        <v>ㄑ</v>
      </c>
      <c r="R81" s="764" t="str" cm="1">
        <f t="array" aca="1" ref="R81" ca="1" xml:space="preserve"> IFERROR( INDEX(注音編碼對照表[方音符號], MATCH(TRUE, EXACT(R83, 注音編碼對照表[鍵盤按鍵]),0)), "")</f>
        <v>ㄒ</v>
      </c>
      <c r="S81" s="764" t="str" cm="1">
        <f t="array" aca="1" ref="S81" ca="1" xml:space="preserve"> IFERROR( INDEX(注音編碼對照表[方音符號], MATCH(TRUE, EXACT(S83, 注音編碼對照表[鍵盤按鍵]),0)), "")</f>
        <v>ㄗ</v>
      </c>
      <c r="T81" s="764" t="str" cm="1">
        <f t="array" aca="1" ref="T81" ca="1" xml:space="preserve"> IFERROR( INDEX(注音編碼對照表[方音符號], MATCH(TRUE, EXACT(T83, 注音編碼對照表[鍵盤按鍵]),0)), "")</f>
        <v>ㆡ</v>
      </c>
      <c r="U81" s="764" t="str" cm="1">
        <f t="array" aca="1" ref="U81" ca="1" xml:space="preserve"> IFERROR( INDEX(注音編碼對照表[方音符號], MATCH(TRUE, EXACT(U83, 注音編碼對照表[鍵盤按鍵]),0)), "")</f>
        <v>ㄘ</v>
      </c>
      <c r="V81" s="764" t="str" cm="1">
        <f t="array" aca="1" ref="V81" ca="1" xml:space="preserve"> IFERROR( INDEX(注音編碼對照表[方音符號], MATCH(TRUE, EXACT(V83, 注音編碼對照表[鍵盤按鍵]),0)), "")</f>
        <v>ㄙ</v>
      </c>
      <c r="W81" s="764" t="str" cm="1">
        <f t="array" aca="1" ref="W81" ca="1" xml:space="preserve"> IFERROR( INDEX(注音編碼對照表[方音符號], MATCH(TRUE, EXACT(W83, 注音編碼對照表[鍵盤按鍵]),0)), "")</f>
        <v>ㄧ</v>
      </c>
      <c r="X81" s="764" t="str" cm="1">
        <f t="array" aca="1" ref="X81" ca="1" xml:space="preserve"> IFERROR( INDEX(注音編碼對照表[方音符號], MATCH(TRUE, EXACT(X83, 注音編碼對照表[鍵盤按鍵]),0)), "")</f>
        <v>ㆪ</v>
      </c>
      <c r="Y81" s="764" t="str" cm="1">
        <f t="array" aca="1" ref="Y81" ca="1" xml:space="preserve"> IFERROR( INDEX(注音編碼對照表[方音符號], MATCH(TRUE, EXACT(Y83, 注音編碼對照表[鍵盤按鍵]),0)), "")</f>
        <v>ㄨ</v>
      </c>
      <c r="Z81" s="764" t="str" cm="1">
        <f t="array" aca="1" ref="Z81" ca="1" xml:space="preserve"> IFERROR( INDEX(注音編碼對照表[方音符號], MATCH(TRUE, EXACT(Z83, 注音編碼對照表[鍵盤按鍵]),0)), "")</f>
        <v>ㆫ</v>
      </c>
      <c r="AA81" s="764" t="str" cm="1">
        <f t="array" aca="1" ref="AA81" ca="1" xml:space="preserve"> IFERROR( INDEX(注音編碼對照表[方音符號], MATCH(TRUE, EXACT(AA83, 注音編碼對照表[鍵盤按鍵]),0)), "")</f>
        <v>ㄚ</v>
      </c>
      <c r="AB81" s="764" t="str" cm="1">
        <f t="array" aca="1" ref="AB81" ca="1" xml:space="preserve"> IFERROR( INDEX(注音編碼對照表[方音符號], MATCH(TRUE, EXACT(AB83, 注音編碼對照表[鍵盤按鍵]),0)), "")</f>
        <v>ㆩ</v>
      </c>
      <c r="AC81" s="764" t="str" cm="1">
        <f t="array" aca="1" ref="AC81" ca="1" xml:space="preserve"> IFERROR( INDEX(注音編碼對照表[方音符號], MATCH(TRUE, EXACT(AC83, 注音編碼對照表[鍵盤按鍵]),0)), "")</f>
        <v>ㆦ</v>
      </c>
      <c r="AD81" s="764" t="str" cm="1">
        <f t="array" aca="1" ref="AD81" ca="1" xml:space="preserve"> IFERROR( INDEX(注音編碼對照表[方音符號], MATCH(TRUE, EXACT(AD83, 注音編碼對照表[鍵盤按鍵]),0)), "")</f>
        <v>ㆧ</v>
      </c>
      <c r="AE81" s="764" t="str" cm="1">
        <f t="array" aca="1" ref="AE81" ca="1" xml:space="preserve"> IFERROR( INDEX(注音編碼對照表[方音符號], MATCH(TRUE, EXACT(AE83, 注音編碼對照表[鍵盤按鍵]),0)), "")</f>
        <v>ㄜ</v>
      </c>
      <c r="AF81" s="764" t="str" cm="1">
        <f t="array" aca="1" ref="AF81" ca="1" xml:space="preserve"> IFERROR( INDEX(注音編碼對照表[方音符號], MATCH(TRUE, EXACT(AF83, 注音編碼對照表[鍵盤按鍵]),0)), "")</f>
        <v>ㆤ</v>
      </c>
      <c r="AG81" s="764" t="str" cm="1">
        <f t="array" aca="1" ref="AG81" ca="1" xml:space="preserve"> IFERROR( INDEX(注音編碼對照表[方音符號], MATCH(TRUE, EXACT(AG83, 注音編碼對照表[鍵盤按鍵]),0)), "")</f>
        <v>ㆥ</v>
      </c>
      <c r="AH81" s="765" t="str" cm="1">
        <f t="array" aca="1" ref="AH81" ca="1" xml:space="preserve"> IFERROR( INDEX(注音編碼對照表[方音符號], MATCH(TRUE, EXACT(AH83, 注音編碼對照表[鍵盤按鍵]),0)), "")</f>
        <v>ㄞ</v>
      </c>
      <c r="AI81" s="765" t="str" cm="1">
        <f t="array" aca="1" ref="AI81" ca="1" xml:space="preserve"> IFERROR( INDEX(注音編碼對照表[方音符號], MATCH(TRUE, EXACT(AI83, 注音編碼對照表[鍵盤按鍵]),0)), "")</f>
        <v>ㆮ</v>
      </c>
      <c r="AJ81" s="765" t="str" cm="1">
        <f t="array" aca="1" ref="AJ81" ca="1" xml:space="preserve"> IFERROR( INDEX(注音編碼對照表[方音符號], MATCH(TRUE, EXACT(AJ83, 注音編碼對照表[鍵盤按鍵]),0)), "")</f>
        <v>ㄠ</v>
      </c>
      <c r="AK81" s="765" t="str" cm="1">
        <f t="array" aca="1" ref="AK81" ca="1" xml:space="preserve"> IFERROR( INDEX(注音編碼對照表[方音符號], MATCH(TRUE, EXACT(AK83, 注音編碼對照表[鍵盤按鍵]),0)), "")</f>
        <v>ㆯ</v>
      </c>
      <c r="AL81" s="766" t="str" cm="1">
        <f t="array" aca="1" ref="AL81" ca="1" xml:space="preserve"> IFERROR( INDEX(注音編碼對照表[方音符號], MATCH(TRUE, EXACT(AL83, 注音編碼對照表[鍵盤按鍵]),0)), "")</f>
        <v>ㄤ</v>
      </c>
      <c r="AM81" s="765" t="str" cm="1">
        <f t="array" aca="1" ref="AM81" ca="1" xml:space="preserve"> IFERROR( INDEX(注音編碼對照表[方音符號], MATCH(TRUE, EXACT(AM83, 注音編碼對照表[鍵盤按鍵]),0)), "")</f>
        <v>ㆲ</v>
      </c>
      <c r="AN81" s="765" t="str" cm="1">
        <f t="array" aca="1" ref="AN81" ca="1" xml:space="preserve"> IFERROR( INDEX(注音編碼對照表[方音符號], MATCH(TRUE, EXACT(AN83, 注音編碼對照表[鍵盤按鍵]),0)), "")</f>
        <v>ㆰ</v>
      </c>
      <c r="AO81" s="765" t="str" cm="1">
        <f t="array" aca="1" ref="AO81" ca="1" xml:space="preserve"> IFERROR( INDEX(注音編碼對照表[方音符號], MATCH(TRUE, EXACT(AO83, 注音編碼對照表[鍵盤按鍵]),0)), "")</f>
        <v>ㆱ</v>
      </c>
      <c r="AP81" s="765" t="str" cm="1">
        <f t="array" aca="1" ref="AP81" ca="1" xml:space="preserve"> IFERROR( INDEX(注音編碼對照表[方音符號], MATCH(TRUE, EXACT(AP83, 注音編碼對照表[鍵盤按鍵]),0)), "")</f>
        <v>ㄢ</v>
      </c>
      <c r="AQ81" s="765" t="str" cm="1">
        <f t="array" aca="1" ref="AQ81" ca="1" xml:space="preserve"> IFERROR( INDEX(注音編碼對照表[方音符號], MATCH(TRUE, EXACT(AQ83, 注音編碼對照表[鍵盤按鍵]),0)), "")</f>
        <v>ㆬ</v>
      </c>
      <c r="AR81" s="765" t="str" cm="1">
        <f t="array" aca="1" ref="AR81" ca="1" xml:space="preserve"> IFERROR( INDEX(注音編碼對照表[方音符號], MATCH(TRUE, EXACT(AR83, 注音編碼對照表[鍵盤按鍵]),0)), "")</f>
        <v>ㄣ</v>
      </c>
      <c r="AS81" s="765" t="str" cm="1">
        <f t="array" aca="1" ref="AS81" ca="1" xml:space="preserve"> IFERROR( INDEX(注音編碼對照表[方音符號], MATCH(TRUE, EXACT(AS83, 注音編碼對照表[鍵盤按鍵]),0)), "")</f>
        <v>ㆭ</v>
      </c>
      <c r="AT81" s="765" t="str" cm="1">
        <f t="array" aca="1" ref="AT81" ca="1" xml:space="preserve"> IFERROR( INDEX(注音編碼對照表[方音符號], MATCH(TRUE, EXACT(AT83, 注音編碼對照表[鍵盤按鍵]),0)), "")</f>
        <v>ㆨ</v>
      </c>
      <c r="AU81" s="765" t="str" cm="1">
        <f t="array" aca="1" ref="AU81" ca="1" xml:space="preserve"> IFERROR( INDEX(注音編碼對照表[方音符號], MATCH(TRUE, EXACT(AU83, 注音編碼對照表[鍵盤按鍵]),0)), "")</f>
        <v>ㆢ</v>
      </c>
      <c r="AV81" s="765" t="str" cm="1">
        <f t="array" aca="1" ref="AV81" ca="1" xml:space="preserve"> IFERROR( INDEX(注音編碼對照表[方音符號], MATCH(TRUE, EXACT(AV83, 注音編碼對照表[鍵盤按鍵]),0)), "")</f>
        <v/>
      </c>
      <c r="AW81" s="765" t="str" cm="1">
        <f t="array" aca="1" ref="AW81" ca="1" xml:space="preserve"> IFERROR( INDEX(注音編碼對照表[方音符號], MATCH(TRUE, EXACT(AW83, 注音編碼對照表[鍵盤按鍵]),0)), "")</f>
        <v/>
      </c>
      <c r="AX81" s="765" t="str" cm="1">
        <f t="array" aca="1" ref="AX81" ca="1" xml:space="preserve"> IFERROR( INDEX(注音編碼對照表[方音符號], MATCH(TRUE, EXACT(AX83, 注音編碼對照表[鍵盤按鍵]),0)), "")</f>
        <v/>
      </c>
      <c r="AY81" s="765" t="str" cm="1">
        <f t="array" aca="1" ref="AY81" ca="1" xml:space="preserve"> IFERROR( INDEX(注音編碼對照表[方音符號], MATCH(TRUE, EXACT(AY83, 注音編碼對照表[鍵盤按鍵]),0)), "")</f>
        <v/>
      </c>
      <c r="AZ81" s="765" t="str" cm="1">
        <f t="array" aca="1" ref="AZ81" ca="1" xml:space="preserve"> IFERROR( INDEX(注音編碼對照表[方音符號], MATCH(TRUE, EXACT(AZ83, 注音編碼對照表[鍵盤按鍵]),0)), "")</f>
        <v/>
      </c>
      <c r="BA81" s="765" t="str" cm="1">
        <f t="array" aca="1" ref="BA81" ca="1" xml:space="preserve"> IFERROR( INDEX(注音編碼對照表[方音符號], MATCH(TRUE, EXACT(BA83, 注音編碼對照表[鍵盤按鍵]),0)), "")</f>
        <v/>
      </c>
      <c r="BB81" s="765" t="str" cm="1">
        <f t="array" aca="1" ref="BB81" ca="1" xml:space="preserve"> IFERROR( INDEX(注音編碼對照表[方音符號], MATCH(TRUE, EXACT(BB83, 注音編碼對照表[鍵盤按鍵]),0)), "")</f>
        <v/>
      </c>
      <c r="BC81" s="765" t="str" cm="1">
        <f t="array" aca="1" ref="BC81" ca="1" xml:space="preserve"> IFERROR( INDEX(注音編碼對照表[方音符號], MATCH(TRUE, EXACT(BC83, 注音編碼對照表[鍵盤按鍵]),0)), "")</f>
        <v/>
      </c>
      <c r="BD81" s="765" t="str" cm="1">
        <f t="array" aca="1" ref="BD81" ca="1" xml:space="preserve"> IFERROR( INDEX(注音編碼對照表[方音符號], MATCH(TRUE, EXACT(BD83, 注音編碼對照表[鍵盤按鍵]),0)), "")</f>
        <v/>
      </c>
      <c r="BE81" s="765" t="str" cm="1">
        <f t="array" aca="1" ref="BE81" ca="1" xml:space="preserve"> IFERROR( INDEX(注音編碼對照表[方音符號], MATCH(TRUE, EXACT(BE83, 注音編碼對照表[鍵盤按鍵]),0)), "")</f>
        <v/>
      </c>
      <c r="BF81" s="765" t="str" cm="1">
        <f t="array" aca="1" ref="BF81" ca="1" xml:space="preserve"> IFERROR( INDEX(注音編碼對照表[方音符號], MATCH(TRUE, EXACT(BF83, 注音編碼對照表[鍵盤按鍵]),0)), "")</f>
        <v/>
      </c>
      <c r="BG81" s="765" t="str" cm="1">
        <f t="array" aca="1" ref="BG81" ca="1" xml:space="preserve"> IFERROR( INDEX(注音編碼對照表[方音符號], MATCH(TRUE, EXACT(BG83, 注音編碼對照表[鍵盤按鍵]),0)), "")</f>
        <v/>
      </c>
      <c r="BH81" s="765" t="str" cm="1">
        <f t="array" aca="1" ref="BH81" ca="1" xml:space="preserve"> IFERROR( INDEX(注音編碼對照表[方音符號], MATCH(TRUE, EXACT(BH83, 注音編碼對照表[鍵盤按鍵]),0)), "")</f>
        <v/>
      </c>
      <c r="BI81" s="765" t="str" cm="1">
        <f t="array" aca="1" ref="BI81" ca="1" xml:space="preserve"> IFERROR( INDEX(注音編碼對照表[方音符號], MATCH(TRUE, EXACT(BI83, 注音編碼對照表[鍵盤按鍵]),0)), "")</f>
        <v/>
      </c>
    </row>
    <row r="82" spans="1:61">
      <c r="B82" s="316"/>
    </row>
    <row r="83" spans="1:61" ht="39">
      <c r="B83" s="767" t="str" cm="1">
        <f t="array" aca="1" ref="B83" ca="1" xml:space="preserve"> INDIRECT( ADDRESS(ROW()-4, COLUMN()) )</f>
        <v>1</v>
      </c>
      <c r="C83" s="767" t="str" cm="1">
        <f t="array" aca="1" ref="C83" ca="1" xml:space="preserve"> INDIRECT( ADDRESS(ROW()-4, COLUMN()) )</f>
        <v>!</v>
      </c>
      <c r="D83" s="767" t="str" cm="1">
        <f t="array" aca="1" ref="D83" ca="1" xml:space="preserve"> INDIRECT( ADDRESS(ROW()-4, COLUMN()) )</f>
        <v>q</v>
      </c>
      <c r="E83" s="767" t="str" cm="1">
        <f t="array" aca="1" ref="E83" ca="1" xml:space="preserve"> INDIRECT( ADDRESS(ROW()-4, COLUMN()) )</f>
        <v>a</v>
      </c>
      <c r="F83" s="767" t="str" cm="1">
        <f t="array" aca="1" ref="F83" ca="1" xml:space="preserve"> INDIRECT( ADDRESS(ROW()-4, COLUMN()) )</f>
        <v>2</v>
      </c>
      <c r="G83" s="767" t="str" cm="1">
        <f t="array" aca="1" ref="G83" ca="1" xml:space="preserve"> INDIRECT( ADDRESS(ROW()-4, COLUMN()) )</f>
        <v>w</v>
      </c>
      <c r="H83" s="767" t="str" cm="1">
        <f t="array" aca="1" ref="H83" ca="1" xml:space="preserve"> INDIRECT( ADDRESS(ROW()-4, COLUMN()) )</f>
        <v>s</v>
      </c>
      <c r="I83" s="767" t="str" cm="1">
        <f t="array" aca="1" ref="I83" ca="1" xml:space="preserve"> INDIRECT( ADDRESS(ROW()-4, COLUMN()) )</f>
        <v>x</v>
      </c>
      <c r="J83" s="767" t="str" cm="1">
        <f t="array" aca="1" ref="J83" ca="1" xml:space="preserve"> INDIRECT( ADDRESS(ROW()-4, COLUMN()) )</f>
        <v>e</v>
      </c>
      <c r="K83" s="767" t="str" cm="1">
        <f t="array" aca="1" ref="K83" ca="1" xml:space="preserve"> INDIRECT( ADDRESS(ROW()-4, COLUMN()) )</f>
        <v>E</v>
      </c>
      <c r="L83" s="767" t="str" cm="1">
        <f t="array" aca="1" ref="L83" ca="1" xml:space="preserve"> INDIRECT( ADDRESS(ROW()-4, COLUMN()) )</f>
        <v>d</v>
      </c>
      <c r="M83" s="767" t="str" cm="1">
        <f t="array" aca="1" ref="M83" ca="1" xml:space="preserve"> INDIRECT( ADDRESS(ROW()-4, COLUMN()) )</f>
        <v>G</v>
      </c>
      <c r="N83" s="767" t="str" cm="1">
        <f t="array" aca="1" ref="N83" ca="1" xml:space="preserve"> INDIRECT( ADDRESS(ROW()-4, COLUMN()) )</f>
        <v>c</v>
      </c>
      <c r="O83" s="767" t="str" cm="1">
        <f t="array" aca="1" ref="O83" ca="1" xml:space="preserve"> INDIRECT( ADDRESS(ROW()-4, COLUMN()) )</f>
        <v>r</v>
      </c>
      <c r="P83" s="767" t="str" cm="1">
        <f t="array" aca="1" ref="P83" ca="1" xml:space="preserve"> INDIRECT( ADDRESS(ROW()-4, COLUMN()) )</f>
        <v>R</v>
      </c>
      <c r="Q83" s="767" t="str" cm="1">
        <f t="array" aca="1" ref="Q83" ca="1" xml:space="preserve"> INDIRECT( ADDRESS(ROW()-4, COLUMN()) )</f>
        <v>f</v>
      </c>
      <c r="R83" s="767" t="str" cm="1">
        <f t="array" aca="1" ref="R83" ca="1" xml:space="preserve"> INDIRECT( ADDRESS(ROW()-4, COLUMN()) )</f>
        <v>v</v>
      </c>
      <c r="S83" s="767" t="str" cm="1">
        <f t="array" aca="1" ref="S83" ca="1" xml:space="preserve"> INDIRECT( ADDRESS(ROW()-4, COLUMN()) )</f>
        <v>y</v>
      </c>
      <c r="T83" s="767" t="str" cm="1">
        <f t="array" aca="1" ref="T83" ca="1" xml:space="preserve"> INDIRECT( ADDRESS(ROW()-4, COLUMN()) )</f>
        <v>Y</v>
      </c>
      <c r="U83" s="767" t="str" cm="1">
        <f t="array" aca="1" ref="U83" ca="1" xml:space="preserve"> INDIRECT( ADDRESS(ROW()-4, COLUMN()) )</f>
        <v>h</v>
      </c>
      <c r="V83" s="767" t="str" cm="1">
        <f t="array" aca="1" ref="V83" ca="1" xml:space="preserve"> INDIRECT( ADDRESS(ROW()-4, COLUMN()) )</f>
        <v>n</v>
      </c>
      <c r="W83" s="767" t="str" cm="1">
        <f t="array" aca="1" ref="W83" ca="1" xml:space="preserve"> INDIRECT( ADDRESS(ROW()-4, COLUMN()) )</f>
        <v>u</v>
      </c>
      <c r="X83" s="767" t="str" cm="1">
        <f t="array" aca="1" ref="X83" ca="1" xml:space="preserve"> INDIRECT( ADDRESS(ROW()-4, COLUMN()) )</f>
        <v>U</v>
      </c>
      <c r="Y83" s="767" t="str" cm="1">
        <f t="array" aca="1" ref="Y83" ca="1" xml:space="preserve"> INDIRECT( ADDRESS(ROW()-4, COLUMN()) )</f>
        <v>j</v>
      </c>
      <c r="Z83" s="767" t="str" cm="1">
        <f t="array" aca="1" ref="Z83" ca="1" xml:space="preserve"> INDIRECT( ADDRESS(ROW()-4, COLUMN()) )</f>
        <v>J</v>
      </c>
      <c r="AA83" s="767" t="str" cm="1">
        <f t="array" aca="1" ref="AA83" ca="1" xml:space="preserve"> INDIRECT( ADDRESS(ROW()-4, COLUMN()) )</f>
        <v>8</v>
      </c>
      <c r="AB83" s="767" t="str" cm="1">
        <f t="array" aca="1" ref="AB83" ca="1" xml:space="preserve"> INDIRECT( ADDRESS(ROW()-4, COLUMN()) )</f>
        <v>*</v>
      </c>
      <c r="AC83" s="767" t="str" cm="1">
        <f t="array" aca="1" ref="AC83" ca="1" xml:space="preserve"> INDIRECT( ADDRESS(ROW()-4, COLUMN()) )</f>
        <v>i</v>
      </c>
      <c r="AD83" s="767" t="str" cm="1">
        <f t="array" aca="1" ref="AD83" ca="1" xml:space="preserve"> INDIRECT( ADDRESS(ROW()-4, COLUMN()) )</f>
        <v>I</v>
      </c>
      <c r="AE83" s="767" t="str" cm="1">
        <f t="array" aca="1" ref="AE83" ca="1" xml:space="preserve"> INDIRECT( ADDRESS(ROW()-4, COLUMN()) )</f>
        <v>k</v>
      </c>
      <c r="AF83" s="767" t="str" cm="1">
        <f t="array" aca="1" ref="AF83" ca="1" xml:space="preserve"> INDIRECT( ADDRESS(ROW()-4, COLUMN()) )</f>
        <v>,</v>
      </c>
      <c r="AG83" s="767" t="str" cm="1">
        <f t="array" aca="1" ref="AG83" ca="1" xml:space="preserve"> INDIRECT( ADDRESS(ROW()-4, COLUMN()) )</f>
        <v>&lt;</v>
      </c>
      <c r="AH83" s="767" t="str" cm="1">
        <f t="array" aca="1" ref="AH83" ca="1" xml:space="preserve"> INDIRECT( ADDRESS(ROW()-4, COLUMN()) )</f>
        <v>9</v>
      </c>
      <c r="AI83" s="767" t="str" cm="1">
        <f t="array" aca="1" ref="AI83" ca="1" xml:space="preserve"> INDIRECT( ADDRESS(ROW()-4, COLUMN()) )</f>
        <v>(</v>
      </c>
      <c r="AJ83" s="767" t="str" cm="1">
        <f t="array" aca="1" ref="AJ83" ca="1" xml:space="preserve"> INDIRECT( ADDRESS(ROW()-4, COLUMN()) )</f>
        <v>l</v>
      </c>
      <c r="AK83" s="767" t="str" cm="1">
        <f t="array" aca="1" ref="AK83" ca="1" xml:space="preserve"> INDIRECT( ADDRESS(ROW()-4, COLUMN()) )</f>
        <v>L</v>
      </c>
      <c r="AL83" s="767" t="str" cm="1">
        <f t="array" aca="1" ref="AL83" ca="1" xml:space="preserve"> INDIRECT( ADDRESS(ROW()-4, COLUMN()) )</f>
        <v>;</v>
      </c>
      <c r="AM83" s="767" t="str" cm="1">
        <f t="array" aca="1" ref="AM83" ca="1" xml:space="preserve"> INDIRECT( ADDRESS(ROW()-4, COLUMN()) )</f>
        <v>o</v>
      </c>
      <c r="AN83" s="767" t="str" cm="1">
        <f t="array" aca="1" ref="AN83" ca="1" xml:space="preserve"> INDIRECT( ADDRESS(ROW()-4, COLUMN()) )</f>
        <v>M</v>
      </c>
      <c r="AO83" s="767" t="str" cm="1">
        <f t="array" aca="1" ref="AO83" ca="1" xml:space="preserve"> INDIRECT( ADDRESS(ROW()-4, COLUMN()) )</f>
        <v>O</v>
      </c>
      <c r="AP83" s="767" t="str" cm="1">
        <f t="array" aca="1" ref="AP83" ca="1" xml:space="preserve"> INDIRECT( ADDRESS(ROW()-4, COLUMN()) )</f>
        <v>0</v>
      </c>
      <c r="AQ83" s="767" t="str" cm="1">
        <f t="array" aca="1" ref="AQ83" ca="1" xml:space="preserve"> INDIRECT( ADDRESS(ROW()-4, COLUMN()) )</f>
        <v>m</v>
      </c>
      <c r="AR83" s="767" t="str" cm="1">
        <f t="array" aca="1" ref="AR83" ca="1" xml:space="preserve"> INDIRECT( ADDRESS(ROW()-4, COLUMN()) )</f>
        <v>p</v>
      </c>
      <c r="AS83" s="767" t="str" cm="1">
        <f t="array" aca="1" ref="AS83" ca="1" xml:space="preserve"> INDIRECT( ADDRESS(ROW()-4, COLUMN()) )</f>
        <v>/</v>
      </c>
      <c r="AT83" s="767" t="str" cm="1">
        <f t="array" aca="1" ref="AT83" ca="1" xml:space="preserve"> INDIRECT( ADDRESS(ROW()-4, COLUMN()) )</f>
        <v>K</v>
      </c>
      <c r="AU83" s="767" t="str" cm="1">
        <f t="array" aca="1" ref="AU83" ca="1" xml:space="preserve"> INDIRECT( ADDRESS(ROW()-4, COLUMN()) )</f>
        <v>R</v>
      </c>
      <c r="AV83" s="767" t="str" cm="1">
        <f t="array" aca="1" ref="AV83" ca="1" xml:space="preserve"> INDIRECT( ADDRESS(ROW()-4, COLUMN()) )</f>
        <v>F</v>
      </c>
      <c r="AW83" s="767" t="str" cm="1">
        <f t="array" aca="1" ref="AW83" ca="1" xml:space="preserve"> INDIRECT( ADDRESS(ROW()-4, COLUMN()) )</f>
        <v>Q</v>
      </c>
      <c r="AX83" s="767" t="str" cm="1">
        <f t="array" aca="1" ref="AX83" ca="1" xml:space="preserve"> INDIRECT( ADDRESS(ROW()-4, COLUMN()) )</f>
        <v>V</v>
      </c>
      <c r="AY83" s="767" t="str" cm="1">
        <f t="array" aca="1" ref="AY83" ca="1" xml:space="preserve"> INDIRECT( ADDRESS(ROW()-4, COLUMN()) )</f>
        <v/>
      </c>
      <c r="AZ83" s="767" t="str" cm="1">
        <f t="array" aca="1" ref="AZ83" ca="1" xml:space="preserve"> INDIRECT( ADDRESS(ROW()-4, COLUMN()) )</f>
        <v/>
      </c>
      <c r="BA83" s="767" t="str" cm="1">
        <f t="array" aca="1" ref="BA83" ca="1" xml:space="preserve"> INDIRECT( ADDRESS(ROW()-4, COLUMN()) )</f>
        <v/>
      </c>
      <c r="BB83" s="767" t="str" cm="1">
        <f t="array" aca="1" ref="BB83" ca="1" xml:space="preserve"> INDIRECT( ADDRESS(ROW()-4, COLUMN()) )</f>
        <v/>
      </c>
      <c r="BC83" s="767" t="str" cm="1">
        <f t="array" aca="1" ref="BC83" ca="1" xml:space="preserve"> INDIRECT( ADDRESS(ROW()-4, COLUMN()) )</f>
        <v/>
      </c>
      <c r="BD83" s="767" t="str" cm="1">
        <f t="array" aca="1" ref="BD83" ca="1" xml:space="preserve"> INDIRECT( ADDRESS(ROW()-4, COLUMN()) )</f>
        <v/>
      </c>
      <c r="BE83" s="767" t="str" cm="1">
        <f t="array" aca="1" ref="BE83" ca="1" xml:space="preserve"> INDIRECT( ADDRESS(ROW()-4, COLUMN()) )</f>
        <v/>
      </c>
      <c r="BF83" s="767" t="str" cm="1">
        <f t="array" aca="1" ref="BF83" ca="1" xml:space="preserve"> INDIRECT( ADDRESS(ROW()-4, COLUMN()) )</f>
        <v/>
      </c>
      <c r="BG83" s="767" t="str" cm="1">
        <f t="array" aca="1" ref="BG83" ca="1" xml:space="preserve"> INDIRECT( ADDRESS(ROW()-4, COLUMN()) )</f>
        <v/>
      </c>
      <c r="BH83" s="767" t="str" cm="1">
        <f t="array" aca="1" ref="BH83" ca="1" xml:space="preserve"> INDIRECT( ADDRESS(ROW()-4, COLUMN()) )</f>
        <v/>
      </c>
      <c r="BI83" s="767" t="str" cm="1">
        <f t="array" aca="1" ref="BI83" ca="1" xml:space="preserve"> INDIRECT( ADDRESS(ROW()-4, COLUMN()) )</f>
        <v/>
      </c>
    </row>
    <row r="85" spans="1:61" ht="39">
      <c r="B85" s="769" t="str">
        <f ca="1">_xlfn.CONCAT(B79:AX79)</f>
        <v>1!qa2wsxeEdGcrRfvyYhnuUjJ8*iIk,&lt;9(lL;oMO0mp/KRFQV</v>
      </c>
    </row>
    <row r="86" spans="1:61" ht="39">
      <c r="A86" s="770">
        <f ca="1" xml:space="preserve"> LEN(B85)</f>
        <v>49</v>
      </c>
      <c r="B86" s="769" t="str">
        <f ca="1">_xlfn.CONCAT(B80:AX80)</f>
        <v>ㄅㆠㄆㄇㄉㄊㄋㄌㄍㆣㄎㄫㄏㄐㆢㄑㄒㄗㆡㄘㄙㄧㆪㄨㆫㄚㆩㆦㆧㄜㆤㆥㄞㆮㄠㆯㄤㆲㆰㆱㄢㆬㄣㆭㆨㆴㆵㆻㆷ</v>
      </c>
    </row>
    <row r="87" spans="1:61">
      <c r="A87" s="770">
        <f ca="1" xml:space="preserve"> LEN(B86)</f>
        <v>49</v>
      </c>
    </row>
    <row r="89" spans="1:61" ht="39">
      <c r="B89" s="768" t="str">
        <f ca="1" xml:space="preserve"> _xlfn.CONCAT("    - xlit|", B83:AX83, "|", B80:AX80,"|")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BZ5:CE27">
    <sortCondition descending="1" ref="CE5:CE27"/>
  </sortState>
  <phoneticPr fontId="9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</sheetViews>
  <sheetFormatPr defaultRowHeight="21"/>
  <cols>
    <col min="2" max="7" width="13.8984375" customWidth="1"/>
    <col min="9" max="9" width="67.19921875" customWidth="1"/>
  </cols>
  <sheetData>
    <row r="2" spans="2:9" ht="27.75">
      <c r="B2" s="700" t="s">
        <v>835</v>
      </c>
      <c r="C2" s="700" t="s">
        <v>8715</v>
      </c>
      <c r="D2" s="147"/>
      <c r="E2" s="145"/>
      <c r="F2" s="145"/>
      <c r="G2" s="145"/>
    </row>
    <row r="3" spans="2:9" ht="27.75">
      <c r="B3" s="697" t="s">
        <v>484</v>
      </c>
      <c r="C3" s="697" t="s">
        <v>8716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44" t="s">
        <v>386</v>
      </c>
      <c r="C5" s="741" t="s">
        <v>8715</v>
      </c>
      <c r="D5" s="114" t="s">
        <v>8740</v>
      </c>
      <c r="E5" s="742" t="s">
        <v>8741</v>
      </c>
      <c r="F5" s="741" t="s">
        <v>835</v>
      </c>
      <c r="G5" s="743" t="s">
        <v>8714</v>
      </c>
      <c r="H5" s="145"/>
      <c r="I5" s="698"/>
    </row>
    <row r="6" spans="2:9" ht="45.75">
      <c r="B6" s="737" t="s">
        <v>20</v>
      </c>
      <c r="C6" s="738" t="s">
        <v>2819</v>
      </c>
      <c r="D6" s="739" t="s">
        <v>361</v>
      </c>
      <c r="E6" s="58" t="s">
        <v>190</v>
      </c>
      <c r="F6" s="113" t="s">
        <v>190</v>
      </c>
      <c r="G6" s="740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6" t="s">
        <v>27</v>
      </c>
      <c r="C7" s="738" t="s">
        <v>2819</v>
      </c>
      <c r="D7" s="739" t="s">
        <v>394</v>
      </c>
      <c r="E7" s="58" t="s">
        <v>144</v>
      </c>
      <c r="F7" s="113" t="s">
        <v>838</v>
      </c>
      <c r="G7" s="740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8" t="s">
        <v>2819</v>
      </c>
      <c r="D8" s="739" t="s">
        <v>353</v>
      </c>
      <c r="E8" s="58" t="s">
        <v>217</v>
      </c>
      <c r="F8" s="113" t="s">
        <v>217</v>
      </c>
      <c r="G8" s="740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8" t="s">
        <v>2819</v>
      </c>
      <c r="D9" s="739" t="s">
        <v>351</v>
      </c>
      <c r="E9" s="58" t="s">
        <v>143</v>
      </c>
      <c r="F9" s="113" t="s">
        <v>143</v>
      </c>
      <c r="G9" s="740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8" t="s">
        <v>2819</v>
      </c>
      <c r="D10" s="739" t="s">
        <v>347</v>
      </c>
      <c r="E10" s="58" t="s">
        <v>309</v>
      </c>
      <c r="F10" s="113" t="s">
        <v>309</v>
      </c>
      <c r="G10" s="740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8" t="s">
        <v>2819</v>
      </c>
      <c r="D11" s="739" t="s">
        <v>341</v>
      </c>
      <c r="E11" s="58" t="s">
        <v>30</v>
      </c>
      <c r="F11" s="113" t="s">
        <v>30</v>
      </c>
      <c r="G11" s="740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8" t="s">
        <v>2819</v>
      </c>
      <c r="D12" s="739" t="s">
        <v>338</v>
      </c>
      <c r="E12" s="58" t="s">
        <v>34</v>
      </c>
      <c r="F12" s="113" t="s">
        <v>34</v>
      </c>
      <c r="G12" s="740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8" t="s">
        <v>2819</v>
      </c>
      <c r="D13" s="739" t="s">
        <v>332</v>
      </c>
      <c r="E13" s="58" t="s">
        <v>86</v>
      </c>
      <c r="F13" s="113" t="s">
        <v>86</v>
      </c>
      <c r="G13" s="740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8" t="s">
        <v>2819</v>
      </c>
      <c r="D14" s="739" t="s">
        <v>329</v>
      </c>
      <c r="E14" s="58" t="s">
        <v>184</v>
      </c>
      <c r="F14" s="113" t="s">
        <v>184</v>
      </c>
      <c r="G14" s="740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8" t="s">
        <v>2819</v>
      </c>
      <c r="D15" s="739" t="s">
        <v>322</v>
      </c>
      <c r="E15" s="58" t="s">
        <v>141</v>
      </c>
      <c r="F15" s="113" t="s">
        <v>847</v>
      </c>
      <c r="G15" s="740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8" t="s">
        <v>2819</v>
      </c>
      <c r="D16" s="739" t="s">
        <v>309</v>
      </c>
      <c r="E16" s="58" t="s">
        <v>37</v>
      </c>
      <c r="F16" s="113" t="s">
        <v>37</v>
      </c>
      <c r="G16" s="740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8" t="s">
        <v>2819</v>
      </c>
      <c r="D17" s="739" t="s">
        <v>429</v>
      </c>
      <c r="E17" s="58" t="s">
        <v>341</v>
      </c>
      <c r="F17" s="113" t="s">
        <v>140</v>
      </c>
      <c r="G17" s="740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8" t="s">
        <v>2819</v>
      </c>
      <c r="D18" s="739" t="s">
        <v>305</v>
      </c>
      <c r="E18" s="58" t="s">
        <v>422</v>
      </c>
      <c r="F18" s="113" t="s">
        <v>422</v>
      </c>
      <c r="G18" s="740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8" t="s">
        <v>2819</v>
      </c>
      <c r="D19" s="739" t="s">
        <v>283</v>
      </c>
      <c r="E19" s="58" t="s">
        <v>254</v>
      </c>
      <c r="F19" s="113" t="s">
        <v>254</v>
      </c>
      <c r="G19" s="740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8" t="s">
        <v>2819</v>
      </c>
      <c r="D20" s="739" t="s">
        <v>560</v>
      </c>
      <c r="E20" s="58" t="s">
        <v>249</v>
      </c>
      <c r="F20" s="113" t="s">
        <v>8734</v>
      </c>
      <c r="G20" s="740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8" t="s">
        <v>2819</v>
      </c>
      <c r="D21" s="739" t="s">
        <v>600</v>
      </c>
      <c r="E21" s="58" t="s">
        <v>456</v>
      </c>
      <c r="F21" s="113" t="s">
        <v>463</v>
      </c>
      <c r="G21" s="740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8" t="s">
        <v>2819</v>
      </c>
      <c r="D22" s="739" t="s">
        <v>601</v>
      </c>
      <c r="E22" s="58" t="s">
        <v>460</v>
      </c>
      <c r="F22" s="113" t="s">
        <v>8735</v>
      </c>
      <c r="G22" s="740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8" t="s">
        <v>2819</v>
      </c>
      <c r="D23" s="739" t="s">
        <v>588</v>
      </c>
      <c r="E23" s="58" t="s">
        <v>179</v>
      </c>
      <c r="F23" s="113" t="s">
        <v>179</v>
      </c>
      <c r="G23" s="740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8" t="s">
        <v>2819</v>
      </c>
      <c r="D24" s="739" t="s">
        <v>447</v>
      </c>
      <c r="E24" s="58" t="s">
        <v>449</v>
      </c>
      <c r="F24" s="113" t="s">
        <v>857</v>
      </c>
      <c r="G24" s="740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8" t="s">
        <v>2819</v>
      </c>
      <c r="D25" s="739" t="s">
        <v>422</v>
      </c>
      <c r="E25" s="58" t="s">
        <v>305</v>
      </c>
      <c r="F25" s="113" t="s">
        <v>305</v>
      </c>
      <c r="G25" s="740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8" t="s">
        <v>2819</v>
      </c>
      <c r="D26" s="739" t="s">
        <v>34</v>
      </c>
      <c r="E26" s="58" t="s">
        <v>338</v>
      </c>
      <c r="F26" s="113" t="s">
        <v>338</v>
      </c>
      <c r="G26" s="740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b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/b/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gg</v>
      </c>
      <c r="L6" s="535" t="str">
        <f ca="1">AV19</f>
        <v>ㆢ</v>
      </c>
      <c r="M6" s="518"/>
      <c r="N6" s="536" t="str">
        <f ca="1">AV20</f>
        <v>jj</v>
      </c>
      <c r="O6" s="535"/>
      <c r="P6" s="537"/>
      <c r="Q6" s="536"/>
      <c r="R6" s="535" t="str">
        <f ca="1">R19</f>
        <v>ㆡ</v>
      </c>
      <c r="S6" s="518"/>
      <c r="T6" s="536" t="str">
        <f ca="1">R20</f>
        <v>zz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g</v>
      </c>
      <c r="L7" s="264" t="str">
        <f ca="1">AT19</f>
        <v>ㄐ</v>
      </c>
      <c r="M7" s="251"/>
      <c r="N7" s="265" t="str">
        <f ca="1">AT20</f>
        <v>j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d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/d/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</v>
      </c>
      <c r="M10" s="264" t="str">
        <f ca="1">AU19</f>
        <v>ㄑ</v>
      </c>
      <c r="N10" s="251"/>
      <c r="O10" s="269" t="str">
        <f ca="1">AU20</f>
        <v>ch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or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g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/g/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sh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gg</v>
      </c>
      <c r="BR14" s="34" t="str" cm="1">
        <f t="array" ref="BR14" xml:space="preserve"> INDEX(注音編碼對照表BAK[字典編碼], MATCH(TRUE, EXACT('鍵盤設計 (2)'!$BO14,注音編碼對照表BAK[鍵盤按鍵]), 0))</f>
        <v>G</v>
      </c>
      <c r="BT14" s="549" t="str">
        <f t="shared" si="3"/>
        <v xml:space="preserve">    "E": { commit: "ㆣ" }  # /gg/ ==&gt; G</v>
      </c>
      <c r="BV14" s="236">
        <f t="shared" si="1"/>
        <v>11</v>
      </c>
      <c r="BW14" s="263" t="str">
        <f t="shared" si="2"/>
        <v>- xform/G/E/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G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I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U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A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Q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E</v>
      </c>
      <c r="AE18" s="286" t="str" cm="1">
        <f t="array" aca="1" ref="AE18" ca="1" xml:space="preserve"> INDEX($BR$4:$BR$61, MATCH(TRUE, EXACT(AE$17, $BO$4:$BO$61), 0))</f>
        <v>x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y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P</v>
      </c>
      <c r="AL18" s="286" t="str" cm="1">
        <f t="array" aca="1" ref="AL18" ca="1" xml:space="preserve"> INDEX($BR$4:$BR$61, MATCH(TRUE, EXACT(AL$17, $BO$4:$BO$61), 0))</f>
        <v>&amp;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W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r</v>
      </c>
      <c r="AY18" s="286" t="str" cm="1">
        <f t="array" aca="1" ref="AY18" ca="1" xml:space="preserve"> INDEX($BR$4:$BR$61, MATCH(TRUE, EXACT(AY$17, $BO$4:$BO$61), 0))</f>
        <v>f</v>
      </c>
      <c r="AZ18" s="286" t="str" cm="1">
        <f t="array" aca="1" ref="AZ18" ca="1" xml:space="preserve"> INDEX($BR$4:$BR$61, MATCH(TRUE, EXACT(AZ$17, $BO$4:$BO$61), 0))</f>
        <v>q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0</v>
      </c>
      <c r="BC18" s="286" cm="1">
        <f t="array" aca="1" ref="BC18" ca="1" xml:space="preserve"> INDEX($BR$4:$BR$61, MATCH(TRUE, EXACT(BC$17, $BO$4:$BO$61), 0))</f>
        <v>8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zz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/zz/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b</v>
      </c>
      <c r="E20" s="289" t="str" cm="1">
        <f t="array" aca="1" ref="E20" ca="1" xml:space="preserve"> INDEX($BQ$4:$BQ$61, MATCH(TRUE, EXACT(E$17, $BO$4:$BO$61), 0))</f>
        <v>p</v>
      </c>
      <c r="F20" s="289" t="str" cm="1">
        <f t="array" aca="1" ref="F20" ca="1" xml:space="preserve"> INDEX($BQ$4:$BQ$61, MATCH(TRUE, EXACT(F$17, $BO$4:$BO$61), 0))</f>
        <v>bb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d</v>
      </c>
      <c r="I20" s="289" t="str" cm="1">
        <f t="array" aca="1" ref="I20" ca="1" xml:space="preserve"> INDEX($BQ$4:$BQ$61, MATCH(TRUE, EXACT(I$17, $BO$4:$BO$61), 0))</f>
        <v>t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g</v>
      </c>
      <c r="M20" s="289" t="str" cm="1">
        <f t="array" aca="1" ref="M20" ca="1" xml:space="preserve"> INDEX($BQ$4:$BQ$61, MATCH(TRUE, EXACT(M$17, $BO$4:$BO$61), 0))</f>
        <v>k</v>
      </c>
      <c r="N20" s="289" t="str" cm="1">
        <f t="array" aca="1" ref="N20" ca="1" xml:space="preserve"> INDEX($BQ$4:$BQ$61, MATCH(TRUE, EXACT(N$17, $BO$4:$BO$61), 0))</f>
        <v>gg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zz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oonn</v>
      </c>
      <c r="AB20" s="289" t="str" cm="1">
        <f t="array" aca="1" ref="AB20" ca="1" xml:space="preserve"> INDEX($BQ$4:$BQ$61, MATCH(TRUE, EXACT(AB$17, $BO$4:$BO$61), 0))</f>
        <v>or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j</v>
      </c>
      <c r="AU20" s="289" t="str" cm="1">
        <f t="array" aca="1" ref="AU20" ca="1" xml:space="preserve"> INDEX($BQ$4:$BQ$61, MATCH(TRUE, EXACT(AU$17, $BO$4:$BO$61), 0))</f>
        <v>ch</v>
      </c>
      <c r="AV20" s="289" t="str" cm="1">
        <f t="array" aca="1" ref="AV20" ca="1" xml:space="preserve"> INDEX($BQ$4:$BQ$61, MATCH(TRUE, EXACT(AV$17, $BO$4:$BO$61), 0))</f>
        <v>jj</v>
      </c>
      <c r="AW20" s="289" t="str" cm="1">
        <f t="array" aca="1" ref="AW20" ca="1" xml:space="preserve"> INDEX($BQ$4:$BQ$61, MATCH(TRUE, EXACT(AW$17, $BO$4:$BO$61), 0))</f>
        <v>sh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8</v>
      </c>
      <c r="BC20" s="289" cm="1">
        <f t="array" aca="1" ref="BC20" ca="1" xml:space="preserve"> INDEX($BQ$4:$BQ$61, MATCH(TRUE, EXACT(BC$17, $BO$4:$BO$61), 0))</f>
        <v>8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I</v>
      </c>
      <c r="BT21" s="549" t="str">
        <f t="shared" si="3"/>
        <v xml:space="preserve">    "U": { commit: "ㆪ" }  # /inn/ ==&gt; I</v>
      </c>
      <c r="BV21" s="195">
        <f t="shared" si="1"/>
        <v>18</v>
      </c>
      <c r="BW21" s="263" t="str">
        <f t="shared" si="2"/>
        <v>- xform/I/U/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bpbbmdtnlgkgghzczzsiinnuunnaann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xform/U/J/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U</v>
      </c>
      <c r="BT23" s="549" t="str">
        <f t="shared" si="3"/>
        <v xml:space="preserve">    "J": { commit: "ㆫ" }  # /unn/ ==&gt; U</v>
      </c>
      <c r="BV23" s="195">
        <f t="shared" si="1"/>
        <v>20</v>
      </c>
      <c r="BW23" s="263" t="str">
        <f xml:space="preserve"> "- xform/" &amp; BR25 &amp; "/" &amp; BO25 &amp; "/"</f>
        <v>- xform/A/*/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xform/Q/I/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A</v>
      </c>
      <c r="BT25" s="549" t="str">
        <f t="shared" si="3"/>
        <v xml:space="preserve">    "*": { commit: "ㆩ" }  # /ann/ ==&gt; A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xform/E/&lt;/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oonn</v>
      </c>
      <c r="BR27" s="34" t="str" cm="1">
        <f t="array" ref="BR27" xml:space="preserve"> INDEX(注音編碼對照表BAK[字典編碼], MATCH(TRUE, EXACT('鍵盤設計 (2)'!$BO27,注音編碼對照表BAK[鍵盤按鍵]), 0))</f>
        <v>Q</v>
      </c>
      <c r="BT27" s="549" t="str">
        <f t="shared" si="3"/>
        <v xml:space="preserve">    "I": { commit: "ㆧ" }  # /oonn/ ==&gt; Q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or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/or/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xform/P/;/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E</v>
      </c>
      <c r="BT30" s="549" t="str">
        <f t="shared" si="3"/>
        <v xml:space="preserve">    "&lt;": { commit: "ㆥ" }  # /enn/ ==&gt; E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x</v>
      </c>
      <c r="BT31" s="549" t="str">
        <f t="shared" si="3"/>
        <v xml:space="preserve">    "9": { commit: "ㄞ" }  # /ai/ ==&gt; x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y</v>
      </c>
      <c r="BT33" s="549" t="str">
        <f t="shared" si="3"/>
        <v xml:space="preserve">    "l": { commit: "ㄠ" }  # /au/ ==&gt; y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xform/x/9/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P</v>
      </c>
      <c r="BT37" s="549" t="str">
        <f t="shared" si="3"/>
        <v xml:space="preserve">    ";": { commit: "ㄤ" }  # /ang/ ==&gt; P</v>
      </c>
      <c r="BV37" s="195">
        <f t="shared" si="4"/>
        <v>33</v>
      </c>
      <c r="BW37" s="263" t="str">
        <f xml:space="preserve"> "- xform/" &amp; BR33 &amp; "/" &amp; BO33 &amp; "/"</f>
        <v>- xform/y/l/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INDEX(注音編碼對照表BAK[方音符號], MATCH(TRUE, EXACT('鍵盤設計 (2)'!$BO38,注音編碼對照表BAK[鍵盤按鍵]), 0))</f>
        <v>ñ</v>
      </c>
      <c r="BQ38" s="107" t="str" cm="1">
        <f t="array" ref="BQ38" xml:space="preserve"> INDEX(注音編碼對照表BAK[注音二式], MATCH(TRUE, EXACT('鍵盤設計 (2)'!$BO38,注音編碼對照表BAK[鍵盤按鍵]), 0))</f>
        <v>*nn</v>
      </c>
      <c r="BR38" s="34" t="str" cm="1">
        <f t="array" ref="BR38" xml:space="preserve"> INDEX(注音編碼對照表BAK[字典編碼], MATCH(TRUE, EXACT('鍵盤設計 (2)'!$BO38,注音編碼對照表BAK[鍵盤按鍵]), 0))</f>
        <v>&amp;</v>
      </c>
      <c r="BT38" s="549" t="str">
        <f t="shared" si="3"/>
        <v xml:space="preserve">    "-": { commit: "ñ" }  # /*nn/ ==&gt; &amp;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xform/W///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xform/&amp;/-/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W</v>
      </c>
      <c r="BT44" s="549" t="str">
        <f t="shared" si="3"/>
        <v xml:space="preserve">    "/": { commit: "ㆭ" }  # /ng/ ==&gt; W</v>
      </c>
      <c r="BV44" s="236">
        <f t="shared" si="4"/>
        <v>40</v>
      </c>
      <c r="BW44" s="263" t="str">
        <f t="shared" si="5"/>
        <v>- xform/r/b/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xform/f/t/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j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/j/ ==&gt; j</v>
      </c>
      <c r="BV46" s="236">
        <f t="shared" si="4"/>
        <v>42</v>
      </c>
      <c r="BW46" s="263" t="str">
        <f t="shared" si="5"/>
        <v>- xform/q/g/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ch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/ch/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jj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/jj/ ==&gt; J</v>
      </c>
      <c r="BV48" s="236">
        <f t="shared" si="4"/>
        <v>44</v>
      </c>
      <c r="BW48" s="263" t="str">
        <f t="shared" si="5"/>
        <v>- xform/0/5/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sh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/sh/ ==&gt; S</v>
      </c>
      <c r="BV49" s="236">
        <f t="shared" si="4"/>
        <v>45</v>
      </c>
      <c r="BW49" s="237" t="str">
        <f t="shared" si="5"/>
        <v>- xform/8/7/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r</v>
      </c>
      <c r="BT50" s="549" t="str">
        <f t="shared" si="3"/>
        <v xml:space="preserve">    "b": { commit: "ㆴ" }  # /p/ ==&gt; r</v>
      </c>
      <c r="BV50" s="236">
        <f t="shared" si="4"/>
        <v>46</v>
      </c>
      <c r="BW50" s="237" t="str">
        <f t="shared" si="5"/>
        <v>- xform/8/7/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f</v>
      </c>
      <c r="BT51" s="549" t="str">
        <f t="shared" si="3"/>
        <v xml:space="preserve">    "t": { commit: "ㆵ" }  # /t/ ==&gt; f</v>
      </c>
      <c r="BV51" s="236">
        <f t="shared" si="4"/>
        <v>47</v>
      </c>
      <c r="BW51" s="237" t="str">
        <f t="shared" si="5"/>
        <v>- xform/2/4/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q</v>
      </c>
      <c r="BT52" s="549" t="str">
        <f t="shared" si="3"/>
        <v xml:space="preserve">    "g": { commit: "ㆻ" }  # /k/ ==&gt; q</v>
      </c>
      <c r="BV52" s="236">
        <f t="shared" si="4"/>
        <v>48</v>
      </c>
      <c r="BW52" s="237" t="str">
        <f t="shared" si="5"/>
        <v>- xform/3/3/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xform/5/6/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8</v>
      </c>
      <c r="BR54" s="34" cm="1">
        <f t="array" ref="BR54" xml:space="preserve"> INDEX(注音編碼對照表BAK[字典編碼], MATCH(TRUE, EXACT('鍵盤設計 (2)'!$BO54,注音編碼對照表BAK[鍵盤按鍵]), 0))</f>
        <v>0</v>
      </c>
      <c r="BT54" s="549" t="str">
        <f t="shared" si="3"/>
        <v xml:space="preserve">    "5": { commit: "˫" }  # /8/ ==&gt; 0</v>
      </c>
      <c r="BV54" s="236">
        <f t="shared" si="4"/>
        <v>50</v>
      </c>
      <c r="BW54" s="237" t="str">
        <f t="shared" si="5"/>
        <v>- xform/0/5/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8</v>
      </c>
      <c r="BR55" s="34" cm="1">
        <f t="array" ref="BR55" xml:space="preserve"> INDEX(注音編碼對照表BAK[字典編碼], MATCH(TRUE, EXACT('鍵盤設計 (2)'!$BO55,注音編碼對照表BAK[鍵盤按鍵]), 0))</f>
        <v>8</v>
      </c>
      <c r="BT55" s="549" t="str">
        <f t="shared" si="3"/>
        <v xml:space="preserve">    "7": { commit: "˙" }  # /8/ ==&gt; 8</v>
      </c>
      <c r="BV55" s="236">
        <f t="shared" si="4"/>
        <v>51</v>
      </c>
      <c r="BW55" s="237" t="str">
        <f t="shared" si="5"/>
        <v>- xform/8/7/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8</v>
      </c>
      <c r="BR56" s="34" cm="1">
        <f t="array" ref="BR56" xml:space="preserve"> INDEX(注音編碼對照表BAK[字典編碼], MATCH(TRUE, EXACT('鍵盤設計 (2)'!$BO56,注音編碼對照表BAK[鍵盤按鍵]), 0))</f>
        <v>8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t="str" cm="1">
        <f t="array" ref="BR57" xml:space="preserve"> INDEX(注音編碼對照表BAK[字典編碼], MATCH(TRUE, EXACT('鍵盤設計 (2)'!$BO57,注音編碼對照表BAK[鍵盤按鍵]), 0))</f>
        <v>2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t="str" cm="1">
        <f t="array" ref="BR58" xml:space="preserve"> INDEX(注音編碼對照表BAK[字典編碼], MATCH(TRUE, EXACT('鍵盤設計 (2)'!$BO58,注音編碼對照表BAK[鍵盤按鍵]), 0))</f>
        <v>3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t="str" cm="1">
        <f t="array" ref="BR59" xml:space="preserve"> INDEX(注音編碼對照表BAK[字典編碼], MATCH(TRUE, EXACT('鍵盤設計 (2)'!$BO59,注音編碼對照表BAK[鍵盤按鍵]), 0))</f>
        <v>5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8</v>
      </c>
      <c r="BR60" s="34" cm="1">
        <f t="array" ref="BR60" xml:space="preserve"> INDEX(注音編碼對照表BAK[字典編碼], MATCH(TRUE, EXACT('鍵盤設計 (2)'!$BO60,注音編碼對照表BAK[鍵盤按鍵]), 0))</f>
        <v>0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8</v>
      </c>
      <c r="BR61" s="34" cm="1">
        <f t="array" ref="BR61" xml:space="preserve"> INDEX(注音編碼對照表BAK[字典編碼], MATCH(TRUE, EXACT('鍵盤設計 (2)'!$BO61,注音編碼對照表BAK[鍵盤按鍵]), 0))</f>
        <v>8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800" t="s">
        <v>14</v>
      </c>
      <c r="C2" s="801" t="s">
        <v>386</v>
      </c>
      <c r="D2" s="802" t="s">
        <v>694</v>
      </c>
      <c r="E2" s="801" t="s">
        <v>8715</v>
      </c>
      <c r="F2" s="802" t="s">
        <v>388</v>
      </c>
      <c r="G2" s="801" t="s">
        <v>884</v>
      </c>
      <c r="H2" s="803" t="s">
        <v>17</v>
      </c>
      <c r="I2" s="804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805" t="s">
        <v>20</v>
      </c>
      <c r="D3" s="806" t="s">
        <v>21</v>
      </c>
      <c r="E3" s="805" t="str" cm="1">
        <f t="array" ref="E3">IFERROR( INDEX(鍵盤設計!$U$5:$U$61, MATCH(TRUE, EXACT(注音編碼對照表BAK[[#This Row],[方音符號]], 鍵盤設計!$Q$5:$Q$61),0)), "")</f>
        <v>聲</v>
      </c>
      <c r="F3" s="423" t="str" cm="1">
        <f t="array" ref="F3">IFERROR( INDEX(鍵盤設計!$T$5:$T$61, MATCH(TRUE, EXACT(注音編碼對照表BAK[[#This Row],[方音符號]], 鍵盤設計!$Q$5:$Q$61),0)), "")</f>
        <v>p</v>
      </c>
      <c r="G3" s="807" t="str" cm="1">
        <f t="array" ref="G3">IFERROR( INDEX(鍵盤設計!$S$5:$S$61, MATCH(TRUE, EXACT(注音編碼對照表BAK[[#This Row],[方音符號]], 鍵盤設計!$Q$5:$Q$61),0)),"")</f>
        <v>b</v>
      </c>
      <c r="H3" s="808" t="str" cm="1">
        <f t="array" ref="H3">IFERROR( INDEX(鍵盤設計!$R$5:$R$61, MATCH(TRUE, EXACT(注音編碼對照表BAK[[#This Row],[方音符號]], 鍵盤設計!$Q$5:$Q$61),0)), "")</f>
        <v>b</v>
      </c>
      <c r="I3" s="809" t="str" cm="1">
        <f t="array" ref="I3">IFERROR( INDEX(鍵盤設計!$P$5:$P$61, MATCH(TRUE, EXACT(注音編碼對照表BAK[[#This Row],[方音符號]], 鍵盤設計!$Q$5:$Q$61),0)),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鍵盤設計!$Q$5:$Q$61),0)), "")</f>
        <v>聲</v>
      </c>
      <c r="F4" s="423" t="str" cm="1">
        <f t="array" ref="F4">IFERROR( INDEX(鍵盤設計!$T$5:$T$61, MATCH(TRUE, EXACT(注音編碼對照表BAK[[#This Row],[方音符號]], 鍵盤設計!$Q$5:$Q$61),0)), "")</f>
        <v>ph</v>
      </c>
      <c r="G4" s="508" t="str" cm="1">
        <f t="array" ref="G4">IFERROR( INDEX(鍵盤設計!$S$5:$S$61, MATCH(TRUE, EXACT(注音編碼對照表BAK[[#This Row],[方音符號]], 鍵盤設計!$Q$5:$Q$61),0)),"")</f>
        <v>p</v>
      </c>
      <c r="H4" s="354" t="str" cm="1">
        <f t="array" ref="H4">IFERROR( INDEX(鍵盤設計!$R$5:$R$61, MATCH(TRUE, EXACT(注音編碼對照表BAK[[#This Row],[方音符號]], 鍵盤設計!$Q$5:$Q$61),0)), "")</f>
        <v>p</v>
      </c>
      <c r="I4" s="71" t="str" cm="1">
        <f t="array" ref="I4">IFERROR( INDEX(鍵盤設計!$P$5:$P$61, MATCH(TRUE, EXACT(注音編碼對照表BAK[[#This Row],[方音符號]], 鍵盤設計!$Q$5:$Q$61),0)),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鍵盤設計!$Q$5:$Q$61),0)), "")</f>
        <v>聲</v>
      </c>
      <c r="F5" s="423" t="str" cm="1">
        <f t="array" ref="F5">IFERROR( INDEX(鍵盤設計!$T$5:$T$61, MATCH(TRUE, EXACT(注音編碼對照表BAK[[#This Row],[方音符號]], 鍵盤設計!$Q$5:$Q$61),0)), "")</f>
        <v>b</v>
      </c>
      <c r="G5" s="508" t="str" cm="1">
        <f t="array" ref="G5">IFERROR( INDEX(鍵盤設計!$S$5:$S$61, MATCH(TRUE, EXACT(注音編碼對照表BAK[[#This Row],[方音符號]], 鍵盤設計!$Q$5:$Q$61),0)),"")</f>
        <v>bb</v>
      </c>
      <c r="H5" s="354" t="str" cm="1">
        <f t="array" ref="H5">IFERROR( INDEX(鍵盤設計!$R$5:$R$61, MATCH(TRUE, EXACT(注音編碼對照表BAK[[#This Row],[方音符號]], 鍵盤設計!$Q$5:$Q$61),0)), "")</f>
        <v>B</v>
      </c>
      <c r="I5" s="71" t="str" cm="1">
        <f t="array" ref="I5">IFERROR( INDEX(鍵盤設計!$P$5:$P$61, MATCH(TRUE, EXACT(注音編碼對照表BAK[[#This Row],[方音符號]], 鍵盤設計!$Q$5:$Q$61),0)),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鍵盤設計!$Q$5:$Q$61),0)), "")</f>
        <v>聲</v>
      </c>
      <c r="F6" s="425" t="str" cm="1">
        <f t="array" ref="F6">IFERROR( INDEX(鍵盤設計!$T$5:$T$61, MATCH(TRUE, EXACT(注音編碼對照表BAK[[#This Row],[方音符號]], 鍵盤設計!$Q$5:$Q$61),0)), "")</f>
        <v>m</v>
      </c>
      <c r="G6" s="509" t="str" cm="1">
        <f t="array" ref="G6">IFERROR( INDEX(鍵盤設計!$S$5:$S$61, MATCH(TRUE, EXACT(注音編碼對照表BAK[[#This Row],[方音符號]], 鍵盤設計!$Q$5:$Q$61),0)),"")</f>
        <v>m</v>
      </c>
      <c r="H6" s="424" t="str" cm="1">
        <f t="array" ref="H6">IFERROR( INDEX(鍵盤設計!$R$5:$R$61, MATCH(TRUE, EXACT(注音編碼對照表BAK[[#This Row],[方音符號]], 鍵盤設計!$Q$5:$Q$61),0)), "")</f>
        <v>m</v>
      </c>
      <c r="I6" s="73" t="str" cm="1">
        <f t="array" ref="I6">IFERROR( INDEX(鍵盤設計!$P$5:$P$61, MATCH(TRUE, EXACT(注音編碼對照表BAK[[#This Row],[方音符號]], 鍵盤設計!$Q$5:$Q$61),0)),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鍵盤設計!$Q$5:$Q$61),0)), "")</f>
        <v>聲</v>
      </c>
      <c r="F7" s="422" t="str" cm="1">
        <f t="array" ref="F7">IFERROR( INDEX(鍵盤設計!$T$5:$T$61, MATCH(TRUE, EXACT(注音編碼對照表BAK[[#This Row],[方音符號]], 鍵盤設計!$Q$5:$Q$61),0)), "")</f>
        <v>t</v>
      </c>
      <c r="G7" s="507" t="str" cm="1">
        <f t="array" ref="G7">IFERROR( INDEX(鍵盤設計!$S$5:$S$61, MATCH(TRUE, EXACT(注音編碼對照表BAK[[#This Row],[方音符號]], 鍵盤設計!$Q$5:$Q$61),0)),"")</f>
        <v>d</v>
      </c>
      <c r="H7" s="421" t="str" cm="1">
        <f t="array" ref="H7">IFERROR( INDEX(鍵盤設計!$R$5:$R$61, MATCH(TRUE, EXACT(注音編碼對照表BAK[[#This Row],[方音符號]], 鍵盤設計!$Q$5:$Q$61),0)), "")</f>
        <v>d</v>
      </c>
      <c r="I7" s="109" t="str" cm="1">
        <f t="array" ref="I7">IFERROR( INDEX(鍵盤設計!$P$5:$P$61, MATCH(TRUE, EXACT(注音編碼對照表BAK[[#This Row],[方音符號]], 鍵盤設計!$Q$5:$Q$61),0)),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鍵盤設計!$Q$5:$Q$61),0)), "")</f>
        <v>聲</v>
      </c>
      <c r="F8" s="423" t="str" cm="1">
        <f t="array" ref="F8">IFERROR( INDEX(鍵盤設計!$T$5:$T$61, MATCH(TRUE, EXACT(注音編碼對照表BAK[[#This Row],[方音符號]], 鍵盤設計!$Q$5:$Q$61),0)), "")</f>
        <v>th</v>
      </c>
      <c r="G8" s="508" t="str" cm="1">
        <f t="array" ref="G8">IFERROR( INDEX(鍵盤設計!$S$5:$S$61, MATCH(TRUE, EXACT(注音編碼對照表BAK[[#This Row],[方音符號]], 鍵盤設計!$Q$5:$Q$61),0)),"")</f>
        <v>t</v>
      </c>
      <c r="H8" s="354" t="str" cm="1">
        <f t="array" ref="H8">IFERROR( INDEX(鍵盤設計!$R$5:$R$61, MATCH(TRUE, EXACT(注音編碼對照表BAK[[#This Row],[方音符號]], 鍵盤設計!$Q$5:$Q$61),0)), "")</f>
        <v>t</v>
      </c>
      <c r="I8" s="71" t="str" cm="1">
        <f t="array" ref="I8">IFERROR( INDEX(鍵盤設計!$P$5:$P$61, MATCH(TRUE, EXACT(注音編碼對照表BAK[[#This Row],[方音符號]], 鍵盤設計!$Q$5:$Q$61),0)),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鍵盤設計!$Q$5:$Q$61),0)), "")</f>
        <v>聲</v>
      </c>
      <c r="F9" s="423" t="str" cm="1">
        <f t="array" ref="F9">IFERROR( INDEX(鍵盤設計!$T$5:$T$61, MATCH(TRUE, EXACT(注音編碼對照表BAK[[#This Row],[方音符號]], 鍵盤設計!$Q$5:$Q$61),0)), "")</f>
        <v>n</v>
      </c>
      <c r="G9" s="508" t="str" cm="1">
        <f t="array" ref="G9">IFERROR( INDEX(鍵盤設計!$S$5:$S$61, MATCH(TRUE, EXACT(注音編碼對照表BAK[[#This Row],[方音符號]], 鍵盤設計!$Q$5:$Q$61),0)),"")</f>
        <v>n</v>
      </c>
      <c r="H9" s="354" t="str" cm="1">
        <f t="array" ref="H9">IFERROR( INDEX(鍵盤設計!$R$5:$R$61, MATCH(TRUE, EXACT(注音編碼對照表BAK[[#This Row],[方音符號]], 鍵盤設計!$Q$5:$Q$61),0)), "")</f>
        <v>n</v>
      </c>
      <c r="I9" s="71" t="str" cm="1">
        <f t="array" ref="I9">IFERROR( INDEX(鍵盤設計!$P$5:$P$61, MATCH(TRUE, EXACT(注音編碼對照表BAK[[#This Row],[方音符號]], 鍵盤設計!$Q$5:$Q$61),0)),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鍵盤設計!$Q$5:$Q$61),0)), "")</f>
        <v>聲</v>
      </c>
      <c r="F10" s="425" t="str" cm="1">
        <f t="array" ref="F10">IFERROR( INDEX(鍵盤設計!$T$5:$T$61, MATCH(TRUE, EXACT(注音編碼對照表BAK[[#This Row],[方音符號]], 鍵盤設計!$Q$5:$Q$61),0)), "")</f>
        <v>l</v>
      </c>
      <c r="G10" s="509" t="str" cm="1">
        <f t="array" ref="G10">IFERROR( INDEX(鍵盤設計!$S$5:$S$61, MATCH(TRUE, EXACT(注音編碼對照表BAK[[#This Row],[方音符號]], 鍵盤設計!$Q$5:$Q$61),0)),"")</f>
        <v>l</v>
      </c>
      <c r="H10" s="424" t="str" cm="1">
        <f t="array" ref="H10">IFERROR( INDEX(鍵盤設計!$R$5:$R$61, MATCH(TRUE, EXACT(注音編碼對照表BAK[[#This Row],[方音符號]], 鍵盤設計!$Q$5:$Q$61),0)), "")</f>
        <v>l</v>
      </c>
      <c r="I10" s="73" t="str" cm="1">
        <f t="array" ref="I10">IFERROR( INDEX(鍵盤設計!$P$5:$P$61, MATCH(TRUE, EXACT(注音編碼對照表BAK[[#This Row],[方音符號]], 鍵盤設計!$Q$5:$Q$61),0)),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鍵盤設計!$Q$5:$Q$61),0)), "")</f>
        <v>聲</v>
      </c>
      <c r="F11" s="439" t="str" cm="1">
        <f t="array" ref="F11">IFERROR( INDEX(鍵盤設計!$T$5:$T$61, MATCH(TRUE, EXACT(注音編碼對照表BAK[[#This Row],[方音符號]], 鍵盤設計!$Q$5:$Q$61),0)), "")</f>
        <v>z</v>
      </c>
      <c r="G11" s="510" t="str" cm="1">
        <f t="array" ref="G11">IFERROR( INDEX(鍵盤設計!$S$5:$S$61, MATCH(TRUE, EXACT(注音編碼對照表BAK[[#This Row],[方音符號]], 鍵盤設計!$Q$5:$Q$61),0)),"")</f>
        <v>z</v>
      </c>
      <c r="H11" s="437" t="str" cm="1">
        <f t="array" ref="H11">IFERROR( INDEX(鍵盤設計!$R$5:$R$61, MATCH(TRUE, EXACT(注音編碼對照表BAK[[#This Row],[方音符號]], 鍵盤設計!$Q$5:$Q$61),0)), "")</f>
        <v>z</v>
      </c>
      <c r="I11" s="436" t="str" cm="1">
        <f t="array" ref="I11">IFERROR( INDEX(鍵盤設計!$P$5:$P$61, MATCH(TRUE, EXACT(注音編碼對照表BAK[[#This Row],[方音符號]], 鍵盤設計!$Q$5:$Q$61),0)),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鍵盤設計!$Q$5:$Q$61),0)), "")</f>
        <v>聲</v>
      </c>
      <c r="F12" s="443" t="str" cm="1">
        <f t="array" ref="F12">IFERROR( INDEX(鍵盤設計!$T$5:$T$61, MATCH(TRUE, EXACT(注音編碼對照表BAK[[#This Row],[方音符號]], 鍵盤設計!$Q$5:$Q$61),0)), "")</f>
        <v>c</v>
      </c>
      <c r="G12" s="511" t="str" cm="1">
        <f t="array" ref="G12">IFERROR( INDEX(鍵盤設計!$S$5:$S$61, MATCH(TRUE, EXACT(注音編碼對照表BAK[[#This Row],[方音符號]], 鍵盤設計!$Q$5:$Q$61),0)),"")</f>
        <v>c</v>
      </c>
      <c r="H12" s="441" t="str" cm="1">
        <f t="array" ref="H12">IFERROR( INDEX(鍵盤設計!$R$5:$R$61, MATCH(TRUE, EXACT(注音編碼對照表BAK[[#This Row],[方音符號]], 鍵盤設計!$Q$5:$Q$61),0)), "")</f>
        <v>c</v>
      </c>
      <c r="I12" s="440" t="str" cm="1">
        <f t="array" ref="I12">IFERROR( INDEX(鍵盤設計!$P$5:$P$61, MATCH(TRUE, EXACT(注音編碼對照表BAK[[#This Row],[方音符號]], 鍵盤設計!$Q$5:$Q$61),0)),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鍵盤設計!$Q$5:$Q$61),0)), "")</f>
        <v>聲</v>
      </c>
      <c r="F13" s="423" t="str" cm="1">
        <f t="array" ref="F13">IFERROR( INDEX(鍵盤設計!$T$5:$T$61, MATCH(TRUE, EXACT(注音編碼對照表BAK[[#This Row],[方音符號]], 鍵盤設計!$Q$5:$Q$61),0)), "")</f>
        <v>j</v>
      </c>
      <c r="G13" s="508" t="str" cm="1">
        <f t="array" ref="G13">IFERROR( INDEX(鍵盤設計!$S$5:$S$61, MATCH(TRUE, EXACT(注音編碼對照表BAK[[#This Row],[方音符號]], 鍵盤設計!$Q$5:$Q$61),0)),"")</f>
        <v>zz</v>
      </c>
      <c r="H13" s="354" t="str" cm="1">
        <f t="array" ref="H13">IFERROR( INDEX(鍵盤設計!$R$5:$R$61, MATCH(TRUE, EXACT(注音編碼對照表BAK[[#This Row],[方音符號]], 鍵盤設計!$Q$5:$Q$61),0)), "")</f>
        <v>Z</v>
      </c>
      <c r="I13" s="71" t="str" cm="1">
        <f t="array" ref="I13">IFERROR( INDEX(鍵盤設計!$P$5:$P$61, MATCH(TRUE, EXACT(注音編碼對照表BAK[[#This Row],[方音符號]], 鍵盤設計!$Q$5:$Q$61),0)),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鍵盤設計!$Q$5:$Q$61),0)), "")</f>
        <v>聲</v>
      </c>
      <c r="F14" s="447" t="str" cm="1">
        <f t="array" ref="F14">IFERROR( INDEX(鍵盤設計!$T$5:$T$61, MATCH(TRUE, EXACT(注音編碼對照表BAK[[#This Row],[方音符號]], 鍵盤設計!$Q$5:$Q$61),0)), "")</f>
        <v>s</v>
      </c>
      <c r="G14" s="512" t="str" cm="1">
        <f t="array" ref="G14">IFERROR( INDEX(鍵盤設計!$S$5:$S$61, MATCH(TRUE, EXACT(注音編碼對照表BAK[[#This Row],[方音符號]], 鍵盤設計!$Q$5:$Q$61),0)),"")</f>
        <v>s</v>
      </c>
      <c r="H14" s="445" t="str" cm="1">
        <f t="array" ref="H14">IFERROR( INDEX(鍵盤設計!$R$5:$R$61, MATCH(TRUE, EXACT(注音編碼對照表BAK[[#This Row],[方音符號]], 鍵盤設計!$Q$5:$Q$61),0)), "")</f>
        <v>s</v>
      </c>
      <c r="I14" s="444" t="str" cm="1">
        <f t="array" ref="I14">IFERROR( INDEX(鍵盤設計!$P$5:$P$61, MATCH(TRUE, EXACT(注音編碼對照表BAK[[#This Row],[方音符號]], 鍵盤設計!$Q$5:$Q$61),0)),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鍵盤設計!$Q$5:$Q$61),0)), "")</f>
        <v>聲</v>
      </c>
      <c r="F15" s="423" t="str" cm="1">
        <f t="array" ref="F15">IFERROR( INDEX(鍵盤設計!$T$5:$T$61, MATCH(TRUE, EXACT(注音編碼對照表BAK[[#This Row],[方音符號]], 鍵盤設計!$Q$5:$Q$61),0)), "")</f>
        <v>zi</v>
      </c>
      <c r="G15" s="539" t="str" cm="1">
        <f t="array" ref="G15">IFERROR( INDEX(鍵盤設計!$S$5:$S$61, MATCH(TRUE, EXACT(注音編碼對照表BAK[[#This Row],[方音符號]], 鍵盤設計!$Q$5:$Q$61),0)),"")</f>
        <v>j</v>
      </c>
      <c r="H15" s="354" t="str" cm="1">
        <f t="array" ref="H15">IFERROR( INDEX(鍵盤設計!$R$5:$R$61, MATCH(TRUE, EXACT(注音編碼對照表BAK[[#This Row],[方音符號]], 鍵盤設計!$Q$5:$Q$61),0)), "")</f>
        <v>j</v>
      </c>
      <c r="I15" s="71" t="str" cm="1">
        <f t="array" ref="I15">IFERROR( INDEX(鍵盤設計!$P$5:$P$61, MATCH(TRUE, EXACT(注音編碼對照表BAK[[#This Row],[方音符號]], 鍵盤設計!$Q$5:$Q$61),0)),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鍵盤設計!$Q$5:$Q$61),0)), "")</f>
        <v>聲</v>
      </c>
      <c r="F16" s="423" t="str" cm="1">
        <f t="array" ref="F16">IFERROR( INDEX(鍵盤設計!$T$5:$T$61, MATCH(TRUE, EXACT(注音編碼對照表BAK[[#This Row],[方音符號]], 鍵盤設計!$Q$5:$Q$61),0)), "")</f>
        <v>ci</v>
      </c>
      <c r="G16" s="539" t="str" cm="1">
        <f t="array" ref="G16">IFERROR( INDEX(鍵盤設計!$S$5:$S$61, MATCH(TRUE, EXACT(注音編碼對照表BAK[[#This Row],[方音符號]], 鍵盤設計!$Q$5:$Q$61),0)),"")</f>
        <v>ch</v>
      </c>
      <c r="H16" s="354" t="str" cm="1">
        <f t="array" ref="H16">IFERROR( INDEX(鍵盤設計!$R$5:$R$61, MATCH(TRUE, EXACT(注音編碼對照表BAK[[#This Row],[方音符號]], 鍵盤設計!$Q$5:$Q$61),0)), "")</f>
        <v>C</v>
      </c>
      <c r="I16" s="71" t="str" cm="1">
        <f t="array" ref="I16">IFERROR( INDEX(鍵盤設計!$P$5:$P$61, MATCH(TRUE, EXACT(注音編碼對照表BAK[[#This Row],[方音符號]], 鍵盤設計!$Q$5:$Q$61),0)),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鍵盤設計!$Q$5:$Q$61),0)), "")</f>
        <v>聲</v>
      </c>
      <c r="F17" s="423" t="str" cm="1">
        <f t="array" ref="F17">IFERROR( INDEX(鍵盤設計!$T$5:$T$61, MATCH(TRUE, EXACT(注音編碼對照表BAK[[#This Row],[方音符號]], 鍵盤設計!$Q$5:$Q$61),0)), "")</f>
        <v>ji</v>
      </c>
      <c r="G17" s="539" t="str" cm="1">
        <f t="array" ref="G17">IFERROR( INDEX(鍵盤設計!$S$5:$S$61, MATCH(TRUE, EXACT(注音編碼對照表BAK[[#This Row],[方音符號]], 鍵盤設計!$Q$5:$Q$61),0)),"")</f>
        <v>jj</v>
      </c>
      <c r="H17" s="354" t="str" cm="1">
        <f t="array" ref="H17">IFERROR( INDEX(鍵盤設計!$R$5:$R$61, MATCH(TRUE, EXACT(注音編碼對照表BAK[[#This Row],[方音符號]], 鍵盤設計!$Q$5:$Q$61),0)), "")</f>
        <v>J</v>
      </c>
      <c r="I17" s="71" t="str" cm="1">
        <f t="array" ref="I17">IFERROR( INDEX(鍵盤設計!$P$5:$P$61, MATCH(TRUE, EXACT(注音編碼對照表BAK[[#This Row],[方音符號]], 鍵盤設計!$Q$5:$Q$61),0)),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鍵盤設計!$Q$5:$Q$61),0)), "")</f>
        <v>聲</v>
      </c>
      <c r="F18" s="423" t="str" cm="1">
        <f t="array" ref="F18">IFERROR( INDEX(鍵盤設計!$T$5:$T$61, MATCH(TRUE, EXACT(注音編碼對照表BAK[[#This Row],[方音符號]], 鍵盤設計!$Q$5:$Q$61),0)), "")</f>
        <v>si</v>
      </c>
      <c r="G18" s="539" t="str" cm="1">
        <f t="array" ref="G18">IFERROR( INDEX(鍵盤設計!$S$5:$S$61, MATCH(TRUE, EXACT(注音編碼對照表BAK[[#This Row],[方音符號]], 鍵盤設計!$Q$5:$Q$61),0)),"")</f>
        <v>sh</v>
      </c>
      <c r="H18" s="354" t="str" cm="1">
        <f t="array" ref="H18">IFERROR( INDEX(鍵盤設計!$R$5:$R$61, MATCH(TRUE, EXACT(注音編碼對照表BAK[[#This Row],[方音符號]], 鍵盤設計!$Q$5:$Q$61),0)), "")</f>
        <v>S</v>
      </c>
      <c r="I18" s="71" t="str" cm="1">
        <f t="array" ref="I18">IFERROR( INDEX(鍵盤設計!$P$5:$P$61, MATCH(TRUE, EXACT(注音編碼對照表BAK[[#This Row],[方音符號]], 鍵盤設計!$Q$5:$Q$61),0)),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鍵盤設計!$Q$5:$Q$61),0)), "")</f>
        <v>聲</v>
      </c>
      <c r="F19" s="422" t="str" cm="1">
        <f t="array" ref="F19">IFERROR( INDEX(鍵盤設計!$T$5:$T$61, MATCH(TRUE, EXACT(注音編碼對照表BAK[[#This Row],[方音符號]], 鍵盤設計!$Q$5:$Q$61),0)), "")</f>
        <v>k</v>
      </c>
      <c r="G19" s="507" t="str" cm="1">
        <f t="array" ref="G19">IFERROR( INDEX(鍵盤設計!$S$5:$S$61, MATCH(TRUE, EXACT(注音編碼對照表BAK[[#This Row],[方音符號]], 鍵盤設計!$Q$5:$Q$61),0)),"")</f>
        <v>g</v>
      </c>
      <c r="H19" s="421" t="str" cm="1">
        <f t="array" ref="H19">IFERROR( INDEX(鍵盤設計!$R$5:$R$61, MATCH(TRUE, EXACT(注音編碼對照表BAK[[#This Row],[方音符號]], 鍵盤設計!$Q$5:$Q$61),0)), "")</f>
        <v>g</v>
      </c>
      <c r="I19" s="109" t="str" cm="1">
        <f t="array" ref="I19">IFERROR( INDEX(鍵盤設計!$P$5:$P$61, MATCH(TRUE, EXACT(注音編碼對照表BAK[[#This Row],[方音符號]], 鍵盤設計!$Q$5:$Q$61),0)),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鍵盤設計!$Q$5:$Q$61),0)), "")</f>
        <v>聲</v>
      </c>
      <c r="F20" s="423" t="str" cm="1">
        <f t="array" ref="F20">IFERROR( INDEX(鍵盤設計!$T$5:$T$61, MATCH(TRUE, EXACT(注音編碼對照表BAK[[#This Row],[方音符號]], 鍵盤設計!$Q$5:$Q$61),0)), "")</f>
        <v>kh</v>
      </c>
      <c r="G20" s="508" t="str" cm="1">
        <f t="array" ref="G20">IFERROR( INDEX(鍵盤設計!$S$5:$S$61, MATCH(TRUE, EXACT(注音編碼對照表BAK[[#This Row],[方音符號]], 鍵盤設計!$Q$5:$Q$61),0)),"")</f>
        <v>k</v>
      </c>
      <c r="H20" s="354" t="str" cm="1">
        <f t="array" ref="H20">IFERROR( INDEX(鍵盤設計!$R$5:$R$61, MATCH(TRUE, EXACT(注音編碼對照表BAK[[#This Row],[方音符號]], 鍵盤設計!$Q$5:$Q$61),0)), "")</f>
        <v>k</v>
      </c>
      <c r="I20" s="71" t="str" cm="1">
        <f t="array" ref="I20">IFERROR( INDEX(鍵盤設計!$P$5:$P$61, MATCH(TRUE, EXACT(注音編碼對照表BAK[[#This Row],[方音符號]], 鍵盤設計!$Q$5:$Q$61),0)),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鍵盤設計!$Q$5:$Q$61),0)), "")</f>
        <v>聲</v>
      </c>
      <c r="F21" s="423" t="str" cm="1">
        <f t="array" ref="F21">IFERROR( INDEX(鍵盤設計!$T$5:$T$61, MATCH(TRUE, EXACT(注音編碼對照表BAK[[#This Row],[方音符號]], 鍵盤設計!$Q$5:$Q$61),0)), "")</f>
        <v>g</v>
      </c>
      <c r="G21" s="508" t="str" cm="1">
        <f t="array" ref="G21">IFERROR( INDEX(鍵盤設計!$S$5:$S$61, MATCH(TRUE, EXACT(注音編碼對照表BAK[[#This Row],[方音符號]], 鍵盤設計!$Q$5:$Q$61),0)),"")</f>
        <v>gg</v>
      </c>
      <c r="H21" s="354" t="str" cm="1">
        <f t="array" ref="H21">IFERROR( INDEX(鍵盤設計!$R$5:$R$61, MATCH(TRUE, EXACT(注音編碼對照表BAK[[#This Row],[方音符號]], 鍵盤設計!$Q$5:$Q$61),0)), "")</f>
        <v>G</v>
      </c>
      <c r="I21" s="71" t="str" cm="1">
        <f t="array" ref="I21">IFERROR( INDEX(鍵盤設計!$P$5:$P$61, MATCH(TRUE, EXACT(注音編碼對照表BAK[[#This Row],[方音符號]], 鍵盤設計!$Q$5:$Q$61),0)),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鍵盤設計!$Q$5:$Q$61),0)), "")</f>
        <v>聲</v>
      </c>
      <c r="F22" s="447" t="str" cm="1">
        <f t="array" ref="F22">IFERROR( INDEX(鍵盤設計!$T$5:$T$61, MATCH(TRUE, EXACT(注音編碼對照表BAK[[#This Row],[方音符號]], 鍵盤設計!$Q$5:$Q$61),0)), "")</f>
        <v>ng</v>
      </c>
      <c r="G22" s="512" t="str" cm="1">
        <f t="array" ref="G22">IFERROR( INDEX(鍵盤設計!$S$5:$S$61, MATCH(TRUE, EXACT(注音編碼對照表BAK[[#This Row],[方音符號]], 鍵盤設計!$Q$5:$Q$61),0)),"")</f>
        <v>ng</v>
      </c>
      <c r="H22" s="445" t="str" cm="1">
        <f t="array" ref="H22">IFERROR( INDEX(鍵盤設計!$R$5:$R$61, MATCH(TRUE, EXACT(注音編碼對照表BAK[[#This Row],[方音符號]], 鍵盤設計!$Q$5:$Q$61),0)), "")</f>
        <v>w</v>
      </c>
      <c r="I22" s="444" t="str" cm="1">
        <f t="array" ref="I22">IFERROR( INDEX(鍵盤設計!$P$5:$P$61, MATCH(TRUE, EXACT(注音編碼對照表BAK[[#This Row],[方音符號]], 鍵盤設計!$Q$5:$Q$61),0)),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鍵盤設計!$Q$5:$Q$61),0)), "")</f>
        <v>聲</v>
      </c>
      <c r="F23" s="425" t="str" cm="1">
        <f t="array" ref="F23">IFERROR( INDEX(鍵盤設計!$T$5:$T$61, MATCH(TRUE, EXACT(注音編碼對照表BAK[[#This Row],[方音符號]], 鍵盤設計!$Q$5:$Q$61),0)), "")</f>
        <v>h</v>
      </c>
      <c r="G23" s="509" t="str" cm="1">
        <f t="array" ref="G23">IFERROR( INDEX(鍵盤設計!$S$5:$S$61, MATCH(TRUE, EXACT(注音編碼對照表BAK[[#This Row],[方音符號]], 鍵盤設計!$Q$5:$Q$61),0)),"")</f>
        <v>h</v>
      </c>
      <c r="H23" s="424" t="str" cm="1">
        <f t="array" ref="H23">IFERROR( INDEX(鍵盤設計!$R$5:$R$61, MATCH(TRUE, EXACT(注音編碼對照表BAK[[#This Row],[方音符號]], 鍵盤設計!$Q$5:$Q$61),0)), "")</f>
        <v>h</v>
      </c>
      <c r="I23" s="73" t="str" cm="1">
        <f t="array" ref="I23">IFERROR( INDEX(鍵盤設計!$P$5:$P$61, MATCH(TRUE, EXACT(注音編碼對照表BAK[[#This Row],[方音符號]], 鍵盤設計!$Q$5:$Q$61),0)),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鍵盤設計!$Q$5:$Q$61),0)), "")</f>
        <v>韻</v>
      </c>
      <c r="F24" s="439" t="str" cm="1">
        <f t="array" ref="F24">IFERROR( INDEX(鍵盤設計!$T$5:$T$61, MATCH(TRUE, EXACT(注音編碼對照表BAK[[#This Row],[方音符號]], 鍵盤設計!$Q$5:$Q$61),0)), "")</f>
        <v>i</v>
      </c>
      <c r="G24" s="510" t="str" cm="1">
        <f t="array" ref="G24">IFERROR( INDEX(鍵盤設計!$S$5:$S$61, MATCH(TRUE, EXACT(注音編碼對照表BAK[[#This Row],[方音符號]], 鍵盤設計!$Q$5:$Q$61),0)),"")</f>
        <v>i</v>
      </c>
      <c r="H24" s="437" t="str" cm="1">
        <f t="array" ref="H24">IFERROR( INDEX(鍵盤設計!$R$5:$R$61, MATCH(TRUE, EXACT(注音編碼對照表BAK[[#This Row],[方音符號]], 鍵盤設計!$Q$5:$Q$61),0)), "")</f>
        <v>i</v>
      </c>
      <c r="I24" s="436" t="str" cm="1">
        <f t="array" ref="I24">IFERROR( INDEX(鍵盤設計!$P$5:$P$61, MATCH(TRUE, EXACT(注音編碼對照表BAK[[#This Row],[方音符號]], 鍵盤設計!$Q$5:$Q$61),0)),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鍵盤設計!$Q$5:$Q$61),0)), "")</f>
        <v>韻</v>
      </c>
      <c r="F25" s="423" t="str" cm="1">
        <f t="array" ref="F25">IFERROR( INDEX(鍵盤設計!$T$5:$T$61, MATCH(TRUE, EXACT(注音編碼對照表BAK[[#This Row],[方音符號]], 鍵盤設計!$Q$5:$Q$61),0)), "")</f>
        <v>inn</v>
      </c>
      <c r="G25" s="508" t="str" cm="1">
        <f t="array" ref="G25">IFERROR( INDEX(鍵盤設計!$S$5:$S$61, MATCH(TRUE, EXACT(注音編碼對照表BAK[[#This Row],[方音符號]], 鍵盤設計!$Q$5:$Q$61),0)),"")</f>
        <v>inn</v>
      </c>
      <c r="H25" s="354" t="str" cm="1">
        <f t="array" ref="H25">IFERROR( INDEX(鍵盤設計!$R$5:$R$61, MATCH(TRUE, EXACT(注音編碼對照表BAK[[#This Row],[方音符號]], 鍵盤設計!$Q$5:$Q$61),0)), "")</f>
        <v>I</v>
      </c>
      <c r="I25" s="71" t="str" cm="1">
        <f t="array" ref="I25">IFERROR( INDEX(鍵盤設計!$P$5:$P$61, MATCH(TRUE, EXACT(注音編碼對照表BAK[[#This Row],[方音符號]], 鍵盤設計!$Q$5:$Q$61),0)),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鍵盤設計!$Q$5:$Q$61),0)), "")</f>
        <v>韻</v>
      </c>
      <c r="F26" s="443" t="str" cm="1">
        <f t="array" ref="F26">IFERROR( INDEX(鍵盤設計!$T$5:$T$61, MATCH(TRUE, EXACT(注音編碼對照表BAK[[#This Row],[方音符號]], 鍵盤設計!$Q$5:$Q$61),0)), "")</f>
        <v>u</v>
      </c>
      <c r="G26" s="511" t="str" cm="1">
        <f t="array" ref="G26">IFERROR( INDEX(鍵盤設計!$S$5:$S$61, MATCH(TRUE, EXACT(注音編碼對照表BAK[[#This Row],[方音符號]], 鍵盤設計!$Q$5:$Q$61),0)),"")</f>
        <v>u</v>
      </c>
      <c r="H26" s="441" t="str" cm="1">
        <f t="array" ref="H26">IFERROR( INDEX(鍵盤設計!$R$5:$R$61, MATCH(TRUE, EXACT(注音編碼對照表BAK[[#This Row],[方音符號]], 鍵盤設計!$Q$5:$Q$61),0)), "")</f>
        <v>u</v>
      </c>
      <c r="I26" s="440" t="str" cm="1">
        <f t="array" ref="I26">IFERROR( INDEX(鍵盤設計!$P$5:$P$61, MATCH(TRUE, EXACT(注音編碼對照表BAK[[#This Row],[方音符號]], 鍵盤設計!$Q$5:$Q$61),0)),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鍵盤設計!$Q$5:$Q$61),0)), "")</f>
        <v>韻</v>
      </c>
      <c r="F27" s="447" t="str" cm="1">
        <f t="array" ref="F27">IFERROR( INDEX(鍵盤設計!$T$5:$T$61, MATCH(TRUE, EXACT(注音編碼對照表BAK[[#This Row],[方音符號]], 鍵盤設計!$Q$5:$Q$61),0)), "")</f>
        <v>unn</v>
      </c>
      <c r="G27" s="512" t="str" cm="1">
        <f t="array" ref="G27">IFERROR( INDEX(鍵盤設計!$S$5:$S$61, MATCH(TRUE, EXACT(注音編碼對照表BAK[[#This Row],[方音符號]], 鍵盤設計!$Q$5:$Q$61),0)),"")</f>
        <v>unn</v>
      </c>
      <c r="H27" s="445" t="str" cm="1">
        <f t="array" ref="H27">IFERROR( INDEX(鍵盤設計!$R$5:$R$61, MATCH(TRUE, EXACT(注音編碼對照表BAK[[#This Row],[方音符號]], 鍵盤設計!$Q$5:$Q$61),0)), "")</f>
        <v>U</v>
      </c>
      <c r="I27" s="444" t="str" cm="1">
        <f t="array" ref="I27">IFERROR( INDEX(鍵盤設計!$P$5:$P$61, MATCH(TRUE, EXACT(注音編碼對照表BAK[[#This Row],[方音符號]], 鍵盤設計!$Q$5:$Q$61),0)),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鍵盤設計!$Q$5:$Q$61),0)), "")</f>
        <v>韻</v>
      </c>
      <c r="F28" s="422" t="str" cm="1">
        <f t="array" ref="F28">IFERROR( INDEX(鍵盤設計!$T$5:$T$61, MATCH(TRUE, EXACT(注音編碼對照表BAK[[#This Row],[方音符號]], 鍵盤設計!$Q$5:$Q$61),0)), "")</f>
        <v>a</v>
      </c>
      <c r="G28" s="507" t="str" cm="1">
        <f t="array" ref="G28">IFERROR( INDEX(鍵盤設計!$S$5:$S$61, MATCH(TRUE, EXACT(注音編碼對照表BAK[[#This Row],[方音符號]], 鍵盤設計!$Q$5:$Q$61),0)),"")</f>
        <v>a</v>
      </c>
      <c r="H28" s="421" t="str" cm="1">
        <f t="array" ref="H28">IFERROR( INDEX(鍵盤設計!$R$5:$R$61, MATCH(TRUE, EXACT(注音編碼對照表BAK[[#This Row],[方音符號]], 鍵盤設計!$Q$5:$Q$61),0)), "")</f>
        <v>a</v>
      </c>
      <c r="I28" s="109" t="str" cm="1">
        <f t="array" ref="I28">IFERROR( INDEX(鍵盤設計!$P$5:$P$61, MATCH(TRUE, EXACT(注音編碼對照表BAK[[#This Row],[方音符號]], 鍵盤設計!$Q$5:$Q$61),0)),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鍵盤設計!$Q$5:$Q$61),0)), "")</f>
        <v>韻</v>
      </c>
      <c r="F29" s="379" t="str" cm="1">
        <f t="array" ref="F29">IFERROR( INDEX(鍵盤設計!$T$5:$T$61, MATCH(TRUE, EXACT(注音編碼對照表BAK[[#This Row],[方音符號]], 鍵盤設計!$Q$5:$Q$61),0)), "")</f>
        <v>ann</v>
      </c>
      <c r="G29" s="508" t="str" cm="1">
        <f t="array" ref="G29">IFERROR( INDEX(鍵盤設計!$S$5:$S$61, MATCH(TRUE, EXACT(注音編碼對照表BAK[[#This Row],[方音符號]], 鍵盤設計!$Q$5:$Q$61),0)),"")</f>
        <v>ann</v>
      </c>
      <c r="H29" s="354" t="str" cm="1">
        <f t="array" ref="H29">IFERROR( INDEX(鍵盤設計!$R$5:$R$61, MATCH(TRUE, EXACT(注音編碼對照表BAK[[#This Row],[方音符號]], 鍵盤設計!$Q$5:$Q$61),0)), "")</f>
        <v>A</v>
      </c>
      <c r="I29" s="71" t="str" cm="1">
        <f t="array" ref="I29">IFERROR( INDEX(鍵盤設計!$P$5:$P$61, MATCH(TRUE, EXACT(注音編碼對照表BAK[[#This Row],[方音符號]], 鍵盤設計!$Q$5:$Q$61),0)),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鍵盤設計!$Q$5:$Q$61),0)), "")</f>
        <v>韻</v>
      </c>
      <c r="F30" s="423" t="str" cm="1">
        <f t="array" ref="F30">IFERROR( INDEX(鍵盤設計!$T$5:$T$61, MATCH(TRUE, EXACT(注音編碼對照表BAK[[#This Row],[方音符號]], 鍵盤設計!$Q$5:$Q$61),0)), "")</f>
        <v>oo</v>
      </c>
      <c r="G30" s="508" t="str" cm="1">
        <f t="array" ref="G30">IFERROR( INDEX(鍵盤設計!$S$5:$S$61, MATCH(TRUE, EXACT(注音編碼對照表BAK[[#This Row],[方音符號]], 鍵盤設計!$Q$5:$Q$61),0)),"")</f>
        <v>oo</v>
      </c>
      <c r="H30" s="354" t="str" cm="1">
        <f t="array" ref="H30">IFERROR( INDEX(鍵盤設計!$R$5:$R$61, MATCH(TRUE, EXACT(注音編碼對照表BAK[[#This Row],[方音符號]], 鍵盤設計!$Q$5:$Q$61),0)), "")</f>
        <v>O</v>
      </c>
      <c r="I30" s="71" t="str" cm="1">
        <f t="array" ref="I30">IFERROR( INDEX(鍵盤設計!$P$5:$P$61, MATCH(TRUE, EXACT(注音編碼對照表BAK[[#This Row],[方音符號]], 鍵盤設計!$Q$5:$Q$61),0)),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鍵盤設計!$Q$5:$Q$61),0)), "")</f>
        <v>韻</v>
      </c>
      <c r="F31" s="379" t="str" cm="1">
        <f t="array" ref="F31">IFERROR( INDEX(鍵盤設計!$T$5:$T$61, MATCH(TRUE, EXACT(注音編碼對照表BAK[[#This Row],[方音符號]], 鍵盤設計!$Q$5:$Q$61),0)), "")</f>
        <v>onn</v>
      </c>
      <c r="G31" s="508" t="str" cm="1">
        <f t="array" ref="G31">IFERROR( INDEX(鍵盤設計!$S$5:$S$61, MATCH(TRUE, EXACT(注音編碼對照表BAK[[#This Row],[方音符號]], 鍵盤設計!$Q$5:$Q$61),0)),"")</f>
        <v>oonn</v>
      </c>
      <c r="H31" s="354" t="str" cm="1">
        <f t="array" ref="H31">IFERROR( INDEX(鍵盤設計!$R$5:$R$61, MATCH(TRUE, EXACT(注音編碼對照表BAK[[#This Row],[方音符號]], 鍵盤設計!$Q$5:$Q$61),0)), "")</f>
        <v>Q</v>
      </c>
      <c r="I31" s="71" t="str" cm="1">
        <f t="array" ref="I31">IFERROR( INDEX(鍵盤設計!$P$5:$P$61, MATCH(TRUE, EXACT(注音編碼對照表BAK[[#This Row],[方音符號]], 鍵盤設計!$Q$5:$Q$61),0)),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鍵盤設計!$Q$5:$Q$61),0)), "")</f>
        <v>韻</v>
      </c>
      <c r="F32" s="423" t="str" cm="1">
        <f t="array" ref="F32">IFERROR( INDEX(鍵盤設計!$T$5:$T$61, MATCH(TRUE, EXACT(注音編碼對照表BAK[[#This Row],[方音符號]], 鍵盤設計!$Q$5:$Q$61),0)), "")</f>
        <v>o</v>
      </c>
      <c r="G32" s="508" t="str" cm="1">
        <f t="array" ref="G32">IFERROR( INDEX(鍵盤設計!$S$5:$S$61, MATCH(TRUE, EXACT(注音編碼對照表BAK[[#This Row],[方音符號]], 鍵盤設計!$Q$5:$Q$61),0)),"")</f>
        <v>or</v>
      </c>
      <c r="H32" s="354" t="str" cm="1">
        <f t="array" ref="H32">IFERROR( INDEX(鍵盤設計!$R$5:$R$61, MATCH(TRUE, EXACT(注音編碼對照表BAK[[#This Row],[方音符號]], 鍵盤設計!$Q$5:$Q$61),0)), "")</f>
        <v>o</v>
      </c>
      <c r="I32" s="71" t="str" cm="1">
        <f t="array" ref="I32">IFERROR( INDEX(鍵盤設計!$P$5:$P$61, MATCH(TRUE, EXACT(注音編碼對照表BAK[[#This Row],[方音符號]], 鍵盤設計!$Q$5:$Q$61),0)),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鍵盤設計!$Q$5:$Q$61),0)), "")</f>
        <v>韻</v>
      </c>
      <c r="F33" s="451" t="str" cm="1">
        <f t="array" ref="F33">IFERROR( INDEX(鍵盤設計!$T$5:$T$61, MATCH(TRUE, EXACT(注音編碼對照表BAK[[#This Row],[方音符號]], 鍵盤設計!$Q$5:$Q$61),0)), "")</f>
        <v>e</v>
      </c>
      <c r="G33" s="513" t="str" cm="1">
        <f t="array" ref="G33">IFERROR( INDEX(鍵盤設計!$S$5:$S$61, MATCH(TRUE, EXACT(注音編碼對照表BAK[[#This Row],[方音符號]], 鍵盤設計!$Q$5:$Q$61),0)),"")</f>
        <v>e</v>
      </c>
      <c r="H33" s="449" t="str" cm="1">
        <f t="array" ref="H33">IFERROR( INDEX(鍵盤設計!$R$5:$R$61, MATCH(TRUE, EXACT(注音編碼對照表BAK[[#This Row],[方音符號]], 鍵盤設計!$Q$5:$Q$61),0)), "")</f>
        <v>e</v>
      </c>
      <c r="I33" s="448" t="str" cm="1">
        <f t="array" ref="I33">IFERROR( INDEX(鍵盤設計!$P$5:$P$61, MATCH(TRUE, EXACT(注音編碼對照表BAK[[#This Row],[方音符號]], 鍵盤設計!$Q$5:$Q$61),0)),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鍵盤設計!$Q$5:$Q$61),0)), "")</f>
        <v>韻</v>
      </c>
      <c r="F34" s="379" t="str" cm="1">
        <f t="array" ref="F34">IFERROR( INDEX(鍵盤設計!$T$5:$T$61, MATCH(TRUE, EXACT(注音編碼對照表BAK[[#This Row],[方音符號]], 鍵盤設計!$Q$5:$Q$61),0)), "")</f>
        <v>enn</v>
      </c>
      <c r="G34" s="508" t="str" cm="1">
        <f t="array" ref="G34">IFERROR( INDEX(鍵盤設計!$S$5:$S$61, MATCH(TRUE, EXACT(注音編碼對照表BAK[[#This Row],[方音符號]], 鍵盤設計!$Q$5:$Q$61),0)),"")</f>
        <v>enn</v>
      </c>
      <c r="H34" s="354" t="str" cm="1">
        <f t="array" ref="H34">IFERROR( INDEX(鍵盤設計!$R$5:$R$61, MATCH(TRUE, EXACT(注音編碼對照表BAK[[#This Row],[方音符號]], 鍵盤設計!$Q$5:$Q$61),0)), "")</f>
        <v>E</v>
      </c>
      <c r="I34" s="71" t="str" cm="1">
        <f t="array" ref="I34">IFERROR( INDEX(鍵盤設計!$P$5:$P$61, MATCH(TRUE, EXACT(注音編碼對照表BAK[[#This Row],[方音符號]], 鍵盤設計!$Q$5:$Q$61),0)),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鍵盤設計!$Q$5:$Q$61),0)), "")</f>
        <v>韻</v>
      </c>
      <c r="F35" s="383" t="str" cm="1">
        <f t="array" ref="F35">IFERROR( INDEX(鍵盤設計!$T$5:$T$61, MATCH(TRUE, EXACT(注音編碼對照表BAK[[#This Row],[方音符號]], 鍵盤設計!$Q$5:$Q$61),0)), "")</f>
        <v>ai</v>
      </c>
      <c r="G35" s="514" t="str" cm="1">
        <f t="array" ref="G35">IFERROR( INDEX(鍵盤設計!$S$5:$S$61, MATCH(TRUE, EXACT(注音編碼對照表BAK[[#This Row],[方音符號]], 鍵盤設計!$Q$5:$Q$61),0)),"")</f>
        <v>ai</v>
      </c>
      <c r="H35" s="354" t="str" cm="1">
        <f t="array" ref="H35">IFERROR( INDEX(鍵盤設計!$R$5:$R$61, MATCH(TRUE, EXACT(注音編碼對照表BAK[[#This Row],[方音符號]], 鍵盤設計!$Q$5:$Q$61),0)), "")</f>
        <v>x</v>
      </c>
      <c r="I35" s="381" t="str" cm="1">
        <f t="array" ref="I35">IFERROR( INDEX(鍵盤設計!$P$5:$P$61, MATCH(TRUE, EXACT(注音編碼對照表BAK[[#This Row],[方音符號]], 鍵盤設計!$Q$5:$Q$61),0)),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鍵盤設計!$Q$5:$Q$61),0)), "")</f>
        <v>韻</v>
      </c>
      <c r="F36" s="379" t="str" cm="1">
        <f t="array" ref="F36">IFERROR( INDEX(鍵盤設計!$T$5:$T$61, MATCH(TRUE, EXACT(注音編碼對照表BAK[[#This Row],[方音符號]], 鍵盤設計!$Q$5:$Q$61),0)), "")</f>
        <v>ainn</v>
      </c>
      <c r="G36" s="508" t="str" cm="1">
        <f t="array" ref="G36">IFERROR( INDEX(鍵盤設計!$S$5:$S$61, MATCH(TRUE, EXACT(注音編碼對照表BAK[[#This Row],[方音符號]], 鍵盤設計!$Q$5:$Q$61),0)),"")</f>
        <v>ainn</v>
      </c>
      <c r="H36" s="354" t="str" cm="1">
        <f t="array" ref="H36">IFERROR( INDEX(鍵盤設計!$R$5:$R$61, MATCH(TRUE, EXACT(注音編碼對照表BAK[[#This Row],[方音符號]], 鍵盤設計!$Q$5:$Q$61),0)), "")</f>
        <v>X</v>
      </c>
      <c r="I36" s="71" t="str" cm="1">
        <f t="array" ref="I36">IFERROR( INDEX(鍵盤設計!$P$5:$P$61, MATCH(TRUE, EXACT(注音編碼對照表BAK[[#This Row],[方音符號]], 鍵盤設計!$Q$5:$Q$61),0)),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鍵盤設計!$Q$5:$Q$61),0)), "")</f>
        <v>韻</v>
      </c>
      <c r="F37" s="379" t="str" cm="1">
        <f t="array" ref="F37">IFERROR( INDEX(鍵盤設計!$T$5:$T$61, MATCH(TRUE, EXACT(注音編碼對照表BAK[[#This Row],[方音符號]], 鍵盤設計!$Q$5:$Q$61),0)), "")</f>
        <v>au</v>
      </c>
      <c r="G37" s="508" t="str" cm="1">
        <f t="array" ref="G37">IFERROR( INDEX(鍵盤設計!$S$5:$S$61, MATCH(TRUE, EXACT(注音編碼對照表BAK[[#This Row],[方音符號]], 鍵盤設計!$Q$5:$Q$61),0)),"")</f>
        <v>au</v>
      </c>
      <c r="H37" s="354" t="str" cm="1">
        <f t="array" ref="H37">IFERROR( INDEX(鍵盤設計!$R$5:$R$61, MATCH(TRUE, EXACT(注音編碼對照表BAK[[#This Row],[方音符號]], 鍵盤設計!$Q$5:$Q$61),0)), "")</f>
        <v>y</v>
      </c>
      <c r="I37" s="71" t="str" cm="1">
        <f t="array" ref="I37">IFERROR( INDEX(鍵盤設計!$P$5:$P$61, MATCH(TRUE, EXACT(注音編碼對照表BAK[[#This Row],[方音符號]], 鍵盤設計!$Q$5:$Q$61),0)),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鍵盤設計!$Q$5:$Q$61),0)), "")</f>
        <v>韻</v>
      </c>
      <c r="F38" s="379" t="str" cm="1">
        <f t="array" ref="F38">IFERROR( INDEX(鍵盤設計!$T$5:$T$61, MATCH(TRUE, EXACT(注音編碼對照表BAK[[#This Row],[方音符號]], 鍵盤設計!$Q$5:$Q$61),0)), "")</f>
        <v>aunn</v>
      </c>
      <c r="G38" s="508" t="str" cm="1">
        <f t="array" ref="G38">IFERROR( INDEX(鍵盤設計!$S$5:$S$61, MATCH(TRUE, EXACT(注音編碼對照表BAK[[#This Row],[方音符號]], 鍵盤設計!$Q$5:$Q$61),0)),"")</f>
        <v>aunn</v>
      </c>
      <c r="H38" s="354" t="str" cm="1">
        <f t="array" ref="H38">IFERROR( INDEX(鍵盤設計!$R$5:$R$61, MATCH(TRUE, EXACT(注音編碼對照表BAK[[#This Row],[方音符號]], 鍵盤設計!$Q$5:$Q$61),0)), "")</f>
        <v>Y</v>
      </c>
      <c r="I38" s="71" t="str" cm="1">
        <f t="array" ref="I38">IFERROR( INDEX(鍵盤設計!$P$5:$P$61, MATCH(TRUE, EXACT(注音編碼對照表BAK[[#This Row],[方音符號]], 鍵盤設計!$Q$5:$Q$61),0)),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鍵盤設計!$Q$5:$Q$61),0)), "")</f>
        <v>韻</v>
      </c>
      <c r="F39" s="379" t="str" cm="1">
        <f t="array" ref="F39">IFERROR( INDEX(鍵盤設計!$T$5:$T$61, MATCH(TRUE, EXACT(注音編碼對照表BAK[[#This Row],[方音符號]], 鍵盤設計!$Q$5:$Q$61),0)), "")</f>
        <v>an</v>
      </c>
      <c r="G39" s="508" t="str" cm="1">
        <f t="array" ref="G39">IFERROR( INDEX(鍵盤設計!$S$5:$S$61, MATCH(TRUE, EXACT(注音編碼對照表BAK[[#This Row],[方音符號]], 鍵盤設計!$Q$5:$Q$61),0)),"")</f>
        <v>an</v>
      </c>
      <c r="H39" s="354" t="str" cm="1">
        <f t="array" ref="H39">IFERROR( INDEX(鍵盤設計!$R$5:$R$61, MATCH(TRUE, EXACT(注音編碼對照表BAK[[#This Row],[方音符號]], 鍵盤設計!$Q$5:$Q$61),0)), "")</f>
        <v>@</v>
      </c>
      <c r="I39" s="71" t="str" cm="1">
        <f t="array" ref="I39">IFERROR( INDEX(鍵盤設計!$P$5:$P$61, MATCH(TRUE, EXACT(注音編碼對照表BAK[[#This Row],[方音符號]], 鍵盤設計!$Q$5:$Q$61),0)),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鍵盤設計!$Q$5:$Q$61),0)), "")</f>
        <v>韻</v>
      </c>
      <c r="F40" s="379" t="str" cm="1">
        <f t="array" ref="F40">IFERROR( INDEX(鍵盤設計!$T$5:$T$61, MATCH(TRUE, EXACT(注音編碼對照表BAK[[#This Row],[方音符號]], 鍵盤設計!$Q$5:$Q$61),0)), "")</f>
        <v>ang</v>
      </c>
      <c r="G40" s="508" t="str" cm="1">
        <f t="array" ref="G40">IFERROR( INDEX(鍵盤設計!$S$5:$S$61, MATCH(TRUE, EXACT(注音編碼對照表BAK[[#This Row],[方音符號]], 鍵盤設計!$Q$5:$Q$61),0)),"")</f>
        <v>ang</v>
      </c>
      <c r="H40" s="354" t="str" cm="1">
        <f t="array" ref="H40">IFERROR( INDEX(鍵盤設計!$R$5:$R$61, MATCH(TRUE, EXACT(注音編碼對照表BAK[[#This Row],[方音符號]], 鍵盤設計!$Q$5:$Q$61),0)), "")</f>
        <v>P</v>
      </c>
      <c r="I40" s="71" t="str" cm="1">
        <f t="array" ref="I40">IFERROR( INDEX(鍵盤設計!$P$5:$P$61, MATCH(TRUE, EXACT(注音編碼對照表BAK[[#This Row],[方音符號]], 鍵盤設計!$Q$5:$Q$61),0)),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鍵盤設計!$Q$5:$Q$61),0)), "")</f>
        <v>韻尾</v>
      </c>
      <c r="F41" s="379" t="str" cm="1">
        <f t="array" ref="F41">IFERROR( INDEX(鍵盤設計!$T$5:$T$61, MATCH(TRUE, EXACT(注音編碼對照表BAK[[#This Row],[方音符號]], 鍵盤設計!$Q$5:$Q$61),0)), "")</f>
        <v>ir</v>
      </c>
      <c r="G41" s="508" t="str" cm="1">
        <f t="array" ref="G41">IFERROR( INDEX(鍵盤設計!$S$5:$S$61, MATCH(TRUE, EXACT(注音編碼對照表BAK[[#This Row],[方音符號]], 鍵盤設計!$Q$5:$Q$61),0)),"")</f>
        <v>ir</v>
      </c>
      <c r="H41" s="354" t="str" cm="1">
        <f t="array" ref="H41">IFERROR( INDEX(鍵盤設計!$R$5:$R$61, MATCH(TRUE, EXACT(注音編碼對照表BAK[[#This Row],[方音符號]], 鍵盤設計!$Q$5:$Q$61),0)), "")</f>
        <v>R</v>
      </c>
      <c r="I41" s="71" t="str" cm="1">
        <f t="array" ref="I41">IFERROR( INDEX(鍵盤設計!$P$5:$P$61, MATCH(TRUE, EXACT(注音編碼對照表BAK[[#This Row],[方音符號]], 鍵盤設計!$Q$5:$Q$61),0)),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鍵盤設計!$Q$5:$Q$61),0)), "")</f>
        <v>韻</v>
      </c>
      <c r="F42" s="379" t="str" cm="1">
        <f t="array" ref="F42">IFERROR( INDEX(鍵盤設計!$T$5:$T$61, MATCH(TRUE, EXACT(注音編碼對照表BAK[[#This Row],[方音符號]], 鍵盤設計!$Q$5:$Q$61),0)), "")</f>
        <v>am</v>
      </c>
      <c r="G42" s="508" t="str" cm="1">
        <f t="array" ref="G42">IFERROR( INDEX(鍵盤設計!$S$5:$S$61, MATCH(TRUE, EXACT(注音編碼對照表BAK[[#This Row],[方音符號]], 鍵盤設計!$Q$5:$Q$61),0)),"")</f>
        <v>am</v>
      </c>
      <c r="H42" s="354" t="str" cm="1">
        <f t="array" ref="H42">IFERROR( INDEX(鍵盤設計!$R$5:$R$61, MATCH(TRUE, EXACT(注音編碼對照表BAK[[#This Row],[方音符號]], 鍵盤設計!$Q$5:$Q$61),0)), "")</f>
        <v>V</v>
      </c>
      <c r="I42" s="71" t="str" cm="1">
        <f t="array" ref="I42">IFERROR( INDEX(鍵盤設計!$P$5:$P$61, MATCH(TRUE, EXACT(注音編碼對照表BAK[[#This Row],[方音符號]], 鍵盤設計!$Q$5:$Q$61),0)),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22" t="str" cm="1">
        <f t="array" ref="E43">IFERROR( INDEX(鍵盤設計!$U$5:$U$61, MATCH(TRUE, EXACT(注音編碼對照表BAK[[#This Row],[方音符號]], 鍵盤設計!$Q$5:$Q$61),0)), "")</f>
        <v>韻</v>
      </c>
      <c r="F43" s="379" t="str" cm="1">
        <f t="array" ref="F43">IFERROR( INDEX(鍵盤設計!$T$5:$T$61, MATCH(TRUE, EXACT(注音編碼對照表BAK[[#This Row],[方音符號]], 鍵盤設計!$Q$5:$Q$61),0)), "")</f>
        <v>om</v>
      </c>
      <c r="G43" s="539" t="str" cm="1">
        <f t="array" ref="G43">IFERROR( INDEX(鍵盤設計!$S$5:$S$61, MATCH(TRUE, EXACT(注音編碼對照表BAK[[#This Row],[方音符號]], 鍵盤設計!$Q$5:$Q$61),0)),"")</f>
        <v>om</v>
      </c>
      <c r="H43" s="354" t="str" cm="1">
        <f t="array" ref="H43">IFERROR( INDEX(鍵盤設計!$R$5:$R$61, MATCH(TRUE, EXACT(注音編碼對照表BAK[[#This Row],[方音符號]], 鍵盤設計!$Q$5:$Q$61),0)), "")</f>
        <v>D</v>
      </c>
      <c r="I43" s="71" t="str" cm="1">
        <f t="array" ref="I43">IFERROR( INDEX(鍵盤設計!$P$5:$P$61, MATCH(TRUE, EXACT(注音編碼對照表BAK[[#This Row],[方音符號]], 鍵盤設計!$Q$5:$Q$61),0)),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鍵盤設計!$Q$5:$Q$61),0)), "")</f>
        <v>韻</v>
      </c>
      <c r="F44" s="379" t="str" cm="1">
        <f t="array" ref="F44">IFERROR( INDEX(鍵盤設計!$T$5:$T$61, MATCH(TRUE, EXACT(注音編碼對照表BAK[[#This Row],[方音符號]], 鍵盤設計!$Q$5:$Q$61),0)), "")</f>
        <v>ong</v>
      </c>
      <c r="G44" s="508" t="str" cm="1">
        <f t="array" ref="G44">IFERROR( INDEX(鍵盤設計!$S$5:$S$61, MATCH(TRUE, EXACT(注音編碼對照表BAK[[#This Row],[方音符號]], 鍵盤設計!$Q$5:$Q$61),0)),"")</f>
        <v>ong</v>
      </c>
      <c r="H44" s="354" t="str" cm="1">
        <f t="array" ref="H44">IFERROR( INDEX(鍵盤設計!$R$5:$R$61, MATCH(TRUE, EXACT(注音編碼對照表BAK[[#This Row],[方音符號]], 鍵盤設計!$Q$5:$Q$61),0)), "")</f>
        <v>H</v>
      </c>
      <c r="I44" s="205" t="str" cm="1">
        <f t="array" ref="I44">IFERROR( INDEX(鍵盤設計!$P$5:$P$61, MATCH(TRUE, EXACT(注音編碼對照表BAK[[#This Row],[方音符號]], 鍵盤設計!$Q$5:$Q$61),0)),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鍵盤設計!$Q$5:$Q$61),0)), "")</f>
        <v>韻</v>
      </c>
      <c r="F45" s="379" t="str" cm="1">
        <f t="array" ref="F45">IFERROR( INDEX(鍵盤設計!$T$5:$T$61, MATCH(TRUE, EXACT(注音編碼對照表BAK[[#This Row],[方音符號]], 鍵盤設計!$Q$5:$Q$61),0)), "")</f>
        <v>m</v>
      </c>
      <c r="G45" s="542" t="str" cm="1">
        <f t="array" ref="G45">IFERROR( INDEX(鍵盤設計!$S$5:$S$61, MATCH(TRUE, EXACT(注音編碼對照表BAK[[#This Row],[方音符號]], 鍵盤設計!$Q$5:$Q$61),0)),"")</f>
        <v>m</v>
      </c>
      <c r="H45" s="354" t="str" cm="1">
        <f t="array" ref="H45">IFERROR( INDEX(鍵盤設計!$R$5:$R$61, MATCH(TRUE, EXACT(注音編碼對照表BAK[[#This Row],[方音符號]], 鍵盤設計!$Q$5:$Q$61),0)), "")</f>
        <v>M</v>
      </c>
      <c r="I45" s="71" t="str" cm="1">
        <f t="array" ref="I45">IFERROR( INDEX(鍵盤設計!$P$5:$P$61, MATCH(TRUE, EXACT(注音編碼對照表BAK[[#This Row],[方音符號]], 鍵盤設計!$Q$5:$Q$61),0)),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鍵盤設計!$Q$5:$Q$61),0)), "")</f>
        <v>韻</v>
      </c>
      <c r="F46" s="379" t="str" cm="1">
        <f t="array" ref="F46">IFERROR( INDEX(鍵盤設計!$T$5:$T$61, MATCH(TRUE, EXACT(注音編碼對照表BAK[[#This Row],[方音符號]], 鍵盤設計!$Q$5:$Q$61),0)), "")</f>
        <v>n</v>
      </c>
      <c r="G46" s="542" t="str" cm="1">
        <f t="array" ref="G46">IFERROR( INDEX(鍵盤設計!$S$5:$S$61, MATCH(TRUE, EXACT(注音編碼對照表BAK[[#This Row],[方音符號]], 鍵盤設計!$Q$5:$Q$61),0)),"")</f>
        <v>n</v>
      </c>
      <c r="H46" s="354" t="str" cm="1">
        <f t="array" ref="H46">IFERROR( INDEX(鍵盤設計!$R$5:$R$61, MATCH(TRUE, EXACT(注音編碼對照表BAK[[#This Row],[方音符號]], 鍵盤設計!$Q$5:$Q$61),0)), "")</f>
        <v>N</v>
      </c>
      <c r="I46" s="71" t="str" cm="1">
        <f t="array" ref="I46">IFERROR( INDEX(鍵盤設計!$P$5:$P$61, MATCH(TRUE, EXACT(注音編碼對照表BAK[[#This Row],[方音符號]], 鍵盤設計!$Q$5:$Q$61),0)),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鍵盤設計!$Q$5:$Q$61),0)), "")</f>
        <v>韻</v>
      </c>
      <c r="F47" s="379" t="str" cm="1">
        <f t="array" ref="F47">IFERROR( INDEX(鍵盤設計!$T$5:$T$61, MATCH(TRUE, EXACT(注音編碼對照表BAK[[#This Row],[方音符號]], 鍵盤設計!$Q$5:$Q$61),0)), "")</f>
        <v>ng</v>
      </c>
      <c r="G47" s="542" t="str" cm="1">
        <f t="array" ref="G47">IFERROR( INDEX(鍵盤設計!$S$5:$S$61, MATCH(TRUE, EXACT(注音編碼對照表BAK[[#This Row],[方音符號]], 鍵盤設計!$Q$5:$Q$61),0)),"")</f>
        <v>ng</v>
      </c>
      <c r="H47" s="354" t="str" cm="1">
        <f t="array" ref="H47">IFERROR( INDEX(鍵盤設計!$R$5:$R$61, MATCH(TRUE, EXACT(注音編碼對照表BAK[[#This Row],[方音符號]], 鍵盤設計!$Q$5:$Q$61),0)), "")</f>
        <v>W</v>
      </c>
      <c r="I47" s="205" t="str" cm="1">
        <f t="array" ref="I47">IFERROR( INDEX(鍵盤設計!$P$5:$P$61, MATCH(TRUE, EXACT(注音編碼對照表BAK[[#This Row],[方音符號]], 鍵盤設計!$Q$5:$Q$61),0)),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鍵盤設計!$Q$5:$Q$61),0)), "")</f>
        <v>韻尾</v>
      </c>
      <c r="F48" s="380" t="str" cm="1">
        <f t="array" ref="F48">IFERROR( INDEX(鍵盤設計!$T$5:$T$61, MATCH(TRUE, EXACT(注音編碼對照表BAK[[#This Row],[方音符號]], 鍵盤設計!$Q$5:$Q$61),0)), "")</f>
        <v>p</v>
      </c>
      <c r="G48" s="542" t="str" cm="1">
        <f t="array" ref="G48">IFERROR( INDEX(鍵盤設計!$S$5:$S$61, MATCH(TRUE, EXACT(注音編碼對照表BAK[[#This Row],[方音符號]], 鍵盤設計!$Q$5:$Q$61),0)),"")</f>
        <v>p</v>
      </c>
      <c r="H48" s="354" t="str" cm="1">
        <f t="array" ref="H48">IFERROR( INDEX(鍵盤設計!$R$5:$R$61, MATCH(TRUE, EXACT(注音編碼對照表BAK[[#This Row],[方音符號]], 鍵盤設計!$Q$5:$Q$61),0)), "")</f>
        <v>r</v>
      </c>
      <c r="I48" s="71" t="str" cm="1">
        <f t="array" ref="I48">IFERROR( INDEX(鍵盤設計!$P$5:$P$61, MATCH(TRUE, EXACT(注音編碼對照表BAK[[#This Row],[方音符號]], 鍵盤設計!$Q$5:$Q$61),0)),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鍵盤設計!$Q$5:$Q$61),0)), "")</f>
        <v>韻尾</v>
      </c>
      <c r="F49" s="380" t="str" cm="1">
        <f t="array" ref="F49">IFERROR( INDEX(鍵盤設計!$T$5:$T$61, MATCH(TRUE, EXACT(注音編碼對照表BAK[[#This Row],[方音符號]], 鍵盤設計!$Q$5:$Q$61),0)), "")</f>
        <v>t</v>
      </c>
      <c r="G49" s="542" t="str" cm="1">
        <f t="array" ref="G49">IFERROR( INDEX(鍵盤設計!$S$5:$S$61, MATCH(TRUE, EXACT(注音編碼對照表BAK[[#This Row],[方音符號]], 鍵盤設計!$Q$5:$Q$61),0)),"")</f>
        <v>t</v>
      </c>
      <c r="H49" s="354" t="str" cm="1">
        <f t="array" ref="H49">IFERROR( INDEX(鍵盤設計!$R$5:$R$61, MATCH(TRUE, EXACT(注音編碼對照表BAK[[#This Row],[方音符號]], 鍵盤設計!$Q$5:$Q$61),0)), "")</f>
        <v>f</v>
      </c>
      <c r="I49" s="71" t="str" cm="1">
        <f t="array" ref="I49">IFERROR( INDEX(鍵盤設計!$P$5:$P$61, MATCH(TRUE, EXACT(注音編碼對照表BAK[[#This Row],[方音符號]], 鍵盤設計!$Q$5:$Q$61),0)),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鍵盤設計!$Q$5:$Q$61),0)), "")</f>
        <v>韻尾</v>
      </c>
      <c r="F50" s="380" t="str" cm="1">
        <f t="array" ref="F50">IFERROR( INDEX(鍵盤設計!$T$5:$T$61, MATCH(TRUE, EXACT(注音編碼對照表BAK[[#This Row],[方音符號]], 鍵盤設計!$Q$5:$Q$61),0)), "")</f>
        <v>k</v>
      </c>
      <c r="G50" s="542" t="str" cm="1">
        <f t="array" ref="G50">IFERROR( INDEX(鍵盤設計!$S$5:$S$61, MATCH(TRUE, EXACT(注音編碼對照表BAK[[#This Row],[方音符號]], 鍵盤設計!$Q$5:$Q$61),0)),"")</f>
        <v>k</v>
      </c>
      <c r="H50" s="354" t="str" cm="1">
        <f t="array" ref="H50">IFERROR( INDEX(鍵盤設計!$R$5:$R$61, MATCH(TRUE, EXACT(注音編碼對照表BAK[[#This Row],[方音符號]], 鍵盤設計!$Q$5:$Q$61),0)), "")</f>
        <v>q</v>
      </c>
      <c r="I50" s="71" t="str" cm="1">
        <f t="array" ref="I50">IFERROR( INDEX(鍵盤設計!$P$5:$P$61, MATCH(TRUE, EXACT(注音編碼對照表BAK[[#This Row],[方音符號]], 鍵盤設計!$Q$5:$Q$61),0)),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鍵盤設計!$Q$5:$Q$61),0)), "")</f>
        <v>韻尾</v>
      </c>
      <c r="F51" s="380" t="str" cm="1">
        <f t="array" ref="F51">IFERROR( INDEX(鍵盤設計!$T$5:$T$61, MATCH(TRUE, EXACT(注音編碼對照表BAK[[#This Row],[方音符號]], 鍵盤設計!$Q$5:$Q$61),0)), "")</f>
        <v>h</v>
      </c>
      <c r="G51" s="542" t="str" cm="1">
        <f t="array" ref="G51">IFERROR( INDEX(鍵盤設計!$S$5:$S$61, MATCH(TRUE, EXACT(注音編碼對照表BAK[[#This Row],[方音符號]], 鍵盤設計!$Q$5:$Q$61),0)),"")</f>
        <v>h</v>
      </c>
      <c r="H51" s="354" t="str" cm="1">
        <f t="array" ref="H51">IFERROR( INDEX(鍵盤設計!$R$5:$R$61, MATCH(TRUE, EXACT(注音編碼對照表BAK[[#This Row],[方音符號]], 鍵盤設計!$Q$5:$Q$61),0)), "")</f>
        <v>v</v>
      </c>
      <c r="I51" s="71" t="str" cm="1">
        <f t="array" ref="I51">IFERROR( INDEX(鍵盤設計!$P$5:$P$61, MATCH(TRUE, EXACT(注音編碼對照表BAK[[#This Row],[方音符號]], 鍵盤設計!$Q$5:$Q$61),0)),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鍵盤設計!$Q$5:$Q$61),0)), "")</f>
        <v>調</v>
      </c>
      <c r="F52" s="379" cm="1">
        <f t="array" ref="F52">IFERROR( INDEX(鍵盤設計!$T$5:$T$61, MATCH(TRUE, EXACT(注音編碼對照表BAK[[#This Row],[方音符號]], 鍵盤設計!$Q$5:$Q$61),0)), "")</f>
        <v>2</v>
      </c>
      <c r="G52" s="542" cm="1">
        <f t="array" ref="G52">IFERROR( INDEX(鍵盤設計!$S$5:$S$61, MATCH(TRUE, EXACT(注音編碼對照表BAK[[#This Row],[方音符號]], 鍵盤設計!$Q$5:$Q$61),0)),"")</f>
        <v>2</v>
      </c>
      <c r="H52" s="354" t="str" cm="1">
        <f t="array" ref="H52">IFERROR( INDEX(鍵盤設計!$R$5:$R$61, MATCH(TRUE, EXACT(注音編碼對照表BAK[[#This Row],[方音符號]], 鍵盤設計!$Q$5:$Q$61),0)), "")</f>
        <v>2</v>
      </c>
      <c r="I52" s="71" cm="1">
        <f t="array" ref="I52">IFERROR( INDEX(鍵盤設計!$P$5:$P$61, MATCH(TRUE, EXACT(注音編碼對照表BAK[[#This Row],[方音符號]], 鍵盤設計!$Q$5:$Q$61),0)),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鍵盤設計!$Q$5:$Q$61),0)), "")</f>
        <v>調</v>
      </c>
      <c r="F53" s="379" cm="1">
        <f t="array" ref="F53">IFERROR( INDEX(鍵盤設計!$T$5:$T$61, MATCH(TRUE, EXACT(注音編碼對照表BAK[[#This Row],[方音符號]], 鍵盤設計!$Q$5:$Q$61),0)), "")</f>
        <v>3</v>
      </c>
      <c r="G53" s="542" cm="1">
        <f t="array" ref="G53">IFERROR( INDEX(鍵盤設計!$S$5:$S$61, MATCH(TRUE, EXACT(注音編碼對照表BAK[[#This Row],[方音符號]], 鍵盤設計!$Q$5:$Q$61),0)),"")</f>
        <v>3</v>
      </c>
      <c r="H53" s="354" t="str" cm="1">
        <f t="array" ref="H53">IFERROR( INDEX(鍵盤設計!$R$5:$R$61, MATCH(TRUE, EXACT(注音編碼對照表BAK[[#This Row],[方音符號]], 鍵盤設計!$Q$5:$Q$61),0)), "")</f>
        <v>3</v>
      </c>
      <c r="I53" s="71" cm="1">
        <f t="array" ref="I53">IFERROR( INDEX(鍵盤設計!$P$5:$P$61, MATCH(TRUE, EXACT(注音編碼對照表BAK[[#This Row],[方音符號]], 鍵盤設計!$Q$5:$Q$61),0)),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鍵盤設計!$Q$5:$Q$61),0)), "")</f>
        <v>調</v>
      </c>
      <c r="F54" s="379" cm="1">
        <f t="array" ref="F54">IFERROR( INDEX(鍵盤設計!$T$5:$T$61, MATCH(TRUE, EXACT(注音編碼對照表BAK[[#This Row],[方音符號]], 鍵盤設計!$Q$5:$Q$61),0)), "")</f>
        <v>5</v>
      </c>
      <c r="G54" s="542" cm="1">
        <f t="array" ref="G54">IFERROR( INDEX(鍵盤設計!$S$5:$S$61, MATCH(TRUE, EXACT(注音編碼對照表BAK[[#This Row],[方音符號]], 鍵盤設計!$Q$5:$Q$61),0)),"")</f>
        <v>5</v>
      </c>
      <c r="H54" s="354" t="str" cm="1">
        <f t="array" ref="H54">IFERROR( INDEX(鍵盤設計!$R$5:$R$61, MATCH(TRUE, EXACT(注音編碼對照表BAK[[#This Row],[方音符號]], 鍵盤設計!$Q$5:$Q$61),0)), "")</f>
        <v>5</v>
      </c>
      <c r="I54" s="71" cm="1">
        <f t="array" ref="I54">IFERROR( INDEX(鍵盤設計!$P$5:$P$61, MATCH(TRUE, EXACT(注音編碼對照表BAK[[#This Row],[方音符號]], 鍵盤設計!$Q$5:$Q$61),0)),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鍵盤設計!$Q$5:$Q$61),0)), "")</f>
        <v>調</v>
      </c>
      <c r="F55" s="379" cm="1">
        <f t="array" ref="F55">IFERROR( INDEX(鍵盤設計!$T$5:$T$61, MATCH(TRUE, EXACT(注音編碼對照表BAK[[#This Row],[方音符號]], 鍵盤設計!$Q$5:$Q$61),0)), "")</f>
        <v>8</v>
      </c>
      <c r="G55" s="542" cm="1">
        <f t="array" ref="G55">IFERROR( INDEX(鍵盤設計!$S$5:$S$61, MATCH(TRUE, EXACT(注音編碼對照表BAK[[#This Row],[方音符號]], 鍵盤設計!$Q$5:$Q$61),0)),"")</f>
        <v>8</v>
      </c>
      <c r="H55" s="354" cm="1">
        <f t="array" ref="H55">IFERROR( INDEX(鍵盤設計!$R$5:$R$61, MATCH(TRUE, EXACT(注音編碼對照表BAK[[#This Row],[方音符號]], 鍵盤設計!$Q$5:$Q$61),0)), "")</f>
        <v>0</v>
      </c>
      <c r="I55" s="71" cm="1">
        <f t="array" ref="I55">IFERROR( INDEX(鍵盤設計!$P$5:$P$61, MATCH(TRUE, EXACT(注音編碼對照表BAK[[#This Row],[方音符號]], 鍵盤設計!$Q$5:$Q$61),0)),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鍵盤設計!$Q$5:$Q$61),0)), "")</f>
        <v>調</v>
      </c>
      <c r="F56" s="379" cm="1">
        <f t="array" ref="F56">IFERROR( INDEX(鍵盤設計!$T$5:$T$61, MATCH(TRUE, EXACT(注音編碼對照表BAK[[#This Row],[方音符號]], 鍵盤設計!$Q$5:$Q$61),0)), "")</f>
        <v>8</v>
      </c>
      <c r="G56" s="542" cm="1">
        <f t="array" ref="G56">IFERROR( INDEX(鍵盤設計!$S$5:$S$61, MATCH(TRUE, EXACT(注音編碼對照表BAK[[#This Row],[方音符號]], 鍵盤設計!$Q$5:$Q$61),0)),"")</f>
        <v>8</v>
      </c>
      <c r="H56" s="354" cm="1">
        <f t="array" ref="H56">IFERROR( INDEX(鍵盤設計!$R$5:$R$61, MATCH(TRUE, EXACT(注音編碼對照表BAK[[#This Row],[方音符號]], 鍵盤設計!$Q$5:$Q$61),0)), "")</f>
        <v>8</v>
      </c>
      <c r="I56" s="71" cm="1">
        <f t="array" ref="I56">IFERROR( INDEX(鍵盤設計!$P$5:$P$61, MATCH(TRUE, EXACT(注音編碼對照表BAK[[#This Row],[方音符號]], 鍵盤設計!$Q$5:$Q$61),0)), "")</f>
        <v>7</v>
      </c>
      <c r="L56"/>
      <c r="Q56"/>
      <c r="R56"/>
      <c r="T56"/>
      <c r="W56"/>
    </row>
    <row r="57" spans="2:23" ht="32.25">
      <c r="B57" s="748">
        <f>ROW() - 2</f>
        <v>55</v>
      </c>
      <c r="C57" s="538" t="s">
        <v>8774</v>
      </c>
      <c r="D57" s="456"/>
      <c r="E57" s="32" t="str" cm="1">
        <f t="array" ref="E57">IFERROR( INDEX(鍵盤設計!$U$5:$U$61, MATCH(TRUE, EXACT(注音編碼對照表BAK[[#This Row],[方音符號]], 鍵盤設計!$Q$5:$Q$61),0)), "")</f>
        <v>鍵</v>
      </c>
      <c r="F57" s="379" cm="1">
        <f t="array" ref="F57">IFERROR( INDEX(鍵盤設計!$T$5:$T$61, MATCH(TRUE, EXACT(注音編碼對照表BAK[[#This Row],[方音符號]], 鍵盤設計!$Q$5:$Q$61),0)), "")</f>
        <v>0</v>
      </c>
      <c r="G57" s="542" cm="1">
        <f t="array" ref="G57">IFERROR( INDEX(鍵盤設計!$S$5:$S$61, MATCH(TRUE, EXACT(注音編碼對照表BAK[[#This Row],[方音符號]], 鍵盤設計!$Q$5:$Q$61),0)),"")</f>
        <v>0</v>
      </c>
      <c r="H57" s="354" cm="1">
        <f t="array" ref="H57">IFERROR( INDEX(鍵盤設計!$R$5:$R$61, MATCH(TRUE, EXACT(注音編碼對照表BAK[[#This Row],[方音符號]], 鍵盤設計!$Q$5:$Q$61),0)), "")</f>
        <v>0</v>
      </c>
      <c r="I57" s="71" t="str" cm="1">
        <f t="array" ref="I57">IFERROR( INDEX(鍵盤設計!$P$5:$P$61, MATCH(TRUE, EXACT(注音編碼對照表BAK[[#This Row],[方音符號]], 鍵盤設計!$Q$5:$Q$61),0)), "")</f>
        <v>.</v>
      </c>
      <c r="L57"/>
      <c r="Q57"/>
      <c r="R57"/>
      <c r="T57"/>
      <c r="W57"/>
    </row>
    <row r="58" spans="2:23" ht="32.25">
      <c r="B58" s="748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鍵盤設計!$Q$5:$Q$61),0)), "")</f>
        <v>鍵</v>
      </c>
      <c r="F58" s="379" t="str" cm="1">
        <f t="array" ref="F58">IFERROR( INDEX(鍵盤設計!$T$5:$T$61, MATCH(TRUE, EXACT(注音編碼對照表BAK[[#This Row],[方音符號]], 鍵盤設計!$Q$5:$Q$61),0)), "")</f>
        <v>nn</v>
      </c>
      <c r="G58" s="542" t="str" cm="1">
        <f t="array" ref="G58">IFERROR( INDEX(鍵盤設計!$S$5:$S$61, MATCH(TRUE, EXACT(注音編碼對照表BAK[[#This Row],[方音符號]], 鍵盤設計!$Q$5:$Q$61),0)),"")</f>
        <v>nn</v>
      </c>
      <c r="H58" s="354" t="str" cm="1">
        <f t="array" ref="H58">IFERROR( INDEX(鍵盤設計!$R$5:$R$61, MATCH(TRUE, EXACT(注音編碼對照表BAK[[#This Row],[方音符號]], 鍵盤設計!$Q$5:$Q$61),0)), "")</f>
        <v>L</v>
      </c>
      <c r="I58" s="71" t="str" cm="1">
        <f t="array" ref="I58">IFERROR( INDEX(鍵盤設計!$P$5:$P$61, MATCH(TRUE, EXACT(注音編碼對照表BAK[[#This Row],[方音符號]], 鍵盤設計!$Q$5:$Q$61),0)), "")</f>
        <v>=</v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8771</v>
      </c>
      <c r="D59" s="456"/>
      <c r="E59" s="32" t="str" cm="1">
        <f t="array" ref="E59">IFERROR( INDEX(鍵盤設計!$U$5:$U$61, MATCH(TRUE, EXACT(注音編碼對照表BAK[[#This Row],[方音符號]], 鍵盤設計!$Q$5:$Q$61),0)), "")</f>
        <v>鍵</v>
      </c>
      <c r="F59" s="379" t="str" cm="1">
        <f t="array" ref="F59">IFERROR( INDEX(鍵盤設計!$T$5:$T$61, MATCH(TRUE, EXACT(注音編碼對照表BAK[[#This Row],[方音符號]], 鍵盤設計!$Q$5:$Q$61),0)), "")</f>
        <v>*nn</v>
      </c>
      <c r="G59" s="542" t="str" cm="1">
        <f t="array" ref="G59">IFERROR( INDEX(鍵盤設計!$S$5:$S$61, MATCH(TRUE, EXACT(注音編碼對照表BAK[[#This Row],[方音符號]], 鍵盤設計!$Q$5:$Q$61),0)),"")</f>
        <v>*nn</v>
      </c>
      <c r="H59" s="354" t="str" cm="1">
        <f t="array" ref="H59">IFERROR( INDEX(鍵盤設計!$R$5:$R$61, MATCH(TRUE, EXACT(注音編碼對照表BAK[[#This Row],[方音符號]], 鍵盤設計!$Q$5:$Q$61),0)), "")</f>
        <v>&amp;</v>
      </c>
      <c r="I59" s="71" t="str" cm="1">
        <f t="array" ref="I59">IFERROR( INDEX(鍵盤設計!$P$5:$P$61, MATCH(TRUE, EXACT(注音編碼對照表BAK[[#This Row],[方音符號]], 鍵盤設計!$Q$5:$Q$61),0)),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30" t="s">
        <v>737</v>
      </c>
      <c r="E61" s="731" t="s">
        <v>497</v>
      </c>
      <c r="F61" s="470" t="s">
        <v>752</v>
      </c>
      <c r="G61" s="732" t="s">
        <v>372</v>
      </c>
      <c r="H61" s="658" t="s">
        <v>8739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23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ph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p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p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ph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str" cm="1">
        <f t="array" ref="X5" xml:space="preserve"> INDEX('注音編碼對照表（old）'!$F$3:$F$59, MATCH(TRUE, EXACT(表格1_33411[[#This Row],[注音編碼]], '注音編碼對照表（old）'!$H$3:$H$59), 0))</f>
        <v>ang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th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t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e" cm="1">
        <f t="array" ref="X8" xml:space="preserve"> INDEX('注音編碼對照表（old）'!$F$3:$F$59, MATCH(TRUE, EXACT(表格1_33411[[#This Row],[注音編碼]], '注音編碼對照表（old）'!$H$3:$H$59), 0))</f>
        <v>#N/A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th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kh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k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e" cm="1">
        <f t="array" ref="X13" xml:space="preserve"> INDEX('注音編碼對照表（old）'!$F$3:$F$59, MATCH(TRUE, EXACT(表格1_33411[[#This Row],[注音編碼]], '注音編碼對照表（old）'!$H$3:$H$59), 0))</f>
        <v>#N/A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j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k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kh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G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zi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w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j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ci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si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ng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x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y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P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R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I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U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A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Q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E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ng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str" cm="1">
        <f t="array" ref="X37" xml:space="preserve"> INDEX('注音編碼對照表（old）'!$F$3:$F$59, MATCH(TRUE, EXACT(表格1_33411[[#This Row],[注音編碼]], '注音編碼對照表（old）'!$H$3:$H$59), 0))</f>
        <v>ir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inn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V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unn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ann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W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str" cm="1">
        <f t="array" ref="X41" xml:space="preserve"> INDEX('注音編碼對照表（old）'!$F$3:$F$59, MATCH(TRUE, EXACT(表格1_33411[[#This Row],[注音編碼]], '注音編碼對照表（old）'!$H$3:$H$59), 0))</f>
        <v>onn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str" cm="1">
        <f t="array" ref="X42" xml:space="preserve"> INDEX('注音編碼對照表（old）'!$F$3:$F$59, MATCH(TRUE, EXACT(表格1_33411[[#This Row],[注音編碼]], '注音編碼對照表（old）'!$H$3:$H$59), 0))</f>
        <v>enn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aunn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0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0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str" cm="1">
        <f t="array" ref="X44" xml:space="preserve"> INDEX('注音編碼對照表（old）'!$F$3:$F$59, MATCH(TRUE, EXACT(表格1_33411[[#This Row],[注音編碼]], '注音編碼對照表（old）'!$H$3:$H$59), 0))</f>
        <v>ainn</v>
      </c>
      <c r="Y44" s="24"/>
      <c r="Z44" s="87">
        <f t="shared" si="10"/>
        <v>42</v>
      </c>
      <c r="AA44" s="71" t="str">
        <f>'注音編碼對照表（old）'!$I59</f>
        <v>-</v>
      </c>
      <c r="AB44" s="421" t="str" cm="1">
        <f t="array" ref="AB44" xml:space="preserve"> INDEX(注音編碼對照表BAK[字典編碼], MATCH(TRUE, EXACT(RIME設定解析!$AA44, 注音編碼對照表BAK[鍵盤按鍵] ),0))</f>
        <v>&amp;</v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t="str" cm="1">
        <f t="array" ref="AB45" xml:space="preserve"> INDEX(注音編碼對照表BAK[字典編碼], MATCH(TRUE, EXACT(RIME設定解析!$AA45, 注音編碼對照表BAK[鍵盤按鍵] ),0))</f>
        <v>2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t="str" cm="1">
        <f t="array" ref="AB46" xml:space="preserve"> INDEX(注音編碼對照表BAK[字典編碼], MATCH(TRUE, EXACT(RIME設定解析!$AA46, 注音編碼對照表BAK[鍵盤按鍵] ),0))</f>
        <v>3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t="str" cm="1">
        <f t="array" ref="AB47" xml:space="preserve"> INDEX(注音編碼對照表BAK[字典編碼], MATCH(TRUE, EXACT(RIME設定解析!$AA47, 注音編碼對照表BAK[鍵盤按鍵] ),0))</f>
        <v>5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0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8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2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8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8712</v>
      </c>
      <c r="AE49" s="425" cm="1">
        <f t="array" ref="AE49" xml:space="preserve"> INDEX(注音編碼對照表BAK[台語音標], MATCH(TRUE, EXACT(RIME設定解析!$AA49, 注音編碼對照表BAK[鍵盤按鍵] ),0))</f>
        <v>8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3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5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t="e" cm="1">
        <f t="array" ref="X52" xml:space="preserve"> INDEX('注音編碼對照表（old）'!$F$3:$F$59, MATCH(TRUE, EXACT(表格1_33411[[#This Row],[注音編碼]], '注音編碼對照表（old）'!$H$3:$H$59), 0))</f>
        <v>#N/A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8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57" customFormat="1" ht="30">
      <c r="B3" s="756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1" t="s">
        <v>8719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</sheetViews>
  <sheetFormatPr defaultRowHeight="21"/>
  <sheetData>
    <row r="4" spans="2:12">
      <c r="B4" s="781" t="s">
        <v>680</v>
      </c>
      <c r="C4" s="781" t="s">
        <v>682</v>
      </c>
      <c r="D4" s="781"/>
      <c r="E4" s="501" t="s">
        <v>753</v>
      </c>
      <c r="F4" s="502"/>
      <c r="G4" s="503"/>
      <c r="H4" s="782" t="s">
        <v>754</v>
      </c>
      <c r="I4" s="784"/>
      <c r="J4" s="784"/>
      <c r="K4" s="784"/>
      <c r="L4" s="783"/>
    </row>
    <row r="5" spans="2:12">
      <c r="B5" s="781"/>
      <c r="C5" s="781"/>
      <c r="D5" s="781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782" t="s">
        <v>758</v>
      </c>
      <c r="L5" s="783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22</vt:i4>
      </vt:variant>
      <vt:variant>
        <vt:lpstr>具名範圍</vt:lpstr>
      </vt:variant>
      <vt:variant>
        <vt:i4>18</vt:i4>
      </vt:variant>
    </vt:vector>
  </HeadingPairs>
  <TitlesOfParts>
    <vt:vector size="40" baseType="lpstr">
      <vt:lpstr>原鍵盤設計</vt:lpstr>
      <vt:lpstr>鍵盤設計</vt:lpstr>
      <vt:lpstr>鍵盤設計【未用按鍵】</vt:lpstr>
      <vt:lpstr>注音編碼對照表</vt:lpstr>
      <vt:lpstr>Unicode</vt:lpstr>
      <vt:lpstr>RIME設定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RIME設定!Criteria</vt:lpstr>
      <vt:lpstr>RIME聲母轉換!Criteria</vt:lpstr>
      <vt:lpstr>鍵盤設計!Criteria</vt:lpstr>
      <vt:lpstr>鍵盤設計【未用按鍵】!Criteria</vt:lpstr>
      <vt:lpstr>RIME設定!Extract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2025-11-11T14:49:08Z</dcterms:modified>
</cp:coreProperties>
</file>