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Jui\work\rime-tlpa\docs\"/>
    </mc:Choice>
  </mc:AlternateContent>
  <xr:revisionPtr revIDLastSave="0" documentId="8_{85A32980-9AB4-4541-89C1-FC532F8183DF}" xr6:coauthVersionLast="47" xr6:coauthVersionMax="47" xr10:uidLastSave="{00000000-0000-0000-0000-000000000000}"/>
  <bookViews>
    <workbookView xWindow="-28920" yWindow="-120" windowWidth="29040" windowHeight="15720" activeTab="1" xr2:uid="{C98F8F41-AD4B-4D88-B650-5D4324B4D033}"/>
  </bookViews>
  <sheets>
    <sheet name="【聲】聲母表" sheetId="2" r:id="rId1"/>
    <sheet name="【韻】韻母表" sheetId="4" r:id="rId2"/>
    <sheet name="【聲】聲母排序表 (2)" sheetId="3" r:id="rId3"/>
    <sheet name="【聲】聲母對照表" sheetId="6" r:id="rId4"/>
    <sheet name="【韻】韻母對照表" sheetId="5" r:id="rId5"/>
    <sheet name="工作表1" sheetId="1" r:id="rId6"/>
  </sheets>
  <externalReferences>
    <externalReference r:id="rId7"/>
  </externalReferences>
  <definedNames>
    <definedName name="_xlnm._FilterDatabase" localSheetId="1" hidden="1">【韻】韻母表!$B$3:$G$89</definedName>
    <definedName name="_xlnm._FilterDatabase" localSheetId="4" hidden="1">【韻】韻母對照表!$B$3:$O$89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A101" i="5" l="1"/>
  <c r="C96" i="5"/>
  <c r="D96" i="5" s="1"/>
  <c r="D95" i="5"/>
  <c r="C95" i="5"/>
  <c r="D93" i="5"/>
  <c r="C93" i="5"/>
  <c r="D92" i="5"/>
  <c r="C92" i="5"/>
  <c r="Q89" i="5"/>
  <c r="P89" i="5"/>
  <c r="U89" i="5" s="1"/>
  <c r="V89" i="5" s="1"/>
  <c r="N89" i="5"/>
  <c r="J89" i="5"/>
  <c r="A89" i="5"/>
  <c r="Q88" i="5"/>
  <c r="P88" i="5"/>
  <c r="S88" i="5" s="1"/>
  <c r="N88" i="5"/>
  <c r="J88" i="5"/>
  <c r="A88" i="5"/>
  <c r="Q87" i="5"/>
  <c r="P87" i="5"/>
  <c r="S87" i="5" s="1"/>
  <c r="N87" i="5"/>
  <c r="J87" i="5"/>
  <c r="A87" i="5"/>
  <c r="Q86" i="5"/>
  <c r="P86" i="5"/>
  <c r="U86" i="5" s="1"/>
  <c r="N86" i="5"/>
  <c r="J86" i="5"/>
  <c r="A86" i="5"/>
  <c r="Q85" i="5"/>
  <c r="P85" i="5"/>
  <c r="S85" i="5" s="1"/>
  <c r="N85" i="5"/>
  <c r="J85" i="5"/>
  <c r="A85" i="5"/>
  <c r="Q84" i="5"/>
  <c r="P84" i="5"/>
  <c r="N84" i="5"/>
  <c r="J84" i="5"/>
  <c r="A84" i="5"/>
  <c r="Q83" i="5"/>
  <c r="P83" i="5"/>
  <c r="N83" i="5"/>
  <c r="J83" i="5"/>
  <c r="A83" i="5"/>
  <c r="Q82" i="5"/>
  <c r="P82" i="5"/>
  <c r="N82" i="5"/>
  <c r="J82" i="5"/>
  <c r="A82" i="5"/>
  <c r="Q81" i="5"/>
  <c r="P81" i="5"/>
  <c r="N81" i="5"/>
  <c r="J81" i="5"/>
  <c r="A81" i="5"/>
  <c r="Q80" i="5"/>
  <c r="P80" i="5"/>
  <c r="U80" i="5" s="1"/>
  <c r="N80" i="5"/>
  <c r="J80" i="5"/>
  <c r="A80" i="5"/>
  <c r="Q79" i="5"/>
  <c r="P79" i="5"/>
  <c r="U79" i="5" s="1"/>
  <c r="V79" i="5" s="1"/>
  <c r="N79" i="5"/>
  <c r="J79" i="5"/>
  <c r="A79" i="5"/>
  <c r="Q78" i="5"/>
  <c r="P78" i="5"/>
  <c r="S78" i="5" s="1"/>
  <c r="N78" i="5"/>
  <c r="J78" i="5"/>
  <c r="A78" i="5"/>
  <c r="Q77" i="5"/>
  <c r="P77" i="5"/>
  <c r="N77" i="5"/>
  <c r="J77" i="5"/>
  <c r="A77" i="5"/>
  <c r="Q76" i="5"/>
  <c r="P76" i="5"/>
  <c r="U76" i="5" s="1"/>
  <c r="N76" i="5"/>
  <c r="J76" i="5"/>
  <c r="A76" i="5"/>
  <c r="Q75" i="5"/>
  <c r="P75" i="5"/>
  <c r="S75" i="5" s="1"/>
  <c r="N75" i="5"/>
  <c r="J75" i="5"/>
  <c r="A75" i="5"/>
  <c r="Q74" i="5"/>
  <c r="P74" i="5"/>
  <c r="N74" i="5"/>
  <c r="J74" i="5"/>
  <c r="A74" i="5"/>
  <c r="Q73" i="5"/>
  <c r="P73" i="5"/>
  <c r="S73" i="5" s="1"/>
  <c r="N73" i="5"/>
  <c r="J73" i="5"/>
  <c r="A73" i="5"/>
  <c r="Q72" i="5"/>
  <c r="P72" i="5"/>
  <c r="N72" i="5"/>
  <c r="J72" i="5"/>
  <c r="A72" i="5"/>
  <c r="Q71" i="5"/>
  <c r="P71" i="5"/>
  <c r="U71" i="5" s="1"/>
  <c r="V71" i="5" s="1"/>
  <c r="N71" i="5"/>
  <c r="J71" i="5"/>
  <c r="A71" i="5"/>
  <c r="Q70" i="5"/>
  <c r="P70" i="5"/>
  <c r="S70" i="5" s="1"/>
  <c r="N70" i="5"/>
  <c r="J70" i="5"/>
  <c r="A70" i="5"/>
  <c r="Q69" i="5"/>
  <c r="P69" i="5"/>
  <c r="S69" i="5" s="1"/>
  <c r="N69" i="5"/>
  <c r="J69" i="5"/>
  <c r="A69" i="5"/>
  <c r="Q68" i="5"/>
  <c r="P68" i="5"/>
  <c r="N68" i="5"/>
  <c r="J68" i="5"/>
  <c r="A68" i="5"/>
  <c r="Q67" i="5"/>
  <c r="P67" i="5"/>
  <c r="N67" i="5"/>
  <c r="J67" i="5"/>
  <c r="A67" i="5"/>
  <c r="Q66" i="5"/>
  <c r="P66" i="5"/>
  <c r="N66" i="5"/>
  <c r="J66" i="5"/>
  <c r="A66" i="5"/>
  <c r="Q65" i="5"/>
  <c r="P65" i="5"/>
  <c r="N65" i="5"/>
  <c r="J65" i="5"/>
  <c r="A65" i="5"/>
  <c r="Q64" i="5"/>
  <c r="P64" i="5"/>
  <c r="S64" i="5" s="1"/>
  <c r="N64" i="5"/>
  <c r="J64" i="5"/>
  <c r="A64" i="5"/>
  <c r="Q63" i="5"/>
  <c r="P63" i="5"/>
  <c r="S63" i="5" s="1"/>
  <c r="N63" i="5"/>
  <c r="J63" i="5"/>
  <c r="A63" i="5"/>
  <c r="Q62" i="5"/>
  <c r="P62" i="5"/>
  <c r="N62" i="5"/>
  <c r="J62" i="5"/>
  <c r="A62" i="5"/>
  <c r="Q61" i="5"/>
  <c r="P61" i="5"/>
  <c r="U61" i="5" s="1"/>
  <c r="N61" i="5"/>
  <c r="J61" i="5"/>
  <c r="A61" i="5"/>
  <c r="N60" i="5"/>
  <c r="J60" i="5"/>
  <c r="A60" i="5"/>
  <c r="N59" i="5"/>
  <c r="J59" i="5"/>
  <c r="A59" i="5"/>
  <c r="N58" i="5"/>
  <c r="J58" i="5"/>
  <c r="A58" i="5"/>
  <c r="N57" i="5"/>
  <c r="J57" i="5"/>
  <c r="A57" i="5"/>
  <c r="Q56" i="5"/>
  <c r="P56" i="5"/>
  <c r="N56" i="5"/>
  <c r="J56" i="5"/>
  <c r="A56" i="5"/>
  <c r="Q55" i="5"/>
  <c r="P55" i="5"/>
  <c r="N55" i="5"/>
  <c r="J55" i="5"/>
  <c r="B55" i="5"/>
  <c r="B56" i="5" s="1"/>
  <c r="A55" i="5"/>
  <c r="Q54" i="5"/>
  <c r="P54" i="5"/>
  <c r="S54" i="5" s="1"/>
  <c r="N54" i="5"/>
  <c r="J54" i="5"/>
  <c r="B54" i="5"/>
  <c r="A54" i="5"/>
  <c r="Q53" i="5"/>
  <c r="P53" i="5"/>
  <c r="N53" i="5"/>
  <c r="J53" i="5"/>
  <c r="A53" i="5"/>
  <c r="Q52" i="5"/>
  <c r="P52" i="5"/>
  <c r="N52" i="5"/>
  <c r="J52" i="5"/>
  <c r="A52" i="5"/>
  <c r="Q51" i="5"/>
  <c r="P51" i="5"/>
  <c r="N51" i="5"/>
  <c r="J51" i="5"/>
  <c r="A51" i="5"/>
  <c r="Q50" i="5"/>
  <c r="P50" i="5"/>
  <c r="U50" i="5" s="1"/>
  <c r="V50" i="5" s="1"/>
  <c r="N50" i="5"/>
  <c r="J50" i="5"/>
  <c r="A50" i="5"/>
  <c r="Q49" i="5"/>
  <c r="P49" i="5"/>
  <c r="U49" i="5" s="1"/>
  <c r="N49" i="5"/>
  <c r="J49" i="5"/>
  <c r="A49" i="5"/>
  <c r="Q48" i="5"/>
  <c r="P48" i="5"/>
  <c r="N48" i="5"/>
  <c r="J48" i="5"/>
  <c r="A48" i="5"/>
  <c r="Q47" i="5"/>
  <c r="P47" i="5"/>
  <c r="S47" i="5" s="1"/>
  <c r="N47" i="5"/>
  <c r="J47" i="5"/>
  <c r="A47" i="5"/>
  <c r="Q46" i="5"/>
  <c r="P46" i="5"/>
  <c r="S46" i="5" s="1"/>
  <c r="N46" i="5"/>
  <c r="J46" i="5"/>
  <c r="A46" i="5"/>
  <c r="Q45" i="5"/>
  <c r="P45" i="5"/>
  <c r="N45" i="5"/>
  <c r="J45" i="5"/>
  <c r="A45" i="5"/>
  <c r="Q44" i="5"/>
  <c r="P44" i="5"/>
  <c r="U44" i="5" s="1"/>
  <c r="V44" i="5" s="1"/>
  <c r="N44" i="5"/>
  <c r="J44" i="5"/>
  <c r="A44" i="5"/>
  <c r="Q43" i="5"/>
  <c r="P43" i="5"/>
  <c r="N43" i="5"/>
  <c r="J43" i="5"/>
  <c r="A43" i="5"/>
  <c r="Q42" i="5"/>
  <c r="P42" i="5"/>
  <c r="U42" i="5" s="1"/>
  <c r="V42" i="5" s="1"/>
  <c r="N42" i="5"/>
  <c r="J42" i="5"/>
  <c r="A42" i="5"/>
  <c r="Q41" i="5"/>
  <c r="P41" i="5"/>
  <c r="S41" i="5" s="1"/>
  <c r="N41" i="5"/>
  <c r="J41" i="5"/>
  <c r="A41" i="5"/>
  <c r="Q40" i="5"/>
  <c r="P40" i="5"/>
  <c r="U40" i="5" s="1"/>
  <c r="V40" i="5" s="1"/>
  <c r="N40" i="5"/>
  <c r="J40" i="5"/>
  <c r="B40" i="5"/>
  <c r="A40" i="5"/>
  <c r="Q39" i="5"/>
  <c r="P39" i="5"/>
  <c r="S39" i="5" s="1"/>
  <c r="N39" i="5"/>
  <c r="J39" i="5"/>
  <c r="B39" i="5"/>
  <c r="A39" i="5"/>
  <c r="Q38" i="5"/>
  <c r="P38" i="5"/>
  <c r="N38" i="5"/>
  <c r="J38" i="5"/>
  <c r="A38" i="5"/>
  <c r="Q37" i="5"/>
  <c r="P37" i="5"/>
  <c r="N37" i="5"/>
  <c r="J37" i="5"/>
  <c r="A37" i="5"/>
  <c r="Q36" i="5"/>
  <c r="P36" i="5"/>
  <c r="U36" i="5" s="1"/>
  <c r="V36" i="5" s="1"/>
  <c r="N36" i="5"/>
  <c r="J36" i="5"/>
  <c r="A36" i="5"/>
  <c r="Q35" i="5"/>
  <c r="P35" i="5"/>
  <c r="U35" i="5" s="1"/>
  <c r="V35" i="5" s="1"/>
  <c r="N35" i="5"/>
  <c r="J35" i="5"/>
  <c r="A35" i="5"/>
  <c r="Q34" i="5"/>
  <c r="P34" i="5"/>
  <c r="N34" i="5"/>
  <c r="J34" i="5"/>
  <c r="B34" i="5"/>
  <c r="B35" i="5" s="1"/>
  <c r="A34" i="5"/>
  <c r="Q33" i="5"/>
  <c r="P33" i="5"/>
  <c r="N33" i="5"/>
  <c r="J33" i="5"/>
  <c r="A33" i="5"/>
  <c r="Q32" i="5"/>
  <c r="P32" i="5"/>
  <c r="U32" i="5" s="1"/>
  <c r="V32" i="5" s="1"/>
  <c r="N32" i="5"/>
  <c r="J32" i="5"/>
  <c r="A32" i="5"/>
  <c r="Q31" i="5"/>
  <c r="P31" i="5"/>
  <c r="S31" i="5" s="1"/>
  <c r="N31" i="5"/>
  <c r="J31" i="5"/>
  <c r="A31" i="5"/>
  <c r="Q30" i="5"/>
  <c r="P30" i="5"/>
  <c r="S30" i="5" s="1"/>
  <c r="N30" i="5"/>
  <c r="J30" i="5"/>
  <c r="A30" i="5"/>
  <c r="Q29" i="5"/>
  <c r="P29" i="5"/>
  <c r="U29" i="5" s="1"/>
  <c r="N29" i="5"/>
  <c r="J29" i="5"/>
  <c r="B29" i="5"/>
  <c r="A29" i="5"/>
  <c r="Q28" i="5"/>
  <c r="P28" i="5"/>
  <c r="S28" i="5" s="1"/>
  <c r="N28" i="5"/>
  <c r="J28" i="5"/>
  <c r="A28" i="5"/>
  <c r="Q27" i="5"/>
  <c r="P27" i="5"/>
  <c r="N27" i="5"/>
  <c r="J27" i="5"/>
  <c r="A27" i="5"/>
  <c r="Q26" i="5"/>
  <c r="P26" i="5"/>
  <c r="N26" i="5"/>
  <c r="J26" i="5"/>
  <c r="A26" i="5"/>
  <c r="Q25" i="5"/>
  <c r="P25" i="5"/>
  <c r="U25" i="5" s="1"/>
  <c r="V25" i="5" s="1"/>
  <c r="N25" i="5"/>
  <c r="J25" i="5"/>
  <c r="A25" i="5"/>
  <c r="Q24" i="5"/>
  <c r="P24" i="5"/>
  <c r="N24" i="5"/>
  <c r="J24" i="5"/>
  <c r="B24" i="5"/>
  <c r="A24" i="5"/>
  <c r="Q23" i="5"/>
  <c r="P23" i="5"/>
  <c r="U23" i="5" s="1"/>
  <c r="V23" i="5" s="1"/>
  <c r="N23" i="5"/>
  <c r="J23" i="5"/>
  <c r="B23" i="5"/>
  <c r="A23" i="5"/>
  <c r="Q22" i="5"/>
  <c r="P22" i="5"/>
  <c r="N22" i="5"/>
  <c r="J22" i="5"/>
  <c r="A22" i="5"/>
  <c r="Q21" i="5"/>
  <c r="P21" i="5"/>
  <c r="N21" i="5"/>
  <c r="J21" i="5"/>
  <c r="B21" i="5"/>
  <c r="A21" i="5"/>
  <c r="Q20" i="5"/>
  <c r="P20" i="5"/>
  <c r="U20" i="5" s="1"/>
  <c r="V20" i="5" s="1"/>
  <c r="N20" i="5"/>
  <c r="J20" i="5"/>
  <c r="A20" i="5"/>
  <c r="Q19" i="5"/>
  <c r="P19" i="5"/>
  <c r="N19" i="5"/>
  <c r="J19" i="5"/>
  <c r="A19" i="5"/>
  <c r="Q18" i="5"/>
  <c r="P18" i="5"/>
  <c r="U18" i="5" s="1"/>
  <c r="V18" i="5" s="1"/>
  <c r="N18" i="5"/>
  <c r="J18" i="5"/>
  <c r="A18" i="5"/>
  <c r="Q17" i="5"/>
  <c r="P17" i="5"/>
  <c r="S17" i="5" s="1"/>
  <c r="N17" i="5"/>
  <c r="J17" i="5"/>
  <c r="A17" i="5"/>
  <c r="Q16" i="5"/>
  <c r="P16" i="5"/>
  <c r="S16" i="5" s="1"/>
  <c r="N16" i="5"/>
  <c r="J16" i="5"/>
  <c r="B16" i="5"/>
  <c r="A16" i="5"/>
  <c r="Q15" i="5"/>
  <c r="P15" i="5"/>
  <c r="N15" i="5"/>
  <c r="J15" i="5"/>
  <c r="B15" i="5"/>
  <c r="A15" i="5"/>
  <c r="AJ14" i="5"/>
  <c r="AU14" i="5" s="1"/>
  <c r="AI14" i="5"/>
  <c r="AT14" i="5" s="1"/>
  <c r="AH14" i="5"/>
  <c r="AS14" i="5" s="1"/>
  <c r="AG14" i="5"/>
  <c r="AR14" i="5" s="1"/>
  <c r="AF14" i="5"/>
  <c r="AQ14" i="5" s="1"/>
  <c r="AE14" i="5"/>
  <c r="AP14" i="5" s="1"/>
  <c r="AD14" i="5"/>
  <c r="AO14" i="5" s="1"/>
  <c r="AC14" i="5"/>
  <c r="AN14" i="5" s="1"/>
  <c r="AB14" i="5"/>
  <c r="AM14" i="5" s="1"/>
  <c r="AA14" i="5"/>
  <c r="AL14" i="5" s="1"/>
  <c r="Q14" i="5"/>
  <c r="P14" i="5"/>
  <c r="U14" i="5" s="1"/>
  <c r="N14" i="5"/>
  <c r="J14" i="5"/>
  <c r="A14" i="5"/>
  <c r="AJ13" i="5"/>
  <c r="AU13" i="5" s="1"/>
  <c r="AI13" i="5"/>
  <c r="AT13" i="5" s="1"/>
  <c r="AH13" i="5"/>
  <c r="AS13" i="5" s="1"/>
  <c r="AG13" i="5"/>
  <c r="AR13" i="5" s="1"/>
  <c r="AF13" i="5"/>
  <c r="AQ13" i="5" s="1"/>
  <c r="AE13" i="5"/>
  <c r="AP13" i="5" s="1"/>
  <c r="AD13" i="5"/>
  <c r="AO13" i="5" s="1"/>
  <c r="AC13" i="5"/>
  <c r="AN13" i="5" s="1"/>
  <c r="AB13" i="5"/>
  <c r="AM13" i="5" s="1"/>
  <c r="AA13" i="5"/>
  <c r="AL13" i="5" s="1"/>
  <c r="Q13" i="5"/>
  <c r="P13" i="5"/>
  <c r="N13" i="5"/>
  <c r="J13" i="5"/>
  <c r="A13" i="5"/>
  <c r="AJ12" i="5"/>
  <c r="AU12" i="5" s="1"/>
  <c r="AI12" i="5"/>
  <c r="AT12" i="5" s="1"/>
  <c r="AH12" i="5"/>
  <c r="AS12" i="5" s="1"/>
  <c r="AG12" i="5"/>
  <c r="AR12" i="5" s="1"/>
  <c r="AF12" i="5"/>
  <c r="AQ12" i="5" s="1"/>
  <c r="AE12" i="5"/>
  <c r="AP12" i="5" s="1"/>
  <c r="AD12" i="5"/>
  <c r="AO12" i="5" s="1"/>
  <c r="AC12" i="5"/>
  <c r="AN12" i="5" s="1"/>
  <c r="AB12" i="5"/>
  <c r="AM12" i="5" s="1"/>
  <c r="AA12" i="5"/>
  <c r="AL12" i="5" s="1"/>
  <c r="Q12" i="5"/>
  <c r="P12" i="5"/>
  <c r="N12" i="5"/>
  <c r="J12" i="5"/>
  <c r="A12" i="5"/>
  <c r="AJ11" i="5"/>
  <c r="AU11" i="5" s="1"/>
  <c r="AI11" i="5"/>
  <c r="AT11" i="5" s="1"/>
  <c r="AH11" i="5"/>
  <c r="AS11" i="5" s="1"/>
  <c r="AG11" i="5"/>
  <c r="AR11" i="5" s="1"/>
  <c r="AF11" i="5"/>
  <c r="AQ11" i="5" s="1"/>
  <c r="AE11" i="5"/>
  <c r="AP11" i="5" s="1"/>
  <c r="AD11" i="5"/>
  <c r="AO11" i="5" s="1"/>
  <c r="AC11" i="5"/>
  <c r="AN11" i="5" s="1"/>
  <c r="AB11" i="5"/>
  <c r="AM11" i="5" s="1"/>
  <c r="AA11" i="5"/>
  <c r="AL11" i="5" s="1"/>
  <c r="Q11" i="5"/>
  <c r="P11" i="5"/>
  <c r="N11" i="5"/>
  <c r="J11" i="5"/>
  <c r="A11" i="5"/>
  <c r="AJ10" i="5"/>
  <c r="AU10" i="5" s="1"/>
  <c r="AI10" i="5"/>
  <c r="AT10" i="5" s="1"/>
  <c r="AH10" i="5"/>
  <c r="AS10" i="5" s="1"/>
  <c r="AG10" i="5"/>
  <c r="AR10" i="5" s="1"/>
  <c r="AF10" i="5"/>
  <c r="AQ10" i="5" s="1"/>
  <c r="AE10" i="5"/>
  <c r="AP10" i="5" s="1"/>
  <c r="AD10" i="5"/>
  <c r="AO10" i="5" s="1"/>
  <c r="AC10" i="5"/>
  <c r="AN10" i="5" s="1"/>
  <c r="AB10" i="5"/>
  <c r="AM10" i="5" s="1"/>
  <c r="AA10" i="5"/>
  <c r="AL10" i="5" s="1"/>
  <c r="Q10" i="5"/>
  <c r="P10" i="5"/>
  <c r="S10" i="5" s="1"/>
  <c r="N10" i="5"/>
  <c r="J10" i="5"/>
  <c r="A10" i="5"/>
  <c r="Q9" i="5"/>
  <c r="P9" i="5"/>
  <c r="N9" i="5"/>
  <c r="J9" i="5"/>
  <c r="B9" i="5"/>
  <c r="A9" i="5"/>
  <c r="Q8" i="5"/>
  <c r="P8" i="5"/>
  <c r="N8" i="5"/>
  <c r="J8" i="5"/>
  <c r="A8" i="5"/>
  <c r="Q7" i="5"/>
  <c r="P7" i="5"/>
  <c r="N7" i="5"/>
  <c r="J7" i="5"/>
  <c r="A7" i="5"/>
  <c r="Q6" i="5"/>
  <c r="P6" i="5"/>
  <c r="N6" i="5"/>
  <c r="J6" i="5"/>
  <c r="A6" i="5"/>
  <c r="AJ5" i="5"/>
  <c r="AU5" i="5" s="1"/>
  <c r="AI5" i="5"/>
  <c r="AT5" i="5" s="1"/>
  <c r="AH5" i="5"/>
  <c r="AS5" i="5" s="1"/>
  <c r="AG5" i="5"/>
  <c r="AR5" i="5" s="1"/>
  <c r="AF5" i="5"/>
  <c r="AQ5" i="5" s="1"/>
  <c r="AE5" i="5"/>
  <c r="AP5" i="5" s="1"/>
  <c r="AD5" i="5"/>
  <c r="AO5" i="5" s="1"/>
  <c r="AC5" i="5"/>
  <c r="AN5" i="5" s="1"/>
  <c r="AB5" i="5"/>
  <c r="AM5" i="5" s="1"/>
  <c r="AA5" i="5"/>
  <c r="AL5" i="5" s="1"/>
  <c r="Q5" i="5"/>
  <c r="P5" i="5"/>
  <c r="U5" i="5" s="1"/>
  <c r="V5" i="5" s="1"/>
  <c r="N5" i="5"/>
  <c r="J5" i="5"/>
  <c r="A5" i="5"/>
  <c r="AJ4" i="5"/>
  <c r="AU4" i="5" s="1"/>
  <c r="AI4" i="5"/>
  <c r="AT4" i="5" s="1"/>
  <c r="AH4" i="5"/>
  <c r="AS4" i="5" s="1"/>
  <c r="AG4" i="5"/>
  <c r="AR4" i="5" s="1"/>
  <c r="AF4" i="5"/>
  <c r="AQ4" i="5" s="1"/>
  <c r="AE4" i="5"/>
  <c r="AP4" i="5" s="1"/>
  <c r="AD4" i="5"/>
  <c r="AO4" i="5" s="1"/>
  <c r="AC4" i="5"/>
  <c r="AN4" i="5" s="1"/>
  <c r="AB4" i="5"/>
  <c r="AM4" i="5" s="1"/>
  <c r="AA4" i="5"/>
  <c r="AL4" i="5" s="1"/>
  <c r="Q4" i="5"/>
  <c r="P4" i="5"/>
  <c r="N4" i="5"/>
  <c r="J4" i="5"/>
  <c r="A4" i="5"/>
  <c r="E89" i="4"/>
  <c r="A89" i="4"/>
  <c r="E88" i="4"/>
  <c r="A88" i="4"/>
  <c r="E87" i="4"/>
  <c r="A87" i="4"/>
  <c r="E86" i="4"/>
  <c r="A86" i="4"/>
  <c r="E85" i="4"/>
  <c r="A85" i="4"/>
  <c r="E84" i="4"/>
  <c r="A84" i="4"/>
  <c r="E83" i="4"/>
  <c r="A83" i="4"/>
  <c r="E82" i="4"/>
  <c r="A82" i="4"/>
  <c r="E81" i="4"/>
  <c r="A81" i="4"/>
  <c r="E80" i="4"/>
  <c r="A80" i="4"/>
  <c r="E79" i="4"/>
  <c r="A79" i="4"/>
  <c r="E78" i="4"/>
  <c r="A78" i="4"/>
  <c r="E77" i="4"/>
  <c r="A77" i="4"/>
  <c r="E76" i="4"/>
  <c r="A76" i="4"/>
  <c r="E75" i="4"/>
  <c r="A75" i="4"/>
  <c r="E74" i="4"/>
  <c r="A74" i="4"/>
  <c r="E73" i="4"/>
  <c r="A73" i="4"/>
  <c r="E72" i="4"/>
  <c r="A72" i="4"/>
  <c r="E71" i="4"/>
  <c r="A71" i="4"/>
  <c r="E70" i="4"/>
  <c r="A70" i="4"/>
  <c r="E69" i="4"/>
  <c r="A69" i="4"/>
  <c r="E68" i="4"/>
  <c r="A68" i="4"/>
  <c r="E67" i="4"/>
  <c r="A67" i="4"/>
  <c r="E66" i="4"/>
  <c r="A66" i="4"/>
  <c r="E65" i="4"/>
  <c r="A65" i="4"/>
  <c r="E64" i="4"/>
  <c r="A64" i="4"/>
  <c r="E63" i="4"/>
  <c r="A63" i="4"/>
  <c r="E62" i="4"/>
  <c r="A62" i="4"/>
  <c r="E61" i="4"/>
  <c r="A61" i="4"/>
  <c r="E60" i="4"/>
  <c r="A60" i="4"/>
  <c r="E59" i="4"/>
  <c r="A59" i="4"/>
  <c r="E58" i="4"/>
  <c r="A58" i="4"/>
  <c r="E57" i="4"/>
  <c r="A57" i="4"/>
  <c r="E56" i="4"/>
  <c r="A56" i="4"/>
  <c r="E55" i="4"/>
  <c r="A55" i="4"/>
  <c r="E54" i="4"/>
  <c r="A54" i="4"/>
  <c r="E53" i="4"/>
  <c r="A53" i="4"/>
  <c r="E52" i="4"/>
  <c r="A52" i="4"/>
  <c r="E51" i="4"/>
  <c r="A51" i="4"/>
  <c r="E50" i="4"/>
  <c r="A50" i="4"/>
  <c r="E49" i="4"/>
  <c r="A49" i="4"/>
  <c r="E48" i="4"/>
  <c r="A48" i="4"/>
  <c r="E47" i="4"/>
  <c r="A47" i="4"/>
  <c r="E46" i="4"/>
  <c r="A46" i="4"/>
  <c r="E45" i="4"/>
  <c r="A45" i="4"/>
  <c r="E44" i="4"/>
  <c r="A44" i="4"/>
  <c r="E43" i="4"/>
  <c r="A43" i="4"/>
  <c r="E42" i="4"/>
  <c r="A42" i="4"/>
  <c r="E41" i="4"/>
  <c r="A41" i="4"/>
  <c r="E40" i="4"/>
  <c r="A40" i="4"/>
  <c r="E39" i="4"/>
  <c r="A39" i="4"/>
  <c r="E38" i="4"/>
  <c r="A38" i="4"/>
  <c r="E37" i="4"/>
  <c r="A37" i="4"/>
  <c r="E36" i="4"/>
  <c r="A36" i="4"/>
  <c r="E35" i="4"/>
  <c r="A35" i="4"/>
  <c r="E34" i="4"/>
  <c r="A34" i="4"/>
  <c r="E33" i="4"/>
  <c r="A33" i="4"/>
  <c r="E32" i="4"/>
  <c r="A32" i="4"/>
  <c r="E31" i="4"/>
  <c r="A31" i="4"/>
  <c r="E30" i="4"/>
  <c r="A30" i="4"/>
  <c r="E29" i="4"/>
  <c r="A29" i="4"/>
  <c r="E28" i="4"/>
  <c r="A28" i="4"/>
  <c r="E27" i="4"/>
  <c r="A27" i="4"/>
  <c r="E26" i="4"/>
  <c r="A26" i="4"/>
  <c r="E25" i="4"/>
  <c r="A25" i="4"/>
  <c r="E24" i="4"/>
  <c r="A24" i="4"/>
  <c r="E23" i="4"/>
  <c r="A23" i="4"/>
  <c r="E22" i="4"/>
  <c r="A22" i="4"/>
  <c r="E21" i="4"/>
  <c r="A21" i="4"/>
  <c r="E20" i="4"/>
  <c r="A20" i="4"/>
  <c r="E19" i="4"/>
  <c r="A19" i="4"/>
  <c r="E18" i="4"/>
  <c r="A18" i="4"/>
  <c r="E17" i="4"/>
  <c r="A17" i="4"/>
  <c r="E16" i="4"/>
  <c r="A16" i="4"/>
  <c r="E15" i="4"/>
  <c r="A15" i="4"/>
  <c r="E14" i="4"/>
  <c r="A14" i="4"/>
  <c r="E13" i="4"/>
  <c r="A13" i="4"/>
  <c r="E12" i="4"/>
  <c r="A12" i="4"/>
  <c r="E11" i="4"/>
  <c r="A11" i="4"/>
  <c r="E10" i="4"/>
  <c r="A10" i="4"/>
  <c r="E9" i="4"/>
  <c r="A9" i="4"/>
  <c r="E8" i="4"/>
  <c r="A8" i="4"/>
  <c r="E7" i="4"/>
  <c r="A7" i="4"/>
  <c r="E6" i="4"/>
  <c r="A6" i="4"/>
  <c r="E5" i="4"/>
  <c r="A5" i="4"/>
  <c r="E4" i="4"/>
  <c r="A4" i="4"/>
  <c r="S23" i="5" l="1"/>
  <c r="X23" i="5" s="1"/>
  <c r="U30" i="5"/>
  <c r="V30" i="5" s="1"/>
  <c r="X30" i="5" s="1"/>
  <c r="S25" i="5"/>
  <c r="X25" i="5" s="1"/>
  <c r="U28" i="5"/>
  <c r="V28" i="5" s="1"/>
  <c r="X28" i="5" s="1"/>
  <c r="U69" i="5"/>
  <c r="V69" i="5" s="1"/>
  <c r="X69" i="5" s="1"/>
  <c r="S20" i="5"/>
  <c r="X20" i="5" s="1"/>
  <c r="U54" i="5"/>
  <c r="V54" i="5" s="1"/>
  <c r="X54" i="5" s="1"/>
  <c r="U10" i="5"/>
  <c r="V10" i="5" s="1"/>
  <c r="X10" i="5" s="1"/>
  <c r="U63" i="5"/>
  <c r="V63" i="5" s="1"/>
  <c r="X63" i="5" s="1"/>
  <c r="S80" i="5"/>
  <c r="S18" i="5"/>
  <c r="X18" i="5" s="1"/>
  <c r="S49" i="5"/>
  <c r="U8" i="5"/>
  <c r="V8" i="5" s="1"/>
  <c r="S44" i="5"/>
  <c r="X44" i="5" s="1"/>
  <c r="V49" i="5"/>
  <c r="U78" i="5"/>
  <c r="V78" i="5" s="1"/>
  <c r="X78" i="5" s="1"/>
  <c r="S89" i="5"/>
  <c r="X89" i="5" s="1"/>
  <c r="S62" i="5"/>
  <c r="U16" i="5"/>
  <c r="V16" i="5" s="1"/>
  <c r="X16" i="5" s="1"/>
  <c r="S42" i="5"/>
  <c r="X42" i="5" s="1"/>
  <c r="U73" i="5"/>
  <c r="V73" i="5" s="1"/>
  <c r="X73" i="5" s="1"/>
  <c r="V76" i="5"/>
  <c r="U87" i="5"/>
  <c r="V87" i="5" s="1"/>
  <c r="X87" i="5" s="1"/>
  <c r="S11" i="5"/>
  <c r="S32" i="5"/>
  <c r="X32" i="5" s="1"/>
  <c r="S50" i="5"/>
  <c r="X50" i="5" s="1"/>
  <c r="S5" i="5"/>
  <c r="X5" i="5" s="1"/>
  <c r="U11" i="5"/>
  <c r="V11" i="5" s="1"/>
  <c r="S71" i="5"/>
  <c r="X71" i="5" s="1"/>
  <c r="S79" i="5"/>
  <c r="X79" i="5" s="1"/>
  <c r="S8" i="5"/>
  <c r="S36" i="5"/>
  <c r="X36" i="5" s="1"/>
  <c r="S6" i="5"/>
  <c r="U6" i="5"/>
  <c r="V6" i="5" s="1"/>
  <c r="U47" i="5"/>
  <c r="V47" i="5" s="1"/>
  <c r="X47" i="5" s="1"/>
  <c r="U62" i="5"/>
  <c r="V62" i="5" s="1"/>
  <c r="S35" i="5"/>
  <c r="X35" i="5" s="1"/>
  <c r="S40" i="5"/>
  <c r="X40" i="5" s="1"/>
  <c r="U85" i="5"/>
  <c r="V85" i="5" s="1"/>
  <c r="X85" i="5" s="1"/>
  <c r="V80" i="5"/>
  <c r="U64" i="5"/>
  <c r="V64" i="5" s="1"/>
  <c r="X64" i="5" s="1"/>
  <c r="U4" i="5"/>
  <c r="V4" i="5" s="1"/>
  <c r="S4" i="5"/>
  <c r="S15" i="5"/>
  <c r="U15" i="5"/>
  <c r="V15" i="5" s="1"/>
  <c r="U37" i="5"/>
  <c r="V37" i="5" s="1"/>
  <c r="S37" i="5"/>
  <c r="S27" i="5"/>
  <c r="U27" i="5"/>
  <c r="V27" i="5" s="1"/>
  <c r="U51" i="5"/>
  <c r="V51" i="5" s="1"/>
  <c r="U66" i="5"/>
  <c r="V66" i="5" s="1"/>
  <c r="S66" i="5"/>
  <c r="S82" i="5"/>
  <c r="U82" i="5"/>
  <c r="V82" i="5" s="1"/>
  <c r="U53" i="5"/>
  <c r="V53" i="5" s="1"/>
  <c r="S53" i="5"/>
  <c r="U56" i="5"/>
  <c r="V56" i="5" s="1"/>
  <c r="S56" i="5"/>
  <c r="S51" i="5"/>
  <c r="S22" i="5"/>
  <c r="S34" i="5"/>
  <c r="U39" i="5"/>
  <c r="V39" i="5" s="1"/>
  <c r="X39" i="5" s="1"/>
  <c r="U46" i="5"/>
  <c r="V46" i="5" s="1"/>
  <c r="X46" i="5" s="1"/>
  <c r="S68" i="5"/>
  <c r="U75" i="5"/>
  <c r="V75" i="5" s="1"/>
  <c r="X75" i="5" s="1"/>
  <c r="S84" i="5"/>
  <c r="S7" i="5"/>
  <c r="S14" i="5"/>
  <c r="U22" i="5"/>
  <c r="V22" i="5" s="1"/>
  <c r="U34" i="5"/>
  <c r="V34" i="5" s="1"/>
  <c r="S48" i="5"/>
  <c r="S61" i="5"/>
  <c r="U68" i="5"/>
  <c r="V68" i="5" s="1"/>
  <c r="S77" i="5"/>
  <c r="U84" i="5"/>
  <c r="V84" i="5" s="1"/>
  <c r="U77" i="5"/>
  <c r="V77" i="5" s="1"/>
  <c r="V14" i="5"/>
  <c r="U41" i="5"/>
  <c r="V41" i="5" s="1"/>
  <c r="X41" i="5" s="1"/>
  <c r="S13" i="5"/>
  <c r="U9" i="5"/>
  <c r="V9" i="5" s="1"/>
  <c r="U13" i="5"/>
  <c r="V13" i="5" s="1"/>
  <c r="U19" i="5"/>
  <c r="V19" i="5" s="1"/>
  <c r="U24" i="5"/>
  <c r="V24" i="5" s="1"/>
  <c r="U31" i="5"/>
  <c r="V31" i="5" s="1"/>
  <c r="X31" i="5" s="1"/>
  <c r="S38" i="5"/>
  <c r="U43" i="5"/>
  <c r="V43" i="5" s="1"/>
  <c r="S52" i="5"/>
  <c r="S65" i="5"/>
  <c r="U72" i="5"/>
  <c r="V72" i="5" s="1"/>
  <c r="S81" i="5"/>
  <c r="U88" i="5"/>
  <c r="V88" i="5" s="1"/>
  <c r="X88" i="5" s="1"/>
  <c r="U7" i="5"/>
  <c r="V7" i="5" s="1"/>
  <c r="S55" i="5"/>
  <c r="U17" i="5"/>
  <c r="V17" i="5" s="1"/>
  <c r="X17" i="5" s="1"/>
  <c r="U55" i="5"/>
  <c r="V55" i="5" s="1"/>
  <c r="V61" i="5"/>
  <c r="U70" i="5"/>
  <c r="V70" i="5" s="1"/>
  <c r="X70" i="5" s="1"/>
  <c r="S9" i="5"/>
  <c r="S19" i="5"/>
  <c r="S24" i="5"/>
  <c r="V29" i="5"/>
  <c r="S43" i="5"/>
  <c r="S72" i="5"/>
  <c r="S26" i="5"/>
  <c r="S33" i="5"/>
  <c r="U38" i="5"/>
  <c r="V38" i="5" s="1"/>
  <c r="S45" i="5"/>
  <c r="U52" i="5"/>
  <c r="V52" i="5" s="1"/>
  <c r="U65" i="5"/>
  <c r="V65" i="5" s="1"/>
  <c r="S74" i="5"/>
  <c r="U81" i="5"/>
  <c r="V81" i="5" s="1"/>
  <c r="S29" i="5"/>
  <c r="S86" i="5"/>
  <c r="S12" i="5"/>
  <c r="S21" i="5"/>
  <c r="U26" i="5"/>
  <c r="V26" i="5" s="1"/>
  <c r="U33" i="5"/>
  <c r="V33" i="5" s="1"/>
  <c r="U45" i="5"/>
  <c r="V45" i="5" s="1"/>
  <c r="S67" i="5"/>
  <c r="U74" i="5"/>
  <c r="V74" i="5" s="1"/>
  <c r="S83" i="5"/>
  <c r="U48" i="5"/>
  <c r="V48" i="5" s="1"/>
  <c r="V86" i="5"/>
  <c r="U12" i="5"/>
  <c r="V12" i="5" s="1"/>
  <c r="U21" i="5"/>
  <c r="V21" i="5" s="1"/>
  <c r="U67" i="5"/>
  <c r="V67" i="5" s="1"/>
  <c r="S76" i="5"/>
  <c r="U83" i="5"/>
  <c r="V83" i="5" s="1"/>
  <c r="X56" i="5" l="1"/>
  <c r="X26" i="5"/>
  <c r="X6" i="5"/>
  <c r="X53" i="5"/>
  <c r="X52" i="5"/>
  <c r="X37" i="5"/>
  <c r="X84" i="5"/>
  <c r="X38" i="5"/>
  <c r="X80" i="5"/>
  <c r="X8" i="5"/>
  <c r="X68" i="5"/>
  <c r="X49" i="5"/>
  <c r="X61" i="5"/>
  <c r="X86" i="5"/>
  <c r="X34" i="5"/>
  <c r="X81" i="5"/>
  <c r="X14" i="5"/>
  <c r="X74" i="5"/>
  <c r="X4" i="5"/>
  <c r="X76" i="5"/>
  <c r="X43" i="5"/>
  <c r="X82" i="5"/>
  <c r="X7" i="5"/>
  <c r="X29" i="5"/>
  <c r="X9" i="5"/>
  <c r="X66" i="5"/>
  <c r="X33" i="5"/>
  <c r="X62" i="5"/>
  <c r="X11" i="5"/>
  <c r="X51" i="5"/>
  <c r="X55" i="5"/>
  <c r="X65" i="5"/>
  <c r="X12" i="5"/>
  <c r="X15" i="5"/>
  <c r="X45" i="5"/>
  <c r="X77" i="5"/>
  <c r="X22" i="5"/>
  <c r="X48" i="5"/>
  <c r="X72" i="5"/>
  <c r="X24" i="5"/>
  <c r="X27" i="5"/>
  <c r="X19" i="5"/>
  <c r="X13" i="5"/>
  <c r="X83" i="5"/>
  <c r="X67" i="5"/>
  <c r="X21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B32" authorId="0" shapeId="0" xr:uid="{B51705AE-AFA1-4541-87AD-50D6B9F71757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en</t>
        </r>
      </text>
    </comment>
    <comment ref="B37" authorId="0" shapeId="0" xr:uid="{6AE60AB9-CCE7-4164-B7E3-1EF96182B1CA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ɪ</t>
        </r>
        <r>
          <rPr>
            <sz val="9"/>
            <color indexed="81"/>
            <rFont val="Tahoma"/>
            <family val="2"/>
          </rPr>
          <t>et̚</t>
        </r>
      </text>
    </comment>
    <comment ref="B42" authorId="0" shapeId="0" xr:uid="{28FFEDAB-AE52-4924-92B5-0ED74C6D1EB3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ɪ</t>
        </r>
        <r>
          <rPr>
            <sz val="9"/>
            <color indexed="81"/>
            <rFont val="Tahoma"/>
            <family val="2"/>
          </rPr>
          <t>ək̚</t>
        </r>
      </text>
    </comment>
    <comment ref="B47" authorId="0" shapeId="0" xr:uid="{F7E1DDB4-9026-4CAF-A3CB-7276EE4B202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ɪ</t>
        </r>
        <r>
          <rPr>
            <sz val="9"/>
            <color indexed="81"/>
            <rFont val="Tahoma"/>
            <family val="2"/>
          </rPr>
          <t>ə</t>
        </r>
      </text>
    </comment>
    <comment ref="B48" authorId="0" shapeId="0" xr:uid="{123CB13D-73C7-4B95-959D-7CDCD7A519F8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ɪ</t>
        </r>
        <r>
          <rPr>
            <sz val="9"/>
            <color indexed="81"/>
            <rFont val="Tahoma"/>
            <family val="2"/>
          </rPr>
          <t>əʔ/</t>
        </r>
      </text>
    </comment>
    <comment ref="B61" authorId="0" shapeId="0" xr:uid="{30F1E845-DEEB-44E2-8213-0A66D1FBF385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ə</t>
        </r>
      </text>
    </comment>
    <comment ref="B62" authorId="0" shapeId="0" xr:uid="{9E560138-288E-4819-B611-EC4A055B15E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əʔ</t>
        </r>
      </text>
    </comment>
  </commentList>
</comments>
</file>

<file path=xl/sharedStrings.xml><?xml version="1.0" encoding="utf-8"?>
<sst xmlns="http://schemas.openxmlformats.org/spreadsheetml/2006/main" count="2465" uniqueCount="767">
  <si>
    <t>十五音序</t>
    <phoneticPr fontId="5" type="noConversion"/>
  </si>
  <si>
    <t>十五音</t>
  </si>
  <si>
    <t>漢字例</t>
  </si>
  <si>
    <t>國際音標</t>
  </si>
  <si>
    <t>備註</t>
  </si>
  <si>
    <t>注音序</t>
    <phoneticPr fontId="5" type="noConversion"/>
  </si>
  <si>
    <t>方音符號</t>
  </si>
  <si>
    <t>台語注音</t>
  </si>
  <si>
    <t>台羅拼音</t>
  </si>
  <si>
    <t>台語音標</t>
  </si>
  <si>
    <t>白話字</t>
  </si>
  <si>
    <t>注音二式</t>
  </si>
  <si>
    <t>閩拼方案</t>
  </si>
  <si>
    <t>柳</t>
  </si>
  <si>
    <t>理</t>
  </si>
  <si>
    <t>l</t>
  </si>
  <si>
    <t>ㄅ</t>
  </si>
  <si>
    <t>p</t>
  </si>
  <si>
    <t>b</t>
  </si>
  <si>
    <t>耐</t>
  </si>
  <si>
    <t>n</t>
  </si>
  <si>
    <t xml:space="preserve">l/n 本不分，此處分柳/耐 </t>
  </si>
  <si>
    <t>ㄆ</t>
  </si>
  <si>
    <t>ph</t>
  </si>
  <si>
    <t>邊</t>
  </si>
  <si>
    <t>比</t>
  </si>
  <si>
    <t>ㄇ</t>
  </si>
  <si>
    <t>m</t>
  </si>
  <si>
    <t>bbn</t>
  </si>
  <si>
    <t>求</t>
  </si>
  <si>
    <t>己</t>
  </si>
  <si>
    <t>k</t>
  </si>
  <si>
    <t>ㆠ</t>
  </si>
  <si>
    <t>ㄪ</t>
  </si>
  <si>
    <t>bb</t>
  </si>
  <si>
    <t>去</t>
  </si>
  <si>
    <t>起</t>
  </si>
  <si>
    <t>kʰ</t>
  </si>
  <si>
    <t>ㄉ</t>
  </si>
  <si>
    <t>t</t>
  </si>
  <si>
    <t>d</t>
  </si>
  <si>
    <t>地</t>
  </si>
  <si>
    <t>底</t>
  </si>
  <si>
    <t>ㄊ</t>
  </si>
  <si>
    <t>th</t>
  </si>
  <si>
    <t>頗</t>
  </si>
  <si>
    <t>鄙</t>
  </si>
  <si>
    <t>pʰ</t>
  </si>
  <si>
    <t>ㄋ</t>
  </si>
  <si>
    <t>ln</t>
  </si>
  <si>
    <t>他</t>
  </si>
  <si>
    <t>恥</t>
  </si>
  <si>
    <t>tʰ</t>
  </si>
  <si>
    <t>ㄌ</t>
  </si>
  <si>
    <t>曾</t>
  </si>
  <si>
    <t>阻</t>
  </si>
  <si>
    <t>ʦ</t>
  </si>
  <si>
    <t>ㄍ</t>
  </si>
  <si>
    <t>g</t>
  </si>
  <si>
    <t>入</t>
  </si>
  <si>
    <t>熱</t>
  </si>
  <si>
    <t>ʣ</t>
  </si>
  <si>
    <t>ㄎ</t>
  </si>
  <si>
    <t>kh</t>
  </si>
  <si>
    <t>時</t>
  </si>
  <si>
    <t>詞</t>
  </si>
  <si>
    <t>s</t>
  </si>
  <si>
    <t>ㄫ</t>
  </si>
  <si>
    <t xml:space="preserve">⁰ㄫ </t>
  </si>
  <si>
    <t>ng</t>
  </si>
  <si>
    <t>ggn</t>
  </si>
  <si>
    <t>英</t>
  </si>
  <si>
    <t>以</t>
  </si>
  <si>
    <t>Ø</t>
    <phoneticPr fontId="5" type="noConversion"/>
  </si>
  <si>
    <t>ㆣ</t>
  </si>
  <si>
    <t>gg</t>
  </si>
  <si>
    <t>門</t>
  </si>
  <si>
    <t>美</t>
  </si>
  <si>
    <t>ㄗ</t>
  </si>
  <si>
    <t>ts</t>
  </si>
  <si>
    <t>z</t>
  </si>
  <si>
    <t>ch</t>
  </si>
  <si>
    <t>毛</t>
  </si>
  <si>
    <t xml:space="preserve">b/m 本不分，此處分門/毛 </t>
  </si>
  <si>
    <t>ㄘ</t>
    <phoneticPr fontId="5" type="noConversion"/>
  </si>
  <si>
    <t>ㄘ</t>
  </si>
  <si>
    <t>tsh</t>
  </si>
  <si>
    <t>c</t>
  </si>
  <si>
    <t>chh</t>
  </si>
  <si>
    <t>語</t>
  </si>
  <si>
    <t>禦</t>
  </si>
  <si>
    <t>ɡ</t>
  </si>
  <si>
    <t>ㄙ</t>
    <phoneticPr fontId="5" type="noConversion"/>
  </si>
  <si>
    <t>ㄙ</t>
  </si>
  <si>
    <t>雅</t>
  </si>
  <si>
    <t>ŋ</t>
  </si>
  <si>
    <t xml:space="preserve">g/ng 本不分，此處分語/雅 </t>
  </si>
  <si>
    <t>ㆡ</t>
  </si>
  <si>
    <t>ㄖ</t>
  </si>
  <si>
    <t>j</t>
  </si>
  <si>
    <t>zz</t>
  </si>
  <si>
    <t>出</t>
  </si>
  <si>
    <t>取</t>
  </si>
  <si>
    <t>ʦʰ</t>
  </si>
  <si>
    <t>ㄏ</t>
  </si>
  <si>
    <t>h</t>
  </si>
  <si>
    <t>喜</t>
  </si>
  <si>
    <t>Ø</t>
  </si>
  <si>
    <t>零聲母</t>
    <phoneticPr fontId="5" type="noConversion"/>
  </si>
  <si>
    <t>ʥ</t>
  </si>
  <si>
    <t>ㆢ = ㆡㄧ</t>
    <phoneticPr fontId="5" type="noConversion"/>
  </si>
  <si>
    <t>ㄐ</t>
    <phoneticPr fontId="5" type="noConversion"/>
  </si>
  <si>
    <t>ㄐ</t>
  </si>
  <si>
    <t>tsi</t>
  </si>
  <si>
    <t>zi</t>
  </si>
  <si>
    <t>chi</t>
  </si>
  <si>
    <t>j</t>
    <phoneticPr fontId="5" type="noConversion"/>
  </si>
  <si>
    <t>ㄐ = ㄗㄧ</t>
    <phoneticPr fontId="5" type="noConversion"/>
  </si>
  <si>
    <t>止</t>
  </si>
  <si>
    <t>ʨ</t>
  </si>
  <si>
    <t>ㄑ</t>
    <phoneticPr fontId="5" type="noConversion"/>
  </si>
  <si>
    <t>ㄑ</t>
  </si>
  <si>
    <t>tshi</t>
  </si>
  <si>
    <t>ci</t>
  </si>
  <si>
    <t>chhi</t>
  </si>
  <si>
    <t>ch</t>
    <phoneticPr fontId="5" type="noConversion"/>
  </si>
  <si>
    <t>ㄑ = ㄘㄧ</t>
    <phoneticPr fontId="5" type="noConversion"/>
  </si>
  <si>
    <t>測</t>
  </si>
  <si>
    <t>ʨʰ</t>
  </si>
  <si>
    <t>ㄒ</t>
    <phoneticPr fontId="5" type="noConversion"/>
  </si>
  <si>
    <t>ㄒ</t>
  </si>
  <si>
    <t>si</t>
  </si>
  <si>
    <t>sh</t>
    <phoneticPr fontId="5" type="noConversion"/>
  </si>
  <si>
    <t>ㄒ = ㄙㄧ</t>
    <phoneticPr fontId="5" type="noConversion"/>
  </si>
  <si>
    <t>惜</t>
  </si>
  <si>
    <t>ɕ</t>
  </si>
  <si>
    <t>ㆢ</t>
  </si>
  <si>
    <t>ji</t>
  </si>
  <si>
    <t>jj</t>
    <phoneticPr fontId="5" type="noConversion"/>
  </si>
  <si>
    <t>zzi</t>
  </si>
  <si>
    <t>ts+i</t>
    <phoneticPr fontId="4" type="noConversion"/>
  </si>
  <si>
    <t>tsh+i</t>
    <phoneticPr fontId="4" type="noConversion"/>
  </si>
  <si>
    <t>s+i</t>
    <phoneticPr fontId="4" type="noConversion"/>
  </si>
  <si>
    <t>j+i</t>
    <phoneticPr fontId="4" type="noConversion"/>
  </si>
  <si>
    <t>序號</t>
    <phoneticPr fontId="5" type="noConversion"/>
  </si>
  <si>
    <t>國際音標</t>
    <phoneticPr fontId="5" type="noConversion"/>
  </si>
  <si>
    <t>台羅拼音</t>
    <phoneticPr fontId="5" type="noConversion"/>
  </si>
  <si>
    <t>台語音標</t>
    <phoneticPr fontId="5" type="noConversion"/>
  </si>
  <si>
    <t>台語注音二式</t>
    <phoneticPr fontId="5" type="noConversion"/>
  </si>
  <si>
    <t>閩拼方案</t>
    <phoneticPr fontId="5" type="noConversion"/>
  </si>
  <si>
    <t>白話字</t>
    <phoneticPr fontId="5" type="noConversion"/>
  </si>
  <si>
    <t>方音符號</t>
    <phoneticPr fontId="5" type="noConversion"/>
  </si>
  <si>
    <t>台語注音</t>
    <phoneticPr fontId="5" type="noConversion"/>
  </si>
  <si>
    <t>十五音</t>
    <phoneticPr fontId="5" type="noConversion"/>
  </si>
  <si>
    <t>漢字例</t>
    <phoneticPr fontId="5" type="noConversion"/>
  </si>
  <si>
    <t>十五音識別碼</t>
    <phoneticPr fontId="5" type="noConversion"/>
  </si>
  <si>
    <t>聲韻調類</t>
    <phoneticPr fontId="5" type="noConversion"/>
  </si>
  <si>
    <t>字長</t>
    <phoneticPr fontId="5" type="noConversion"/>
  </si>
  <si>
    <t>標調字母</t>
    <phoneticPr fontId="5" type="noConversion"/>
  </si>
  <si>
    <t>search()</t>
    <phoneticPr fontId="5" type="noConversion"/>
  </si>
  <si>
    <t>U+0301</t>
  </si>
  <si>
    <t>U+0300</t>
  </si>
  <si>
    <t>U+030C</t>
    <phoneticPr fontId="5" type="noConversion"/>
  </si>
  <si>
    <t>U+0301</t>
    <phoneticPr fontId="5" type="noConversion"/>
  </si>
  <si>
    <t>U+0304</t>
  </si>
  <si>
    <t>U+030D</t>
  </si>
  <si>
    <t>U+030B</t>
  </si>
  <si>
    <t>U+030A</t>
  </si>
  <si>
    <t>a</t>
    <phoneticPr fontId="5" type="noConversion"/>
  </si>
  <si>
    <t>a</t>
  </si>
  <si>
    <t>ㄚ</t>
  </si>
  <si>
    <t>些</t>
  </si>
  <si>
    <t>膠舒</t>
  </si>
  <si>
    <t>aʔ</t>
    <phoneticPr fontId="5" type="noConversion"/>
  </si>
  <si>
    <t>ah</t>
  </si>
  <si>
    <t>ㄚㆷ</t>
  </si>
  <si>
    <t>ㄚㄏ</t>
  </si>
  <si>
    <t>百</t>
  </si>
  <si>
    <t>膠促</t>
  </si>
  <si>
    <t>u</t>
    <phoneticPr fontId="5" type="noConversion"/>
  </si>
  <si>
    <t>aɪ</t>
    <phoneticPr fontId="5" type="noConversion"/>
  </si>
  <si>
    <t>ai</t>
  </si>
  <si>
    <t>ㄞ</t>
  </si>
  <si>
    <t>埃</t>
  </si>
  <si>
    <t>皆舒</t>
  </si>
  <si>
    <t>o</t>
    <phoneticPr fontId="5" type="noConversion"/>
  </si>
  <si>
    <t>aɪʔ</t>
    <phoneticPr fontId="5" type="noConversion"/>
  </si>
  <si>
    <t>aih</t>
  </si>
  <si>
    <t>aih</t>
    <phoneticPr fontId="5" type="noConversion"/>
  </si>
  <si>
    <r>
      <rPr>
        <sz val="18"/>
        <color rgb="FFFF0000"/>
        <rFont val="Microsoft JhengHei"/>
        <family val="2"/>
      </rPr>
      <t>ㄞ</t>
    </r>
    <r>
      <rPr>
        <sz val="18"/>
        <color rgb="FFFF0000"/>
        <rFont val="Microsoft JhengHei"/>
        <family val="2"/>
        <charset val="136"/>
      </rPr>
      <t>ㆷ</t>
    </r>
    <phoneticPr fontId="5" type="noConversion"/>
  </si>
  <si>
    <r>
      <rPr>
        <sz val="18"/>
        <color rgb="FF000000"/>
        <rFont val="Noto Sans TC"/>
        <family val="2"/>
        <charset val="136"/>
      </rPr>
      <t>ㄞ</t>
    </r>
    <r>
      <rPr>
        <sz val="18"/>
        <color rgb="FF000000"/>
        <rFont val="Microsoft JhengHei"/>
        <family val="2"/>
      </rPr>
      <t>ㄏ</t>
    </r>
    <phoneticPr fontId="5" type="noConversion"/>
  </si>
  <si>
    <t>◯</t>
  </si>
  <si>
    <t>皆促</t>
  </si>
  <si>
    <t>ãɪ</t>
    <phoneticPr fontId="5" type="noConversion"/>
  </si>
  <si>
    <t>ainn</t>
  </si>
  <si>
    <t>nai</t>
  </si>
  <si>
    <t>aiⁿ</t>
    <phoneticPr fontId="5" type="noConversion"/>
  </si>
  <si>
    <t>ㆮ</t>
  </si>
  <si>
    <t>⁰ㄞ</t>
  </si>
  <si>
    <t>挨</t>
  </si>
  <si>
    <t>閒舒</t>
  </si>
  <si>
    <t>韻-鼻</t>
    <phoneticPr fontId="5" type="noConversion"/>
  </si>
  <si>
    <t>ak</t>
  </si>
  <si>
    <t>ㄚㆻ</t>
    <phoneticPr fontId="5" type="noConversion"/>
  </si>
  <si>
    <t>ㄚㄍ</t>
  </si>
  <si>
    <t>角</t>
  </si>
  <si>
    <t>江促</t>
  </si>
  <si>
    <t>e</t>
    <phoneticPr fontId="5" type="noConversion"/>
  </si>
  <si>
    <t>am</t>
    <phoneticPr fontId="5" type="noConversion"/>
  </si>
  <si>
    <t>am</t>
  </si>
  <si>
    <t>ㆰ</t>
  </si>
  <si>
    <t>ㄚㄇ</t>
  </si>
  <si>
    <t>堪</t>
  </si>
  <si>
    <t>甘舒</t>
  </si>
  <si>
    <t>an</t>
    <phoneticPr fontId="5" type="noConversion"/>
  </si>
  <si>
    <t>an</t>
  </si>
  <si>
    <t>ㄢ</t>
  </si>
  <si>
    <t>蘭</t>
  </si>
  <si>
    <t>干舒</t>
  </si>
  <si>
    <t>m</t>
    <phoneticPr fontId="5" type="noConversion"/>
  </si>
  <si>
    <t>aŋ</t>
    <phoneticPr fontId="5" type="noConversion"/>
  </si>
  <si>
    <t>ang</t>
  </si>
  <si>
    <t>ㄤ</t>
  </si>
  <si>
    <t>邦</t>
  </si>
  <si>
    <t>江舒</t>
  </si>
  <si>
    <t>n</t>
    <phoneticPr fontId="5" type="noConversion"/>
  </si>
  <si>
    <t>ã</t>
    <phoneticPr fontId="5" type="noConversion"/>
  </si>
  <si>
    <t>ann</t>
  </si>
  <si>
    <t>na</t>
  </si>
  <si>
    <t>aⁿ</t>
  </si>
  <si>
    <t>ㆩ</t>
  </si>
  <si>
    <t>⁰ㄚ</t>
  </si>
  <si>
    <t>聽</t>
  </si>
  <si>
    <t>監舒</t>
  </si>
  <si>
    <t>i</t>
    <phoneticPr fontId="5" type="noConversion"/>
  </si>
  <si>
    <t>ãʔ</t>
    <phoneticPr fontId="5" type="noConversion"/>
  </si>
  <si>
    <t>annh</t>
  </si>
  <si>
    <t>annh</t>
    <phoneticPr fontId="5" type="noConversion"/>
  </si>
  <si>
    <t>nah</t>
    <phoneticPr fontId="5" type="noConversion"/>
  </si>
  <si>
    <t>ahⁿ</t>
  </si>
  <si>
    <t>ㆩㆷ</t>
  </si>
  <si>
    <t>⁰ㄚㄏ</t>
  </si>
  <si>
    <t>含</t>
  </si>
  <si>
    <t>監促</t>
  </si>
  <si>
    <t>ap</t>
  </si>
  <si>
    <t>ㄚㆴ</t>
  </si>
  <si>
    <t>ㄚㄅ</t>
  </si>
  <si>
    <t>答</t>
  </si>
  <si>
    <t>甘促</t>
  </si>
  <si>
    <t>at</t>
  </si>
  <si>
    <t>ㄚㆵ</t>
  </si>
  <si>
    <t>ㄚㄉ</t>
  </si>
  <si>
    <t>識</t>
  </si>
  <si>
    <t>干促</t>
  </si>
  <si>
    <t>aʊ</t>
    <phoneticPr fontId="5" type="noConversion"/>
  </si>
  <si>
    <t>au</t>
  </si>
  <si>
    <t>ao</t>
  </si>
  <si>
    <t>ㄠ</t>
  </si>
  <si>
    <t>鬧</t>
  </si>
  <si>
    <t>交舒</t>
  </si>
  <si>
    <t>auʔ</t>
    <phoneticPr fontId="5" type="noConversion"/>
  </si>
  <si>
    <t>auh</t>
  </si>
  <si>
    <t>aoh</t>
  </si>
  <si>
    <t>ㄠㆷ</t>
    <phoneticPr fontId="5" type="noConversion"/>
  </si>
  <si>
    <t>ㄠㄏ</t>
  </si>
  <si>
    <t>暴</t>
  </si>
  <si>
    <t>交促</t>
  </si>
  <si>
    <t>e</t>
  </si>
  <si>
    <t>ei</t>
  </si>
  <si>
    <t>e</t>
    <phoneticPr fontId="4" type="noConversion"/>
  </si>
  <si>
    <t>ㆤ</t>
  </si>
  <si>
    <t>ㄝ</t>
  </si>
  <si>
    <t>遞</t>
  </si>
  <si>
    <t>稽舒</t>
  </si>
  <si>
    <t>ɛ</t>
    <phoneticPr fontId="5" type="noConversion"/>
  </si>
  <si>
    <t>ee</t>
    <phoneticPr fontId="5" type="noConversion"/>
  </si>
  <si>
    <t>ㄝ</t>
    <phoneticPr fontId="5" type="noConversion"/>
  </si>
  <si>
    <t>家</t>
  </si>
  <si>
    <t>嘉舒</t>
  </si>
  <si>
    <t>eeh</t>
    <phoneticPr fontId="5" type="noConversion"/>
  </si>
  <si>
    <t>ㄝㆷ</t>
    <phoneticPr fontId="5" type="noConversion"/>
  </si>
  <si>
    <t>ㄝㄏ</t>
  </si>
  <si>
    <t>八</t>
  </si>
  <si>
    <t>嘉促</t>
  </si>
  <si>
    <t>eʔ</t>
    <phoneticPr fontId="5" type="noConversion"/>
  </si>
  <si>
    <t>eh</t>
  </si>
  <si>
    <t>ㆤㆷ</t>
  </si>
  <si>
    <t>伯</t>
  </si>
  <si>
    <t>伽促</t>
  </si>
  <si>
    <t>ek</t>
    <phoneticPr fontId="5" type="noConversion"/>
  </si>
  <si>
    <t>ㄝㆻ</t>
    <phoneticPr fontId="5" type="noConversion"/>
  </si>
  <si>
    <t>ㄝㄍ</t>
    <phoneticPr fontId="5" type="noConversion"/>
  </si>
  <si>
    <t>經促</t>
  </si>
  <si>
    <t>eng</t>
    <phoneticPr fontId="5" type="noConversion"/>
  </si>
  <si>
    <t>ㄝㆭ</t>
    <phoneticPr fontId="5" type="noConversion"/>
  </si>
  <si>
    <t>ㄝㄥ</t>
    <phoneticPr fontId="5" type="noConversion"/>
  </si>
  <si>
    <t>經舒</t>
  </si>
  <si>
    <t>ẽ</t>
    <phoneticPr fontId="5" type="noConversion"/>
  </si>
  <si>
    <t>enn</t>
  </si>
  <si>
    <t>ne</t>
  </si>
  <si>
    <t>eⁿ</t>
  </si>
  <si>
    <t>ㆥ</t>
  </si>
  <si>
    <t>⁰ㄝ</t>
  </si>
  <si>
    <t>爭</t>
  </si>
  <si>
    <t>更舒</t>
  </si>
  <si>
    <t>ẽʔ</t>
    <phoneticPr fontId="5" type="noConversion"/>
  </si>
  <si>
    <t>ennh</t>
  </si>
  <si>
    <t>ennh</t>
    <phoneticPr fontId="5" type="noConversion"/>
  </si>
  <si>
    <t>ehⁿ</t>
    <phoneticPr fontId="4" type="noConversion"/>
  </si>
  <si>
    <t>ㆥㆷ</t>
    <phoneticPr fontId="5" type="noConversion"/>
  </si>
  <si>
    <t>⁰ㄝㄏ</t>
  </si>
  <si>
    <t>挾</t>
  </si>
  <si>
    <t>更促</t>
  </si>
  <si>
    <t>i</t>
  </si>
  <si>
    <t>ㄧ</t>
  </si>
  <si>
    <t>爾</t>
  </si>
  <si>
    <t>居舒</t>
  </si>
  <si>
    <t>ɪa</t>
    <phoneticPr fontId="5" type="noConversion"/>
  </si>
  <si>
    <t>ia</t>
  </si>
  <si>
    <t>ㄧㄚ</t>
  </si>
  <si>
    <t>名</t>
  </si>
  <si>
    <t>迦舒</t>
  </si>
  <si>
    <t>iah</t>
  </si>
  <si>
    <t>ㄧㄚㆷ</t>
  </si>
  <si>
    <t>ㄧㄚㄏ</t>
  </si>
  <si>
    <t>壁</t>
  </si>
  <si>
    <t>迦促</t>
  </si>
  <si>
    <t>ɪak̚</t>
    <phoneticPr fontId="5" type="noConversion"/>
  </si>
  <si>
    <t>iak</t>
  </si>
  <si>
    <t>ㄧㄚㆻ</t>
  </si>
  <si>
    <t>ㄧㄚㄍ</t>
  </si>
  <si>
    <t>爆</t>
  </si>
  <si>
    <t>姜促</t>
  </si>
  <si>
    <t>ɪam</t>
    <phoneticPr fontId="5" type="noConversion"/>
  </si>
  <si>
    <t>iam</t>
  </si>
  <si>
    <t>ㄧㆰ</t>
  </si>
  <si>
    <t>ㄧㄚㄇ</t>
  </si>
  <si>
    <t>尖</t>
  </si>
  <si>
    <t>兼舒</t>
  </si>
  <si>
    <t>ɪan</t>
    <phoneticPr fontId="5" type="noConversion"/>
  </si>
  <si>
    <t>ian</t>
  </si>
  <si>
    <t>ㄧㄢ</t>
  </si>
  <si>
    <t>掀</t>
  </si>
  <si>
    <t>堅舒</t>
  </si>
  <si>
    <t>ɪaŋ</t>
    <phoneticPr fontId="5" type="noConversion"/>
  </si>
  <si>
    <t>iang</t>
  </si>
  <si>
    <t>ㄧㄤ</t>
  </si>
  <si>
    <t>將</t>
  </si>
  <si>
    <t>姜舒</t>
  </si>
  <si>
    <t>iann</t>
  </si>
  <si>
    <t>nia</t>
  </si>
  <si>
    <t>iaⁿ</t>
  </si>
  <si>
    <t>ㄧㆩ</t>
  </si>
  <si>
    <t>⁰ㄧㄚ</t>
  </si>
  <si>
    <t>驚舒</t>
  </si>
  <si>
    <t>iannh</t>
  </si>
  <si>
    <t>iannh</t>
    <phoneticPr fontId="5" type="noConversion"/>
  </si>
  <si>
    <t>iahⁿ</t>
    <phoneticPr fontId="4" type="noConversion"/>
  </si>
  <si>
    <r>
      <rPr>
        <sz val="18"/>
        <color rgb="FFFF0000"/>
        <rFont val="Microsoft JhengHei"/>
        <family val="2"/>
      </rPr>
      <t>ㄧ</t>
    </r>
    <r>
      <rPr>
        <sz val="18"/>
        <color rgb="FFFF0000"/>
        <rFont val="Microsoft JhengHei"/>
        <family val="2"/>
        <charset val="136"/>
      </rPr>
      <t>ㆩㆷ</t>
    </r>
    <phoneticPr fontId="5" type="noConversion"/>
  </si>
  <si>
    <t>⁰ㄧㄚㄏ</t>
  </si>
  <si>
    <t>且</t>
  </si>
  <si>
    <t>ɪap̚</t>
    <phoneticPr fontId="5" type="noConversion"/>
  </si>
  <si>
    <t>iap</t>
  </si>
  <si>
    <t>ㄧㄚㆴ</t>
  </si>
  <si>
    <t>ㄧㄚㄅ</t>
  </si>
  <si>
    <t>接</t>
  </si>
  <si>
    <t>兼促</t>
  </si>
  <si>
    <t>ɪat̚</t>
    <phoneticPr fontId="5" type="noConversion"/>
  </si>
  <si>
    <t>iat</t>
  </si>
  <si>
    <t>ㄧㄚㆵ</t>
  </si>
  <si>
    <t>ㄧㄚㄉ</t>
  </si>
  <si>
    <t>別</t>
  </si>
  <si>
    <t>堅促</t>
  </si>
  <si>
    <t>ɪaʊ</t>
    <phoneticPr fontId="5" type="noConversion"/>
  </si>
  <si>
    <t>iau</t>
  </si>
  <si>
    <t>iao</t>
  </si>
  <si>
    <t>ㄧㄠ</t>
  </si>
  <si>
    <t>遙</t>
  </si>
  <si>
    <t>嬌舒</t>
  </si>
  <si>
    <t>iauh</t>
  </si>
  <si>
    <t>iaoh</t>
  </si>
  <si>
    <t>ㄧㄠㆷ</t>
  </si>
  <si>
    <t>ㄧㄠㄏ</t>
  </si>
  <si>
    <t>噭</t>
  </si>
  <si>
    <t>嬌促</t>
  </si>
  <si>
    <t>iaunn</t>
  </si>
  <si>
    <t>niao</t>
  </si>
  <si>
    <t>iauⁿ</t>
  </si>
  <si>
    <t>ㄧㆯ</t>
  </si>
  <si>
    <t>⁰ㄧㄠ</t>
  </si>
  <si>
    <t>鳥</t>
  </si>
  <si>
    <t>嘄舒</t>
  </si>
  <si>
    <t>iʔ</t>
    <phoneticPr fontId="5" type="noConversion"/>
  </si>
  <si>
    <t>ih</t>
  </si>
  <si>
    <t>ㄧㆷ</t>
  </si>
  <si>
    <t>ㄧㄏ</t>
  </si>
  <si>
    <t>逼</t>
  </si>
  <si>
    <t>居促</t>
  </si>
  <si>
    <t>ik̚</t>
    <phoneticPr fontId="5" type="noConversion"/>
  </si>
  <si>
    <t>ik</t>
  </si>
  <si>
    <t>iek</t>
    <phoneticPr fontId="5" type="noConversion"/>
  </si>
  <si>
    <t>ek</t>
  </si>
  <si>
    <t>ㄧㆻ</t>
  </si>
  <si>
    <t>ㄧㄍ</t>
  </si>
  <si>
    <t>益</t>
  </si>
  <si>
    <t>im</t>
    <phoneticPr fontId="5" type="noConversion"/>
  </si>
  <si>
    <t>im</t>
  </si>
  <si>
    <t>ㄧㆬ</t>
  </si>
  <si>
    <t>ㄧㄇ</t>
  </si>
  <si>
    <t>深</t>
  </si>
  <si>
    <t>金舒</t>
  </si>
  <si>
    <t>in</t>
    <phoneticPr fontId="5" type="noConversion"/>
  </si>
  <si>
    <t>in</t>
  </si>
  <si>
    <t>ㄧㄣ</t>
  </si>
  <si>
    <t>恩</t>
  </si>
  <si>
    <t>巾舒</t>
  </si>
  <si>
    <t>iŋ</t>
    <phoneticPr fontId="5" type="noConversion"/>
  </si>
  <si>
    <t>ing</t>
  </si>
  <si>
    <t>eng</t>
  </si>
  <si>
    <t>ㄧㄥ</t>
  </si>
  <si>
    <t>情</t>
  </si>
  <si>
    <t>ĩ</t>
    <phoneticPr fontId="5" type="noConversion"/>
  </si>
  <si>
    <t>inn</t>
  </si>
  <si>
    <t>ni</t>
  </si>
  <si>
    <t>iⁿ</t>
  </si>
  <si>
    <t>ㆪ</t>
  </si>
  <si>
    <t>⁰ㄧ</t>
  </si>
  <si>
    <t>庚</t>
  </si>
  <si>
    <t>梔舒</t>
  </si>
  <si>
    <t>ɪə</t>
    <phoneticPr fontId="5" type="noConversion"/>
  </si>
  <si>
    <t>io</t>
  </si>
  <si>
    <t>ior</t>
  </si>
  <si>
    <t>ㄧㄜ</t>
  </si>
  <si>
    <t>少</t>
  </si>
  <si>
    <t>茄舒</t>
  </si>
  <si>
    <t>ɪəʔ</t>
    <phoneticPr fontId="5" type="noConversion"/>
  </si>
  <si>
    <t>ioh</t>
  </si>
  <si>
    <t>iorh</t>
  </si>
  <si>
    <t>ㄧㄜㆷ</t>
  </si>
  <si>
    <t>ㄧㄜㄏ</t>
  </si>
  <si>
    <t>著</t>
  </si>
  <si>
    <t>茄促</t>
  </si>
  <si>
    <t>ɪɔk̚</t>
    <phoneticPr fontId="5" type="noConversion"/>
  </si>
  <si>
    <t>iok</t>
  </si>
  <si>
    <t>iook</t>
  </si>
  <si>
    <t>ㄧㆦㆻ</t>
  </si>
  <si>
    <t>ㄧㄛㄍ</t>
  </si>
  <si>
    <t>俗</t>
  </si>
  <si>
    <t>恭促</t>
  </si>
  <si>
    <t>ɪɔŋ</t>
    <phoneticPr fontId="5" type="noConversion"/>
  </si>
  <si>
    <t>iong</t>
  </si>
  <si>
    <t>ㄧㆲ</t>
  </si>
  <si>
    <t>ㄧㄛㄥ</t>
  </si>
  <si>
    <t>中</t>
  </si>
  <si>
    <t>恭舒</t>
  </si>
  <si>
    <t>ip̚</t>
    <phoneticPr fontId="5" type="noConversion"/>
  </si>
  <si>
    <t>ip</t>
  </si>
  <si>
    <t>一ㆴ</t>
  </si>
  <si>
    <t>ㄧㄅ</t>
  </si>
  <si>
    <t>蟄</t>
  </si>
  <si>
    <t>金促</t>
  </si>
  <si>
    <t>it̚</t>
    <phoneticPr fontId="5" type="noConversion"/>
  </si>
  <si>
    <t>it</t>
  </si>
  <si>
    <t>ㄧㆵ</t>
  </si>
  <si>
    <t>ㄧㄉ</t>
  </si>
  <si>
    <t>一</t>
  </si>
  <si>
    <t>巾促</t>
  </si>
  <si>
    <t>ɪɔ̃</t>
    <phoneticPr fontId="5" type="noConversion"/>
  </si>
  <si>
    <t>ionn</t>
  </si>
  <si>
    <t>ioonn</t>
  </si>
  <si>
    <t>nioo</t>
  </si>
  <si>
    <t>ioⁿ</t>
  </si>
  <si>
    <t>ㄧㆧ</t>
  </si>
  <si>
    <t>⁰ㄧㄛ</t>
  </si>
  <si>
    <t>腔</t>
  </si>
  <si>
    <t>薑舒</t>
  </si>
  <si>
    <t>iu</t>
  </si>
  <si>
    <t>ㄧㄨ</t>
  </si>
  <si>
    <t>油</t>
  </si>
  <si>
    <t>丩舒</t>
  </si>
  <si>
    <t>iunn</t>
  </si>
  <si>
    <t>niu</t>
  </si>
  <si>
    <t>iuⁿ</t>
  </si>
  <si>
    <t>ㄧㆫ</t>
  </si>
  <si>
    <t>⁰ㄧㄨ</t>
  </si>
  <si>
    <t>香</t>
  </si>
  <si>
    <t>牛舒</t>
  </si>
  <si>
    <t>iunnh</t>
  </si>
  <si>
    <t>iunnh</t>
    <phoneticPr fontId="5" type="noConversion"/>
  </si>
  <si>
    <t>niuh</t>
    <phoneticPr fontId="5" type="noConversion"/>
  </si>
  <si>
    <t>iuhⁿ</t>
    <phoneticPr fontId="4" type="noConversion"/>
  </si>
  <si>
    <r>
      <rPr>
        <sz val="18"/>
        <color rgb="FFFF0000"/>
        <rFont val="Microsoft JhengHei"/>
        <family val="2"/>
      </rPr>
      <t>ㄧ</t>
    </r>
    <r>
      <rPr>
        <sz val="18"/>
        <color rgb="FFFF0000"/>
        <rFont val="Microsoft JhengHei"/>
        <family val="2"/>
        <charset val="136"/>
      </rPr>
      <t>ㆫㆷ</t>
    </r>
    <phoneticPr fontId="5" type="noConversion"/>
  </si>
  <si>
    <t>⁰ㄧㄨㄏ</t>
  </si>
  <si>
    <t>牛促</t>
  </si>
  <si>
    <t>m̩</t>
    <phoneticPr fontId="5" type="noConversion"/>
  </si>
  <si>
    <t>ㆬ</t>
  </si>
  <si>
    <t>姆</t>
  </si>
  <si>
    <t>姆舒</t>
  </si>
  <si>
    <t>m̩ʔ</t>
  </si>
  <si>
    <t>mh</t>
  </si>
  <si>
    <t>mh</t>
    <phoneticPr fontId="5" type="noConversion"/>
  </si>
  <si>
    <t>ㆬㆷ</t>
    <phoneticPr fontId="5" type="noConversion"/>
  </si>
  <si>
    <t>ㄇㄏ</t>
  </si>
  <si>
    <t>姆促</t>
  </si>
  <si>
    <t>ŋ̍</t>
  </si>
  <si>
    <t>ㆭ</t>
  </si>
  <si>
    <t>ㄥ</t>
  </si>
  <si>
    <t>床</t>
  </si>
  <si>
    <t>鋼舒</t>
  </si>
  <si>
    <t>ŋ̍ʔ</t>
  </si>
  <si>
    <t>ngh</t>
  </si>
  <si>
    <t>ngh</t>
    <phoneticPr fontId="5" type="noConversion"/>
  </si>
  <si>
    <t>ㆭㆷ</t>
    <phoneticPr fontId="5" type="noConversion"/>
  </si>
  <si>
    <t>ㄥㄏ</t>
  </si>
  <si>
    <t>鋼促</t>
  </si>
  <si>
    <t>ə</t>
    <phoneticPr fontId="5" type="noConversion"/>
  </si>
  <si>
    <t>o</t>
  </si>
  <si>
    <t>or</t>
  </si>
  <si>
    <t>ㄜ</t>
  </si>
  <si>
    <t>果</t>
  </si>
  <si>
    <t>高舒</t>
  </si>
  <si>
    <t>əʔ</t>
    <phoneticPr fontId="5" type="noConversion"/>
  </si>
  <si>
    <t>oh</t>
  </si>
  <si>
    <t>orh</t>
  </si>
  <si>
    <t>ㄜㆷ</t>
  </si>
  <si>
    <t>ㄜㄏ</t>
  </si>
  <si>
    <t>卜</t>
  </si>
  <si>
    <t>高促</t>
  </si>
  <si>
    <t>ɔk̚</t>
    <phoneticPr fontId="5" type="noConversion"/>
  </si>
  <si>
    <t>ok</t>
  </si>
  <si>
    <t>ㆦㆻ</t>
  </si>
  <si>
    <t>ㄛㄍ</t>
  </si>
  <si>
    <t>福</t>
  </si>
  <si>
    <t>公促</t>
  </si>
  <si>
    <t>ɔm</t>
    <phoneticPr fontId="5" type="noConversion"/>
  </si>
  <si>
    <t>om</t>
  </si>
  <si>
    <t>oom</t>
  </si>
  <si>
    <t>ㆱ</t>
  </si>
  <si>
    <t>ㄛㄇ</t>
  </si>
  <si>
    <t>丼</t>
  </si>
  <si>
    <t>箴舒</t>
  </si>
  <si>
    <t>ɔŋ</t>
    <phoneticPr fontId="5" type="noConversion"/>
  </si>
  <si>
    <t>ong</t>
  </si>
  <si>
    <t>ㆲ</t>
  </si>
  <si>
    <t>ㄛㄥ</t>
  </si>
  <si>
    <t>風</t>
  </si>
  <si>
    <t>公舒</t>
  </si>
  <si>
    <t>ɔ̃</t>
    <phoneticPr fontId="5" type="noConversion"/>
  </si>
  <si>
    <t>onn</t>
  </si>
  <si>
    <t>oonn</t>
  </si>
  <si>
    <t>noo</t>
  </si>
  <si>
    <t>oⁿ</t>
    <phoneticPr fontId="4" type="noConversion"/>
  </si>
  <si>
    <t>ㆧ</t>
  </si>
  <si>
    <t>⁰ㄛ</t>
  </si>
  <si>
    <t>張</t>
  </si>
  <si>
    <t>姑舒</t>
  </si>
  <si>
    <t>ɔ̃ʔ</t>
    <phoneticPr fontId="5" type="noConversion"/>
  </si>
  <si>
    <t>onnh</t>
  </si>
  <si>
    <t>ohnn</t>
  </si>
  <si>
    <t>niuh</t>
  </si>
  <si>
    <t>ohⁿ</t>
  </si>
  <si>
    <t>ㆧㆷ</t>
  </si>
  <si>
    <t>⁰ㄛㄏ</t>
  </si>
  <si>
    <t>扛促</t>
  </si>
  <si>
    <t>ɔ</t>
    <phoneticPr fontId="5" type="noConversion"/>
  </si>
  <si>
    <t>oo</t>
  </si>
  <si>
    <t>o͘</t>
  </si>
  <si>
    <t>ㆦ</t>
  </si>
  <si>
    <t>ㄛ</t>
  </si>
  <si>
    <t>捕</t>
  </si>
  <si>
    <t>沽舒</t>
  </si>
  <si>
    <t>ɔʔ</t>
    <phoneticPr fontId="5" type="noConversion"/>
  </si>
  <si>
    <t>ooh</t>
  </si>
  <si>
    <t>ooh</t>
    <phoneticPr fontId="5" type="noConversion"/>
  </si>
  <si>
    <t>o͘h</t>
  </si>
  <si>
    <t>ㆦㆷ</t>
    <phoneticPr fontId="5" type="noConversion"/>
  </si>
  <si>
    <t>ㄛㄏ</t>
  </si>
  <si>
    <t>沽促</t>
  </si>
  <si>
    <t>ɔp̚</t>
    <phoneticPr fontId="5" type="noConversion"/>
  </si>
  <si>
    <t>op</t>
  </si>
  <si>
    <t>oop</t>
  </si>
  <si>
    <t>ㆦㆴ</t>
  </si>
  <si>
    <t>ㄛㄅ</t>
  </si>
  <si>
    <t>吷</t>
  </si>
  <si>
    <t>箴促</t>
  </si>
  <si>
    <t>u</t>
  </si>
  <si>
    <t>ㄨ</t>
  </si>
  <si>
    <t>夫</t>
  </si>
  <si>
    <t>艍舒</t>
  </si>
  <si>
    <t>ua</t>
    <phoneticPr fontId="5" type="noConversion"/>
  </si>
  <si>
    <t>ua</t>
  </si>
  <si>
    <t>oa</t>
  </si>
  <si>
    <t>ㄨㄚ</t>
  </si>
  <si>
    <t>花</t>
  </si>
  <si>
    <t>瓜舒</t>
  </si>
  <si>
    <t>uaʔ</t>
    <phoneticPr fontId="5" type="noConversion"/>
  </si>
  <si>
    <t>uah</t>
  </si>
  <si>
    <t>oah</t>
  </si>
  <si>
    <t>ㄨㄚㆷ</t>
  </si>
  <si>
    <t>ㄨㄚㄏ</t>
  </si>
  <si>
    <t>缽</t>
  </si>
  <si>
    <t>瓜促</t>
  </si>
  <si>
    <t>uai</t>
    <phoneticPr fontId="5" type="noConversion"/>
  </si>
  <si>
    <t>uai</t>
  </si>
  <si>
    <t>oai</t>
  </si>
  <si>
    <t>ㄨㄞ</t>
  </si>
  <si>
    <t>怪</t>
  </si>
  <si>
    <t>乖舒</t>
  </si>
  <si>
    <t>uãi</t>
    <phoneticPr fontId="5" type="noConversion"/>
  </si>
  <si>
    <t>uainn</t>
  </si>
  <si>
    <t>nuai</t>
  </si>
  <si>
    <t>oaiⁿ</t>
  </si>
  <si>
    <t>ㄨㆮ</t>
  </si>
  <si>
    <t>⁰ㄨㄞ</t>
  </si>
  <si>
    <t>檨</t>
  </si>
  <si>
    <t>閂舒</t>
  </si>
  <si>
    <t>uaiʔ</t>
    <phoneticPr fontId="5" type="noConversion"/>
  </si>
  <si>
    <t>uaih</t>
  </si>
  <si>
    <t>oaih</t>
  </si>
  <si>
    <t>ㄨㄞㆷ</t>
  </si>
  <si>
    <t>ㄨㄞㄏ</t>
  </si>
  <si>
    <t>乖促</t>
  </si>
  <si>
    <t>uãiʔ</t>
    <phoneticPr fontId="5" type="noConversion"/>
  </si>
  <si>
    <t>uainnh</t>
  </si>
  <si>
    <t>uaihnn</t>
  </si>
  <si>
    <t>uainnh</t>
    <phoneticPr fontId="5" type="noConversion"/>
  </si>
  <si>
    <t>oaihⁿ</t>
  </si>
  <si>
    <t>ㄨㆮㆷ</t>
  </si>
  <si>
    <t>⁰ㄨㄞㄏ</t>
  </si>
  <si>
    <t>蹶</t>
  </si>
  <si>
    <t>閂促</t>
  </si>
  <si>
    <t>uan</t>
    <phoneticPr fontId="5" type="noConversion"/>
  </si>
  <si>
    <t>uan</t>
  </si>
  <si>
    <t>oan</t>
  </si>
  <si>
    <t>ㄨㄢ</t>
  </si>
  <si>
    <t>猿</t>
  </si>
  <si>
    <t>觀舒</t>
  </si>
  <si>
    <t>uaŋ</t>
    <phoneticPr fontId="5" type="noConversion"/>
  </si>
  <si>
    <t>uang</t>
  </si>
  <si>
    <t>oang</t>
  </si>
  <si>
    <t>ㄨㄤ</t>
  </si>
  <si>
    <t>闖</t>
  </si>
  <si>
    <t>光舒</t>
  </si>
  <si>
    <t>uã</t>
    <phoneticPr fontId="5" type="noConversion"/>
  </si>
  <si>
    <t>uann</t>
  </si>
  <si>
    <t>nua</t>
  </si>
  <si>
    <t>oaⁿ</t>
  </si>
  <si>
    <t>ㄨㆩ</t>
  </si>
  <si>
    <t>⁰ㄨㄚ</t>
  </si>
  <si>
    <t>肝</t>
  </si>
  <si>
    <t>官舒</t>
  </si>
  <si>
    <t>uat̚</t>
    <phoneticPr fontId="5" type="noConversion"/>
  </si>
  <si>
    <t>uat</t>
  </si>
  <si>
    <t>oat</t>
  </si>
  <si>
    <t>ㄨㄚㆵ</t>
  </si>
  <si>
    <t>ㄨㄚㄉ</t>
  </si>
  <si>
    <t>說</t>
  </si>
  <si>
    <t>觀促</t>
  </si>
  <si>
    <t>ue</t>
    <phoneticPr fontId="5" type="noConversion"/>
  </si>
  <si>
    <t>ue</t>
  </si>
  <si>
    <t>oe</t>
  </si>
  <si>
    <t>ㄨㆤ</t>
  </si>
  <si>
    <t>ㄨㄝ</t>
  </si>
  <si>
    <t>話</t>
  </si>
  <si>
    <t>檜舒</t>
  </si>
  <si>
    <t>ueʔ</t>
    <phoneticPr fontId="5" type="noConversion"/>
  </si>
  <si>
    <t>ueh</t>
  </si>
  <si>
    <t>oeh</t>
  </si>
  <si>
    <t>ㄨㆤㆷ</t>
  </si>
  <si>
    <t>ㄨㄝㄏ</t>
  </si>
  <si>
    <t>拔</t>
  </si>
  <si>
    <t>檜促</t>
  </si>
  <si>
    <t>uʔ</t>
    <phoneticPr fontId="5" type="noConversion"/>
  </si>
  <si>
    <t>uh</t>
  </si>
  <si>
    <t>ㄨㆷ</t>
  </si>
  <si>
    <t>ㄨㄏ</t>
  </si>
  <si>
    <t>勃</t>
  </si>
  <si>
    <t>艍促</t>
  </si>
  <si>
    <t>ui</t>
    <phoneticPr fontId="5" type="noConversion"/>
  </si>
  <si>
    <t>ui</t>
  </si>
  <si>
    <t>ㄨㄧ</t>
  </si>
  <si>
    <t>歸</t>
  </si>
  <si>
    <t>規舒</t>
  </si>
  <si>
    <t>uiʔ</t>
    <phoneticPr fontId="5" type="noConversion"/>
  </si>
  <si>
    <t>uih</t>
  </si>
  <si>
    <t>uih</t>
    <phoneticPr fontId="5" type="noConversion"/>
  </si>
  <si>
    <t>ㄨㄧㆷ</t>
    <phoneticPr fontId="5" type="noConversion"/>
  </si>
  <si>
    <t>ㄨㄧㄏ</t>
  </si>
  <si>
    <t>褌促</t>
  </si>
  <si>
    <t>uĩ</t>
    <phoneticPr fontId="5" type="noConversion"/>
  </si>
  <si>
    <t>uinn</t>
  </si>
  <si>
    <t>nui</t>
  </si>
  <si>
    <t>uiⁿ</t>
  </si>
  <si>
    <t>ㄨㆪ</t>
  </si>
  <si>
    <t>⁰ㄨㄧ</t>
  </si>
  <si>
    <t>荒</t>
  </si>
  <si>
    <t>褌舒</t>
  </si>
  <si>
    <t>un</t>
    <phoneticPr fontId="5" type="noConversion"/>
  </si>
  <si>
    <t>un</t>
  </si>
  <si>
    <t>ㄨㄣ</t>
  </si>
  <si>
    <t>汾</t>
  </si>
  <si>
    <t>君舒</t>
  </si>
  <si>
    <t>ut̚</t>
    <phoneticPr fontId="5" type="noConversion"/>
  </si>
  <si>
    <t>ut</t>
  </si>
  <si>
    <t>ㄨㆵ</t>
  </si>
  <si>
    <t>ㄨㄉ</t>
  </si>
  <si>
    <t>不</t>
  </si>
  <si>
    <t>君促</t>
  </si>
  <si>
    <t>Unicode 編碼</t>
    <phoneticPr fontId="5" type="noConversion"/>
  </si>
  <si>
    <t>實例</t>
    <phoneticPr fontId="5" type="noConversion"/>
  </si>
  <si>
    <t>U+0303</t>
    <phoneticPr fontId="5" type="noConversion"/>
  </si>
  <si>
    <t>U+0294</t>
    <phoneticPr fontId="5" type="noConversion"/>
  </si>
  <si>
    <t>U+0856</t>
    <phoneticPr fontId="5" type="noConversion"/>
  </si>
  <si>
    <t>o͘</t>
    <phoneticPr fontId="5" type="noConversion"/>
  </si>
  <si>
    <t>[əŋ]</t>
    <phoneticPr fontId="5" type="noConversion"/>
  </si>
  <si>
    <t>ㄥ</t>
    <phoneticPr fontId="5" type="noConversion"/>
  </si>
  <si>
    <t>[ŋ̍]</t>
    <phoneticPr fontId="5" type="noConversion"/>
  </si>
  <si>
    <t>ㆭ</t>
    <phoneticPr fontId="5" type="noConversion"/>
  </si>
  <si>
    <t>識別號</t>
  </si>
  <si>
    <t>s1</t>
    <phoneticPr fontId="5" type="noConversion"/>
  </si>
  <si>
    <t>s2</t>
    <phoneticPr fontId="5" type="noConversion"/>
  </si>
  <si>
    <t>s3</t>
    <phoneticPr fontId="5" type="noConversion"/>
  </si>
  <si>
    <t>l</t>
    <phoneticPr fontId="5" type="noConversion"/>
  </si>
  <si>
    <t>b</t>
    <phoneticPr fontId="5" type="noConversion"/>
  </si>
  <si>
    <t>g</t>
    <phoneticPr fontId="5" type="noConversion"/>
  </si>
  <si>
    <t>k</t>
    <phoneticPr fontId="5" type="noConversion"/>
  </si>
  <si>
    <t>d</t>
    <phoneticPr fontId="5" type="noConversion"/>
  </si>
  <si>
    <t>p</t>
    <phoneticPr fontId="5" type="noConversion"/>
  </si>
  <si>
    <t>t</t>
    <phoneticPr fontId="5" type="noConversion"/>
  </si>
  <si>
    <t>z</t>
    <phoneticPr fontId="5" type="noConversion"/>
  </si>
  <si>
    <t>zz</t>
    <phoneticPr fontId="5" type="noConversion"/>
  </si>
  <si>
    <t>s</t>
    <phoneticPr fontId="5" type="noConversion"/>
  </si>
  <si>
    <t>bb</t>
    <phoneticPr fontId="5" type="noConversion"/>
  </si>
  <si>
    <t>gg</t>
    <phoneticPr fontId="5" type="noConversion"/>
  </si>
  <si>
    <t>c</t>
    <phoneticPr fontId="5" type="noConversion"/>
  </si>
  <si>
    <t>h</t>
    <phoneticPr fontId="5" type="noConversion"/>
  </si>
  <si>
    <t>bbn</t>
    <phoneticPr fontId="5" type="noConversion"/>
  </si>
  <si>
    <t>ln</t>
    <phoneticPr fontId="5" type="noConversion"/>
  </si>
  <si>
    <t>ng</t>
    <phoneticPr fontId="5" type="noConversion"/>
  </si>
  <si>
    <t>ggn</t>
    <phoneticPr fontId="5" type="noConversion"/>
  </si>
  <si>
    <t>jji</t>
    <phoneticPr fontId="5" type="noConversion"/>
  </si>
  <si>
    <t>zzi</t>
    <phoneticPr fontId="5" type="noConversion"/>
  </si>
  <si>
    <t>ji</t>
    <phoneticPr fontId="5" type="noConversion"/>
  </si>
  <si>
    <t>zi</t>
    <phoneticPr fontId="5" type="noConversion"/>
  </si>
  <si>
    <t>chi</t>
    <phoneticPr fontId="5" type="noConversion"/>
  </si>
  <si>
    <t>ci</t>
    <phoneticPr fontId="5" type="noConversion"/>
  </si>
  <si>
    <t>shi</t>
    <phoneticPr fontId="5" type="noConversion"/>
  </si>
  <si>
    <t>si</t>
    <phoneticPr fontId="5" type="noConversion"/>
  </si>
  <si>
    <t>序號</t>
  </si>
  <si>
    <t>ㄞㄏ</t>
  </si>
  <si>
    <t>ㄞㆷ</t>
  </si>
  <si>
    <t>ㄚㆻ</t>
  </si>
  <si>
    <t>ㄠㆷ</t>
  </si>
  <si>
    <t>ee</t>
  </si>
  <si>
    <t>eeh</t>
  </si>
  <si>
    <t>ㄝㆷ</t>
  </si>
  <si>
    <t>ㄝㄍ</t>
  </si>
  <si>
    <t>ㄝㆻ</t>
  </si>
  <si>
    <t>ㄝㄥ</t>
  </si>
  <si>
    <t>ㄝㆭ</t>
  </si>
  <si>
    <t>ㆥㆷ</t>
  </si>
  <si>
    <t>ㄧㆩㆷ</t>
  </si>
  <si>
    <t>ㄧㆫㆷ</t>
  </si>
  <si>
    <t>ㆬㆷ</t>
  </si>
  <si>
    <t>ㆭㆷ</t>
  </si>
  <si>
    <t>ㆦㆷ</t>
  </si>
  <si>
    <t>ㄨㄧㆷ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</si>
</sst>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4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6"/>
      <color theme="1"/>
      <name val="Noto Sans TC Medium"/>
      <family val="2"/>
      <charset val="136"/>
    </font>
    <font>
      <sz val="16"/>
      <color theme="4"/>
      <name val="Noto Sans TC Medium"/>
      <family val="2"/>
      <charset val="136"/>
    </font>
    <font>
      <sz val="9"/>
      <name val="新細明體"/>
      <family val="2"/>
      <charset val="136"/>
      <scheme val="minor"/>
    </font>
    <font>
      <sz val="9"/>
      <name val="Noto Sans TC Medium"/>
      <family val="2"/>
      <charset val="136"/>
    </font>
    <font>
      <sz val="16"/>
      <color theme="4"/>
      <name val="Noto Sans TC Medium"/>
      <family val="2"/>
    </font>
    <font>
      <sz val="24"/>
      <color theme="1"/>
      <name val="吳守禮細明台語注音"/>
      <family val="1"/>
      <charset val="136"/>
    </font>
    <font>
      <sz val="24"/>
      <color theme="1"/>
      <name val="Noto Sans TC Medium"/>
      <family val="2"/>
    </font>
    <font>
      <sz val="16"/>
      <color rgb="FFFF0000"/>
      <name val="Noto Sans TC Medium"/>
      <family val="2"/>
    </font>
    <font>
      <sz val="16"/>
      <color rgb="FFFF0000"/>
      <name val="Noto Sans TC Medium"/>
      <family val="2"/>
      <charset val="136"/>
    </font>
    <font>
      <sz val="24"/>
      <color rgb="FFFF0000"/>
      <name val="Noto Sans TC Medium"/>
      <family val="2"/>
    </font>
    <font>
      <sz val="24"/>
      <color rgb="FFFF0000"/>
      <name val="吳守禮細明台語注音"/>
      <family val="1"/>
      <charset val="136"/>
    </font>
    <font>
      <sz val="24"/>
      <color theme="1"/>
      <name val="吳守禮細明台語破音03"/>
      <family val="1"/>
      <charset val="136"/>
    </font>
    <font>
      <sz val="24"/>
      <color rgb="FFFF0000"/>
      <name val="吳守禮細明台語破音04"/>
      <family val="1"/>
      <charset val="136"/>
    </font>
    <font>
      <sz val="24"/>
      <color theme="1"/>
      <name val="吳守禮細明台語破音01"/>
      <family val="1"/>
      <charset val="136"/>
    </font>
    <font>
      <sz val="24"/>
      <color theme="2"/>
      <name val="Noto Sans TC Medium"/>
      <family val="2"/>
    </font>
    <font>
      <sz val="24"/>
      <color theme="2"/>
      <name val="Noto Sans TC Medium"/>
      <family val="2"/>
      <charset val="136"/>
    </font>
    <font>
      <sz val="16"/>
      <color theme="2"/>
      <name val="Noto Sans TC Medium"/>
      <family val="2"/>
      <charset val="136"/>
    </font>
    <font>
      <sz val="16"/>
      <color theme="8"/>
      <name val="Noto Sans TC Medium"/>
      <family val="2"/>
      <charset val="136"/>
    </font>
    <font>
      <sz val="24"/>
      <color theme="8"/>
      <name val="吳守禮細明台語注音"/>
      <family val="1"/>
      <charset val="136"/>
    </font>
    <font>
      <sz val="24"/>
      <color rgb="FFFF0000"/>
      <name val="Noto Sans TC Medium"/>
      <family val="2"/>
      <charset val="136"/>
    </font>
    <font>
      <sz val="16"/>
      <color theme="1"/>
      <name val="Segoe UI"/>
      <family val="2"/>
    </font>
    <font>
      <sz val="16"/>
      <color theme="1"/>
      <name val="新細明體"/>
      <family val="2"/>
      <charset val="136"/>
      <scheme val="minor"/>
    </font>
    <font>
      <sz val="18"/>
      <color theme="1"/>
      <name val="Segoe UI"/>
      <family val="2"/>
    </font>
    <font>
      <sz val="12"/>
      <color theme="3" tint="0.499984740745262"/>
      <name val="新細明體"/>
      <family val="2"/>
      <charset val="136"/>
      <scheme val="minor"/>
    </font>
    <font>
      <b/>
      <sz val="18"/>
      <color rgb="FF000000"/>
      <name val="微軟正黑體"/>
      <family val="2"/>
      <charset val="136"/>
    </font>
    <font>
      <b/>
      <sz val="18"/>
      <color rgb="FF000000"/>
      <name val="Noto Sans"/>
      <family val="2"/>
    </font>
    <font>
      <b/>
      <sz val="11"/>
      <color rgb="FF000000"/>
      <name val="Noto Sans"/>
      <family val="2"/>
    </font>
    <font>
      <b/>
      <sz val="18"/>
      <color rgb="FF000000"/>
      <name val="Segoe UI"/>
      <family val="2"/>
    </font>
    <font>
      <sz val="10"/>
      <color rgb="FFFF0000"/>
      <name val="Segoe UI"/>
      <family val="2"/>
    </font>
    <font>
      <sz val="10"/>
      <color theme="1"/>
      <name val="Segoe UI"/>
      <family val="2"/>
    </font>
    <font>
      <sz val="18"/>
      <color rgb="FF000000"/>
      <name val="Noto Sans"/>
      <family val="2"/>
    </font>
    <font>
      <b/>
      <sz val="18"/>
      <color rgb="FFC00000"/>
      <name val="Noto Sans"/>
      <family val="2"/>
    </font>
    <font>
      <sz val="18"/>
      <color theme="8"/>
      <name val="Noto Sans"/>
      <family val="2"/>
    </font>
    <font>
      <sz val="18"/>
      <color rgb="FF000000"/>
      <name val="霞鶩文楷等寬 TC Medium"/>
      <family val="3"/>
      <charset val="136"/>
    </font>
    <font>
      <sz val="16"/>
      <color theme="1"/>
      <name val="Noto Sans TC SemiBold"/>
      <family val="2"/>
      <charset val="136"/>
    </font>
    <font>
      <sz val="12"/>
      <color theme="3" tint="0.499984740745262"/>
      <name val="Segoe UI"/>
      <family val="2"/>
    </font>
    <font>
      <sz val="18"/>
      <color rgb="FFFF0000"/>
      <name val="Noto Sans"/>
      <family val="2"/>
    </font>
    <font>
      <sz val="18"/>
      <color rgb="FFFF0000"/>
      <name val="Microsoft JhengHei"/>
      <family val="2"/>
    </font>
    <font>
      <sz val="18"/>
      <color rgb="FFFF0000"/>
      <name val="Microsoft JhengHei"/>
      <family val="2"/>
      <charset val="136"/>
    </font>
    <font>
      <sz val="18"/>
      <color rgb="FF000000"/>
      <name val="Noto Sans TC"/>
      <family val="2"/>
      <charset val="136"/>
    </font>
    <font>
      <sz val="18"/>
      <color rgb="FF000000"/>
      <name val="Microsoft JhengHei"/>
      <family val="2"/>
    </font>
    <font>
      <sz val="18"/>
      <color rgb="FFFF0000"/>
      <name val="Noto Sans TC"/>
      <family val="2"/>
      <charset val="136"/>
    </font>
    <font>
      <sz val="18"/>
      <color rgb="FF000000"/>
      <name val="細明體"/>
      <family val="2"/>
      <charset val="136"/>
    </font>
    <font>
      <sz val="16"/>
      <color rgb="FFFF0000"/>
      <name val="Segoe UI"/>
      <family val="2"/>
    </font>
    <font>
      <sz val="18"/>
      <color rgb="FFFF0000"/>
      <name val="Microsoft JhengHei UI"/>
      <family val="2"/>
    </font>
    <font>
      <sz val="18"/>
      <color rgb="FFFF0000"/>
      <name val="微軟正黑體"/>
      <family val="2"/>
      <charset val="136"/>
    </font>
    <font>
      <sz val="18"/>
      <color rgb="FFFF0000"/>
      <name val="細明體"/>
      <family val="2"/>
      <charset val="136"/>
    </font>
    <font>
      <sz val="18"/>
      <color rgb="FFFF0000"/>
      <name val="細明體"/>
      <family val="1"/>
      <charset val="254"/>
    </font>
    <font>
      <sz val="12"/>
      <color theme="1"/>
      <name val="Noto Sans TC SemiBold"/>
      <family val="2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theme="2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2" tint="-0.249977111117893"/>
      </bottom>
      <diagonal/>
    </border>
    <border>
      <left/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87">
    <xf numFmtId="0" fontId="0" fillId="0" borderId="0" xfId="0">
      <alignment vertical="center"/>
    </xf>
    <xf numFmtId="0" fontId="3" fillId="2" borderId="1" xfId="1" applyFont="1" applyFill="1" applyBorder="1" applyAlignment="1">
      <alignment horizontal="center" vertical="center"/>
    </xf>
    <xf numFmtId="0" fontId="6" fillId="2" borderId="2" xfId="1" applyFont="1" applyFill="1" applyBorder="1" applyAlignment="1">
      <alignment horizontal="center" vertical="center"/>
    </xf>
    <xf numFmtId="0" fontId="2" fillId="0" borderId="0" xfId="1">
      <alignment vertical="center"/>
    </xf>
    <xf numFmtId="0" fontId="2" fillId="0" borderId="1" xfId="1" applyBorder="1">
      <alignment vertical="center"/>
    </xf>
    <xf numFmtId="0" fontId="7" fillId="0" borderId="2" xfId="1" applyFont="1" applyBorder="1" applyAlignment="1">
      <alignment horizontal="center" vertical="center"/>
    </xf>
    <xf numFmtId="0" fontId="2" fillId="0" borderId="2" xfId="1" applyBorder="1">
      <alignment vertical="center"/>
    </xf>
    <xf numFmtId="0" fontId="8" fillId="0" borderId="2" xfId="1" applyFont="1" applyBorder="1" applyAlignment="1">
      <alignment horizontal="left" vertical="center" indent="2"/>
    </xf>
    <xf numFmtId="0" fontId="2" fillId="3" borderId="2" xfId="1" applyFill="1" applyBorder="1">
      <alignment vertical="center"/>
    </xf>
    <xf numFmtId="0" fontId="9" fillId="0" borderId="2" xfId="1" applyFont="1" applyBorder="1">
      <alignment vertical="center"/>
    </xf>
    <xf numFmtId="0" fontId="10" fillId="0" borderId="2" xfId="1" applyFont="1" applyBorder="1">
      <alignment vertical="center"/>
    </xf>
    <xf numFmtId="0" fontId="11" fillId="0" borderId="2" xfId="1" applyFont="1" applyBorder="1" applyAlignment="1">
      <alignment horizontal="left" vertical="center" indent="2"/>
    </xf>
    <xf numFmtId="0" fontId="12" fillId="0" borderId="2" xfId="1" applyFont="1" applyBorder="1" applyAlignment="1">
      <alignment horizontal="center" vertical="center"/>
    </xf>
    <xf numFmtId="0" fontId="13" fillId="0" borderId="2" xfId="1" applyFont="1" applyBorder="1" applyAlignment="1">
      <alignment horizontal="center" vertical="center"/>
    </xf>
    <xf numFmtId="0" fontId="14" fillId="0" borderId="2" xfId="1" applyFont="1" applyBorder="1" applyAlignment="1">
      <alignment horizontal="center" vertical="center"/>
    </xf>
    <xf numFmtId="0" fontId="15" fillId="0" borderId="2" xfId="1" applyFont="1" applyBorder="1" applyAlignment="1">
      <alignment horizontal="center" vertical="center"/>
    </xf>
    <xf numFmtId="0" fontId="16" fillId="0" borderId="2" xfId="1" applyFont="1" applyBorder="1" applyAlignment="1">
      <alignment horizontal="left" vertical="center" indent="2"/>
    </xf>
    <xf numFmtId="0" fontId="17" fillId="0" borderId="2" xfId="1" applyFont="1" applyBorder="1" applyAlignment="1">
      <alignment horizontal="left" vertical="center" indent="2"/>
    </xf>
    <xf numFmtId="0" fontId="18" fillId="0" borderId="2" xfId="1" applyFont="1" applyBorder="1">
      <alignment vertical="center"/>
    </xf>
    <xf numFmtId="0" fontId="18" fillId="3" borderId="2" xfId="1" applyFont="1" applyFill="1" applyBorder="1">
      <alignment vertical="center"/>
    </xf>
    <xf numFmtId="0" fontId="19" fillId="0" borderId="1" xfId="1" applyFont="1" applyBorder="1">
      <alignment vertical="center"/>
    </xf>
    <xf numFmtId="0" fontId="20" fillId="0" borderId="2" xfId="1" applyFont="1" applyBorder="1" applyAlignment="1">
      <alignment horizontal="center" vertical="center"/>
    </xf>
    <xf numFmtId="0" fontId="19" fillId="0" borderId="2" xfId="1" applyFont="1" applyBorder="1">
      <alignment vertical="center"/>
    </xf>
    <xf numFmtId="0" fontId="21" fillId="0" borderId="2" xfId="1" applyFont="1" applyBorder="1" applyAlignment="1">
      <alignment horizontal="left" vertical="center" indent="2"/>
    </xf>
    <xf numFmtId="0" fontId="19" fillId="3" borderId="2" xfId="1" applyFont="1" applyFill="1" applyBorder="1">
      <alignment vertical="center"/>
    </xf>
    <xf numFmtId="0" fontId="21" fillId="0" borderId="3" xfId="1" applyFont="1" applyBorder="1" applyAlignment="1">
      <alignment horizontal="left" vertical="center" indent="2"/>
    </xf>
    <xf numFmtId="0" fontId="19" fillId="0" borderId="3" xfId="1" applyFont="1" applyBorder="1">
      <alignment vertical="center"/>
    </xf>
    <xf numFmtId="0" fontId="19" fillId="3" borderId="3" xfId="1" applyFont="1" applyFill="1" applyBorder="1">
      <alignment vertical="center"/>
    </xf>
    <xf numFmtId="0" fontId="9" fillId="0" borderId="3" xfId="1" applyFont="1" applyBorder="1">
      <alignment vertical="center"/>
    </xf>
    <xf numFmtId="0" fontId="19" fillId="0" borderId="4" xfId="1" applyFont="1" applyBorder="1">
      <alignment vertical="center"/>
    </xf>
    <xf numFmtId="0" fontId="20" fillId="0" borderId="5" xfId="1" applyFont="1" applyBorder="1" applyAlignment="1">
      <alignment horizontal="center" vertical="center"/>
    </xf>
    <xf numFmtId="0" fontId="9" fillId="0" borderId="5" xfId="1" applyFont="1" applyBorder="1">
      <alignment vertical="center"/>
    </xf>
    <xf numFmtId="0" fontId="21" fillId="0" borderId="5" xfId="1" applyFont="1" applyBorder="1" applyAlignment="1">
      <alignment horizontal="left" vertical="center" indent="2"/>
    </xf>
    <xf numFmtId="0" fontId="21" fillId="4" borderId="5" xfId="1" applyFont="1" applyFill="1" applyBorder="1" applyAlignment="1">
      <alignment horizontal="left" vertical="center" indent="2"/>
    </xf>
    <xf numFmtId="0" fontId="19" fillId="0" borderId="5" xfId="1" applyFont="1" applyBorder="1">
      <alignment vertical="center"/>
    </xf>
    <xf numFmtId="0" fontId="19" fillId="3" borderId="5" xfId="1" applyFont="1" applyFill="1" applyBorder="1">
      <alignment vertical="center"/>
    </xf>
    <xf numFmtId="0" fontId="1" fillId="0" borderId="0" xfId="2">
      <alignment vertical="center"/>
    </xf>
    <xf numFmtId="0" fontId="22" fillId="0" borderId="0" xfId="2" applyFont="1">
      <alignment vertical="center"/>
    </xf>
    <xf numFmtId="0" fontId="22" fillId="0" borderId="0" xfId="2" applyFont="1" applyAlignment="1">
      <alignment horizontal="center" vertical="center"/>
    </xf>
    <xf numFmtId="0" fontId="23" fillId="0" borderId="0" xfId="2" applyFont="1">
      <alignment vertical="center"/>
    </xf>
    <xf numFmtId="0" fontId="24" fillId="0" borderId="0" xfId="2" applyFont="1">
      <alignment vertical="center"/>
    </xf>
    <xf numFmtId="0" fontId="25" fillId="0" borderId="0" xfId="2" applyFont="1">
      <alignment vertical="center"/>
    </xf>
    <xf numFmtId="0" fontId="26" fillId="5" borderId="6" xfId="2" applyFont="1" applyFill="1" applyBorder="1" applyAlignment="1">
      <alignment horizontal="center" vertical="center" wrapText="1"/>
    </xf>
    <xf numFmtId="0" fontId="26" fillId="3" borderId="7" xfId="2" applyFont="1" applyFill="1" applyBorder="1" applyAlignment="1">
      <alignment horizontal="center" vertical="center" wrapText="1"/>
    </xf>
    <xf numFmtId="0" fontId="26" fillId="5" borderId="7" xfId="2" applyFont="1" applyFill="1" applyBorder="1" applyAlignment="1">
      <alignment horizontal="center" vertical="center" wrapText="1"/>
    </xf>
    <xf numFmtId="0" fontId="27" fillId="5" borderId="0" xfId="2" applyFont="1" applyFill="1" applyAlignment="1">
      <alignment horizontal="center" vertical="center" wrapText="1"/>
    </xf>
    <xf numFmtId="0" fontId="27" fillId="5" borderId="7" xfId="2" applyFont="1" applyFill="1" applyBorder="1" applyAlignment="1">
      <alignment horizontal="center" vertical="center" wrapText="1"/>
    </xf>
    <xf numFmtId="0" fontId="28" fillId="5" borderId="7" xfId="2" applyFont="1" applyFill="1" applyBorder="1" applyAlignment="1">
      <alignment horizontal="center" vertical="center" wrapText="1"/>
    </xf>
    <xf numFmtId="0" fontId="29" fillId="5" borderId="7" xfId="2" applyFont="1" applyFill="1" applyBorder="1" applyAlignment="1">
      <alignment horizontal="center" vertical="center" wrapText="1"/>
    </xf>
    <xf numFmtId="0" fontId="30" fillId="0" borderId="0" xfId="2" applyFont="1" applyAlignment="1">
      <alignment horizontal="center" vertical="center"/>
    </xf>
    <xf numFmtId="0" fontId="31" fillId="0" borderId="0" xfId="2" applyFont="1">
      <alignment vertical="center"/>
    </xf>
    <xf numFmtId="0" fontId="32" fillId="5" borderId="6" xfId="2" applyFont="1" applyFill="1" applyBorder="1" applyAlignment="1">
      <alignment horizontal="left" vertical="center" wrapText="1" indent="1"/>
    </xf>
    <xf numFmtId="0" fontId="33" fillId="3" borderId="7" xfId="2" applyFont="1" applyFill="1" applyBorder="1" applyAlignment="1">
      <alignment horizontal="left" vertical="center" wrapText="1" indent="1"/>
    </xf>
    <xf numFmtId="0" fontId="34" fillId="3" borderId="7" xfId="2" applyFont="1" applyFill="1" applyBorder="1" applyAlignment="1">
      <alignment horizontal="left" vertical="center" wrapText="1" indent="1"/>
    </xf>
    <xf numFmtId="0" fontId="32" fillId="5" borderId="7" xfId="2" applyFont="1" applyFill="1" applyBorder="1" applyAlignment="1">
      <alignment horizontal="left" vertical="center" wrapText="1" indent="1"/>
    </xf>
    <xf numFmtId="0" fontId="35" fillId="5" borderId="7" xfId="2" applyFont="1" applyFill="1" applyBorder="1" applyAlignment="1">
      <alignment horizontal="left" vertical="center" wrapText="1" indent="1"/>
    </xf>
    <xf numFmtId="0" fontId="32" fillId="5" borderId="7" xfId="2" applyFont="1" applyFill="1" applyBorder="1" applyAlignment="1">
      <alignment horizontal="center" vertical="center" wrapText="1"/>
    </xf>
    <xf numFmtId="0" fontId="32" fillId="5" borderId="0" xfId="2" applyFont="1" applyFill="1" applyAlignment="1">
      <alignment horizontal="center" vertical="center" wrapText="1"/>
    </xf>
    <xf numFmtId="0" fontId="32" fillId="5" borderId="0" xfId="2" applyFont="1" applyFill="1" applyAlignment="1">
      <alignment horizontal="left" vertical="center" wrapText="1" indent="1"/>
    </xf>
    <xf numFmtId="0" fontId="36" fillId="0" borderId="0" xfId="2" applyFont="1">
      <alignment vertical="center"/>
    </xf>
    <xf numFmtId="0" fontId="24" fillId="0" borderId="0" xfId="2" applyFont="1" applyAlignment="1">
      <alignment horizontal="center" vertical="center"/>
    </xf>
    <xf numFmtId="0" fontId="37" fillId="0" borderId="0" xfId="2" applyFont="1" applyAlignment="1">
      <alignment horizontal="center" vertical="center"/>
    </xf>
    <xf numFmtId="0" fontId="38" fillId="4" borderId="7" xfId="2" applyFont="1" applyFill="1" applyBorder="1" applyAlignment="1">
      <alignment horizontal="left" vertical="center" wrapText="1" indent="1"/>
    </xf>
    <xf numFmtId="0" fontId="39" fillId="4" borderId="7" xfId="2" applyFont="1" applyFill="1" applyBorder="1" applyAlignment="1">
      <alignment horizontal="left" vertical="center" wrapText="1" indent="1"/>
    </xf>
    <xf numFmtId="0" fontId="43" fillId="4" borderId="7" xfId="2" applyFont="1" applyFill="1" applyBorder="1" applyAlignment="1">
      <alignment horizontal="center" vertical="center" wrapText="1"/>
    </xf>
    <xf numFmtId="0" fontId="44" fillId="5" borderId="7" xfId="2" applyFont="1" applyFill="1" applyBorder="1" applyAlignment="1">
      <alignment horizontal="left" vertical="center" wrapText="1" indent="1"/>
    </xf>
    <xf numFmtId="0" fontId="41" fillId="5" borderId="7" xfId="2" applyFont="1" applyFill="1" applyBorder="1" applyAlignment="1">
      <alignment horizontal="left" vertical="center" wrapText="1" indent="1"/>
    </xf>
    <xf numFmtId="0" fontId="45" fillId="0" borderId="0" xfId="2" applyFont="1" applyAlignment="1">
      <alignment horizontal="center" vertical="center"/>
    </xf>
    <xf numFmtId="0" fontId="38" fillId="6" borderId="7" xfId="2" applyFont="1" applyFill="1" applyBorder="1" applyAlignment="1">
      <alignment horizontal="left" vertical="center" wrapText="1" indent="1"/>
    </xf>
    <xf numFmtId="0" fontId="46" fillId="4" borderId="7" xfId="2" applyFont="1" applyFill="1" applyBorder="1" applyAlignment="1">
      <alignment horizontal="left" vertical="center" wrapText="1" indent="1"/>
    </xf>
    <xf numFmtId="0" fontId="47" fillId="4" borderId="7" xfId="2" applyFont="1" applyFill="1" applyBorder="1" applyAlignment="1">
      <alignment horizontal="center" vertical="center" wrapText="1"/>
    </xf>
    <xf numFmtId="0" fontId="47" fillId="4" borderId="7" xfId="2" applyFont="1" applyFill="1" applyBorder="1" applyAlignment="1">
      <alignment horizontal="left" vertical="center" wrapText="1" indent="1"/>
    </xf>
    <xf numFmtId="0" fontId="48" fillId="4" borderId="7" xfId="2" applyFont="1" applyFill="1" applyBorder="1" applyAlignment="1">
      <alignment horizontal="left" vertical="center" wrapText="1" indent="1"/>
    </xf>
    <xf numFmtId="0" fontId="49" fillId="4" borderId="7" xfId="2" applyFont="1" applyFill="1" applyBorder="1" applyAlignment="1">
      <alignment horizontal="left" vertical="center" wrapText="1" indent="1"/>
    </xf>
    <xf numFmtId="0" fontId="50" fillId="0" borderId="0" xfId="2" applyFont="1">
      <alignment vertical="center"/>
    </xf>
    <xf numFmtId="0" fontId="6" fillId="2" borderId="8" xfId="1" applyFont="1" applyFill="1" applyBorder="1">
      <alignment vertical="center"/>
    </xf>
    <xf numFmtId="0" fontId="6" fillId="2" borderId="9" xfId="1" applyFont="1" applyFill="1" applyBorder="1">
      <alignment vertical="center"/>
    </xf>
    <xf numFmtId="0" fontId="2" fillId="7" borderId="2" xfId="1" applyFill="1" applyBorder="1">
      <alignment vertical="center"/>
    </xf>
    <xf numFmtId="0" fontId="2" fillId="7" borderId="10" xfId="1" applyFill="1" applyBorder="1">
      <alignment vertical="center"/>
    </xf>
    <xf numFmtId="0" fontId="2" fillId="7" borderId="3" xfId="1" applyFill="1" applyBorder="1">
      <alignment vertical="center"/>
    </xf>
    <xf numFmtId="0" fontId="2" fillId="7" borderId="11" xfId="1" applyFill="1" applyBorder="1">
      <alignment vertical="center"/>
    </xf>
    <xf numFmtId="0" fontId="2" fillId="7" borderId="8" xfId="1" applyFill="1" applyBorder="1">
      <alignment vertical="center"/>
    </xf>
    <xf numFmtId="0" fontId="2" fillId="7" borderId="9" xfId="1" applyFill="1" applyBorder="1">
      <alignment vertical="center"/>
    </xf>
    <xf numFmtId="0" fontId="2" fillId="7" borderId="12" xfId="1" applyFill="1" applyBorder="1">
      <alignment vertical="center"/>
    </xf>
    <xf numFmtId="0" fontId="2" fillId="7" borderId="13" xfId="1" applyFill="1" applyBorder="1">
      <alignment vertical="center"/>
    </xf>
    <xf numFmtId="0" fontId="19" fillId="0" borderId="14" xfId="1" applyFont="1" applyBorder="1">
      <alignment vertical="center"/>
    </xf>
    <xf numFmtId="0" fontId="20" fillId="0" borderId="3" xfId="1" applyFont="1" applyBorder="1" applyAlignment="1">
      <alignment horizontal="center" vertical="center"/>
    </xf>
  </cellXfs>
  <cellStyles count="3">
    <cellStyle name="一般" xfId="0" builtinId="0"/>
    <cellStyle name="一般 2" xfId="1" xr:uid="{7E779D13-014C-4B43-AE89-229DE07CE2BE}"/>
    <cellStyle name="一般 4" xfId="2" xr:uid="{1627BC1E-CB6C-4DB4-9154-E4FD3658A90F}"/>
  </cellStyles>
  <dxfs count="42">
    <dxf>
      <font>
        <sz val="18"/>
        <color rgb="FF000000"/>
        <name val="Noto Sans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Noto Sans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  <vertical/>
        <horizontal/>
      </border>
    </dxf>
    <dxf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FF0000"/>
        <name val="Noto Sans TC Medium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8"/>
        <name val="吳守禮細明台語注音"/>
        <family val="1"/>
        <charset val="136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8"/>
        <name val="吳守禮細明台語注音"/>
        <family val="1"/>
        <charset val="136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FF0000"/>
        <name val="Noto Sans TC Medium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FF0000"/>
        <name val="Noto Sans TC Medium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8"/>
        <name val="Noto Sans TC Medium"/>
        <family val="2"/>
        <charset val="136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8"/>
        <name val="Noto Sans TC Medium"/>
        <family val="2"/>
        <charset val="136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8"/>
        <name val="Noto Sans TC Medium"/>
        <family val="2"/>
        <charset val="136"/>
        <scheme val="none"/>
      </font>
      <fill>
        <patternFill patternType="solid">
          <fgColor indexed="64"/>
          <bgColor rgb="FFFFFFC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8"/>
        <name val="Noto Sans TC Medium"/>
        <family val="2"/>
        <charset val="136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8"/>
        <name val="Noto Sans TC Medium"/>
        <family val="2"/>
        <charset val="136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FF0000"/>
        <name val="Noto Sans TC Medium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8"/>
        <name val="Noto Sans TC Medium"/>
        <family val="2"/>
        <charset val="136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8"/>
        <name val="Noto Sans TC Medium"/>
        <family val="2"/>
        <charset val="136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4"/>
        <name val="Noto Sans TC Medium"/>
        <family val="2"/>
        <scheme val="none"/>
      </font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Noto Sans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Noto Sans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FF0000"/>
        <name val="微軟正黑體"/>
        <family val="2"/>
        <charset val="136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Noto Sans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FF0000"/>
        <name val="微軟正黑體"/>
        <family val="2"/>
        <charset val="136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  <vertical/>
        <horizontal/>
      </border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FF0000"/>
        <name val="Noto Sans"/>
        <family val="2"/>
        <scheme val="none"/>
      </font>
      <fill>
        <patternFill patternType="solid">
          <fgColor indexed="64"/>
          <bgColor rgb="FFFFFF00"/>
        </patternFill>
      </fill>
      <alignment horizontal="left" vertical="center" textRotation="0" wrapText="1" indent="1" justifyLastLine="0" shrinkToFit="0" readingOrder="0"/>
      <border diagonalUp="0" diagonalDown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FF0000"/>
        <name val="Noto Sans"/>
        <family val="2"/>
        <scheme val="none"/>
      </font>
      <fill>
        <patternFill patternType="solid">
          <fgColor indexed="64"/>
          <bgColor rgb="FFFFFF00"/>
        </patternFill>
      </fill>
      <alignment horizontal="left" vertical="center" textRotation="0" wrapText="1" indent="1" justifyLastLine="0" shrinkToFit="0" readingOrder="0"/>
      <border diagonalUp="0" diagonalDown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FF0000"/>
        <name val="Noto Sans"/>
        <family val="2"/>
        <scheme val="none"/>
      </font>
      <fill>
        <patternFill patternType="solid">
          <fgColor indexed="64"/>
          <bgColor rgb="FFFFFF00"/>
        </patternFill>
      </fill>
      <alignment horizontal="left" vertical="center" textRotation="0" wrapText="1" indent="1" justifyLastLine="0" shrinkToFit="0" readingOrder="0"/>
      <border diagonalUp="0" diagonalDown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FF0000"/>
        <name val="Noto Sans"/>
        <family val="2"/>
        <scheme val="none"/>
      </font>
      <fill>
        <patternFill patternType="solid">
          <fgColor indexed="64"/>
          <bgColor rgb="FFFFFF00"/>
        </patternFill>
      </fill>
      <alignment horizontal="left" vertical="center" textRotation="0" wrapText="1" indent="1" justifyLastLine="0" shrinkToFit="0" readingOrder="0"/>
      <border diagonalUp="0" diagonalDown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8"/>
        <name val="Noto Sans"/>
        <family val="2"/>
        <scheme val="none"/>
      </font>
      <fill>
        <patternFill patternType="solid">
          <fgColor indexed="64"/>
          <bgColor rgb="FFFFFFCC"/>
        </patternFill>
      </fill>
      <alignment horizontal="left" vertical="center" textRotation="0" wrapText="1" indent="1" justifyLastLine="0" shrinkToFit="0" readingOrder="0"/>
      <border diagonalUp="0" diagonalDown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C00000"/>
        <name val="Noto Sans"/>
        <family val="2"/>
        <scheme val="none"/>
      </font>
      <fill>
        <patternFill patternType="solid">
          <fgColor indexed="64"/>
          <bgColor rgb="FFFFFFCC"/>
        </patternFill>
      </fill>
      <alignment horizontal="left" vertical="center" textRotation="0" wrapText="1" indent="1" justifyLastLine="0" shrinkToFit="0" readingOrder="0"/>
      <border diagonalUp="0" diagonalDown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Noto Sans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/>
        <right style="medium">
          <color rgb="FFDEE2E6"/>
        </right>
        <top style="medium">
          <color rgb="FFDEE2E6"/>
        </top>
        <bottom style="medium">
          <color rgb="FFDEE2E6"/>
        </bottom>
        <vertical/>
        <horizontal/>
      </border>
    </dxf>
    <dxf>
      <border outline="0">
        <left style="medium">
          <color rgb="FFDEE2E6"/>
        </left>
        <right style="medium">
          <color rgb="FFDEE2E6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微軟正黑體"/>
        <family val="2"/>
        <charset val="136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DEE2E6"/>
        </left>
        <right style="medium">
          <color rgb="FFDEE2E6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FF0000"/>
        <name val="微軟正黑體"/>
        <family val="2"/>
        <charset val="136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Noto Sans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FF0000"/>
        <name val="微軟正黑體"/>
        <family val="2"/>
        <charset val="136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8"/>
        <name val="Noto Sans"/>
        <family val="2"/>
        <scheme val="none"/>
      </font>
      <fill>
        <patternFill patternType="solid">
          <fgColor indexed="64"/>
          <bgColor rgb="FFFFFFCC"/>
        </patternFill>
      </fill>
      <alignment horizontal="left" vertical="center" textRotation="0" wrapText="1" indent="1" justifyLastLine="0" shrinkToFit="0" readingOrder="0"/>
      <border diagonalUp="0" diagonalDown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Noto Sans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/>
        <right style="medium">
          <color rgb="FFDEE2E6"/>
        </right>
        <top style="medium">
          <color rgb="FFDEE2E6"/>
        </top>
        <bottom style="medium">
          <color rgb="FFDEE2E6"/>
        </bottom>
        <vertical/>
        <horizontal/>
      </border>
    </dxf>
    <dxf>
      <border outline="0">
        <left style="medium">
          <color rgb="FFDEE2E6"/>
        </left>
        <right style="medium">
          <color rgb="FFDEE2E6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微軟正黑體"/>
        <family val="2"/>
        <charset val="136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DEE2E6"/>
        </left>
        <right style="medium">
          <color rgb="FFDEE2E6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lanJui\work\rime-tlpa\docs\101_&#32882;&#38907;&#35519;&#23565;&#29031;&#34920;.xlsx" TargetMode="External"/><Relationship Id="rId1" Type="http://schemas.openxmlformats.org/officeDocument/2006/relationships/externalLinkPath" Target="101_&#32882;&#38907;&#35519;&#23565;&#29031;&#3492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工作表1"/>
      <sheetName val="輸入工具"/>
      <sheetName val="輸入工具 (閩拼方案)"/>
      <sheetName val="輸入工具 (台語注音二式)"/>
      <sheetName val="輸入工具 (台語音標)"/>
      <sheetName val="輸入工具 (台羅拼音)"/>
      <sheetName val="輸入工具 (白話字)"/>
      <sheetName val="【聲】聲母對照表"/>
      <sheetName val="【聲】聲母排序表"/>
      <sheetName val="【韻】韻母對照表"/>
      <sheetName val="【調】韻母標調"/>
      <sheetName val="台語注音二式轉方音符號"/>
      <sheetName val="台語注音二式轉換"/>
      <sheetName val="IPA音節表"/>
      <sheetName val="【十五音】韻母對照表"/>
      <sheetName val="十五音韻母"/>
      <sheetName val="馬重奇韻母50字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AJ1">
            <v>1</v>
          </cell>
          <cell r="AK1">
            <v>2</v>
          </cell>
          <cell r="AL1">
            <v>3</v>
          </cell>
          <cell r="AM1">
            <v>4</v>
          </cell>
          <cell r="AN1">
            <v>5</v>
          </cell>
          <cell r="AO1">
            <v>6</v>
          </cell>
          <cell r="AP1">
            <v>7</v>
          </cell>
          <cell r="AQ1">
            <v>8</v>
          </cell>
          <cell r="AR1">
            <v>9</v>
          </cell>
          <cell r="AS1">
            <v>9</v>
          </cell>
        </row>
      </sheetData>
      <sheetData sheetId="11"/>
      <sheetData sheetId="12"/>
      <sheetData sheetId="13"/>
      <sheetData sheetId="14"/>
      <sheetData sheetId="15"/>
      <sheetData sheetId="16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7478F1-C576-499E-B6A2-0733C068F4B6}" name="韻母對照表" displayName="韻母對照表" ref="A3:G89" totalsRowShown="0" headerRowDxfId="41" tableBorderDxfId="40" headerRowCellStyle="一般 4">
  <autoFilter ref="A3:G89" xr:uid="{C40E26AF-4D3B-4E1A-8080-AAAFDBD9F514}"/>
  <tableColumns count="7">
    <tableColumn id="1" xr3:uid="{9A613BED-D5EA-4B57-9C15-956DC86EA908}" name="序號" dataDxfId="39" dataCellStyle="一般 4">
      <calculatedColumnFormula xml:space="preserve"> ROW() - 3</calculatedColumnFormula>
    </tableColumn>
    <tableColumn id="3" xr3:uid="{9FFF0A03-CFE9-45F4-9BF2-415258D04277}" name="台羅拼音" dataDxfId="38" dataCellStyle="一般 4"/>
    <tableColumn id="13" xr3:uid="{BF873937-9E76-490C-8270-11B6790DD4D8}" name="台語注音" dataDxfId="0" dataCellStyle="一般 4"/>
    <tableColumn id="8" xr3:uid="{ADC7B562-773D-4810-B9CC-713ACCF4FD2E}" name="方音符號" dataDxfId="1" dataCellStyle="一般 4"/>
    <tableColumn id="9" xr3:uid="{102CA22D-E874-4A14-9CE7-0B3B65C9B2C9}" name="十五音" dataDxfId="37" dataCellStyle="一般 4">
      <calculatedColumnFormula xml:space="preserve"> LEFT(韻母對照表[[#This Row],[十五音識別碼]],1)</calculatedColumnFormula>
    </tableColumn>
    <tableColumn id="14" xr3:uid="{80BAD6D8-441F-452B-859B-40CF08B22C30}" name="漢字例" dataDxfId="36" dataCellStyle="一般 4"/>
    <tableColumn id="12" xr3:uid="{5E86E1F9-81C0-422A-B56F-77805B2F7FAF}" name="十五音識別碼" dataDxfId="35" dataCellStyle="一般 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DA0E441-AB36-4D93-823E-8D33648497FE}" name="聲母對照表" displayName="聲母對照表" ref="A1:P23" totalsRowShown="0" headerRowDxfId="19" tableBorderDxfId="18">
  <autoFilter ref="A1:P23" xr:uid="{50527B81-BE0C-4989-8113-79F20236AB33}"/>
  <sortState xmlns:xlrd2="http://schemas.microsoft.com/office/spreadsheetml/2017/richdata2" ref="A2:P23">
    <sortCondition ref="A8:A23"/>
  </sortState>
  <tableColumns count="16">
    <tableColumn id="1" xr3:uid="{DF7BD213-8E64-4C43-8751-DFCC6C2CD491}" name="識別號" dataDxfId="17"/>
    <tableColumn id="2" xr3:uid="{7B558E57-8B36-495D-8600-A0F4E1ECCF1D}" name="序號" dataDxfId="16"/>
    <tableColumn id="3" xr3:uid="{70BD0BF1-98A4-4D19-AA0C-98D3D482FF32}" name="國際音標" dataDxfId="15"/>
    <tableColumn id="4" xr3:uid="{790F2DCB-F319-485E-8664-366CA4195158}" name="台羅拼音" dataDxfId="14"/>
    <tableColumn id="5" xr3:uid="{FD0AC2B1-F5BB-4B8A-9E16-3DA0CF9C7E62}" name="台語音標" dataDxfId="13"/>
    <tableColumn id="6" xr3:uid="{7CDD96CE-66CE-484D-9F20-3143253597FD}" name="注音二式" dataDxfId="12"/>
    <tableColumn id="7" xr3:uid="{74622BC8-9746-4A63-B2A7-1891F60DC074}" name="閩拼方案" dataDxfId="11"/>
    <tableColumn id="8" xr3:uid="{7A91608D-5834-47BB-8D81-205FBD14DE21}" name="白話字" dataDxfId="10"/>
    <tableColumn id="9" xr3:uid="{EFAA2800-AAEA-40CD-996B-94AD11546CE3}" name="方音符號" dataDxfId="9"/>
    <tableColumn id="10" xr3:uid="{F55110AB-69E8-47FD-95FF-73394521CDD0}" name="台語注音" dataDxfId="8"/>
    <tableColumn id="11" xr3:uid="{CB336041-5A16-466F-9BCB-A82EF0D9C630}" name="十五音" dataDxfId="7"/>
    <tableColumn id="12" xr3:uid="{BE661B82-1303-4544-8919-CA288B9C35A1}" name="漢字例" dataDxfId="6"/>
    <tableColumn id="13" xr3:uid="{0D719D1B-8A91-4073-BC66-55E486F5D4ED}" name="備註" dataDxfId="5"/>
    <tableColumn id="14" xr3:uid="{47065CA0-E5B8-4F5E-BAFF-2DCB35AEBCC2}" name="s1" dataDxfId="4"/>
    <tableColumn id="15" xr3:uid="{A2062A8F-DAB3-4A27-AE17-38FD3CCE2162}" name="s2" dataDxfId="3"/>
    <tableColumn id="16" xr3:uid="{38153E63-C7D8-4B73-8278-84C4A410AB7E}" name="s3" dataDxfId="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3BCD92B-52F5-4C71-B6F6-D404E4167F0D}" name="韻母對照表3" displayName="韻母對照表3" ref="A3:N89" totalsRowShown="0" headerRowDxfId="34" tableBorderDxfId="33" headerRowCellStyle="一般 4">
  <autoFilter ref="A3:N89" xr:uid="{C40E26AF-4D3B-4E1A-8080-AAAFDBD9F514}"/>
  <tableColumns count="14">
    <tableColumn id="1" xr3:uid="{4979778C-483C-4E99-8692-B1BE4264AF40}" name="序號" dataDxfId="32" dataCellStyle="一般 4">
      <calculatedColumnFormula xml:space="preserve"> ROW() - 3</calculatedColumnFormula>
    </tableColumn>
    <tableColumn id="2" xr3:uid="{AFE1DACA-6B52-41E9-A6FC-3F6F56F1FB3A}" name="國際音標" dataDxfId="31" dataCellStyle="一般 4"/>
    <tableColumn id="3" xr3:uid="{B593D2B2-5B7D-4711-82E4-DF2D6CAC5DCA}" name="台羅拼音" dataDxfId="30" dataCellStyle="一般 4"/>
    <tableColumn id="4" xr3:uid="{1F6AF531-8817-4622-8E02-7BB9C040F821}" name="台語音標" dataDxfId="29" dataCellStyle="一般 4"/>
    <tableColumn id="5" xr3:uid="{5049A8BD-C0A2-44BF-8ECD-E60B9DCECE1D}" name="台語注音二式" dataDxfId="28" dataCellStyle="一般 4"/>
    <tableColumn id="6" xr3:uid="{1CCBE2C1-FC8C-4F9A-9E15-2AA67D5D91A3}" name="閩拼方案" dataDxfId="27" dataCellStyle="一般 4"/>
    <tableColumn id="7" xr3:uid="{BBCB162E-FD07-4978-A448-500582F44BFD}" name="白話字" dataDxfId="26" dataCellStyle="一般 4"/>
    <tableColumn id="8" xr3:uid="{722555B5-90C7-42E7-933C-5FF9192CFCBC}" name="方音符號"/>
    <tableColumn id="13" xr3:uid="{1470C929-B0C1-4B25-A661-F7EADB3AF140}" name="台語注音" dataDxfId="25"/>
    <tableColumn id="9" xr3:uid="{6A606A46-73D1-41DA-85AE-A9A0853609D0}" name="十五音" dataDxfId="24" dataCellStyle="一般 4">
      <calculatedColumnFormula xml:space="preserve"> LEFT(韻母對照表3[[#This Row],[十五音識別碼]],1)</calculatedColumnFormula>
    </tableColumn>
    <tableColumn id="14" xr3:uid="{6C0D93D4-D711-49BB-9649-E46293D85FF1}" name="漢字例" dataDxfId="23" dataCellStyle="一般 4"/>
    <tableColumn id="12" xr3:uid="{409A4464-246A-4225-8798-34E579073241}" name="十五音識別碼" dataDxfId="22" dataCellStyle="一般 4"/>
    <tableColumn id="10" xr3:uid="{43641318-616A-4661-B5A9-9C353C9D77D8}" name="聲韻調類" dataDxfId="21" dataCellStyle="一般 4"/>
    <tableColumn id="11" xr3:uid="{446B139F-68F4-447B-A755-03C7E0528A39}" name="字長" dataDxfId="20" dataCellStyle="一般 4">
      <calculatedColumnFormula xml:space="preserve"> LEN(D4)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D952C-7784-49AE-86C5-B4CBF6314F68}">
  <dimension ref="A1:V23"/>
  <sheetViews>
    <sheetView topLeftCell="J1" workbookViewId="0">
      <selection activeCell="S1" sqref="S1:V6"/>
    </sheetView>
  </sheetViews>
  <sheetFormatPr defaultRowHeight="25.5"/>
  <cols>
    <col min="1" max="1" width="11" style="3" customWidth="1"/>
    <col min="2" max="3" width="9" style="3"/>
    <col min="4" max="4" width="13.75" style="3" customWidth="1"/>
    <col min="5" max="5" width="34.625" style="3" bestFit="1" customWidth="1"/>
    <col min="6" max="7" width="9" style="3"/>
    <col min="8" max="8" width="9.625" style="3" customWidth="1"/>
    <col min="9" max="12" width="13.75" style="3" customWidth="1"/>
    <col min="13" max="13" width="9" style="3"/>
    <col min="14" max="15" width="13.75" style="3" customWidth="1"/>
    <col min="16" max="16" width="34.625" style="3" bestFit="1" customWidth="1"/>
    <col min="17" max="18" width="9" style="3"/>
    <col min="19" max="19" width="9.625" style="3" customWidth="1"/>
    <col min="20" max="22" width="13.75" style="3" customWidth="1"/>
    <col min="23" max="16384" width="9" style="3"/>
  </cols>
  <sheetData>
    <row r="1" spans="1:2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H1" s="2" t="s">
        <v>5</v>
      </c>
      <c r="I1" s="2" t="s">
        <v>8</v>
      </c>
      <c r="J1" s="2" t="s">
        <v>7</v>
      </c>
      <c r="K1" s="2" t="s">
        <v>6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4</v>
      </c>
      <c r="S1" s="2" t="s">
        <v>5</v>
      </c>
      <c r="T1" s="2" t="s">
        <v>8</v>
      </c>
      <c r="U1" s="2" t="s">
        <v>7</v>
      </c>
      <c r="V1" s="2" t="s">
        <v>6</v>
      </c>
    </row>
    <row r="2" spans="1:22" ht="39">
      <c r="A2" s="4">
        <v>1</v>
      </c>
      <c r="B2" s="5" t="s">
        <v>13</v>
      </c>
      <c r="C2" s="5" t="s">
        <v>14</v>
      </c>
      <c r="D2" s="6" t="s">
        <v>15</v>
      </c>
      <c r="E2" s="6"/>
      <c r="H2" s="6">
        <v>1</v>
      </c>
      <c r="I2" s="6" t="s">
        <v>17</v>
      </c>
      <c r="J2" s="7" t="s">
        <v>16</v>
      </c>
      <c r="K2" s="7" t="s">
        <v>16</v>
      </c>
      <c r="L2" s="6" t="s">
        <v>17</v>
      </c>
      <c r="M2" s="6" t="s">
        <v>17</v>
      </c>
      <c r="N2" s="8" t="s">
        <v>18</v>
      </c>
      <c r="O2" s="6" t="s">
        <v>18</v>
      </c>
      <c r="P2" s="6"/>
      <c r="S2" s="6">
        <v>4</v>
      </c>
      <c r="T2" s="6" t="s">
        <v>18</v>
      </c>
      <c r="U2" s="11" t="s">
        <v>33</v>
      </c>
      <c r="V2" s="7" t="s">
        <v>32</v>
      </c>
    </row>
    <row r="3" spans="1:22" ht="39">
      <c r="A3" s="4">
        <v>2</v>
      </c>
      <c r="B3" s="5" t="s">
        <v>19</v>
      </c>
      <c r="C3" s="5" t="s">
        <v>19</v>
      </c>
      <c r="D3" s="6" t="s">
        <v>20</v>
      </c>
      <c r="E3" s="9" t="s">
        <v>21</v>
      </c>
      <c r="H3" s="6">
        <v>2</v>
      </c>
      <c r="I3" s="6" t="s">
        <v>23</v>
      </c>
      <c r="J3" s="7" t="s">
        <v>22</v>
      </c>
      <c r="K3" s="7" t="s">
        <v>22</v>
      </c>
      <c r="L3" s="6" t="s">
        <v>23</v>
      </c>
      <c r="M3" s="6" t="s">
        <v>23</v>
      </c>
      <c r="N3" s="8" t="s">
        <v>17</v>
      </c>
      <c r="O3" s="6" t="s">
        <v>17</v>
      </c>
      <c r="P3" s="6"/>
      <c r="S3" s="6">
        <v>11</v>
      </c>
      <c r="T3" s="6" t="s">
        <v>69</v>
      </c>
      <c r="U3" s="11" t="s">
        <v>68</v>
      </c>
      <c r="V3" s="7" t="s">
        <v>67</v>
      </c>
    </row>
    <row r="4" spans="1:22" ht="39">
      <c r="A4" s="4">
        <v>3</v>
      </c>
      <c r="B4" s="5" t="s">
        <v>24</v>
      </c>
      <c r="C4" s="5" t="s">
        <v>25</v>
      </c>
      <c r="D4" s="6" t="s">
        <v>17</v>
      </c>
      <c r="E4" s="6"/>
      <c r="H4" s="6">
        <v>3</v>
      </c>
      <c r="I4" s="6" t="s">
        <v>27</v>
      </c>
      <c r="J4" s="7" t="s">
        <v>26</v>
      </c>
      <c r="K4" s="7" t="s">
        <v>26</v>
      </c>
      <c r="L4" s="6" t="s">
        <v>27</v>
      </c>
      <c r="M4" s="6" t="s">
        <v>27</v>
      </c>
      <c r="N4" s="8" t="s">
        <v>27</v>
      </c>
      <c r="O4" s="6" t="s">
        <v>28</v>
      </c>
      <c r="P4" s="10"/>
      <c r="S4" s="6">
        <v>12</v>
      </c>
      <c r="T4" s="6" t="s">
        <v>58</v>
      </c>
      <c r="U4" s="11" t="s">
        <v>67</v>
      </c>
      <c r="V4" s="7" t="s">
        <v>74</v>
      </c>
    </row>
    <row r="5" spans="1:22" ht="39">
      <c r="A5" s="4">
        <v>4</v>
      </c>
      <c r="B5" s="5" t="s">
        <v>29</v>
      </c>
      <c r="C5" s="5" t="s">
        <v>30</v>
      </c>
      <c r="D5" s="6" t="s">
        <v>31</v>
      </c>
      <c r="E5" s="6"/>
      <c r="H5" s="6">
        <v>4</v>
      </c>
      <c r="I5" s="6" t="s">
        <v>18</v>
      </c>
      <c r="J5" s="11" t="s">
        <v>33</v>
      </c>
      <c r="K5" s="7" t="s">
        <v>32</v>
      </c>
      <c r="L5" s="6" t="s">
        <v>18</v>
      </c>
      <c r="M5" s="6" t="s">
        <v>18</v>
      </c>
      <c r="N5" s="8" t="s">
        <v>34</v>
      </c>
      <c r="O5" s="6" t="s">
        <v>34</v>
      </c>
      <c r="P5" s="6"/>
      <c r="S5" s="6">
        <v>16</v>
      </c>
      <c r="T5" s="6" t="s">
        <v>99</v>
      </c>
      <c r="U5" s="11" t="s">
        <v>98</v>
      </c>
      <c r="V5" s="7" t="s">
        <v>97</v>
      </c>
    </row>
    <row r="6" spans="1:22" ht="39">
      <c r="A6" s="4">
        <v>5</v>
      </c>
      <c r="B6" s="5" t="s">
        <v>35</v>
      </c>
      <c r="C6" s="5" t="s">
        <v>36</v>
      </c>
      <c r="D6" s="6" t="s">
        <v>37</v>
      </c>
      <c r="E6" s="6"/>
      <c r="H6" s="6">
        <v>5</v>
      </c>
      <c r="I6" s="6" t="s">
        <v>39</v>
      </c>
      <c r="J6" s="7" t="s">
        <v>38</v>
      </c>
      <c r="K6" s="7" t="s">
        <v>38</v>
      </c>
      <c r="L6" s="6" t="s">
        <v>39</v>
      </c>
      <c r="M6" s="6" t="s">
        <v>39</v>
      </c>
      <c r="N6" s="8" t="s">
        <v>40</v>
      </c>
      <c r="O6" s="6" t="s">
        <v>40</v>
      </c>
      <c r="P6" s="6"/>
      <c r="S6" s="22">
        <v>22</v>
      </c>
      <c r="T6" s="34" t="s">
        <v>143</v>
      </c>
      <c r="U6" s="33" t="s">
        <v>98</v>
      </c>
      <c r="V6" s="32" t="s">
        <v>136</v>
      </c>
    </row>
    <row r="7" spans="1:22" ht="39">
      <c r="A7" s="4">
        <v>6</v>
      </c>
      <c r="B7" s="5" t="s">
        <v>41</v>
      </c>
      <c r="C7" s="5" t="s">
        <v>42</v>
      </c>
      <c r="D7" s="6" t="s">
        <v>39</v>
      </c>
      <c r="E7" s="6"/>
      <c r="H7" s="6">
        <v>6</v>
      </c>
      <c r="I7" s="6" t="s">
        <v>44</v>
      </c>
      <c r="J7" s="7" t="s">
        <v>43</v>
      </c>
      <c r="K7" s="7" t="s">
        <v>43</v>
      </c>
      <c r="L7" s="6" t="s">
        <v>44</v>
      </c>
      <c r="M7" s="6" t="s">
        <v>44</v>
      </c>
      <c r="N7" s="8" t="s">
        <v>39</v>
      </c>
      <c r="O7" s="6" t="s">
        <v>39</v>
      </c>
      <c r="P7" s="6"/>
    </row>
    <row r="8" spans="1:22" ht="39">
      <c r="A8" s="4">
        <v>7</v>
      </c>
      <c r="B8" s="5" t="s">
        <v>45</v>
      </c>
      <c r="C8" s="5" t="s">
        <v>46</v>
      </c>
      <c r="D8" s="6" t="s">
        <v>47</v>
      </c>
      <c r="E8" s="6"/>
      <c r="H8" s="6">
        <v>7</v>
      </c>
      <c r="I8" s="6" t="s">
        <v>20</v>
      </c>
      <c r="J8" s="7" t="s">
        <v>48</v>
      </c>
      <c r="K8" s="7" t="s">
        <v>48</v>
      </c>
      <c r="L8" s="6" t="s">
        <v>20</v>
      </c>
      <c r="M8" s="6" t="s">
        <v>20</v>
      </c>
      <c r="N8" s="8" t="s">
        <v>20</v>
      </c>
      <c r="O8" s="6" t="s">
        <v>49</v>
      </c>
      <c r="P8" s="9"/>
    </row>
    <row r="9" spans="1:22" ht="39">
      <c r="A9" s="4">
        <v>8</v>
      </c>
      <c r="B9" s="5" t="s">
        <v>50</v>
      </c>
      <c r="C9" s="5" t="s">
        <v>51</v>
      </c>
      <c r="D9" s="6" t="s">
        <v>52</v>
      </c>
      <c r="E9" s="6"/>
      <c r="H9" s="6">
        <v>8</v>
      </c>
      <c r="I9" s="6" t="s">
        <v>15</v>
      </c>
      <c r="J9" s="7" t="s">
        <v>53</v>
      </c>
      <c r="K9" s="7" t="s">
        <v>53</v>
      </c>
      <c r="L9" s="6" t="s">
        <v>15</v>
      </c>
      <c r="M9" s="6" t="s">
        <v>15</v>
      </c>
      <c r="N9" s="8" t="s">
        <v>15</v>
      </c>
      <c r="O9" s="6" t="s">
        <v>15</v>
      </c>
      <c r="P9" s="6"/>
    </row>
    <row r="10" spans="1:22" ht="39">
      <c r="A10" s="4">
        <v>9</v>
      </c>
      <c r="B10" s="5" t="s">
        <v>54</v>
      </c>
      <c r="C10" s="5" t="s">
        <v>55</v>
      </c>
      <c r="D10" s="6" t="s">
        <v>56</v>
      </c>
      <c r="E10" s="6"/>
      <c r="H10" s="6">
        <v>9</v>
      </c>
      <c r="I10" s="6" t="s">
        <v>31</v>
      </c>
      <c r="J10" s="7" t="s">
        <v>57</v>
      </c>
      <c r="K10" s="7" t="s">
        <v>57</v>
      </c>
      <c r="L10" s="6" t="s">
        <v>31</v>
      </c>
      <c r="M10" s="6" t="s">
        <v>31</v>
      </c>
      <c r="N10" s="8" t="s">
        <v>58</v>
      </c>
      <c r="O10" s="6" t="s">
        <v>58</v>
      </c>
      <c r="P10" s="6"/>
    </row>
    <row r="11" spans="1:22" ht="39">
      <c r="A11" s="4">
        <v>10</v>
      </c>
      <c r="B11" s="12" t="s">
        <v>59</v>
      </c>
      <c r="C11" s="13" t="s">
        <v>60</v>
      </c>
      <c r="D11" s="6" t="s">
        <v>61</v>
      </c>
      <c r="E11" s="6"/>
      <c r="H11" s="6">
        <v>10</v>
      </c>
      <c r="I11" s="6" t="s">
        <v>63</v>
      </c>
      <c r="J11" s="7" t="s">
        <v>62</v>
      </c>
      <c r="K11" s="7" t="s">
        <v>62</v>
      </c>
      <c r="L11" s="6" t="s">
        <v>63</v>
      </c>
      <c r="M11" s="6" t="s">
        <v>63</v>
      </c>
      <c r="N11" s="8" t="s">
        <v>31</v>
      </c>
      <c r="O11" s="6" t="s">
        <v>31</v>
      </c>
      <c r="P11" s="6"/>
    </row>
    <row r="12" spans="1:22" ht="39">
      <c r="A12" s="4">
        <v>11</v>
      </c>
      <c r="B12" s="12" t="s">
        <v>64</v>
      </c>
      <c r="C12" s="5" t="s">
        <v>65</v>
      </c>
      <c r="D12" s="6" t="s">
        <v>66</v>
      </c>
      <c r="E12" s="6"/>
      <c r="H12" s="6">
        <v>11</v>
      </c>
      <c r="I12" s="6" t="s">
        <v>69</v>
      </c>
      <c r="J12" s="11" t="s">
        <v>68</v>
      </c>
      <c r="K12" s="7" t="s">
        <v>67</v>
      </c>
      <c r="L12" s="6" t="s">
        <v>69</v>
      </c>
      <c r="M12" s="6" t="s">
        <v>69</v>
      </c>
      <c r="N12" s="8" t="s">
        <v>69</v>
      </c>
      <c r="O12" s="6" t="s">
        <v>70</v>
      </c>
      <c r="P12" s="9"/>
    </row>
    <row r="13" spans="1:22" ht="39">
      <c r="A13" s="4">
        <v>12</v>
      </c>
      <c r="B13" s="14" t="s">
        <v>71</v>
      </c>
      <c r="C13" s="5" t="s">
        <v>72</v>
      </c>
      <c r="D13" s="6"/>
      <c r="E13" s="6" t="s">
        <v>73</v>
      </c>
      <c r="H13" s="6">
        <v>12</v>
      </c>
      <c r="I13" s="6" t="s">
        <v>58</v>
      </c>
      <c r="J13" s="11" t="s">
        <v>67</v>
      </c>
      <c r="K13" s="7" t="s">
        <v>74</v>
      </c>
      <c r="L13" s="6" t="s">
        <v>58</v>
      </c>
      <c r="M13" s="6" t="s">
        <v>58</v>
      </c>
      <c r="N13" s="8" t="s">
        <v>75</v>
      </c>
      <c r="O13" s="6" t="s">
        <v>75</v>
      </c>
      <c r="P13" s="6"/>
    </row>
    <row r="14" spans="1:22" ht="39">
      <c r="A14" s="4">
        <v>13</v>
      </c>
      <c r="B14" s="15" t="s">
        <v>76</v>
      </c>
      <c r="C14" s="5" t="s">
        <v>77</v>
      </c>
      <c r="D14" s="6" t="s">
        <v>18</v>
      </c>
      <c r="E14" s="6"/>
      <c r="H14" s="6">
        <v>13</v>
      </c>
      <c r="I14" s="6" t="s">
        <v>79</v>
      </c>
      <c r="J14" s="7" t="s">
        <v>78</v>
      </c>
      <c r="K14" s="7" t="s">
        <v>78</v>
      </c>
      <c r="L14" s="6" t="s">
        <v>80</v>
      </c>
      <c r="M14" s="6" t="s">
        <v>81</v>
      </c>
      <c r="N14" s="8" t="s">
        <v>80</v>
      </c>
      <c r="O14" s="6" t="s">
        <v>80</v>
      </c>
      <c r="P14" s="6"/>
    </row>
    <row r="15" spans="1:22" ht="39">
      <c r="A15" s="4">
        <v>14</v>
      </c>
      <c r="B15" s="5" t="s">
        <v>82</v>
      </c>
      <c r="C15" s="5" t="s">
        <v>82</v>
      </c>
      <c r="D15" s="6" t="s">
        <v>27</v>
      </c>
      <c r="E15" s="10" t="s">
        <v>83</v>
      </c>
      <c r="H15" s="6">
        <v>14</v>
      </c>
      <c r="I15" s="6" t="s">
        <v>86</v>
      </c>
      <c r="J15" s="7" t="s">
        <v>85</v>
      </c>
      <c r="K15" s="7" t="s">
        <v>84</v>
      </c>
      <c r="L15" s="6" t="s">
        <v>87</v>
      </c>
      <c r="M15" s="6" t="s">
        <v>88</v>
      </c>
      <c r="N15" s="8" t="s">
        <v>87</v>
      </c>
      <c r="O15" s="6" t="s">
        <v>87</v>
      </c>
      <c r="P15" s="6"/>
    </row>
    <row r="16" spans="1:22" ht="39">
      <c r="A16" s="4">
        <v>15</v>
      </c>
      <c r="B16" s="5" t="s">
        <v>89</v>
      </c>
      <c r="C16" s="5" t="s">
        <v>90</v>
      </c>
      <c r="D16" s="6" t="s">
        <v>91</v>
      </c>
      <c r="E16" s="6"/>
      <c r="H16" s="6">
        <v>15</v>
      </c>
      <c r="I16" s="6" t="s">
        <v>66</v>
      </c>
      <c r="J16" s="7" t="s">
        <v>93</v>
      </c>
      <c r="K16" s="7" t="s">
        <v>92</v>
      </c>
      <c r="L16" s="6" t="s">
        <v>66</v>
      </c>
      <c r="M16" s="6" t="s">
        <v>66</v>
      </c>
      <c r="N16" s="8" t="s">
        <v>66</v>
      </c>
      <c r="O16" s="6" t="s">
        <v>66</v>
      </c>
      <c r="P16" s="6"/>
    </row>
    <row r="17" spans="1:16" ht="39">
      <c r="A17" s="4">
        <v>16</v>
      </c>
      <c r="B17" s="5" t="s">
        <v>94</v>
      </c>
      <c r="C17" s="5" t="s">
        <v>94</v>
      </c>
      <c r="D17" s="6" t="s">
        <v>95</v>
      </c>
      <c r="E17" s="9" t="s">
        <v>96</v>
      </c>
      <c r="H17" s="6">
        <v>16</v>
      </c>
      <c r="I17" s="6" t="s">
        <v>99</v>
      </c>
      <c r="J17" s="11" t="s">
        <v>98</v>
      </c>
      <c r="K17" s="7" t="s">
        <v>97</v>
      </c>
      <c r="L17" s="6" t="s">
        <v>99</v>
      </c>
      <c r="M17" s="6" t="s">
        <v>99</v>
      </c>
      <c r="N17" s="8" t="s">
        <v>100</v>
      </c>
      <c r="O17" s="6" t="s">
        <v>100</v>
      </c>
      <c r="P17" s="6"/>
    </row>
    <row r="18" spans="1:16" ht="39">
      <c r="A18" s="4">
        <v>17</v>
      </c>
      <c r="B18" s="5" t="s">
        <v>101</v>
      </c>
      <c r="C18" s="5" t="s">
        <v>102</v>
      </c>
      <c r="D18" s="6" t="s">
        <v>103</v>
      </c>
      <c r="E18" s="6"/>
      <c r="H18" s="6">
        <v>17</v>
      </c>
      <c r="I18" s="6" t="s">
        <v>105</v>
      </c>
      <c r="J18" s="7" t="s">
        <v>104</v>
      </c>
      <c r="K18" s="7" t="s">
        <v>104</v>
      </c>
      <c r="L18" s="6" t="s">
        <v>105</v>
      </c>
      <c r="M18" s="6" t="s">
        <v>105</v>
      </c>
      <c r="N18" s="8" t="s">
        <v>105</v>
      </c>
      <c r="O18" s="6" t="s">
        <v>105</v>
      </c>
      <c r="P18" s="6"/>
    </row>
    <row r="19" spans="1:16" ht="39">
      <c r="A19" s="4">
        <v>18</v>
      </c>
      <c r="B19" s="5" t="s">
        <v>106</v>
      </c>
      <c r="C19" s="5" t="s">
        <v>106</v>
      </c>
      <c r="D19" s="6" t="s">
        <v>105</v>
      </c>
      <c r="E19" s="6"/>
      <c r="H19" s="6">
        <v>18</v>
      </c>
      <c r="I19" s="18" t="s">
        <v>107</v>
      </c>
      <c r="J19" s="17" t="s">
        <v>107</v>
      </c>
      <c r="K19" s="16" t="s">
        <v>107</v>
      </c>
      <c r="L19" s="18" t="s">
        <v>107</v>
      </c>
      <c r="M19" s="18" t="s">
        <v>107</v>
      </c>
      <c r="N19" s="19" t="s">
        <v>107</v>
      </c>
      <c r="O19" s="18" t="s">
        <v>107</v>
      </c>
      <c r="P19" s="6" t="s">
        <v>108</v>
      </c>
    </row>
    <row r="20" spans="1:16" ht="39">
      <c r="A20" s="20">
        <v>19</v>
      </c>
      <c r="B20" s="21" t="s">
        <v>59</v>
      </c>
      <c r="C20" s="21" t="s">
        <v>60</v>
      </c>
      <c r="D20" s="10" t="s">
        <v>109</v>
      </c>
      <c r="E20" s="9" t="s">
        <v>110</v>
      </c>
      <c r="H20" s="22">
        <v>19</v>
      </c>
      <c r="I20" s="22" t="s">
        <v>140</v>
      </c>
      <c r="J20" s="23" t="s">
        <v>112</v>
      </c>
      <c r="K20" s="23" t="s">
        <v>111</v>
      </c>
      <c r="L20" s="22" t="s">
        <v>114</v>
      </c>
      <c r="M20" s="22" t="s">
        <v>115</v>
      </c>
      <c r="N20" s="24" t="s">
        <v>116</v>
      </c>
      <c r="O20" s="22" t="s">
        <v>114</v>
      </c>
      <c r="P20" s="9" t="s">
        <v>117</v>
      </c>
    </row>
    <row r="21" spans="1:16" ht="39">
      <c r="A21" s="20">
        <v>20</v>
      </c>
      <c r="B21" s="21" t="s">
        <v>54</v>
      </c>
      <c r="C21" s="21" t="s">
        <v>118</v>
      </c>
      <c r="D21" s="9" t="s">
        <v>119</v>
      </c>
      <c r="E21" s="9" t="s">
        <v>117</v>
      </c>
      <c r="H21" s="22">
        <v>20</v>
      </c>
      <c r="I21" s="22" t="s">
        <v>141</v>
      </c>
      <c r="J21" s="23" t="s">
        <v>121</v>
      </c>
      <c r="K21" s="23" t="s">
        <v>120</v>
      </c>
      <c r="L21" s="22" t="s">
        <v>123</v>
      </c>
      <c r="M21" s="22" t="s">
        <v>124</v>
      </c>
      <c r="N21" s="24" t="s">
        <v>125</v>
      </c>
      <c r="O21" s="22" t="s">
        <v>123</v>
      </c>
      <c r="P21" s="9" t="s">
        <v>126</v>
      </c>
    </row>
    <row r="22" spans="1:16" ht="39">
      <c r="A22" s="20">
        <v>21</v>
      </c>
      <c r="B22" s="21" t="s">
        <v>101</v>
      </c>
      <c r="C22" s="21" t="s">
        <v>127</v>
      </c>
      <c r="D22" s="9" t="s">
        <v>128</v>
      </c>
      <c r="E22" s="9" t="s">
        <v>126</v>
      </c>
      <c r="H22" s="22">
        <v>21</v>
      </c>
      <c r="I22" s="26" t="s">
        <v>142</v>
      </c>
      <c r="J22" s="25" t="s">
        <v>130</v>
      </c>
      <c r="K22" s="25" t="s">
        <v>129</v>
      </c>
      <c r="L22" s="26" t="s">
        <v>131</v>
      </c>
      <c r="M22" s="26" t="s">
        <v>131</v>
      </c>
      <c r="N22" s="27" t="s">
        <v>132</v>
      </c>
      <c r="O22" s="26" t="s">
        <v>131</v>
      </c>
      <c r="P22" s="28" t="s">
        <v>133</v>
      </c>
    </row>
    <row r="23" spans="1:16" ht="39">
      <c r="A23" s="29">
        <v>22</v>
      </c>
      <c r="B23" s="30" t="s">
        <v>64</v>
      </c>
      <c r="C23" s="30" t="s">
        <v>134</v>
      </c>
      <c r="D23" s="31" t="s">
        <v>135</v>
      </c>
      <c r="E23" s="31" t="s">
        <v>133</v>
      </c>
      <c r="H23" s="22">
        <v>22</v>
      </c>
      <c r="I23" s="34" t="s">
        <v>143</v>
      </c>
      <c r="J23" s="33" t="s">
        <v>98</v>
      </c>
      <c r="K23" s="32" t="s">
        <v>136</v>
      </c>
      <c r="L23" s="34" t="s">
        <v>137</v>
      </c>
      <c r="M23" s="34" t="s">
        <v>137</v>
      </c>
      <c r="N23" s="35" t="s">
        <v>138</v>
      </c>
      <c r="O23" s="34" t="s">
        <v>139</v>
      </c>
      <c r="P23" s="31" t="s">
        <v>110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E4FD9-A3DE-496B-922F-C40C4FB98161}">
  <dimension ref="A1:M89"/>
  <sheetViews>
    <sheetView showGridLines="0" tabSelected="1" workbookViewId="0">
      <pane ySplit="3" topLeftCell="A4" activePane="bottomLeft" state="frozen"/>
      <selection pane="bottomLeft" activeCell="J4" sqref="J4:M4"/>
    </sheetView>
  </sheetViews>
  <sheetFormatPr defaultRowHeight="16.5"/>
  <cols>
    <col min="1" max="1" width="8.75" style="36" customWidth="1"/>
    <col min="2" max="4" width="15.375" style="36" customWidth="1"/>
    <col min="8" max="8" width="15.375" style="36" customWidth="1"/>
    <col min="9" max="9" width="9" style="36"/>
    <col min="10" max="10" width="8.75" style="36" customWidth="1"/>
    <col min="11" max="13" width="15.375" style="36" customWidth="1"/>
    <col min="14" max="16384" width="9" style="36"/>
  </cols>
  <sheetData>
    <row r="1" spans="1:13">
      <c r="E1" s="36"/>
      <c r="F1" s="36"/>
      <c r="G1" s="36"/>
    </row>
    <row r="2" spans="1:13" ht="17.25" thickBot="1">
      <c r="E2" s="36"/>
      <c r="F2" s="36"/>
      <c r="G2" s="36"/>
    </row>
    <row r="3" spans="1:13" ht="74.25" customHeight="1" thickBot="1">
      <c r="A3" s="42" t="s">
        <v>144</v>
      </c>
      <c r="B3" s="43" t="s">
        <v>146</v>
      </c>
      <c r="C3" s="44" t="s">
        <v>152</v>
      </c>
      <c r="D3" s="44" t="s">
        <v>151</v>
      </c>
      <c r="E3" s="44" t="s">
        <v>153</v>
      </c>
      <c r="F3" s="44" t="s">
        <v>154</v>
      </c>
      <c r="G3" s="44" t="s">
        <v>155</v>
      </c>
      <c r="J3" s="42" t="s">
        <v>748</v>
      </c>
      <c r="K3" s="43" t="s">
        <v>8</v>
      </c>
      <c r="L3" s="44" t="s">
        <v>7</v>
      </c>
      <c r="M3" s="44" t="s">
        <v>6</v>
      </c>
    </row>
    <row r="4" spans="1:13" ht="27.75" thickBot="1">
      <c r="A4" s="51">
        <f xml:space="preserve"> ROW() - 3</f>
        <v>1</v>
      </c>
      <c r="B4" s="53" t="s">
        <v>169</v>
      </c>
      <c r="C4" s="54" t="s">
        <v>170</v>
      </c>
      <c r="D4" s="54" t="s">
        <v>170</v>
      </c>
      <c r="E4" s="56" t="str">
        <f xml:space="preserve"> LEFT(韻母對照表[[#This Row],[十五音識別碼]],1)</f>
        <v>膠</v>
      </c>
      <c r="F4" s="57" t="s">
        <v>171</v>
      </c>
      <c r="G4" s="56" t="s">
        <v>172</v>
      </c>
      <c r="J4" s="51">
        <v>2</v>
      </c>
      <c r="K4" s="53" t="s">
        <v>174</v>
      </c>
      <c r="L4" s="54" t="s">
        <v>176</v>
      </c>
      <c r="M4" s="54" t="s">
        <v>175</v>
      </c>
    </row>
    <row r="5" spans="1:13" ht="27.75" thickBot="1">
      <c r="A5" s="51">
        <f t="shared" ref="A5:A89" si="0" xml:space="preserve"> ROW() - 3</f>
        <v>2</v>
      </c>
      <c r="B5" s="53" t="s">
        <v>174</v>
      </c>
      <c r="C5" s="54" t="s">
        <v>176</v>
      </c>
      <c r="D5" s="54" t="s">
        <v>175</v>
      </c>
      <c r="E5" s="56" t="str">
        <f xml:space="preserve"> LEFT(韻母對照表[[#This Row],[十五音識別碼]],1)</f>
        <v>膠</v>
      </c>
      <c r="F5" s="56" t="s">
        <v>177</v>
      </c>
      <c r="G5" s="56" t="s">
        <v>178</v>
      </c>
      <c r="J5" s="51">
        <v>3</v>
      </c>
      <c r="K5" s="53" t="s">
        <v>181</v>
      </c>
      <c r="L5" s="54" t="s">
        <v>182</v>
      </c>
      <c r="M5" s="54" t="s">
        <v>182</v>
      </c>
    </row>
    <row r="6" spans="1:13" ht="27.75" thickBot="1">
      <c r="A6" s="51">
        <f t="shared" si="0"/>
        <v>3</v>
      </c>
      <c r="B6" s="53" t="s">
        <v>181</v>
      </c>
      <c r="C6" s="54" t="s">
        <v>182</v>
      </c>
      <c r="D6" s="54" t="s">
        <v>182</v>
      </c>
      <c r="E6" s="56" t="str">
        <f xml:space="preserve"> LEFT(韻母對照表[[#This Row],[十五音識別碼]],1)</f>
        <v>皆</v>
      </c>
      <c r="F6" s="56" t="s">
        <v>183</v>
      </c>
      <c r="G6" s="56" t="s">
        <v>184</v>
      </c>
      <c r="J6" s="51">
        <v>4</v>
      </c>
      <c r="K6" s="53" t="s">
        <v>187</v>
      </c>
      <c r="L6" s="63" t="s">
        <v>749</v>
      </c>
      <c r="M6" s="63" t="s">
        <v>750</v>
      </c>
    </row>
    <row r="7" spans="1:13" ht="30.75" thickBot="1">
      <c r="A7" s="51">
        <f t="shared" si="0"/>
        <v>4</v>
      </c>
      <c r="B7" s="53" t="s">
        <v>187</v>
      </c>
      <c r="C7" s="63" t="s">
        <v>190</v>
      </c>
      <c r="D7" s="63" t="s">
        <v>189</v>
      </c>
      <c r="E7" s="56" t="str">
        <f xml:space="preserve"> LEFT(韻母對照表[[#This Row],[十五音識別碼]],1)</f>
        <v>皆</v>
      </c>
      <c r="F7" s="56" t="s">
        <v>191</v>
      </c>
      <c r="G7" s="64" t="s">
        <v>192</v>
      </c>
      <c r="J7" s="51">
        <v>5</v>
      </c>
      <c r="K7" s="53" t="s">
        <v>194</v>
      </c>
      <c r="L7" s="54" t="s">
        <v>198</v>
      </c>
      <c r="M7" s="54" t="s">
        <v>197</v>
      </c>
    </row>
    <row r="8" spans="1:13" ht="30.75" thickBot="1">
      <c r="A8" s="51">
        <f t="shared" si="0"/>
        <v>5</v>
      </c>
      <c r="B8" s="53" t="s">
        <v>194</v>
      </c>
      <c r="C8" s="54" t="s">
        <v>198</v>
      </c>
      <c r="D8" s="54" t="s">
        <v>197</v>
      </c>
      <c r="E8" s="56" t="str">
        <f xml:space="preserve"> LEFT(韻母對照表[[#This Row],[十五音識別碼]],1)</f>
        <v>閒</v>
      </c>
      <c r="F8" s="56" t="s">
        <v>199</v>
      </c>
      <c r="G8" s="56" t="s">
        <v>200</v>
      </c>
      <c r="J8" s="51">
        <v>6</v>
      </c>
      <c r="K8" s="53" t="s">
        <v>202</v>
      </c>
      <c r="L8" s="66" t="s">
        <v>204</v>
      </c>
      <c r="M8" s="66" t="s">
        <v>751</v>
      </c>
    </row>
    <row r="9" spans="1:13" ht="30.75" thickBot="1">
      <c r="A9" s="51">
        <f t="shared" si="0"/>
        <v>6</v>
      </c>
      <c r="B9" s="53" t="s">
        <v>202</v>
      </c>
      <c r="C9" s="66" t="s">
        <v>204</v>
      </c>
      <c r="D9" s="66" t="s">
        <v>203</v>
      </c>
      <c r="E9" s="56" t="str">
        <f xml:space="preserve"> LEFT(韻母對照表[[#This Row],[十五音識別碼]],1)</f>
        <v>江</v>
      </c>
      <c r="F9" s="56" t="s">
        <v>205</v>
      </c>
      <c r="G9" s="56" t="s">
        <v>206</v>
      </c>
      <c r="J9" s="51">
        <v>7</v>
      </c>
      <c r="K9" s="53" t="s">
        <v>209</v>
      </c>
      <c r="L9" s="54" t="s">
        <v>211</v>
      </c>
      <c r="M9" s="54" t="s">
        <v>210</v>
      </c>
    </row>
    <row r="10" spans="1:13" ht="27.75" thickBot="1">
      <c r="A10" s="51">
        <f t="shared" si="0"/>
        <v>7</v>
      </c>
      <c r="B10" s="53" t="s">
        <v>209</v>
      </c>
      <c r="C10" s="54" t="s">
        <v>211</v>
      </c>
      <c r="D10" s="54" t="s">
        <v>210</v>
      </c>
      <c r="E10" s="56" t="str">
        <f xml:space="preserve"> LEFT(韻母對照表[[#This Row],[十五音識別碼]],1)</f>
        <v>甘</v>
      </c>
      <c r="F10" s="56" t="s">
        <v>212</v>
      </c>
      <c r="G10" s="56" t="s">
        <v>213</v>
      </c>
      <c r="J10" s="51">
        <v>8</v>
      </c>
      <c r="K10" s="53" t="s">
        <v>215</v>
      </c>
      <c r="L10" s="54" t="s">
        <v>216</v>
      </c>
      <c r="M10" s="54" t="s">
        <v>216</v>
      </c>
    </row>
    <row r="11" spans="1:13" ht="27.75" thickBot="1">
      <c r="A11" s="51">
        <f t="shared" si="0"/>
        <v>8</v>
      </c>
      <c r="B11" s="53" t="s">
        <v>215</v>
      </c>
      <c r="C11" s="54" t="s">
        <v>216</v>
      </c>
      <c r="D11" s="54" t="s">
        <v>216</v>
      </c>
      <c r="E11" s="56" t="str">
        <f xml:space="preserve"> LEFT(韻母對照表[[#This Row],[十五音識別碼]],1)</f>
        <v>干</v>
      </c>
      <c r="F11" s="56" t="s">
        <v>217</v>
      </c>
      <c r="G11" s="56" t="s">
        <v>218</v>
      </c>
      <c r="J11" s="51">
        <v>9</v>
      </c>
      <c r="K11" s="53" t="s">
        <v>221</v>
      </c>
      <c r="L11" s="54" t="s">
        <v>222</v>
      </c>
      <c r="M11" s="54" t="s">
        <v>222</v>
      </c>
    </row>
    <row r="12" spans="1:13" ht="27.75" thickBot="1">
      <c r="A12" s="51">
        <f t="shared" si="0"/>
        <v>9</v>
      </c>
      <c r="B12" s="53" t="s">
        <v>221</v>
      </c>
      <c r="C12" s="54" t="s">
        <v>222</v>
      </c>
      <c r="D12" s="54" t="s">
        <v>222</v>
      </c>
      <c r="E12" s="56" t="str">
        <f xml:space="preserve"> LEFT(韻母對照表[[#This Row],[十五音識別碼]],1)</f>
        <v>江</v>
      </c>
      <c r="F12" s="56" t="s">
        <v>223</v>
      </c>
      <c r="G12" s="56" t="s">
        <v>224</v>
      </c>
      <c r="J12" s="51">
        <v>10</v>
      </c>
      <c r="K12" s="53" t="s">
        <v>227</v>
      </c>
      <c r="L12" s="54" t="s">
        <v>231</v>
      </c>
      <c r="M12" s="54" t="s">
        <v>230</v>
      </c>
    </row>
    <row r="13" spans="1:13" ht="27.75" thickBot="1">
      <c r="A13" s="51">
        <f t="shared" si="0"/>
        <v>10</v>
      </c>
      <c r="B13" s="53" t="s">
        <v>227</v>
      </c>
      <c r="C13" s="54" t="s">
        <v>231</v>
      </c>
      <c r="D13" s="54" t="s">
        <v>230</v>
      </c>
      <c r="E13" s="56" t="str">
        <f xml:space="preserve"> LEFT(韻母對照表[[#This Row],[十五音識別碼]],1)</f>
        <v>監</v>
      </c>
      <c r="F13" s="56" t="s">
        <v>232</v>
      </c>
      <c r="G13" s="56" t="s">
        <v>233</v>
      </c>
      <c r="J13" s="51">
        <v>11</v>
      </c>
      <c r="K13" s="53" t="s">
        <v>236</v>
      </c>
      <c r="L13" s="54" t="s">
        <v>241</v>
      </c>
      <c r="M13" s="54" t="s">
        <v>240</v>
      </c>
    </row>
    <row r="14" spans="1:13" ht="27.75" thickBot="1">
      <c r="A14" s="51">
        <f t="shared" si="0"/>
        <v>11</v>
      </c>
      <c r="B14" s="53" t="s">
        <v>236</v>
      </c>
      <c r="C14" s="54" t="s">
        <v>241</v>
      </c>
      <c r="D14" s="54" t="s">
        <v>240</v>
      </c>
      <c r="E14" s="56" t="str">
        <f xml:space="preserve"> LEFT(韻母對照表[[#This Row],[十五音識別碼]],1)</f>
        <v>監</v>
      </c>
      <c r="F14" s="56" t="s">
        <v>242</v>
      </c>
      <c r="G14" s="56" t="s">
        <v>243</v>
      </c>
      <c r="J14" s="51">
        <v>12</v>
      </c>
      <c r="K14" s="53" t="s">
        <v>244</v>
      </c>
      <c r="L14" s="54" t="s">
        <v>246</v>
      </c>
      <c r="M14" s="54" t="s">
        <v>245</v>
      </c>
    </row>
    <row r="15" spans="1:13" ht="27.75" thickBot="1">
      <c r="A15" s="51">
        <f t="shared" si="0"/>
        <v>12</v>
      </c>
      <c r="B15" s="53" t="s">
        <v>244</v>
      </c>
      <c r="C15" s="54" t="s">
        <v>246</v>
      </c>
      <c r="D15" s="54" t="s">
        <v>245</v>
      </c>
      <c r="E15" s="56" t="str">
        <f xml:space="preserve"> LEFT(韻母對照表[[#This Row],[十五音識別碼]],1)</f>
        <v>甘</v>
      </c>
      <c r="F15" s="56" t="s">
        <v>247</v>
      </c>
      <c r="G15" s="56" t="s">
        <v>248</v>
      </c>
      <c r="J15" s="51">
        <v>13</v>
      </c>
      <c r="K15" s="53" t="s">
        <v>249</v>
      </c>
      <c r="L15" s="54" t="s">
        <v>251</v>
      </c>
      <c r="M15" s="54" t="s">
        <v>250</v>
      </c>
    </row>
    <row r="16" spans="1:13" ht="27.75" thickBot="1">
      <c r="A16" s="51">
        <f t="shared" si="0"/>
        <v>13</v>
      </c>
      <c r="B16" s="53" t="s">
        <v>249</v>
      </c>
      <c r="C16" s="54" t="s">
        <v>251</v>
      </c>
      <c r="D16" s="54" t="s">
        <v>250</v>
      </c>
      <c r="E16" s="56" t="str">
        <f xml:space="preserve"> LEFT(韻母對照表[[#This Row],[十五音識別碼]],1)</f>
        <v>干</v>
      </c>
      <c r="F16" s="56" t="s">
        <v>252</v>
      </c>
      <c r="G16" s="56" t="s">
        <v>253</v>
      </c>
      <c r="J16" s="51">
        <v>14</v>
      </c>
      <c r="K16" s="53" t="s">
        <v>255</v>
      </c>
      <c r="L16" s="54" t="s">
        <v>257</v>
      </c>
      <c r="M16" s="54" t="s">
        <v>257</v>
      </c>
    </row>
    <row r="17" spans="1:13" ht="30.75" thickBot="1">
      <c r="A17" s="51">
        <f t="shared" si="0"/>
        <v>14</v>
      </c>
      <c r="B17" s="53" t="s">
        <v>255</v>
      </c>
      <c r="C17" s="54" t="s">
        <v>257</v>
      </c>
      <c r="D17" s="54" t="s">
        <v>257</v>
      </c>
      <c r="E17" s="56" t="str">
        <f xml:space="preserve"> LEFT(韻母對照表[[#This Row],[十五音識別碼]],1)</f>
        <v>交</v>
      </c>
      <c r="F17" s="56" t="s">
        <v>258</v>
      </c>
      <c r="G17" s="56" t="s">
        <v>259</v>
      </c>
      <c r="J17" s="51">
        <v>15</v>
      </c>
      <c r="K17" s="53" t="s">
        <v>261</v>
      </c>
      <c r="L17" s="66" t="s">
        <v>264</v>
      </c>
      <c r="M17" s="66" t="s">
        <v>752</v>
      </c>
    </row>
    <row r="18" spans="1:13" ht="30.75" thickBot="1">
      <c r="A18" s="51">
        <f t="shared" si="0"/>
        <v>15</v>
      </c>
      <c r="B18" s="53" t="s">
        <v>261</v>
      </c>
      <c r="C18" s="66" t="s">
        <v>264</v>
      </c>
      <c r="D18" s="66" t="s">
        <v>263</v>
      </c>
      <c r="E18" s="56" t="str">
        <f xml:space="preserve"> LEFT(韻母對照表[[#This Row],[十五音識別碼]],1)</f>
        <v>交</v>
      </c>
      <c r="F18" s="56" t="s">
        <v>265</v>
      </c>
      <c r="G18" s="56" t="s">
        <v>266</v>
      </c>
      <c r="J18" s="51">
        <v>16</v>
      </c>
      <c r="K18" s="53" t="s">
        <v>267</v>
      </c>
      <c r="L18" s="54" t="s">
        <v>271</v>
      </c>
      <c r="M18" s="54" t="s">
        <v>270</v>
      </c>
    </row>
    <row r="19" spans="1:13" ht="27.75" thickBot="1">
      <c r="A19" s="51">
        <f t="shared" si="0"/>
        <v>16</v>
      </c>
      <c r="B19" s="53" t="s">
        <v>267</v>
      </c>
      <c r="C19" s="54" t="s">
        <v>271</v>
      </c>
      <c r="D19" s="54" t="s">
        <v>270</v>
      </c>
      <c r="E19" s="56" t="str">
        <f xml:space="preserve"> LEFT(韻母對照表[[#This Row],[十五音識別碼]],1)</f>
        <v>稽</v>
      </c>
      <c r="F19" s="56" t="s">
        <v>272</v>
      </c>
      <c r="G19" s="56" t="s">
        <v>273</v>
      </c>
      <c r="J19" s="51">
        <v>17</v>
      </c>
      <c r="K19" s="53" t="s">
        <v>753</v>
      </c>
      <c r="L19" s="69" t="s">
        <v>271</v>
      </c>
      <c r="M19" s="69" t="s">
        <v>271</v>
      </c>
    </row>
    <row r="20" spans="1:13" ht="27.75" thickBot="1">
      <c r="A20" s="51">
        <f t="shared" si="0"/>
        <v>17</v>
      </c>
      <c r="B20" s="53" t="s">
        <v>275</v>
      </c>
      <c r="C20" s="69" t="s">
        <v>271</v>
      </c>
      <c r="D20" s="69" t="s">
        <v>276</v>
      </c>
      <c r="E20" s="56" t="str">
        <f xml:space="preserve"> LEFT(韻母對照表[[#This Row],[十五音識別碼]],1)</f>
        <v>嘉</v>
      </c>
      <c r="F20" s="56" t="s">
        <v>277</v>
      </c>
      <c r="G20" s="70" t="s">
        <v>278</v>
      </c>
      <c r="J20" s="51">
        <v>18</v>
      </c>
      <c r="K20" s="53" t="s">
        <v>754</v>
      </c>
      <c r="L20" s="69" t="s">
        <v>281</v>
      </c>
      <c r="M20" s="69" t="s">
        <v>755</v>
      </c>
    </row>
    <row r="21" spans="1:13" ht="27.75" thickBot="1">
      <c r="A21" s="51">
        <f t="shared" si="0"/>
        <v>18</v>
      </c>
      <c r="B21" s="53" t="s">
        <v>279</v>
      </c>
      <c r="C21" s="69" t="s">
        <v>281</v>
      </c>
      <c r="D21" s="69" t="s">
        <v>280</v>
      </c>
      <c r="E21" s="56" t="str">
        <f xml:space="preserve"> LEFT(韻母對照表[[#This Row],[十五音識別碼]],1)</f>
        <v>嘉</v>
      </c>
      <c r="F21" s="56" t="s">
        <v>282</v>
      </c>
      <c r="G21" s="70" t="s">
        <v>283</v>
      </c>
      <c r="J21" s="51">
        <v>19</v>
      </c>
      <c r="K21" s="53" t="s">
        <v>285</v>
      </c>
      <c r="L21" s="54" t="s">
        <v>281</v>
      </c>
      <c r="M21" s="54" t="s">
        <v>286</v>
      </c>
    </row>
    <row r="22" spans="1:13" ht="27.75" thickBot="1">
      <c r="A22" s="51">
        <f t="shared" si="0"/>
        <v>19</v>
      </c>
      <c r="B22" s="53" t="s">
        <v>285</v>
      </c>
      <c r="C22" s="54" t="s">
        <v>281</v>
      </c>
      <c r="D22" s="54" t="s">
        <v>286</v>
      </c>
      <c r="E22" s="56" t="str">
        <f xml:space="preserve"> LEFT(韻母對照表[[#This Row],[十五音識別碼]],1)</f>
        <v>伽</v>
      </c>
      <c r="F22" s="56" t="s">
        <v>287</v>
      </c>
      <c r="G22" s="56" t="s">
        <v>288</v>
      </c>
      <c r="J22" s="51">
        <v>20</v>
      </c>
      <c r="K22" s="53" t="s">
        <v>401</v>
      </c>
      <c r="L22" s="71" t="s">
        <v>756</v>
      </c>
      <c r="M22" s="71" t="s">
        <v>757</v>
      </c>
    </row>
    <row r="23" spans="1:13" ht="27.75" thickBot="1">
      <c r="A23" s="51">
        <f t="shared" si="0"/>
        <v>20</v>
      </c>
      <c r="B23" s="53" t="s">
        <v>289</v>
      </c>
      <c r="C23" s="71" t="s">
        <v>291</v>
      </c>
      <c r="D23" s="71" t="s">
        <v>290</v>
      </c>
      <c r="E23" s="56" t="str">
        <f xml:space="preserve"> LEFT(韻母對照表[[#This Row],[十五音識別碼]],1)</f>
        <v>經</v>
      </c>
      <c r="F23" s="56" t="s">
        <v>191</v>
      </c>
      <c r="G23" s="70" t="s">
        <v>292</v>
      </c>
      <c r="J23" s="51">
        <v>21</v>
      </c>
      <c r="K23" s="53" t="s">
        <v>418</v>
      </c>
      <c r="L23" s="71" t="s">
        <v>758</v>
      </c>
      <c r="M23" s="71" t="s">
        <v>759</v>
      </c>
    </row>
    <row r="24" spans="1:13" ht="27.75" thickBot="1">
      <c r="A24" s="51">
        <f t="shared" si="0"/>
        <v>21</v>
      </c>
      <c r="B24" s="53" t="s">
        <v>293</v>
      </c>
      <c r="C24" s="71" t="s">
        <v>295</v>
      </c>
      <c r="D24" s="71" t="s">
        <v>294</v>
      </c>
      <c r="E24" s="56" t="str">
        <f xml:space="preserve"> LEFT(韻母對照表[[#This Row],[十五音識別碼]],1)</f>
        <v>經</v>
      </c>
      <c r="F24" s="56" t="s">
        <v>191</v>
      </c>
      <c r="G24" s="70" t="s">
        <v>296</v>
      </c>
      <c r="J24" s="51">
        <v>22</v>
      </c>
      <c r="K24" s="53" t="s">
        <v>298</v>
      </c>
      <c r="L24" s="54" t="s">
        <v>302</v>
      </c>
      <c r="M24" s="54" t="s">
        <v>301</v>
      </c>
    </row>
    <row r="25" spans="1:13" ht="27.75" thickBot="1">
      <c r="A25" s="51">
        <f t="shared" si="0"/>
        <v>22</v>
      </c>
      <c r="B25" s="53" t="s">
        <v>298</v>
      </c>
      <c r="C25" s="54" t="s">
        <v>302</v>
      </c>
      <c r="D25" s="54" t="s">
        <v>301</v>
      </c>
      <c r="E25" s="56" t="str">
        <f xml:space="preserve"> LEFT(韻母對照表[[#This Row],[十五音識別碼]],1)</f>
        <v>更</v>
      </c>
      <c r="F25" s="56" t="s">
        <v>303</v>
      </c>
      <c r="G25" s="56" t="s">
        <v>304</v>
      </c>
      <c r="J25" s="51">
        <v>23</v>
      </c>
      <c r="K25" s="53" t="s">
        <v>306</v>
      </c>
      <c r="L25" s="73" t="s">
        <v>310</v>
      </c>
      <c r="M25" s="72" t="s">
        <v>760</v>
      </c>
    </row>
    <row r="26" spans="1:13" ht="30.75" thickBot="1">
      <c r="A26" s="51">
        <f t="shared" si="0"/>
        <v>23</v>
      </c>
      <c r="B26" s="53" t="s">
        <v>306</v>
      </c>
      <c r="C26" s="73" t="s">
        <v>310</v>
      </c>
      <c r="D26" s="72" t="s">
        <v>309</v>
      </c>
      <c r="E26" s="56" t="str">
        <f xml:space="preserve"> LEFT(韻母對照表[[#This Row],[十五音識別碼]],1)</f>
        <v>更</v>
      </c>
      <c r="F26" s="56" t="s">
        <v>311</v>
      </c>
      <c r="G26" s="64" t="s">
        <v>312</v>
      </c>
      <c r="J26" s="51">
        <v>24</v>
      </c>
      <c r="K26" s="53" t="s">
        <v>313</v>
      </c>
      <c r="L26" s="54" t="s">
        <v>314</v>
      </c>
      <c r="M26" s="54" t="s">
        <v>314</v>
      </c>
    </row>
    <row r="27" spans="1:13" ht="27.75" thickBot="1">
      <c r="A27" s="51">
        <f t="shared" si="0"/>
        <v>24</v>
      </c>
      <c r="B27" s="53" t="s">
        <v>313</v>
      </c>
      <c r="C27" s="54" t="s">
        <v>314</v>
      </c>
      <c r="D27" s="54" t="s">
        <v>314</v>
      </c>
      <c r="E27" s="56" t="str">
        <f xml:space="preserve"> LEFT(韻母對照表[[#This Row],[十五音識別碼]],1)</f>
        <v>居</v>
      </c>
      <c r="F27" s="56" t="s">
        <v>315</v>
      </c>
      <c r="G27" s="56" t="s">
        <v>316</v>
      </c>
      <c r="J27" s="51">
        <v>25</v>
      </c>
      <c r="K27" s="53" t="s">
        <v>318</v>
      </c>
      <c r="L27" s="54" t="s">
        <v>319</v>
      </c>
      <c r="M27" s="54" t="s">
        <v>319</v>
      </c>
    </row>
    <row r="28" spans="1:13" ht="27.75" thickBot="1">
      <c r="A28" s="51">
        <f t="shared" si="0"/>
        <v>25</v>
      </c>
      <c r="B28" s="53" t="s">
        <v>318</v>
      </c>
      <c r="C28" s="54" t="s">
        <v>319</v>
      </c>
      <c r="D28" s="54" t="s">
        <v>319</v>
      </c>
      <c r="E28" s="56" t="str">
        <f xml:space="preserve"> LEFT(韻母對照表[[#This Row],[十五音識別碼]],1)</f>
        <v>迦</v>
      </c>
      <c r="F28" s="56" t="s">
        <v>320</v>
      </c>
      <c r="G28" s="56" t="s">
        <v>321</v>
      </c>
      <c r="J28" s="51">
        <v>26</v>
      </c>
      <c r="K28" s="53" t="s">
        <v>322</v>
      </c>
      <c r="L28" s="54" t="s">
        <v>324</v>
      </c>
      <c r="M28" s="54" t="s">
        <v>323</v>
      </c>
    </row>
    <row r="29" spans="1:13" ht="27.75" thickBot="1">
      <c r="A29" s="51">
        <f t="shared" si="0"/>
        <v>26</v>
      </c>
      <c r="B29" s="53" t="s">
        <v>322</v>
      </c>
      <c r="C29" s="54" t="s">
        <v>324</v>
      </c>
      <c r="D29" s="54" t="s">
        <v>323</v>
      </c>
      <c r="E29" s="56" t="str">
        <f xml:space="preserve"> LEFT(韻母對照表[[#This Row],[十五音識別碼]],1)</f>
        <v>迦</v>
      </c>
      <c r="F29" s="56" t="s">
        <v>325</v>
      </c>
      <c r="G29" s="56" t="s">
        <v>326</v>
      </c>
      <c r="J29" s="51">
        <v>27</v>
      </c>
      <c r="K29" s="53" t="s">
        <v>328</v>
      </c>
      <c r="L29" s="54" t="s">
        <v>330</v>
      </c>
      <c r="M29" s="54" t="s">
        <v>329</v>
      </c>
    </row>
    <row r="30" spans="1:13" ht="27.75" thickBot="1">
      <c r="A30" s="51">
        <f t="shared" si="0"/>
        <v>27</v>
      </c>
      <c r="B30" s="53" t="s">
        <v>328</v>
      </c>
      <c r="C30" s="54" t="s">
        <v>330</v>
      </c>
      <c r="D30" s="54" t="s">
        <v>329</v>
      </c>
      <c r="E30" s="56" t="str">
        <f xml:space="preserve"> LEFT(韻母對照表[[#This Row],[十五音識別碼]],1)</f>
        <v>姜</v>
      </c>
      <c r="F30" s="56" t="s">
        <v>331</v>
      </c>
      <c r="G30" s="56" t="s">
        <v>332</v>
      </c>
      <c r="J30" s="51">
        <v>28</v>
      </c>
      <c r="K30" s="53" t="s">
        <v>334</v>
      </c>
      <c r="L30" s="54" t="s">
        <v>336</v>
      </c>
      <c r="M30" s="54" t="s">
        <v>335</v>
      </c>
    </row>
    <row r="31" spans="1:13" ht="27.75" thickBot="1">
      <c r="A31" s="51">
        <f t="shared" si="0"/>
        <v>28</v>
      </c>
      <c r="B31" s="53" t="s">
        <v>334</v>
      </c>
      <c r="C31" s="54" t="s">
        <v>336</v>
      </c>
      <c r="D31" s="54" t="s">
        <v>335</v>
      </c>
      <c r="E31" s="56" t="str">
        <f xml:space="preserve"> LEFT(韻母對照表[[#This Row],[十五音識別碼]],1)</f>
        <v>兼</v>
      </c>
      <c r="F31" s="56" t="s">
        <v>337</v>
      </c>
      <c r="G31" s="56" t="s">
        <v>338</v>
      </c>
      <c r="J31" s="51">
        <v>29</v>
      </c>
      <c r="K31" s="53" t="s">
        <v>340</v>
      </c>
      <c r="L31" s="54" t="s">
        <v>341</v>
      </c>
      <c r="M31" s="54" t="s">
        <v>341</v>
      </c>
    </row>
    <row r="32" spans="1:13" ht="27.75" thickBot="1">
      <c r="A32" s="51">
        <f t="shared" si="0"/>
        <v>29</v>
      </c>
      <c r="B32" s="53" t="s">
        <v>340</v>
      </c>
      <c r="C32" s="54" t="s">
        <v>341</v>
      </c>
      <c r="D32" s="54" t="s">
        <v>341</v>
      </c>
      <c r="E32" s="56" t="str">
        <f xml:space="preserve"> LEFT(韻母對照表[[#This Row],[十五音識別碼]],1)</f>
        <v>堅</v>
      </c>
      <c r="F32" s="56" t="s">
        <v>342</v>
      </c>
      <c r="G32" s="56" t="s">
        <v>343</v>
      </c>
      <c r="J32" s="51">
        <v>30</v>
      </c>
      <c r="K32" s="53" t="s">
        <v>345</v>
      </c>
      <c r="L32" s="54" t="s">
        <v>346</v>
      </c>
      <c r="M32" s="54" t="s">
        <v>346</v>
      </c>
    </row>
    <row r="33" spans="1:13" ht="27.75" thickBot="1">
      <c r="A33" s="51">
        <f t="shared" si="0"/>
        <v>30</v>
      </c>
      <c r="B33" s="53" t="s">
        <v>345</v>
      </c>
      <c r="C33" s="54" t="s">
        <v>346</v>
      </c>
      <c r="D33" s="54" t="s">
        <v>346</v>
      </c>
      <c r="E33" s="56" t="str">
        <f xml:space="preserve"> LEFT(韻母對照表[[#This Row],[十五音識別碼]],1)</f>
        <v>姜</v>
      </c>
      <c r="F33" s="56" t="s">
        <v>347</v>
      </c>
      <c r="G33" s="56" t="s">
        <v>348</v>
      </c>
      <c r="J33" s="51">
        <v>31</v>
      </c>
      <c r="K33" s="53" t="s">
        <v>349</v>
      </c>
      <c r="L33" s="54" t="s">
        <v>353</v>
      </c>
      <c r="M33" s="54" t="s">
        <v>352</v>
      </c>
    </row>
    <row r="34" spans="1:13" ht="27.75" thickBot="1">
      <c r="A34" s="51">
        <f t="shared" si="0"/>
        <v>31</v>
      </c>
      <c r="B34" s="53" t="s">
        <v>349</v>
      </c>
      <c r="C34" s="54" t="s">
        <v>353</v>
      </c>
      <c r="D34" s="54" t="s">
        <v>352</v>
      </c>
      <c r="E34" s="56" t="str">
        <f xml:space="preserve"> LEFT(韻母對照表[[#This Row],[十五音識別碼]],1)</f>
        <v>驚</v>
      </c>
      <c r="F34" s="56" t="s">
        <v>191</v>
      </c>
      <c r="G34" s="56" t="s">
        <v>354</v>
      </c>
      <c r="J34" s="51">
        <v>32</v>
      </c>
      <c r="K34" s="53" t="s">
        <v>355</v>
      </c>
      <c r="L34" s="63" t="s">
        <v>359</v>
      </c>
      <c r="M34" s="63" t="s">
        <v>761</v>
      </c>
    </row>
    <row r="35" spans="1:13" ht="30.75" thickBot="1">
      <c r="A35" s="51">
        <f t="shared" si="0"/>
        <v>32</v>
      </c>
      <c r="B35" s="53" t="s">
        <v>355</v>
      </c>
      <c r="C35" s="63" t="s">
        <v>359</v>
      </c>
      <c r="D35" s="63" t="s">
        <v>358</v>
      </c>
      <c r="E35" s="56" t="str">
        <f xml:space="preserve"> LEFT(韻母對照表[[#This Row],[十五音識別碼]],1)</f>
        <v>迦</v>
      </c>
      <c r="F35" s="56" t="s">
        <v>360</v>
      </c>
      <c r="G35" s="64" t="s">
        <v>326</v>
      </c>
      <c r="J35" s="51">
        <v>33</v>
      </c>
      <c r="K35" s="53" t="s">
        <v>362</v>
      </c>
      <c r="L35" s="54" t="s">
        <v>364</v>
      </c>
      <c r="M35" s="54" t="s">
        <v>363</v>
      </c>
    </row>
    <row r="36" spans="1:13" ht="27.75" thickBot="1">
      <c r="A36" s="51">
        <f t="shared" si="0"/>
        <v>33</v>
      </c>
      <c r="B36" s="53" t="s">
        <v>362</v>
      </c>
      <c r="C36" s="54" t="s">
        <v>364</v>
      </c>
      <c r="D36" s="54" t="s">
        <v>363</v>
      </c>
      <c r="E36" s="56" t="str">
        <f xml:space="preserve"> LEFT(韻母對照表[[#This Row],[十五音識別碼]],1)</f>
        <v>兼</v>
      </c>
      <c r="F36" s="56" t="s">
        <v>365</v>
      </c>
      <c r="G36" s="56" t="s">
        <v>366</v>
      </c>
      <c r="J36" s="51">
        <v>34</v>
      </c>
      <c r="K36" s="53" t="s">
        <v>368</v>
      </c>
      <c r="L36" s="54" t="s">
        <v>370</v>
      </c>
      <c r="M36" s="54" t="s">
        <v>369</v>
      </c>
    </row>
    <row r="37" spans="1:13" ht="27.75" thickBot="1">
      <c r="A37" s="51">
        <f t="shared" si="0"/>
        <v>34</v>
      </c>
      <c r="B37" s="53" t="s">
        <v>368</v>
      </c>
      <c r="C37" s="54" t="s">
        <v>370</v>
      </c>
      <c r="D37" s="54" t="s">
        <v>369</v>
      </c>
      <c r="E37" s="56" t="str">
        <f xml:space="preserve"> LEFT(韻母對照表[[#This Row],[十五音識別碼]],1)</f>
        <v>堅</v>
      </c>
      <c r="F37" s="56" t="s">
        <v>371</v>
      </c>
      <c r="G37" s="56" t="s">
        <v>372</v>
      </c>
      <c r="J37" s="51">
        <v>35</v>
      </c>
      <c r="K37" s="53" t="s">
        <v>374</v>
      </c>
      <c r="L37" s="54" t="s">
        <v>376</v>
      </c>
      <c r="M37" s="54" t="s">
        <v>376</v>
      </c>
    </row>
    <row r="38" spans="1:13" ht="27.75" thickBot="1">
      <c r="A38" s="51">
        <f t="shared" si="0"/>
        <v>35</v>
      </c>
      <c r="B38" s="53" t="s">
        <v>374</v>
      </c>
      <c r="C38" s="54" t="s">
        <v>376</v>
      </c>
      <c r="D38" s="54" t="s">
        <v>376</v>
      </c>
      <c r="E38" s="56" t="str">
        <f xml:space="preserve"> LEFT(韻母對照表[[#This Row],[十五音識別碼]],1)</f>
        <v>嬌</v>
      </c>
      <c r="F38" s="56" t="s">
        <v>377</v>
      </c>
      <c r="G38" s="56" t="s">
        <v>378</v>
      </c>
      <c r="J38" s="51">
        <v>36</v>
      </c>
      <c r="K38" s="53" t="s">
        <v>379</v>
      </c>
      <c r="L38" s="54" t="s">
        <v>382</v>
      </c>
      <c r="M38" s="54" t="s">
        <v>381</v>
      </c>
    </row>
    <row r="39" spans="1:13" ht="27.75" thickBot="1">
      <c r="A39" s="51">
        <f t="shared" si="0"/>
        <v>36</v>
      </c>
      <c r="B39" s="53" t="s">
        <v>379</v>
      </c>
      <c r="C39" s="54" t="s">
        <v>382</v>
      </c>
      <c r="D39" s="54" t="s">
        <v>381</v>
      </c>
      <c r="E39" s="56" t="str">
        <f xml:space="preserve"> LEFT(韻母對照表[[#This Row],[十五音識別碼]],1)</f>
        <v>嬌</v>
      </c>
      <c r="F39" s="56" t="s">
        <v>383</v>
      </c>
      <c r="G39" s="56" t="s">
        <v>384</v>
      </c>
      <c r="J39" s="51">
        <v>37</v>
      </c>
      <c r="K39" s="53" t="s">
        <v>385</v>
      </c>
      <c r="L39" s="54" t="s">
        <v>389</v>
      </c>
      <c r="M39" s="54" t="s">
        <v>388</v>
      </c>
    </row>
    <row r="40" spans="1:13" ht="27.75" thickBot="1">
      <c r="A40" s="51">
        <f t="shared" si="0"/>
        <v>37</v>
      </c>
      <c r="B40" s="53" t="s">
        <v>385</v>
      </c>
      <c r="C40" s="54" t="s">
        <v>389</v>
      </c>
      <c r="D40" s="54" t="s">
        <v>388</v>
      </c>
      <c r="E40" s="56" t="str">
        <f xml:space="preserve"> LEFT(韻母對照表[[#This Row],[十五音識別碼]],1)</f>
        <v>嘄</v>
      </c>
      <c r="F40" s="56" t="s">
        <v>390</v>
      </c>
      <c r="G40" s="56" t="s">
        <v>391</v>
      </c>
      <c r="J40" s="51">
        <v>38</v>
      </c>
      <c r="K40" s="53" t="s">
        <v>393</v>
      </c>
      <c r="L40" s="54" t="s">
        <v>395</v>
      </c>
      <c r="M40" s="54" t="s">
        <v>394</v>
      </c>
    </row>
    <row r="41" spans="1:13" ht="27.75" thickBot="1">
      <c r="A41" s="51">
        <f t="shared" si="0"/>
        <v>38</v>
      </c>
      <c r="B41" s="53" t="s">
        <v>393</v>
      </c>
      <c r="C41" s="54" t="s">
        <v>395</v>
      </c>
      <c r="D41" s="54" t="s">
        <v>394</v>
      </c>
      <c r="E41" s="56" t="str">
        <f xml:space="preserve"> LEFT(韻母對照表[[#This Row],[十五音識別碼]],1)</f>
        <v>居</v>
      </c>
      <c r="F41" s="56" t="s">
        <v>396</v>
      </c>
      <c r="G41" s="56" t="s">
        <v>397</v>
      </c>
      <c r="J41" s="51">
        <v>39</v>
      </c>
      <c r="K41" s="53" t="s">
        <v>399</v>
      </c>
      <c r="L41" s="54" t="s">
        <v>403</v>
      </c>
      <c r="M41" s="54" t="s">
        <v>402</v>
      </c>
    </row>
    <row r="42" spans="1:13" ht="27.75" thickBot="1">
      <c r="A42" s="51">
        <f t="shared" si="0"/>
        <v>39</v>
      </c>
      <c r="B42" s="53" t="s">
        <v>399</v>
      </c>
      <c r="C42" s="54" t="s">
        <v>403</v>
      </c>
      <c r="D42" s="54" t="s">
        <v>402</v>
      </c>
      <c r="E42" s="56" t="str">
        <f xml:space="preserve"> LEFT(韻母對照表[[#This Row],[十五音識別碼]],1)</f>
        <v>經</v>
      </c>
      <c r="F42" s="56" t="s">
        <v>404</v>
      </c>
      <c r="G42" s="56" t="s">
        <v>292</v>
      </c>
      <c r="J42" s="51">
        <v>40</v>
      </c>
      <c r="K42" s="53" t="s">
        <v>406</v>
      </c>
      <c r="L42" s="54" t="s">
        <v>408</v>
      </c>
      <c r="M42" s="54" t="s">
        <v>407</v>
      </c>
    </row>
    <row r="43" spans="1:13" ht="27.75" thickBot="1">
      <c r="A43" s="51">
        <f t="shared" si="0"/>
        <v>40</v>
      </c>
      <c r="B43" s="53" t="s">
        <v>406</v>
      </c>
      <c r="C43" s="54" t="s">
        <v>408</v>
      </c>
      <c r="D43" s="54" t="s">
        <v>407</v>
      </c>
      <c r="E43" s="56" t="str">
        <f xml:space="preserve"> LEFT(韻母對照表[[#This Row],[十五音識別碼]],1)</f>
        <v>金</v>
      </c>
      <c r="F43" s="56" t="s">
        <v>409</v>
      </c>
      <c r="G43" s="56" t="s">
        <v>410</v>
      </c>
      <c r="J43" s="51">
        <v>41</v>
      </c>
      <c r="K43" s="53" t="s">
        <v>412</v>
      </c>
      <c r="L43" s="54" t="s">
        <v>413</v>
      </c>
      <c r="M43" s="54" t="s">
        <v>413</v>
      </c>
    </row>
    <row r="44" spans="1:13" ht="27.75" thickBot="1">
      <c r="A44" s="51">
        <f t="shared" si="0"/>
        <v>41</v>
      </c>
      <c r="B44" s="53" t="s">
        <v>412</v>
      </c>
      <c r="C44" s="54" t="s">
        <v>413</v>
      </c>
      <c r="D44" s="54" t="s">
        <v>413</v>
      </c>
      <c r="E44" s="56" t="str">
        <f xml:space="preserve"> LEFT(韻母對照表[[#This Row],[十五音識別碼]],1)</f>
        <v>巾</v>
      </c>
      <c r="F44" s="56" t="s">
        <v>414</v>
      </c>
      <c r="G44" s="56" t="s">
        <v>415</v>
      </c>
      <c r="J44" s="51">
        <v>42</v>
      </c>
      <c r="K44" s="53" t="s">
        <v>417</v>
      </c>
      <c r="L44" s="54" t="s">
        <v>419</v>
      </c>
      <c r="M44" s="54" t="s">
        <v>419</v>
      </c>
    </row>
    <row r="45" spans="1:13" ht="27.75" thickBot="1">
      <c r="A45" s="51">
        <f t="shared" si="0"/>
        <v>42</v>
      </c>
      <c r="B45" s="53" t="s">
        <v>417</v>
      </c>
      <c r="C45" s="54" t="s">
        <v>419</v>
      </c>
      <c r="D45" s="54" t="s">
        <v>419</v>
      </c>
      <c r="E45" s="56" t="str">
        <f xml:space="preserve"> LEFT(韻母對照表[[#This Row],[十五音識別碼]],1)</f>
        <v>經</v>
      </c>
      <c r="F45" s="56" t="s">
        <v>420</v>
      </c>
      <c r="G45" s="56" t="s">
        <v>296</v>
      </c>
      <c r="J45" s="51">
        <v>43</v>
      </c>
      <c r="K45" s="53" t="s">
        <v>422</v>
      </c>
      <c r="L45" s="54" t="s">
        <v>426</v>
      </c>
      <c r="M45" s="54" t="s">
        <v>425</v>
      </c>
    </row>
    <row r="46" spans="1:13" ht="27.75" thickBot="1">
      <c r="A46" s="51">
        <f t="shared" si="0"/>
        <v>43</v>
      </c>
      <c r="B46" s="53" t="s">
        <v>422</v>
      </c>
      <c r="C46" s="54" t="s">
        <v>426</v>
      </c>
      <c r="D46" s="54" t="s">
        <v>425</v>
      </c>
      <c r="E46" s="56" t="str">
        <f xml:space="preserve"> LEFT(韻母對照表[[#This Row],[十五音識別碼]],1)</f>
        <v>梔</v>
      </c>
      <c r="F46" s="56" t="s">
        <v>427</v>
      </c>
      <c r="G46" s="56" t="s">
        <v>428</v>
      </c>
      <c r="J46" s="51">
        <v>44</v>
      </c>
      <c r="K46" s="53" t="s">
        <v>430</v>
      </c>
      <c r="L46" s="54" t="s">
        <v>432</v>
      </c>
      <c r="M46" s="54" t="s">
        <v>432</v>
      </c>
    </row>
    <row r="47" spans="1:13" ht="27.75" thickBot="1">
      <c r="A47" s="51">
        <f t="shared" si="0"/>
        <v>44</v>
      </c>
      <c r="B47" s="53" t="s">
        <v>430</v>
      </c>
      <c r="C47" s="54" t="s">
        <v>432</v>
      </c>
      <c r="D47" s="54" t="s">
        <v>432</v>
      </c>
      <c r="E47" s="56" t="str">
        <f xml:space="preserve"> LEFT(韻母對照表[[#This Row],[十五音識別碼]],1)</f>
        <v>茄</v>
      </c>
      <c r="F47" s="56" t="s">
        <v>433</v>
      </c>
      <c r="G47" s="56" t="s">
        <v>434</v>
      </c>
      <c r="J47" s="51">
        <v>45</v>
      </c>
      <c r="K47" s="53" t="s">
        <v>436</v>
      </c>
      <c r="L47" s="54" t="s">
        <v>439</v>
      </c>
      <c r="M47" s="54" t="s">
        <v>438</v>
      </c>
    </row>
    <row r="48" spans="1:13" ht="27.75" thickBot="1">
      <c r="A48" s="51">
        <f t="shared" si="0"/>
        <v>45</v>
      </c>
      <c r="B48" s="53" t="s">
        <v>436</v>
      </c>
      <c r="C48" s="54" t="s">
        <v>439</v>
      </c>
      <c r="D48" s="54" t="s">
        <v>438</v>
      </c>
      <c r="E48" s="56" t="str">
        <f xml:space="preserve"> LEFT(韻母對照表[[#This Row],[十五音識別碼]],1)</f>
        <v>茄</v>
      </c>
      <c r="F48" s="56" t="s">
        <v>440</v>
      </c>
      <c r="G48" s="56" t="s">
        <v>441</v>
      </c>
      <c r="J48" s="51">
        <v>46</v>
      </c>
      <c r="K48" s="53" t="s">
        <v>443</v>
      </c>
      <c r="L48" s="54" t="s">
        <v>446</v>
      </c>
      <c r="M48" s="54" t="s">
        <v>445</v>
      </c>
    </row>
    <row r="49" spans="1:13" ht="27.75" thickBot="1">
      <c r="A49" s="51">
        <f t="shared" si="0"/>
        <v>46</v>
      </c>
      <c r="B49" s="53" t="s">
        <v>443</v>
      </c>
      <c r="C49" s="54" t="s">
        <v>446</v>
      </c>
      <c r="D49" s="54" t="s">
        <v>445</v>
      </c>
      <c r="E49" s="56" t="str">
        <f xml:space="preserve"> LEFT(韻母對照表[[#This Row],[十五音識別碼]],1)</f>
        <v>恭</v>
      </c>
      <c r="F49" s="56" t="s">
        <v>447</v>
      </c>
      <c r="G49" s="56" t="s">
        <v>448</v>
      </c>
      <c r="J49" s="51">
        <v>47</v>
      </c>
      <c r="K49" s="53" t="s">
        <v>450</v>
      </c>
      <c r="L49" s="54" t="s">
        <v>452</v>
      </c>
      <c r="M49" s="54" t="s">
        <v>451</v>
      </c>
    </row>
    <row r="50" spans="1:13" ht="27.75" thickBot="1">
      <c r="A50" s="51">
        <f t="shared" si="0"/>
        <v>47</v>
      </c>
      <c r="B50" s="53" t="s">
        <v>450</v>
      </c>
      <c r="C50" s="54" t="s">
        <v>452</v>
      </c>
      <c r="D50" s="54" t="s">
        <v>451</v>
      </c>
      <c r="E50" s="56" t="str">
        <f xml:space="preserve"> LEFT(韻母對照表[[#This Row],[十五音識別碼]],1)</f>
        <v>恭</v>
      </c>
      <c r="F50" s="56" t="s">
        <v>453</v>
      </c>
      <c r="G50" s="56" t="s">
        <v>454</v>
      </c>
      <c r="J50" s="51">
        <v>48</v>
      </c>
      <c r="K50" s="53" t="s">
        <v>456</v>
      </c>
      <c r="L50" s="54" t="s">
        <v>458</v>
      </c>
      <c r="M50" s="54" t="s">
        <v>457</v>
      </c>
    </row>
    <row r="51" spans="1:13" ht="27.75" thickBot="1">
      <c r="A51" s="51">
        <f t="shared" si="0"/>
        <v>48</v>
      </c>
      <c r="B51" s="53" t="s">
        <v>456</v>
      </c>
      <c r="C51" s="54" t="s">
        <v>458</v>
      </c>
      <c r="D51" s="54" t="s">
        <v>457</v>
      </c>
      <c r="E51" s="56" t="str">
        <f xml:space="preserve"> LEFT(韻母對照表[[#This Row],[十五音識別碼]],1)</f>
        <v>金</v>
      </c>
      <c r="F51" s="56" t="s">
        <v>459</v>
      </c>
      <c r="G51" s="56" t="s">
        <v>460</v>
      </c>
      <c r="J51" s="51">
        <v>49</v>
      </c>
      <c r="K51" s="53" t="s">
        <v>462</v>
      </c>
      <c r="L51" s="54" t="s">
        <v>464</v>
      </c>
      <c r="M51" s="54" t="s">
        <v>463</v>
      </c>
    </row>
    <row r="52" spans="1:13" ht="27.75" thickBot="1">
      <c r="A52" s="51">
        <f t="shared" si="0"/>
        <v>49</v>
      </c>
      <c r="B52" s="53" t="s">
        <v>462</v>
      </c>
      <c r="C52" s="54" t="s">
        <v>464</v>
      </c>
      <c r="D52" s="54" t="s">
        <v>463</v>
      </c>
      <c r="E52" s="56" t="str">
        <f xml:space="preserve"> LEFT(韻母對照表[[#This Row],[十五音識別碼]],1)</f>
        <v>巾</v>
      </c>
      <c r="F52" s="56" t="s">
        <v>465</v>
      </c>
      <c r="G52" s="56" t="s">
        <v>466</v>
      </c>
      <c r="J52" s="51">
        <v>50</v>
      </c>
      <c r="K52" s="53" t="s">
        <v>468</v>
      </c>
      <c r="L52" s="54" t="s">
        <v>473</v>
      </c>
      <c r="M52" s="54" t="s">
        <v>472</v>
      </c>
    </row>
    <row r="53" spans="1:13" ht="27.75" thickBot="1">
      <c r="A53" s="51">
        <f t="shared" si="0"/>
        <v>50</v>
      </c>
      <c r="B53" s="53" t="s">
        <v>468</v>
      </c>
      <c r="C53" s="54" t="s">
        <v>473</v>
      </c>
      <c r="D53" s="54" t="s">
        <v>472</v>
      </c>
      <c r="E53" s="56" t="str">
        <f xml:space="preserve"> LEFT(韻母對照表[[#This Row],[十五音識別碼]],1)</f>
        <v>薑</v>
      </c>
      <c r="F53" s="56" t="s">
        <v>474</v>
      </c>
      <c r="G53" s="56" t="s">
        <v>475</v>
      </c>
      <c r="J53" s="51">
        <v>51</v>
      </c>
      <c r="K53" s="53" t="s">
        <v>476</v>
      </c>
      <c r="L53" s="54" t="s">
        <v>477</v>
      </c>
      <c r="M53" s="54" t="s">
        <v>477</v>
      </c>
    </row>
    <row r="54" spans="1:13" ht="27.75" thickBot="1">
      <c r="A54" s="51">
        <f t="shared" si="0"/>
        <v>51</v>
      </c>
      <c r="B54" s="53" t="s">
        <v>476</v>
      </c>
      <c r="C54" s="54" t="s">
        <v>477</v>
      </c>
      <c r="D54" s="54" t="s">
        <v>477</v>
      </c>
      <c r="E54" s="56" t="str">
        <f xml:space="preserve"> LEFT(韻母對照表[[#This Row],[十五音識別碼]],1)</f>
        <v>丩</v>
      </c>
      <c r="F54" s="56" t="s">
        <v>478</v>
      </c>
      <c r="G54" s="56" t="s">
        <v>479</v>
      </c>
      <c r="J54" s="51">
        <v>52</v>
      </c>
      <c r="K54" s="53" t="s">
        <v>480</v>
      </c>
      <c r="L54" s="54" t="s">
        <v>484</v>
      </c>
      <c r="M54" s="54" t="s">
        <v>483</v>
      </c>
    </row>
    <row r="55" spans="1:13" ht="27.75" thickBot="1">
      <c r="A55" s="51">
        <f t="shared" si="0"/>
        <v>52</v>
      </c>
      <c r="B55" s="53" t="s">
        <v>480</v>
      </c>
      <c r="C55" s="54" t="s">
        <v>484</v>
      </c>
      <c r="D55" s="54" t="s">
        <v>483</v>
      </c>
      <c r="E55" s="56" t="str">
        <f xml:space="preserve"> LEFT(韻母對照表[[#This Row],[十五音識別碼]],1)</f>
        <v>牛</v>
      </c>
      <c r="F55" s="56" t="s">
        <v>485</v>
      </c>
      <c r="G55" s="56" t="s">
        <v>486</v>
      </c>
      <c r="J55" s="51">
        <v>53</v>
      </c>
      <c r="K55" s="53" t="s">
        <v>487</v>
      </c>
      <c r="L55" s="63" t="s">
        <v>492</v>
      </c>
      <c r="M55" s="63" t="s">
        <v>762</v>
      </c>
    </row>
    <row r="56" spans="1:13" ht="30.75" thickBot="1">
      <c r="A56" s="51">
        <f t="shared" si="0"/>
        <v>53</v>
      </c>
      <c r="B56" s="53" t="s">
        <v>487</v>
      </c>
      <c r="C56" s="63" t="s">
        <v>492</v>
      </c>
      <c r="D56" s="63" t="s">
        <v>491</v>
      </c>
      <c r="E56" s="56" t="str">
        <f xml:space="preserve"> LEFT(韻母對照表[[#This Row],[十五音識別碼]],1)</f>
        <v>牛</v>
      </c>
      <c r="F56" s="56" t="s">
        <v>191</v>
      </c>
      <c r="G56" s="64" t="s">
        <v>493</v>
      </c>
      <c r="J56" s="51">
        <v>54</v>
      </c>
      <c r="K56" s="53" t="s">
        <v>27</v>
      </c>
      <c r="L56" s="54" t="s">
        <v>26</v>
      </c>
      <c r="M56" s="54" t="s">
        <v>495</v>
      </c>
    </row>
    <row r="57" spans="1:13" ht="27.75" thickBot="1">
      <c r="A57" s="51">
        <f t="shared" si="0"/>
        <v>54</v>
      </c>
      <c r="B57" s="53" t="s">
        <v>27</v>
      </c>
      <c r="C57" s="54" t="s">
        <v>26</v>
      </c>
      <c r="D57" s="54" t="s">
        <v>495</v>
      </c>
      <c r="E57" s="56" t="str">
        <f xml:space="preserve"> LEFT(韻母對照表[[#This Row],[十五音識別碼]],1)</f>
        <v>姆</v>
      </c>
      <c r="F57" s="56" t="s">
        <v>496</v>
      </c>
      <c r="G57" s="56" t="s">
        <v>497</v>
      </c>
      <c r="J57" s="51">
        <v>55</v>
      </c>
      <c r="K57" s="53" t="s">
        <v>499</v>
      </c>
      <c r="L57" s="72" t="s">
        <v>502</v>
      </c>
      <c r="M57" s="72" t="s">
        <v>763</v>
      </c>
    </row>
    <row r="58" spans="1:13" ht="27.75" thickBot="1">
      <c r="A58" s="51">
        <f t="shared" si="0"/>
        <v>55</v>
      </c>
      <c r="B58" s="53" t="s">
        <v>499</v>
      </c>
      <c r="C58" s="72" t="s">
        <v>502</v>
      </c>
      <c r="D58" s="72" t="s">
        <v>501</v>
      </c>
      <c r="E58" s="56" t="str">
        <f xml:space="preserve"> LEFT(韻母對照表[[#This Row],[十五音識別碼]],1)</f>
        <v>姆</v>
      </c>
      <c r="F58" s="56" t="s">
        <v>191</v>
      </c>
      <c r="G58" s="70" t="s">
        <v>503</v>
      </c>
      <c r="J58" s="51">
        <v>56</v>
      </c>
      <c r="K58" s="53" t="s">
        <v>69</v>
      </c>
      <c r="L58" s="54" t="s">
        <v>506</v>
      </c>
      <c r="M58" s="54" t="s">
        <v>505</v>
      </c>
    </row>
    <row r="59" spans="1:13" ht="27.75" thickBot="1">
      <c r="A59" s="51">
        <f t="shared" si="0"/>
        <v>56</v>
      </c>
      <c r="B59" s="53" t="s">
        <v>69</v>
      </c>
      <c r="C59" s="54" t="s">
        <v>506</v>
      </c>
      <c r="D59" s="54" t="s">
        <v>505</v>
      </c>
      <c r="E59" s="56" t="str">
        <f xml:space="preserve"> LEFT(韻母對照表[[#This Row],[十五音識別碼]],1)</f>
        <v>鋼</v>
      </c>
      <c r="F59" s="56" t="s">
        <v>507</v>
      </c>
      <c r="G59" s="56" t="s">
        <v>508</v>
      </c>
      <c r="J59" s="51">
        <v>57</v>
      </c>
      <c r="K59" s="53" t="s">
        <v>510</v>
      </c>
      <c r="L59" s="72" t="s">
        <v>513</v>
      </c>
      <c r="M59" s="72" t="s">
        <v>764</v>
      </c>
    </row>
    <row r="60" spans="1:13" ht="27.75" thickBot="1">
      <c r="A60" s="51">
        <f t="shared" si="0"/>
        <v>57</v>
      </c>
      <c r="B60" s="53" t="s">
        <v>510</v>
      </c>
      <c r="C60" s="72" t="s">
        <v>513</v>
      </c>
      <c r="D60" s="72" t="s">
        <v>512</v>
      </c>
      <c r="E60" s="56" t="str">
        <f xml:space="preserve"> LEFT(韻母對照表[[#This Row],[十五音識別碼]],1)</f>
        <v>鋼</v>
      </c>
      <c r="F60" s="56" t="s">
        <v>191</v>
      </c>
      <c r="G60" s="70" t="s">
        <v>514</v>
      </c>
      <c r="J60" s="51">
        <v>58</v>
      </c>
      <c r="K60" s="53" t="s">
        <v>516</v>
      </c>
      <c r="L60" s="54" t="s">
        <v>518</v>
      </c>
      <c r="M60" s="54" t="s">
        <v>518</v>
      </c>
    </row>
    <row r="61" spans="1:13" ht="27.75" thickBot="1">
      <c r="A61" s="51">
        <f t="shared" si="0"/>
        <v>58</v>
      </c>
      <c r="B61" s="53" t="s">
        <v>516</v>
      </c>
      <c r="C61" s="54" t="s">
        <v>518</v>
      </c>
      <c r="D61" s="54" t="s">
        <v>518</v>
      </c>
      <c r="E61" s="56" t="str">
        <f xml:space="preserve"> LEFT(韻母對照表[[#This Row],[十五音識別碼]],1)</f>
        <v>高</v>
      </c>
      <c r="F61" s="56" t="s">
        <v>519</v>
      </c>
      <c r="G61" s="56" t="s">
        <v>520</v>
      </c>
      <c r="J61" s="51">
        <v>59</v>
      </c>
      <c r="K61" s="53" t="s">
        <v>522</v>
      </c>
      <c r="L61" s="54" t="s">
        <v>525</v>
      </c>
      <c r="M61" s="54" t="s">
        <v>524</v>
      </c>
    </row>
    <row r="62" spans="1:13" ht="27.75" thickBot="1">
      <c r="A62" s="51">
        <f t="shared" si="0"/>
        <v>59</v>
      </c>
      <c r="B62" s="53" t="s">
        <v>522</v>
      </c>
      <c r="C62" s="54" t="s">
        <v>525</v>
      </c>
      <c r="D62" s="54" t="s">
        <v>524</v>
      </c>
      <c r="E62" s="56" t="str">
        <f xml:space="preserve"> LEFT(韻母對照表[[#This Row],[十五音識別碼]],1)</f>
        <v>高</v>
      </c>
      <c r="F62" s="56" t="s">
        <v>526</v>
      </c>
      <c r="G62" s="56" t="s">
        <v>527</v>
      </c>
      <c r="J62" s="51">
        <v>60</v>
      </c>
      <c r="K62" s="53" t="s">
        <v>529</v>
      </c>
      <c r="L62" s="54" t="s">
        <v>531</v>
      </c>
      <c r="M62" s="54" t="s">
        <v>530</v>
      </c>
    </row>
    <row r="63" spans="1:13" ht="27.75" thickBot="1">
      <c r="A63" s="51">
        <f t="shared" si="0"/>
        <v>60</v>
      </c>
      <c r="B63" s="53" t="s">
        <v>529</v>
      </c>
      <c r="C63" s="54" t="s">
        <v>531</v>
      </c>
      <c r="D63" s="54" t="s">
        <v>530</v>
      </c>
      <c r="E63" s="56" t="str">
        <f xml:space="preserve"> LEFT(韻母對照表[[#This Row],[十五音識別碼]],1)</f>
        <v>公</v>
      </c>
      <c r="F63" s="56" t="s">
        <v>532</v>
      </c>
      <c r="G63" s="56" t="s">
        <v>533</v>
      </c>
      <c r="J63" s="51">
        <v>61</v>
      </c>
      <c r="K63" s="53" t="s">
        <v>535</v>
      </c>
      <c r="L63" s="54" t="s">
        <v>538</v>
      </c>
      <c r="M63" s="54" t="s">
        <v>537</v>
      </c>
    </row>
    <row r="64" spans="1:13" ht="27.75" thickBot="1">
      <c r="A64" s="51">
        <f t="shared" si="0"/>
        <v>61</v>
      </c>
      <c r="B64" s="53" t="s">
        <v>535</v>
      </c>
      <c r="C64" s="54" t="s">
        <v>538</v>
      </c>
      <c r="D64" s="54" t="s">
        <v>537</v>
      </c>
      <c r="E64" s="56" t="str">
        <f xml:space="preserve"> LEFT(韻母對照表[[#This Row],[十五音識別碼]],1)</f>
        <v>箴</v>
      </c>
      <c r="F64" s="56" t="s">
        <v>539</v>
      </c>
      <c r="G64" s="56" t="s">
        <v>540</v>
      </c>
      <c r="J64" s="51">
        <v>62</v>
      </c>
      <c r="K64" s="53" t="s">
        <v>542</v>
      </c>
      <c r="L64" s="54" t="s">
        <v>544</v>
      </c>
      <c r="M64" s="54" t="s">
        <v>543</v>
      </c>
    </row>
    <row r="65" spans="1:13" ht="27.75" thickBot="1">
      <c r="A65" s="51">
        <f t="shared" si="0"/>
        <v>62</v>
      </c>
      <c r="B65" s="53" t="s">
        <v>542</v>
      </c>
      <c r="C65" s="54" t="s">
        <v>544</v>
      </c>
      <c r="D65" s="54" t="s">
        <v>543</v>
      </c>
      <c r="E65" s="56" t="str">
        <f xml:space="preserve"> LEFT(韻母對照表[[#This Row],[十五音識別碼]],1)</f>
        <v>公</v>
      </c>
      <c r="F65" s="56" t="s">
        <v>545</v>
      </c>
      <c r="G65" s="56" t="s">
        <v>546</v>
      </c>
      <c r="J65" s="51">
        <v>63</v>
      </c>
      <c r="K65" s="53" t="s">
        <v>548</v>
      </c>
      <c r="L65" s="54" t="s">
        <v>553</v>
      </c>
      <c r="M65" s="54" t="s">
        <v>552</v>
      </c>
    </row>
    <row r="66" spans="1:13" ht="27.75" thickBot="1">
      <c r="A66" s="51">
        <f t="shared" si="0"/>
        <v>63</v>
      </c>
      <c r="B66" s="53" t="s">
        <v>548</v>
      </c>
      <c r="C66" s="54" t="s">
        <v>553</v>
      </c>
      <c r="D66" s="54" t="s">
        <v>552</v>
      </c>
      <c r="E66" s="56" t="str">
        <f xml:space="preserve"> LEFT(韻母對照表[[#This Row],[十五音識別碼]],1)</f>
        <v>姑</v>
      </c>
      <c r="F66" s="56" t="s">
        <v>554</v>
      </c>
      <c r="G66" s="56" t="s">
        <v>555</v>
      </c>
      <c r="J66" s="51">
        <v>64</v>
      </c>
      <c r="K66" s="53" t="s">
        <v>557</v>
      </c>
      <c r="L66" s="54" t="s">
        <v>562</v>
      </c>
      <c r="M66" s="54" t="s">
        <v>561</v>
      </c>
    </row>
    <row r="67" spans="1:13" ht="27.75" thickBot="1">
      <c r="A67" s="51">
        <f t="shared" si="0"/>
        <v>64</v>
      </c>
      <c r="B67" s="53" t="s">
        <v>557</v>
      </c>
      <c r="C67" s="54" t="s">
        <v>562</v>
      </c>
      <c r="D67" s="54" t="s">
        <v>561</v>
      </c>
      <c r="E67" s="56" t="str">
        <f xml:space="preserve"> LEFT(韻母對照表[[#This Row],[十五音識別碼]],1)</f>
        <v>扛</v>
      </c>
      <c r="F67" s="56" t="s">
        <v>191</v>
      </c>
      <c r="G67" s="56" t="s">
        <v>563</v>
      </c>
      <c r="J67" s="51">
        <v>65</v>
      </c>
      <c r="K67" s="53" t="s">
        <v>565</v>
      </c>
      <c r="L67" s="54" t="s">
        <v>568</v>
      </c>
      <c r="M67" s="54" t="s">
        <v>567</v>
      </c>
    </row>
    <row r="68" spans="1:13" ht="27.75" thickBot="1">
      <c r="A68" s="51">
        <f t="shared" si="0"/>
        <v>65</v>
      </c>
      <c r="B68" s="53" t="s">
        <v>565</v>
      </c>
      <c r="C68" s="54" t="s">
        <v>568</v>
      </c>
      <c r="D68" s="54" t="s">
        <v>567</v>
      </c>
      <c r="E68" s="56" t="str">
        <f xml:space="preserve"> LEFT(韻母對照表[[#This Row],[十五音識別碼]],1)</f>
        <v>沽</v>
      </c>
      <c r="F68" s="56" t="s">
        <v>569</v>
      </c>
      <c r="G68" s="56" t="s">
        <v>570</v>
      </c>
      <c r="J68" s="51">
        <v>66</v>
      </c>
      <c r="K68" s="53" t="s">
        <v>572</v>
      </c>
      <c r="L68" s="72" t="s">
        <v>576</v>
      </c>
      <c r="M68" s="72" t="s">
        <v>765</v>
      </c>
    </row>
    <row r="69" spans="1:13" ht="30.75" thickBot="1">
      <c r="A69" s="51">
        <f t="shared" si="0"/>
        <v>66</v>
      </c>
      <c r="B69" s="53" t="s">
        <v>572</v>
      </c>
      <c r="C69" s="72" t="s">
        <v>576</v>
      </c>
      <c r="D69" s="72" t="s">
        <v>575</v>
      </c>
      <c r="E69" s="56" t="str">
        <f xml:space="preserve"> LEFT(韻母對照表[[#This Row],[十五音識別碼]],1)</f>
        <v>沽</v>
      </c>
      <c r="F69" s="56" t="s">
        <v>191</v>
      </c>
      <c r="G69" s="64" t="s">
        <v>577</v>
      </c>
      <c r="J69" s="51">
        <v>67</v>
      </c>
      <c r="K69" s="53" t="s">
        <v>579</v>
      </c>
      <c r="L69" s="54" t="s">
        <v>582</v>
      </c>
      <c r="M69" s="54" t="s">
        <v>581</v>
      </c>
    </row>
    <row r="70" spans="1:13" ht="27.75" thickBot="1">
      <c r="A70" s="51">
        <f t="shared" si="0"/>
        <v>67</v>
      </c>
      <c r="B70" s="53" t="s">
        <v>579</v>
      </c>
      <c r="C70" s="54" t="s">
        <v>582</v>
      </c>
      <c r="D70" s="54" t="s">
        <v>581</v>
      </c>
      <c r="E70" s="56" t="str">
        <f xml:space="preserve"> LEFT(韻母對照表[[#This Row],[十五音識別碼]],1)</f>
        <v>箴</v>
      </c>
      <c r="F70" s="56" t="s">
        <v>583</v>
      </c>
      <c r="G70" s="56" t="s">
        <v>584</v>
      </c>
      <c r="J70" s="51">
        <v>68</v>
      </c>
      <c r="K70" s="53" t="s">
        <v>585</v>
      </c>
      <c r="L70" s="54" t="s">
        <v>586</v>
      </c>
      <c r="M70" s="54" t="s">
        <v>586</v>
      </c>
    </row>
    <row r="71" spans="1:13" ht="27.75" thickBot="1">
      <c r="A71" s="51">
        <f t="shared" si="0"/>
        <v>68</v>
      </c>
      <c r="B71" s="53" t="s">
        <v>585</v>
      </c>
      <c r="C71" s="54" t="s">
        <v>586</v>
      </c>
      <c r="D71" s="54" t="s">
        <v>586</v>
      </c>
      <c r="E71" s="56" t="str">
        <f xml:space="preserve"> LEFT(韻母對照表[[#This Row],[十五音識別碼]],1)</f>
        <v>艍</v>
      </c>
      <c r="F71" s="56" t="s">
        <v>587</v>
      </c>
      <c r="G71" s="56" t="s">
        <v>588</v>
      </c>
      <c r="J71" s="51">
        <v>69</v>
      </c>
      <c r="K71" s="53" t="s">
        <v>590</v>
      </c>
      <c r="L71" s="54" t="s">
        <v>592</v>
      </c>
      <c r="M71" s="54" t="s">
        <v>592</v>
      </c>
    </row>
    <row r="72" spans="1:13" ht="27.75" thickBot="1">
      <c r="A72" s="51">
        <f t="shared" si="0"/>
        <v>69</v>
      </c>
      <c r="B72" s="53" t="s">
        <v>590</v>
      </c>
      <c r="C72" s="54" t="s">
        <v>592</v>
      </c>
      <c r="D72" s="54" t="s">
        <v>592</v>
      </c>
      <c r="E72" s="56" t="str">
        <f xml:space="preserve"> LEFT(韻母對照表[[#This Row],[十五音識別碼]],1)</f>
        <v>瓜</v>
      </c>
      <c r="F72" s="56" t="s">
        <v>593</v>
      </c>
      <c r="G72" s="56" t="s">
        <v>594</v>
      </c>
      <c r="J72" s="51">
        <v>70</v>
      </c>
      <c r="K72" s="53" t="s">
        <v>596</v>
      </c>
      <c r="L72" s="54" t="s">
        <v>599</v>
      </c>
      <c r="M72" s="54" t="s">
        <v>598</v>
      </c>
    </row>
    <row r="73" spans="1:13" ht="27.75" thickBot="1">
      <c r="A73" s="51">
        <f t="shared" si="0"/>
        <v>70</v>
      </c>
      <c r="B73" s="53" t="s">
        <v>596</v>
      </c>
      <c r="C73" s="54" t="s">
        <v>599</v>
      </c>
      <c r="D73" s="54" t="s">
        <v>598</v>
      </c>
      <c r="E73" s="56" t="str">
        <f xml:space="preserve"> LEFT(韻母對照表[[#This Row],[十五音識別碼]],1)</f>
        <v>瓜</v>
      </c>
      <c r="F73" s="56" t="s">
        <v>600</v>
      </c>
      <c r="G73" s="56" t="s">
        <v>601</v>
      </c>
      <c r="J73" s="51">
        <v>71</v>
      </c>
      <c r="K73" s="53" t="s">
        <v>603</v>
      </c>
      <c r="L73" s="54" t="s">
        <v>605</v>
      </c>
      <c r="M73" s="54" t="s">
        <v>605</v>
      </c>
    </row>
    <row r="74" spans="1:13" ht="27.75" thickBot="1">
      <c r="A74" s="51">
        <f t="shared" si="0"/>
        <v>71</v>
      </c>
      <c r="B74" s="53" t="s">
        <v>603</v>
      </c>
      <c r="C74" s="54" t="s">
        <v>605</v>
      </c>
      <c r="D74" s="54" t="s">
        <v>605</v>
      </c>
      <c r="E74" s="56" t="str">
        <f xml:space="preserve"> LEFT(韻母對照表[[#This Row],[十五音識別碼]],1)</f>
        <v>乖</v>
      </c>
      <c r="F74" s="56" t="s">
        <v>606</v>
      </c>
      <c r="G74" s="56" t="s">
        <v>607</v>
      </c>
      <c r="J74" s="51">
        <v>72</v>
      </c>
      <c r="K74" s="53" t="s">
        <v>609</v>
      </c>
      <c r="L74" s="54" t="s">
        <v>613</v>
      </c>
      <c r="M74" s="54" t="s">
        <v>612</v>
      </c>
    </row>
    <row r="75" spans="1:13" ht="27.75" thickBot="1">
      <c r="A75" s="51">
        <f t="shared" si="0"/>
        <v>72</v>
      </c>
      <c r="B75" s="53" t="s">
        <v>609</v>
      </c>
      <c r="C75" s="54" t="s">
        <v>613</v>
      </c>
      <c r="D75" s="54" t="s">
        <v>612</v>
      </c>
      <c r="E75" s="56" t="str">
        <f xml:space="preserve"> LEFT(韻母對照表[[#This Row],[十五音識別碼]],1)</f>
        <v>閂</v>
      </c>
      <c r="F75" s="56" t="s">
        <v>614</v>
      </c>
      <c r="G75" s="56" t="s">
        <v>615</v>
      </c>
      <c r="J75" s="51">
        <v>73</v>
      </c>
      <c r="K75" s="53" t="s">
        <v>617</v>
      </c>
      <c r="L75" s="54" t="s">
        <v>620</v>
      </c>
      <c r="M75" s="54" t="s">
        <v>619</v>
      </c>
    </row>
    <row r="76" spans="1:13" ht="27.75" thickBot="1">
      <c r="A76" s="51">
        <f t="shared" si="0"/>
        <v>73</v>
      </c>
      <c r="B76" s="53" t="s">
        <v>617</v>
      </c>
      <c r="C76" s="54" t="s">
        <v>620</v>
      </c>
      <c r="D76" s="54" t="s">
        <v>619</v>
      </c>
      <c r="E76" s="56" t="str">
        <f xml:space="preserve"> LEFT(韻母對照表[[#This Row],[十五音識別碼]],1)</f>
        <v>乖</v>
      </c>
      <c r="F76" s="56" t="s">
        <v>191</v>
      </c>
      <c r="G76" s="56" t="s">
        <v>621</v>
      </c>
      <c r="J76" s="51">
        <v>74</v>
      </c>
      <c r="K76" s="53" t="s">
        <v>623</v>
      </c>
      <c r="L76" s="54" t="s">
        <v>628</v>
      </c>
      <c r="M76" s="54" t="s">
        <v>627</v>
      </c>
    </row>
    <row r="77" spans="1:13" ht="27.75" thickBot="1">
      <c r="A77" s="51">
        <f t="shared" si="0"/>
        <v>74</v>
      </c>
      <c r="B77" s="53" t="s">
        <v>623</v>
      </c>
      <c r="C77" s="54" t="s">
        <v>628</v>
      </c>
      <c r="D77" s="54" t="s">
        <v>627</v>
      </c>
      <c r="E77" s="56" t="str">
        <f xml:space="preserve"> LEFT(韻母對照表[[#This Row],[十五音識別碼]],1)</f>
        <v>閂</v>
      </c>
      <c r="F77" s="56" t="s">
        <v>629</v>
      </c>
      <c r="G77" s="56" t="s">
        <v>630</v>
      </c>
      <c r="J77" s="51">
        <v>75</v>
      </c>
      <c r="K77" s="53" t="s">
        <v>632</v>
      </c>
      <c r="L77" s="54" t="s">
        <v>634</v>
      </c>
      <c r="M77" s="54" t="s">
        <v>634</v>
      </c>
    </row>
    <row r="78" spans="1:13" ht="27.75" thickBot="1">
      <c r="A78" s="51">
        <f t="shared" si="0"/>
        <v>75</v>
      </c>
      <c r="B78" s="53" t="s">
        <v>632</v>
      </c>
      <c r="C78" s="54" t="s">
        <v>634</v>
      </c>
      <c r="D78" s="54" t="s">
        <v>634</v>
      </c>
      <c r="E78" s="56" t="str">
        <f xml:space="preserve"> LEFT(韻母對照表[[#This Row],[十五音識別碼]],1)</f>
        <v>觀</v>
      </c>
      <c r="F78" s="56" t="s">
        <v>635</v>
      </c>
      <c r="G78" s="56" t="s">
        <v>636</v>
      </c>
      <c r="J78" s="51">
        <v>76</v>
      </c>
      <c r="K78" s="53" t="s">
        <v>638</v>
      </c>
      <c r="L78" s="54" t="s">
        <v>640</v>
      </c>
      <c r="M78" s="54" t="s">
        <v>640</v>
      </c>
    </row>
    <row r="79" spans="1:13" ht="27.75" thickBot="1">
      <c r="A79" s="51">
        <f t="shared" si="0"/>
        <v>76</v>
      </c>
      <c r="B79" s="53" t="s">
        <v>638</v>
      </c>
      <c r="C79" s="54" t="s">
        <v>640</v>
      </c>
      <c r="D79" s="54" t="s">
        <v>640</v>
      </c>
      <c r="E79" s="56" t="str">
        <f xml:space="preserve"> LEFT(韻母對照表[[#This Row],[十五音識別碼]],1)</f>
        <v>光</v>
      </c>
      <c r="F79" s="56" t="s">
        <v>641</v>
      </c>
      <c r="G79" s="56" t="s">
        <v>642</v>
      </c>
      <c r="J79" s="51">
        <v>77</v>
      </c>
      <c r="K79" s="53" t="s">
        <v>644</v>
      </c>
      <c r="L79" s="54" t="s">
        <v>648</v>
      </c>
      <c r="M79" s="54" t="s">
        <v>647</v>
      </c>
    </row>
    <row r="80" spans="1:13" ht="27.75" thickBot="1">
      <c r="A80" s="51">
        <f t="shared" si="0"/>
        <v>77</v>
      </c>
      <c r="B80" s="53" t="s">
        <v>644</v>
      </c>
      <c r="C80" s="54" t="s">
        <v>648</v>
      </c>
      <c r="D80" s="54" t="s">
        <v>647</v>
      </c>
      <c r="E80" s="56" t="str">
        <f xml:space="preserve"> LEFT(韻母對照表[[#This Row],[十五音識別碼]],1)</f>
        <v>官</v>
      </c>
      <c r="F80" s="56" t="s">
        <v>649</v>
      </c>
      <c r="G80" s="56" t="s">
        <v>650</v>
      </c>
      <c r="J80" s="51">
        <v>78</v>
      </c>
      <c r="K80" s="53" t="s">
        <v>652</v>
      </c>
      <c r="L80" s="54" t="s">
        <v>655</v>
      </c>
      <c r="M80" s="54" t="s">
        <v>654</v>
      </c>
    </row>
    <row r="81" spans="1:13" ht="27.75" thickBot="1">
      <c r="A81" s="51">
        <f t="shared" si="0"/>
        <v>78</v>
      </c>
      <c r="B81" s="53" t="s">
        <v>652</v>
      </c>
      <c r="C81" s="54" t="s">
        <v>655</v>
      </c>
      <c r="D81" s="54" t="s">
        <v>654</v>
      </c>
      <c r="E81" s="56" t="str">
        <f xml:space="preserve"> LEFT(韻母對照表[[#This Row],[十五音識別碼]],1)</f>
        <v>觀</v>
      </c>
      <c r="F81" s="56" t="s">
        <v>656</v>
      </c>
      <c r="G81" s="56" t="s">
        <v>657</v>
      </c>
      <c r="J81" s="51">
        <v>79</v>
      </c>
      <c r="K81" s="53" t="s">
        <v>659</v>
      </c>
      <c r="L81" s="54" t="s">
        <v>662</v>
      </c>
      <c r="M81" s="54" t="s">
        <v>661</v>
      </c>
    </row>
    <row r="82" spans="1:13" ht="27.75" thickBot="1">
      <c r="A82" s="51">
        <f t="shared" si="0"/>
        <v>79</v>
      </c>
      <c r="B82" s="53" t="s">
        <v>659</v>
      </c>
      <c r="C82" s="54" t="s">
        <v>662</v>
      </c>
      <c r="D82" s="54" t="s">
        <v>661</v>
      </c>
      <c r="E82" s="56" t="str">
        <f xml:space="preserve"> LEFT(韻母對照表[[#This Row],[十五音識別碼]],1)</f>
        <v>檜</v>
      </c>
      <c r="F82" s="56" t="s">
        <v>663</v>
      </c>
      <c r="G82" s="56" t="s">
        <v>664</v>
      </c>
      <c r="J82" s="51">
        <v>80</v>
      </c>
      <c r="K82" s="53" t="s">
        <v>666</v>
      </c>
      <c r="L82" s="54" t="s">
        <v>669</v>
      </c>
      <c r="M82" s="54" t="s">
        <v>668</v>
      </c>
    </row>
    <row r="83" spans="1:13" ht="27.75" thickBot="1">
      <c r="A83" s="51">
        <f t="shared" si="0"/>
        <v>80</v>
      </c>
      <c r="B83" s="53" t="s">
        <v>666</v>
      </c>
      <c r="C83" s="54" t="s">
        <v>669</v>
      </c>
      <c r="D83" s="54" t="s">
        <v>668</v>
      </c>
      <c r="E83" s="56" t="str">
        <f xml:space="preserve"> LEFT(韻母對照表[[#This Row],[十五音識別碼]],1)</f>
        <v>檜</v>
      </c>
      <c r="F83" s="56" t="s">
        <v>670</v>
      </c>
      <c r="G83" s="56" t="s">
        <v>671</v>
      </c>
      <c r="J83" s="51">
        <v>81</v>
      </c>
      <c r="K83" s="53" t="s">
        <v>673</v>
      </c>
      <c r="L83" s="54" t="s">
        <v>675</v>
      </c>
      <c r="M83" s="54" t="s">
        <v>674</v>
      </c>
    </row>
    <row r="84" spans="1:13" ht="27.75" thickBot="1">
      <c r="A84" s="51">
        <f t="shared" si="0"/>
        <v>81</v>
      </c>
      <c r="B84" s="53" t="s">
        <v>673</v>
      </c>
      <c r="C84" s="54" t="s">
        <v>675</v>
      </c>
      <c r="D84" s="54" t="s">
        <v>674</v>
      </c>
      <c r="E84" s="56" t="str">
        <f xml:space="preserve"> LEFT(韻母對照表[[#This Row],[十五音識別碼]],1)</f>
        <v>艍</v>
      </c>
      <c r="F84" s="56" t="s">
        <v>676</v>
      </c>
      <c r="G84" s="56" t="s">
        <v>677</v>
      </c>
      <c r="J84" s="51">
        <v>82</v>
      </c>
      <c r="K84" s="53" t="s">
        <v>679</v>
      </c>
      <c r="L84" s="54" t="s">
        <v>680</v>
      </c>
      <c r="M84" s="54" t="s">
        <v>680</v>
      </c>
    </row>
    <row r="85" spans="1:13" ht="27.75" thickBot="1">
      <c r="A85" s="51">
        <f t="shared" si="0"/>
        <v>82</v>
      </c>
      <c r="B85" s="53" t="s">
        <v>679</v>
      </c>
      <c r="C85" s="54" t="s">
        <v>680</v>
      </c>
      <c r="D85" s="54" t="s">
        <v>680</v>
      </c>
      <c r="E85" s="56" t="str">
        <f xml:space="preserve"> LEFT(韻母對照表[[#This Row],[十五音識別碼]],1)</f>
        <v>規</v>
      </c>
      <c r="F85" s="56" t="s">
        <v>681</v>
      </c>
      <c r="G85" s="56" t="s">
        <v>682</v>
      </c>
      <c r="J85" s="51">
        <v>83</v>
      </c>
      <c r="K85" s="53" t="s">
        <v>684</v>
      </c>
      <c r="L85" s="63" t="s">
        <v>687</v>
      </c>
      <c r="M85" s="63" t="s">
        <v>766</v>
      </c>
    </row>
    <row r="86" spans="1:13" ht="27.75" thickBot="1">
      <c r="A86" s="51">
        <f t="shared" si="0"/>
        <v>83</v>
      </c>
      <c r="B86" s="53" t="s">
        <v>684</v>
      </c>
      <c r="C86" s="63" t="s">
        <v>687</v>
      </c>
      <c r="D86" s="63" t="s">
        <v>686</v>
      </c>
      <c r="E86" s="56" t="str">
        <f xml:space="preserve"> LEFT(韻母對照表[[#This Row],[十五音識別碼]],1)</f>
        <v>褌</v>
      </c>
      <c r="F86" s="56" t="s">
        <v>191</v>
      </c>
      <c r="G86" s="70" t="s">
        <v>688</v>
      </c>
      <c r="J86" s="51">
        <v>84</v>
      </c>
      <c r="K86" s="53" t="s">
        <v>690</v>
      </c>
      <c r="L86" s="54" t="s">
        <v>694</v>
      </c>
      <c r="M86" s="54" t="s">
        <v>693</v>
      </c>
    </row>
    <row r="87" spans="1:13" ht="27.75" thickBot="1">
      <c r="A87" s="51">
        <f t="shared" si="0"/>
        <v>84</v>
      </c>
      <c r="B87" s="53" t="s">
        <v>690</v>
      </c>
      <c r="C87" s="54" t="s">
        <v>694</v>
      </c>
      <c r="D87" s="54" t="s">
        <v>693</v>
      </c>
      <c r="E87" s="56" t="str">
        <f xml:space="preserve"> LEFT(韻母對照表[[#This Row],[十五音識別碼]],1)</f>
        <v>褌</v>
      </c>
      <c r="F87" s="56" t="s">
        <v>695</v>
      </c>
      <c r="G87" s="56" t="s">
        <v>696</v>
      </c>
      <c r="J87" s="51">
        <v>85</v>
      </c>
      <c r="K87" s="53" t="s">
        <v>698</v>
      </c>
      <c r="L87" s="54" t="s">
        <v>699</v>
      </c>
      <c r="M87" s="54" t="s">
        <v>699</v>
      </c>
    </row>
    <row r="88" spans="1:13" ht="27.75" thickBot="1">
      <c r="A88" s="51">
        <f t="shared" si="0"/>
        <v>85</v>
      </c>
      <c r="B88" s="53" t="s">
        <v>698</v>
      </c>
      <c r="C88" s="54" t="s">
        <v>699</v>
      </c>
      <c r="D88" s="54" t="s">
        <v>699</v>
      </c>
      <c r="E88" s="56" t="str">
        <f xml:space="preserve"> LEFT(韻母對照表[[#This Row],[十五音識別碼]],1)</f>
        <v>君</v>
      </c>
      <c r="F88" s="56" t="s">
        <v>700</v>
      </c>
      <c r="G88" s="56" t="s">
        <v>701</v>
      </c>
      <c r="J88" s="51">
        <v>86</v>
      </c>
      <c r="K88" s="53" t="s">
        <v>703</v>
      </c>
      <c r="L88" s="54" t="s">
        <v>705</v>
      </c>
      <c r="M88" s="54" t="s">
        <v>704</v>
      </c>
    </row>
    <row r="89" spans="1:13" ht="27.75" thickBot="1">
      <c r="A89" s="51">
        <f t="shared" si="0"/>
        <v>86</v>
      </c>
      <c r="B89" s="53" t="s">
        <v>703</v>
      </c>
      <c r="C89" s="54" t="s">
        <v>705</v>
      </c>
      <c r="D89" s="54" t="s">
        <v>704</v>
      </c>
      <c r="E89" s="56" t="str">
        <f xml:space="preserve"> LEFT(韻母對照表[[#This Row],[十五音識別碼]],1)</f>
        <v>君</v>
      </c>
      <c r="F89" s="56" t="s">
        <v>706</v>
      </c>
      <c r="G89" s="56" t="s">
        <v>707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6E1D6-A159-4CB4-A940-AE69318F2E0F}">
  <dimension ref="A1:P23"/>
  <sheetViews>
    <sheetView workbookViewId="0">
      <selection activeCell="D14" sqref="D14"/>
    </sheetView>
  </sheetViews>
  <sheetFormatPr defaultRowHeight="25.5"/>
  <cols>
    <col min="1" max="1" width="11" style="3" customWidth="1"/>
    <col min="2" max="3" width="9" style="3"/>
    <col min="4" max="4" width="13.75" style="3" customWidth="1"/>
    <col min="5" max="5" width="34.625" style="3" bestFit="1" customWidth="1"/>
    <col min="6" max="7" width="9" style="3"/>
    <col min="8" max="8" width="9.625" style="3" customWidth="1"/>
    <col min="9" max="12" width="13.75" style="3" customWidth="1"/>
    <col min="13" max="13" width="9" style="3"/>
    <col min="14" max="15" width="13.75" style="3" customWidth="1"/>
    <col min="16" max="16" width="34.625" style="3" bestFit="1" customWidth="1"/>
    <col min="17" max="16384" width="9" style="3"/>
  </cols>
  <sheetData>
    <row r="1" spans="1:1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4</v>
      </c>
    </row>
    <row r="2" spans="1:16" ht="39">
      <c r="A2" s="4">
        <v>1</v>
      </c>
      <c r="B2" s="5" t="s">
        <v>13</v>
      </c>
      <c r="C2" s="5" t="s">
        <v>14</v>
      </c>
      <c r="D2" s="6" t="s">
        <v>15</v>
      </c>
      <c r="E2" s="6"/>
      <c r="H2" s="6">
        <v>1</v>
      </c>
      <c r="I2" s="7" t="s">
        <v>16</v>
      </c>
      <c r="J2" s="7" t="s">
        <v>16</v>
      </c>
      <c r="K2" s="6" t="s">
        <v>17</v>
      </c>
      <c r="L2" s="6" t="s">
        <v>17</v>
      </c>
      <c r="M2" s="6" t="s">
        <v>17</v>
      </c>
      <c r="N2" s="8" t="s">
        <v>18</v>
      </c>
      <c r="O2" s="6" t="s">
        <v>18</v>
      </c>
      <c r="P2" s="6"/>
    </row>
    <row r="3" spans="1:16" ht="39">
      <c r="A3" s="4">
        <v>2</v>
      </c>
      <c r="B3" s="5" t="s">
        <v>19</v>
      </c>
      <c r="C3" s="5" t="s">
        <v>19</v>
      </c>
      <c r="D3" s="6" t="s">
        <v>20</v>
      </c>
      <c r="E3" s="9" t="s">
        <v>21</v>
      </c>
      <c r="H3" s="6">
        <v>2</v>
      </c>
      <c r="I3" s="7" t="s">
        <v>22</v>
      </c>
      <c r="J3" s="7" t="s">
        <v>22</v>
      </c>
      <c r="K3" s="6" t="s">
        <v>23</v>
      </c>
      <c r="L3" s="6" t="s">
        <v>23</v>
      </c>
      <c r="M3" s="6" t="s">
        <v>23</v>
      </c>
      <c r="N3" s="8" t="s">
        <v>17</v>
      </c>
      <c r="O3" s="6" t="s">
        <v>17</v>
      </c>
      <c r="P3" s="6"/>
    </row>
    <row r="4" spans="1:16" ht="39">
      <c r="A4" s="4">
        <v>3</v>
      </c>
      <c r="B4" s="5" t="s">
        <v>24</v>
      </c>
      <c r="C4" s="5" t="s">
        <v>25</v>
      </c>
      <c r="D4" s="6" t="s">
        <v>17</v>
      </c>
      <c r="E4" s="6"/>
      <c r="H4" s="6">
        <v>3</v>
      </c>
      <c r="I4" s="7" t="s">
        <v>26</v>
      </c>
      <c r="J4" s="7" t="s">
        <v>26</v>
      </c>
      <c r="K4" s="6" t="s">
        <v>27</v>
      </c>
      <c r="L4" s="6" t="s">
        <v>27</v>
      </c>
      <c r="M4" s="6" t="s">
        <v>27</v>
      </c>
      <c r="N4" s="8" t="s">
        <v>27</v>
      </c>
      <c r="O4" s="6" t="s">
        <v>28</v>
      </c>
      <c r="P4" s="10"/>
    </row>
    <row r="5" spans="1:16" ht="39">
      <c r="A5" s="4">
        <v>4</v>
      </c>
      <c r="B5" s="5" t="s">
        <v>29</v>
      </c>
      <c r="C5" s="5" t="s">
        <v>30</v>
      </c>
      <c r="D5" s="6" t="s">
        <v>31</v>
      </c>
      <c r="E5" s="6"/>
      <c r="H5" s="6">
        <v>4</v>
      </c>
      <c r="I5" s="7" t="s">
        <v>32</v>
      </c>
      <c r="J5" s="11" t="s">
        <v>33</v>
      </c>
      <c r="K5" s="6" t="s">
        <v>18</v>
      </c>
      <c r="L5" s="6" t="s">
        <v>18</v>
      </c>
      <c r="M5" s="6" t="s">
        <v>18</v>
      </c>
      <c r="N5" s="8" t="s">
        <v>34</v>
      </c>
      <c r="O5" s="6" t="s">
        <v>34</v>
      </c>
      <c r="P5" s="6"/>
    </row>
    <row r="6" spans="1:16" ht="39">
      <c r="A6" s="4">
        <v>5</v>
      </c>
      <c r="B6" s="5" t="s">
        <v>35</v>
      </c>
      <c r="C6" s="5" t="s">
        <v>36</v>
      </c>
      <c r="D6" s="6" t="s">
        <v>37</v>
      </c>
      <c r="E6" s="6"/>
      <c r="H6" s="6">
        <v>5</v>
      </c>
      <c r="I6" s="7" t="s">
        <v>38</v>
      </c>
      <c r="J6" s="7" t="s">
        <v>38</v>
      </c>
      <c r="K6" s="6" t="s">
        <v>39</v>
      </c>
      <c r="L6" s="6" t="s">
        <v>39</v>
      </c>
      <c r="M6" s="6" t="s">
        <v>39</v>
      </c>
      <c r="N6" s="8" t="s">
        <v>40</v>
      </c>
      <c r="O6" s="6" t="s">
        <v>40</v>
      </c>
      <c r="P6" s="6"/>
    </row>
    <row r="7" spans="1:16" ht="39">
      <c r="A7" s="4">
        <v>6</v>
      </c>
      <c r="B7" s="5" t="s">
        <v>41</v>
      </c>
      <c r="C7" s="5" t="s">
        <v>42</v>
      </c>
      <c r="D7" s="6" t="s">
        <v>39</v>
      </c>
      <c r="E7" s="6"/>
      <c r="H7" s="6">
        <v>6</v>
      </c>
      <c r="I7" s="7" t="s">
        <v>43</v>
      </c>
      <c r="J7" s="7" t="s">
        <v>43</v>
      </c>
      <c r="K7" s="6" t="s">
        <v>44</v>
      </c>
      <c r="L7" s="6" t="s">
        <v>44</v>
      </c>
      <c r="M7" s="6" t="s">
        <v>44</v>
      </c>
      <c r="N7" s="8" t="s">
        <v>39</v>
      </c>
      <c r="O7" s="6" t="s">
        <v>39</v>
      </c>
      <c r="P7" s="6"/>
    </row>
    <row r="8" spans="1:16" ht="39">
      <c r="A8" s="4">
        <v>7</v>
      </c>
      <c r="B8" s="5" t="s">
        <v>45</v>
      </c>
      <c r="C8" s="5" t="s">
        <v>46</v>
      </c>
      <c r="D8" s="6" t="s">
        <v>47</v>
      </c>
      <c r="E8" s="6"/>
      <c r="H8" s="6">
        <v>7</v>
      </c>
      <c r="I8" s="7" t="s">
        <v>48</v>
      </c>
      <c r="J8" s="7" t="s">
        <v>48</v>
      </c>
      <c r="K8" s="6" t="s">
        <v>20</v>
      </c>
      <c r="L8" s="6" t="s">
        <v>20</v>
      </c>
      <c r="M8" s="6" t="s">
        <v>20</v>
      </c>
      <c r="N8" s="8" t="s">
        <v>20</v>
      </c>
      <c r="O8" s="6" t="s">
        <v>49</v>
      </c>
      <c r="P8" s="9"/>
    </row>
    <row r="9" spans="1:16" ht="39">
      <c r="A9" s="4">
        <v>8</v>
      </c>
      <c r="B9" s="5" t="s">
        <v>50</v>
      </c>
      <c r="C9" s="5" t="s">
        <v>51</v>
      </c>
      <c r="D9" s="6" t="s">
        <v>52</v>
      </c>
      <c r="E9" s="6"/>
      <c r="H9" s="6">
        <v>8</v>
      </c>
      <c r="I9" s="7" t="s">
        <v>53</v>
      </c>
      <c r="J9" s="7" t="s">
        <v>53</v>
      </c>
      <c r="K9" s="6" t="s">
        <v>15</v>
      </c>
      <c r="L9" s="6" t="s">
        <v>15</v>
      </c>
      <c r="M9" s="6" t="s">
        <v>15</v>
      </c>
      <c r="N9" s="8" t="s">
        <v>15</v>
      </c>
      <c r="O9" s="6" t="s">
        <v>15</v>
      </c>
      <c r="P9" s="6"/>
    </row>
    <row r="10" spans="1:16" ht="39">
      <c r="A10" s="4">
        <v>9</v>
      </c>
      <c r="B10" s="5" t="s">
        <v>54</v>
      </c>
      <c r="C10" s="5" t="s">
        <v>55</v>
      </c>
      <c r="D10" s="6" t="s">
        <v>56</v>
      </c>
      <c r="E10" s="6"/>
      <c r="H10" s="6">
        <v>9</v>
      </c>
      <c r="I10" s="7" t="s">
        <v>57</v>
      </c>
      <c r="J10" s="7" t="s">
        <v>57</v>
      </c>
      <c r="K10" s="6" t="s">
        <v>31</v>
      </c>
      <c r="L10" s="6" t="s">
        <v>31</v>
      </c>
      <c r="M10" s="6" t="s">
        <v>31</v>
      </c>
      <c r="N10" s="8" t="s">
        <v>58</v>
      </c>
      <c r="O10" s="6" t="s">
        <v>58</v>
      </c>
      <c r="P10" s="6"/>
    </row>
    <row r="11" spans="1:16" ht="39">
      <c r="A11" s="4">
        <v>10</v>
      </c>
      <c r="B11" s="12" t="s">
        <v>59</v>
      </c>
      <c r="C11" s="13" t="s">
        <v>60</v>
      </c>
      <c r="D11" s="6" t="s">
        <v>61</v>
      </c>
      <c r="E11" s="6"/>
      <c r="H11" s="6">
        <v>10</v>
      </c>
      <c r="I11" s="7" t="s">
        <v>62</v>
      </c>
      <c r="J11" s="7" t="s">
        <v>62</v>
      </c>
      <c r="K11" s="6" t="s">
        <v>63</v>
      </c>
      <c r="L11" s="6" t="s">
        <v>63</v>
      </c>
      <c r="M11" s="6" t="s">
        <v>63</v>
      </c>
      <c r="N11" s="8" t="s">
        <v>31</v>
      </c>
      <c r="O11" s="6" t="s">
        <v>31</v>
      </c>
      <c r="P11" s="6"/>
    </row>
    <row r="12" spans="1:16" ht="39">
      <c r="A12" s="4">
        <v>11</v>
      </c>
      <c r="B12" s="12" t="s">
        <v>64</v>
      </c>
      <c r="C12" s="5" t="s">
        <v>65</v>
      </c>
      <c r="D12" s="6" t="s">
        <v>66</v>
      </c>
      <c r="E12" s="6"/>
      <c r="H12" s="6">
        <v>11</v>
      </c>
      <c r="I12" s="7" t="s">
        <v>67</v>
      </c>
      <c r="J12" s="11" t="s">
        <v>68</v>
      </c>
      <c r="K12" s="6" t="s">
        <v>69</v>
      </c>
      <c r="L12" s="6" t="s">
        <v>69</v>
      </c>
      <c r="M12" s="6" t="s">
        <v>69</v>
      </c>
      <c r="N12" s="8" t="s">
        <v>69</v>
      </c>
      <c r="O12" s="6" t="s">
        <v>70</v>
      </c>
      <c r="P12" s="9"/>
    </row>
    <row r="13" spans="1:16" ht="39">
      <c r="A13" s="4">
        <v>12</v>
      </c>
      <c r="B13" s="14" t="s">
        <v>71</v>
      </c>
      <c r="C13" s="5" t="s">
        <v>72</v>
      </c>
      <c r="D13" s="6"/>
      <c r="E13" s="6" t="s">
        <v>73</v>
      </c>
      <c r="H13" s="6">
        <v>12</v>
      </c>
      <c r="I13" s="7" t="s">
        <v>74</v>
      </c>
      <c r="J13" s="11" t="s">
        <v>67</v>
      </c>
      <c r="K13" s="6" t="s">
        <v>58</v>
      </c>
      <c r="L13" s="6" t="s">
        <v>58</v>
      </c>
      <c r="M13" s="6" t="s">
        <v>58</v>
      </c>
      <c r="N13" s="8" t="s">
        <v>75</v>
      </c>
      <c r="O13" s="6" t="s">
        <v>75</v>
      </c>
      <c r="P13" s="6"/>
    </row>
    <row r="14" spans="1:16" ht="39">
      <c r="A14" s="4">
        <v>13</v>
      </c>
      <c r="B14" s="15" t="s">
        <v>76</v>
      </c>
      <c r="C14" s="5" t="s">
        <v>77</v>
      </c>
      <c r="D14" s="6" t="s">
        <v>18</v>
      </c>
      <c r="E14" s="6"/>
      <c r="H14" s="6">
        <v>13</v>
      </c>
      <c r="I14" s="7" t="s">
        <v>78</v>
      </c>
      <c r="J14" s="7" t="s">
        <v>78</v>
      </c>
      <c r="K14" s="6" t="s">
        <v>79</v>
      </c>
      <c r="L14" s="6" t="s">
        <v>80</v>
      </c>
      <c r="M14" s="6" t="s">
        <v>81</v>
      </c>
      <c r="N14" s="8" t="s">
        <v>80</v>
      </c>
      <c r="O14" s="6" t="s">
        <v>80</v>
      </c>
      <c r="P14" s="6"/>
    </row>
    <row r="15" spans="1:16" ht="39">
      <c r="A15" s="4">
        <v>14</v>
      </c>
      <c r="B15" s="5" t="s">
        <v>82</v>
      </c>
      <c r="C15" s="5" t="s">
        <v>82</v>
      </c>
      <c r="D15" s="6" t="s">
        <v>27</v>
      </c>
      <c r="E15" s="10" t="s">
        <v>83</v>
      </c>
      <c r="H15" s="6">
        <v>14</v>
      </c>
      <c r="I15" s="7" t="s">
        <v>84</v>
      </c>
      <c r="J15" s="7" t="s">
        <v>85</v>
      </c>
      <c r="K15" s="6" t="s">
        <v>86</v>
      </c>
      <c r="L15" s="6" t="s">
        <v>87</v>
      </c>
      <c r="M15" s="6" t="s">
        <v>88</v>
      </c>
      <c r="N15" s="8" t="s">
        <v>87</v>
      </c>
      <c r="O15" s="6" t="s">
        <v>87</v>
      </c>
      <c r="P15" s="6"/>
    </row>
    <row r="16" spans="1:16" ht="39">
      <c r="A16" s="4">
        <v>15</v>
      </c>
      <c r="B16" s="5" t="s">
        <v>89</v>
      </c>
      <c r="C16" s="5" t="s">
        <v>90</v>
      </c>
      <c r="D16" s="6" t="s">
        <v>91</v>
      </c>
      <c r="E16" s="6"/>
      <c r="H16" s="6">
        <v>15</v>
      </c>
      <c r="I16" s="7" t="s">
        <v>92</v>
      </c>
      <c r="J16" s="7" t="s">
        <v>93</v>
      </c>
      <c r="K16" s="6" t="s">
        <v>66</v>
      </c>
      <c r="L16" s="6" t="s">
        <v>66</v>
      </c>
      <c r="M16" s="6" t="s">
        <v>66</v>
      </c>
      <c r="N16" s="8" t="s">
        <v>66</v>
      </c>
      <c r="O16" s="6" t="s">
        <v>66</v>
      </c>
      <c r="P16" s="6"/>
    </row>
    <row r="17" spans="1:16" ht="39">
      <c r="A17" s="4">
        <v>16</v>
      </c>
      <c r="B17" s="5" t="s">
        <v>94</v>
      </c>
      <c r="C17" s="5" t="s">
        <v>94</v>
      </c>
      <c r="D17" s="6" t="s">
        <v>95</v>
      </c>
      <c r="E17" s="9" t="s">
        <v>96</v>
      </c>
      <c r="H17" s="6">
        <v>16</v>
      </c>
      <c r="I17" s="7" t="s">
        <v>97</v>
      </c>
      <c r="J17" s="11" t="s">
        <v>98</v>
      </c>
      <c r="K17" s="6" t="s">
        <v>99</v>
      </c>
      <c r="L17" s="6" t="s">
        <v>99</v>
      </c>
      <c r="M17" s="6" t="s">
        <v>99</v>
      </c>
      <c r="N17" s="8" t="s">
        <v>100</v>
      </c>
      <c r="O17" s="6" t="s">
        <v>100</v>
      </c>
      <c r="P17" s="6"/>
    </row>
    <row r="18" spans="1:16" ht="39">
      <c r="A18" s="4">
        <v>17</v>
      </c>
      <c r="B18" s="5" t="s">
        <v>101</v>
      </c>
      <c r="C18" s="5" t="s">
        <v>102</v>
      </c>
      <c r="D18" s="6" t="s">
        <v>103</v>
      </c>
      <c r="E18" s="6"/>
      <c r="H18" s="6">
        <v>17</v>
      </c>
      <c r="I18" s="7" t="s">
        <v>104</v>
      </c>
      <c r="J18" s="7" t="s">
        <v>104</v>
      </c>
      <c r="K18" s="6" t="s">
        <v>105</v>
      </c>
      <c r="L18" s="6" t="s">
        <v>105</v>
      </c>
      <c r="M18" s="6" t="s">
        <v>105</v>
      </c>
      <c r="N18" s="8" t="s">
        <v>105</v>
      </c>
      <c r="O18" s="6" t="s">
        <v>105</v>
      </c>
      <c r="P18" s="6"/>
    </row>
    <row r="19" spans="1:16" ht="39">
      <c r="A19" s="4">
        <v>18</v>
      </c>
      <c r="B19" s="5" t="s">
        <v>106</v>
      </c>
      <c r="C19" s="5" t="s">
        <v>106</v>
      </c>
      <c r="D19" s="6" t="s">
        <v>105</v>
      </c>
      <c r="E19" s="6"/>
      <c r="H19" s="6">
        <v>18</v>
      </c>
      <c r="I19" s="16" t="s">
        <v>107</v>
      </c>
      <c r="J19" s="17" t="s">
        <v>107</v>
      </c>
      <c r="K19" s="18" t="s">
        <v>107</v>
      </c>
      <c r="L19" s="18" t="s">
        <v>107</v>
      </c>
      <c r="M19" s="18" t="s">
        <v>107</v>
      </c>
      <c r="N19" s="19" t="s">
        <v>107</v>
      </c>
      <c r="O19" s="18" t="s">
        <v>107</v>
      </c>
      <c r="P19" s="6" t="s">
        <v>108</v>
      </c>
    </row>
    <row r="20" spans="1:16" ht="39">
      <c r="A20" s="20">
        <v>19</v>
      </c>
      <c r="B20" s="21" t="s">
        <v>59</v>
      </c>
      <c r="C20" s="21" t="s">
        <v>60</v>
      </c>
      <c r="D20" s="10" t="s">
        <v>109</v>
      </c>
      <c r="E20" s="9" t="s">
        <v>110</v>
      </c>
      <c r="H20" s="22">
        <v>19</v>
      </c>
      <c r="I20" s="23" t="s">
        <v>111</v>
      </c>
      <c r="J20" s="23" t="s">
        <v>112</v>
      </c>
      <c r="K20" s="22" t="s">
        <v>113</v>
      </c>
      <c r="L20" s="22" t="s">
        <v>114</v>
      </c>
      <c r="M20" s="22" t="s">
        <v>115</v>
      </c>
      <c r="N20" s="24" t="s">
        <v>116</v>
      </c>
      <c r="O20" s="22" t="s">
        <v>114</v>
      </c>
      <c r="P20" s="9" t="s">
        <v>117</v>
      </c>
    </row>
    <row r="21" spans="1:16" ht="39">
      <c r="A21" s="20">
        <v>20</v>
      </c>
      <c r="B21" s="21" t="s">
        <v>54</v>
      </c>
      <c r="C21" s="21" t="s">
        <v>118</v>
      </c>
      <c r="D21" s="9" t="s">
        <v>119</v>
      </c>
      <c r="E21" s="9" t="s">
        <v>117</v>
      </c>
      <c r="H21" s="22">
        <v>20</v>
      </c>
      <c r="I21" s="23" t="s">
        <v>120</v>
      </c>
      <c r="J21" s="23" t="s">
        <v>121</v>
      </c>
      <c r="K21" s="22" t="s">
        <v>122</v>
      </c>
      <c r="L21" s="22" t="s">
        <v>123</v>
      </c>
      <c r="M21" s="22" t="s">
        <v>124</v>
      </c>
      <c r="N21" s="24" t="s">
        <v>125</v>
      </c>
      <c r="O21" s="22" t="s">
        <v>123</v>
      </c>
      <c r="P21" s="9" t="s">
        <v>126</v>
      </c>
    </row>
    <row r="22" spans="1:16" ht="39">
      <c r="A22" s="20">
        <v>21</v>
      </c>
      <c r="B22" s="21" t="s">
        <v>101</v>
      </c>
      <c r="C22" s="21" t="s">
        <v>127</v>
      </c>
      <c r="D22" s="9" t="s">
        <v>128</v>
      </c>
      <c r="E22" s="9" t="s">
        <v>126</v>
      </c>
      <c r="H22" s="22">
        <v>21</v>
      </c>
      <c r="I22" s="25" t="s">
        <v>129</v>
      </c>
      <c r="J22" s="25" t="s">
        <v>130</v>
      </c>
      <c r="K22" s="26" t="s">
        <v>131</v>
      </c>
      <c r="L22" s="26" t="s">
        <v>131</v>
      </c>
      <c r="M22" s="26" t="s">
        <v>131</v>
      </c>
      <c r="N22" s="27" t="s">
        <v>132</v>
      </c>
      <c r="O22" s="26" t="s">
        <v>131</v>
      </c>
      <c r="P22" s="28" t="s">
        <v>133</v>
      </c>
    </row>
    <row r="23" spans="1:16" ht="39">
      <c r="A23" s="29">
        <v>22</v>
      </c>
      <c r="B23" s="30" t="s">
        <v>64</v>
      </c>
      <c r="C23" s="30" t="s">
        <v>134</v>
      </c>
      <c r="D23" s="31" t="s">
        <v>135</v>
      </c>
      <c r="E23" s="31" t="s">
        <v>133</v>
      </c>
      <c r="H23" s="22">
        <v>22</v>
      </c>
      <c r="I23" s="32" t="s">
        <v>136</v>
      </c>
      <c r="J23" s="33" t="s">
        <v>98</v>
      </c>
      <c r="K23" s="34" t="s">
        <v>137</v>
      </c>
      <c r="L23" s="34" t="s">
        <v>137</v>
      </c>
      <c r="M23" s="34" t="s">
        <v>137</v>
      </c>
      <c r="N23" s="35" t="s">
        <v>138</v>
      </c>
      <c r="O23" s="34" t="s">
        <v>139</v>
      </c>
      <c r="P23" s="31" t="s">
        <v>110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3260C-355A-4638-AA95-12B60B36AC54}">
  <dimension ref="A1:P23"/>
  <sheetViews>
    <sheetView workbookViewId="0">
      <pane ySplit="1" topLeftCell="A2" activePane="bottomLeft" state="frozen"/>
      <selection pane="bottomLeft" sqref="A1:M1048576"/>
    </sheetView>
  </sheetViews>
  <sheetFormatPr defaultRowHeight="25.5"/>
  <cols>
    <col min="1" max="1" width="11" style="3" customWidth="1"/>
    <col min="2" max="2" width="9.625" style="3" customWidth="1"/>
    <col min="3" max="7" width="13.75" style="3" customWidth="1"/>
    <col min="8" max="8" width="9" style="3"/>
    <col min="9" max="10" width="13.75" style="3" customWidth="1"/>
    <col min="11" max="12" width="9" style="3"/>
    <col min="13" max="13" width="34.625" style="3" bestFit="1" customWidth="1"/>
    <col min="14" max="14" width="5.75" style="3" customWidth="1"/>
    <col min="15" max="16" width="6.5" style="3" customWidth="1"/>
    <col min="17" max="16384" width="9" style="3"/>
  </cols>
  <sheetData>
    <row r="1" spans="1:16">
      <c r="A1" s="1" t="s">
        <v>718</v>
      </c>
      <c r="B1" s="2" t="s">
        <v>144</v>
      </c>
      <c r="C1" s="2" t="s">
        <v>3</v>
      </c>
      <c r="D1" s="2" t="s">
        <v>8</v>
      </c>
      <c r="E1" s="2" t="s">
        <v>9</v>
      </c>
      <c r="F1" s="2" t="s">
        <v>11</v>
      </c>
      <c r="G1" s="2" t="s">
        <v>12</v>
      </c>
      <c r="H1" s="2" t="s">
        <v>10</v>
      </c>
      <c r="I1" s="2" t="s">
        <v>6</v>
      </c>
      <c r="J1" s="2" t="s">
        <v>7</v>
      </c>
      <c r="K1" s="2" t="s">
        <v>1</v>
      </c>
      <c r="L1" s="2" t="s">
        <v>2</v>
      </c>
      <c r="M1" s="2" t="s">
        <v>4</v>
      </c>
      <c r="N1" s="75" t="s">
        <v>719</v>
      </c>
      <c r="O1" s="75" t="s">
        <v>720</v>
      </c>
      <c r="P1" s="76" t="s">
        <v>721</v>
      </c>
    </row>
    <row r="2" spans="1:16" ht="29.25">
      <c r="A2" s="4">
        <v>1</v>
      </c>
      <c r="B2" s="6">
        <v>7</v>
      </c>
      <c r="C2" s="6" t="s">
        <v>15</v>
      </c>
      <c r="D2" s="6" t="s">
        <v>15</v>
      </c>
      <c r="E2" s="6" t="s">
        <v>15</v>
      </c>
      <c r="F2" s="8" t="s">
        <v>15</v>
      </c>
      <c r="G2" s="6" t="s">
        <v>15</v>
      </c>
      <c r="H2" s="6" t="s">
        <v>15</v>
      </c>
      <c r="I2" s="6" t="s">
        <v>53</v>
      </c>
      <c r="J2" s="6" t="s">
        <v>53</v>
      </c>
      <c r="K2" s="5" t="s">
        <v>13</v>
      </c>
      <c r="L2" s="5" t="s">
        <v>14</v>
      </c>
      <c r="M2" s="6"/>
      <c r="N2" s="77">
        <v>7</v>
      </c>
      <c r="O2" s="77" t="s">
        <v>722</v>
      </c>
      <c r="P2" s="78" t="s">
        <v>722</v>
      </c>
    </row>
    <row r="3" spans="1:16" ht="29.25">
      <c r="A3" s="4">
        <v>2</v>
      </c>
      <c r="B3" s="6">
        <v>4</v>
      </c>
      <c r="C3" s="6" t="s">
        <v>17</v>
      </c>
      <c r="D3" s="6" t="s">
        <v>17</v>
      </c>
      <c r="E3" s="6" t="s">
        <v>17</v>
      </c>
      <c r="F3" s="8" t="s">
        <v>18</v>
      </c>
      <c r="G3" s="6" t="s">
        <v>18</v>
      </c>
      <c r="H3" s="6" t="s">
        <v>17</v>
      </c>
      <c r="I3" s="6" t="s">
        <v>16</v>
      </c>
      <c r="J3" s="6" t="s">
        <v>16</v>
      </c>
      <c r="K3" s="5" t="s">
        <v>24</v>
      </c>
      <c r="L3" s="5" t="s">
        <v>25</v>
      </c>
      <c r="M3" s="6"/>
      <c r="N3" s="79">
        <v>4</v>
      </c>
      <c r="O3" s="79" t="s">
        <v>723</v>
      </c>
      <c r="P3" s="80" t="s">
        <v>723</v>
      </c>
    </row>
    <row r="4" spans="1:16" ht="29.25">
      <c r="A4" s="4">
        <v>3</v>
      </c>
      <c r="B4" s="6">
        <v>12</v>
      </c>
      <c r="C4" s="6" t="s">
        <v>31</v>
      </c>
      <c r="D4" s="6" t="s">
        <v>31</v>
      </c>
      <c r="E4" s="6" t="s">
        <v>31</v>
      </c>
      <c r="F4" s="8" t="s">
        <v>58</v>
      </c>
      <c r="G4" s="6" t="s">
        <v>58</v>
      </c>
      <c r="H4" s="6" t="s">
        <v>31</v>
      </c>
      <c r="I4" s="6" t="s">
        <v>57</v>
      </c>
      <c r="J4" s="6" t="s">
        <v>57</v>
      </c>
      <c r="K4" s="5" t="s">
        <v>29</v>
      </c>
      <c r="L4" s="5" t="s">
        <v>30</v>
      </c>
      <c r="M4" s="6"/>
      <c r="N4" s="81">
        <v>12</v>
      </c>
      <c r="O4" s="81" t="s">
        <v>724</v>
      </c>
      <c r="P4" s="82" t="s">
        <v>724</v>
      </c>
    </row>
    <row r="5" spans="1:16" ht="29.25">
      <c r="A5" s="4">
        <v>4</v>
      </c>
      <c r="B5" s="6">
        <v>13</v>
      </c>
      <c r="C5" s="6" t="s">
        <v>37</v>
      </c>
      <c r="D5" s="6" t="s">
        <v>63</v>
      </c>
      <c r="E5" s="6" t="s">
        <v>63</v>
      </c>
      <c r="F5" s="8" t="s">
        <v>31</v>
      </c>
      <c r="G5" s="6" t="s">
        <v>31</v>
      </c>
      <c r="H5" s="6" t="s">
        <v>63</v>
      </c>
      <c r="I5" s="6" t="s">
        <v>62</v>
      </c>
      <c r="J5" s="6" t="s">
        <v>62</v>
      </c>
      <c r="K5" s="5" t="s">
        <v>35</v>
      </c>
      <c r="L5" s="5" t="s">
        <v>36</v>
      </c>
      <c r="M5" s="6"/>
      <c r="N5" s="81">
        <v>13</v>
      </c>
      <c r="O5" s="81" t="s">
        <v>725</v>
      </c>
      <c r="P5" s="82" t="s">
        <v>725</v>
      </c>
    </row>
    <row r="6" spans="1:16" ht="29.25">
      <c r="A6" s="4">
        <v>5</v>
      </c>
      <c r="B6" s="6">
        <v>8</v>
      </c>
      <c r="C6" s="6" t="s">
        <v>39</v>
      </c>
      <c r="D6" s="6" t="s">
        <v>39</v>
      </c>
      <c r="E6" s="6" t="s">
        <v>39</v>
      </c>
      <c r="F6" s="8" t="s">
        <v>40</v>
      </c>
      <c r="G6" s="6" t="s">
        <v>40</v>
      </c>
      <c r="H6" s="6" t="s">
        <v>39</v>
      </c>
      <c r="I6" s="6" t="s">
        <v>38</v>
      </c>
      <c r="J6" s="6" t="s">
        <v>38</v>
      </c>
      <c r="K6" s="5" t="s">
        <v>41</v>
      </c>
      <c r="L6" s="5" t="s">
        <v>42</v>
      </c>
      <c r="M6" s="6"/>
      <c r="N6" s="83">
        <v>8</v>
      </c>
      <c r="O6" s="83" t="s">
        <v>726</v>
      </c>
      <c r="P6" s="84" t="s">
        <v>726</v>
      </c>
    </row>
    <row r="7" spans="1:16" ht="29.25">
      <c r="A7" s="4">
        <v>6</v>
      </c>
      <c r="B7" s="6">
        <v>5</v>
      </c>
      <c r="C7" s="6" t="s">
        <v>47</v>
      </c>
      <c r="D7" s="6" t="s">
        <v>23</v>
      </c>
      <c r="E7" s="6" t="s">
        <v>23</v>
      </c>
      <c r="F7" s="8" t="s">
        <v>17</v>
      </c>
      <c r="G7" s="6" t="s">
        <v>17</v>
      </c>
      <c r="H7" s="6" t="s">
        <v>23</v>
      </c>
      <c r="I7" s="6" t="s">
        <v>22</v>
      </c>
      <c r="J7" s="6" t="s">
        <v>22</v>
      </c>
      <c r="K7" s="5" t="s">
        <v>45</v>
      </c>
      <c r="L7" s="5" t="s">
        <v>46</v>
      </c>
      <c r="M7" s="6"/>
      <c r="N7" s="79">
        <v>5</v>
      </c>
      <c r="O7" s="79" t="s">
        <v>727</v>
      </c>
      <c r="P7" s="80" t="s">
        <v>727</v>
      </c>
    </row>
    <row r="8" spans="1:16" ht="29.25">
      <c r="A8" s="4">
        <v>7</v>
      </c>
      <c r="B8" s="6">
        <v>9</v>
      </c>
      <c r="C8" s="6" t="s">
        <v>52</v>
      </c>
      <c r="D8" s="6" t="s">
        <v>44</v>
      </c>
      <c r="E8" s="6" t="s">
        <v>44</v>
      </c>
      <c r="F8" s="8" t="s">
        <v>39</v>
      </c>
      <c r="G8" s="6" t="s">
        <v>39</v>
      </c>
      <c r="H8" s="6" t="s">
        <v>44</v>
      </c>
      <c r="I8" s="6" t="s">
        <v>43</v>
      </c>
      <c r="J8" s="6" t="s">
        <v>43</v>
      </c>
      <c r="K8" s="5" t="s">
        <v>50</v>
      </c>
      <c r="L8" s="5" t="s">
        <v>51</v>
      </c>
      <c r="M8" s="6"/>
      <c r="N8" s="81">
        <v>9</v>
      </c>
      <c r="O8" s="81" t="s">
        <v>728</v>
      </c>
      <c r="P8" s="82" t="s">
        <v>728</v>
      </c>
    </row>
    <row r="9" spans="1:16" ht="29.25">
      <c r="A9" s="4">
        <v>8</v>
      </c>
      <c r="B9" s="6">
        <v>15</v>
      </c>
      <c r="C9" s="6" t="s">
        <v>56</v>
      </c>
      <c r="D9" s="6" t="s">
        <v>79</v>
      </c>
      <c r="E9" s="6" t="s">
        <v>80</v>
      </c>
      <c r="F9" s="8" t="s">
        <v>80</v>
      </c>
      <c r="G9" s="6" t="s">
        <v>80</v>
      </c>
      <c r="H9" s="6" t="s">
        <v>81</v>
      </c>
      <c r="I9" s="6" t="s">
        <v>78</v>
      </c>
      <c r="J9" s="6" t="s">
        <v>78</v>
      </c>
      <c r="K9" s="5" t="s">
        <v>54</v>
      </c>
      <c r="L9" s="5" t="s">
        <v>55</v>
      </c>
      <c r="M9" s="6"/>
      <c r="N9" s="81">
        <v>15</v>
      </c>
      <c r="O9" s="81" t="s">
        <v>729</v>
      </c>
      <c r="P9" s="82" t="s">
        <v>729</v>
      </c>
    </row>
    <row r="10" spans="1:16" ht="29.25">
      <c r="A10" s="4">
        <v>9</v>
      </c>
      <c r="B10" s="6">
        <v>14</v>
      </c>
      <c r="C10" s="6" t="s">
        <v>61</v>
      </c>
      <c r="D10" s="6" t="s">
        <v>99</v>
      </c>
      <c r="E10" s="6" t="s">
        <v>99</v>
      </c>
      <c r="F10" s="8" t="s">
        <v>100</v>
      </c>
      <c r="G10" s="6" t="s">
        <v>100</v>
      </c>
      <c r="H10" s="6" t="s">
        <v>99</v>
      </c>
      <c r="I10" s="6" t="s">
        <v>97</v>
      </c>
      <c r="J10" s="6" t="s">
        <v>98</v>
      </c>
      <c r="K10" s="12" t="s">
        <v>59</v>
      </c>
      <c r="L10" s="13" t="s">
        <v>60</v>
      </c>
      <c r="M10" s="6"/>
      <c r="N10" s="83">
        <v>14</v>
      </c>
      <c r="O10" s="83" t="s">
        <v>730</v>
      </c>
      <c r="P10" s="84" t="s">
        <v>730</v>
      </c>
    </row>
    <row r="11" spans="1:16" ht="29.25">
      <c r="A11" s="4">
        <v>10</v>
      </c>
      <c r="B11" s="6">
        <v>17</v>
      </c>
      <c r="C11" s="6" t="s">
        <v>66</v>
      </c>
      <c r="D11" s="6" t="s">
        <v>66</v>
      </c>
      <c r="E11" s="6" t="s">
        <v>66</v>
      </c>
      <c r="F11" s="8" t="s">
        <v>66</v>
      </c>
      <c r="G11" s="6" t="s">
        <v>66</v>
      </c>
      <c r="H11" s="6" t="s">
        <v>66</v>
      </c>
      <c r="I11" s="6" t="s">
        <v>92</v>
      </c>
      <c r="J11" s="6" t="s">
        <v>93</v>
      </c>
      <c r="K11" s="12" t="s">
        <v>64</v>
      </c>
      <c r="L11" s="5" t="s">
        <v>65</v>
      </c>
      <c r="M11" s="6"/>
      <c r="N11" s="79">
        <v>17</v>
      </c>
      <c r="O11" s="79" t="s">
        <v>731</v>
      </c>
      <c r="P11" s="80" t="s">
        <v>731</v>
      </c>
    </row>
    <row r="12" spans="1:16" ht="29.25">
      <c r="A12" s="4">
        <v>11</v>
      </c>
      <c r="B12" s="6">
        <v>1</v>
      </c>
      <c r="C12" s="6"/>
      <c r="D12" s="6"/>
      <c r="E12" s="6"/>
      <c r="F12" s="8"/>
      <c r="G12" s="6"/>
      <c r="H12" s="6"/>
      <c r="I12" s="6"/>
      <c r="J12" s="6"/>
      <c r="K12" s="14" t="s">
        <v>71</v>
      </c>
      <c r="L12" s="5" t="s">
        <v>72</v>
      </c>
      <c r="M12" s="6" t="s">
        <v>73</v>
      </c>
      <c r="N12" s="81">
        <v>1</v>
      </c>
      <c r="O12" s="81" t="s">
        <v>107</v>
      </c>
      <c r="P12" s="82" t="s">
        <v>107</v>
      </c>
    </row>
    <row r="13" spans="1:16" ht="29.25">
      <c r="A13" s="4">
        <v>12</v>
      </c>
      <c r="B13" s="6">
        <v>3</v>
      </c>
      <c r="C13" s="6" t="s">
        <v>18</v>
      </c>
      <c r="D13" s="6" t="s">
        <v>18</v>
      </c>
      <c r="E13" s="6" t="s">
        <v>18</v>
      </c>
      <c r="F13" s="8" t="s">
        <v>34</v>
      </c>
      <c r="G13" s="6" t="s">
        <v>34</v>
      </c>
      <c r="H13" s="6" t="s">
        <v>18</v>
      </c>
      <c r="I13" s="6" t="s">
        <v>32</v>
      </c>
      <c r="J13" s="6" t="s">
        <v>33</v>
      </c>
      <c r="K13" s="15" t="s">
        <v>76</v>
      </c>
      <c r="L13" s="5" t="s">
        <v>77</v>
      </c>
      <c r="M13" s="6"/>
      <c r="N13" s="81">
        <v>3</v>
      </c>
      <c r="O13" s="81" t="s">
        <v>732</v>
      </c>
      <c r="P13" s="82" t="s">
        <v>732</v>
      </c>
    </row>
    <row r="14" spans="1:16" ht="29.25">
      <c r="A14" s="4">
        <v>13</v>
      </c>
      <c r="B14" s="6">
        <v>11</v>
      </c>
      <c r="C14" s="6" t="s">
        <v>91</v>
      </c>
      <c r="D14" s="6" t="s">
        <v>58</v>
      </c>
      <c r="E14" s="6" t="s">
        <v>58</v>
      </c>
      <c r="F14" s="8" t="s">
        <v>75</v>
      </c>
      <c r="G14" s="6" t="s">
        <v>75</v>
      </c>
      <c r="H14" s="6" t="s">
        <v>58</v>
      </c>
      <c r="I14" s="6" t="s">
        <v>74</v>
      </c>
      <c r="J14" s="6" t="s">
        <v>67</v>
      </c>
      <c r="K14" s="5" t="s">
        <v>89</v>
      </c>
      <c r="L14" s="5" t="s">
        <v>90</v>
      </c>
      <c r="M14" s="6"/>
      <c r="N14" s="83">
        <v>11</v>
      </c>
      <c r="O14" s="83" t="s">
        <v>733</v>
      </c>
      <c r="P14" s="84" t="s">
        <v>733</v>
      </c>
    </row>
    <row r="15" spans="1:16" ht="29.25">
      <c r="A15" s="4">
        <v>14</v>
      </c>
      <c r="B15" s="6">
        <v>16</v>
      </c>
      <c r="C15" s="6" t="s">
        <v>103</v>
      </c>
      <c r="D15" s="6" t="s">
        <v>86</v>
      </c>
      <c r="E15" s="6" t="s">
        <v>87</v>
      </c>
      <c r="F15" s="8" t="s">
        <v>87</v>
      </c>
      <c r="G15" s="6" t="s">
        <v>87</v>
      </c>
      <c r="H15" s="6" t="s">
        <v>88</v>
      </c>
      <c r="I15" s="6" t="s">
        <v>84</v>
      </c>
      <c r="J15" s="6" t="s">
        <v>85</v>
      </c>
      <c r="K15" s="5" t="s">
        <v>101</v>
      </c>
      <c r="L15" s="5" t="s">
        <v>102</v>
      </c>
      <c r="M15" s="6"/>
      <c r="N15" s="79">
        <v>16</v>
      </c>
      <c r="O15" s="79" t="s">
        <v>734</v>
      </c>
      <c r="P15" s="80" t="s">
        <v>734</v>
      </c>
    </row>
    <row r="16" spans="1:16" ht="29.25">
      <c r="A16" s="4">
        <v>15</v>
      </c>
      <c r="B16" s="6">
        <v>22</v>
      </c>
      <c r="C16" s="6" t="s">
        <v>105</v>
      </c>
      <c r="D16" s="6" t="s">
        <v>105</v>
      </c>
      <c r="E16" s="6" t="s">
        <v>105</v>
      </c>
      <c r="F16" s="8" t="s">
        <v>105</v>
      </c>
      <c r="G16" s="6" t="s">
        <v>105</v>
      </c>
      <c r="H16" s="6" t="s">
        <v>105</v>
      </c>
      <c r="I16" s="6" t="s">
        <v>104</v>
      </c>
      <c r="J16" s="6" t="s">
        <v>104</v>
      </c>
      <c r="K16" s="5" t="s">
        <v>106</v>
      </c>
      <c r="L16" s="5" t="s">
        <v>106</v>
      </c>
      <c r="M16" s="6"/>
      <c r="N16" s="81">
        <v>22</v>
      </c>
      <c r="O16" s="81" t="s">
        <v>735</v>
      </c>
      <c r="P16" s="82" t="s">
        <v>735</v>
      </c>
    </row>
    <row r="17" spans="1:16" ht="29.25">
      <c r="A17" s="4">
        <v>16</v>
      </c>
      <c r="B17" s="6">
        <v>2</v>
      </c>
      <c r="C17" s="6" t="s">
        <v>27</v>
      </c>
      <c r="D17" s="6" t="s">
        <v>27</v>
      </c>
      <c r="E17" s="6" t="s">
        <v>27</v>
      </c>
      <c r="F17" s="8" t="s">
        <v>27</v>
      </c>
      <c r="G17" s="6" t="s">
        <v>28</v>
      </c>
      <c r="H17" s="6" t="s">
        <v>27</v>
      </c>
      <c r="I17" s="6" t="s">
        <v>26</v>
      </c>
      <c r="J17" s="6" t="s">
        <v>26</v>
      </c>
      <c r="K17" s="5" t="s">
        <v>82</v>
      </c>
      <c r="L17" s="5" t="s">
        <v>82</v>
      </c>
      <c r="M17" s="10" t="s">
        <v>83</v>
      </c>
      <c r="N17" s="81">
        <v>2</v>
      </c>
      <c r="O17" s="81" t="s">
        <v>219</v>
      </c>
      <c r="P17" s="82" t="s">
        <v>736</v>
      </c>
    </row>
    <row r="18" spans="1:16" ht="29.25">
      <c r="A18" s="4">
        <v>17</v>
      </c>
      <c r="B18" s="6">
        <v>6</v>
      </c>
      <c r="C18" s="6" t="s">
        <v>20</v>
      </c>
      <c r="D18" s="6" t="s">
        <v>20</v>
      </c>
      <c r="E18" s="6" t="s">
        <v>20</v>
      </c>
      <c r="F18" s="8" t="s">
        <v>20</v>
      </c>
      <c r="G18" s="6" t="s">
        <v>49</v>
      </c>
      <c r="H18" s="6" t="s">
        <v>20</v>
      </c>
      <c r="I18" s="6" t="s">
        <v>48</v>
      </c>
      <c r="J18" s="6" t="s">
        <v>48</v>
      </c>
      <c r="K18" s="5" t="s">
        <v>19</v>
      </c>
      <c r="L18" s="5" t="s">
        <v>19</v>
      </c>
      <c r="M18" s="9" t="s">
        <v>21</v>
      </c>
      <c r="N18" s="83">
        <v>6</v>
      </c>
      <c r="O18" s="83" t="s">
        <v>225</v>
      </c>
      <c r="P18" s="84" t="s">
        <v>737</v>
      </c>
    </row>
    <row r="19" spans="1:16" ht="29.25">
      <c r="A19" s="4">
        <v>18</v>
      </c>
      <c r="B19" s="6">
        <v>10</v>
      </c>
      <c r="C19" s="6" t="s">
        <v>95</v>
      </c>
      <c r="D19" s="6" t="s">
        <v>69</v>
      </c>
      <c r="E19" s="6" t="s">
        <v>69</v>
      </c>
      <c r="F19" s="8" t="s">
        <v>69</v>
      </c>
      <c r="G19" s="6" t="s">
        <v>70</v>
      </c>
      <c r="H19" s="6" t="s">
        <v>69</v>
      </c>
      <c r="I19" s="6" t="s">
        <v>67</v>
      </c>
      <c r="J19" s="6" t="s">
        <v>68</v>
      </c>
      <c r="K19" s="5" t="s">
        <v>94</v>
      </c>
      <c r="L19" s="5" t="s">
        <v>94</v>
      </c>
      <c r="M19" s="9" t="s">
        <v>96</v>
      </c>
      <c r="N19" s="79">
        <v>10</v>
      </c>
      <c r="O19" s="79" t="s">
        <v>738</v>
      </c>
      <c r="P19" s="80" t="s">
        <v>739</v>
      </c>
    </row>
    <row r="20" spans="1:16" ht="29.25">
      <c r="A20" s="20">
        <v>19</v>
      </c>
      <c r="B20" s="22">
        <v>18</v>
      </c>
      <c r="C20" s="10" t="s">
        <v>109</v>
      </c>
      <c r="D20" s="22" t="s">
        <v>137</v>
      </c>
      <c r="E20" s="22" t="s">
        <v>137</v>
      </c>
      <c r="F20" s="24" t="s">
        <v>138</v>
      </c>
      <c r="G20" s="22" t="s">
        <v>139</v>
      </c>
      <c r="H20" s="22" t="s">
        <v>137</v>
      </c>
      <c r="I20" s="10" t="s">
        <v>136</v>
      </c>
      <c r="J20" s="10" t="s">
        <v>98</v>
      </c>
      <c r="K20" s="21" t="s">
        <v>59</v>
      </c>
      <c r="L20" s="21" t="s">
        <v>60</v>
      </c>
      <c r="M20" s="9" t="s">
        <v>110</v>
      </c>
      <c r="N20" s="81">
        <v>18</v>
      </c>
      <c r="O20" s="81" t="s">
        <v>740</v>
      </c>
      <c r="P20" s="82" t="s">
        <v>741</v>
      </c>
    </row>
    <row r="21" spans="1:16" ht="29.25">
      <c r="A21" s="20">
        <v>20</v>
      </c>
      <c r="B21" s="22">
        <v>19</v>
      </c>
      <c r="C21" s="9" t="s">
        <v>119</v>
      </c>
      <c r="D21" s="22" t="s">
        <v>113</v>
      </c>
      <c r="E21" s="22" t="s">
        <v>114</v>
      </c>
      <c r="F21" s="24" t="s">
        <v>116</v>
      </c>
      <c r="G21" s="22" t="s">
        <v>114</v>
      </c>
      <c r="H21" s="22" t="s">
        <v>115</v>
      </c>
      <c r="I21" s="9" t="s">
        <v>111</v>
      </c>
      <c r="J21" s="9" t="s">
        <v>112</v>
      </c>
      <c r="K21" s="21" t="s">
        <v>54</v>
      </c>
      <c r="L21" s="21" t="s">
        <v>118</v>
      </c>
      <c r="M21" s="9" t="s">
        <v>117</v>
      </c>
      <c r="N21" s="81">
        <v>19</v>
      </c>
      <c r="O21" s="81" t="s">
        <v>742</v>
      </c>
      <c r="P21" s="82" t="s">
        <v>743</v>
      </c>
    </row>
    <row r="22" spans="1:16" ht="29.25">
      <c r="A22" s="20">
        <v>21</v>
      </c>
      <c r="B22" s="22">
        <v>20</v>
      </c>
      <c r="C22" s="9" t="s">
        <v>128</v>
      </c>
      <c r="D22" s="22" t="s">
        <v>122</v>
      </c>
      <c r="E22" s="22" t="s">
        <v>123</v>
      </c>
      <c r="F22" s="24" t="s">
        <v>125</v>
      </c>
      <c r="G22" s="22" t="s">
        <v>123</v>
      </c>
      <c r="H22" s="22" t="s">
        <v>124</v>
      </c>
      <c r="I22" s="9" t="s">
        <v>120</v>
      </c>
      <c r="J22" s="9" t="s">
        <v>121</v>
      </c>
      <c r="K22" s="21" t="s">
        <v>101</v>
      </c>
      <c r="L22" s="21" t="s">
        <v>127</v>
      </c>
      <c r="M22" s="9" t="s">
        <v>126</v>
      </c>
      <c r="N22" s="83">
        <v>20</v>
      </c>
      <c r="O22" s="83" t="s">
        <v>744</v>
      </c>
      <c r="P22" s="84" t="s">
        <v>745</v>
      </c>
    </row>
    <row r="23" spans="1:16" ht="29.25">
      <c r="A23" s="85">
        <v>22</v>
      </c>
      <c r="B23" s="26">
        <v>21</v>
      </c>
      <c r="C23" s="28" t="s">
        <v>135</v>
      </c>
      <c r="D23" s="26" t="s">
        <v>131</v>
      </c>
      <c r="E23" s="26" t="s">
        <v>131</v>
      </c>
      <c r="F23" s="27" t="s">
        <v>132</v>
      </c>
      <c r="G23" s="26" t="s">
        <v>131</v>
      </c>
      <c r="H23" s="26" t="s">
        <v>131</v>
      </c>
      <c r="I23" s="28" t="s">
        <v>129</v>
      </c>
      <c r="J23" s="28" t="s">
        <v>130</v>
      </c>
      <c r="K23" s="86" t="s">
        <v>64</v>
      </c>
      <c r="L23" s="86" t="s">
        <v>134</v>
      </c>
      <c r="M23" s="28" t="s">
        <v>133</v>
      </c>
      <c r="N23" s="81">
        <v>21</v>
      </c>
      <c r="O23" s="81" t="s">
        <v>746</v>
      </c>
      <c r="P23" s="82" t="s">
        <v>747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4DFA6-2424-4CA4-8E06-F447B754F1DC}">
  <dimension ref="A2:AX101"/>
  <sheetViews>
    <sheetView showGridLines="0" workbookViewId="0">
      <pane ySplit="3" topLeftCell="A85" activePane="bottomLeft" state="frozen"/>
      <selection pane="bottomLeft" activeCell="E94" sqref="E94"/>
    </sheetView>
  </sheetViews>
  <sheetFormatPr defaultRowHeight="26.25" outlineLevelCol="1"/>
  <cols>
    <col min="1" max="1" width="8.75" style="36" customWidth="1"/>
    <col min="2" max="4" width="15.375" style="36" customWidth="1"/>
    <col min="5" max="5" width="20.75" style="36" customWidth="1" outlineLevel="1"/>
    <col min="6" max="7" width="15.375" style="36" customWidth="1" outlineLevel="1"/>
    <col min="8" max="11" width="15.375" style="36" customWidth="1"/>
    <col min="12" max="12" width="15.375" style="36" customWidth="1" outlineLevel="1"/>
    <col min="13" max="13" width="15.375" style="36" customWidth="1"/>
    <col min="14" max="14" width="8.75" style="36" customWidth="1"/>
    <col min="15" max="15" width="7.375" style="36" customWidth="1"/>
    <col min="16" max="17" width="15.125" style="36" customWidth="1"/>
    <col min="18" max="18" width="2.875" style="36" customWidth="1"/>
    <col min="19" max="19" width="13.75" style="37" bestFit="1" customWidth="1"/>
    <col min="20" max="20" width="9" style="38" customWidth="1" outlineLevel="1"/>
    <col min="21" max="21" width="9.25" style="38" customWidth="1" outlineLevel="1"/>
    <col min="22" max="22" width="16.75" style="37" customWidth="1"/>
    <col min="23" max="23" width="4.5" style="36" customWidth="1"/>
    <col min="24" max="24" width="51.75" style="39" customWidth="1"/>
    <col min="25" max="25" width="9" style="36"/>
    <col min="26" max="37" width="7.5" style="40" customWidth="1"/>
    <col min="38" max="43" width="19.375" style="41" bestFit="1" customWidth="1"/>
    <col min="44" max="46" width="19.875" style="41" customWidth="1"/>
    <col min="47" max="47" width="19.875" style="36" customWidth="1"/>
    <col min="48" max="16384" width="9" style="36"/>
  </cols>
  <sheetData>
    <row r="2" spans="1:50" ht="27" thickBot="1"/>
    <row r="3" spans="1:50" ht="54.75" thickBot="1">
      <c r="A3" s="42" t="s">
        <v>144</v>
      </c>
      <c r="B3" s="43" t="s">
        <v>145</v>
      </c>
      <c r="C3" s="43" t="s">
        <v>146</v>
      </c>
      <c r="D3" s="44" t="s">
        <v>147</v>
      </c>
      <c r="E3" s="44" t="s">
        <v>148</v>
      </c>
      <c r="F3" s="44" t="s">
        <v>149</v>
      </c>
      <c r="G3" s="44" t="s">
        <v>150</v>
      </c>
      <c r="H3" s="44" t="s">
        <v>151</v>
      </c>
      <c r="I3" s="44" t="s">
        <v>152</v>
      </c>
      <c r="J3" s="44" t="s">
        <v>153</v>
      </c>
      <c r="K3" s="44" t="s">
        <v>154</v>
      </c>
      <c r="L3" s="44" t="s">
        <v>155</v>
      </c>
      <c r="M3" s="44" t="s">
        <v>156</v>
      </c>
      <c r="N3" s="44" t="s">
        <v>157</v>
      </c>
      <c r="O3" s="45"/>
      <c r="P3" s="44" t="s">
        <v>146</v>
      </c>
      <c r="Q3" s="44" t="s">
        <v>147</v>
      </c>
      <c r="S3" s="44" t="s">
        <v>146</v>
      </c>
      <c r="T3" s="46" t="s">
        <v>158</v>
      </c>
      <c r="U3" s="47" t="s">
        <v>159</v>
      </c>
      <c r="V3" s="44" t="s">
        <v>147</v>
      </c>
      <c r="X3" s="46"/>
      <c r="Z3" s="48"/>
      <c r="AB3" s="49" t="s">
        <v>160</v>
      </c>
      <c r="AC3" s="49" t="s">
        <v>161</v>
      </c>
      <c r="AD3" s="49"/>
      <c r="AE3" s="49" t="s">
        <v>162</v>
      </c>
      <c r="AF3" s="49" t="s">
        <v>163</v>
      </c>
      <c r="AG3" s="49" t="s">
        <v>164</v>
      </c>
      <c r="AH3" s="49" t="s">
        <v>165</v>
      </c>
      <c r="AI3" s="49" t="s">
        <v>166</v>
      </c>
      <c r="AJ3" s="49" t="s">
        <v>167</v>
      </c>
      <c r="AK3" s="50"/>
    </row>
    <row r="4" spans="1:50" ht="27.75" thickBot="1">
      <c r="A4" s="51">
        <f xml:space="preserve"> ROW() - 3</f>
        <v>1</v>
      </c>
      <c r="B4" s="52" t="s">
        <v>168</v>
      </c>
      <c r="C4" s="53" t="s">
        <v>169</v>
      </c>
      <c r="D4" s="54" t="s">
        <v>169</v>
      </c>
      <c r="E4" s="54" t="s">
        <v>169</v>
      </c>
      <c r="F4" s="54" t="s">
        <v>169</v>
      </c>
      <c r="G4" s="55" t="s">
        <v>169</v>
      </c>
      <c r="H4" s="54" t="s">
        <v>170</v>
      </c>
      <c r="I4" s="54" t="s">
        <v>170</v>
      </c>
      <c r="J4" s="56" t="str">
        <f xml:space="preserve"> LEFT(韻母對照表3[[#This Row],[十五音識別碼]],1)</f>
        <v>膠</v>
      </c>
      <c r="K4" s="57" t="s">
        <v>171</v>
      </c>
      <c r="L4" s="56" t="s">
        <v>172</v>
      </c>
      <c r="N4" s="56">
        <f t="shared" ref="N4:N52" si="0" xml:space="preserve"> LEN(D4)</f>
        <v>1</v>
      </c>
      <c r="O4" s="58"/>
      <c r="P4" s="54" t="str">
        <f t="shared" ref="P4:Q18" si="1">C4</f>
        <v>a</v>
      </c>
      <c r="Q4" s="54" t="str">
        <f t="shared" si="1"/>
        <v>a</v>
      </c>
      <c r="S4" s="37" t="str">
        <f t="shared" ref="S4:S67" si="2" xml:space="preserve"> _xlfn.CONCAT(P4, "(\d)")</f>
        <v>a(\d)</v>
      </c>
      <c r="T4" s="38" t="s">
        <v>168</v>
      </c>
      <c r="U4" s="38">
        <f t="shared" ref="U4:U67" si="3" xml:space="preserve"> IFERROR( IF(T4="", "", SEARCH(T4, $P4)), "")</f>
        <v>1</v>
      </c>
      <c r="V4" s="37" t="str">
        <f t="shared" ref="V4:V67" si="4" xml:space="preserve"> IFERROR( _xlfn.CONCAT(LEFT(P4,U4-1), "》", MID(P4,U4,1), "${1}", RIGHT(P4, LEN(P4)-U4)), "" )</f>
        <v>》a${1}</v>
      </c>
      <c r="W4" s="57"/>
      <c r="X4" s="59" t="str">
        <f t="shared" ref="X4:X67" si="5" xml:space="preserve"> IF(AND(Q4&lt;&gt;"", P4&lt;&gt;""), "    - xform/》" &amp; S4 &amp;  "/"  &amp; V4 &amp;  "/", "")</f>
        <v xml:space="preserve">    - xform/》a(\d)/》a${1}/</v>
      </c>
      <c r="Z4" s="40" t="s">
        <v>168</v>
      </c>
      <c r="AA4" s="60" t="str">
        <f xml:space="preserve"> _xlfn.CONCAT($Z4, IF(AA$3="", "", _xlfn.UNICHAR( HEX2DEC( RIGHT(AA$3,4)))))</f>
        <v>a</v>
      </c>
      <c r="AB4" s="60" t="str">
        <f t="shared" ref="AB4:AJ5" si="6" xml:space="preserve"> _xlfn.CONCAT($Z4, IF(AB$3="", "", _xlfn.UNICHAR( HEX2DEC( RIGHT(AB$3,4)))))</f>
        <v>á</v>
      </c>
      <c r="AC4" s="60" t="str">
        <f t="shared" si="6"/>
        <v>à</v>
      </c>
      <c r="AD4" s="60" t="str">
        <f t="shared" si="6"/>
        <v>a</v>
      </c>
      <c r="AE4" s="60" t="str">
        <f t="shared" si="6"/>
        <v>ǎ</v>
      </c>
      <c r="AF4" s="60" t="str">
        <f t="shared" si="6"/>
        <v>á</v>
      </c>
      <c r="AG4" s="60" t="str">
        <f t="shared" si="6"/>
        <v>ā</v>
      </c>
      <c r="AH4" s="60" t="str">
        <f t="shared" si="6"/>
        <v>a̍</v>
      </c>
      <c r="AI4" s="60" t="str">
        <f t="shared" si="6"/>
        <v>a̋</v>
      </c>
      <c r="AJ4" s="60" t="str">
        <f t="shared" si="6"/>
        <v>å</v>
      </c>
      <c r="AL4" s="61" t="str">
        <f xml:space="preserve"> _xlfn.CONCAT("    - xform/》", $Z4, [1]【調】韻母標調!AJ$1, "/", AA4, "/")</f>
        <v xml:space="preserve">    - xform/》a1/a/</v>
      </c>
      <c r="AM4" s="61" t="str">
        <f xml:space="preserve"> _xlfn.CONCAT("    - xform/》", $Z4, [1]【調】韻母標調!AK$1, "/", AB4, "/")</f>
        <v xml:space="preserve">    - xform/》a2/á/</v>
      </c>
      <c r="AN4" s="61" t="str">
        <f xml:space="preserve"> _xlfn.CONCAT("    - xform/》", $Z4, [1]【調】韻母標調!AL$1, "/", AC4, "/")</f>
        <v xml:space="preserve">    - xform/》a3/à/</v>
      </c>
      <c r="AO4" s="61" t="str">
        <f xml:space="preserve"> _xlfn.CONCAT("    - xform/》", $Z4, [1]【調】韻母標調!AM$1, "/", AD4, "/")</f>
        <v xml:space="preserve">    - xform/》a4/a/</v>
      </c>
      <c r="AP4" s="61" t="str">
        <f xml:space="preserve"> _xlfn.CONCAT("    - xform/》", $Z4, [1]【調】韻母標調!AN$1, "/", AE4, "/")</f>
        <v xml:space="preserve">    - xform/》a5/ǎ/</v>
      </c>
      <c r="AQ4" s="61" t="str">
        <f xml:space="preserve"> _xlfn.CONCAT("    - xform/》", $Z4, [1]【調】韻母標調!AO$1, "/", AF4, "/")</f>
        <v xml:space="preserve">    - xform/》a6/á/</v>
      </c>
      <c r="AR4" s="61" t="str">
        <f xml:space="preserve"> _xlfn.CONCAT("    - xform/》", $Z4, [1]【調】韻母標調!AP$1, "/", AG4, "/")</f>
        <v xml:space="preserve">    - xform/》a7/ā/</v>
      </c>
      <c r="AS4" s="61" t="str">
        <f xml:space="preserve"> _xlfn.CONCAT("    - xform/》", $Z4, [1]【調】韻母標調!AQ$1, "/", AH4, "/")</f>
        <v xml:space="preserve">    - xform/》a8/a̍/</v>
      </c>
      <c r="AT4" s="61" t="str">
        <f xml:space="preserve"> _xlfn.CONCAT("    - xform/》", $Z4, [1]【調】韻母標調!AR$1, "/", AI4, "/")</f>
        <v xml:space="preserve">    - xform/》a9/a̋/</v>
      </c>
      <c r="AU4" s="61" t="str">
        <f xml:space="preserve"> _xlfn.CONCAT("    - xform/》", $Z4, [1]【調】韻母標調!AS$1, "/", AJ4, "/")</f>
        <v xml:space="preserve">    - xform/》a9/å/</v>
      </c>
      <c r="AV4" s="60"/>
      <c r="AW4" s="60"/>
      <c r="AX4" s="40"/>
    </row>
    <row r="5" spans="1:50" ht="27.75" thickBot="1">
      <c r="A5" s="51">
        <f t="shared" ref="A5:A89" si="7" xml:space="preserve"> ROW() - 3</f>
        <v>2</v>
      </c>
      <c r="B5" s="52" t="s">
        <v>173</v>
      </c>
      <c r="C5" s="53" t="s">
        <v>174</v>
      </c>
      <c r="D5" s="54" t="s">
        <v>174</v>
      </c>
      <c r="E5" s="54" t="s">
        <v>174</v>
      </c>
      <c r="F5" s="54" t="s">
        <v>174</v>
      </c>
      <c r="G5" s="55" t="s">
        <v>174</v>
      </c>
      <c r="H5" s="54" t="s">
        <v>175</v>
      </c>
      <c r="I5" s="54" t="s">
        <v>176</v>
      </c>
      <c r="J5" s="56" t="str">
        <f xml:space="preserve"> LEFT(韻母對照表3[[#This Row],[十五音識別碼]],1)</f>
        <v>膠</v>
      </c>
      <c r="K5" s="56" t="s">
        <v>177</v>
      </c>
      <c r="L5" s="56" t="s">
        <v>178</v>
      </c>
      <c r="M5" s="54"/>
      <c r="N5" s="56">
        <f t="shared" si="0"/>
        <v>2</v>
      </c>
      <c r="O5" s="58"/>
      <c r="P5" s="54" t="str">
        <f t="shared" si="1"/>
        <v>ah</v>
      </c>
      <c r="Q5" s="54" t="str">
        <f t="shared" si="1"/>
        <v>ah</v>
      </c>
      <c r="S5" s="37" t="str">
        <f t="shared" si="2"/>
        <v>ah(\d)</v>
      </c>
      <c r="T5" s="38" t="s">
        <v>168</v>
      </c>
      <c r="U5" s="38">
        <f t="shared" si="3"/>
        <v>1</v>
      </c>
      <c r="V5" s="37" t="str">
        <f t="shared" si="4"/>
        <v>》a${1}h</v>
      </c>
      <c r="W5" s="57"/>
      <c r="X5" s="59" t="str">
        <f t="shared" si="5"/>
        <v xml:space="preserve">    - xform/》ah(\d)/》a${1}h/</v>
      </c>
      <c r="Z5" s="40" t="s">
        <v>179</v>
      </c>
      <c r="AA5" s="60" t="str">
        <f xml:space="preserve"> _xlfn.CONCAT($Z5, IF(AA$3="", "", _xlfn.UNICHAR( HEX2DEC( RIGHT(AA$3,4)))))</f>
        <v>u</v>
      </c>
      <c r="AB5" s="60" t="str">
        <f t="shared" si="6"/>
        <v>ú</v>
      </c>
      <c r="AC5" s="60" t="str">
        <f t="shared" si="6"/>
        <v>ù</v>
      </c>
      <c r="AD5" s="60" t="str">
        <f t="shared" si="6"/>
        <v>u</v>
      </c>
      <c r="AE5" s="60" t="str">
        <f t="shared" si="6"/>
        <v>ǔ</v>
      </c>
      <c r="AF5" s="60" t="str">
        <f t="shared" si="6"/>
        <v>ú</v>
      </c>
      <c r="AG5" s="60" t="str">
        <f t="shared" si="6"/>
        <v>ū</v>
      </c>
      <c r="AH5" s="60" t="str">
        <f t="shared" si="6"/>
        <v>u̍</v>
      </c>
      <c r="AI5" s="60" t="str">
        <f t="shared" si="6"/>
        <v>ű</v>
      </c>
      <c r="AJ5" s="60" t="str">
        <f t="shared" si="6"/>
        <v>ů</v>
      </c>
      <c r="AL5" s="61" t="str">
        <f xml:space="preserve"> _xlfn.CONCAT("    - xform/》", $Z5, [1]【調】韻母標調!AJ$1, "/", AA5, "/")</f>
        <v xml:space="preserve">    - xform/》u1/u/</v>
      </c>
      <c r="AM5" s="61" t="str">
        <f xml:space="preserve"> _xlfn.CONCAT("    - xform/》", $Z5, [1]【調】韻母標調!AK$1, "/", AB5, "/")</f>
        <v xml:space="preserve">    - xform/》u2/ú/</v>
      </c>
      <c r="AN5" s="61" t="str">
        <f xml:space="preserve"> _xlfn.CONCAT("    - xform/》", $Z5, [1]【調】韻母標調!AL$1, "/", AC5, "/")</f>
        <v xml:space="preserve">    - xform/》u3/ù/</v>
      </c>
      <c r="AO5" s="61" t="str">
        <f xml:space="preserve"> _xlfn.CONCAT("    - xform/》", $Z5, [1]【調】韻母標調!AM$1, "/", AD5, "/")</f>
        <v xml:space="preserve">    - xform/》u4/u/</v>
      </c>
      <c r="AP5" s="61" t="str">
        <f xml:space="preserve"> _xlfn.CONCAT("    - xform/》", $Z5, [1]【調】韻母標調!AN$1, "/", AE5, "/")</f>
        <v xml:space="preserve">    - xform/》u5/ǔ/</v>
      </c>
      <c r="AQ5" s="61" t="str">
        <f xml:space="preserve"> _xlfn.CONCAT("    - xform/》", $Z5, [1]【調】韻母標調!AO$1, "/", AF5, "/")</f>
        <v xml:space="preserve">    - xform/》u6/ú/</v>
      </c>
      <c r="AR5" s="61" t="str">
        <f xml:space="preserve"> _xlfn.CONCAT("    - xform/》", $Z5, [1]【調】韻母標調!AP$1, "/", AG5, "/")</f>
        <v xml:space="preserve">    - xform/》u7/ū/</v>
      </c>
      <c r="AS5" s="61" t="str">
        <f xml:space="preserve"> _xlfn.CONCAT("    - xform/》", $Z5, [1]【調】韻母標調!AQ$1, "/", AH5, "/")</f>
        <v xml:space="preserve">    - xform/》u8/u̍/</v>
      </c>
      <c r="AT5" s="61" t="str">
        <f xml:space="preserve"> _xlfn.CONCAT("    - xform/》", $Z5, [1]【調】韻母標調!AR$1, "/", AI5, "/")</f>
        <v xml:space="preserve">    - xform/》u9/ű/</v>
      </c>
      <c r="AU5" s="61" t="str">
        <f xml:space="preserve"> _xlfn.CONCAT("    - xform/》", $Z5, [1]【調】韻母標調!AS$1, "/", AJ5, "/")</f>
        <v xml:space="preserve">    - xform/》u9/ů/</v>
      </c>
      <c r="AV5" s="60"/>
      <c r="AW5" s="60"/>
      <c r="AX5" s="40"/>
    </row>
    <row r="6" spans="1:50" ht="27.75" thickBot="1">
      <c r="A6" s="51">
        <f t="shared" si="7"/>
        <v>3</v>
      </c>
      <c r="B6" s="52" t="s">
        <v>180</v>
      </c>
      <c r="C6" s="53" t="s">
        <v>181</v>
      </c>
      <c r="D6" s="54" t="s">
        <v>181</v>
      </c>
      <c r="E6" s="54" t="s">
        <v>181</v>
      </c>
      <c r="F6" s="54" t="s">
        <v>181</v>
      </c>
      <c r="G6" s="55" t="s">
        <v>181</v>
      </c>
      <c r="H6" s="54" t="s">
        <v>182</v>
      </c>
      <c r="I6" s="54" t="s">
        <v>182</v>
      </c>
      <c r="J6" s="56" t="str">
        <f xml:space="preserve"> LEFT(韻母對照表3[[#This Row],[十五音識別碼]],1)</f>
        <v>皆</v>
      </c>
      <c r="K6" s="56" t="s">
        <v>183</v>
      </c>
      <c r="L6" s="56" t="s">
        <v>184</v>
      </c>
      <c r="M6" s="54"/>
      <c r="N6" s="56">
        <f t="shared" si="0"/>
        <v>2</v>
      </c>
      <c r="O6" s="58"/>
      <c r="P6" s="54" t="str">
        <f t="shared" si="1"/>
        <v>ai</v>
      </c>
      <c r="Q6" s="54" t="str">
        <f t="shared" si="1"/>
        <v>ai</v>
      </c>
      <c r="S6" s="37" t="str">
        <f t="shared" si="2"/>
        <v>ai(\d)</v>
      </c>
      <c r="T6" s="38" t="s">
        <v>185</v>
      </c>
      <c r="U6" s="38" t="str">
        <f t="shared" si="3"/>
        <v/>
      </c>
      <c r="V6" s="37" t="str">
        <f t="shared" si="4"/>
        <v/>
      </c>
      <c r="W6" s="57"/>
      <c r="X6" s="59" t="str">
        <f t="shared" si="5"/>
        <v xml:space="preserve">    - xform/》ai(\d)//</v>
      </c>
    </row>
    <row r="7" spans="1:50" ht="30.75" thickBot="1">
      <c r="A7" s="51">
        <f t="shared" si="7"/>
        <v>4</v>
      </c>
      <c r="B7" s="52" t="s">
        <v>186</v>
      </c>
      <c r="C7" s="53" t="s">
        <v>187</v>
      </c>
      <c r="D7" s="62" t="s">
        <v>188</v>
      </c>
      <c r="E7" s="62" t="s">
        <v>188</v>
      </c>
      <c r="F7" s="62" t="s">
        <v>188</v>
      </c>
      <c r="G7" s="62" t="s">
        <v>187</v>
      </c>
      <c r="H7" s="63" t="s">
        <v>189</v>
      </c>
      <c r="I7" s="63" t="s">
        <v>190</v>
      </c>
      <c r="J7" s="56" t="str">
        <f xml:space="preserve"> LEFT(韻母對照表3[[#This Row],[十五音識別碼]],1)</f>
        <v>皆</v>
      </c>
      <c r="K7" s="56" t="s">
        <v>191</v>
      </c>
      <c r="L7" s="64" t="s">
        <v>192</v>
      </c>
      <c r="M7" s="54"/>
      <c r="N7" s="56">
        <f t="shared" si="0"/>
        <v>3</v>
      </c>
      <c r="O7" s="58"/>
      <c r="P7" s="54" t="str">
        <f t="shared" si="1"/>
        <v>aih</v>
      </c>
      <c r="Q7" s="54" t="str">
        <f t="shared" si="1"/>
        <v>aih</v>
      </c>
      <c r="S7" s="37" t="str">
        <f t="shared" si="2"/>
        <v>aih(\d)</v>
      </c>
      <c r="T7" s="38" t="s">
        <v>168</v>
      </c>
      <c r="U7" s="38">
        <f t="shared" si="3"/>
        <v>1</v>
      </c>
      <c r="V7" s="37" t="str">
        <f t="shared" si="4"/>
        <v>》a${1}ih</v>
      </c>
      <c r="W7" s="57"/>
      <c r="X7" s="59" t="str">
        <f t="shared" si="5"/>
        <v xml:space="preserve">    - xform/》aih(\d)/》a${1}ih/</v>
      </c>
    </row>
    <row r="8" spans="1:50" ht="27.75" thickBot="1">
      <c r="A8" s="51">
        <f t="shared" si="7"/>
        <v>5</v>
      </c>
      <c r="B8" s="52" t="s">
        <v>193</v>
      </c>
      <c r="C8" s="53" t="s">
        <v>194</v>
      </c>
      <c r="D8" s="54" t="s">
        <v>194</v>
      </c>
      <c r="E8" s="54" t="s">
        <v>194</v>
      </c>
      <c r="F8" s="54" t="s">
        <v>195</v>
      </c>
      <c r="G8" s="55" t="s">
        <v>196</v>
      </c>
      <c r="H8" s="54" t="s">
        <v>197</v>
      </c>
      <c r="I8" s="54" t="s">
        <v>198</v>
      </c>
      <c r="J8" s="56" t="str">
        <f xml:space="preserve"> LEFT(韻母對照表3[[#This Row],[十五音識別碼]],1)</f>
        <v>閒</v>
      </c>
      <c r="K8" s="56" t="s">
        <v>199</v>
      </c>
      <c r="L8" s="56" t="s">
        <v>200</v>
      </c>
      <c r="M8" s="65" t="s">
        <v>201</v>
      </c>
      <c r="N8" s="56">
        <f t="shared" si="0"/>
        <v>4</v>
      </c>
      <c r="O8" s="58"/>
      <c r="P8" s="54" t="str">
        <f t="shared" si="1"/>
        <v>ainn</v>
      </c>
      <c r="Q8" s="54" t="str">
        <f t="shared" si="1"/>
        <v>ainn</v>
      </c>
      <c r="S8" s="37" t="str">
        <f t="shared" si="2"/>
        <v>ainn(\d)</v>
      </c>
      <c r="T8" s="38" t="s">
        <v>168</v>
      </c>
      <c r="U8" s="38">
        <f t="shared" si="3"/>
        <v>1</v>
      </c>
      <c r="V8" s="37" t="str">
        <f t="shared" si="4"/>
        <v>》a${1}inn</v>
      </c>
      <c r="W8" s="57"/>
      <c r="X8" s="59" t="str">
        <f t="shared" si="5"/>
        <v xml:space="preserve">    - xform/》ainn(\d)/》a${1}inn/</v>
      </c>
    </row>
    <row r="9" spans="1:50" ht="30.75" thickBot="1">
      <c r="A9" s="51">
        <f t="shared" si="7"/>
        <v>6</v>
      </c>
      <c r="B9" s="52" t="str">
        <f>_xlfn.CONCAT("a","k",_xlfn.UNICHAR(794))</f>
        <v>ak̚</v>
      </c>
      <c r="C9" s="53" t="s">
        <v>202</v>
      </c>
      <c r="D9" s="54" t="s">
        <v>202</v>
      </c>
      <c r="E9" s="54" t="s">
        <v>202</v>
      </c>
      <c r="F9" s="54" t="s">
        <v>202</v>
      </c>
      <c r="G9" s="55" t="s">
        <v>202</v>
      </c>
      <c r="H9" s="66" t="s">
        <v>203</v>
      </c>
      <c r="I9" s="66" t="s">
        <v>204</v>
      </c>
      <c r="J9" s="56" t="str">
        <f xml:space="preserve"> LEFT(韻母對照表3[[#This Row],[十五音識別碼]],1)</f>
        <v>江</v>
      </c>
      <c r="K9" s="56" t="s">
        <v>205</v>
      </c>
      <c r="L9" s="56" t="s">
        <v>206</v>
      </c>
      <c r="M9" s="54"/>
      <c r="N9" s="56">
        <f t="shared" si="0"/>
        <v>2</v>
      </c>
      <c r="O9" s="58"/>
      <c r="P9" s="54" t="str">
        <f t="shared" si="1"/>
        <v>ak</v>
      </c>
      <c r="Q9" s="54" t="str">
        <f t="shared" si="1"/>
        <v>ak</v>
      </c>
      <c r="S9" s="37" t="str">
        <f t="shared" si="2"/>
        <v>ak(\d)</v>
      </c>
      <c r="T9" s="38" t="s">
        <v>207</v>
      </c>
      <c r="U9" s="38" t="str">
        <f t="shared" si="3"/>
        <v/>
      </c>
      <c r="V9" s="37" t="str">
        <f t="shared" si="4"/>
        <v/>
      </c>
      <c r="W9" s="57"/>
      <c r="X9" s="59" t="str">
        <f t="shared" si="5"/>
        <v xml:space="preserve">    - xform/》ak(\d)//</v>
      </c>
    </row>
    <row r="10" spans="1:50" ht="27.75" thickBot="1">
      <c r="A10" s="51">
        <f t="shared" si="7"/>
        <v>7</v>
      </c>
      <c r="B10" s="52" t="s">
        <v>208</v>
      </c>
      <c r="C10" s="53" t="s">
        <v>209</v>
      </c>
      <c r="D10" s="54" t="s">
        <v>209</v>
      </c>
      <c r="E10" s="54" t="s">
        <v>209</v>
      </c>
      <c r="F10" s="54" t="s">
        <v>209</v>
      </c>
      <c r="G10" s="55" t="s">
        <v>209</v>
      </c>
      <c r="H10" s="54" t="s">
        <v>210</v>
      </c>
      <c r="I10" s="54" t="s">
        <v>211</v>
      </c>
      <c r="J10" s="56" t="str">
        <f xml:space="preserve"> LEFT(韻母對照表3[[#This Row],[十五音識別碼]],1)</f>
        <v>甘</v>
      </c>
      <c r="K10" s="56" t="s">
        <v>212</v>
      </c>
      <c r="L10" s="56" t="s">
        <v>213</v>
      </c>
      <c r="M10" s="54"/>
      <c r="N10" s="56">
        <f t="shared" si="0"/>
        <v>2</v>
      </c>
      <c r="O10" s="58"/>
      <c r="P10" s="54" t="str">
        <f t="shared" si="1"/>
        <v>am</v>
      </c>
      <c r="Q10" s="54" t="str">
        <f t="shared" si="1"/>
        <v>am</v>
      </c>
      <c r="S10" s="37" t="str">
        <f t="shared" si="2"/>
        <v>am(\d)</v>
      </c>
      <c r="T10" s="38" t="s">
        <v>168</v>
      </c>
      <c r="U10" s="38">
        <f t="shared" si="3"/>
        <v>1</v>
      </c>
      <c r="V10" s="37" t="str">
        <f t="shared" si="4"/>
        <v>》a${1}m</v>
      </c>
      <c r="W10" s="57"/>
      <c r="X10" s="59" t="str">
        <f t="shared" si="5"/>
        <v xml:space="preserve">    - xform/》am(\d)/》a${1}m/</v>
      </c>
      <c r="Z10" s="40" t="s">
        <v>185</v>
      </c>
      <c r="AA10" s="60" t="str">
        <f t="shared" ref="AA10:AJ14" si="8" xml:space="preserve"> _xlfn.CONCAT($Z10, IF(AA$3="", "", _xlfn.UNICHAR( HEX2DEC( RIGHT(AA$3,4)))))</f>
        <v>o</v>
      </c>
      <c r="AB10" s="60" t="str">
        <f t="shared" si="8"/>
        <v>ó</v>
      </c>
      <c r="AC10" s="60" t="str">
        <f t="shared" si="8"/>
        <v>ò</v>
      </c>
      <c r="AD10" s="60" t="str">
        <f t="shared" si="8"/>
        <v>o</v>
      </c>
      <c r="AE10" s="60" t="str">
        <f t="shared" si="8"/>
        <v>ǒ</v>
      </c>
      <c r="AF10" s="60" t="str">
        <f t="shared" si="8"/>
        <v>ó</v>
      </c>
      <c r="AG10" s="60" t="str">
        <f t="shared" si="8"/>
        <v>ō</v>
      </c>
      <c r="AH10" s="60" t="str">
        <f t="shared" si="8"/>
        <v>o̍</v>
      </c>
      <c r="AI10" s="60" t="str">
        <f t="shared" si="8"/>
        <v>ő</v>
      </c>
      <c r="AJ10" s="60" t="str">
        <f t="shared" si="8"/>
        <v>o̊</v>
      </c>
      <c r="AL10" s="61" t="str">
        <f xml:space="preserve"> _xlfn.CONCAT("    - xform/》", $Z10, [1]【調】韻母標調!AJ$1, "/", AA10, "/")</f>
        <v xml:space="preserve">    - xform/》o1/o/</v>
      </c>
      <c r="AM10" s="61" t="str">
        <f xml:space="preserve"> _xlfn.CONCAT("    - xform/》", $Z10, [1]【調】韻母標調!AK$1, "/", AB10, "/")</f>
        <v xml:space="preserve">    - xform/》o2/ó/</v>
      </c>
      <c r="AN10" s="61" t="str">
        <f xml:space="preserve"> _xlfn.CONCAT("    - xform/》", $Z10, [1]【調】韻母標調!AL$1, "/", AC10, "/")</f>
        <v xml:space="preserve">    - xform/》o3/ò/</v>
      </c>
      <c r="AO10" s="61" t="str">
        <f xml:space="preserve"> _xlfn.CONCAT("    - xform/》", $Z10, [1]【調】韻母標調!AM$1, "/", AD10, "/")</f>
        <v xml:space="preserve">    - xform/》o4/o/</v>
      </c>
      <c r="AP10" s="61" t="str">
        <f xml:space="preserve"> _xlfn.CONCAT("    - xform/》", $Z10, [1]【調】韻母標調!AN$1, "/", AE10, "/")</f>
        <v xml:space="preserve">    - xform/》o5/ǒ/</v>
      </c>
      <c r="AQ10" s="61" t="str">
        <f xml:space="preserve"> _xlfn.CONCAT("    - xform/》", $Z10, [1]【調】韻母標調!AO$1, "/", AF10, "/")</f>
        <v xml:space="preserve">    - xform/》o6/ó/</v>
      </c>
      <c r="AR10" s="61" t="str">
        <f xml:space="preserve"> _xlfn.CONCAT("    - xform/》", $Z10, [1]【調】韻母標調!AP$1, "/", AG10, "/")</f>
        <v xml:space="preserve">    - xform/》o7/ō/</v>
      </c>
      <c r="AS10" s="61" t="str">
        <f xml:space="preserve"> _xlfn.CONCAT("    - xform/》", $Z10, [1]【調】韻母標調!AQ$1, "/", AH10, "/")</f>
        <v xml:space="preserve">    - xform/》o8/o̍/</v>
      </c>
      <c r="AT10" s="61" t="str">
        <f xml:space="preserve"> _xlfn.CONCAT("    - xform/》", $Z10, [1]【調】韻母標調!AR$1, "/", AI10, "/")</f>
        <v xml:space="preserve">    - xform/》o9/ő/</v>
      </c>
      <c r="AU10" s="61" t="str">
        <f xml:space="preserve"> _xlfn.CONCAT("    - xform/》", $Z10, [1]【調】韻母標調!AS$1, "/", AJ10, "/")</f>
        <v xml:space="preserve">    - xform/》o9/o̊/</v>
      </c>
      <c r="AV10" s="60"/>
      <c r="AW10" s="60"/>
      <c r="AX10" s="40"/>
    </row>
    <row r="11" spans="1:50" ht="27.75" thickBot="1">
      <c r="A11" s="51">
        <f t="shared" si="7"/>
        <v>8</v>
      </c>
      <c r="B11" s="52" t="s">
        <v>214</v>
      </c>
      <c r="C11" s="53" t="s">
        <v>215</v>
      </c>
      <c r="D11" s="54" t="s">
        <v>215</v>
      </c>
      <c r="E11" s="54" t="s">
        <v>215</v>
      </c>
      <c r="F11" s="54" t="s">
        <v>215</v>
      </c>
      <c r="G11" s="55" t="s">
        <v>215</v>
      </c>
      <c r="H11" s="54" t="s">
        <v>216</v>
      </c>
      <c r="I11" s="54" t="s">
        <v>216</v>
      </c>
      <c r="J11" s="56" t="str">
        <f xml:space="preserve"> LEFT(韻母對照表3[[#This Row],[十五音識別碼]],1)</f>
        <v>干</v>
      </c>
      <c r="K11" s="56" t="s">
        <v>217</v>
      </c>
      <c r="L11" s="56" t="s">
        <v>218</v>
      </c>
      <c r="M11" s="54"/>
      <c r="N11" s="56">
        <f t="shared" si="0"/>
        <v>2</v>
      </c>
      <c r="O11" s="58"/>
      <c r="P11" s="54" t="str">
        <f t="shared" si="1"/>
        <v>an</v>
      </c>
      <c r="Q11" s="54" t="str">
        <f t="shared" si="1"/>
        <v>an</v>
      </c>
      <c r="S11" s="37" t="str">
        <f t="shared" si="2"/>
        <v>an(\d)</v>
      </c>
      <c r="T11" s="38" t="s">
        <v>168</v>
      </c>
      <c r="U11" s="38">
        <f t="shared" si="3"/>
        <v>1</v>
      </c>
      <c r="V11" s="37" t="str">
        <f t="shared" si="4"/>
        <v>》a${1}n</v>
      </c>
      <c r="W11" s="57"/>
      <c r="X11" s="59" t="str">
        <f t="shared" si="5"/>
        <v xml:space="preserve">    - xform/》an(\d)/》a${1}n/</v>
      </c>
      <c r="Z11" s="40" t="s">
        <v>219</v>
      </c>
      <c r="AA11" s="60" t="str">
        <f t="shared" si="8"/>
        <v>m</v>
      </c>
      <c r="AB11" s="60" t="str">
        <f t="shared" si="8"/>
        <v>ḿ</v>
      </c>
      <c r="AC11" s="60" t="str">
        <f t="shared" si="8"/>
        <v>m̀</v>
      </c>
      <c r="AD11" s="60" t="str">
        <f t="shared" si="8"/>
        <v>m</v>
      </c>
      <c r="AE11" s="60" t="str">
        <f t="shared" si="8"/>
        <v>m̌</v>
      </c>
      <c r="AF11" s="60" t="str">
        <f t="shared" si="8"/>
        <v>ḿ</v>
      </c>
      <c r="AG11" s="60" t="str">
        <f t="shared" si="8"/>
        <v>m̄</v>
      </c>
      <c r="AH11" s="60" t="str">
        <f t="shared" si="8"/>
        <v>m̍</v>
      </c>
      <c r="AI11" s="60" t="str">
        <f t="shared" si="8"/>
        <v>m̋</v>
      </c>
      <c r="AJ11" s="60" t="str">
        <f t="shared" si="8"/>
        <v>m̊</v>
      </c>
      <c r="AL11" s="61" t="str">
        <f xml:space="preserve"> _xlfn.CONCAT("    - xform/》", $Z11, [1]【調】韻母標調!AJ$1, "/", AA11, "/")</f>
        <v xml:space="preserve">    - xform/》m1/m/</v>
      </c>
      <c r="AM11" s="61" t="str">
        <f xml:space="preserve"> _xlfn.CONCAT("    - xform/》", $Z11, [1]【調】韻母標調!AK$1, "/", AB11, "/")</f>
        <v xml:space="preserve">    - xform/》m2/ḿ/</v>
      </c>
      <c r="AN11" s="61" t="str">
        <f xml:space="preserve"> _xlfn.CONCAT("    - xform/》", $Z11, [1]【調】韻母標調!AL$1, "/", AC11, "/")</f>
        <v xml:space="preserve">    - xform/》m3/m̀/</v>
      </c>
      <c r="AO11" s="61" t="str">
        <f xml:space="preserve"> _xlfn.CONCAT("    - xform/》", $Z11, [1]【調】韻母標調!AM$1, "/", AD11, "/")</f>
        <v xml:space="preserve">    - xform/》m4/m/</v>
      </c>
      <c r="AP11" s="61" t="str">
        <f xml:space="preserve"> _xlfn.CONCAT("    - xform/》", $Z11, [1]【調】韻母標調!AN$1, "/", AE11, "/")</f>
        <v xml:space="preserve">    - xform/》m5/m̌/</v>
      </c>
      <c r="AQ11" s="61" t="str">
        <f xml:space="preserve"> _xlfn.CONCAT("    - xform/》", $Z11, [1]【調】韻母標調!AO$1, "/", AF11, "/")</f>
        <v xml:space="preserve">    - xform/》m6/ḿ/</v>
      </c>
      <c r="AR11" s="61" t="str">
        <f xml:space="preserve"> _xlfn.CONCAT("    - xform/》", $Z11, [1]【調】韻母標調!AP$1, "/", AG11, "/")</f>
        <v xml:space="preserve">    - xform/》m7/m̄/</v>
      </c>
      <c r="AS11" s="61" t="str">
        <f xml:space="preserve"> _xlfn.CONCAT("    - xform/》", $Z11, [1]【調】韻母標調!AQ$1, "/", AH11, "/")</f>
        <v xml:space="preserve">    - xform/》m8/m̍/</v>
      </c>
      <c r="AT11" s="61" t="str">
        <f xml:space="preserve"> _xlfn.CONCAT("    - xform/》", $Z11, [1]【調】韻母標調!AR$1, "/", AI11, "/")</f>
        <v xml:space="preserve">    - xform/》m9/m̋/</v>
      </c>
      <c r="AU11" s="61" t="str">
        <f xml:space="preserve"> _xlfn.CONCAT("    - xform/》", $Z11, [1]【調】韻母標調!AS$1, "/", AJ11, "/")</f>
        <v xml:space="preserve">    - xform/》m9/m̊/</v>
      </c>
      <c r="AV11" s="60"/>
      <c r="AW11" s="60"/>
      <c r="AX11" s="40"/>
    </row>
    <row r="12" spans="1:50" ht="27.75" thickBot="1">
      <c r="A12" s="51">
        <f t="shared" si="7"/>
        <v>9</v>
      </c>
      <c r="B12" s="52" t="s">
        <v>220</v>
      </c>
      <c r="C12" s="53" t="s">
        <v>221</v>
      </c>
      <c r="D12" s="54" t="s">
        <v>221</v>
      </c>
      <c r="E12" s="54" t="s">
        <v>221</v>
      </c>
      <c r="F12" s="54" t="s">
        <v>221</v>
      </c>
      <c r="G12" s="55" t="s">
        <v>221</v>
      </c>
      <c r="H12" s="54" t="s">
        <v>222</v>
      </c>
      <c r="I12" s="54" t="s">
        <v>222</v>
      </c>
      <c r="J12" s="56" t="str">
        <f xml:space="preserve"> LEFT(韻母對照表3[[#This Row],[十五音識別碼]],1)</f>
        <v>江</v>
      </c>
      <c r="K12" s="56" t="s">
        <v>223</v>
      </c>
      <c r="L12" s="56" t="s">
        <v>224</v>
      </c>
      <c r="M12" s="54"/>
      <c r="N12" s="56">
        <f t="shared" si="0"/>
        <v>3</v>
      </c>
      <c r="O12" s="58"/>
      <c r="P12" s="54" t="str">
        <f t="shared" si="1"/>
        <v>ang</v>
      </c>
      <c r="Q12" s="54" t="str">
        <f t="shared" si="1"/>
        <v>ang</v>
      </c>
      <c r="S12" s="37" t="str">
        <f t="shared" si="2"/>
        <v>ang(\d)</v>
      </c>
      <c r="T12" s="38" t="s">
        <v>168</v>
      </c>
      <c r="U12" s="38">
        <f t="shared" si="3"/>
        <v>1</v>
      </c>
      <c r="V12" s="37" t="str">
        <f t="shared" si="4"/>
        <v>》a${1}ng</v>
      </c>
      <c r="W12" s="57"/>
      <c r="X12" s="59" t="str">
        <f t="shared" si="5"/>
        <v xml:space="preserve">    - xform/》ang(\d)/》a${1}ng/</v>
      </c>
      <c r="Z12" s="40" t="s">
        <v>225</v>
      </c>
      <c r="AA12" s="60" t="str">
        <f t="shared" si="8"/>
        <v>n</v>
      </c>
      <c r="AB12" s="60" t="str">
        <f t="shared" si="8"/>
        <v>ń</v>
      </c>
      <c r="AC12" s="60" t="str">
        <f t="shared" si="8"/>
        <v>ǹ</v>
      </c>
      <c r="AD12" s="60" t="str">
        <f t="shared" si="8"/>
        <v>n</v>
      </c>
      <c r="AE12" s="60" t="str">
        <f t="shared" si="8"/>
        <v>ň</v>
      </c>
      <c r="AF12" s="60" t="str">
        <f t="shared" si="8"/>
        <v>ń</v>
      </c>
      <c r="AG12" s="60" t="str">
        <f t="shared" si="8"/>
        <v>n̄</v>
      </c>
      <c r="AH12" s="60" t="str">
        <f t="shared" si="8"/>
        <v>n̍</v>
      </c>
      <c r="AI12" s="60" t="str">
        <f t="shared" si="8"/>
        <v>n̋</v>
      </c>
      <c r="AJ12" s="60" t="str">
        <f t="shared" si="8"/>
        <v>n̊</v>
      </c>
      <c r="AL12" s="61" t="str">
        <f xml:space="preserve"> _xlfn.CONCAT("    - xform/》", $Z12, [1]【調】韻母標調!AJ$1, "/", AA12, "/")</f>
        <v xml:space="preserve">    - xform/》n1/n/</v>
      </c>
      <c r="AM12" s="61" t="str">
        <f xml:space="preserve"> _xlfn.CONCAT("    - xform/》", $Z12, [1]【調】韻母標調!AK$1, "/", AB12, "/")</f>
        <v xml:space="preserve">    - xform/》n2/ń/</v>
      </c>
      <c r="AN12" s="61" t="str">
        <f xml:space="preserve"> _xlfn.CONCAT("    - xform/》", $Z12, [1]【調】韻母標調!AL$1, "/", AC12, "/")</f>
        <v xml:space="preserve">    - xform/》n3/ǹ/</v>
      </c>
      <c r="AO12" s="61" t="str">
        <f xml:space="preserve"> _xlfn.CONCAT("    - xform/》", $Z12, [1]【調】韻母標調!AM$1, "/", AD12, "/")</f>
        <v xml:space="preserve">    - xform/》n4/n/</v>
      </c>
      <c r="AP12" s="61" t="str">
        <f xml:space="preserve"> _xlfn.CONCAT("    - xform/》", $Z12, [1]【調】韻母標調!AN$1, "/", AE12, "/")</f>
        <v xml:space="preserve">    - xform/》n5/ň/</v>
      </c>
      <c r="AQ12" s="61" t="str">
        <f xml:space="preserve"> _xlfn.CONCAT("    - xform/》", $Z12, [1]【調】韻母標調!AO$1, "/", AF12, "/")</f>
        <v xml:space="preserve">    - xform/》n6/ń/</v>
      </c>
      <c r="AR12" s="61" t="str">
        <f xml:space="preserve"> _xlfn.CONCAT("    - xform/》", $Z12, [1]【調】韻母標調!AP$1, "/", AG12, "/")</f>
        <v xml:space="preserve">    - xform/》n7/n̄/</v>
      </c>
      <c r="AS12" s="61" t="str">
        <f xml:space="preserve"> _xlfn.CONCAT("    - xform/》", $Z12, [1]【調】韻母標調!AQ$1, "/", AH12, "/")</f>
        <v xml:space="preserve">    - xform/》n8/n̍/</v>
      </c>
      <c r="AT12" s="61" t="str">
        <f xml:space="preserve"> _xlfn.CONCAT("    - xform/》", $Z12, [1]【調】韻母標調!AR$1, "/", AI12, "/")</f>
        <v xml:space="preserve">    - xform/》n9/n̋/</v>
      </c>
      <c r="AU12" s="61" t="str">
        <f xml:space="preserve"> _xlfn.CONCAT("    - xform/》", $Z12, [1]【調】韻母標調!AS$1, "/", AJ12, "/")</f>
        <v xml:space="preserve">    - xform/》n9/n̊/</v>
      </c>
      <c r="AV12" s="60"/>
      <c r="AW12" s="60"/>
      <c r="AX12" s="40"/>
    </row>
    <row r="13" spans="1:50" ht="27.75" thickBot="1">
      <c r="A13" s="51">
        <f t="shared" si="7"/>
        <v>10</v>
      </c>
      <c r="B13" s="52" t="s">
        <v>226</v>
      </c>
      <c r="C13" s="53" t="s">
        <v>227</v>
      </c>
      <c r="D13" s="54" t="s">
        <v>227</v>
      </c>
      <c r="E13" s="54" t="s">
        <v>227</v>
      </c>
      <c r="F13" s="54" t="s">
        <v>228</v>
      </c>
      <c r="G13" s="55" t="s">
        <v>229</v>
      </c>
      <c r="H13" s="54" t="s">
        <v>230</v>
      </c>
      <c r="I13" s="54" t="s">
        <v>231</v>
      </c>
      <c r="J13" s="56" t="str">
        <f xml:space="preserve"> LEFT(韻母對照表3[[#This Row],[十五音識別碼]],1)</f>
        <v>監</v>
      </c>
      <c r="K13" s="56" t="s">
        <v>232</v>
      </c>
      <c r="L13" s="56" t="s">
        <v>233</v>
      </c>
      <c r="M13" s="65" t="s">
        <v>201</v>
      </c>
      <c r="N13" s="56">
        <f t="shared" si="0"/>
        <v>3</v>
      </c>
      <c r="O13" s="58"/>
      <c r="P13" s="54" t="str">
        <f t="shared" si="1"/>
        <v>ann</v>
      </c>
      <c r="Q13" s="54" t="str">
        <f t="shared" si="1"/>
        <v>ann</v>
      </c>
      <c r="S13" s="37" t="str">
        <f t="shared" si="2"/>
        <v>ann(\d)</v>
      </c>
      <c r="T13" s="67" t="s">
        <v>168</v>
      </c>
      <c r="U13" s="38">
        <f t="shared" si="3"/>
        <v>1</v>
      </c>
      <c r="V13" s="37" t="str">
        <f t="shared" si="4"/>
        <v>》a${1}nn</v>
      </c>
      <c r="W13" s="57"/>
      <c r="X13" s="59" t="str">
        <f t="shared" si="5"/>
        <v xml:space="preserve">    - xform/》ann(\d)/》a${1}nn/</v>
      </c>
      <c r="Z13" s="40" t="s">
        <v>234</v>
      </c>
      <c r="AA13" s="60" t="str">
        <f t="shared" si="8"/>
        <v>i</v>
      </c>
      <c r="AB13" s="60" t="str">
        <f t="shared" si="8"/>
        <v>í</v>
      </c>
      <c r="AC13" s="60" t="str">
        <f t="shared" si="8"/>
        <v>ì</v>
      </c>
      <c r="AD13" s="60" t="str">
        <f t="shared" si="8"/>
        <v>i</v>
      </c>
      <c r="AE13" s="60" t="str">
        <f t="shared" si="8"/>
        <v>ǐ</v>
      </c>
      <c r="AF13" s="60" t="str">
        <f t="shared" si="8"/>
        <v>í</v>
      </c>
      <c r="AG13" s="60" t="str">
        <f t="shared" si="8"/>
        <v>ī</v>
      </c>
      <c r="AH13" s="60" t="str">
        <f t="shared" si="8"/>
        <v>i̍</v>
      </c>
      <c r="AI13" s="60" t="str">
        <f t="shared" si="8"/>
        <v>i̋</v>
      </c>
      <c r="AJ13" s="60" t="str">
        <f t="shared" si="8"/>
        <v>i̊</v>
      </c>
      <c r="AL13" s="61" t="str">
        <f xml:space="preserve"> _xlfn.CONCAT("    - xform/》", $Z13, [1]【調】韻母標調!AJ$1, "/", AA13, "/")</f>
        <v xml:space="preserve">    - xform/》i1/i/</v>
      </c>
      <c r="AM13" s="61" t="str">
        <f xml:space="preserve"> _xlfn.CONCAT("    - xform/》", $Z13, [1]【調】韻母標調!AK$1, "/", AB13, "/")</f>
        <v xml:space="preserve">    - xform/》i2/í/</v>
      </c>
      <c r="AN13" s="61" t="str">
        <f xml:space="preserve"> _xlfn.CONCAT("    - xform/》", $Z13, [1]【調】韻母標調!AL$1, "/", AC13, "/")</f>
        <v xml:space="preserve">    - xform/》i3/ì/</v>
      </c>
      <c r="AO13" s="61" t="str">
        <f xml:space="preserve"> _xlfn.CONCAT("    - xform/》", $Z13, [1]【調】韻母標調!AM$1, "/", AD13, "/")</f>
        <v xml:space="preserve">    - xform/》i4/i/</v>
      </c>
      <c r="AP13" s="61" t="str">
        <f xml:space="preserve"> _xlfn.CONCAT("    - xform/》", $Z13, [1]【調】韻母標調!AN$1, "/", AE13, "/")</f>
        <v xml:space="preserve">    - xform/》i5/ǐ/</v>
      </c>
      <c r="AQ13" s="61" t="str">
        <f xml:space="preserve"> _xlfn.CONCAT("    - xform/》", $Z13, [1]【調】韻母標調!AO$1, "/", AF13, "/")</f>
        <v xml:space="preserve">    - xform/》i6/í/</v>
      </c>
      <c r="AR13" s="61" t="str">
        <f xml:space="preserve"> _xlfn.CONCAT("    - xform/》", $Z13, [1]【調】韻母標調!AP$1, "/", AG13, "/")</f>
        <v xml:space="preserve">    - xform/》i7/ī/</v>
      </c>
      <c r="AS13" s="61" t="str">
        <f xml:space="preserve"> _xlfn.CONCAT("    - xform/》", $Z13, [1]【調】韻母標調!AQ$1, "/", AH13, "/")</f>
        <v xml:space="preserve">    - xform/》i8/i̍/</v>
      </c>
      <c r="AT13" s="61" t="str">
        <f xml:space="preserve"> _xlfn.CONCAT("    - xform/》", $Z13, [1]【調】韻母標調!AR$1, "/", AI13, "/")</f>
        <v xml:space="preserve">    - xform/》i9/i̋/</v>
      </c>
      <c r="AU13" s="61" t="str">
        <f xml:space="preserve"> _xlfn.CONCAT("    - xform/》", $Z13, [1]【調】韻母標調!AS$1, "/", AJ13, "/")</f>
        <v xml:space="preserve">    - xform/》i9/i̊/</v>
      </c>
      <c r="AV13" s="60"/>
      <c r="AW13" s="60"/>
      <c r="AX13" s="40"/>
    </row>
    <row r="14" spans="1:50" ht="27.75" thickBot="1">
      <c r="A14" s="51">
        <f t="shared" si="7"/>
        <v>11</v>
      </c>
      <c r="B14" s="52" t="s">
        <v>235</v>
      </c>
      <c r="C14" s="53" t="s">
        <v>236</v>
      </c>
      <c r="D14" s="54" t="s">
        <v>237</v>
      </c>
      <c r="E14" s="54" t="s">
        <v>236</v>
      </c>
      <c r="F14" s="62" t="s">
        <v>238</v>
      </c>
      <c r="G14" s="55" t="s">
        <v>239</v>
      </c>
      <c r="H14" s="54" t="s">
        <v>240</v>
      </c>
      <c r="I14" s="54" t="s">
        <v>241</v>
      </c>
      <c r="J14" s="56" t="str">
        <f xml:space="preserve"> LEFT(韻母對照表3[[#This Row],[十五音識別碼]],1)</f>
        <v>監</v>
      </c>
      <c r="K14" s="56" t="s">
        <v>242</v>
      </c>
      <c r="L14" s="56" t="s">
        <v>243</v>
      </c>
      <c r="M14" s="65" t="s">
        <v>201</v>
      </c>
      <c r="N14" s="56">
        <f t="shared" si="0"/>
        <v>4</v>
      </c>
      <c r="O14" s="58"/>
      <c r="P14" s="54" t="str">
        <f t="shared" si="1"/>
        <v>annh</v>
      </c>
      <c r="Q14" s="54" t="str">
        <f t="shared" si="1"/>
        <v>annh</v>
      </c>
      <c r="S14" s="37" t="str">
        <f t="shared" si="2"/>
        <v>annh(\d)</v>
      </c>
      <c r="T14" s="38" t="s">
        <v>168</v>
      </c>
      <c r="U14" s="38">
        <f t="shared" si="3"/>
        <v>1</v>
      </c>
      <c r="V14" s="37" t="str">
        <f t="shared" si="4"/>
        <v>》a${1}nnh</v>
      </c>
      <c r="W14" s="57"/>
      <c r="X14" s="59" t="str">
        <f t="shared" si="5"/>
        <v xml:space="preserve">    - xform/》annh(\d)/》a${1}nnh/</v>
      </c>
      <c r="Z14" s="40" t="s">
        <v>207</v>
      </c>
      <c r="AA14" s="60" t="str">
        <f t="shared" si="8"/>
        <v>e</v>
      </c>
      <c r="AB14" s="60" t="str">
        <f t="shared" si="8"/>
        <v>é</v>
      </c>
      <c r="AC14" s="60" t="str">
        <f t="shared" si="8"/>
        <v>è</v>
      </c>
      <c r="AD14" s="60" t="str">
        <f t="shared" si="8"/>
        <v>e</v>
      </c>
      <c r="AE14" s="60" t="str">
        <f t="shared" si="8"/>
        <v>ě</v>
      </c>
      <c r="AF14" s="60" t="str">
        <f t="shared" si="8"/>
        <v>é</v>
      </c>
      <c r="AG14" s="60" t="str">
        <f t="shared" si="8"/>
        <v>ē</v>
      </c>
      <c r="AH14" s="60" t="str">
        <f t="shared" si="8"/>
        <v>e̍</v>
      </c>
      <c r="AI14" s="60" t="str">
        <f t="shared" si="8"/>
        <v>e̋</v>
      </c>
      <c r="AJ14" s="60" t="str">
        <f t="shared" si="8"/>
        <v>e̊</v>
      </c>
      <c r="AL14" s="61" t="str">
        <f xml:space="preserve"> _xlfn.CONCAT("    - xform/》", $Z14, [1]【調】韻母標調!AJ$1, "/", AA14, "/")</f>
        <v xml:space="preserve">    - xform/》e1/e/</v>
      </c>
      <c r="AM14" s="61" t="str">
        <f xml:space="preserve"> _xlfn.CONCAT("    - xform/》", $Z14, [1]【調】韻母標調!AK$1, "/", AB14, "/")</f>
        <v xml:space="preserve">    - xform/》e2/é/</v>
      </c>
      <c r="AN14" s="61" t="str">
        <f xml:space="preserve"> _xlfn.CONCAT("    - xform/》", $Z14, [1]【調】韻母標調!AL$1, "/", AC14, "/")</f>
        <v xml:space="preserve">    - xform/》e3/è/</v>
      </c>
      <c r="AO14" s="61" t="str">
        <f xml:space="preserve"> _xlfn.CONCAT("    - xform/》", $Z14, [1]【調】韻母標調!AM$1, "/", AD14, "/")</f>
        <v xml:space="preserve">    - xform/》e4/e/</v>
      </c>
      <c r="AP14" s="61" t="str">
        <f xml:space="preserve"> _xlfn.CONCAT("    - xform/》", $Z14, [1]【調】韻母標調!AN$1, "/", AE14, "/")</f>
        <v xml:space="preserve">    - xform/》e5/ě/</v>
      </c>
      <c r="AQ14" s="61" t="str">
        <f xml:space="preserve"> _xlfn.CONCAT("    - xform/》", $Z14, [1]【調】韻母標調!AO$1, "/", AF14, "/")</f>
        <v xml:space="preserve">    - xform/》e6/é/</v>
      </c>
      <c r="AR14" s="61" t="str">
        <f xml:space="preserve"> _xlfn.CONCAT("    - xform/》", $Z14, [1]【調】韻母標調!AP$1, "/", AG14, "/")</f>
        <v xml:space="preserve">    - xform/》e7/ē/</v>
      </c>
      <c r="AS14" s="61" t="str">
        <f xml:space="preserve"> _xlfn.CONCAT("    - xform/》", $Z14, [1]【調】韻母標調!AQ$1, "/", AH14, "/")</f>
        <v xml:space="preserve">    - xform/》e8/e̍/</v>
      </c>
      <c r="AT14" s="61" t="str">
        <f xml:space="preserve"> _xlfn.CONCAT("    - xform/》", $Z14, [1]【調】韻母標調!AR$1, "/", AI14, "/")</f>
        <v xml:space="preserve">    - xform/》e9/e̋/</v>
      </c>
      <c r="AU14" s="61" t="str">
        <f xml:space="preserve"> _xlfn.CONCAT("    - xform/》", $Z14, [1]【調】韻母標調!AS$1, "/", AJ14, "/")</f>
        <v xml:space="preserve">    - xform/》e9/e̊/</v>
      </c>
      <c r="AV14" s="60"/>
      <c r="AW14" s="60"/>
      <c r="AX14" s="40"/>
    </row>
    <row r="15" spans="1:50" ht="27.75" thickBot="1">
      <c r="A15" s="51">
        <f t="shared" si="7"/>
        <v>12</v>
      </c>
      <c r="B15" s="52" t="str">
        <f>_xlfn.CONCAT("a","p",_xlfn.UNICHAR(794))</f>
        <v>ap̚</v>
      </c>
      <c r="C15" s="53" t="s">
        <v>244</v>
      </c>
      <c r="D15" s="54" t="s">
        <v>244</v>
      </c>
      <c r="E15" s="54" t="s">
        <v>244</v>
      </c>
      <c r="F15" s="54" t="s">
        <v>244</v>
      </c>
      <c r="G15" s="55" t="s">
        <v>244</v>
      </c>
      <c r="H15" s="54" t="s">
        <v>245</v>
      </c>
      <c r="I15" s="54" t="s">
        <v>246</v>
      </c>
      <c r="J15" s="56" t="str">
        <f xml:space="preserve"> LEFT(韻母對照表3[[#This Row],[十五音識別碼]],1)</f>
        <v>甘</v>
      </c>
      <c r="K15" s="56" t="s">
        <v>247</v>
      </c>
      <c r="L15" s="56" t="s">
        <v>248</v>
      </c>
      <c r="M15" s="54"/>
      <c r="N15" s="56">
        <f xml:space="preserve"> LEN(D15)</f>
        <v>2</v>
      </c>
      <c r="O15" s="58"/>
      <c r="P15" s="54" t="str">
        <f t="shared" si="1"/>
        <v>ap</v>
      </c>
      <c r="Q15" s="54" t="str">
        <f t="shared" si="1"/>
        <v>ap</v>
      </c>
      <c r="S15" s="37" t="str">
        <f xml:space="preserve"> _xlfn.CONCAT(P15, "(\d)")</f>
        <v>ap(\d)</v>
      </c>
      <c r="T15" s="38" t="s">
        <v>168</v>
      </c>
      <c r="U15" s="38">
        <f xml:space="preserve"> IFERROR( IF(T15="", "", SEARCH(T15, $P15)), "")</f>
        <v>1</v>
      </c>
      <c r="V15" s="37" t="str">
        <f xml:space="preserve"> IFERROR( _xlfn.CONCAT(LEFT(P15,U15-1), "》", MID(P15,U15,1), "${1}", RIGHT(P15, LEN(P15)-U15)), "" )</f>
        <v>》a${1}p</v>
      </c>
      <c r="W15" s="57"/>
      <c r="X15" s="59" t="str">
        <f xml:space="preserve"> IF(AND(Q15&lt;&gt;"", P15&lt;&gt;""), "    - xform/》" &amp; S15 &amp;  "/"  &amp; V15 &amp;  "/", "")</f>
        <v xml:space="preserve">    - xform/》ap(\d)/》a${1}p/</v>
      </c>
    </row>
    <row r="16" spans="1:50" ht="27.75" thickBot="1">
      <c r="A16" s="51">
        <f t="shared" si="7"/>
        <v>13</v>
      </c>
      <c r="B16" s="52" t="str">
        <f>_xlfn.CONCAT("a","t",_xlfn.UNICHAR(794))</f>
        <v>at̚</v>
      </c>
      <c r="C16" s="53" t="s">
        <v>249</v>
      </c>
      <c r="D16" s="54" t="s">
        <v>249</v>
      </c>
      <c r="E16" s="54" t="s">
        <v>249</v>
      </c>
      <c r="F16" s="54" t="s">
        <v>249</v>
      </c>
      <c r="G16" s="55" t="s">
        <v>249</v>
      </c>
      <c r="H16" s="54" t="s">
        <v>250</v>
      </c>
      <c r="I16" s="54" t="s">
        <v>251</v>
      </c>
      <c r="J16" s="56" t="str">
        <f xml:space="preserve"> LEFT(韻母對照表3[[#This Row],[十五音識別碼]],1)</f>
        <v>干</v>
      </c>
      <c r="K16" s="56" t="s">
        <v>252</v>
      </c>
      <c r="L16" s="56" t="s">
        <v>253</v>
      </c>
      <c r="M16" s="54"/>
      <c r="N16" s="56">
        <f xml:space="preserve"> LEN(D16)</f>
        <v>2</v>
      </c>
      <c r="O16" s="58"/>
      <c r="P16" s="54" t="str">
        <f t="shared" si="1"/>
        <v>at</v>
      </c>
      <c r="Q16" s="54" t="str">
        <f t="shared" si="1"/>
        <v>at</v>
      </c>
      <c r="S16" s="37" t="str">
        <f xml:space="preserve"> _xlfn.CONCAT(P16, "(\d)")</f>
        <v>at(\d)</v>
      </c>
      <c r="T16" s="38" t="s">
        <v>185</v>
      </c>
      <c r="U16" s="38" t="str">
        <f xml:space="preserve"> IFERROR( IF(T16="", "", SEARCH(T16, $P16)), "")</f>
        <v/>
      </c>
      <c r="V16" s="37" t="str">
        <f xml:space="preserve"> IFERROR( _xlfn.CONCAT(LEFT(P16,U16-1), "》", MID(P16,U16,1), "${1}", RIGHT(P16, LEN(P16)-U16)), "" )</f>
        <v/>
      </c>
      <c r="W16" s="57"/>
      <c r="X16" s="59" t="str">
        <f xml:space="preserve"> IF(AND(Q16&lt;&gt;"", P16&lt;&gt;""), "    - xform/》" &amp; S16 &amp;  "/"  &amp; V16 &amp;  "/", "")</f>
        <v xml:space="preserve">    - xform/》at(\d)//</v>
      </c>
    </row>
    <row r="17" spans="1:24" ht="27.75" thickBot="1">
      <c r="A17" s="51">
        <f t="shared" si="7"/>
        <v>14</v>
      </c>
      <c r="B17" s="52" t="s">
        <v>254</v>
      </c>
      <c r="C17" s="53" t="s">
        <v>255</v>
      </c>
      <c r="D17" s="54" t="s">
        <v>255</v>
      </c>
      <c r="E17" s="54" t="s">
        <v>255</v>
      </c>
      <c r="F17" s="54" t="s">
        <v>256</v>
      </c>
      <c r="G17" s="55" t="s">
        <v>255</v>
      </c>
      <c r="H17" s="54" t="s">
        <v>257</v>
      </c>
      <c r="I17" s="54" t="s">
        <v>257</v>
      </c>
      <c r="J17" s="56" t="str">
        <f xml:space="preserve"> LEFT(韻母對照表3[[#This Row],[十五音識別碼]],1)</f>
        <v>交</v>
      </c>
      <c r="K17" s="56" t="s">
        <v>258</v>
      </c>
      <c r="L17" s="56" t="s">
        <v>259</v>
      </c>
      <c r="M17" s="54"/>
      <c r="N17" s="56">
        <f xml:space="preserve"> LEN(D17)</f>
        <v>2</v>
      </c>
      <c r="O17" s="58"/>
      <c r="P17" s="54" t="str">
        <f t="shared" si="1"/>
        <v>au</v>
      </c>
      <c r="Q17" s="54" t="str">
        <f t="shared" si="1"/>
        <v>au</v>
      </c>
      <c r="S17" s="37" t="str">
        <f xml:space="preserve"> _xlfn.CONCAT(P17, "(\d)")</f>
        <v>au(\d)</v>
      </c>
      <c r="T17" s="38" t="s">
        <v>168</v>
      </c>
      <c r="U17" s="38">
        <f xml:space="preserve"> IFERROR( IF(T17="", "", SEARCH(T17, $P17)), "")</f>
        <v>1</v>
      </c>
      <c r="V17" s="37" t="str">
        <f xml:space="preserve"> IFERROR( _xlfn.CONCAT(LEFT(P17,U17-1), "》", MID(P17,U17,1), "${1}", RIGHT(P17, LEN(P17)-U17)), "" )</f>
        <v>》a${1}u</v>
      </c>
      <c r="W17" s="57"/>
      <c r="X17" s="59" t="str">
        <f xml:space="preserve"> IF(AND(Q17&lt;&gt;"", P17&lt;&gt;""), "    - xform/》" &amp; S17 &amp;  "/"  &amp; V17 &amp;  "/", "")</f>
        <v xml:space="preserve">    - xform/》au(\d)/》a${1}u/</v>
      </c>
    </row>
    <row r="18" spans="1:24" ht="30.75" thickBot="1">
      <c r="A18" s="51">
        <f t="shared" si="7"/>
        <v>15</v>
      </c>
      <c r="B18" s="52" t="s">
        <v>260</v>
      </c>
      <c r="C18" s="53" t="s">
        <v>261</v>
      </c>
      <c r="D18" s="54" t="s">
        <v>261</v>
      </c>
      <c r="E18" s="54" t="s">
        <v>261</v>
      </c>
      <c r="F18" s="54" t="s">
        <v>262</v>
      </c>
      <c r="G18" s="55" t="s">
        <v>261</v>
      </c>
      <c r="H18" s="66" t="s">
        <v>263</v>
      </c>
      <c r="I18" s="66" t="s">
        <v>264</v>
      </c>
      <c r="J18" s="56" t="str">
        <f xml:space="preserve"> LEFT(韻母對照表3[[#This Row],[十五音識別碼]],1)</f>
        <v>交</v>
      </c>
      <c r="K18" s="56" t="s">
        <v>265</v>
      </c>
      <c r="L18" s="56" t="s">
        <v>266</v>
      </c>
      <c r="M18" s="54"/>
      <c r="N18" s="56">
        <f xml:space="preserve"> LEN(D18)</f>
        <v>3</v>
      </c>
      <c r="O18" s="58"/>
      <c r="P18" s="54" t="str">
        <f t="shared" si="1"/>
        <v>auh</v>
      </c>
      <c r="Q18" s="54" t="str">
        <f t="shared" si="1"/>
        <v>auh</v>
      </c>
      <c r="S18" s="37" t="str">
        <f xml:space="preserve"> _xlfn.CONCAT(P18, "(\d)")</f>
        <v>auh(\d)</v>
      </c>
      <c r="T18" s="38" t="s">
        <v>168</v>
      </c>
      <c r="U18" s="38">
        <f xml:space="preserve"> IFERROR( IF(T18="", "", SEARCH(T18, $P18)), "")</f>
        <v>1</v>
      </c>
      <c r="V18" s="37" t="str">
        <f xml:space="preserve"> IFERROR( _xlfn.CONCAT(LEFT(P18,U18-1), "》", MID(P18,U18,1), "${1}", RIGHT(P18, LEN(P18)-U18)), "" )</f>
        <v>》a${1}uh</v>
      </c>
      <c r="W18" s="57"/>
      <c r="X18" s="59" t="str">
        <f xml:space="preserve"> IF(AND(Q18&lt;&gt;"", P18&lt;&gt;""), "    - xform/》" &amp; S18 &amp;  "/"  &amp; V18 &amp;  "/", "")</f>
        <v xml:space="preserve">    - xform/》auh(\d)/》a${1}uh/</v>
      </c>
    </row>
    <row r="19" spans="1:24" ht="27.75" thickBot="1">
      <c r="A19" s="51">
        <f t="shared" si="7"/>
        <v>16</v>
      </c>
      <c r="B19" s="52" t="s">
        <v>207</v>
      </c>
      <c r="C19" s="53" t="s">
        <v>267</v>
      </c>
      <c r="D19" s="54" t="s">
        <v>268</v>
      </c>
      <c r="E19" s="54" t="s">
        <v>267</v>
      </c>
      <c r="F19" s="54" t="s">
        <v>267</v>
      </c>
      <c r="G19" s="55" t="s">
        <v>269</v>
      </c>
      <c r="H19" s="54" t="s">
        <v>270</v>
      </c>
      <c r="I19" s="54" t="s">
        <v>271</v>
      </c>
      <c r="J19" s="56" t="str">
        <f xml:space="preserve"> LEFT(韻母對照表3[[#This Row],[十五音識別碼]],1)</f>
        <v>稽</v>
      </c>
      <c r="K19" s="56" t="s">
        <v>272</v>
      </c>
      <c r="L19" s="56" t="s">
        <v>273</v>
      </c>
      <c r="M19" s="54"/>
      <c r="N19" s="56">
        <f t="shared" si="0"/>
        <v>2</v>
      </c>
      <c r="O19" s="58"/>
      <c r="P19" s="54" t="str">
        <f>C27</f>
        <v>i</v>
      </c>
      <c r="Q19" s="54" t="str">
        <f>D27</f>
        <v>i</v>
      </c>
      <c r="S19" s="37" t="str">
        <f t="shared" si="2"/>
        <v>i(\d)</v>
      </c>
      <c r="T19" s="38" t="s">
        <v>185</v>
      </c>
      <c r="U19" s="38" t="str">
        <f t="shared" si="3"/>
        <v/>
      </c>
      <c r="V19" s="37" t="str">
        <f t="shared" si="4"/>
        <v/>
      </c>
      <c r="W19" s="57"/>
      <c r="X19" s="59" t="str">
        <f t="shared" si="5"/>
        <v xml:space="preserve">    - xform/》i(\d)//</v>
      </c>
    </row>
    <row r="20" spans="1:24" ht="27.75" thickBot="1">
      <c r="A20" s="51">
        <f t="shared" si="7"/>
        <v>17</v>
      </c>
      <c r="B20" s="52" t="s">
        <v>274</v>
      </c>
      <c r="C20" s="53" t="s">
        <v>275</v>
      </c>
      <c r="D20" s="62" t="s">
        <v>275</v>
      </c>
      <c r="E20" s="68"/>
      <c r="F20" s="68"/>
      <c r="G20" s="68"/>
      <c r="H20" s="69" t="s">
        <v>276</v>
      </c>
      <c r="I20" s="69" t="s">
        <v>271</v>
      </c>
      <c r="J20" s="56" t="str">
        <f xml:space="preserve"> LEFT(韻母對照表3[[#This Row],[十五音識別碼]],1)</f>
        <v>嘉</v>
      </c>
      <c r="K20" s="56" t="s">
        <v>277</v>
      </c>
      <c r="L20" s="70" t="s">
        <v>278</v>
      </c>
      <c r="M20" s="54"/>
      <c r="N20" s="56">
        <f t="shared" si="0"/>
        <v>2</v>
      </c>
      <c r="O20" s="58"/>
      <c r="P20" s="54" t="str">
        <f>C19</f>
        <v>e</v>
      </c>
      <c r="Q20" s="54" t="str">
        <f>D19</f>
        <v>ei</v>
      </c>
      <c r="S20" s="37" t="str">
        <f xml:space="preserve"> _xlfn.CONCAT(P20, "(\d)")</f>
        <v>e(\d)</v>
      </c>
      <c r="T20" s="38" t="s">
        <v>234</v>
      </c>
      <c r="U20" s="38" t="str">
        <f xml:space="preserve"> IFERROR( IF(T20="", "", SEARCH(T20, $P20)), "")</f>
        <v/>
      </c>
      <c r="V20" s="37" t="str">
        <f xml:space="preserve"> IFERROR( _xlfn.CONCAT(LEFT(P20,U20-1), "》", MID(P20,U20,1), "${1}", RIGHT(P20, LEN(P20)-U20)), "" )</f>
        <v/>
      </c>
      <c r="W20" s="57"/>
      <c r="X20" s="59" t="str">
        <f xml:space="preserve"> IF(AND(Q20&lt;&gt;"", P20&lt;&gt;""), "    - xform/》" &amp; S20 &amp;  "/"  &amp; V20 &amp;  "/", "")</f>
        <v xml:space="preserve">    - xform/》e(\d)//</v>
      </c>
    </row>
    <row r="21" spans="1:24" ht="27.75" thickBot="1">
      <c r="A21" s="51">
        <f t="shared" si="7"/>
        <v>18</v>
      </c>
      <c r="B21" s="52" t="str">
        <f xml:space="preserve"> _xlfn.CONCAT(B20, "ʔ")</f>
        <v>ɛʔ</v>
      </c>
      <c r="C21" s="53" t="s">
        <v>279</v>
      </c>
      <c r="D21" s="62" t="s">
        <v>279</v>
      </c>
      <c r="E21" s="68"/>
      <c r="F21" s="68"/>
      <c r="G21" s="68"/>
      <c r="H21" s="69" t="s">
        <v>280</v>
      </c>
      <c r="I21" s="69" t="s">
        <v>281</v>
      </c>
      <c r="J21" s="56" t="str">
        <f xml:space="preserve"> LEFT(韻母對照表3[[#This Row],[十五音識別碼]],1)</f>
        <v>嘉</v>
      </c>
      <c r="K21" s="56" t="s">
        <v>282</v>
      </c>
      <c r="L21" s="70" t="s">
        <v>283</v>
      </c>
      <c r="M21" s="54"/>
      <c r="N21" s="56">
        <f t="shared" si="0"/>
        <v>3</v>
      </c>
      <c r="O21" s="58"/>
      <c r="P21" s="54" t="str">
        <f>C25</f>
        <v>enn</v>
      </c>
      <c r="Q21" s="54" t="str">
        <f>D25</f>
        <v>enn</v>
      </c>
      <c r="S21" s="37" t="str">
        <f xml:space="preserve"> _xlfn.CONCAT(P21, "(\d)")</f>
        <v>enn(\d)</v>
      </c>
      <c r="T21" s="38" t="s">
        <v>234</v>
      </c>
      <c r="U21" s="38" t="str">
        <f xml:space="preserve"> IFERROR( IF(T21="", "", SEARCH(T21, $P21)), "")</f>
        <v/>
      </c>
      <c r="V21" s="37" t="str">
        <f xml:space="preserve"> IFERROR( _xlfn.CONCAT(LEFT(P21,U21-1), "》", MID(P21,U21,1), "${1}", RIGHT(P21, LEN(P21)-U21)), "" )</f>
        <v/>
      </c>
      <c r="W21" s="57"/>
      <c r="X21" s="59" t="str">
        <f xml:space="preserve"> IF(AND(Q21&lt;&gt;"", P21&lt;&gt;""), "    - xform/》" &amp; S21 &amp;  "/"  &amp; V21 &amp;  "/", "")</f>
        <v xml:space="preserve">    - xform/》enn(\d)//</v>
      </c>
    </row>
    <row r="22" spans="1:24" ht="27.75" thickBot="1">
      <c r="A22" s="51">
        <f t="shared" si="7"/>
        <v>19</v>
      </c>
      <c r="B22" s="52" t="s">
        <v>284</v>
      </c>
      <c r="C22" s="53" t="s">
        <v>285</v>
      </c>
      <c r="D22" s="54" t="s">
        <v>285</v>
      </c>
      <c r="E22" s="54" t="s">
        <v>285</v>
      </c>
      <c r="F22" s="54" t="s">
        <v>285</v>
      </c>
      <c r="G22" s="55" t="s">
        <v>285</v>
      </c>
      <c r="H22" s="54" t="s">
        <v>286</v>
      </c>
      <c r="I22" s="54" t="s">
        <v>281</v>
      </c>
      <c r="J22" s="56" t="str">
        <f xml:space="preserve"> LEFT(韻母對照表3[[#This Row],[十五音識別碼]],1)</f>
        <v>伽</v>
      </c>
      <c r="K22" s="56" t="s">
        <v>287</v>
      </c>
      <c r="L22" s="56" t="s">
        <v>288</v>
      </c>
      <c r="M22" s="54"/>
      <c r="N22" s="56">
        <f xml:space="preserve"> LEN(D22)</f>
        <v>2</v>
      </c>
      <c r="O22" s="58"/>
      <c r="P22" s="54" t="str">
        <f>C41</f>
        <v>ih</v>
      </c>
      <c r="Q22" s="54" t="str">
        <f>D41</f>
        <v>ih</v>
      </c>
      <c r="S22" s="37" t="str">
        <f xml:space="preserve"> _xlfn.CONCAT(P22, "(\d)")</f>
        <v>ih(\d)</v>
      </c>
      <c r="T22" s="38" t="s">
        <v>168</v>
      </c>
      <c r="U22" s="38" t="str">
        <f xml:space="preserve"> IFERROR( IF(T22="", "", SEARCH(T22, $P22)), "")</f>
        <v/>
      </c>
      <c r="V22" s="37" t="str">
        <f xml:space="preserve"> IFERROR( _xlfn.CONCAT(LEFT(P22,U22-1), "》", MID(P22,U22,1), "${1}", RIGHT(P22, LEN(P22)-U22)), "" )</f>
        <v/>
      </c>
      <c r="W22" s="57"/>
      <c r="X22" s="59" t="str">
        <f xml:space="preserve"> IF(AND(Q22&lt;&gt;"", P22&lt;&gt;""), "    - xform/》" &amp; S22 &amp;  "/"  &amp; V22 &amp;  "/", "")</f>
        <v xml:space="preserve">    - xform/》ih(\d)//</v>
      </c>
    </row>
    <row r="23" spans="1:24" ht="27.75" thickBot="1">
      <c r="A23" s="51">
        <f t="shared" si="7"/>
        <v>20</v>
      </c>
      <c r="B23" s="52" t="str">
        <f xml:space="preserve"> _xlfn.CONCAT("ɪ",, "k")</f>
        <v>ɪk</v>
      </c>
      <c r="C23" s="53" t="s">
        <v>289</v>
      </c>
      <c r="D23" s="62" t="s">
        <v>289</v>
      </c>
      <c r="E23" s="68"/>
      <c r="F23" s="68"/>
      <c r="G23" s="68"/>
      <c r="H23" s="71" t="s">
        <v>290</v>
      </c>
      <c r="I23" s="71" t="s">
        <v>291</v>
      </c>
      <c r="J23" s="56" t="str">
        <f xml:space="preserve"> LEFT(韻母對照表3[[#This Row],[十五音識別碼]],1)</f>
        <v>經</v>
      </c>
      <c r="K23" s="56" t="s">
        <v>191</v>
      </c>
      <c r="L23" s="70" t="s">
        <v>292</v>
      </c>
      <c r="M23" s="54"/>
      <c r="N23" s="56">
        <f xml:space="preserve"> LEN(D23)</f>
        <v>2</v>
      </c>
      <c r="O23" s="58"/>
      <c r="P23" s="54" t="str">
        <f>C26</f>
        <v>ennh</v>
      </c>
      <c r="Q23" s="54" t="str">
        <f>D26</f>
        <v>ennh</v>
      </c>
      <c r="S23" s="37" t="str">
        <f xml:space="preserve"> _xlfn.CONCAT(P23, "(\d)")</f>
        <v>ennh(\d)</v>
      </c>
      <c r="T23" s="38" t="s">
        <v>234</v>
      </c>
      <c r="U23" s="38" t="str">
        <f xml:space="preserve"> IFERROR( IF(T23="", "", SEARCH(T23, $P23)), "")</f>
        <v/>
      </c>
      <c r="V23" s="37" t="str">
        <f xml:space="preserve"> IFERROR( _xlfn.CONCAT(LEFT(P23,U23-1), "》", MID(P23,U23,1), "${1}", RIGHT(P23, LEN(P23)-U23)), "" )</f>
        <v/>
      </c>
      <c r="W23" s="57"/>
      <c r="X23" s="59" t="str">
        <f xml:space="preserve"> IF(AND(Q23&lt;&gt;"", P23&lt;&gt;""), "    - xform/》" &amp; S23 &amp;  "/"  &amp; V23 &amp;  "/", "")</f>
        <v xml:space="preserve">    - xform/》ennh(\d)//</v>
      </c>
    </row>
    <row r="24" spans="1:24" ht="27.75" thickBot="1">
      <c r="A24" s="51">
        <f t="shared" si="7"/>
        <v>21</v>
      </c>
      <c r="B24" s="52" t="str">
        <f xml:space="preserve"> _xlfn.CONCAT("ɪ", "ŋ")</f>
        <v>ɪŋ</v>
      </c>
      <c r="C24" s="53" t="s">
        <v>293</v>
      </c>
      <c r="D24" s="62" t="s">
        <v>293</v>
      </c>
      <c r="E24" s="68"/>
      <c r="F24" s="68"/>
      <c r="G24" s="68"/>
      <c r="H24" s="71" t="s">
        <v>294</v>
      </c>
      <c r="I24" s="71" t="s">
        <v>295</v>
      </c>
      <c r="J24" s="56" t="str">
        <f xml:space="preserve"> LEFT(韻母對照表3[[#This Row],[十五音識別碼]],1)</f>
        <v>經</v>
      </c>
      <c r="K24" s="56" t="s">
        <v>191</v>
      </c>
      <c r="L24" s="70" t="s">
        <v>296</v>
      </c>
      <c r="M24" s="54"/>
      <c r="N24" s="56">
        <f t="shared" ref="N24" si="9" xml:space="preserve"> LEN(D24)</f>
        <v>3</v>
      </c>
      <c r="O24" s="58"/>
      <c r="P24" s="54" t="str">
        <f>C22</f>
        <v>eh</v>
      </c>
      <c r="Q24" s="54" t="str">
        <f>D22</f>
        <v>eh</v>
      </c>
      <c r="S24" s="37" t="str">
        <f xml:space="preserve"> _xlfn.CONCAT(P24, "(\d)")</f>
        <v>eh(\d)</v>
      </c>
      <c r="T24" s="38" t="s">
        <v>168</v>
      </c>
      <c r="U24" s="38" t="str">
        <f xml:space="preserve"> IFERROR( IF(T24="", "", SEARCH(T24, $P24)), "")</f>
        <v/>
      </c>
      <c r="V24" s="37" t="str">
        <f xml:space="preserve"> IFERROR( _xlfn.CONCAT(LEFT(P24,U24-1), "》", MID(P24,U24,1), "${1}", RIGHT(P24, LEN(P24)-U24)), "" )</f>
        <v/>
      </c>
      <c r="W24" s="57"/>
      <c r="X24" s="59" t="str">
        <f xml:space="preserve"> IF(AND(Q24&lt;&gt;"", P24&lt;&gt;""), "    - xform/》" &amp; S24 &amp;  "/"  &amp; V24 &amp;  "/", "")</f>
        <v xml:space="preserve">    - xform/》eh(\d)//</v>
      </c>
    </row>
    <row r="25" spans="1:24" ht="27.75" thickBot="1">
      <c r="A25" s="51">
        <f t="shared" si="7"/>
        <v>22</v>
      </c>
      <c r="B25" s="52" t="s">
        <v>297</v>
      </c>
      <c r="C25" s="53" t="s">
        <v>298</v>
      </c>
      <c r="D25" s="54" t="s">
        <v>298</v>
      </c>
      <c r="E25" s="54" t="s">
        <v>298</v>
      </c>
      <c r="F25" s="54" t="s">
        <v>299</v>
      </c>
      <c r="G25" s="55" t="s">
        <v>300</v>
      </c>
      <c r="H25" s="54" t="s">
        <v>301</v>
      </c>
      <c r="I25" s="54" t="s">
        <v>302</v>
      </c>
      <c r="J25" s="56" t="str">
        <f xml:space="preserve"> LEFT(韻母對照表3[[#This Row],[十五音識別碼]],1)</f>
        <v>更</v>
      </c>
      <c r="K25" s="56" t="s">
        <v>303</v>
      </c>
      <c r="L25" s="56" t="s">
        <v>304</v>
      </c>
      <c r="M25" s="65" t="s">
        <v>201</v>
      </c>
      <c r="N25" s="56">
        <f t="shared" si="0"/>
        <v>3</v>
      </c>
      <c r="O25" s="58"/>
      <c r="P25" s="54" t="str">
        <f>C46</f>
        <v>inn</v>
      </c>
      <c r="Q25" s="54" t="str">
        <f>D46</f>
        <v>inn</v>
      </c>
      <c r="S25" s="37" t="str">
        <f t="shared" si="2"/>
        <v>inn(\d)</v>
      </c>
      <c r="T25" s="38" t="s">
        <v>185</v>
      </c>
      <c r="U25" s="38" t="str">
        <f t="shared" si="3"/>
        <v/>
      </c>
      <c r="V25" s="37" t="str">
        <f t="shared" si="4"/>
        <v/>
      </c>
      <c r="W25" s="57"/>
      <c r="X25" s="59" t="str">
        <f t="shared" si="5"/>
        <v xml:space="preserve">    - xform/》inn(\d)//</v>
      </c>
    </row>
    <row r="26" spans="1:24" ht="30.75" thickBot="1">
      <c r="A26" s="51">
        <f t="shared" si="7"/>
        <v>23</v>
      </c>
      <c r="B26" s="52" t="s">
        <v>305</v>
      </c>
      <c r="C26" s="53" t="s">
        <v>306</v>
      </c>
      <c r="D26" s="62" t="s">
        <v>307</v>
      </c>
      <c r="E26" s="62" t="s">
        <v>307</v>
      </c>
      <c r="F26" s="62" t="s">
        <v>307</v>
      </c>
      <c r="G26" s="62" t="s">
        <v>308</v>
      </c>
      <c r="H26" s="72" t="s">
        <v>309</v>
      </c>
      <c r="I26" s="73" t="s">
        <v>310</v>
      </c>
      <c r="J26" s="56" t="str">
        <f xml:space="preserve"> LEFT(韻母對照表3[[#This Row],[十五音識別碼]],1)</f>
        <v>更</v>
      </c>
      <c r="K26" s="56" t="s">
        <v>311</v>
      </c>
      <c r="L26" s="64" t="s">
        <v>312</v>
      </c>
      <c r="M26" s="65" t="s">
        <v>201</v>
      </c>
      <c r="N26" s="56">
        <f t="shared" si="0"/>
        <v>4</v>
      </c>
      <c r="O26" s="58"/>
      <c r="P26" s="54" t="str">
        <f>C43</f>
        <v>im</v>
      </c>
      <c r="Q26" s="54" t="str">
        <f>D43</f>
        <v>im</v>
      </c>
      <c r="S26" s="37" t="str">
        <f t="shared" si="2"/>
        <v>im(\d)</v>
      </c>
      <c r="T26" s="38" t="s">
        <v>207</v>
      </c>
      <c r="U26" s="38" t="str">
        <f t="shared" si="3"/>
        <v/>
      </c>
      <c r="V26" s="37" t="str">
        <f t="shared" si="4"/>
        <v/>
      </c>
      <c r="W26" s="57"/>
      <c r="X26" s="59" t="str">
        <f t="shared" si="5"/>
        <v xml:space="preserve">    - xform/》im(\d)//</v>
      </c>
    </row>
    <row r="27" spans="1:24" ht="27.75" thickBot="1">
      <c r="A27" s="51">
        <f t="shared" si="7"/>
        <v>24</v>
      </c>
      <c r="B27" s="52" t="s">
        <v>234</v>
      </c>
      <c r="C27" s="53" t="s">
        <v>313</v>
      </c>
      <c r="D27" s="54" t="s">
        <v>313</v>
      </c>
      <c r="E27" s="54" t="s">
        <v>313</v>
      </c>
      <c r="F27" s="54" t="s">
        <v>313</v>
      </c>
      <c r="G27" s="55" t="s">
        <v>313</v>
      </c>
      <c r="H27" s="54" t="s">
        <v>314</v>
      </c>
      <c r="I27" s="54" t="s">
        <v>314</v>
      </c>
      <c r="J27" s="56" t="str">
        <f xml:space="preserve"> LEFT(韻母對照表3[[#This Row],[十五音識別碼]],1)</f>
        <v>居</v>
      </c>
      <c r="K27" s="56" t="s">
        <v>315</v>
      </c>
      <c r="L27" s="56" t="s">
        <v>316</v>
      </c>
      <c r="M27" s="54"/>
      <c r="N27" s="56">
        <f t="shared" si="0"/>
        <v>1</v>
      </c>
      <c r="O27" s="58"/>
      <c r="P27" s="54" t="str">
        <f>C44</f>
        <v>in</v>
      </c>
      <c r="Q27" s="54" t="str">
        <f>D44</f>
        <v>in</v>
      </c>
      <c r="S27" s="37" t="str">
        <f t="shared" si="2"/>
        <v>in(\d)</v>
      </c>
      <c r="T27" s="38" t="s">
        <v>168</v>
      </c>
      <c r="U27" s="38" t="str">
        <f t="shared" si="3"/>
        <v/>
      </c>
      <c r="V27" s="37" t="str">
        <f t="shared" si="4"/>
        <v/>
      </c>
      <c r="W27" s="57"/>
      <c r="X27" s="59" t="str">
        <f t="shared" si="5"/>
        <v xml:space="preserve">    - xform/》in(\d)//</v>
      </c>
    </row>
    <row r="28" spans="1:24" ht="27.75" thickBot="1">
      <c r="A28" s="51">
        <f t="shared" si="7"/>
        <v>25</v>
      </c>
      <c r="B28" s="52" t="s">
        <v>317</v>
      </c>
      <c r="C28" s="53" t="s">
        <v>318</v>
      </c>
      <c r="D28" s="54" t="s">
        <v>318</v>
      </c>
      <c r="E28" s="54" t="s">
        <v>318</v>
      </c>
      <c r="F28" s="54" t="s">
        <v>318</v>
      </c>
      <c r="G28" s="55" t="s">
        <v>318</v>
      </c>
      <c r="H28" s="54" t="s">
        <v>319</v>
      </c>
      <c r="I28" s="54" t="s">
        <v>319</v>
      </c>
      <c r="J28" s="56" t="str">
        <f xml:space="preserve"> LEFT(韻母對照表3[[#This Row],[十五音識別碼]],1)</f>
        <v>迦</v>
      </c>
      <c r="K28" s="56" t="s">
        <v>320</v>
      </c>
      <c r="L28" s="56" t="s">
        <v>321</v>
      </c>
      <c r="M28" s="54"/>
      <c r="N28" s="56">
        <f t="shared" si="0"/>
        <v>2</v>
      </c>
      <c r="O28" s="58"/>
      <c r="P28" s="54" t="str">
        <f>C31</f>
        <v>iam</v>
      </c>
      <c r="Q28" s="54" t="str">
        <f>D31</f>
        <v>iam</v>
      </c>
      <c r="S28" s="37" t="str">
        <f t="shared" si="2"/>
        <v>iam(\d)</v>
      </c>
      <c r="T28" s="38" t="s">
        <v>234</v>
      </c>
      <c r="U28" s="38">
        <f t="shared" si="3"/>
        <v>1</v>
      </c>
      <c r="V28" s="37" t="str">
        <f t="shared" si="4"/>
        <v>》i${1}am</v>
      </c>
      <c r="W28" s="57"/>
      <c r="X28" s="59" t="str">
        <f t="shared" si="5"/>
        <v xml:space="preserve">    - xform/》iam(\d)/》i${1}am/</v>
      </c>
    </row>
    <row r="29" spans="1:24" ht="27.75" thickBot="1">
      <c r="A29" s="51">
        <f t="shared" si="7"/>
        <v>26</v>
      </c>
      <c r="B29" s="52" t="str">
        <f xml:space="preserve"> _xlfn.CONCAT(B28, "ʔ")</f>
        <v>ɪaʔ</v>
      </c>
      <c r="C29" s="53" t="s">
        <v>322</v>
      </c>
      <c r="D29" s="54" t="s">
        <v>322</v>
      </c>
      <c r="E29" s="54" t="s">
        <v>322</v>
      </c>
      <c r="F29" s="54" t="s">
        <v>322</v>
      </c>
      <c r="G29" s="55" t="s">
        <v>322</v>
      </c>
      <c r="H29" s="54" t="s">
        <v>323</v>
      </c>
      <c r="I29" s="54" t="s">
        <v>324</v>
      </c>
      <c r="J29" s="56" t="str">
        <f xml:space="preserve"> LEFT(韻母對照表3[[#This Row],[十五音識別碼]],1)</f>
        <v>迦</v>
      </c>
      <c r="K29" s="56" t="s">
        <v>325</v>
      </c>
      <c r="L29" s="56" t="s">
        <v>326</v>
      </c>
      <c r="M29" s="54"/>
      <c r="N29" s="56">
        <f t="shared" si="0"/>
        <v>3</v>
      </c>
      <c r="O29" s="58"/>
      <c r="P29" s="54" t="str">
        <f>C33</f>
        <v>iang</v>
      </c>
      <c r="Q29" s="54" t="str">
        <f>D33</f>
        <v>iang</v>
      </c>
      <c r="S29" s="37" t="str">
        <f t="shared" si="2"/>
        <v>iang(\d)</v>
      </c>
      <c r="T29" s="38" t="s">
        <v>234</v>
      </c>
      <c r="U29" s="38">
        <f t="shared" si="3"/>
        <v>1</v>
      </c>
      <c r="V29" s="37" t="str">
        <f t="shared" si="4"/>
        <v>》i${1}ang</v>
      </c>
      <c r="W29" s="57"/>
      <c r="X29" s="59" t="str">
        <f t="shared" si="5"/>
        <v xml:space="preserve">    - xform/》iang(\d)/》i${1}ang/</v>
      </c>
    </row>
    <row r="30" spans="1:24" ht="27.75" thickBot="1">
      <c r="A30" s="51">
        <f t="shared" si="7"/>
        <v>27</v>
      </c>
      <c r="B30" s="52" t="s">
        <v>327</v>
      </c>
      <c r="C30" s="53" t="s">
        <v>328</v>
      </c>
      <c r="D30" s="54" t="s">
        <v>328</v>
      </c>
      <c r="E30" s="54" t="s">
        <v>328</v>
      </c>
      <c r="F30" s="54" t="s">
        <v>328</v>
      </c>
      <c r="G30" s="55" t="s">
        <v>328</v>
      </c>
      <c r="H30" s="54" t="s">
        <v>329</v>
      </c>
      <c r="I30" s="54" t="s">
        <v>330</v>
      </c>
      <c r="J30" s="56" t="str">
        <f xml:space="preserve"> LEFT(韻母對照表3[[#This Row],[十五音識別碼]],1)</f>
        <v>姜</v>
      </c>
      <c r="K30" s="56" t="s">
        <v>331</v>
      </c>
      <c r="L30" s="56" t="s">
        <v>332</v>
      </c>
      <c r="M30" s="54"/>
      <c r="N30" s="56">
        <f t="shared" si="0"/>
        <v>3</v>
      </c>
      <c r="O30" s="58"/>
      <c r="P30" s="54" t="str">
        <f>C47</f>
        <v>io</v>
      </c>
      <c r="Q30" s="54" t="str">
        <f>D47</f>
        <v>io</v>
      </c>
      <c r="S30" s="37" t="str">
        <f t="shared" si="2"/>
        <v>io(\d)</v>
      </c>
      <c r="T30" s="38" t="s">
        <v>168</v>
      </c>
      <c r="U30" s="38" t="str">
        <f t="shared" si="3"/>
        <v/>
      </c>
      <c r="V30" s="37" t="str">
        <f t="shared" si="4"/>
        <v/>
      </c>
      <c r="W30" s="57"/>
      <c r="X30" s="59" t="str">
        <f t="shared" si="5"/>
        <v xml:space="preserve">    - xform/》io(\d)//</v>
      </c>
    </row>
    <row r="31" spans="1:24" ht="27.75" thickBot="1">
      <c r="A31" s="51">
        <f t="shared" si="7"/>
        <v>28</v>
      </c>
      <c r="B31" s="52" t="s">
        <v>333</v>
      </c>
      <c r="C31" s="53" t="s">
        <v>334</v>
      </c>
      <c r="D31" s="54" t="s">
        <v>334</v>
      </c>
      <c r="E31" s="54" t="s">
        <v>334</v>
      </c>
      <c r="F31" s="54" t="s">
        <v>334</v>
      </c>
      <c r="G31" s="55" t="s">
        <v>334</v>
      </c>
      <c r="H31" s="54" t="s">
        <v>335</v>
      </c>
      <c r="I31" s="54" t="s">
        <v>336</v>
      </c>
      <c r="J31" s="56" t="str">
        <f xml:space="preserve"> LEFT(韻母對照表3[[#This Row],[十五音識別碼]],1)</f>
        <v>兼</v>
      </c>
      <c r="K31" s="56" t="s">
        <v>337</v>
      </c>
      <c r="L31" s="56" t="s">
        <v>338</v>
      </c>
      <c r="M31" s="54"/>
      <c r="N31" s="56">
        <f t="shared" si="0"/>
        <v>3</v>
      </c>
      <c r="O31" s="58"/>
      <c r="P31" s="54" t="str">
        <f>C37</f>
        <v>iat</v>
      </c>
      <c r="Q31" s="54" t="str">
        <f>D37</f>
        <v>iat</v>
      </c>
      <c r="S31" s="37" t="str">
        <f t="shared" si="2"/>
        <v>iat(\d)</v>
      </c>
      <c r="T31" s="38" t="s">
        <v>207</v>
      </c>
      <c r="U31" s="38" t="str">
        <f t="shared" si="3"/>
        <v/>
      </c>
      <c r="V31" s="37" t="str">
        <f t="shared" si="4"/>
        <v/>
      </c>
      <c r="W31" s="57"/>
      <c r="X31" s="59" t="str">
        <f t="shared" si="5"/>
        <v xml:space="preserve">    - xform/》iat(\d)//</v>
      </c>
    </row>
    <row r="32" spans="1:24" ht="27.75" thickBot="1">
      <c r="A32" s="51">
        <f t="shared" si="7"/>
        <v>29</v>
      </c>
      <c r="B32" s="52" t="s">
        <v>339</v>
      </c>
      <c r="C32" s="53" t="s">
        <v>340</v>
      </c>
      <c r="D32" s="54" t="s">
        <v>340</v>
      </c>
      <c r="E32" s="54" t="s">
        <v>340</v>
      </c>
      <c r="F32" s="54" t="s">
        <v>340</v>
      </c>
      <c r="G32" s="55" t="s">
        <v>340</v>
      </c>
      <c r="H32" s="54" t="s">
        <v>341</v>
      </c>
      <c r="I32" s="54" t="s">
        <v>341</v>
      </c>
      <c r="J32" s="56" t="str">
        <f xml:space="preserve"> LEFT(韻母對照表3[[#This Row],[十五音識別碼]],1)</f>
        <v>堅</v>
      </c>
      <c r="K32" s="56" t="s">
        <v>342</v>
      </c>
      <c r="L32" s="56" t="s">
        <v>343</v>
      </c>
      <c r="M32" s="54"/>
      <c r="N32" s="56">
        <f t="shared" si="0"/>
        <v>3</v>
      </c>
      <c r="O32" s="58"/>
      <c r="P32" s="54" t="str">
        <f>C30</f>
        <v>iak</v>
      </c>
      <c r="Q32" s="54" t="str">
        <f>D30</f>
        <v>iak</v>
      </c>
      <c r="S32" s="37" t="str">
        <f t="shared" si="2"/>
        <v>iak(\d)</v>
      </c>
      <c r="T32" s="38" t="s">
        <v>225</v>
      </c>
      <c r="U32" s="38" t="str">
        <f t="shared" si="3"/>
        <v/>
      </c>
      <c r="V32" s="37" t="str">
        <f t="shared" si="4"/>
        <v/>
      </c>
      <c r="W32" s="57"/>
      <c r="X32" s="59" t="str">
        <f t="shared" si="5"/>
        <v xml:space="preserve">    - xform/》iak(\d)//</v>
      </c>
    </row>
    <row r="33" spans="1:24" ht="27.75" thickBot="1">
      <c r="A33" s="51">
        <f t="shared" si="7"/>
        <v>30</v>
      </c>
      <c r="B33" s="52" t="s">
        <v>344</v>
      </c>
      <c r="C33" s="53" t="s">
        <v>345</v>
      </c>
      <c r="D33" s="54" t="s">
        <v>345</v>
      </c>
      <c r="E33" s="54" t="s">
        <v>345</v>
      </c>
      <c r="F33" s="54" t="s">
        <v>345</v>
      </c>
      <c r="G33" s="55" t="s">
        <v>345</v>
      </c>
      <c r="H33" s="54" t="s">
        <v>346</v>
      </c>
      <c r="I33" s="54" t="s">
        <v>346</v>
      </c>
      <c r="J33" s="56" t="str">
        <f xml:space="preserve"> LEFT(韻母對照表3[[#This Row],[十五音識別碼]],1)</f>
        <v>姜</v>
      </c>
      <c r="K33" s="56" t="s">
        <v>347</v>
      </c>
      <c r="L33" s="56" t="s">
        <v>348</v>
      </c>
      <c r="M33" s="54"/>
      <c r="N33" s="56">
        <f t="shared" si="0"/>
        <v>4</v>
      </c>
      <c r="O33" s="58"/>
      <c r="P33" s="54" t="str">
        <f>C38</f>
        <v>iau</v>
      </c>
      <c r="Q33" s="54" t="str">
        <f>D38</f>
        <v>iau</v>
      </c>
      <c r="S33" s="37" t="str">
        <f t="shared" si="2"/>
        <v>iau(\d)</v>
      </c>
      <c r="T33" s="38" t="s">
        <v>185</v>
      </c>
      <c r="U33" s="38" t="str">
        <f t="shared" si="3"/>
        <v/>
      </c>
      <c r="V33" s="37" t="str">
        <f t="shared" si="4"/>
        <v/>
      </c>
      <c r="W33" s="57"/>
      <c r="X33" s="59" t="str">
        <f t="shared" si="5"/>
        <v xml:space="preserve">    - xform/》iau(\d)//</v>
      </c>
    </row>
    <row r="34" spans="1:24" ht="27.75" thickBot="1">
      <c r="A34" s="51">
        <f t="shared" si="7"/>
        <v>31</v>
      </c>
      <c r="B34" s="52" t="str">
        <f>_xlfn.CONCAT("ɪ", "a", _xlfn.UNICHAR(771), "")</f>
        <v>ɪã</v>
      </c>
      <c r="C34" s="53" t="s">
        <v>349</v>
      </c>
      <c r="D34" s="54" t="s">
        <v>349</v>
      </c>
      <c r="E34" s="54" t="s">
        <v>349</v>
      </c>
      <c r="F34" s="54" t="s">
        <v>350</v>
      </c>
      <c r="G34" s="55" t="s">
        <v>351</v>
      </c>
      <c r="H34" s="54" t="s">
        <v>352</v>
      </c>
      <c r="I34" s="54" t="s">
        <v>353</v>
      </c>
      <c r="J34" s="56" t="str">
        <f xml:space="preserve"> LEFT(韻母對照表3[[#This Row],[十五音識別碼]],1)</f>
        <v>驚</v>
      </c>
      <c r="K34" s="56" t="s">
        <v>191</v>
      </c>
      <c r="L34" s="56" t="s">
        <v>354</v>
      </c>
      <c r="M34" s="65" t="s">
        <v>201</v>
      </c>
      <c r="N34" s="56">
        <f t="shared" si="0"/>
        <v>4</v>
      </c>
      <c r="O34" s="58"/>
      <c r="P34" s="54" t="str">
        <f>C32</f>
        <v>ian</v>
      </c>
      <c r="Q34" s="54" t="str">
        <f>D32</f>
        <v>ian</v>
      </c>
      <c r="S34" s="37" t="str">
        <f t="shared" si="2"/>
        <v>ian(\d)</v>
      </c>
      <c r="T34" s="38" t="s">
        <v>234</v>
      </c>
      <c r="U34" s="38">
        <f t="shared" si="3"/>
        <v>1</v>
      </c>
      <c r="V34" s="37" t="str">
        <f t="shared" si="4"/>
        <v>》i${1}an</v>
      </c>
      <c r="W34" s="57"/>
      <c r="X34" s="59" t="str">
        <f t="shared" si="5"/>
        <v xml:space="preserve">    - xform/》ian(\d)/》i${1}an/</v>
      </c>
    </row>
    <row r="35" spans="1:24" ht="30.75" thickBot="1">
      <c r="A35" s="51">
        <f t="shared" si="7"/>
        <v>32</v>
      </c>
      <c r="B35" s="52" t="str">
        <f xml:space="preserve"> _xlfn.CONCAT(B34, "ʔ")</f>
        <v>ɪãʔ</v>
      </c>
      <c r="C35" s="53" t="s">
        <v>355</v>
      </c>
      <c r="D35" s="62" t="s">
        <v>356</v>
      </c>
      <c r="E35" s="62" t="s">
        <v>356</v>
      </c>
      <c r="F35" s="62" t="s">
        <v>356</v>
      </c>
      <c r="G35" s="62" t="s">
        <v>357</v>
      </c>
      <c r="H35" s="63" t="s">
        <v>358</v>
      </c>
      <c r="I35" s="63" t="s">
        <v>359</v>
      </c>
      <c r="J35" s="56" t="str">
        <f xml:space="preserve"> LEFT(韻母對照表3[[#This Row],[十五音識別碼]],1)</f>
        <v>迦</v>
      </c>
      <c r="K35" s="56" t="s">
        <v>360</v>
      </c>
      <c r="L35" s="64" t="s">
        <v>326</v>
      </c>
      <c r="M35" s="65" t="s">
        <v>201</v>
      </c>
      <c r="N35" s="56">
        <f t="shared" si="0"/>
        <v>5</v>
      </c>
      <c r="O35" s="58"/>
      <c r="P35" s="54" t="str">
        <f>C36</f>
        <v>iap</v>
      </c>
      <c r="Q35" s="54" t="str">
        <f>D36</f>
        <v>iap</v>
      </c>
      <c r="S35" s="37" t="str">
        <f t="shared" si="2"/>
        <v>iap(\d)</v>
      </c>
      <c r="T35" s="38" t="s">
        <v>234</v>
      </c>
      <c r="U35" s="38">
        <f t="shared" si="3"/>
        <v>1</v>
      </c>
      <c r="V35" s="37" t="str">
        <f t="shared" si="4"/>
        <v>》i${1}ap</v>
      </c>
      <c r="W35" s="57"/>
      <c r="X35" s="59" t="str">
        <f t="shared" si="5"/>
        <v xml:space="preserve">    - xform/》iap(\d)/》i${1}ap/</v>
      </c>
    </row>
    <row r="36" spans="1:24" ht="27.75" thickBot="1">
      <c r="A36" s="51">
        <f t="shared" si="7"/>
        <v>33</v>
      </c>
      <c r="B36" s="52" t="s">
        <v>361</v>
      </c>
      <c r="C36" s="53" t="s">
        <v>362</v>
      </c>
      <c r="D36" s="54" t="s">
        <v>362</v>
      </c>
      <c r="E36" s="54" t="s">
        <v>362</v>
      </c>
      <c r="F36" s="54" t="s">
        <v>362</v>
      </c>
      <c r="G36" s="55" t="s">
        <v>362</v>
      </c>
      <c r="H36" s="54" t="s">
        <v>363</v>
      </c>
      <c r="I36" s="54" t="s">
        <v>364</v>
      </c>
      <c r="J36" s="56" t="str">
        <f xml:space="preserve"> LEFT(韻母對照表3[[#This Row],[十五音識別碼]],1)</f>
        <v>兼</v>
      </c>
      <c r="K36" s="56" t="s">
        <v>365</v>
      </c>
      <c r="L36" s="56" t="s">
        <v>366</v>
      </c>
      <c r="M36" s="54"/>
      <c r="N36" s="56">
        <f t="shared" si="0"/>
        <v>3</v>
      </c>
      <c r="O36" s="58"/>
      <c r="P36" s="54" t="str">
        <f>C40</f>
        <v>iaunn</v>
      </c>
      <c r="Q36" s="54" t="str">
        <f>D40</f>
        <v>iaunn</v>
      </c>
      <c r="S36" s="37" t="str">
        <f t="shared" si="2"/>
        <v>iaunn(\d)</v>
      </c>
      <c r="T36" s="38" t="s">
        <v>185</v>
      </c>
      <c r="U36" s="38" t="str">
        <f t="shared" si="3"/>
        <v/>
      </c>
      <c r="V36" s="37" t="str">
        <f t="shared" si="4"/>
        <v/>
      </c>
      <c r="W36" s="57"/>
      <c r="X36" s="59" t="str">
        <f t="shared" si="5"/>
        <v xml:space="preserve">    - xform/》iaunn(\d)//</v>
      </c>
    </row>
    <row r="37" spans="1:24" ht="27.75" thickBot="1">
      <c r="A37" s="51">
        <f t="shared" si="7"/>
        <v>34</v>
      </c>
      <c r="B37" s="52" t="s">
        <v>367</v>
      </c>
      <c r="C37" s="53" t="s">
        <v>368</v>
      </c>
      <c r="D37" s="54" t="s">
        <v>368</v>
      </c>
      <c r="E37" s="54" t="s">
        <v>368</v>
      </c>
      <c r="F37" s="54" t="s">
        <v>368</v>
      </c>
      <c r="G37" s="55" t="s">
        <v>368</v>
      </c>
      <c r="H37" s="54" t="s">
        <v>369</v>
      </c>
      <c r="I37" s="54" t="s">
        <v>370</v>
      </c>
      <c r="J37" s="56" t="str">
        <f xml:space="preserve"> LEFT(韻母對照表3[[#This Row],[十五音識別碼]],1)</f>
        <v>堅</v>
      </c>
      <c r="K37" s="56" t="s">
        <v>371</v>
      </c>
      <c r="L37" s="56" t="s">
        <v>372</v>
      </c>
      <c r="M37" s="54"/>
      <c r="N37" s="56">
        <f t="shared" si="0"/>
        <v>3</v>
      </c>
      <c r="O37" s="58"/>
      <c r="P37" s="54" t="str">
        <f>C39</f>
        <v>iauh</v>
      </c>
      <c r="Q37" s="54" t="str">
        <f>D39</f>
        <v>iauh</v>
      </c>
      <c r="S37" s="37" t="str">
        <f t="shared" si="2"/>
        <v>iauh(\d)</v>
      </c>
      <c r="T37" s="38" t="s">
        <v>185</v>
      </c>
      <c r="U37" s="38" t="str">
        <f t="shared" si="3"/>
        <v/>
      </c>
      <c r="V37" s="37" t="str">
        <f t="shared" si="4"/>
        <v/>
      </c>
      <c r="W37" s="57"/>
      <c r="X37" s="59" t="str">
        <f t="shared" si="5"/>
        <v xml:space="preserve">    - xform/》iauh(\d)//</v>
      </c>
    </row>
    <row r="38" spans="1:24" ht="27.75" thickBot="1">
      <c r="A38" s="51">
        <f t="shared" si="7"/>
        <v>35</v>
      </c>
      <c r="B38" s="52" t="s">
        <v>373</v>
      </c>
      <c r="C38" s="53" t="s">
        <v>374</v>
      </c>
      <c r="D38" s="54" t="s">
        <v>374</v>
      </c>
      <c r="E38" s="54" t="s">
        <v>374</v>
      </c>
      <c r="F38" s="54" t="s">
        <v>375</v>
      </c>
      <c r="G38" s="55" t="s">
        <v>374</v>
      </c>
      <c r="H38" s="54" t="s">
        <v>376</v>
      </c>
      <c r="I38" s="54" t="s">
        <v>376</v>
      </c>
      <c r="J38" s="56" t="str">
        <f xml:space="preserve"> LEFT(韻母對照表3[[#This Row],[十五音識別碼]],1)</f>
        <v>嬌</v>
      </c>
      <c r="K38" s="56" t="s">
        <v>377</v>
      </c>
      <c r="L38" s="56" t="s">
        <v>378</v>
      </c>
      <c r="M38" s="54"/>
      <c r="N38" s="56">
        <f t="shared" si="0"/>
        <v>3</v>
      </c>
      <c r="O38" s="58"/>
      <c r="P38" s="54" t="str">
        <f>C53</f>
        <v>ionn</v>
      </c>
      <c r="Q38" s="54" t="str">
        <f>D53</f>
        <v>ionn</v>
      </c>
      <c r="S38" s="37" t="str">
        <f t="shared" si="2"/>
        <v>ionn(\d)</v>
      </c>
      <c r="T38" s="38" t="s">
        <v>168</v>
      </c>
      <c r="U38" s="38" t="str">
        <f t="shared" si="3"/>
        <v/>
      </c>
      <c r="V38" s="37" t="str">
        <f t="shared" si="4"/>
        <v/>
      </c>
      <c r="W38" s="57"/>
      <c r="X38" s="59" t="str">
        <f t="shared" si="5"/>
        <v xml:space="preserve">    - xform/》ionn(\d)//</v>
      </c>
    </row>
    <row r="39" spans="1:24" ht="27.75" thickBot="1">
      <c r="A39" s="51">
        <f t="shared" si="7"/>
        <v>36</v>
      </c>
      <c r="B39" s="52" t="str">
        <f xml:space="preserve"> _xlfn.CONCAT(B38, "ʔ")</f>
        <v>ɪaʊʔ</v>
      </c>
      <c r="C39" s="53" t="s">
        <v>379</v>
      </c>
      <c r="D39" s="54" t="s">
        <v>379</v>
      </c>
      <c r="E39" s="54" t="s">
        <v>379</v>
      </c>
      <c r="F39" s="54" t="s">
        <v>380</v>
      </c>
      <c r="G39" s="55" t="s">
        <v>379</v>
      </c>
      <c r="H39" s="54" t="s">
        <v>381</v>
      </c>
      <c r="I39" s="54" t="s">
        <v>382</v>
      </c>
      <c r="J39" s="56" t="str">
        <f xml:space="preserve"> LEFT(韻母對照表3[[#This Row],[十五音識別碼]],1)</f>
        <v>嬌</v>
      </c>
      <c r="K39" s="56" t="s">
        <v>383</v>
      </c>
      <c r="L39" s="56" t="s">
        <v>384</v>
      </c>
      <c r="M39" s="54"/>
      <c r="N39" s="56">
        <f t="shared" si="0"/>
        <v>4</v>
      </c>
      <c r="O39" s="58"/>
      <c r="P39" s="54" t="str">
        <f>C50</f>
        <v>iong</v>
      </c>
      <c r="Q39" s="54" t="str">
        <f>D50</f>
        <v>iong</v>
      </c>
      <c r="S39" s="37" t="str">
        <f t="shared" si="2"/>
        <v>iong(\d)</v>
      </c>
      <c r="T39" s="38" t="s">
        <v>168</v>
      </c>
      <c r="U39" s="38" t="str">
        <f t="shared" si="3"/>
        <v/>
      </c>
      <c r="V39" s="37" t="str">
        <f t="shared" si="4"/>
        <v/>
      </c>
      <c r="W39" s="57"/>
      <c r="X39" s="59" t="str">
        <f t="shared" si="5"/>
        <v xml:space="preserve">    - xform/》iong(\d)//</v>
      </c>
    </row>
    <row r="40" spans="1:24" ht="27.75" thickBot="1">
      <c r="A40" s="51">
        <f t="shared" si="7"/>
        <v>37</v>
      </c>
      <c r="B40" s="52" t="str">
        <f>_xlfn.CONCAT("ɪ", "a", _xlfn.UNICHAR(771), "ʊ")</f>
        <v>ɪãʊ</v>
      </c>
      <c r="C40" s="53" t="s">
        <v>385</v>
      </c>
      <c r="D40" s="54" t="s">
        <v>385</v>
      </c>
      <c r="E40" s="54" t="s">
        <v>385</v>
      </c>
      <c r="F40" s="54" t="s">
        <v>386</v>
      </c>
      <c r="G40" s="55" t="s">
        <v>387</v>
      </c>
      <c r="H40" s="54" t="s">
        <v>388</v>
      </c>
      <c r="I40" s="54" t="s">
        <v>389</v>
      </c>
      <c r="J40" s="56" t="str">
        <f xml:space="preserve"> LEFT(韻母對照表3[[#This Row],[十五音識別碼]],1)</f>
        <v>嘄</v>
      </c>
      <c r="K40" s="56" t="s">
        <v>390</v>
      </c>
      <c r="L40" s="56" t="s">
        <v>391</v>
      </c>
      <c r="M40" s="65" t="s">
        <v>201</v>
      </c>
      <c r="N40" s="56">
        <f t="shared" si="0"/>
        <v>5</v>
      </c>
      <c r="O40" s="58"/>
      <c r="P40" s="54" t="str">
        <f>C48</f>
        <v>ioh</v>
      </c>
      <c r="Q40" s="54" t="str">
        <f>D48</f>
        <v>ioh</v>
      </c>
      <c r="S40" s="37" t="str">
        <f t="shared" si="2"/>
        <v>ioh(\d)</v>
      </c>
      <c r="T40" s="38" t="s">
        <v>168</v>
      </c>
      <c r="U40" s="38" t="str">
        <f t="shared" si="3"/>
        <v/>
      </c>
      <c r="V40" s="37" t="str">
        <f t="shared" si="4"/>
        <v/>
      </c>
      <c r="W40" s="57"/>
      <c r="X40" s="59" t="str">
        <f t="shared" si="5"/>
        <v xml:space="preserve">    - xform/》ioh(\d)//</v>
      </c>
    </row>
    <row r="41" spans="1:24" ht="27.75" thickBot="1">
      <c r="A41" s="51">
        <f t="shared" si="7"/>
        <v>38</v>
      </c>
      <c r="B41" s="52" t="s">
        <v>392</v>
      </c>
      <c r="C41" s="53" t="s">
        <v>393</v>
      </c>
      <c r="D41" s="54" t="s">
        <v>393</v>
      </c>
      <c r="E41" s="54" t="s">
        <v>393</v>
      </c>
      <c r="F41" s="54" t="s">
        <v>393</v>
      </c>
      <c r="G41" s="55" t="s">
        <v>393</v>
      </c>
      <c r="H41" s="54" t="s">
        <v>394</v>
      </c>
      <c r="I41" s="54" t="s">
        <v>395</v>
      </c>
      <c r="J41" s="56" t="str">
        <f xml:space="preserve"> LEFT(韻母對照表3[[#This Row],[十五音識別碼]],1)</f>
        <v>居</v>
      </c>
      <c r="K41" s="56" t="s">
        <v>396</v>
      </c>
      <c r="L41" s="56" t="s">
        <v>397</v>
      </c>
      <c r="M41" s="54"/>
      <c r="N41" s="56">
        <f t="shared" si="0"/>
        <v>2</v>
      </c>
      <c r="O41" s="58"/>
      <c r="P41" s="54" t="str">
        <f>C51</f>
        <v>ip</v>
      </c>
      <c r="Q41" s="54" t="str">
        <f>D51</f>
        <v>ip</v>
      </c>
      <c r="S41" s="37" t="str">
        <f t="shared" si="2"/>
        <v>ip(\d)</v>
      </c>
      <c r="T41" s="38" t="s">
        <v>168</v>
      </c>
      <c r="U41" s="38" t="str">
        <f t="shared" si="3"/>
        <v/>
      </c>
      <c r="V41" s="37" t="str">
        <f t="shared" si="4"/>
        <v/>
      </c>
      <c r="W41" s="57"/>
      <c r="X41" s="59" t="str">
        <f t="shared" si="5"/>
        <v xml:space="preserve">    - xform/》ip(\d)//</v>
      </c>
    </row>
    <row r="42" spans="1:24" ht="27.75" thickBot="1">
      <c r="A42" s="51">
        <f t="shared" si="7"/>
        <v>39</v>
      </c>
      <c r="B42" s="52" t="s">
        <v>398</v>
      </c>
      <c r="C42" s="53" t="s">
        <v>399</v>
      </c>
      <c r="D42" s="54" t="s">
        <v>399</v>
      </c>
      <c r="E42" s="54" t="s">
        <v>400</v>
      </c>
      <c r="F42" s="54" t="s">
        <v>399</v>
      </c>
      <c r="G42" s="55" t="s">
        <v>401</v>
      </c>
      <c r="H42" s="54" t="s">
        <v>402</v>
      </c>
      <c r="I42" s="54" t="s">
        <v>403</v>
      </c>
      <c r="J42" s="56" t="str">
        <f xml:space="preserve"> LEFT(韻母對照表3[[#This Row],[十五音識別碼]],1)</f>
        <v>經</v>
      </c>
      <c r="K42" s="56" t="s">
        <v>404</v>
      </c>
      <c r="L42" s="56" t="s">
        <v>292</v>
      </c>
      <c r="M42" s="54"/>
      <c r="N42" s="56">
        <f t="shared" si="0"/>
        <v>2</v>
      </c>
      <c r="O42" s="58"/>
      <c r="P42" s="54" t="str">
        <f>C35</f>
        <v>iannh</v>
      </c>
      <c r="Q42" s="54" t="str">
        <f>D35</f>
        <v>iannh</v>
      </c>
      <c r="S42" s="37" t="str">
        <f t="shared" si="2"/>
        <v>iannh(\d)</v>
      </c>
      <c r="T42" s="38" t="s">
        <v>168</v>
      </c>
      <c r="U42" s="38">
        <f t="shared" si="3"/>
        <v>2</v>
      </c>
      <c r="V42" s="37" t="str">
        <f t="shared" si="4"/>
        <v>i》a${1}nnh</v>
      </c>
      <c r="W42" s="57"/>
      <c r="X42" s="59" t="str">
        <f t="shared" si="5"/>
        <v xml:space="preserve">    - xform/》iannh(\d)/i》a${1}nnh/</v>
      </c>
    </row>
    <row r="43" spans="1:24" ht="27.75" thickBot="1">
      <c r="A43" s="51">
        <f t="shared" si="7"/>
        <v>40</v>
      </c>
      <c r="B43" s="52" t="s">
        <v>405</v>
      </c>
      <c r="C43" s="53" t="s">
        <v>406</v>
      </c>
      <c r="D43" s="54" t="s">
        <v>406</v>
      </c>
      <c r="E43" s="54" t="s">
        <v>406</v>
      </c>
      <c r="F43" s="54" t="s">
        <v>406</v>
      </c>
      <c r="G43" s="55" t="s">
        <v>406</v>
      </c>
      <c r="H43" s="54" t="s">
        <v>407</v>
      </c>
      <c r="I43" s="54" t="s">
        <v>408</v>
      </c>
      <c r="J43" s="56" t="str">
        <f xml:space="preserve"> LEFT(韻母對照表3[[#This Row],[十五音識別碼]],1)</f>
        <v>金</v>
      </c>
      <c r="K43" s="56" t="s">
        <v>409</v>
      </c>
      <c r="L43" s="56" t="s">
        <v>410</v>
      </c>
      <c r="M43" s="54"/>
      <c r="N43" s="56">
        <f t="shared" si="0"/>
        <v>2</v>
      </c>
      <c r="O43" s="58"/>
      <c r="P43" s="54" t="str">
        <f t="shared" ref="P43:Q43" si="10">C52</f>
        <v>it</v>
      </c>
      <c r="Q43" s="54" t="str">
        <f t="shared" si="10"/>
        <v>it</v>
      </c>
      <c r="S43" s="37" t="str">
        <f t="shared" si="2"/>
        <v>it(\d)</v>
      </c>
      <c r="T43" s="38" t="s">
        <v>168</v>
      </c>
      <c r="U43" s="38" t="str">
        <f t="shared" si="3"/>
        <v/>
      </c>
      <c r="V43" s="37" t="str">
        <f t="shared" si="4"/>
        <v/>
      </c>
      <c r="W43" s="57"/>
      <c r="X43" s="59" t="str">
        <f t="shared" si="5"/>
        <v xml:space="preserve">    - xform/》it(\d)//</v>
      </c>
    </row>
    <row r="44" spans="1:24" ht="27.75" thickBot="1">
      <c r="A44" s="51">
        <f t="shared" si="7"/>
        <v>41</v>
      </c>
      <c r="B44" s="52" t="s">
        <v>411</v>
      </c>
      <c r="C44" s="53" t="s">
        <v>412</v>
      </c>
      <c r="D44" s="54" t="s">
        <v>412</v>
      </c>
      <c r="E44" s="54" t="s">
        <v>412</v>
      </c>
      <c r="F44" s="54" t="s">
        <v>412</v>
      </c>
      <c r="G44" s="55" t="s">
        <v>412</v>
      </c>
      <c r="H44" s="54" t="s">
        <v>413</v>
      </c>
      <c r="I44" s="54" t="s">
        <v>413</v>
      </c>
      <c r="J44" s="56" t="str">
        <f xml:space="preserve"> LEFT(韻母對照表3[[#This Row],[十五音識別碼]],1)</f>
        <v>巾</v>
      </c>
      <c r="K44" s="56" t="s">
        <v>414</v>
      </c>
      <c r="L44" s="56" t="s">
        <v>415</v>
      </c>
      <c r="M44" s="54"/>
      <c r="N44" s="56">
        <f t="shared" si="0"/>
        <v>2</v>
      </c>
      <c r="O44" s="58"/>
      <c r="P44" s="54" t="str">
        <f>C42</f>
        <v>ik</v>
      </c>
      <c r="Q44" s="54" t="str">
        <f>D42</f>
        <v>ik</v>
      </c>
      <c r="S44" s="37" t="str">
        <f t="shared" si="2"/>
        <v>ik(\d)</v>
      </c>
      <c r="T44" s="38" t="s">
        <v>168</v>
      </c>
      <c r="U44" s="38" t="str">
        <f t="shared" si="3"/>
        <v/>
      </c>
      <c r="V44" s="37" t="str">
        <f t="shared" si="4"/>
        <v/>
      </c>
      <c r="W44" s="57"/>
      <c r="X44" s="59" t="str">
        <f t="shared" si="5"/>
        <v xml:space="preserve">    - xform/》ik(\d)//</v>
      </c>
    </row>
    <row r="45" spans="1:24" ht="27.75" thickBot="1">
      <c r="A45" s="51">
        <f t="shared" si="7"/>
        <v>42</v>
      </c>
      <c r="B45" s="52" t="s">
        <v>416</v>
      </c>
      <c r="C45" s="53" t="s">
        <v>417</v>
      </c>
      <c r="D45" s="54" t="s">
        <v>417</v>
      </c>
      <c r="E45" s="54" t="s">
        <v>417</v>
      </c>
      <c r="F45" s="54" t="s">
        <v>417</v>
      </c>
      <c r="G45" s="55" t="s">
        <v>418</v>
      </c>
      <c r="H45" s="54" t="s">
        <v>419</v>
      </c>
      <c r="I45" s="54" t="s">
        <v>419</v>
      </c>
      <c r="J45" s="56" t="str">
        <f xml:space="preserve"> LEFT(韻母對照表3[[#This Row],[十五音識別碼]],1)</f>
        <v>經</v>
      </c>
      <c r="K45" s="56" t="s">
        <v>420</v>
      </c>
      <c r="L45" s="56" t="s">
        <v>296</v>
      </c>
      <c r="M45" s="54"/>
      <c r="N45" s="56">
        <f t="shared" si="0"/>
        <v>3</v>
      </c>
      <c r="O45" s="58"/>
      <c r="P45" s="54" t="str">
        <f>C28</f>
        <v>ia</v>
      </c>
      <c r="Q45" s="54" t="str">
        <f>D28</f>
        <v>ia</v>
      </c>
      <c r="S45" s="37" t="str">
        <f t="shared" si="2"/>
        <v>ia(\d)</v>
      </c>
      <c r="T45" s="38" t="s">
        <v>168</v>
      </c>
      <c r="U45" s="38">
        <f t="shared" si="3"/>
        <v>2</v>
      </c>
      <c r="V45" s="37" t="str">
        <f t="shared" si="4"/>
        <v>i》a${1}</v>
      </c>
      <c r="W45" s="57"/>
      <c r="X45" s="59" t="str">
        <f t="shared" si="5"/>
        <v xml:space="preserve">    - xform/》ia(\d)/i》a${1}/</v>
      </c>
    </row>
    <row r="46" spans="1:24" ht="27.75" thickBot="1">
      <c r="A46" s="51">
        <f t="shared" si="7"/>
        <v>43</v>
      </c>
      <c r="B46" s="52" t="s">
        <v>421</v>
      </c>
      <c r="C46" s="53" t="s">
        <v>422</v>
      </c>
      <c r="D46" s="54" t="s">
        <v>422</v>
      </c>
      <c r="E46" s="54" t="s">
        <v>422</v>
      </c>
      <c r="F46" s="54" t="s">
        <v>423</v>
      </c>
      <c r="G46" s="55" t="s">
        <v>424</v>
      </c>
      <c r="H46" s="54" t="s">
        <v>425</v>
      </c>
      <c r="I46" s="54" t="s">
        <v>426</v>
      </c>
      <c r="J46" s="56" t="str">
        <f xml:space="preserve"> LEFT(韻母對照表3[[#This Row],[十五音識別碼]],1)</f>
        <v>梔</v>
      </c>
      <c r="K46" s="56" t="s">
        <v>427</v>
      </c>
      <c r="L46" s="56" t="s">
        <v>428</v>
      </c>
      <c r="M46" s="65" t="s">
        <v>201</v>
      </c>
      <c r="N46" s="56">
        <f xml:space="preserve"> LEN(D46)</f>
        <v>3</v>
      </c>
      <c r="O46" s="58"/>
      <c r="P46" s="54" t="str">
        <f>C45</f>
        <v>ing</v>
      </c>
      <c r="Q46" s="54" t="str">
        <f>D45</f>
        <v>ing</v>
      </c>
      <c r="S46" s="37" t="str">
        <f xml:space="preserve"> _xlfn.CONCAT(P46, "(\d)")</f>
        <v>ing(\d)</v>
      </c>
      <c r="T46" s="38" t="s">
        <v>168</v>
      </c>
      <c r="U46" s="38" t="str">
        <f xml:space="preserve"> IFERROR( IF(T46="", "", SEARCH(T46, $P46)), "")</f>
        <v/>
      </c>
      <c r="V46" s="37" t="str">
        <f xml:space="preserve"> IFERROR( _xlfn.CONCAT(LEFT(P46,U46-1), "》", MID(P46,U46,1), "${1}", RIGHT(P46, LEN(P46)-U46)), "" )</f>
        <v/>
      </c>
      <c r="W46" s="57"/>
      <c r="X46" s="59" t="str">
        <f xml:space="preserve"> IF(AND(Q46&lt;&gt;"", P46&lt;&gt;""), "    - xform/》" &amp; S46 &amp;  "/"  &amp; V46 &amp;  "/", "")</f>
        <v xml:space="preserve">    - xform/》ing(\d)//</v>
      </c>
    </row>
    <row r="47" spans="1:24" ht="27.75" thickBot="1">
      <c r="A47" s="51">
        <f t="shared" si="7"/>
        <v>44</v>
      </c>
      <c r="B47" s="52" t="s">
        <v>429</v>
      </c>
      <c r="C47" s="53" t="s">
        <v>430</v>
      </c>
      <c r="D47" s="54" t="s">
        <v>430</v>
      </c>
      <c r="E47" s="54" t="s">
        <v>431</v>
      </c>
      <c r="F47" s="54" t="s">
        <v>430</v>
      </c>
      <c r="G47" s="55" t="s">
        <v>430</v>
      </c>
      <c r="H47" s="54" t="s">
        <v>432</v>
      </c>
      <c r="I47" s="54" t="s">
        <v>432</v>
      </c>
      <c r="J47" s="56" t="str">
        <f xml:space="preserve"> LEFT(韻母對照表3[[#This Row],[十五音識別碼]],1)</f>
        <v>茄</v>
      </c>
      <c r="K47" s="56" t="s">
        <v>433</v>
      </c>
      <c r="L47" s="56" t="s">
        <v>434</v>
      </c>
      <c r="M47" s="54"/>
      <c r="N47" s="56">
        <f xml:space="preserve"> LEN(D47)</f>
        <v>2</v>
      </c>
      <c r="O47" s="58"/>
      <c r="P47" s="54" t="str">
        <f>C49</f>
        <v>iok</v>
      </c>
      <c r="Q47" s="54" t="str">
        <f>D49</f>
        <v>iok</v>
      </c>
      <c r="S47" s="37" t="str">
        <f xml:space="preserve"> _xlfn.CONCAT(P47, "(\d)")</f>
        <v>iok(\d)</v>
      </c>
      <c r="T47" s="38" t="s">
        <v>207</v>
      </c>
      <c r="U47" s="38" t="str">
        <f xml:space="preserve"> IFERROR( IF(T47="", "", SEARCH(T47, $P47)), "")</f>
        <v/>
      </c>
      <c r="V47" s="37" t="str">
        <f xml:space="preserve"> IFERROR( _xlfn.CONCAT(LEFT(P47,U47-1), "》", MID(P47,U47,1), "${1}", RIGHT(P47, LEN(P47)-U47)), "" )</f>
        <v/>
      </c>
      <c r="W47" s="57"/>
      <c r="X47" s="59" t="str">
        <f xml:space="preserve"> IF(AND(Q47&lt;&gt;"", P47&lt;&gt;""), "    - xform/》" &amp; S47 &amp;  "/"  &amp; V47 &amp;  "/", "")</f>
        <v xml:space="preserve">    - xform/》iok(\d)//</v>
      </c>
    </row>
    <row r="48" spans="1:24" ht="27.75" thickBot="1">
      <c r="A48" s="51">
        <f t="shared" si="7"/>
        <v>45</v>
      </c>
      <c r="B48" s="52" t="s">
        <v>435</v>
      </c>
      <c r="C48" s="53" t="s">
        <v>436</v>
      </c>
      <c r="D48" s="54" t="s">
        <v>436</v>
      </c>
      <c r="E48" s="54" t="s">
        <v>437</v>
      </c>
      <c r="F48" s="54" t="s">
        <v>436</v>
      </c>
      <c r="G48" s="55" t="s">
        <v>436</v>
      </c>
      <c r="H48" s="54" t="s">
        <v>438</v>
      </c>
      <c r="I48" s="54" t="s">
        <v>439</v>
      </c>
      <c r="J48" s="56" t="str">
        <f xml:space="preserve"> LEFT(韻母對照表3[[#This Row],[十五音識別碼]],1)</f>
        <v>茄</v>
      </c>
      <c r="K48" s="56" t="s">
        <v>440</v>
      </c>
      <c r="L48" s="56" t="s">
        <v>441</v>
      </c>
      <c r="M48" s="54"/>
      <c r="N48" s="56">
        <f xml:space="preserve"> LEN(D48)</f>
        <v>3</v>
      </c>
      <c r="O48" s="58"/>
      <c r="P48" s="54" t="str">
        <f>C55</f>
        <v>iunn</v>
      </c>
      <c r="Q48" s="54" t="str">
        <f>D55</f>
        <v>iunn</v>
      </c>
      <c r="S48" s="37" t="str">
        <f xml:space="preserve"> _xlfn.CONCAT(P48, "(\d)")</f>
        <v>iunn(\d)</v>
      </c>
      <c r="T48" s="38" t="s">
        <v>234</v>
      </c>
      <c r="U48" s="38">
        <f xml:space="preserve"> IFERROR( IF(T48="", "", SEARCH(T48, $P48)), "")</f>
        <v>1</v>
      </c>
      <c r="V48" s="37" t="str">
        <f xml:space="preserve"> IFERROR( _xlfn.CONCAT(LEFT(P48,U48-1), "》", MID(P48,U48,1), "${1}", RIGHT(P48, LEN(P48)-U48)), "" )</f>
        <v>》i${1}unn</v>
      </c>
      <c r="W48" s="57"/>
      <c r="X48" s="59" t="str">
        <f xml:space="preserve"> IF(AND(Q48&lt;&gt;"", P48&lt;&gt;""), "    - xform/》" &amp; S48 &amp;  "/"  &amp; V48 &amp;  "/", "")</f>
        <v xml:space="preserve">    - xform/》iunn(\d)/》i${1}unn/</v>
      </c>
    </row>
    <row r="49" spans="1:24" ht="27.75" thickBot="1">
      <c r="A49" s="51">
        <f t="shared" si="7"/>
        <v>46</v>
      </c>
      <c r="B49" s="52" t="s">
        <v>442</v>
      </c>
      <c r="C49" s="53" t="s">
        <v>443</v>
      </c>
      <c r="D49" s="54" t="s">
        <v>443</v>
      </c>
      <c r="E49" s="54" t="s">
        <v>444</v>
      </c>
      <c r="F49" s="54" t="s">
        <v>443</v>
      </c>
      <c r="G49" s="55" t="s">
        <v>443</v>
      </c>
      <c r="H49" s="54" t="s">
        <v>445</v>
      </c>
      <c r="I49" s="54" t="s">
        <v>446</v>
      </c>
      <c r="J49" s="56" t="str">
        <f xml:space="preserve"> LEFT(韻母對照表3[[#This Row],[十五音識別碼]],1)</f>
        <v>恭</v>
      </c>
      <c r="K49" s="56" t="s">
        <v>447</v>
      </c>
      <c r="L49" s="56" t="s">
        <v>448</v>
      </c>
      <c r="M49" s="54"/>
      <c r="N49" s="56">
        <f xml:space="preserve"> LEN(D49)</f>
        <v>3</v>
      </c>
      <c r="O49" s="58"/>
      <c r="P49" s="54" t="str">
        <f>C61</f>
        <v>o</v>
      </c>
      <c r="Q49" s="54" t="str">
        <f>D61</f>
        <v>o</v>
      </c>
      <c r="S49" s="37" t="str">
        <f xml:space="preserve"> _xlfn.CONCAT(P49, "(\d)")</f>
        <v>o(\d)</v>
      </c>
      <c r="T49" s="38" t="s">
        <v>234</v>
      </c>
      <c r="U49" s="38" t="str">
        <f xml:space="preserve"> IFERROR( IF(T49="", "", SEARCH(T49, $P49)), "")</f>
        <v/>
      </c>
      <c r="V49" s="37" t="str">
        <f xml:space="preserve"> IFERROR( _xlfn.CONCAT(LEFT(P49,U49-1), "》", MID(P49,U49,1), "${1}", RIGHT(P49, LEN(P49)-U49)), "" )</f>
        <v/>
      </c>
      <c r="W49" s="57"/>
      <c r="X49" s="59" t="str">
        <f xml:space="preserve"> IF(AND(Q49&lt;&gt;"", P49&lt;&gt;""), "    - xform/》" &amp; S49 &amp;  "/"  &amp; V49 &amp;  "/", "")</f>
        <v xml:space="preserve">    - xform/》o(\d)//</v>
      </c>
    </row>
    <row r="50" spans="1:24" ht="27.75" thickBot="1">
      <c r="A50" s="51">
        <f t="shared" si="7"/>
        <v>47</v>
      </c>
      <c r="B50" s="52" t="s">
        <v>449</v>
      </c>
      <c r="C50" s="53" t="s">
        <v>450</v>
      </c>
      <c r="D50" s="54" t="s">
        <v>450</v>
      </c>
      <c r="E50" s="54" t="s">
        <v>450</v>
      </c>
      <c r="F50" s="54" t="s">
        <v>450</v>
      </c>
      <c r="G50" s="55" t="s">
        <v>450</v>
      </c>
      <c r="H50" s="54" t="s">
        <v>451</v>
      </c>
      <c r="I50" s="54" t="s">
        <v>452</v>
      </c>
      <c r="J50" s="56" t="str">
        <f xml:space="preserve"> LEFT(韻母對照表3[[#This Row],[十五音識別碼]],1)</f>
        <v>恭</v>
      </c>
      <c r="K50" s="56" t="s">
        <v>453</v>
      </c>
      <c r="L50" s="56" t="s">
        <v>454</v>
      </c>
      <c r="M50" s="54"/>
      <c r="N50" s="56">
        <f xml:space="preserve"> LEN(D50)</f>
        <v>4</v>
      </c>
      <c r="O50" s="58"/>
      <c r="P50" s="54" t="str">
        <f>C56</f>
        <v>iunnh</v>
      </c>
      <c r="Q50" s="54" t="str">
        <f>D56</f>
        <v>iunnh</v>
      </c>
      <c r="S50" s="37" t="str">
        <f xml:space="preserve"> _xlfn.CONCAT(P50, "(\d)")</f>
        <v>iunnh(\d)</v>
      </c>
      <c r="T50" s="38" t="s">
        <v>168</v>
      </c>
      <c r="U50" s="38" t="str">
        <f xml:space="preserve"> IFERROR( IF(T50="", "", SEARCH(T50, $P50)), "")</f>
        <v/>
      </c>
      <c r="V50" s="37" t="str">
        <f xml:space="preserve"> IFERROR( _xlfn.CONCAT(LEFT(P50,U50-1), "》", MID(P50,U50,1), "${1}", RIGHT(P50, LEN(P50)-U50)), "" )</f>
        <v/>
      </c>
      <c r="W50" s="57"/>
      <c r="X50" s="59" t="str">
        <f xml:space="preserve"> IF(AND(Q50&lt;&gt;"", P50&lt;&gt;""), "    - xform/》" &amp; S50 &amp;  "/"  &amp; V50 &amp;  "/", "")</f>
        <v xml:space="preserve">    - xform/》iunnh(\d)//</v>
      </c>
    </row>
    <row r="51" spans="1:24" ht="27.75" thickBot="1">
      <c r="A51" s="51">
        <f t="shared" si="7"/>
        <v>48</v>
      </c>
      <c r="B51" s="52" t="s">
        <v>455</v>
      </c>
      <c r="C51" s="53" t="s">
        <v>456</v>
      </c>
      <c r="D51" s="54" t="s">
        <v>456</v>
      </c>
      <c r="E51" s="54" t="s">
        <v>456</v>
      </c>
      <c r="F51" s="54" t="s">
        <v>456</v>
      </c>
      <c r="G51" s="55" t="s">
        <v>456</v>
      </c>
      <c r="H51" s="54" t="s">
        <v>457</v>
      </c>
      <c r="I51" s="54" t="s">
        <v>458</v>
      </c>
      <c r="J51" s="56" t="str">
        <f xml:space="preserve"> LEFT(韻母對照表3[[#This Row],[十五音識別碼]],1)</f>
        <v>金</v>
      </c>
      <c r="K51" s="56" t="s">
        <v>459</v>
      </c>
      <c r="L51" s="56" t="s">
        <v>460</v>
      </c>
      <c r="M51" s="54"/>
      <c r="N51" s="56">
        <f t="shared" si="0"/>
        <v>2</v>
      </c>
      <c r="O51" s="58"/>
      <c r="P51" s="54" t="str">
        <f>C34</f>
        <v>iann</v>
      </c>
      <c r="Q51" s="54" t="str">
        <f>D34</f>
        <v>iann</v>
      </c>
      <c r="S51" s="37" t="str">
        <f t="shared" si="2"/>
        <v>iann(\d)</v>
      </c>
      <c r="T51" s="38" t="s">
        <v>168</v>
      </c>
      <c r="U51" s="38">
        <f t="shared" si="3"/>
        <v>2</v>
      </c>
      <c r="V51" s="37" t="str">
        <f t="shared" si="4"/>
        <v>i》a${1}nn</v>
      </c>
      <c r="W51" s="57"/>
      <c r="X51" s="59" t="str">
        <f t="shared" si="5"/>
        <v xml:space="preserve">    - xform/》iann(\d)/i》a${1}nn/</v>
      </c>
    </row>
    <row r="52" spans="1:24" ht="27.75" thickBot="1">
      <c r="A52" s="51">
        <f t="shared" si="7"/>
        <v>49</v>
      </c>
      <c r="B52" s="52" t="s">
        <v>461</v>
      </c>
      <c r="C52" s="53" t="s">
        <v>462</v>
      </c>
      <c r="D52" s="54" t="s">
        <v>462</v>
      </c>
      <c r="E52" s="54" t="s">
        <v>462</v>
      </c>
      <c r="F52" s="54" t="s">
        <v>462</v>
      </c>
      <c r="G52" s="55" t="s">
        <v>462</v>
      </c>
      <c r="H52" s="54" t="s">
        <v>463</v>
      </c>
      <c r="I52" s="54" t="s">
        <v>464</v>
      </c>
      <c r="J52" s="56" t="str">
        <f xml:space="preserve"> LEFT(韻母對照表3[[#This Row],[十五音識別碼]],1)</f>
        <v>巾</v>
      </c>
      <c r="K52" s="56" t="s">
        <v>465</v>
      </c>
      <c r="L52" s="56" t="s">
        <v>466</v>
      </c>
      <c r="M52" s="54"/>
      <c r="N52" s="56">
        <f t="shared" si="0"/>
        <v>2</v>
      </c>
      <c r="O52" s="58"/>
      <c r="P52" s="54" t="str">
        <f>C29</f>
        <v>iah</v>
      </c>
      <c r="Q52" s="54" t="str">
        <f>D29</f>
        <v>iah</v>
      </c>
      <c r="S52" s="37" t="str">
        <f t="shared" si="2"/>
        <v>iah(\d)</v>
      </c>
      <c r="T52" s="38" t="s">
        <v>168</v>
      </c>
      <c r="U52" s="38">
        <f t="shared" si="3"/>
        <v>2</v>
      </c>
      <c r="V52" s="37" t="str">
        <f t="shared" si="4"/>
        <v>i》a${1}h</v>
      </c>
      <c r="W52" s="57"/>
      <c r="X52" s="59" t="str">
        <f t="shared" si="5"/>
        <v xml:space="preserve">    - xform/》iah(\d)/i》a${1}h/</v>
      </c>
    </row>
    <row r="53" spans="1:24" ht="27.75" thickBot="1">
      <c r="A53" s="51">
        <f t="shared" si="7"/>
        <v>50</v>
      </c>
      <c r="B53" s="52" t="s">
        <v>467</v>
      </c>
      <c r="C53" s="53" t="s">
        <v>468</v>
      </c>
      <c r="D53" s="54" t="s">
        <v>468</v>
      </c>
      <c r="E53" s="54" t="s">
        <v>469</v>
      </c>
      <c r="F53" s="54" t="s">
        <v>470</v>
      </c>
      <c r="G53" s="55" t="s">
        <v>471</v>
      </c>
      <c r="H53" s="54" t="s">
        <v>472</v>
      </c>
      <c r="I53" s="54" t="s">
        <v>473</v>
      </c>
      <c r="J53" s="56" t="str">
        <f xml:space="preserve"> LEFT(韻母對照表3[[#This Row],[十五音識別碼]],1)</f>
        <v>薑</v>
      </c>
      <c r="K53" s="56" t="s">
        <v>474</v>
      </c>
      <c r="L53" s="56" t="s">
        <v>475</v>
      </c>
      <c r="M53" s="65" t="s">
        <v>201</v>
      </c>
      <c r="N53" s="56">
        <f xml:space="preserve"> LEN(D53)</f>
        <v>4</v>
      </c>
      <c r="O53" s="58"/>
      <c r="P53" s="54" t="str">
        <f>C54</f>
        <v>iu</v>
      </c>
      <c r="Q53" s="54" t="str">
        <f>D54</f>
        <v>iu</v>
      </c>
      <c r="S53" s="37" t="str">
        <f xml:space="preserve"> _xlfn.CONCAT(P53, "(\d)")</f>
        <v>iu(\d)</v>
      </c>
      <c r="T53" s="38" t="s">
        <v>168</v>
      </c>
      <c r="U53" s="38" t="str">
        <f xml:space="preserve"> IFERROR( IF(T53="", "", SEARCH(T53, $P53)), "")</f>
        <v/>
      </c>
      <c r="V53" s="37" t="str">
        <f xml:space="preserve"> IFERROR( _xlfn.CONCAT(LEFT(P53,U53-1), "》", MID(P53,U53,1), "${1}", RIGHT(P53, LEN(P53)-U53)), "" )</f>
        <v/>
      </c>
      <c r="W53" s="57"/>
      <c r="X53" s="59" t="str">
        <f xml:space="preserve"> IF(AND(Q53&lt;&gt;"", P53&lt;&gt;""), "    - xform/》" &amp; S53 &amp;  "/"  &amp; V53 &amp;  "/", "")</f>
        <v xml:space="preserve">    - xform/》iu(\d)//</v>
      </c>
    </row>
    <row r="54" spans="1:24" ht="27.75" thickBot="1">
      <c r="A54" s="51">
        <f t="shared" si="7"/>
        <v>51</v>
      </c>
      <c r="B54" s="52" t="str">
        <f>_xlfn.CONCAT("ɪ", "u")</f>
        <v>ɪu</v>
      </c>
      <c r="C54" s="53" t="s">
        <v>476</v>
      </c>
      <c r="D54" s="54" t="s">
        <v>476</v>
      </c>
      <c r="E54" s="54" t="s">
        <v>476</v>
      </c>
      <c r="F54" s="54" t="s">
        <v>476</v>
      </c>
      <c r="G54" s="55" t="s">
        <v>476</v>
      </c>
      <c r="H54" s="54" t="s">
        <v>477</v>
      </c>
      <c r="I54" s="54" t="s">
        <v>477</v>
      </c>
      <c r="J54" s="56" t="str">
        <f xml:space="preserve"> LEFT(韻母對照表3[[#This Row],[十五音識別碼]],1)</f>
        <v>丩</v>
      </c>
      <c r="K54" s="56" t="s">
        <v>478</v>
      </c>
      <c r="L54" s="56" t="s">
        <v>479</v>
      </c>
      <c r="M54" s="54"/>
      <c r="N54" s="56">
        <f t="shared" ref="N54:N89" si="11" xml:space="preserve"> LEN(D54)</f>
        <v>2</v>
      </c>
      <c r="O54" s="58"/>
      <c r="P54" s="54" t="str">
        <f>C68</f>
        <v>oo</v>
      </c>
      <c r="Q54" s="54" t="str">
        <f>D68</f>
        <v>oo</v>
      </c>
      <c r="S54" s="37" t="str">
        <f t="shared" si="2"/>
        <v>oo(\d)</v>
      </c>
      <c r="T54" s="38" t="s">
        <v>207</v>
      </c>
      <c r="U54" s="38" t="str">
        <f t="shared" si="3"/>
        <v/>
      </c>
      <c r="V54" s="37" t="str">
        <f t="shared" si="4"/>
        <v/>
      </c>
      <c r="W54" s="57"/>
      <c r="X54" s="59" t="str">
        <f t="shared" si="5"/>
        <v xml:space="preserve">    - xform/》oo(\d)//</v>
      </c>
    </row>
    <row r="55" spans="1:24" ht="27.75" thickBot="1">
      <c r="A55" s="51">
        <f t="shared" si="7"/>
        <v>52</v>
      </c>
      <c r="B55" s="52" t="str">
        <f>_xlfn.CONCAT("ɪ", "u", _xlfn.UNICHAR(771), "")</f>
        <v>ɪũ</v>
      </c>
      <c r="C55" s="53" t="s">
        <v>480</v>
      </c>
      <c r="D55" s="54" t="s">
        <v>480</v>
      </c>
      <c r="E55" s="54" t="s">
        <v>480</v>
      </c>
      <c r="F55" s="54" t="s">
        <v>481</v>
      </c>
      <c r="G55" s="55" t="s">
        <v>482</v>
      </c>
      <c r="H55" s="54" t="s">
        <v>483</v>
      </c>
      <c r="I55" s="54" t="s">
        <v>484</v>
      </c>
      <c r="J55" s="56" t="str">
        <f xml:space="preserve"> LEFT(韻母對照表3[[#This Row],[十五音識別碼]],1)</f>
        <v>牛</v>
      </c>
      <c r="K55" s="56" t="s">
        <v>485</v>
      </c>
      <c r="L55" s="56" t="s">
        <v>486</v>
      </c>
      <c r="M55" s="65" t="s">
        <v>201</v>
      </c>
      <c r="N55" s="56">
        <f t="shared" si="11"/>
        <v>4</v>
      </c>
      <c r="O55" s="58"/>
      <c r="P55" s="54" t="str">
        <f>C66</f>
        <v>onn</v>
      </c>
      <c r="Q55" s="54" t="str">
        <f>D66</f>
        <v>onn</v>
      </c>
      <c r="S55" s="37" t="str">
        <f t="shared" si="2"/>
        <v>onn(\d)</v>
      </c>
      <c r="T55" s="38" t="s">
        <v>207</v>
      </c>
      <c r="U55" s="38" t="str">
        <f t="shared" si="3"/>
        <v/>
      </c>
      <c r="V55" s="37" t="str">
        <f t="shared" si="4"/>
        <v/>
      </c>
      <c r="W55" s="57"/>
      <c r="X55" s="59" t="str">
        <f t="shared" si="5"/>
        <v xml:space="preserve">    - xform/》onn(\d)//</v>
      </c>
    </row>
    <row r="56" spans="1:24" ht="30.75" thickBot="1">
      <c r="A56" s="51">
        <f t="shared" si="7"/>
        <v>53</v>
      </c>
      <c r="B56" s="52" t="str">
        <f xml:space="preserve"> _xlfn.CONCAT(LEFT(B55,1), MID(B55,2,1), _xlfn.UNICHAR(771), "ʔ")</f>
        <v>ɪũʔ</v>
      </c>
      <c r="C56" s="53" t="s">
        <v>487</v>
      </c>
      <c r="D56" s="62" t="s">
        <v>488</v>
      </c>
      <c r="E56" s="62" t="s">
        <v>488</v>
      </c>
      <c r="F56" s="62" t="s">
        <v>489</v>
      </c>
      <c r="G56" s="62" t="s">
        <v>490</v>
      </c>
      <c r="H56" s="63" t="s">
        <v>491</v>
      </c>
      <c r="I56" s="63" t="s">
        <v>492</v>
      </c>
      <c r="J56" s="56" t="str">
        <f xml:space="preserve"> LEFT(韻母對照表3[[#This Row],[十五音識別碼]],1)</f>
        <v>牛</v>
      </c>
      <c r="K56" s="56" t="s">
        <v>191</v>
      </c>
      <c r="L56" s="64" t="s">
        <v>493</v>
      </c>
      <c r="M56" s="65" t="s">
        <v>201</v>
      </c>
      <c r="N56" s="56">
        <f t="shared" si="11"/>
        <v>5</v>
      </c>
      <c r="O56" s="58"/>
      <c r="P56" s="54" t="str">
        <f>C62</f>
        <v>oh</v>
      </c>
      <c r="Q56" s="54" t="str">
        <f>D62</f>
        <v>oh</v>
      </c>
      <c r="S56" s="37" t="str">
        <f t="shared" si="2"/>
        <v>oh(\d)</v>
      </c>
      <c r="T56" s="38" t="s">
        <v>168</v>
      </c>
      <c r="U56" s="38" t="str">
        <f t="shared" si="3"/>
        <v/>
      </c>
      <c r="V56" s="37" t="str">
        <f t="shared" si="4"/>
        <v/>
      </c>
      <c r="W56" s="57"/>
      <c r="X56" s="59" t="str">
        <f t="shared" si="5"/>
        <v xml:space="preserve">    - xform/》oh(\d)//</v>
      </c>
    </row>
    <row r="57" spans="1:24" ht="27.75" thickBot="1">
      <c r="A57" s="51">
        <f t="shared" si="7"/>
        <v>54</v>
      </c>
      <c r="B57" s="52" t="s">
        <v>494</v>
      </c>
      <c r="C57" s="53" t="s">
        <v>27</v>
      </c>
      <c r="D57" s="54" t="s">
        <v>27</v>
      </c>
      <c r="E57" s="54" t="s">
        <v>27</v>
      </c>
      <c r="F57" s="54" t="s">
        <v>27</v>
      </c>
      <c r="G57" s="55" t="s">
        <v>27</v>
      </c>
      <c r="H57" s="54" t="s">
        <v>495</v>
      </c>
      <c r="I57" s="54" t="s">
        <v>26</v>
      </c>
      <c r="J57" s="56" t="str">
        <f xml:space="preserve"> LEFT(韻母對照表3[[#This Row],[十五音識別碼]],1)</f>
        <v>姆</v>
      </c>
      <c r="K57" s="56" t="s">
        <v>496</v>
      </c>
      <c r="L57" s="56" t="s">
        <v>497</v>
      </c>
      <c r="M57" s="54"/>
      <c r="N57" s="56">
        <f xml:space="preserve"> LEN(D57)</f>
        <v>1</v>
      </c>
    </row>
    <row r="58" spans="1:24" ht="27.75" thickBot="1">
      <c r="A58" s="51">
        <f t="shared" si="7"/>
        <v>55</v>
      </c>
      <c r="B58" s="52" t="s">
        <v>498</v>
      </c>
      <c r="C58" s="53" t="s">
        <v>499</v>
      </c>
      <c r="D58" s="62" t="s">
        <v>500</v>
      </c>
      <c r="E58" s="62" t="s">
        <v>500</v>
      </c>
      <c r="F58" s="62" t="s">
        <v>500</v>
      </c>
      <c r="G58" s="62" t="s">
        <v>499</v>
      </c>
      <c r="H58" s="72" t="s">
        <v>501</v>
      </c>
      <c r="I58" s="72" t="s">
        <v>502</v>
      </c>
      <c r="J58" s="56" t="str">
        <f xml:space="preserve"> LEFT(韻母對照表3[[#This Row],[十五音識別碼]],1)</f>
        <v>姆</v>
      </c>
      <c r="K58" s="56" t="s">
        <v>191</v>
      </c>
      <c r="L58" s="70" t="s">
        <v>503</v>
      </c>
      <c r="M58" s="54"/>
      <c r="N58" s="56">
        <f xml:space="preserve"> LEN(D58)</f>
        <v>2</v>
      </c>
    </row>
    <row r="59" spans="1:24" ht="27.75" thickBot="1">
      <c r="A59" s="51">
        <f t="shared" si="7"/>
        <v>56</v>
      </c>
      <c r="B59" s="52" t="s">
        <v>504</v>
      </c>
      <c r="C59" s="53" t="s">
        <v>69</v>
      </c>
      <c r="D59" s="54" t="s">
        <v>69</v>
      </c>
      <c r="E59" s="54" t="s">
        <v>69</v>
      </c>
      <c r="F59" s="54" t="s">
        <v>69</v>
      </c>
      <c r="G59" s="55" t="s">
        <v>69</v>
      </c>
      <c r="H59" s="54" t="s">
        <v>505</v>
      </c>
      <c r="I59" s="54" t="s">
        <v>506</v>
      </c>
      <c r="J59" s="56" t="str">
        <f xml:space="preserve"> LEFT(韻母對照表3[[#This Row],[十五音識別碼]],1)</f>
        <v>鋼</v>
      </c>
      <c r="K59" s="56" t="s">
        <v>507</v>
      </c>
      <c r="L59" s="56" t="s">
        <v>508</v>
      </c>
      <c r="M59" s="54"/>
      <c r="N59" s="56">
        <f xml:space="preserve"> LEN(D59)</f>
        <v>2</v>
      </c>
    </row>
    <row r="60" spans="1:24" ht="27.75" thickBot="1">
      <c r="A60" s="51">
        <f t="shared" si="7"/>
        <v>57</v>
      </c>
      <c r="B60" s="52" t="s">
        <v>509</v>
      </c>
      <c r="C60" s="53" t="s">
        <v>510</v>
      </c>
      <c r="D60" s="62" t="s">
        <v>511</v>
      </c>
      <c r="E60" s="62" t="s">
        <v>511</v>
      </c>
      <c r="F60" s="62" t="s">
        <v>511</v>
      </c>
      <c r="G60" s="62" t="s">
        <v>510</v>
      </c>
      <c r="H60" s="72" t="s">
        <v>512</v>
      </c>
      <c r="I60" s="72" t="s">
        <v>513</v>
      </c>
      <c r="J60" s="56" t="str">
        <f xml:space="preserve"> LEFT(韻母對照表3[[#This Row],[十五音識別碼]],1)</f>
        <v>鋼</v>
      </c>
      <c r="K60" s="56" t="s">
        <v>191</v>
      </c>
      <c r="L60" s="70" t="s">
        <v>514</v>
      </c>
      <c r="M60" s="54"/>
      <c r="N60" s="56">
        <f xml:space="preserve"> LEN(D60)</f>
        <v>3</v>
      </c>
    </row>
    <row r="61" spans="1:24" ht="27.75" thickBot="1">
      <c r="A61" s="51">
        <f t="shared" si="7"/>
        <v>58</v>
      </c>
      <c r="B61" s="52" t="s">
        <v>515</v>
      </c>
      <c r="C61" s="53" t="s">
        <v>516</v>
      </c>
      <c r="D61" s="54" t="s">
        <v>516</v>
      </c>
      <c r="E61" s="54" t="s">
        <v>517</v>
      </c>
      <c r="F61" s="54" t="s">
        <v>516</v>
      </c>
      <c r="G61" s="55" t="s">
        <v>516</v>
      </c>
      <c r="H61" s="54" t="s">
        <v>518</v>
      </c>
      <c r="I61" s="54" t="s">
        <v>518</v>
      </c>
      <c r="J61" s="56" t="str">
        <f xml:space="preserve"> LEFT(韻母對照表3[[#This Row],[十五音識別碼]],1)</f>
        <v>高</v>
      </c>
      <c r="K61" s="56" t="s">
        <v>519</v>
      </c>
      <c r="L61" s="56" t="s">
        <v>520</v>
      </c>
      <c r="M61" s="54"/>
      <c r="N61" s="56">
        <f t="shared" si="11"/>
        <v>1</v>
      </c>
      <c r="O61" s="58"/>
      <c r="P61" s="54" t="str">
        <f>C69</f>
        <v>ooh</v>
      </c>
      <c r="Q61" s="54" t="str">
        <f>D69</f>
        <v>ooh</v>
      </c>
      <c r="S61" s="37" t="str">
        <f t="shared" si="2"/>
        <v>ooh(\d)</v>
      </c>
      <c r="T61" s="38" t="s">
        <v>168</v>
      </c>
      <c r="U61" s="38" t="str">
        <f t="shared" si="3"/>
        <v/>
      </c>
      <c r="V61" s="37" t="str">
        <f t="shared" si="4"/>
        <v/>
      </c>
      <c r="W61" s="57"/>
      <c r="X61" s="59" t="str">
        <f t="shared" si="5"/>
        <v xml:space="preserve">    - xform/》ooh(\d)//</v>
      </c>
    </row>
    <row r="62" spans="1:24" ht="27.75" thickBot="1">
      <c r="A62" s="51">
        <f t="shared" si="7"/>
        <v>59</v>
      </c>
      <c r="B62" s="52" t="s">
        <v>521</v>
      </c>
      <c r="C62" s="53" t="s">
        <v>522</v>
      </c>
      <c r="D62" s="54" t="s">
        <v>522</v>
      </c>
      <c r="E62" s="54" t="s">
        <v>523</v>
      </c>
      <c r="F62" s="54" t="s">
        <v>522</v>
      </c>
      <c r="G62" s="55" t="s">
        <v>522</v>
      </c>
      <c r="H62" s="54" t="s">
        <v>524</v>
      </c>
      <c r="I62" s="54" t="s">
        <v>525</v>
      </c>
      <c r="J62" s="56" t="str">
        <f xml:space="preserve"> LEFT(韻母對照表3[[#This Row],[十五音識別碼]],1)</f>
        <v>高</v>
      </c>
      <c r="K62" s="56" t="s">
        <v>526</v>
      </c>
      <c r="L62" s="56" t="s">
        <v>527</v>
      </c>
      <c r="M62" s="54"/>
      <c r="N62" s="56">
        <f t="shared" si="11"/>
        <v>2</v>
      </c>
      <c r="O62" s="58"/>
      <c r="P62" s="54" t="str">
        <f>C65</f>
        <v>ong</v>
      </c>
      <c r="Q62" s="54" t="str">
        <f>D65</f>
        <v>ong</v>
      </c>
      <c r="S62" s="37" t="str">
        <f t="shared" si="2"/>
        <v>ong(\d)</v>
      </c>
      <c r="T62" s="38" t="s">
        <v>168</v>
      </c>
      <c r="U62" s="38" t="str">
        <f t="shared" si="3"/>
        <v/>
      </c>
      <c r="V62" s="37" t="str">
        <f t="shared" si="4"/>
        <v/>
      </c>
      <c r="W62" s="57"/>
      <c r="X62" s="59" t="str">
        <f t="shared" si="5"/>
        <v xml:space="preserve">    - xform/》ong(\d)//</v>
      </c>
    </row>
    <row r="63" spans="1:24" ht="27.75" thickBot="1">
      <c r="A63" s="51">
        <f t="shared" si="7"/>
        <v>60</v>
      </c>
      <c r="B63" s="52" t="s">
        <v>528</v>
      </c>
      <c r="C63" s="53" t="s">
        <v>529</v>
      </c>
      <c r="D63" s="54" t="s">
        <v>529</v>
      </c>
      <c r="E63" s="54" t="s">
        <v>529</v>
      </c>
      <c r="F63" s="54" t="s">
        <v>529</v>
      </c>
      <c r="G63" s="55" t="s">
        <v>529</v>
      </c>
      <c r="H63" s="54" t="s">
        <v>530</v>
      </c>
      <c r="I63" s="54" t="s">
        <v>531</v>
      </c>
      <c r="J63" s="56" t="str">
        <f xml:space="preserve"> LEFT(韻母對照表3[[#This Row],[十五音識別碼]],1)</f>
        <v>公</v>
      </c>
      <c r="K63" s="56" t="s">
        <v>532</v>
      </c>
      <c r="L63" s="56" t="s">
        <v>533</v>
      </c>
      <c r="M63" s="54"/>
      <c r="N63" s="56">
        <f t="shared" si="11"/>
        <v>2</v>
      </c>
      <c r="O63" s="58"/>
      <c r="P63" s="54" t="str">
        <f>C89</f>
        <v>ut</v>
      </c>
      <c r="Q63" s="54" t="str">
        <f>D89</f>
        <v>ut</v>
      </c>
      <c r="S63" s="37" t="str">
        <f t="shared" si="2"/>
        <v>ut(\d)</v>
      </c>
      <c r="T63" s="38" t="s">
        <v>168</v>
      </c>
      <c r="U63" s="38" t="str">
        <f t="shared" si="3"/>
        <v/>
      </c>
      <c r="V63" s="37" t="str">
        <f t="shared" si="4"/>
        <v/>
      </c>
      <c r="W63" s="57"/>
      <c r="X63" s="59" t="str">
        <f t="shared" si="5"/>
        <v xml:space="preserve">    - xform/》ut(\d)//</v>
      </c>
    </row>
    <row r="64" spans="1:24" ht="27.75" thickBot="1">
      <c r="A64" s="51">
        <f t="shared" si="7"/>
        <v>61</v>
      </c>
      <c r="B64" s="52" t="s">
        <v>534</v>
      </c>
      <c r="C64" s="53" t="s">
        <v>535</v>
      </c>
      <c r="D64" s="54" t="s">
        <v>535</v>
      </c>
      <c r="E64" s="54" t="s">
        <v>536</v>
      </c>
      <c r="F64" s="54" t="s">
        <v>535</v>
      </c>
      <c r="G64" s="55" t="s">
        <v>535</v>
      </c>
      <c r="H64" s="54" t="s">
        <v>537</v>
      </c>
      <c r="I64" s="54" t="s">
        <v>538</v>
      </c>
      <c r="J64" s="56" t="str">
        <f xml:space="preserve"> LEFT(韻母對照表3[[#This Row],[十五音識別碼]],1)</f>
        <v>箴</v>
      </c>
      <c r="K64" s="56" t="s">
        <v>539</v>
      </c>
      <c r="L64" s="56" t="s">
        <v>540</v>
      </c>
      <c r="M64" s="54"/>
      <c r="N64" s="56">
        <f t="shared" si="11"/>
        <v>2</v>
      </c>
      <c r="O64" s="58"/>
      <c r="P64" s="54" t="str">
        <f>C71</f>
        <v>u</v>
      </c>
      <c r="Q64" s="54" t="str">
        <f>D71</f>
        <v>u</v>
      </c>
      <c r="S64" s="37" t="str">
        <f t="shared" si="2"/>
        <v>u(\d)</v>
      </c>
      <c r="T64" s="38" t="s">
        <v>168</v>
      </c>
      <c r="U64" s="38" t="str">
        <f t="shared" si="3"/>
        <v/>
      </c>
      <c r="V64" s="37" t="str">
        <f t="shared" si="4"/>
        <v/>
      </c>
      <c r="W64" s="57"/>
      <c r="X64" s="59" t="str">
        <f t="shared" si="5"/>
        <v xml:space="preserve">    - xform/》u(\d)//</v>
      </c>
    </row>
    <row r="65" spans="1:24" ht="27.75" thickBot="1">
      <c r="A65" s="51">
        <f t="shared" si="7"/>
        <v>62</v>
      </c>
      <c r="B65" s="52" t="s">
        <v>541</v>
      </c>
      <c r="C65" s="53" t="s">
        <v>542</v>
      </c>
      <c r="D65" s="54" t="s">
        <v>542</v>
      </c>
      <c r="E65" s="54" t="s">
        <v>542</v>
      </c>
      <c r="F65" s="54" t="s">
        <v>542</v>
      </c>
      <c r="G65" s="55" t="s">
        <v>542</v>
      </c>
      <c r="H65" s="54" t="s">
        <v>543</v>
      </c>
      <c r="I65" s="54" t="s">
        <v>544</v>
      </c>
      <c r="J65" s="56" t="str">
        <f xml:space="preserve"> LEFT(韻母對照表3[[#This Row],[十五音識別碼]],1)</f>
        <v>公</v>
      </c>
      <c r="K65" s="56" t="s">
        <v>545</v>
      </c>
      <c r="L65" s="56" t="s">
        <v>546</v>
      </c>
      <c r="M65" s="54"/>
      <c r="N65" s="56">
        <f t="shared" si="11"/>
        <v>3</v>
      </c>
      <c r="O65" s="58"/>
      <c r="P65" s="54" t="str">
        <f>C84</f>
        <v>uh</v>
      </c>
      <c r="Q65" s="54" t="str">
        <f>D84</f>
        <v>uh</v>
      </c>
      <c r="S65" s="37" t="str">
        <f t="shared" si="2"/>
        <v>uh(\d)</v>
      </c>
      <c r="T65" s="38" t="s">
        <v>207</v>
      </c>
      <c r="U65" s="38" t="str">
        <f t="shared" si="3"/>
        <v/>
      </c>
      <c r="V65" s="37" t="str">
        <f t="shared" si="4"/>
        <v/>
      </c>
      <c r="W65" s="57"/>
      <c r="X65" s="59" t="str">
        <f t="shared" si="5"/>
        <v xml:space="preserve">    - xform/》uh(\d)//</v>
      </c>
    </row>
    <row r="66" spans="1:24" ht="27.75" thickBot="1">
      <c r="A66" s="51">
        <f t="shared" si="7"/>
        <v>63</v>
      </c>
      <c r="B66" s="52" t="s">
        <v>547</v>
      </c>
      <c r="C66" s="53" t="s">
        <v>548</v>
      </c>
      <c r="D66" s="54" t="s">
        <v>548</v>
      </c>
      <c r="E66" s="54" t="s">
        <v>549</v>
      </c>
      <c r="F66" s="54" t="s">
        <v>550</v>
      </c>
      <c r="G66" s="55" t="s">
        <v>551</v>
      </c>
      <c r="H66" s="54" t="s">
        <v>552</v>
      </c>
      <c r="I66" s="54" t="s">
        <v>553</v>
      </c>
      <c r="J66" s="56" t="str">
        <f xml:space="preserve"> LEFT(韻母對照表3[[#This Row],[十五音識別碼]],1)</f>
        <v>姑</v>
      </c>
      <c r="K66" s="56" t="s">
        <v>554</v>
      </c>
      <c r="L66" s="56" t="s">
        <v>555</v>
      </c>
      <c r="M66" s="54"/>
      <c r="N66" s="56">
        <f t="shared" si="11"/>
        <v>3</v>
      </c>
      <c r="O66" s="58"/>
      <c r="P66" s="54" t="str">
        <f>C64</f>
        <v>om</v>
      </c>
      <c r="Q66" s="54" t="str">
        <f>D64</f>
        <v>om</v>
      </c>
      <c r="S66" s="37" t="str">
        <f t="shared" si="2"/>
        <v>om(\d)</v>
      </c>
      <c r="T66" s="38" t="s">
        <v>168</v>
      </c>
      <c r="U66" s="38" t="str">
        <f t="shared" si="3"/>
        <v/>
      </c>
      <c r="V66" s="37" t="str">
        <f t="shared" si="4"/>
        <v/>
      </c>
      <c r="W66" s="57"/>
      <c r="X66" s="59" t="str">
        <f t="shared" si="5"/>
        <v xml:space="preserve">    - xform/》om(\d)//</v>
      </c>
    </row>
    <row r="67" spans="1:24" ht="27.75" thickBot="1">
      <c r="A67" s="51">
        <f t="shared" si="7"/>
        <v>64</v>
      </c>
      <c r="B67" s="52" t="s">
        <v>556</v>
      </c>
      <c r="C67" s="53" t="s">
        <v>557</v>
      </c>
      <c r="D67" s="54" t="s">
        <v>558</v>
      </c>
      <c r="E67" s="54" t="s">
        <v>557</v>
      </c>
      <c r="F67" s="54" t="s">
        <v>559</v>
      </c>
      <c r="G67" s="55" t="s">
        <v>560</v>
      </c>
      <c r="H67" s="54" t="s">
        <v>561</v>
      </c>
      <c r="I67" s="54" t="s">
        <v>562</v>
      </c>
      <c r="J67" s="56" t="str">
        <f xml:space="preserve"> LEFT(韻母對照表3[[#This Row],[十五音識別碼]],1)</f>
        <v>扛</v>
      </c>
      <c r="K67" s="56" t="s">
        <v>191</v>
      </c>
      <c r="L67" s="56" t="s">
        <v>563</v>
      </c>
      <c r="M67" s="65" t="s">
        <v>201</v>
      </c>
      <c r="N67" s="56">
        <f t="shared" si="11"/>
        <v>4</v>
      </c>
      <c r="O67" s="58"/>
      <c r="P67" s="54" t="str">
        <f>C63</f>
        <v>ok</v>
      </c>
      <c r="Q67" s="54" t="str">
        <f>D63</f>
        <v>ok</v>
      </c>
      <c r="S67" s="37" t="str">
        <f t="shared" si="2"/>
        <v>ok(\d)</v>
      </c>
      <c r="T67" s="38" t="s">
        <v>168</v>
      </c>
      <c r="U67" s="38" t="str">
        <f t="shared" si="3"/>
        <v/>
      </c>
      <c r="V67" s="37" t="str">
        <f t="shared" si="4"/>
        <v/>
      </c>
      <c r="W67" s="57"/>
      <c r="X67" s="59" t="str">
        <f t="shared" si="5"/>
        <v xml:space="preserve">    - xform/》ok(\d)//</v>
      </c>
    </row>
    <row r="68" spans="1:24" ht="27.75" thickBot="1">
      <c r="A68" s="51">
        <f t="shared" si="7"/>
        <v>65</v>
      </c>
      <c r="B68" s="52" t="s">
        <v>564</v>
      </c>
      <c r="C68" s="53" t="s">
        <v>565</v>
      </c>
      <c r="D68" s="54" t="s">
        <v>565</v>
      </c>
      <c r="E68" s="54" t="s">
        <v>565</v>
      </c>
      <c r="F68" s="54" t="s">
        <v>565</v>
      </c>
      <c r="G68" s="55" t="s">
        <v>566</v>
      </c>
      <c r="H68" s="54" t="s">
        <v>567</v>
      </c>
      <c r="I68" s="54" t="s">
        <v>568</v>
      </c>
      <c r="J68" s="56" t="str">
        <f xml:space="preserve"> LEFT(韻母對照表3[[#This Row],[十五音識別碼]],1)</f>
        <v>沽</v>
      </c>
      <c r="K68" s="56" t="s">
        <v>569</v>
      </c>
      <c r="L68" s="56" t="s">
        <v>570</v>
      </c>
      <c r="M68" s="54"/>
      <c r="N68" s="56">
        <f t="shared" si="11"/>
        <v>2</v>
      </c>
      <c r="O68" s="58"/>
      <c r="P68" s="54" t="str">
        <f>C67</f>
        <v>onnh</v>
      </c>
      <c r="Q68" s="54" t="str">
        <f>D67</f>
        <v>ohnn</v>
      </c>
      <c r="S68" s="37" t="str">
        <f t="shared" ref="S68:S138" si="12" xml:space="preserve"> _xlfn.CONCAT(P68, "(\d)")</f>
        <v>onnh(\d)</v>
      </c>
      <c r="T68" s="38" t="s">
        <v>168</v>
      </c>
      <c r="U68" s="38" t="str">
        <f t="shared" ref="U68:U138" si="13" xml:space="preserve"> IFERROR( IF(T68="", "", SEARCH(T68, $P68)), "")</f>
        <v/>
      </c>
      <c r="V68" s="37" t="str">
        <f t="shared" ref="V68:V142" si="14" xml:space="preserve"> IFERROR( _xlfn.CONCAT(LEFT(P68,U68-1), "》", MID(P68,U68,1), "${1}", RIGHT(P68, LEN(P68)-U68)), "" )</f>
        <v/>
      </c>
      <c r="W68" s="57"/>
      <c r="X68" s="59" t="str">
        <f t="shared" ref="X68:X138" si="15" xml:space="preserve"> IF(AND(Q68&lt;&gt;"", P68&lt;&gt;""), "    - xform/》" &amp; S68 &amp;  "/"  &amp; V68 &amp;  "/", "")</f>
        <v xml:space="preserve">    - xform/》onnh(\d)//</v>
      </c>
    </row>
    <row r="69" spans="1:24" ht="30.75" thickBot="1">
      <c r="A69" s="51">
        <f t="shared" si="7"/>
        <v>66</v>
      </c>
      <c r="B69" s="52" t="s">
        <v>571</v>
      </c>
      <c r="C69" s="53" t="s">
        <v>572</v>
      </c>
      <c r="D69" s="62" t="s">
        <v>573</v>
      </c>
      <c r="E69" s="62" t="s">
        <v>573</v>
      </c>
      <c r="F69" s="62" t="s">
        <v>573</v>
      </c>
      <c r="G69" s="62" t="s">
        <v>574</v>
      </c>
      <c r="H69" s="72" t="s">
        <v>575</v>
      </c>
      <c r="I69" s="72" t="s">
        <v>576</v>
      </c>
      <c r="J69" s="56" t="str">
        <f xml:space="preserve"> LEFT(韻母對照表3[[#This Row],[十五音識別碼]],1)</f>
        <v>沽</v>
      </c>
      <c r="K69" s="56" t="s">
        <v>191</v>
      </c>
      <c r="L69" s="64" t="s">
        <v>577</v>
      </c>
      <c r="M69" s="54"/>
      <c r="N69" s="56">
        <f t="shared" si="11"/>
        <v>3</v>
      </c>
      <c r="O69" s="58"/>
      <c r="P69" s="54" t="str">
        <f>C70</f>
        <v>op</v>
      </c>
      <c r="Q69" s="54" t="str">
        <f>D70</f>
        <v>op</v>
      </c>
      <c r="S69" s="37" t="str">
        <f t="shared" si="12"/>
        <v>op(\d)</v>
      </c>
      <c r="T69" s="38" t="s">
        <v>168</v>
      </c>
      <c r="U69" s="38" t="str">
        <f t="shared" si="13"/>
        <v/>
      </c>
      <c r="V69" s="37" t="str">
        <f t="shared" si="14"/>
        <v/>
      </c>
      <c r="W69" s="57"/>
      <c r="X69" s="59" t="str">
        <f t="shared" si="15"/>
        <v xml:space="preserve">    - xform/》op(\d)//</v>
      </c>
    </row>
    <row r="70" spans="1:24" ht="27.75" thickBot="1">
      <c r="A70" s="51">
        <f t="shared" si="7"/>
        <v>67</v>
      </c>
      <c r="B70" s="52" t="s">
        <v>578</v>
      </c>
      <c r="C70" s="53" t="s">
        <v>579</v>
      </c>
      <c r="D70" s="54" t="s">
        <v>579</v>
      </c>
      <c r="E70" s="54" t="s">
        <v>580</v>
      </c>
      <c r="F70" s="54" t="s">
        <v>579</v>
      </c>
      <c r="G70" s="55" t="s">
        <v>579</v>
      </c>
      <c r="H70" s="54" t="s">
        <v>581</v>
      </c>
      <c r="I70" s="54" t="s">
        <v>582</v>
      </c>
      <c r="J70" s="56" t="str">
        <f xml:space="preserve"> LEFT(韻母對照表3[[#This Row],[十五音識別碼]],1)</f>
        <v>箴</v>
      </c>
      <c r="K70" s="56" t="s">
        <v>583</v>
      </c>
      <c r="L70" s="56" t="s">
        <v>584</v>
      </c>
      <c r="M70" s="54"/>
      <c r="N70" s="56">
        <f t="shared" si="11"/>
        <v>2</v>
      </c>
      <c r="O70" s="58"/>
      <c r="P70" s="54" t="str">
        <f>C88</f>
        <v>un</v>
      </c>
      <c r="Q70" s="54" t="str">
        <f>D88</f>
        <v>un</v>
      </c>
      <c r="S70" s="37" t="str">
        <f t="shared" si="12"/>
        <v>un(\d)</v>
      </c>
      <c r="T70" s="38" t="s">
        <v>234</v>
      </c>
      <c r="U70" s="38" t="str">
        <f t="shared" si="13"/>
        <v/>
      </c>
      <c r="V70" s="37" t="str">
        <f t="shared" si="14"/>
        <v/>
      </c>
      <c r="W70" s="57"/>
      <c r="X70" s="59" t="str">
        <f t="shared" si="15"/>
        <v xml:space="preserve">    - xform/》un(\d)//</v>
      </c>
    </row>
    <row r="71" spans="1:24" ht="27.75" thickBot="1">
      <c r="A71" s="51">
        <f t="shared" si="7"/>
        <v>68</v>
      </c>
      <c r="B71" s="52" t="s">
        <v>179</v>
      </c>
      <c r="C71" s="53" t="s">
        <v>585</v>
      </c>
      <c r="D71" s="54" t="s">
        <v>585</v>
      </c>
      <c r="E71" s="54" t="s">
        <v>585</v>
      </c>
      <c r="F71" s="54" t="s">
        <v>585</v>
      </c>
      <c r="G71" s="55" t="s">
        <v>585</v>
      </c>
      <c r="H71" s="54" t="s">
        <v>586</v>
      </c>
      <c r="I71" s="54" t="s">
        <v>586</v>
      </c>
      <c r="J71" s="56" t="str">
        <f xml:space="preserve"> LEFT(韻母對照表3[[#This Row],[十五音識別碼]],1)</f>
        <v>艍</v>
      </c>
      <c r="K71" s="56" t="s">
        <v>587</v>
      </c>
      <c r="L71" s="56" t="s">
        <v>588</v>
      </c>
      <c r="M71" s="54"/>
      <c r="N71" s="56">
        <f t="shared" si="11"/>
        <v>1</v>
      </c>
      <c r="O71" s="58"/>
      <c r="P71" s="54" t="str">
        <f>C72</f>
        <v>ua</v>
      </c>
      <c r="Q71" s="54" t="str">
        <f>D72</f>
        <v>ua</v>
      </c>
      <c r="S71" s="37" t="str">
        <f t="shared" si="12"/>
        <v>ua(\d)</v>
      </c>
      <c r="T71" s="38" t="s">
        <v>207</v>
      </c>
      <c r="U71" s="38" t="str">
        <f t="shared" si="13"/>
        <v/>
      </c>
      <c r="V71" s="37" t="str">
        <f t="shared" si="14"/>
        <v/>
      </c>
      <c r="W71" s="57"/>
      <c r="X71" s="59" t="str">
        <f t="shared" si="15"/>
        <v xml:space="preserve">    - xform/》ua(\d)//</v>
      </c>
    </row>
    <row r="72" spans="1:24" ht="27.75" thickBot="1">
      <c r="A72" s="51">
        <f t="shared" si="7"/>
        <v>69</v>
      </c>
      <c r="B72" s="52" t="s">
        <v>589</v>
      </c>
      <c r="C72" s="53" t="s">
        <v>590</v>
      </c>
      <c r="D72" s="54" t="s">
        <v>590</v>
      </c>
      <c r="E72" s="54" t="s">
        <v>590</v>
      </c>
      <c r="F72" s="54" t="s">
        <v>590</v>
      </c>
      <c r="G72" s="55" t="s">
        <v>591</v>
      </c>
      <c r="H72" s="54" t="s">
        <v>592</v>
      </c>
      <c r="I72" s="54" t="s">
        <v>592</v>
      </c>
      <c r="J72" s="56" t="str">
        <f xml:space="preserve"> LEFT(韻母對照表3[[#This Row],[十五音識別碼]],1)</f>
        <v>瓜</v>
      </c>
      <c r="K72" s="56" t="s">
        <v>593</v>
      </c>
      <c r="L72" s="56" t="s">
        <v>594</v>
      </c>
      <c r="M72" s="54"/>
      <c r="N72" s="56">
        <f t="shared" si="11"/>
        <v>2</v>
      </c>
      <c r="O72" s="58"/>
      <c r="P72" s="54" t="str">
        <f>C79</f>
        <v>uang</v>
      </c>
      <c r="Q72" s="54" t="str">
        <f>D79</f>
        <v>uang</v>
      </c>
      <c r="S72" s="37" t="str">
        <f t="shared" si="12"/>
        <v>uang(\d)</v>
      </c>
      <c r="T72" s="38" t="s">
        <v>234</v>
      </c>
      <c r="U72" s="38" t="str">
        <f t="shared" si="13"/>
        <v/>
      </c>
      <c r="V72" s="37" t="str">
        <f t="shared" si="14"/>
        <v/>
      </c>
      <c r="W72" s="57"/>
      <c r="X72" s="59" t="str">
        <f t="shared" si="15"/>
        <v xml:space="preserve">    - xform/》uang(\d)//</v>
      </c>
    </row>
    <row r="73" spans="1:24" ht="27.75" thickBot="1">
      <c r="A73" s="51">
        <f t="shared" si="7"/>
        <v>70</v>
      </c>
      <c r="B73" s="52" t="s">
        <v>595</v>
      </c>
      <c r="C73" s="53" t="s">
        <v>596</v>
      </c>
      <c r="D73" s="54" t="s">
        <v>596</v>
      </c>
      <c r="E73" s="54" t="s">
        <v>596</v>
      </c>
      <c r="F73" s="54" t="s">
        <v>596</v>
      </c>
      <c r="G73" s="55" t="s">
        <v>597</v>
      </c>
      <c r="H73" s="54" t="s">
        <v>598</v>
      </c>
      <c r="I73" s="54" t="s">
        <v>599</v>
      </c>
      <c r="J73" s="56" t="str">
        <f xml:space="preserve"> LEFT(韻母對照表3[[#This Row],[十五音識別碼]],1)</f>
        <v>瓜</v>
      </c>
      <c r="K73" s="56" t="s">
        <v>600</v>
      </c>
      <c r="L73" s="56" t="s">
        <v>601</v>
      </c>
      <c r="M73" s="54"/>
      <c r="N73" s="56">
        <f t="shared" si="11"/>
        <v>3</v>
      </c>
      <c r="O73" s="58"/>
      <c r="P73" s="54" t="str">
        <f>C74</f>
        <v>uai</v>
      </c>
      <c r="Q73" s="54" t="str">
        <f>D74</f>
        <v>uai</v>
      </c>
      <c r="S73" s="37" t="str">
        <f t="shared" si="12"/>
        <v>uai(\d)</v>
      </c>
      <c r="T73" s="38" t="s">
        <v>234</v>
      </c>
      <c r="U73" s="38">
        <f t="shared" si="13"/>
        <v>3</v>
      </c>
      <c r="V73" s="37" t="str">
        <f t="shared" si="14"/>
        <v>ua》i${1}</v>
      </c>
      <c r="W73" s="57"/>
      <c r="X73" s="59" t="str">
        <f t="shared" si="15"/>
        <v xml:space="preserve">    - xform/》uai(\d)/ua》i${1}/</v>
      </c>
    </row>
    <row r="74" spans="1:24" ht="27.75" thickBot="1">
      <c r="A74" s="51">
        <f t="shared" si="7"/>
        <v>71</v>
      </c>
      <c r="B74" s="52" t="s">
        <v>602</v>
      </c>
      <c r="C74" s="53" t="s">
        <v>603</v>
      </c>
      <c r="D74" s="54" t="s">
        <v>603</v>
      </c>
      <c r="E74" s="54" t="s">
        <v>603</v>
      </c>
      <c r="F74" s="54" t="s">
        <v>603</v>
      </c>
      <c r="G74" s="55" t="s">
        <v>604</v>
      </c>
      <c r="H74" s="54" t="s">
        <v>605</v>
      </c>
      <c r="I74" s="54" t="s">
        <v>605</v>
      </c>
      <c r="J74" s="56" t="str">
        <f xml:space="preserve"> LEFT(韻母對照表3[[#This Row],[十五音識別碼]],1)</f>
        <v>乖</v>
      </c>
      <c r="K74" s="56" t="s">
        <v>606</v>
      </c>
      <c r="L74" s="56" t="s">
        <v>607</v>
      </c>
      <c r="M74" s="54"/>
      <c r="N74" s="56">
        <f t="shared" si="11"/>
        <v>3</v>
      </c>
      <c r="O74" s="58"/>
      <c r="P74" s="54" t="str">
        <f>C82</f>
        <v>ue</v>
      </c>
      <c r="Q74" s="54" t="str">
        <f>D82</f>
        <v>ue</v>
      </c>
      <c r="S74" s="37" t="str">
        <f t="shared" si="12"/>
        <v>ue(\d)</v>
      </c>
      <c r="T74" s="38" t="s">
        <v>225</v>
      </c>
      <c r="U74" s="38" t="str">
        <f t="shared" si="13"/>
        <v/>
      </c>
      <c r="V74" s="37" t="str">
        <f t="shared" si="14"/>
        <v/>
      </c>
      <c r="W74" s="57"/>
      <c r="X74" s="59" t="str">
        <f t="shared" si="15"/>
        <v xml:space="preserve">    - xform/》ue(\d)//</v>
      </c>
    </row>
    <row r="75" spans="1:24" ht="27.75" thickBot="1">
      <c r="A75" s="51">
        <f t="shared" si="7"/>
        <v>72</v>
      </c>
      <c r="B75" s="52" t="s">
        <v>608</v>
      </c>
      <c r="C75" s="53" t="s">
        <v>609</v>
      </c>
      <c r="D75" s="54" t="s">
        <v>609</v>
      </c>
      <c r="E75" s="54" t="s">
        <v>609</v>
      </c>
      <c r="F75" s="54" t="s">
        <v>610</v>
      </c>
      <c r="G75" s="55" t="s">
        <v>611</v>
      </c>
      <c r="H75" s="54" t="s">
        <v>612</v>
      </c>
      <c r="I75" s="54" t="s">
        <v>613</v>
      </c>
      <c r="J75" s="56" t="str">
        <f xml:space="preserve"> LEFT(韻母對照表3[[#This Row],[十五音識別碼]],1)</f>
        <v>閂</v>
      </c>
      <c r="K75" s="56" t="s">
        <v>614</v>
      </c>
      <c r="L75" s="56" t="s">
        <v>615</v>
      </c>
      <c r="M75" s="65" t="s">
        <v>201</v>
      </c>
      <c r="N75" s="56">
        <f t="shared" si="11"/>
        <v>5</v>
      </c>
      <c r="O75" s="58"/>
      <c r="P75" s="54" t="str">
        <f>C83</f>
        <v>ueh</v>
      </c>
      <c r="Q75" s="54" t="str">
        <f>D83</f>
        <v>ueh</v>
      </c>
      <c r="S75" s="37" t="str">
        <f t="shared" si="12"/>
        <v>ueh(\d)</v>
      </c>
      <c r="T75" s="38" t="s">
        <v>185</v>
      </c>
      <c r="U75" s="38" t="str">
        <f t="shared" si="13"/>
        <v/>
      </c>
      <c r="V75" s="37" t="str">
        <f t="shared" si="14"/>
        <v/>
      </c>
      <c r="W75" s="57"/>
      <c r="X75" s="59" t="str">
        <f t="shared" si="15"/>
        <v xml:space="preserve">    - xform/》ueh(\d)//</v>
      </c>
    </row>
    <row r="76" spans="1:24" ht="27.75" thickBot="1">
      <c r="A76" s="51">
        <f t="shared" si="7"/>
        <v>73</v>
      </c>
      <c r="B76" s="52" t="s">
        <v>616</v>
      </c>
      <c r="C76" s="53" t="s">
        <v>617</v>
      </c>
      <c r="D76" s="54" t="s">
        <v>617</v>
      </c>
      <c r="E76" s="54" t="s">
        <v>617</v>
      </c>
      <c r="F76" s="54" t="s">
        <v>617</v>
      </c>
      <c r="G76" s="55" t="s">
        <v>618</v>
      </c>
      <c r="H76" s="54" t="s">
        <v>619</v>
      </c>
      <c r="I76" s="54" t="s">
        <v>620</v>
      </c>
      <c r="J76" s="56" t="str">
        <f xml:space="preserve"> LEFT(韻母對照表3[[#This Row],[十五音識別碼]],1)</f>
        <v>乖</v>
      </c>
      <c r="K76" s="56" t="s">
        <v>191</v>
      </c>
      <c r="L76" s="56" t="s">
        <v>621</v>
      </c>
      <c r="M76" s="54"/>
      <c r="N76" s="56">
        <f t="shared" si="11"/>
        <v>4</v>
      </c>
      <c r="O76" s="58"/>
      <c r="P76" s="54" t="str">
        <f>C85</f>
        <v>ui</v>
      </c>
      <c r="Q76" s="54" t="str">
        <f>D85</f>
        <v>ui</v>
      </c>
      <c r="S76" s="37" t="str">
        <f t="shared" si="12"/>
        <v>ui(\d)</v>
      </c>
      <c r="T76" s="38" t="s">
        <v>185</v>
      </c>
      <c r="U76" s="38" t="str">
        <f t="shared" si="13"/>
        <v/>
      </c>
      <c r="V76" s="37" t="str">
        <f t="shared" si="14"/>
        <v/>
      </c>
      <c r="W76" s="57"/>
      <c r="X76" s="59" t="str">
        <f t="shared" si="15"/>
        <v xml:space="preserve">    - xform/》ui(\d)//</v>
      </c>
    </row>
    <row r="77" spans="1:24" ht="27.75" thickBot="1">
      <c r="A77" s="51">
        <f t="shared" si="7"/>
        <v>74</v>
      </c>
      <c r="B77" s="52" t="s">
        <v>622</v>
      </c>
      <c r="C77" s="53" t="s">
        <v>623</v>
      </c>
      <c r="D77" s="54" t="s">
        <v>624</v>
      </c>
      <c r="E77" s="54" t="s">
        <v>623</v>
      </c>
      <c r="F77" s="62" t="s">
        <v>625</v>
      </c>
      <c r="G77" s="55" t="s">
        <v>626</v>
      </c>
      <c r="H77" s="54" t="s">
        <v>627</v>
      </c>
      <c r="I77" s="54" t="s">
        <v>628</v>
      </c>
      <c r="J77" s="56" t="str">
        <f xml:space="preserve"> LEFT(韻母對照表3[[#This Row],[十五音識別碼]],1)</f>
        <v>閂</v>
      </c>
      <c r="K77" s="56" t="s">
        <v>629</v>
      </c>
      <c r="L77" s="56" t="s">
        <v>630</v>
      </c>
      <c r="M77" s="65" t="s">
        <v>201</v>
      </c>
      <c r="N77" s="56">
        <f t="shared" si="11"/>
        <v>6</v>
      </c>
      <c r="O77" s="58"/>
      <c r="P77" s="54" t="str">
        <f>C87</f>
        <v>uinn</v>
      </c>
      <c r="Q77" s="54" t="str">
        <f>D87</f>
        <v>uinn</v>
      </c>
      <c r="S77" s="37" t="str">
        <f t="shared" si="12"/>
        <v>uinn(\d)</v>
      </c>
      <c r="T77" s="38" t="s">
        <v>185</v>
      </c>
      <c r="U77" s="38" t="str">
        <f t="shared" si="13"/>
        <v/>
      </c>
      <c r="V77" s="37" t="str">
        <f t="shared" si="14"/>
        <v/>
      </c>
      <c r="W77" s="57"/>
      <c r="X77" s="59" t="str">
        <f t="shared" si="15"/>
        <v xml:space="preserve">    - xform/》uinn(\d)//</v>
      </c>
    </row>
    <row r="78" spans="1:24" ht="27.75" thickBot="1">
      <c r="A78" s="51">
        <f t="shared" si="7"/>
        <v>75</v>
      </c>
      <c r="B78" s="52" t="s">
        <v>631</v>
      </c>
      <c r="C78" s="53" t="s">
        <v>632</v>
      </c>
      <c r="D78" s="54" t="s">
        <v>632</v>
      </c>
      <c r="E78" s="54" t="s">
        <v>632</v>
      </c>
      <c r="F78" s="54" t="s">
        <v>632</v>
      </c>
      <c r="G78" s="55" t="s">
        <v>633</v>
      </c>
      <c r="H78" s="54" t="s">
        <v>634</v>
      </c>
      <c r="I78" s="54" t="s">
        <v>634</v>
      </c>
      <c r="J78" s="56" t="str">
        <f xml:space="preserve"> LEFT(韻母對照表3[[#This Row],[十五音識別碼]],1)</f>
        <v>觀</v>
      </c>
      <c r="K78" s="56" t="s">
        <v>635</v>
      </c>
      <c r="L78" s="56" t="s">
        <v>636</v>
      </c>
      <c r="M78" s="54"/>
      <c r="N78" s="56">
        <f t="shared" si="11"/>
        <v>3</v>
      </c>
      <c r="O78" s="58"/>
      <c r="P78" s="54" t="str">
        <f>C75</f>
        <v>uainn</v>
      </c>
      <c r="Q78" s="54" t="str">
        <f>D75</f>
        <v>uainn</v>
      </c>
      <c r="S78" s="37" t="str">
        <f t="shared" si="12"/>
        <v>uainn(\d)</v>
      </c>
      <c r="T78" s="38" t="s">
        <v>234</v>
      </c>
      <c r="U78" s="38">
        <f t="shared" si="13"/>
        <v>3</v>
      </c>
      <c r="V78" s="37" t="str">
        <f t="shared" si="14"/>
        <v>ua》i${1}nn</v>
      </c>
      <c r="W78" s="57"/>
      <c r="X78" s="59" t="str">
        <f t="shared" si="15"/>
        <v xml:space="preserve">    - xform/》uainn(\d)/ua》i${1}nn/</v>
      </c>
    </row>
    <row r="79" spans="1:24" ht="27.75" thickBot="1">
      <c r="A79" s="51">
        <f t="shared" si="7"/>
        <v>76</v>
      </c>
      <c r="B79" s="52" t="s">
        <v>637</v>
      </c>
      <c r="C79" s="53" t="s">
        <v>638</v>
      </c>
      <c r="D79" s="54" t="s">
        <v>638</v>
      </c>
      <c r="E79" s="54" t="s">
        <v>638</v>
      </c>
      <c r="F79" s="54" t="s">
        <v>638</v>
      </c>
      <c r="G79" s="55" t="s">
        <v>639</v>
      </c>
      <c r="H79" s="54" t="s">
        <v>640</v>
      </c>
      <c r="I79" s="54" t="s">
        <v>640</v>
      </c>
      <c r="J79" s="56" t="str">
        <f xml:space="preserve"> LEFT(韻母對照表3[[#This Row],[十五音識別碼]],1)</f>
        <v>光</v>
      </c>
      <c r="K79" s="56" t="s">
        <v>641</v>
      </c>
      <c r="L79" s="56" t="s">
        <v>642</v>
      </c>
      <c r="M79" s="54"/>
      <c r="N79" s="56">
        <f t="shared" si="11"/>
        <v>4</v>
      </c>
      <c r="O79" s="58"/>
      <c r="P79" s="54" t="str">
        <f>C76</f>
        <v>uaih</v>
      </c>
      <c r="Q79" s="54" t="str">
        <f>D76</f>
        <v>uaih</v>
      </c>
      <c r="S79" s="37" t="str">
        <f t="shared" si="12"/>
        <v>uaih(\d)</v>
      </c>
      <c r="T79" s="38" t="s">
        <v>234</v>
      </c>
      <c r="U79" s="38">
        <f t="shared" si="13"/>
        <v>3</v>
      </c>
      <c r="V79" s="37" t="str">
        <f t="shared" si="14"/>
        <v>ua》i${1}h</v>
      </c>
      <c r="W79" s="57"/>
      <c r="X79" s="59" t="str">
        <f t="shared" si="15"/>
        <v xml:space="preserve">    - xform/》uaih(\d)/ua》i${1}h/</v>
      </c>
    </row>
    <row r="80" spans="1:24" ht="27.75" thickBot="1">
      <c r="A80" s="51">
        <f t="shared" si="7"/>
        <v>77</v>
      </c>
      <c r="B80" s="52" t="s">
        <v>643</v>
      </c>
      <c r="C80" s="53" t="s">
        <v>644</v>
      </c>
      <c r="D80" s="54" t="s">
        <v>644</v>
      </c>
      <c r="E80" s="54" t="s">
        <v>644</v>
      </c>
      <c r="F80" s="54" t="s">
        <v>645</v>
      </c>
      <c r="G80" s="55" t="s">
        <v>646</v>
      </c>
      <c r="H80" s="54" t="s">
        <v>647</v>
      </c>
      <c r="I80" s="54" t="s">
        <v>648</v>
      </c>
      <c r="J80" s="56" t="str">
        <f xml:space="preserve"> LEFT(韻母對照表3[[#This Row],[十五音識別碼]],1)</f>
        <v>官</v>
      </c>
      <c r="K80" s="56" t="s">
        <v>649</v>
      </c>
      <c r="L80" s="56" t="s">
        <v>650</v>
      </c>
      <c r="M80" s="54"/>
      <c r="N80" s="56">
        <f t="shared" si="11"/>
        <v>4</v>
      </c>
      <c r="O80" s="58"/>
      <c r="P80" s="54" t="str">
        <f>C81</f>
        <v>uat</v>
      </c>
      <c r="Q80" s="54" t="str">
        <f>D81</f>
        <v>uat</v>
      </c>
      <c r="S80" s="37" t="str">
        <f t="shared" si="12"/>
        <v>uat(\d)</v>
      </c>
      <c r="T80" s="38" t="s">
        <v>234</v>
      </c>
      <c r="U80" s="38" t="str">
        <f t="shared" si="13"/>
        <v/>
      </c>
      <c r="V80" s="37" t="str">
        <f t="shared" si="14"/>
        <v/>
      </c>
      <c r="W80" s="57"/>
      <c r="X80" s="59" t="str">
        <f t="shared" si="15"/>
        <v xml:space="preserve">    - xform/》uat(\d)//</v>
      </c>
    </row>
    <row r="81" spans="1:24" ht="27.75" thickBot="1">
      <c r="A81" s="51">
        <f t="shared" si="7"/>
        <v>78</v>
      </c>
      <c r="B81" s="52" t="s">
        <v>651</v>
      </c>
      <c r="C81" s="53" t="s">
        <v>652</v>
      </c>
      <c r="D81" s="54" t="s">
        <v>652</v>
      </c>
      <c r="E81" s="54" t="s">
        <v>652</v>
      </c>
      <c r="F81" s="54" t="s">
        <v>652</v>
      </c>
      <c r="G81" s="55" t="s">
        <v>653</v>
      </c>
      <c r="H81" s="54" t="s">
        <v>654</v>
      </c>
      <c r="I81" s="54" t="s">
        <v>655</v>
      </c>
      <c r="J81" s="56" t="str">
        <f xml:space="preserve"> LEFT(韻母對照表3[[#This Row],[十五音識別碼]],1)</f>
        <v>觀</v>
      </c>
      <c r="K81" s="56" t="s">
        <v>656</v>
      </c>
      <c r="L81" s="56" t="s">
        <v>657</v>
      </c>
      <c r="M81" s="54"/>
      <c r="N81" s="56">
        <f t="shared" si="11"/>
        <v>3</v>
      </c>
      <c r="O81" s="58"/>
      <c r="P81" s="54" t="str">
        <f>C77</f>
        <v>uainnh</v>
      </c>
      <c r="Q81" s="54" t="str">
        <f>D77</f>
        <v>uaihnn</v>
      </c>
      <c r="S81" s="37" t="str">
        <f t="shared" si="12"/>
        <v>uainnh(\d)</v>
      </c>
      <c r="T81" s="38" t="s">
        <v>219</v>
      </c>
      <c r="U81" s="38" t="str">
        <f t="shared" si="13"/>
        <v/>
      </c>
      <c r="V81" s="37" t="str">
        <f t="shared" si="14"/>
        <v/>
      </c>
      <c r="W81" s="57"/>
      <c r="X81" s="59" t="str">
        <f t="shared" si="15"/>
        <v xml:space="preserve">    - xform/》uainnh(\d)//</v>
      </c>
    </row>
    <row r="82" spans="1:24" ht="27.75" thickBot="1">
      <c r="A82" s="51">
        <f t="shared" si="7"/>
        <v>79</v>
      </c>
      <c r="B82" s="52" t="s">
        <v>658</v>
      </c>
      <c r="C82" s="53" t="s">
        <v>659</v>
      </c>
      <c r="D82" s="54" t="s">
        <v>659</v>
      </c>
      <c r="E82" s="54" t="s">
        <v>659</v>
      </c>
      <c r="F82" s="54" t="s">
        <v>659</v>
      </c>
      <c r="G82" s="55" t="s">
        <v>660</v>
      </c>
      <c r="H82" s="54" t="s">
        <v>661</v>
      </c>
      <c r="I82" s="54" t="s">
        <v>662</v>
      </c>
      <c r="J82" s="56" t="str">
        <f xml:space="preserve"> LEFT(韻母對照表3[[#This Row],[十五音識別碼]],1)</f>
        <v>檜</v>
      </c>
      <c r="K82" s="56" t="s">
        <v>663</v>
      </c>
      <c r="L82" s="56" t="s">
        <v>664</v>
      </c>
      <c r="M82" s="54"/>
      <c r="N82" s="56">
        <f t="shared" si="11"/>
        <v>2</v>
      </c>
      <c r="O82" s="58"/>
      <c r="P82" s="54" t="str">
        <f>C86</f>
        <v>uih</v>
      </c>
      <c r="Q82" s="54" t="str">
        <f>D86</f>
        <v>uih</v>
      </c>
      <c r="S82" s="37" t="str">
        <f t="shared" si="12"/>
        <v>uih(\d)</v>
      </c>
      <c r="T82" s="38" t="s">
        <v>185</v>
      </c>
      <c r="U82" s="38" t="str">
        <f t="shared" si="13"/>
        <v/>
      </c>
      <c r="V82" s="37" t="str">
        <f t="shared" si="14"/>
        <v/>
      </c>
      <c r="W82" s="57"/>
      <c r="X82" s="59" t="str">
        <f t="shared" si="15"/>
        <v xml:space="preserve">    - xform/》uih(\d)//</v>
      </c>
    </row>
    <row r="83" spans="1:24" ht="27.75" thickBot="1">
      <c r="A83" s="51">
        <f t="shared" si="7"/>
        <v>80</v>
      </c>
      <c r="B83" s="52" t="s">
        <v>665</v>
      </c>
      <c r="C83" s="53" t="s">
        <v>666</v>
      </c>
      <c r="D83" s="54" t="s">
        <v>666</v>
      </c>
      <c r="E83" s="54" t="s">
        <v>666</v>
      </c>
      <c r="F83" s="54" t="s">
        <v>666</v>
      </c>
      <c r="G83" s="55" t="s">
        <v>667</v>
      </c>
      <c r="H83" s="54" t="s">
        <v>668</v>
      </c>
      <c r="I83" s="54" t="s">
        <v>669</v>
      </c>
      <c r="J83" s="56" t="str">
        <f xml:space="preserve"> LEFT(韻母對照表3[[#This Row],[十五音識別碼]],1)</f>
        <v>檜</v>
      </c>
      <c r="K83" s="56" t="s">
        <v>670</v>
      </c>
      <c r="L83" s="56" t="s">
        <v>671</v>
      </c>
      <c r="M83" s="54"/>
      <c r="N83" s="56">
        <f t="shared" si="11"/>
        <v>3</v>
      </c>
      <c r="O83" s="58"/>
      <c r="P83" s="54" t="str">
        <f>C57</f>
        <v>m</v>
      </c>
      <c r="Q83" s="54" t="str">
        <f>D57</f>
        <v>m</v>
      </c>
      <c r="S83" s="37" t="str">
        <f t="shared" si="12"/>
        <v>m(\d)</v>
      </c>
      <c r="T83" s="38" t="s">
        <v>179</v>
      </c>
      <c r="U83" s="38" t="str">
        <f t="shared" si="13"/>
        <v/>
      </c>
      <c r="V83" s="37" t="str">
        <f t="shared" si="14"/>
        <v/>
      </c>
      <c r="W83" s="57"/>
      <c r="X83" s="59" t="str">
        <f t="shared" si="15"/>
        <v xml:space="preserve">    - xform/》m(\d)//</v>
      </c>
    </row>
    <row r="84" spans="1:24" ht="27.75" thickBot="1">
      <c r="A84" s="51">
        <f t="shared" si="7"/>
        <v>81</v>
      </c>
      <c r="B84" s="52" t="s">
        <v>672</v>
      </c>
      <c r="C84" s="53" t="s">
        <v>673</v>
      </c>
      <c r="D84" s="54" t="s">
        <v>673</v>
      </c>
      <c r="E84" s="54" t="s">
        <v>673</v>
      </c>
      <c r="F84" s="54" t="s">
        <v>673</v>
      </c>
      <c r="G84" s="55" t="s">
        <v>673</v>
      </c>
      <c r="H84" s="54" t="s">
        <v>674</v>
      </c>
      <c r="I84" s="54" t="s">
        <v>675</v>
      </c>
      <c r="J84" s="56" t="str">
        <f xml:space="preserve"> LEFT(韻母對照表3[[#This Row],[十五音識別碼]],1)</f>
        <v>艍</v>
      </c>
      <c r="K84" s="56" t="s">
        <v>676</v>
      </c>
      <c r="L84" s="56" t="s">
        <v>677</v>
      </c>
      <c r="M84" s="54"/>
      <c r="N84" s="56">
        <f t="shared" si="11"/>
        <v>2</v>
      </c>
      <c r="O84" s="58"/>
      <c r="P84" s="54" t="str">
        <f>C80</f>
        <v>uann</v>
      </c>
      <c r="Q84" s="54" t="str">
        <f>D80</f>
        <v>uann</v>
      </c>
      <c r="S84" s="37" t="str">
        <f t="shared" si="12"/>
        <v>uann(\d)</v>
      </c>
      <c r="T84" s="38" t="s">
        <v>234</v>
      </c>
      <c r="U84" s="38" t="str">
        <f t="shared" si="13"/>
        <v/>
      </c>
      <c r="V84" s="37" t="str">
        <f t="shared" si="14"/>
        <v/>
      </c>
      <c r="W84" s="57"/>
      <c r="X84" s="59" t="str">
        <f t="shared" si="15"/>
        <v xml:space="preserve">    - xform/》uann(\d)//</v>
      </c>
    </row>
    <row r="85" spans="1:24" ht="27.75" thickBot="1">
      <c r="A85" s="51">
        <f t="shared" si="7"/>
        <v>82</v>
      </c>
      <c r="B85" s="52" t="s">
        <v>678</v>
      </c>
      <c r="C85" s="53" t="s">
        <v>679</v>
      </c>
      <c r="D85" s="54" t="s">
        <v>679</v>
      </c>
      <c r="E85" s="54" t="s">
        <v>679</v>
      </c>
      <c r="F85" s="54" t="s">
        <v>679</v>
      </c>
      <c r="G85" s="55" t="s">
        <v>679</v>
      </c>
      <c r="H85" s="54" t="s">
        <v>680</v>
      </c>
      <c r="I85" s="54" t="s">
        <v>680</v>
      </c>
      <c r="J85" s="56" t="str">
        <f xml:space="preserve"> LEFT(韻母對照表3[[#This Row],[十五音識別碼]],1)</f>
        <v>規</v>
      </c>
      <c r="K85" s="56" t="s">
        <v>681</v>
      </c>
      <c r="L85" s="56" t="s">
        <v>682</v>
      </c>
      <c r="M85" s="54"/>
      <c r="N85" s="56">
        <f xml:space="preserve"> LEN(D85)</f>
        <v>2</v>
      </c>
      <c r="O85" s="58"/>
      <c r="P85" s="54" t="str">
        <f>C58</f>
        <v>mh</v>
      </c>
      <c r="Q85" s="54" t="str">
        <f>D58</f>
        <v>mh</v>
      </c>
      <c r="S85" s="37" t="str">
        <f xml:space="preserve"> _xlfn.CONCAT(P85, "(\d)")</f>
        <v>mh(\d)</v>
      </c>
      <c r="T85" s="38" t="s">
        <v>179</v>
      </c>
      <c r="U85" s="38" t="str">
        <f xml:space="preserve"> IFERROR( IF(T85="", "", SEARCH(T85, $P85)), "")</f>
        <v/>
      </c>
      <c r="V85" s="37" t="str">
        <f xml:space="preserve"> IFERROR( _xlfn.CONCAT(LEFT(P85,U85-1), "》", MID(P85,U85,1), "${1}", RIGHT(P85, LEN(P85)-U85)), "" )</f>
        <v/>
      </c>
      <c r="W85" s="57"/>
      <c r="X85" s="59" t="str">
        <f xml:space="preserve"> IF(AND(Q85&lt;&gt;"", P85&lt;&gt;""), "    - xform/》" &amp; S85 &amp;  "/"  &amp; V85 &amp;  "/", "")</f>
        <v xml:space="preserve">    - xform/》mh(\d)//</v>
      </c>
    </row>
    <row r="86" spans="1:24" ht="27.75" thickBot="1">
      <c r="A86" s="51">
        <f t="shared" si="7"/>
        <v>83</v>
      </c>
      <c r="B86" s="52" t="s">
        <v>683</v>
      </c>
      <c r="C86" s="53" t="s">
        <v>684</v>
      </c>
      <c r="D86" s="62" t="s">
        <v>685</v>
      </c>
      <c r="E86" s="62" t="s">
        <v>685</v>
      </c>
      <c r="F86" s="62" t="s">
        <v>685</v>
      </c>
      <c r="G86" s="62" t="s">
        <v>684</v>
      </c>
      <c r="H86" s="63" t="s">
        <v>686</v>
      </c>
      <c r="I86" s="63" t="s">
        <v>687</v>
      </c>
      <c r="J86" s="56" t="str">
        <f xml:space="preserve"> LEFT(韻母對照表3[[#This Row],[十五音識別碼]],1)</f>
        <v>褌</v>
      </c>
      <c r="K86" s="56" t="s">
        <v>191</v>
      </c>
      <c r="L86" s="70" t="s">
        <v>688</v>
      </c>
      <c r="M86" s="65" t="s">
        <v>201</v>
      </c>
      <c r="N86" s="56">
        <f xml:space="preserve"> LEN(D86)</f>
        <v>3</v>
      </c>
      <c r="O86" s="58"/>
      <c r="P86" s="54" t="str">
        <f>C60</f>
        <v>ngh</v>
      </c>
      <c r="Q86" s="54" t="str">
        <f>D60</f>
        <v>ngh</v>
      </c>
      <c r="S86" s="37" t="str">
        <f xml:space="preserve"> _xlfn.CONCAT(P86, "(\d)")</f>
        <v>ngh(\d)</v>
      </c>
      <c r="T86" s="38" t="s">
        <v>179</v>
      </c>
      <c r="U86" s="38" t="str">
        <f xml:space="preserve"> IFERROR( IF(T86="", "", SEARCH(T86, $P86)), "")</f>
        <v/>
      </c>
      <c r="V86" s="37" t="str">
        <f xml:space="preserve"> IFERROR( _xlfn.CONCAT(LEFT(P86,U86-1), "》", MID(P86,U86,1), "${1}", RIGHT(P86, LEN(P86)-U86)), "" )</f>
        <v/>
      </c>
      <c r="W86" s="57"/>
      <c r="X86" s="59" t="str">
        <f xml:space="preserve"> IF(AND(Q86&lt;&gt;"", P86&lt;&gt;""), "    - xform/》" &amp; S86 &amp;  "/"  &amp; V86 &amp;  "/", "")</f>
        <v xml:space="preserve">    - xform/》ngh(\d)//</v>
      </c>
    </row>
    <row r="87" spans="1:24" ht="27.75" thickBot="1">
      <c r="A87" s="51">
        <f t="shared" si="7"/>
        <v>84</v>
      </c>
      <c r="B87" s="52" t="s">
        <v>689</v>
      </c>
      <c r="C87" s="53" t="s">
        <v>690</v>
      </c>
      <c r="D87" s="54" t="s">
        <v>690</v>
      </c>
      <c r="E87" s="54" t="s">
        <v>690</v>
      </c>
      <c r="F87" s="54" t="s">
        <v>691</v>
      </c>
      <c r="G87" s="55" t="s">
        <v>692</v>
      </c>
      <c r="H87" s="54" t="s">
        <v>693</v>
      </c>
      <c r="I87" s="54" t="s">
        <v>694</v>
      </c>
      <c r="J87" s="56" t="str">
        <f xml:space="preserve"> LEFT(韻母對照表3[[#This Row],[十五音識別碼]],1)</f>
        <v>褌</v>
      </c>
      <c r="K87" s="56" t="s">
        <v>695</v>
      </c>
      <c r="L87" s="56" t="s">
        <v>696</v>
      </c>
      <c r="M87" s="54"/>
      <c r="N87" s="56">
        <f t="shared" ref="N87" si="16" xml:space="preserve"> LEN(D87)</f>
        <v>4</v>
      </c>
      <c r="O87" s="58"/>
      <c r="P87" s="54" t="str">
        <f>C59</f>
        <v>ng</v>
      </c>
      <c r="Q87" s="54" t="str">
        <f>D59</f>
        <v>ng</v>
      </c>
      <c r="S87" s="37" t="str">
        <f xml:space="preserve"> _xlfn.CONCAT(P87, "(\d)")</f>
        <v>ng(\d)</v>
      </c>
      <c r="T87" s="38" t="s">
        <v>179</v>
      </c>
      <c r="U87" s="38" t="str">
        <f xml:space="preserve"> IFERROR( IF(T87="", "", SEARCH(T87, $P87)), "")</f>
        <v/>
      </c>
      <c r="V87" s="37" t="str">
        <f xml:space="preserve"> IFERROR( _xlfn.CONCAT(LEFT(P87,U87-1), "》", MID(P87,U87,1), "${1}", RIGHT(P87, LEN(P87)-U87)), "" )</f>
        <v/>
      </c>
      <c r="W87" s="57"/>
      <c r="X87" s="59" t="str">
        <f xml:space="preserve"> IF(AND(Q87&lt;&gt;"", P87&lt;&gt;""), "    - xform/》" &amp; S87 &amp;  "/"  &amp; V87 &amp;  "/", "")</f>
        <v xml:space="preserve">    - xform/》ng(\d)//</v>
      </c>
    </row>
    <row r="88" spans="1:24" ht="27.75" thickBot="1">
      <c r="A88" s="51">
        <f t="shared" si="7"/>
        <v>85</v>
      </c>
      <c r="B88" s="52" t="s">
        <v>697</v>
      </c>
      <c r="C88" s="53" t="s">
        <v>698</v>
      </c>
      <c r="D88" s="54" t="s">
        <v>698</v>
      </c>
      <c r="E88" s="54" t="s">
        <v>698</v>
      </c>
      <c r="F88" s="54" t="s">
        <v>698</v>
      </c>
      <c r="G88" s="55" t="s">
        <v>698</v>
      </c>
      <c r="H88" s="54" t="s">
        <v>699</v>
      </c>
      <c r="I88" s="54" t="s">
        <v>699</v>
      </c>
      <c r="J88" s="56" t="str">
        <f xml:space="preserve"> LEFT(韻母對照表3[[#This Row],[十五音識別碼]],1)</f>
        <v>君</v>
      </c>
      <c r="K88" s="56" t="s">
        <v>700</v>
      </c>
      <c r="L88" s="56" t="s">
        <v>701</v>
      </c>
      <c r="M88" s="54"/>
      <c r="N88" s="56">
        <f t="shared" si="11"/>
        <v>2</v>
      </c>
      <c r="O88" s="58"/>
      <c r="P88" s="54" t="str">
        <f>C73</f>
        <v>uah</v>
      </c>
      <c r="Q88" s="54" t="str">
        <f>D73</f>
        <v>uah</v>
      </c>
      <c r="S88" s="37" t="str">
        <f t="shared" ref="S88:S89" si="17" xml:space="preserve"> _xlfn.CONCAT(P88, "(\d)")</f>
        <v>uah(\d)</v>
      </c>
      <c r="T88" s="38" t="s">
        <v>234</v>
      </c>
      <c r="U88" s="38" t="str">
        <f t="shared" ref="U88:U89" si="18" xml:space="preserve"> IFERROR( IF(T88="", "", SEARCH(T88, $P88)), "")</f>
        <v/>
      </c>
      <c r="V88" s="37" t="str">
        <f t="shared" si="14"/>
        <v/>
      </c>
      <c r="W88" s="57"/>
      <c r="X88" s="59" t="str">
        <f t="shared" ref="X88:X89" si="19" xml:space="preserve"> IF(AND(Q88&lt;&gt;"", P88&lt;&gt;""), "    - xform/》" &amp; S88 &amp;  "/"  &amp; V88 &amp;  "/", "")</f>
        <v xml:space="preserve">    - xform/》uah(\d)//</v>
      </c>
    </row>
    <row r="89" spans="1:24" ht="27.75" thickBot="1">
      <c r="A89" s="51">
        <f t="shared" si="7"/>
        <v>86</v>
      </c>
      <c r="B89" s="52" t="s">
        <v>702</v>
      </c>
      <c r="C89" s="53" t="s">
        <v>703</v>
      </c>
      <c r="D89" s="54" t="s">
        <v>703</v>
      </c>
      <c r="E89" s="54" t="s">
        <v>703</v>
      </c>
      <c r="F89" s="54" t="s">
        <v>703</v>
      </c>
      <c r="G89" s="55" t="s">
        <v>703</v>
      </c>
      <c r="H89" s="54" t="s">
        <v>704</v>
      </c>
      <c r="I89" s="54" t="s">
        <v>705</v>
      </c>
      <c r="J89" s="56" t="str">
        <f xml:space="preserve"> LEFT(韻母對照表3[[#This Row],[十五音識別碼]],1)</f>
        <v>君</v>
      </c>
      <c r="K89" s="56" t="s">
        <v>706</v>
      </c>
      <c r="L89" s="56" t="s">
        <v>707</v>
      </c>
      <c r="M89" s="54"/>
      <c r="N89" s="56">
        <f t="shared" si="11"/>
        <v>2</v>
      </c>
      <c r="O89" s="58"/>
      <c r="P89" s="54" t="str">
        <f>C78</f>
        <v>uan</v>
      </c>
      <c r="Q89" s="54" t="str">
        <f>D78</f>
        <v>uan</v>
      </c>
      <c r="S89" s="37" t="str">
        <f t="shared" si="17"/>
        <v>uan(\d)</v>
      </c>
      <c r="T89" s="38" t="s">
        <v>234</v>
      </c>
      <c r="U89" s="38" t="str">
        <f t="shared" si="18"/>
        <v/>
      </c>
      <c r="V89" s="37" t="str">
        <f t="shared" si="14"/>
        <v/>
      </c>
      <c r="W89" s="57"/>
      <c r="X89" s="59" t="str">
        <f t="shared" si="19"/>
        <v xml:space="preserve">    - xform/》uan(\d)//</v>
      </c>
    </row>
    <row r="90" spans="1:24" ht="27" thickBot="1"/>
    <row r="91" spans="1:24" ht="48.75" thickBot="1">
      <c r="B91" s="44" t="s">
        <v>708</v>
      </c>
      <c r="C91" s="44" t="s">
        <v>709</v>
      </c>
      <c r="D91" s="44" t="s">
        <v>709</v>
      </c>
    </row>
    <row r="92" spans="1:24" ht="27.75" thickBot="1">
      <c r="B92" s="54" t="s">
        <v>710</v>
      </c>
      <c r="C92" s="54">
        <f xml:space="preserve"> HEX2DEC(VALUE(RIGHT(B92,4)))</f>
        <v>771</v>
      </c>
      <c r="D92" s="54" t="str">
        <f xml:space="preserve"> _xlfn.CONCAT("a", _xlfn.UNICHAR(HEX2DEC(RIGHT(B92,4))))</f>
        <v>ã</v>
      </c>
    </row>
    <row r="93" spans="1:24" ht="27.75" thickBot="1">
      <c r="B93" s="54" t="s">
        <v>711</v>
      </c>
      <c r="C93" s="54">
        <f xml:space="preserve"> HEX2DEC(VALUE(RIGHT(B93,4)))</f>
        <v>660</v>
      </c>
      <c r="D93" s="54" t="str">
        <f xml:space="preserve"> _xlfn.CONCAT("a", _xlfn.UNICHAR(HEX2DEC(RIGHT(B93,4))))</f>
        <v>aʔ</v>
      </c>
    </row>
    <row r="94" spans="1:24" ht="27" thickBot="1"/>
    <row r="95" spans="1:24" ht="27" thickBot="1">
      <c r="B95" s="44" t="s">
        <v>712</v>
      </c>
      <c r="C95" s="44">
        <f xml:space="preserve"> HEX2DEC(VALUE(RIGHT(B95,4)))</f>
        <v>2134</v>
      </c>
      <c r="D95" s="44" t="str">
        <f xml:space="preserve"> _xlfn.CONCAT("o", _xlfn.UNICHAR( RIGHT(B95,4)))</f>
        <v>o͘</v>
      </c>
    </row>
    <row r="96" spans="1:24" ht="27" thickBot="1">
      <c r="B96" s="44" t="s">
        <v>713</v>
      </c>
      <c r="C96" s="44">
        <f xml:space="preserve"> _xlfn.UNICODE( RIGHT(B96,1) )</f>
        <v>856</v>
      </c>
      <c r="D96" s="44" t="str">
        <f xml:space="preserve"> _xlfn.CONCAT("o", _xlfn.UNICHAR(C96))</f>
        <v>o͘</v>
      </c>
    </row>
    <row r="97" spans="1:3" ht="27" thickBot="1"/>
    <row r="98" spans="1:3" ht="27" thickBot="1">
      <c r="B98" s="44" t="s">
        <v>714</v>
      </c>
      <c r="C98" s="44" t="s">
        <v>715</v>
      </c>
    </row>
    <row r="99" spans="1:3" ht="27" thickBot="1">
      <c r="B99" s="44" t="s">
        <v>716</v>
      </c>
      <c r="C99" s="44" t="s">
        <v>717</v>
      </c>
    </row>
    <row r="101" spans="1:3">
      <c r="A101" s="74" t="str">
        <f xml:space="preserve"> "(""" &amp; _xlfn.TEXTJOIN(""",""",TRUE,F4:F89) &amp; """)"</f>
        <v>("a","ah","ai","aih","nai","ak","am","an","ang","na","nah","ap","at","ao","aoh","e","eh","ne","ennh","i","ia","iah","iak","iam","ian","iang","nia","iannh","iap","iat","iao","iaoh","niao","ih","ik","im","in","ing","ni","io","ioh","iok","iong","ip","it","nioo","iu","niu","niuh","m","mh","ng","ngh","o","oh","ok","om","ong","noo","niuh","oo","ooh","op","u","ua","uah","uai","nuai","uaih","uainnh","uan","uang","nua","uat","ue","ueh","uh","ui","uih","nui","un","ut")</v>
      </c>
    </row>
  </sheetData>
  <phoneticPr fontId="4" type="noConversion"/>
  <pageMargins left="0.7" right="0.7" top="0.75" bottom="0.75" header="0.3" footer="0.3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52445-B199-4AFF-86E1-1FB697FEFE0D}">
  <dimension ref="A1"/>
  <sheetViews>
    <sheetView workbookViewId="0"/>
  </sheetViews>
  <sheetFormatPr defaultRowHeight="16.5"/>
  <sheetData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【聲】聲母表</vt:lpstr>
      <vt:lpstr>【韻】韻母表</vt:lpstr>
      <vt:lpstr>【聲】聲母排序表 (2)</vt:lpstr>
      <vt:lpstr>【聲】聲母對照表</vt:lpstr>
      <vt:lpstr>【韻】韻母對照表</vt:lpstr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2026-07-26T10:32:00Z</dcterms:created>
  <dcterms:modified xsi:type="dcterms:W3CDTF">2026-07-26T15:18:59Z</dcterms:modified>
</cp:coreProperties>
</file>